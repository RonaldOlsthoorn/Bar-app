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730" codeName="{91B80F79-697F-C00D-A1F8-6C9A07846A5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Gijs\workspace\Bar-app\excel\"/>
    </mc:Choice>
  </mc:AlternateContent>
  <bookViews>
    <workbookView xWindow="0" yWindow="0" windowWidth="23040" windowHeight="9048" activeTab="16" xr2:uid="{00000000-000D-0000-FFFF-FFFF00000000}"/>
  </bookViews>
  <sheets>
    <sheet name="Sheet4" sheetId="102" r:id="rId1"/>
    <sheet name="18-10-17 01.10.26" sheetId="104" r:id="rId2"/>
    <sheet name="19-10-17 02.29.17" sheetId="105" r:id="rId3"/>
    <sheet name="09-11-17 02.02.26" sheetId="106" r:id="rId4"/>
    <sheet name="15-05-17 03.22.05" sheetId="125" r:id="rId5"/>
    <sheet name="05-10-17 03.55.44" sheetId="124" r:id="rId6"/>
    <sheet name="16-11-17 02.10.19(3)" sheetId="128" r:id="rId7"/>
    <sheet name="16-11-17 02.10.19(2)" sheetId="127" r:id="rId8"/>
    <sheet name="16-11-17 02.10.19(1)" sheetId="126" r:id="rId9"/>
    <sheet name="16-11-17 02.10.19" sheetId="123" r:id="rId10"/>
    <sheet name="08-01-18 08.57.48" sheetId="129" r:id="rId11"/>
    <sheet name="08-01-18 08.57.48(5)" sheetId="134" r:id="rId12"/>
    <sheet name="08-01-18 08.57.48(4)" sheetId="133" r:id="rId13"/>
    <sheet name="08-01-18 08.57.48(3)" sheetId="132" r:id="rId14"/>
    <sheet name="08-01-18 08.57.48(2)" sheetId="131" r:id="rId15"/>
    <sheet name="08-01-18 08.57.48(1)" sheetId="130" r:id="rId16"/>
    <sheet name="15-05-17 03.22.05(1)" sheetId="139" r:id="rId17"/>
    <sheet name="05-10-17 03.55.44(1)" sheetId="138" r:id="rId18"/>
    <sheet name="16-11-17 02.10.19(4)" sheetId="137" r:id="rId19"/>
    <sheet name="16-11-17 02.10.35" sheetId="136" r:id="rId20"/>
    <sheet name="08-01-18 09.33.58" sheetId="135" r:id="rId21"/>
    <sheet name="Blad1" sheetId="112" r:id="rId22"/>
  </sheets>
  <calcPr calcId="171027"/>
</workbook>
</file>

<file path=xl/calcChain.xml><?xml version="1.0" encoding="utf-8"?>
<calcChain xmlns="http://schemas.openxmlformats.org/spreadsheetml/2006/main">
  <c r="H2" i="139" l="1"/>
  <c r="H3" i="139" s="1"/>
  <c r="G2" i="139"/>
  <c r="G3" i="139" s="1"/>
  <c r="K13" i="139"/>
  <c r="J13" i="139"/>
  <c r="L13" i="139" s="1"/>
  <c r="E13" i="139" s="1"/>
  <c r="J12" i="139"/>
  <c r="K11" i="139"/>
  <c r="J11" i="139"/>
  <c r="L11" i="139" s="1"/>
  <c r="E11" i="139" s="1"/>
  <c r="J10" i="139"/>
  <c r="J8" i="139" s="1"/>
  <c r="L17" i="139"/>
  <c r="E17" i="139" s="1"/>
  <c r="J17" i="139"/>
  <c r="L16" i="139"/>
  <c r="E16" i="139" s="1"/>
  <c r="J16" i="139"/>
  <c r="S8" i="138"/>
  <c r="Q2" i="138"/>
  <c r="Q3" i="138" s="1"/>
  <c r="P2" i="138"/>
  <c r="P3" i="138" s="1"/>
  <c r="O2" i="138"/>
  <c r="O3" i="138" s="1"/>
  <c r="N2" i="138"/>
  <c r="N3" i="138" s="1"/>
  <c r="M2" i="138"/>
  <c r="M3" i="138" s="1"/>
  <c r="L2" i="138"/>
  <c r="L3" i="138" s="1"/>
  <c r="K2" i="138"/>
  <c r="K3" i="138" s="1"/>
  <c r="J2" i="138"/>
  <c r="J3" i="138" s="1"/>
  <c r="I2" i="138"/>
  <c r="I3" i="138" s="1"/>
  <c r="H2" i="138"/>
  <c r="H3" i="138" s="1"/>
  <c r="G3" i="138"/>
  <c r="G2" i="138"/>
  <c r="R330" i="138"/>
  <c r="T330" i="138" s="1"/>
  <c r="E330" i="138" s="1"/>
  <c r="R329" i="138"/>
  <c r="T329" i="138" s="1"/>
  <c r="E329" i="138" s="1"/>
  <c r="R328" i="138"/>
  <c r="T328" i="138" s="1"/>
  <c r="E328" i="138" s="1"/>
  <c r="T327" i="138"/>
  <c r="E327" i="138" s="1"/>
  <c r="R327" i="138"/>
  <c r="T326" i="138"/>
  <c r="E326" i="138" s="1"/>
  <c r="R326" i="138"/>
  <c r="T325" i="138"/>
  <c r="E325" i="138" s="1"/>
  <c r="R325" i="138"/>
  <c r="R324" i="138"/>
  <c r="T324" i="138" s="1"/>
  <c r="E324" i="138" s="1"/>
  <c r="E323" i="138"/>
  <c r="T323" i="138"/>
  <c r="R323" i="138"/>
  <c r="R322" i="138"/>
  <c r="T322" i="138" s="1"/>
  <c r="E322" i="138" s="1"/>
  <c r="R321" i="138"/>
  <c r="T321" i="138" s="1"/>
  <c r="E321" i="138" s="1"/>
  <c r="R320" i="138"/>
  <c r="T320" i="138" s="1"/>
  <c r="E320" i="138" s="1"/>
  <c r="T319" i="138"/>
  <c r="E319" i="138" s="1"/>
  <c r="R319" i="138"/>
  <c r="T318" i="138"/>
  <c r="E318" i="138" s="1"/>
  <c r="R318" i="138"/>
  <c r="T317" i="138"/>
  <c r="E317" i="138" s="1"/>
  <c r="R317" i="138"/>
  <c r="R316" i="138"/>
  <c r="T316" i="138" s="1"/>
  <c r="E316" i="138" s="1"/>
  <c r="E315" i="138"/>
  <c r="T315" i="138"/>
  <c r="R315" i="138"/>
  <c r="R314" i="138"/>
  <c r="T314" i="138" s="1"/>
  <c r="E314" i="138" s="1"/>
  <c r="R313" i="138"/>
  <c r="T313" i="138" s="1"/>
  <c r="E313" i="138" s="1"/>
  <c r="R312" i="138"/>
  <c r="T312" i="138" s="1"/>
  <c r="E312" i="138" s="1"/>
  <c r="T311" i="138"/>
  <c r="E311" i="138" s="1"/>
  <c r="R311" i="138"/>
  <c r="T310" i="138"/>
  <c r="E310" i="138" s="1"/>
  <c r="R310" i="138"/>
  <c r="T309" i="138"/>
  <c r="E309" i="138" s="1"/>
  <c r="R309" i="138"/>
  <c r="R308" i="138"/>
  <c r="T308" i="138" s="1"/>
  <c r="E308" i="138" s="1"/>
  <c r="E307" i="138"/>
  <c r="T307" i="138"/>
  <c r="R307" i="138"/>
  <c r="R306" i="138"/>
  <c r="T306" i="138" s="1"/>
  <c r="E306" i="138" s="1"/>
  <c r="R305" i="138"/>
  <c r="T305" i="138" s="1"/>
  <c r="E305" i="138" s="1"/>
  <c r="R304" i="138"/>
  <c r="T304" i="138" s="1"/>
  <c r="E304" i="138" s="1"/>
  <c r="T303" i="138"/>
  <c r="E303" i="138" s="1"/>
  <c r="R303" i="138"/>
  <c r="T302" i="138"/>
  <c r="E302" i="138" s="1"/>
  <c r="R302" i="138"/>
  <c r="T301" i="138"/>
  <c r="E301" i="138" s="1"/>
  <c r="R301" i="138"/>
  <c r="R300" i="138"/>
  <c r="T300" i="138" s="1"/>
  <c r="E300" i="138" s="1"/>
  <c r="E299" i="138"/>
  <c r="T299" i="138"/>
  <c r="R299" i="138"/>
  <c r="R298" i="138"/>
  <c r="T298" i="138" s="1"/>
  <c r="E298" i="138" s="1"/>
  <c r="R297" i="138"/>
  <c r="T297" i="138" s="1"/>
  <c r="E297" i="138" s="1"/>
  <c r="R296" i="138"/>
  <c r="T296" i="138" s="1"/>
  <c r="E296" i="138" s="1"/>
  <c r="T295" i="138"/>
  <c r="E295" i="138" s="1"/>
  <c r="R295" i="138"/>
  <c r="T294" i="138"/>
  <c r="E294" i="138" s="1"/>
  <c r="R294" i="138"/>
  <c r="T293" i="138"/>
  <c r="E293" i="138" s="1"/>
  <c r="R293" i="138"/>
  <c r="R292" i="138"/>
  <c r="T292" i="138" s="1"/>
  <c r="E292" i="138" s="1"/>
  <c r="E291" i="138"/>
  <c r="T291" i="138"/>
  <c r="R291" i="138"/>
  <c r="R290" i="138"/>
  <c r="T290" i="138" s="1"/>
  <c r="E290" i="138" s="1"/>
  <c r="R289" i="138"/>
  <c r="T289" i="138" s="1"/>
  <c r="E289" i="138" s="1"/>
  <c r="R288" i="138"/>
  <c r="T288" i="138" s="1"/>
  <c r="E288" i="138" s="1"/>
  <c r="T287" i="138"/>
  <c r="E287" i="138" s="1"/>
  <c r="R287" i="138"/>
  <c r="T286" i="138"/>
  <c r="E286" i="138" s="1"/>
  <c r="R286" i="138"/>
  <c r="T285" i="138"/>
  <c r="E285" i="138" s="1"/>
  <c r="R285" i="138"/>
  <c r="R284" i="138"/>
  <c r="T284" i="138" s="1"/>
  <c r="E284" i="138" s="1"/>
  <c r="E283" i="138"/>
  <c r="T283" i="138"/>
  <c r="R283" i="138"/>
  <c r="R282" i="138"/>
  <c r="T282" i="138" s="1"/>
  <c r="E282" i="138" s="1"/>
  <c r="R281" i="138"/>
  <c r="T281" i="138" s="1"/>
  <c r="E281" i="138" s="1"/>
  <c r="R280" i="138"/>
  <c r="T280" i="138" s="1"/>
  <c r="E280" i="138" s="1"/>
  <c r="T279" i="138"/>
  <c r="E279" i="138" s="1"/>
  <c r="R279" i="138"/>
  <c r="T278" i="138"/>
  <c r="E278" i="138" s="1"/>
  <c r="R278" i="138"/>
  <c r="T277" i="138"/>
  <c r="E277" i="138" s="1"/>
  <c r="R277" i="138"/>
  <c r="R276" i="138"/>
  <c r="T276" i="138" s="1"/>
  <c r="E276" i="138" s="1"/>
  <c r="E275" i="138"/>
  <c r="T275" i="138"/>
  <c r="R275" i="138"/>
  <c r="R274" i="138"/>
  <c r="T274" i="138" s="1"/>
  <c r="E274" i="138" s="1"/>
  <c r="R273" i="138"/>
  <c r="T273" i="138" s="1"/>
  <c r="E273" i="138" s="1"/>
  <c r="R272" i="138"/>
  <c r="T272" i="138" s="1"/>
  <c r="E272" i="138" s="1"/>
  <c r="T271" i="138"/>
  <c r="E271" i="138" s="1"/>
  <c r="R271" i="138"/>
  <c r="T270" i="138"/>
  <c r="E270" i="138" s="1"/>
  <c r="R270" i="138"/>
  <c r="T269" i="138"/>
  <c r="E269" i="138" s="1"/>
  <c r="R269" i="138"/>
  <c r="R268" i="138"/>
  <c r="T268" i="138" s="1"/>
  <c r="E268" i="138" s="1"/>
  <c r="E267" i="138"/>
  <c r="T267" i="138"/>
  <c r="R267" i="138"/>
  <c r="R266" i="138"/>
  <c r="T266" i="138" s="1"/>
  <c r="E266" i="138" s="1"/>
  <c r="R265" i="138"/>
  <c r="T265" i="138" s="1"/>
  <c r="E265" i="138" s="1"/>
  <c r="R264" i="138"/>
  <c r="T264" i="138" s="1"/>
  <c r="E264" i="138" s="1"/>
  <c r="T263" i="138"/>
  <c r="E263" i="138" s="1"/>
  <c r="R263" i="138"/>
  <c r="T262" i="138"/>
  <c r="E262" i="138" s="1"/>
  <c r="R262" i="138"/>
  <c r="T261" i="138"/>
  <c r="E261" i="138" s="1"/>
  <c r="R261" i="138"/>
  <c r="R260" i="138"/>
  <c r="T260" i="138" s="1"/>
  <c r="E260" i="138" s="1"/>
  <c r="E259" i="138"/>
  <c r="T259" i="138"/>
  <c r="R259" i="138"/>
  <c r="R258" i="138"/>
  <c r="T258" i="138" s="1"/>
  <c r="E258" i="138" s="1"/>
  <c r="R257" i="138"/>
  <c r="T257" i="138" s="1"/>
  <c r="E257" i="138" s="1"/>
  <c r="R256" i="138"/>
  <c r="T256" i="138" s="1"/>
  <c r="E256" i="138" s="1"/>
  <c r="T255" i="138"/>
  <c r="E255" i="138" s="1"/>
  <c r="R255" i="138"/>
  <c r="T254" i="138"/>
  <c r="E254" i="138" s="1"/>
  <c r="R254" i="138"/>
  <c r="T253" i="138"/>
  <c r="E253" i="138" s="1"/>
  <c r="R253" i="138"/>
  <c r="R252" i="138"/>
  <c r="T252" i="138" s="1"/>
  <c r="E252" i="138" s="1"/>
  <c r="E251" i="138"/>
  <c r="T251" i="138"/>
  <c r="R251" i="138"/>
  <c r="R250" i="138"/>
  <c r="T250" i="138" s="1"/>
  <c r="E250" i="138" s="1"/>
  <c r="R249" i="138"/>
  <c r="T249" i="138" s="1"/>
  <c r="E249" i="138" s="1"/>
  <c r="R248" i="138"/>
  <c r="T248" i="138" s="1"/>
  <c r="E248" i="138" s="1"/>
  <c r="T247" i="138"/>
  <c r="E247" i="138" s="1"/>
  <c r="R247" i="138"/>
  <c r="T246" i="138"/>
  <c r="E246" i="138" s="1"/>
  <c r="R246" i="138"/>
  <c r="T245" i="138"/>
  <c r="E245" i="138" s="1"/>
  <c r="R245" i="138"/>
  <c r="R244" i="138"/>
  <c r="T244" i="138" s="1"/>
  <c r="E244" i="138" s="1"/>
  <c r="E243" i="138"/>
  <c r="T243" i="138"/>
  <c r="R243" i="138"/>
  <c r="R242" i="138"/>
  <c r="T242" i="138" s="1"/>
  <c r="E242" i="138" s="1"/>
  <c r="R241" i="138"/>
  <c r="T241" i="138" s="1"/>
  <c r="E241" i="138" s="1"/>
  <c r="R240" i="138"/>
  <c r="T240" i="138" s="1"/>
  <c r="E240" i="138" s="1"/>
  <c r="T239" i="138"/>
  <c r="E239" i="138" s="1"/>
  <c r="R239" i="138"/>
  <c r="T238" i="138"/>
  <c r="E238" i="138" s="1"/>
  <c r="R238" i="138"/>
  <c r="T237" i="138"/>
  <c r="E237" i="138" s="1"/>
  <c r="R237" i="138"/>
  <c r="R236" i="138"/>
  <c r="T236" i="138" s="1"/>
  <c r="E236" i="138" s="1"/>
  <c r="E235" i="138"/>
  <c r="T235" i="138"/>
  <c r="R235" i="138"/>
  <c r="R234" i="138"/>
  <c r="T234" i="138" s="1"/>
  <c r="E234" i="138" s="1"/>
  <c r="R233" i="138"/>
  <c r="T233" i="138" s="1"/>
  <c r="E233" i="138" s="1"/>
  <c r="R232" i="138"/>
  <c r="T232" i="138" s="1"/>
  <c r="E232" i="138" s="1"/>
  <c r="T231" i="138"/>
  <c r="E231" i="138" s="1"/>
  <c r="R231" i="138"/>
  <c r="T230" i="138"/>
  <c r="E230" i="138" s="1"/>
  <c r="R230" i="138"/>
  <c r="T229" i="138"/>
  <c r="E229" i="138" s="1"/>
  <c r="R229" i="138"/>
  <c r="R228" i="138"/>
  <c r="T228" i="138" s="1"/>
  <c r="E228" i="138" s="1"/>
  <c r="E227" i="138"/>
  <c r="T227" i="138"/>
  <c r="R227" i="138"/>
  <c r="R226" i="138"/>
  <c r="T226" i="138" s="1"/>
  <c r="E226" i="138" s="1"/>
  <c r="R225" i="138"/>
  <c r="T225" i="138" s="1"/>
  <c r="E225" i="138" s="1"/>
  <c r="R224" i="138"/>
  <c r="T224" i="138" s="1"/>
  <c r="E224" i="138" s="1"/>
  <c r="T223" i="138"/>
  <c r="E223" i="138" s="1"/>
  <c r="R223" i="138"/>
  <c r="T222" i="138"/>
  <c r="E222" i="138" s="1"/>
  <c r="R222" i="138"/>
  <c r="T221" i="138"/>
  <c r="E221" i="138" s="1"/>
  <c r="R221" i="138"/>
  <c r="R220" i="138"/>
  <c r="T220" i="138" s="1"/>
  <c r="E220" i="138" s="1"/>
  <c r="E219" i="138"/>
  <c r="T219" i="138"/>
  <c r="R219" i="138"/>
  <c r="R218" i="138"/>
  <c r="T218" i="138" s="1"/>
  <c r="E218" i="138" s="1"/>
  <c r="R217" i="138"/>
  <c r="T217" i="138" s="1"/>
  <c r="E217" i="138" s="1"/>
  <c r="R216" i="138"/>
  <c r="T216" i="138" s="1"/>
  <c r="E216" i="138" s="1"/>
  <c r="T215" i="138"/>
  <c r="E215" i="138" s="1"/>
  <c r="R215" i="138"/>
  <c r="T214" i="138"/>
  <c r="E214" i="138" s="1"/>
  <c r="R214" i="138"/>
  <c r="T213" i="138"/>
  <c r="E213" i="138" s="1"/>
  <c r="R213" i="138"/>
  <c r="R212" i="138"/>
  <c r="T212" i="138" s="1"/>
  <c r="E212" i="138" s="1"/>
  <c r="E211" i="138"/>
  <c r="T211" i="138"/>
  <c r="R211" i="138"/>
  <c r="R210" i="138"/>
  <c r="T210" i="138" s="1"/>
  <c r="E210" i="138" s="1"/>
  <c r="R209" i="138"/>
  <c r="T209" i="138" s="1"/>
  <c r="E209" i="138" s="1"/>
  <c r="R208" i="138"/>
  <c r="T208" i="138" s="1"/>
  <c r="E208" i="138" s="1"/>
  <c r="T207" i="138"/>
  <c r="E207" i="138" s="1"/>
  <c r="R207" i="138"/>
  <c r="T206" i="138"/>
  <c r="E206" i="138" s="1"/>
  <c r="R206" i="138"/>
  <c r="T205" i="138"/>
  <c r="E205" i="138" s="1"/>
  <c r="R205" i="138"/>
  <c r="R204" i="138"/>
  <c r="T204" i="138" s="1"/>
  <c r="E204" i="138" s="1"/>
  <c r="E203" i="138"/>
  <c r="T203" i="138"/>
  <c r="R203" i="138"/>
  <c r="R202" i="138"/>
  <c r="T202" i="138" s="1"/>
  <c r="E202" i="138" s="1"/>
  <c r="R201" i="138"/>
  <c r="T201" i="138" s="1"/>
  <c r="E201" i="138" s="1"/>
  <c r="T200" i="138"/>
  <c r="E200" i="138" s="1"/>
  <c r="R200" i="138"/>
  <c r="T199" i="138"/>
  <c r="E199" i="138" s="1"/>
  <c r="R199" i="138"/>
  <c r="T198" i="138"/>
  <c r="E198" i="138" s="1"/>
  <c r="R198" i="138"/>
  <c r="E197" i="138"/>
  <c r="T197" i="138"/>
  <c r="R197" i="138"/>
  <c r="R196" i="138"/>
  <c r="T196" i="138" s="1"/>
  <c r="E196" i="138" s="1"/>
  <c r="R195" i="138"/>
  <c r="T195" i="138" s="1"/>
  <c r="E195" i="138" s="1"/>
  <c r="R194" i="138"/>
  <c r="T194" i="138" s="1"/>
  <c r="E194" i="138" s="1"/>
  <c r="R193" i="138"/>
  <c r="T193" i="138" s="1"/>
  <c r="E193" i="138" s="1"/>
  <c r="T192" i="138"/>
  <c r="E192" i="138" s="1"/>
  <c r="R192" i="138"/>
  <c r="T191" i="138"/>
  <c r="E191" i="138" s="1"/>
  <c r="R191" i="138"/>
  <c r="T190" i="138"/>
  <c r="E190" i="138" s="1"/>
  <c r="R190" i="138"/>
  <c r="E189" i="138"/>
  <c r="T189" i="138"/>
  <c r="R189" i="138"/>
  <c r="R188" i="138"/>
  <c r="T188" i="138" s="1"/>
  <c r="E188" i="138" s="1"/>
  <c r="R187" i="138"/>
  <c r="T187" i="138" s="1"/>
  <c r="E187" i="138" s="1"/>
  <c r="R186" i="138"/>
  <c r="T186" i="138" s="1"/>
  <c r="E186" i="138" s="1"/>
  <c r="R185" i="138"/>
  <c r="T185" i="138" s="1"/>
  <c r="E185" i="138" s="1"/>
  <c r="T184" i="138"/>
  <c r="E184" i="138" s="1"/>
  <c r="R184" i="138"/>
  <c r="T183" i="138"/>
  <c r="E183" i="138" s="1"/>
  <c r="R183" i="138"/>
  <c r="T182" i="138"/>
  <c r="E182" i="138" s="1"/>
  <c r="R182" i="138"/>
  <c r="E181" i="138"/>
  <c r="T181" i="138"/>
  <c r="R181" i="138"/>
  <c r="R180" i="138"/>
  <c r="T180" i="138" s="1"/>
  <c r="E180" i="138" s="1"/>
  <c r="R179" i="138"/>
  <c r="T179" i="138" s="1"/>
  <c r="E179" i="138" s="1"/>
  <c r="R178" i="138"/>
  <c r="T178" i="138" s="1"/>
  <c r="E178" i="138" s="1"/>
  <c r="R177" i="138"/>
  <c r="T177" i="138" s="1"/>
  <c r="E177" i="138" s="1"/>
  <c r="T176" i="138"/>
  <c r="E176" i="138" s="1"/>
  <c r="R176" i="138"/>
  <c r="T175" i="138"/>
  <c r="E175" i="138" s="1"/>
  <c r="R175" i="138"/>
  <c r="T174" i="138"/>
  <c r="E174" i="138" s="1"/>
  <c r="R174" i="138"/>
  <c r="E173" i="138"/>
  <c r="T173" i="138"/>
  <c r="R173" i="138"/>
  <c r="R172" i="138"/>
  <c r="T172" i="138" s="1"/>
  <c r="E172" i="138" s="1"/>
  <c r="R171" i="138"/>
  <c r="T171" i="138" s="1"/>
  <c r="E171" i="138" s="1"/>
  <c r="R170" i="138"/>
  <c r="T170" i="138" s="1"/>
  <c r="E170" i="138" s="1"/>
  <c r="R169" i="138"/>
  <c r="T169" i="138" s="1"/>
  <c r="E169" i="138" s="1"/>
  <c r="T168" i="138"/>
  <c r="E168" i="138" s="1"/>
  <c r="R168" i="138"/>
  <c r="T167" i="138"/>
  <c r="E167" i="138" s="1"/>
  <c r="R167" i="138"/>
  <c r="T166" i="138"/>
  <c r="E166" i="138" s="1"/>
  <c r="R166" i="138"/>
  <c r="E165" i="138"/>
  <c r="T165" i="138"/>
  <c r="R165" i="138"/>
  <c r="R164" i="138"/>
  <c r="T164" i="138" s="1"/>
  <c r="E164" i="138" s="1"/>
  <c r="E163" i="138"/>
  <c r="R163" i="138"/>
  <c r="T163" i="138" s="1"/>
  <c r="R162" i="138"/>
  <c r="T162" i="138" s="1"/>
  <c r="E162" i="138" s="1"/>
  <c r="R161" i="138"/>
  <c r="T161" i="138" s="1"/>
  <c r="E161" i="138" s="1"/>
  <c r="T160" i="138"/>
  <c r="E160" i="138" s="1"/>
  <c r="R160" i="138"/>
  <c r="T159" i="138"/>
  <c r="E159" i="138" s="1"/>
  <c r="R159" i="138"/>
  <c r="T158" i="138"/>
  <c r="E158" i="138" s="1"/>
  <c r="R158" i="138"/>
  <c r="E157" i="138"/>
  <c r="T157" i="138"/>
  <c r="R157" i="138"/>
  <c r="R156" i="138"/>
  <c r="T156" i="138" s="1"/>
  <c r="E156" i="138" s="1"/>
  <c r="R155" i="138"/>
  <c r="T155" i="138" s="1"/>
  <c r="E155" i="138" s="1"/>
  <c r="R154" i="138"/>
  <c r="T154" i="138" s="1"/>
  <c r="E154" i="138" s="1"/>
  <c r="R153" i="138"/>
  <c r="T153" i="138" s="1"/>
  <c r="E153" i="138" s="1"/>
  <c r="T152" i="138"/>
  <c r="E152" i="138" s="1"/>
  <c r="R152" i="138"/>
  <c r="T151" i="138"/>
  <c r="E151" i="138" s="1"/>
  <c r="R151" i="138"/>
  <c r="T150" i="138"/>
  <c r="E150" i="138" s="1"/>
  <c r="R150" i="138"/>
  <c r="E149" i="138"/>
  <c r="T149" i="138"/>
  <c r="R149" i="138"/>
  <c r="R148" i="138"/>
  <c r="T148" i="138" s="1"/>
  <c r="E148" i="138" s="1"/>
  <c r="R147" i="138"/>
  <c r="T147" i="138" s="1"/>
  <c r="E147" i="138" s="1"/>
  <c r="R146" i="138"/>
  <c r="T146" i="138" s="1"/>
  <c r="E146" i="138" s="1"/>
  <c r="R145" i="138"/>
  <c r="T145" i="138" s="1"/>
  <c r="E145" i="138" s="1"/>
  <c r="T144" i="138"/>
  <c r="E144" i="138" s="1"/>
  <c r="R144" i="138"/>
  <c r="T143" i="138"/>
  <c r="E143" i="138" s="1"/>
  <c r="R143" i="138"/>
  <c r="T142" i="138"/>
  <c r="E142" i="138" s="1"/>
  <c r="R142" i="138"/>
  <c r="E141" i="138"/>
  <c r="T141" i="138"/>
  <c r="R141" i="138"/>
  <c r="R140" i="138"/>
  <c r="T140" i="138" s="1"/>
  <c r="E140" i="138" s="1"/>
  <c r="R139" i="138"/>
  <c r="T139" i="138" s="1"/>
  <c r="E139" i="138" s="1"/>
  <c r="R138" i="138"/>
  <c r="T138" i="138" s="1"/>
  <c r="E138" i="138" s="1"/>
  <c r="R137" i="138"/>
  <c r="T137" i="138" s="1"/>
  <c r="E137" i="138" s="1"/>
  <c r="T136" i="138"/>
  <c r="E136" i="138" s="1"/>
  <c r="R136" i="138"/>
  <c r="T135" i="138"/>
  <c r="E135" i="138" s="1"/>
  <c r="R135" i="138"/>
  <c r="T134" i="138"/>
  <c r="E134" i="138" s="1"/>
  <c r="R134" i="138"/>
  <c r="E133" i="138"/>
  <c r="T133" i="138"/>
  <c r="R133" i="138"/>
  <c r="R132" i="138"/>
  <c r="T132" i="138" s="1"/>
  <c r="E132" i="138" s="1"/>
  <c r="E131" i="138"/>
  <c r="R131" i="138"/>
  <c r="T131" i="138" s="1"/>
  <c r="R130" i="138"/>
  <c r="T130" i="138" s="1"/>
  <c r="E130" i="138" s="1"/>
  <c r="R129" i="138"/>
  <c r="T129" i="138" s="1"/>
  <c r="E129" i="138" s="1"/>
  <c r="T128" i="138"/>
  <c r="E128" i="138" s="1"/>
  <c r="R128" i="138"/>
  <c r="T127" i="138"/>
  <c r="E127" i="138" s="1"/>
  <c r="R127" i="138"/>
  <c r="T126" i="138"/>
  <c r="E126" i="138" s="1"/>
  <c r="R126" i="138"/>
  <c r="E125" i="138"/>
  <c r="T125" i="138"/>
  <c r="R125" i="138"/>
  <c r="R124" i="138"/>
  <c r="T124" i="138" s="1"/>
  <c r="E124" i="138" s="1"/>
  <c r="R123" i="138"/>
  <c r="T123" i="138" s="1"/>
  <c r="E123" i="138" s="1"/>
  <c r="R122" i="138"/>
  <c r="T122" i="138" s="1"/>
  <c r="E122" i="138" s="1"/>
  <c r="R121" i="138"/>
  <c r="T121" i="138" s="1"/>
  <c r="E121" i="138" s="1"/>
  <c r="T120" i="138"/>
  <c r="E120" i="138" s="1"/>
  <c r="R120" i="138"/>
  <c r="T119" i="138"/>
  <c r="E119" i="138" s="1"/>
  <c r="R119" i="138"/>
  <c r="T118" i="138"/>
  <c r="E118" i="138" s="1"/>
  <c r="R118" i="138"/>
  <c r="E117" i="138"/>
  <c r="T117" i="138"/>
  <c r="R117" i="138"/>
  <c r="R116" i="138"/>
  <c r="T116" i="138" s="1"/>
  <c r="E116" i="138" s="1"/>
  <c r="R115" i="138"/>
  <c r="T115" i="138" s="1"/>
  <c r="E115" i="138" s="1"/>
  <c r="R114" i="138"/>
  <c r="T114" i="138" s="1"/>
  <c r="E114" i="138" s="1"/>
  <c r="R113" i="138"/>
  <c r="T113" i="138" s="1"/>
  <c r="E113" i="138" s="1"/>
  <c r="T112" i="138"/>
  <c r="E112" i="138" s="1"/>
  <c r="R112" i="138"/>
  <c r="T111" i="138"/>
  <c r="E111" i="138" s="1"/>
  <c r="R111" i="138"/>
  <c r="T110" i="138"/>
  <c r="E110" i="138" s="1"/>
  <c r="R110" i="138"/>
  <c r="E109" i="138"/>
  <c r="T109" i="138"/>
  <c r="R109" i="138"/>
  <c r="R108" i="138"/>
  <c r="T108" i="138" s="1"/>
  <c r="E108" i="138" s="1"/>
  <c r="R107" i="138"/>
  <c r="T107" i="138" s="1"/>
  <c r="E107" i="138" s="1"/>
  <c r="R106" i="138"/>
  <c r="T106" i="138" s="1"/>
  <c r="E106" i="138" s="1"/>
  <c r="R105" i="138"/>
  <c r="T105" i="138" s="1"/>
  <c r="E105" i="138" s="1"/>
  <c r="T104" i="138"/>
  <c r="E104" i="138" s="1"/>
  <c r="R104" i="138"/>
  <c r="T103" i="138"/>
  <c r="E103" i="138" s="1"/>
  <c r="R103" i="138"/>
  <c r="T102" i="138"/>
  <c r="E102" i="138" s="1"/>
  <c r="R102" i="138"/>
  <c r="E101" i="138"/>
  <c r="T101" i="138"/>
  <c r="R101" i="138"/>
  <c r="R100" i="138"/>
  <c r="T100" i="138" s="1"/>
  <c r="E100" i="138" s="1"/>
  <c r="E99" i="138"/>
  <c r="R99" i="138"/>
  <c r="T99" i="138" s="1"/>
  <c r="R98" i="138"/>
  <c r="T98" i="138" s="1"/>
  <c r="E98" i="138" s="1"/>
  <c r="R97" i="138"/>
  <c r="T97" i="138" s="1"/>
  <c r="E97" i="138" s="1"/>
  <c r="T96" i="138"/>
  <c r="E96" i="138" s="1"/>
  <c r="R96" i="138"/>
  <c r="T95" i="138"/>
  <c r="E95" i="138" s="1"/>
  <c r="R95" i="138"/>
  <c r="T94" i="138"/>
  <c r="E94" i="138" s="1"/>
  <c r="R94" i="138"/>
  <c r="E93" i="138"/>
  <c r="T93" i="138"/>
  <c r="R93" i="138"/>
  <c r="R92" i="138"/>
  <c r="T92" i="138" s="1"/>
  <c r="E92" i="138" s="1"/>
  <c r="R91" i="138"/>
  <c r="T91" i="138" s="1"/>
  <c r="E91" i="138" s="1"/>
  <c r="R90" i="138"/>
  <c r="T90" i="138" s="1"/>
  <c r="E90" i="138" s="1"/>
  <c r="R89" i="138"/>
  <c r="T89" i="138" s="1"/>
  <c r="E89" i="138" s="1"/>
  <c r="T88" i="138"/>
  <c r="E88" i="138" s="1"/>
  <c r="R88" i="138"/>
  <c r="T87" i="138"/>
  <c r="E87" i="138" s="1"/>
  <c r="R87" i="138"/>
  <c r="T86" i="138"/>
  <c r="E86" i="138" s="1"/>
  <c r="R86" i="138"/>
  <c r="E85" i="138"/>
  <c r="T85" i="138"/>
  <c r="R85" i="138"/>
  <c r="R84" i="138"/>
  <c r="T84" i="138" s="1"/>
  <c r="E84" i="138" s="1"/>
  <c r="R83" i="138"/>
  <c r="T83" i="138" s="1"/>
  <c r="E83" i="138" s="1"/>
  <c r="R82" i="138"/>
  <c r="T82" i="138" s="1"/>
  <c r="E82" i="138" s="1"/>
  <c r="R81" i="138"/>
  <c r="T81" i="138" s="1"/>
  <c r="E81" i="138" s="1"/>
  <c r="T80" i="138"/>
  <c r="E80" i="138" s="1"/>
  <c r="R80" i="138"/>
  <c r="T79" i="138"/>
  <c r="E79" i="138" s="1"/>
  <c r="R79" i="138"/>
  <c r="T78" i="138"/>
  <c r="E78" i="138" s="1"/>
  <c r="R78" i="138"/>
  <c r="E77" i="138"/>
  <c r="T77" i="138"/>
  <c r="R77" i="138"/>
  <c r="R76" i="138"/>
  <c r="T76" i="138" s="1"/>
  <c r="E76" i="138" s="1"/>
  <c r="R75" i="138"/>
  <c r="T75" i="138" s="1"/>
  <c r="E75" i="138" s="1"/>
  <c r="R74" i="138"/>
  <c r="T74" i="138" s="1"/>
  <c r="E74" i="138" s="1"/>
  <c r="R73" i="138"/>
  <c r="T73" i="138" s="1"/>
  <c r="E73" i="138" s="1"/>
  <c r="T72" i="138"/>
  <c r="E72" i="138" s="1"/>
  <c r="R72" i="138"/>
  <c r="T71" i="138"/>
  <c r="E71" i="138" s="1"/>
  <c r="R71" i="138"/>
  <c r="T70" i="138"/>
  <c r="E70" i="138" s="1"/>
  <c r="R70" i="138"/>
  <c r="E69" i="138"/>
  <c r="T69" i="138"/>
  <c r="R69" i="138"/>
  <c r="R68" i="138"/>
  <c r="T68" i="138" s="1"/>
  <c r="E68" i="138" s="1"/>
  <c r="E67" i="138"/>
  <c r="R67" i="138"/>
  <c r="T67" i="138" s="1"/>
  <c r="R66" i="138"/>
  <c r="T66" i="138" s="1"/>
  <c r="E66" i="138" s="1"/>
  <c r="R65" i="138"/>
  <c r="T65" i="138" s="1"/>
  <c r="E65" i="138" s="1"/>
  <c r="T64" i="138"/>
  <c r="E64" i="138" s="1"/>
  <c r="R64" i="138"/>
  <c r="T63" i="138"/>
  <c r="E63" i="138" s="1"/>
  <c r="R63" i="138"/>
  <c r="T62" i="138"/>
  <c r="E62" i="138" s="1"/>
  <c r="R62" i="138"/>
  <c r="E61" i="138"/>
  <c r="T61" i="138"/>
  <c r="R61" i="138"/>
  <c r="R60" i="138"/>
  <c r="T60" i="138" s="1"/>
  <c r="E60" i="138" s="1"/>
  <c r="R59" i="138"/>
  <c r="T59" i="138" s="1"/>
  <c r="E59" i="138" s="1"/>
  <c r="R58" i="138"/>
  <c r="T58" i="138" s="1"/>
  <c r="E58" i="138" s="1"/>
  <c r="R57" i="138"/>
  <c r="T57" i="138" s="1"/>
  <c r="E57" i="138" s="1"/>
  <c r="T56" i="138"/>
  <c r="E56" i="138" s="1"/>
  <c r="R56" i="138"/>
  <c r="T55" i="138"/>
  <c r="E55" i="138" s="1"/>
  <c r="R55" i="138"/>
  <c r="T54" i="138"/>
  <c r="E54" i="138" s="1"/>
  <c r="R54" i="138"/>
  <c r="E53" i="138"/>
  <c r="T53" i="138"/>
  <c r="R53" i="138"/>
  <c r="R52" i="138"/>
  <c r="T52" i="138" s="1"/>
  <c r="E52" i="138" s="1"/>
  <c r="R51" i="138"/>
  <c r="T51" i="138" s="1"/>
  <c r="E51" i="138" s="1"/>
  <c r="R50" i="138"/>
  <c r="T50" i="138" s="1"/>
  <c r="E50" i="138" s="1"/>
  <c r="R49" i="138"/>
  <c r="T49" i="138" s="1"/>
  <c r="E49" i="138" s="1"/>
  <c r="T48" i="138"/>
  <c r="E48" i="138" s="1"/>
  <c r="R48" i="138"/>
  <c r="T47" i="138"/>
  <c r="E47" i="138" s="1"/>
  <c r="R47" i="138"/>
  <c r="T46" i="138"/>
  <c r="E46" i="138" s="1"/>
  <c r="R46" i="138"/>
  <c r="E45" i="138"/>
  <c r="T45" i="138"/>
  <c r="R45" i="138"/>
  <c r="R44" i="138"/>
  <c r="T44" i="138" s="1"/>
  <c r="E44" i="138" s="1"/>
  <c r="R43" i="138"/>
  <c r="T43" i="138" s="1"/>
  <c r="E43" i="138" s="1"/>
  <c r="R42" i="138"/>
  <c r="T42" i="138" s="1"/>
  <c r="E42" i="138" s="1"/>
  <c r="R41" i="138"/>
  <c r="T41" i="138" s="1"/>
  <c r="E41" i="138" s="1"/>
  <c r="T40" i="138"/>
  <c r="E40" i="138" s="1"/>
  <c r="R40" i="138"/>
  <c r="T39" i="138"/>
  <c r="E39" i="138" s="1"/>
  <c r="R39" i="138"/>
  <c r="T38" i="138"/>
  <c r="E38" i="138" s="1"/>
  <c r="R38" i="138"/>
  <c r="E37" i="138"/>
  <c r="T37" i="138"/>
  <c r="R37" i="138"/>
  <c r="R36" i="138"/>
  <c r="T36" i="138" s="1"/>
  <c r="E36" i="138" s="1"/>
  <c r="E35" i="138"/>
  <c r="R35" i="138"/>
  <c r="T35" i="138" s="1"/>
  <c r="R34" i="138"/>
  <c r="T34" i="138" s="1"/>
  <c r="E34" i="138" s="1"/>
  <c r="R33" i="138"/>
  <c r="T33" i="138" s="1"/>
  <c r="E33" i="138" s="1"/>
  <c r="T32" i="138"/>
  <c r="E32" i="138" s="1"/>
  <c r="R32" i="138"/>
  <c r="T31" i="138"/>
  <c r="E31" i="138" s="1"/>
  <c r="R31" i="138"/>
  <c r="T30" i="138"/>
  <c r="E30" i="138" s="1"/>
  <c r="R30" i="138"/>
  <c r="E29" i="138"/>
  <c r="T29" i="138"/>
  <c r="R29" i="138"/>
  <c r="R28" i="138"/>
  <c r="T28" i="138" s="1"/>
  <c r="E28" i="138" s="1"/>
  <c r="R27" i="138"/>
  <c r="T27" i="138" s="1"/>
  <c r="E27" i="138" s="1"/>
  <c r="R26" i="138"/>
  <c r="T26" i="138" s="1"/>
  <c r="E26" i="138" s="1"/>
  <c r="R25" i="138"/>
  <c r="T25" i="138" s="1"/>
  <c r="E25" i="138" s="1"/>
  <c r="T24" i="138"/>
  <c r="E24" i="138" s="1"/>
  <c r="R24" i="138"/>
  <c r="T23" i="138"/>
  <c r="E23" i="138" s="1"/>
  <c r="R23" i="138"/>
  <c r="T22" i="138"/>
  <c r="E22" i="138" s="1"/>
  <c r="R22" i="138"/>
  <c r="E21" i="138"/>
  <c r="T21" i="138"/>
  <c r="R21" i="138"/>
  <c r="R20" i="138"/>
  <c r="T20" i="138" s="1"/>
  <c r="E20" i="138" s="1"/>
  <c r="R19" i="138"/>
  <c r="T19" i="138" s="1"/>
  <c r="E19" i="138" s="1"/>
  <c r="R18" i="138"/>
  <c r="T18" i="138" s="1"/>
  <c r="E18" i="138" s="1"/>
  <c r="R17" i="138"/>
  <c r="T17" i="138" s="1"/>
  <c r="E17" i="138" s="1"/>
  <c r="T16" i="138"/>
  <c r="E16" i="138" s="1"/>
  <c r="R16" i="138"/>
  <c r="T15" i="138"/>
  <c r="E15" i="138" s="1"/>
  <c r="R15" i="138"/>
  <c r="T14" i="138"/>
  <c r="E14" i="138" s="1"/>
  <c r="R14" i="138"/>
  <c r="E13" i="138"/>
  <c r="T13" i="138"/>
  <c r="R13" i="138"/>
  <c r="R12" i="138"/>
  <c r="T12" i="138" s="1"/>
  <c r="E12" i="138" s="1"/>
  <c r="R11" i="138"/>
  <c r="T11" i="138" s="1"/>
  <c r="E11" i="138" s="1"/>
  <c r="R10" i="138"/>
  <c r="E333" i="138"/>
  <c r="T333" i="138"/>
  <c r="S333" i="138" s="1"/>
  <c r="R333" i="138"/>
  <c r="R8" i="137"/>
  <c r="Q99" i="137"/>
  <c r="Q126" i="137"/>
  <c r="T335" i="137"/>
  <c r="U335" i="137" s="1"/>
  <c r="E335" i="137" s="1"/>
  <c r="P2" i="137"/>
  <c r="P3" i="137" s="1"/>
  <c r="O2" i="137"/>
  <c r="O3" i="137" s="1"/>
  <c r="N2" i="137"/>
  <c r="N3" i="137" s="1"/>
  <c r="M2" i="137"/>
  <c r="M3" i="137" s="1"/>
  <c r="L2" i="137"/>
  <c r="L3" i="137" s="1"/>
  <c r="K2" i="137"/>
  <c r="K3" i="137" s="1"/>
  <c r="J2" i="137"/>
  <c r="J3" i="137" s="1"/>
  <c r="I2" i="137"/>
  <c r="I3" i="137" s="1"/>
  <c r="H2" i="137"/>
  <c r="H3" i="137" s="1"/>
  <c r="G2" i="137"/>
  <c r="G3" i="137" s="1"/>
  <c r="S335" i="137"/>
  <c r="T334" i="137"/>
  <c r="S334" i="137"/>
  <c r="T333" i="137"/>
  <c r="U333" i="137" s="1"/>
  <c r="E333" i="137" s="1"/>
  <c r="S333" i="137"/>
  <c r="S332" i="137"/>
  <c r="S331" i="137"/>
  <c r="S330" i="137"/>
  <c r="S329" i="137"/>
  <c r="S328" i="137"/>
  <c r="S327" i="137"/>
  <c r="S326" i="137"/>
  <c r="S325" i="137"/>
  <c r="S324" i="137"/>
  <c r="S323" i="137"/>
  <c r="S322" i="137"/>
  <c r="S321" i="137"/>
  <c r="S320" i="137"/>
  <c r="S319" i="137"/>
  <c r="S318" i="137"/>
  <c r="S317" i="137"/>
  <c r="S316" i="137"/>
  <c r="S315" i="137"/>
  <c r="S314" i="137"/>
  <c r="S313" i="137"/>
  <c r="S312" i="137"/>
  <c r="S311" i="137"/>
  <c r="S310" i="137"/>
  <c r="S309" i="137"/>
  <c r="S308" i="137"/>
  <c r="S307" i="137"/>
  <c r="S306" i="137"/>
  <c r="S305" i="137"/>
  <c r="S304" i="137"/>
  <c r="S303" i="137"/>
  <c r="S302" i="137"/>
  <c r="S301" i="137"/>
  <c r="S300" i="137"/>
  <c r="S299" i="137"/>
  <c r="S298" i="137"/>
  <c r="S297" i="137"/>
  <c r="S296" i="137"/>
  <c r="S295" i="137"/>
  <c r="S294" i="137"/>
  <c r="S293" i="137"/>
  <c r="S292" i="137"/>
  <c r="S291" i="137"/>
  <c r="S290" i="137"/>
  <c r="S289" i="137"/>
  <c r="S288" i="137"/>
  <c r="S287" i="137"/>
  <c r="S286" i="137"/>
  <c r="S285" i="137"/>
  <c r="S284" i="137"/>
  <c r="S283" i="137"/>
  <c r="S282" i="137"/>
  <c r="S281" i="137"/>
  <c r="S280" i="137"/>
  <c r="S279" i="137"/>
  <c r="S278" i="137"/>
  <c r="S277" i="137"/>
  <c r="S276" i="137"/>
  <c r="S275" i="137"/>
  <c r="S274" i="137"/>
  <c r="S273" i="137"/>
  <c r="S272" i="137"/>
  <c r="S271" i="137"/>
  <c r="S270" i="137"/>
  <c r="S269" i="137"/>
  <c r="S268" i="137"/>
  <c r="S267" i="137"/>
  <c r="S266" i="137"/>
  <c r="S265" i="137"/>
  <c r="S264" i="137"/>
  <c r="S263" i="137"/>
  <c r="S262" i="137"/>
  <c r="S261" i="137"/>
  <c r="S260" i="137"/>
  <c r="S259" i="137"/>
  <c r="S258" i="137"/>
  <c r="S257" i="137"/>
  <c r="S256" i="137"/>
  <c r="S255" i="137"/>
  <c r="S254" i="137"/>
  <c r="S253" i="137"/>
  <c r="S252" i="137"/>
  <c r="S251" i="137"/>
  <c r="S250" i="137"/>
  <c r="S249" i="137"/>
  <c r="S248" i="137"/>
  <c r="S247" i="137"/>
  <c r="S246" i="137"/>
  <c r="S245" i="137"/>
  <c r="S244" i="137"/>
  <c r="S243" i="137"/>
  <c r="S242" i="137"/>
  <c r="S241" i="137"/>
  <c r="S240" i="137"/>
  <c r="S239" i="137"/>
  <c r="S238" i="137"/>
  <c r="S237" i="137"/>
  <c r="S236" i="137"/>
  <c r="S235" i="137"/>
  <c r="S234" i="137"/>
  <c r="S233" i="137"/>
  <c r="S232" i="137"/>
  <c r="S231" i="137"/>
  <c r="S230" i="137"/>
  <c r="S229" i="137"/>
  <c r="S228" i="137"/>
  <c r="S227" i="137"/>
  <c r="S226" i="137"/>
  <c r="S225" i="137"/>
  <c r="S224" i="137"/>
  <c r="S223" i="137"/>
  <c r="S222" i="137"/>
  <c r="S221" i="137"/>
  <c r="S220" i="137"/>
  <c r="S219" i="137"/>
  <c r="S218" i="137"/>
  <c r="S217" i="137"/>
  <c r="S216" i="137"/>
  <c r="S215" i="137"/>
  <c r="S214" i="137"/>
  <c r="S213" i="137"/>
  <c r="S212" i="137"/>
  <c r="S211" i="137"/>
  <c r="S210" i="137"/>
  <c r="S209" i="137"/>
  <c r="S208" i="137"/>
  <c r="S207" i="137"/>
  <c r="S206" i="137"/>
  <c r="S205" i="137"/>
  <c r="S204" i="137"/>
  <c r="S203" i="137"/>
  <c r="S202" i="137"/>
  <c r="S201" i="137"/>
  <c r="S200" i="137"/>
  <c r="S199" i="137"/>
  <c r="S198" i="137"/>
  <c r="S197" i="137"/>
  <c r="S196" i="137"/>
  <c r="S195" i="137"/>
  <c r="S194" i="137"/>
  <c r="S193" i="137"/>
  <c r="S192" i="137"/>
  <c r="S191" i="137"/>
  <c r="S190" i="137"/>
  <c r="S189" i="137"/>
  <c r="S188" i="137"/>
  <c r="S187" i="137"/>
  <c r="S186" i="137"/>
  <c r="S185" i="137"/>
  <c r="S184" i="137"/>
  <c r="S183" i="137"/>
  <c r="S182" i="137"/>
  <c r="S181" i="137"/>
  <c r="S180" i="137"/>
  <c r="S179" i="137"/>
  <c r="S178" i="137"/>
  <c r="S177" i="137"/>
  <c r="S176" i="137"/>
  <c r="S175" i="137"/>
  <c r="S174" i="137"/>
  <c r="S173" i="137"/>
  <c r="S172" i="137"/>
  <c r="S171" i="137"/>
  <c r="S170" i="137"/>
  <c r="S169" i="137"/>
  <c r="S168" i="137"/>
  <c r="S167" i="137"/>
  <c r="S166" i="137"/>
  <c r="S165" i="137"/>
  <c r="S164" i="137"/>
  <c r="S163" i="137"/>
  <c r="S162" i="137"/>
  <c r="S161" i="137"/>
  <c r="S160" i="137"/>
  <c r="S159" i="137"/>
  <c r="S158" i="137"/>
  <c r="S157" i="137"/>
  <c r="S156" i="137"/>
  <c r="S155" i="137"/>
  <c r="S154" i="137"/>
  <c r="S153" i="137"/>
  <c r="S152" i="137"/>
  <c r="S151" i="137"/>
  <c r="S150" i="137"/>
  <c r="S149" i="137"/>
  <c r="S148" i="137"/>
  <c r="S147" i="137"/>
  <c r="S146" i="137"/>
  <c r="S145" i="137"/>
  <c r="S144" i="137"/>
  <c r="S143" i="137"/>
  <c r="S142" i="137"/>
  <c r="S141" i="137"/>
  <c r="S140" i="137"/>
  <c r="S139" i="137"/>
  <c r="S138" i="137"/>
  <c r="S137" i="137"/>
  <c r="S136" i="137"/>
  <c r="S135" i="137"/>
  <c r="S134" i="137"/>
  <c r="S133" i="137"/>
  <c r="S132" i="137"/>
  <c r="S131" i="137"/>
  <c r="S130" i="137"/>
  <c r="S129" i="137"/>
  <c r="S128" i="137"/>
  <c r="S127" i="137"/>
  <c r="S126" i="137"/>
  <c r="S125" i="137"/>
  <c r="S124" i="137"/>
  <c r="S123" i="137"/>
  <c r="S122" i="137"/>
  <c r="S121" i="137"/>
  <c r="S120" i="137"/>
  <c r="S119" i="137"/>
  <c r="S118" i="137"/>
  <c r="S117" i="137"/>
  <c r="S116" i="137"/>
  <c r="S115" i="137"/>
  <c r="S114" i="137"/>
  <c r="S113" i="137"/>
  <c r="S112" i="137"/>
  <c r="S111" i="137"/>
  <c r="S110" i="137"/>
  <c r="S109" i="137"/>
  <c r="S108" i="137"/>
  <c r="S107" i="137"/>
  <c r="S106" i="137"/>
  <c r="S105" i="137"/>
  <c r="S104" i="137"/>
  <c r="S103" i="137"/>
  <c r="S102" i="137"/>
  <c r="S101" i="137"/>
  <c r="S100" i="137"/>
  <c r="S99" i="137"/>
  <c r="S98" i="137"/>
  <c r="S97" i="137"/>
  <c r="S96" i="137"/>
  <c r="S95" i="137"/>
  <c r="S94" i="137"/>
  <c r="S93" i="137"/>
  <c r="S92" i="137"/>
  <c r="S91" i="137"/>
  <c r="S90" i="137"/>
  <c r="S89" i="137"/>
  <c r="S88" i="137"/>
  <c r="S87" i="137"/>
  <c r="S86" i="137"/>
  <c r="S85" i="137"/>
  <c r="S84" i="137"/>
  <c r="S83" i="137"/>
  <c r="S82" i="137"/>
  <c r="S81" i="137"/>
  <c r="S80" i="137"/>
  <c r="S79" i="137"/>
  <c r="S78" i="137"/>
  <c r="S77" i="137"/>
  <c r="S76" i="137"/>
  <c r="S75" i="137"/>
  <c r="S74" i="137"/>
  <c r="S73" i="137"/>
  <c r="S72" i="137"/>
  <c r="S71" i="137"/>
  <c r="S70" i="137"/>
  <c r="S69" i="137"/>
  <c r="S68" i="137"/>
  <c r="S67" i="137"/>
  <c r="S66" i="137"/>
  <c r="S65" i="137"/>
  <c r="S64" i="137"/>
  <c r="S63" i="137"/>
  <c r="S62" i="137"/>
  <c r="S61" i="137"/>
  <c r="S60" i="137"/>
  <c r="S59" i="137"/>
  <c r="S58" i="137"/>
  <c r="S57" i="137"/>
  <c r="S56" i="137"/>
  <c r="S55" i="137"/>
  <c r="S54" i="137"/>
  <c r="S53" i="137"/>
  <c r="S52" i="137"/>
  <c r="S51" i="137"/>
  <c r="S50" i="137"/>
  <c r="S49" i="137"/>
  <c r="S48" i="137"/>
  <c r="S47" i="137"/>
  <c r="S46" i="137"/>
  <c r="S45" i="137"/>
  <c r="S44" i="137"/>
  <c r="S43" i="137"/>
  <c r="S42" i="137"/>
  <c r="S41" i="137"/>
  <c r="S40" i="137"/>
  <c r="S39" i="137"/>
  <c r="S38" i="137"/>
  <c r="S37" i="137"/>
  <c r="S36" i="137"/>
  <c r="S35" i="137"/>
  <c r="S34" i="137"/>
  <c r="S33" i="137"/>
  <c r="S32" i="137"/>
  <c r="S31" i="137"/>
  <c r="S30" i="137"/>
  <c r="S29" i="137"/>
  <c r="S28" i="137"/>
  <c r="S27" i="137"/>
  <c r="S26" i="137"/>
  <c r="S25" i="137"/>
  <c r="S24" i="137"/>
  <c r="S23" i="137"/>
  <c r="S22" i="137"/>
  <c r="S21" i="137"/>
  <c r="S20" i="137"/>
  <c r="S19" i="137"/>
  <c r="S18" i="137"/>
  <c r="S17" i="137"/>
  <c r="S16" i="137"/>
  <c r="S15" i="137"/>
  <c r="S14" i="137"/>
  <c r="S13" i="137"/>
  <c r="S12" i="137"/>
  <c r="S11" i="137"/>
  <c r="S10" i="137"/>
  <c r="U339" i="137"/>
  <c r="E339" i="137" s="1"/>
  <c r="S339" i="137"/>
  <c r="E338" i="137"/>
  <c r="U338" i="137"/>
  <c r="T338" i="137" s="1"/>
  <c r="S338" i="137"/>
  <c r="R8" i="136"/>
  <c r="P2" i="136"/>
  <c r="P3" i="136" s="1"/>
  <c r="O2" i="136"/>
  <c r="O3" i="136" s="1"/>
  <c r="N2" i="136"/>
  <c r="N3" i="136" s="1"/>
  <c r="M2" i="136"/>
  <c r="M3" i="136" s="1"/>
  <c r="L2" i="136"/>
  <c r="L3" i="136" s="1"/>
  <c r="K2" i="136"/>
  <c r="K3" i="136" s="1"/>
  <c r="J3" i="136"/>
  <c r="J2" i="136"/>
  <c r="I2" i="136"/>
  <c r="I3" i="136" s="1"/>
  <c r="H2" i="136"/>
  <c r="H3" i="136" s="1"/>
  <c r="G2" i="136"/>
  <c r="G3" i="136" s="1"/>
  <c r="Q335" i="136"/>
  <c r="S335" i="136" s="1"/>
  <c r="E335" i="136" s="1"/>
  <c r="S334" i="136"/>
  <c r="E334" i="136" s="1"/>
  <c r="Q334" i="136"/>
  <c r="S333" i="136"/>
  <c r="E333" i="136" s="1"/>
  <c r="Q333" i="136"/>
  <c r="S332" i="136"/>
  <c r="E332" i="136" s="1"/>
  <c r="Q332" i="136"/>
  <c r="Q331" i="136"/>
  <c r="S331" i="136" s="1"/>
  <c r="E331" i="136" s="1"/>
  <c r="E330" i="136"/>
  <c r="S330" i="136"/>
  <c r="Q330" i="136"/>
  <c r="Q329" i="136"/>
  <c r="S329" i="136" s="1"/>
  <c r="E329" i="136" s="1"/>
  <c r="Q328" i="136"/>
  <c r="S328" i="136" s="1"/>
  <c r="E328" i="136" s="1"/>
  <c r="Q327" i="136"/>
  <c r="S327" i="136" s="1"/>
  <c r="E327" i="136" s="1"/>
  <c r="S326" i="136"/>
  <c r="E326" i="136" s="1"/>
  <c r="Q326" i="136"/>
  <c r="S325" i="136"/>
  <c r="E325" i="136" s="1"/>
  <c r="Q325" i="136"/>
  <c r="S324" i="136"/>
  <c r="E324" i="136" s="1"/>
  <c r="Q324" i="136"/>
  <c r="Q323" i="136"/>
  <c r="S323" i="136" s="1"/>
  <c r="E323" i="136" s="1"/>
  <c r="E322" i="136"/>
  <c r="S322" i="136"/>
  <c r="Q322" i="136"/>
  <c r="Q321" i="136"/>
  <c r="S321" i="136" s="1"/>
  <c r="E321" i="136" s="1"/>
  <c r="Q320" i="136"/>
  <c r="S320" i="136" s="1"/>
  <c r="E320" i="136" s="1"/>
  <c r="Q319" i="136"/>
  <c r="S319" i="136" s="1"/>
  <c r="E319" i="136" s="1"/>
  <c r="S318" i="136"/>
  <c r="E318" i="136" s="1"/>
  <c r="Q318" i="136"/>
  <c r="S317" i="136"/>
  <c r="E317" i="136" s="1"/>
  <c r="Q317" i="136"/>
  <c r="S316" i="136"/>
  <c r="E316" i="136" s="1"/>
  <c r="Q316" i="136"/>
  <c r="Q315" i="136"/>
  <c r="S315" i="136" s="1"/>
  <c r="E315" i="136" s="1"/>
  <c r="E314" i="136"/>
  <c r="S314" i="136"/>
  <c r="Q314" i="136"/>
  <c r="Q313" i="136"/>
  <c r="S313" i="136" s="1"/>
  <c r="E313" i="136" s="1"/>
  <c r="Q312" i="136"/>
  <c r="S312" i="136" s="1"/>
  <c r="E312" i="136" s="1"/>
  <c r="Q311" i="136"/>
  <c r="S311" i="136" s="1"/>
  <c r="E311" i="136" s="1"/>
  <c r="S310" i="136"/>
  <c r="E310" i="136" s="1"/>
  <c r="Q310" i="136"/>
  <c r="S309" i="136"/>
  <c r="E309" i="136" s="1"/>
  <c r="Q309" i="136"/>
  <c r="S308" i="136"/>
  <c r="E308" i="136" s="1"/>
  <c r="Q308" i="136"/>
  <c r="Q307" i="136"/>
  <c r="S307" i="136" s="1"/>
  <c r="E307" i="136" s="1"/>
  <c r="E306" i="136"/>
  <c r="S306" i="136"/>
  <c r="Q306" i="136"/>
  <c r="Q305" i="136"/>
  <c r="S305" i="136" s="1"/>
  <c r="E305" i="136" s="1"/>
  <c r="Q304" i="136"/>
  <c r="S304" i="136" s="1"/>
  <c r="E304" i="136" s="1"/>
  <c r="Q303" i="136"/>
  <c r="S303" i="136" s="1"/>
  <c r="E303" i="136" s="1"/>
  <c r="S302" i="136"/>
  <c r="E302" i="136" s="1"/>
  <c r="Q302" i="136"/>
  <c r="S301" i="136"/>
  <c r="E301" i="136" s="1"/>
  <c r="Q301" i="136"/>
  <c r="S300" i="136"/>
  <c r="E300" i="136" s="1"/>
  <c r="Q300" i="136"/>
  <c r="Q299" i="136"/>
  <c r="S299" i="136" s="1"/>
  <c r="E299" i="136" s="1"/>
  <c r="E298" i="136"/>
  <c r="S298" i="136"/>
  <c r="Q298" i="136"/>
  <c r="Q297" i="136"/>
  <c r="S297" i="136" s="1"/>
  <c r="E297" i="136" s="1"/>
  <c r="Q296" i="136"/>
  <c r="S296" i="136" s="1"/>
  <c r="E296" i="136" s="1"/>
  <c r="Q295" i="136"/>
  <c r="S295" i="136" s="1"/>
  <c r="E295" i="136" s="1"/>
  <c r="S294" i="136"/>
  <c r="E294" i="136" s="1"/>
  <c r="Q294" i="136"/>
  <c r="S293" i="136"/>
  <c r="E293" i="136" s="1"/>
  <c r="Q293" i="136"/>
  <c r="S292" i="136"/>
  <c r="E292" i="136" s="1"/>
  <c r="Q292" i="136"/>
  <c r="Q291" i="136"/>
  <c r="S291" i="136" s="1"/>
  <c r="E291" i="136" s="1"/>
  <c r="E290" i="136"/>
  <c r="S290" i="136"/>
  <c r="Q290" i="136"/>
  <c r="Q289" i="136"/>
  <c r="S289" i="136" s="1"/>
  <c r="E289" i="136" s="1"/>
  <c r="Q288" i="136"/>
  <c r="S288" i="136" s="1"/>
  <c r="E288" i="136" s="1"/>
  <c r="Q287" i="136"/>
  <c r="S287" i="136" s="1"/>
  <c r="E287" i="136" s="1"/>
  <c r="S286" i="136"/>
  <c r="E286" i="136" s="1"/>
  <c r="Q286" i="136"/>
  <c r="S285" i="136"/>
  <c r="E285" i="136" s="1"/>
  <c r="Q285" i="136"/>
  <c r="S284" i="136"/>
  <c r="E284" i="136" s="1"/>
  <c r="Q284" i="136"/>
  <c r="Q283" i="136"/>
  <c r="S283" i="136" s="1"/>
  <c r="E283" i="136" s="1"/>
  <c r="E282" i="136"/>
  <c r="S282" i="136"/>
  <c r="Q282" i="136"/>
  <c r="Q281" i="136"/>
  <c r="S281" i="136" s="1"/>
  <c r="E281" i="136" s="1"/>
  <c r="Q280" i="136"/>
  <c r="S280" i="136" s="1"/>
  <c r="E280" i="136" s="1"/>
  <c r="Q279" i="136"/>
  <c r="S279" i="136" s="1"/>
  <c r="E279" i="136" s="1"/>
  <c r="S278" i="136"/>
  <c r="E278" i="136" s="1"/>
  <c r="Q278" i="136"/>
  <c r="S277" i="136"/>
  <c r="E277" i="136" s="1"/>
  <c r="Q277" i="136"/>
  <c r="S276" i="136"/>
  <c r="E276" i="136" s="1"/>
  <c r="Q276" i="136"/>
  <c r="Q275" i="136"/>
  <c r="S275" i="136" s="1"/>
  <c r="E275" i="136" s="1"/>
  <c r="E274" i="136"/>
  <c r="S274" i="136"/>
  <c r="Q274" i="136"/>
  <c r="Q273" i="136"/>
  <c r="S273" i="136" s="1"/>
  <c r="E273" i="136" s="1"/>
  <c r="Q272" i="136"/>
  <c r="S272" i="136" s="1"/>
  <c r="E272" i="136" s="1"/>
  <c r="Q271" i="136"/>
  <c r="S271" i="136" s="1"/>
  <c r="E271" i="136" s="1"/>
  <c r="S270" i="136"/>
  <c r="E270" i="136" s="1"/>
  <c r="Q270" i="136"/>
  <c r="S269" i="136"/>
  <c r="E269" i="136" s="1"/>
  <c r="Q269" i="136"/>
  <c r="S268" i="136"/>
  <c r="E268" i="136" s="1"/>
  <c r="Q268" i="136"/>
  <c r="Q267" i="136"/>
  <c r="S267" i="136" s="1"/>
  <c r="E267" i="136" s="1"/>
  <c r="E266" i="136"/>
  <c r="S266" i="136"/>
  <c r="Q266" i="136"/>
  <c r="Q265" i="136"/>
  <c r="S265" i="136" s="1"/>
  <c r="E265" i="136" s="1"/>
  <c r="Q264" i="136"/>
  <c r="S264" i="136" s="1"/>
  <c r="E264" i="136" s="1"/>
  <c r="Q263" i="136"/>
  <c r="S263" i="136" s="1"/>
  <c r="E263" i="136" s="1"/>
  <c r="S262" i="136"/>
  <c r="E262" i="136" s="1"/>
  <c r="Q262" i="136"/>
  <c r="S261" i="136"/>
  <c r="E261" i="136" s="1"/>
  <c r="Q261" i="136"/>
  <c r="S260" i="136"/>
  <c r="E260" i="136" s="1"/>
  <c r="Q260" i="136"/>
  <c r="Q259" i="136"/>
  <c r="S259" i="136" s="1"/>
  <c r="E259" i="136" s="1"/>
  <c r="E258" i="136"/>
  <c r="S258" i="136"/>
  <c r="Q258" i="136"/>
  <c r="Q257" i="136"/>
  <c r="S257" i="136" s="1"/>
  <c r="E257" i="136" s="1"/>
  <c r="Q256" i="136"/>
  <c r="S256" i="136" s="1"/>
  <c r="E256" i="136" s="1"/>
  <c r="Q255" i="136"/>
  <c r="S255" i="136" s="1"/>
  <c r="E255" i="136" s="1"/>
  <c r="S254" i="136"/>
  <c r="E254" i="136" s="1"/>
  <c r="Q254" i="136"/>
  <c r="S253" i="136"/>
  <c r="E253" i="136" s="1"/>
  <c r="Q253" i="136"/>
  <c r="S252" i="136"/>
  <c r="E252" i="136" s="1"/>
  <c r="Q252" i="136"/>
  <c r="Q251" i="136"/>
  <c r="S251" i="136" s="1"/>
  <c r="E251" i="136" s="1"/>
  <c r="E250" i="136"/>
  <c r="S250" i="136"/>
  <c r="Q250" i="136"/>
  <c r="Q249" i="136"/>
  <c r="S249" i="136" s="1"/>
  <c r="E249" i="136" s="1"/>
  <c r="Q248" i="136"/>
  <c r="S248" i="136" s="1"/>
  <c r="E248" i="136" s="1"/>
  <c r="Q247" i="136"/>
  <c r="S247" i="136" s="1"/>
  <c r="E247" i="136" s="1"/>
  <c r="S246" i="136"/>
  <c r="E246" i="136" s="1"/>
  <c r="Q246" i="136"/>
  <c r="S245" i="136"/>
  <c r="E245" i="136" s="1"/>
  <c r="Q245" i="136"/>
  <c r="S244" i="136"/>
  <c r="E244" i="136" s="1"/>
  <c r="Q244" i="136"/>
  <c r="Q243" i="136"/>
  <c r="S243" i="136" s="1"/>
  <c r="E243" i="136" s="1"/>
  <c r="E242" i="136"/>
  <c r="S242" i="136"/>
  <c r="Q242" i="136"/>
  <c r="Q241" i="136"/>
  <c r="S241" i="136" s="1"/>
  <c r="E241" i="136" s="1"/>
  <c r="Q240" i="136"/>
  <c r="S240" i="136" s="1"/>
  <c r="E240" i="136" s="1"/>
  <c r="Q239" i="136"/>
  <c r="S239" i="136" s="1"/>
  <c r="E239" i="136" s="1"/>
  <c r="S238" i="136"/>
  <c r="E238" i="136" s="1"/>
  <c r="Q238" i="136"/>
  <c r="S237" i="136"/>
  <c r="E237" i="136" s="1"/>
  <c r="Q237" i="136"/>
  <c r="S236" i="136"/>
  <c r="E236" i="136" s="1"/>
  <c r="Q236" i="136"/>
  <c r="Q235" i="136"/>
  <c r="S235" i="136" s="1"/>
  <c r="E235" i="136" s="1"/>
  <c r="E234" i="136"/>
  <c r="S234" i="136"/>
  <c r="Q234" i="136"/>
  <c r="Q233" i="136"/>
  <c r="S233" i="136" s="1"/>
  <c r="E233" i="136" s="1"/>
  <c r="Q232" i="136"/>
  <c r="S232" i="136" s="1"/>
  <c r="E232" i="136" s="1"/>
  <c r="Q231" i="136"/>
  <c r="S231" i="136" s="1"/>
  <c r="E231" i="136" s="1"/>
  <c r="S230" i="136"/>
  <c r="E230" i="136" s="1"/>
  <c r="Q230" i="136"/>
  <c r="S229" i="136"/>
  <c r="E229" i="136" s="1"/>
  <c r="Q229" i="136"/>
  <c r="S228" i="136"/>
  <c r="E228" i="136" s="1"/>
  <c r="Q228" i="136"/>
  <c r="Q227" i="136"/>
  <c r="S227" i="136" s="1"/>
  <c r="E227" i="136" s="1"/>
  <c r="E226" i="136"/>
  <c r="S226" i="136"/>
  <c r="Q226" i="136"/>
  <c r="Q225" i="136"/>
  <c r="S225" i="136" s="1"/>
  <c r="E225" i="136" s="1"/>
  <c r="Q224" i="136"/>
  <c r="S224" i="136" s="1"/>
  <c r="E224" i="136" s="1"/>
  <c r="Q223" i="136"/>
  <c r="S223" i="136" s="1"/>
  <c r="E223" i="136" s="1"/>
  <c r="S222" i="136"/>
  <c r="E222" i="136" s="1"/>
  <c r="Q222" i="136"/>
  <c r="S221" i="136"/>
  <c r="E221" i="136" s="1"/>
  <c r="Q221" i="136"/>
  <c r="S220" i="136"/>
  <c r="E220" i="136" s="1"/>
  <c r="Q220" i="136"/>
  <c r="Q219" i="136"/>
  <c r="S219" i="136" s="1"/>
  <c r="E219" i="136" s="1"/>
  <c r="E218" i="136"/>
  <c r="S218" i="136"/>
  <c r="Q218" i="136"/>
  <c r="Q217" i="136"/>
  <c r="S217" i="136" s="1"/>
  <c r="E217" i="136" s="1"/>
  <c r="Q216" i="136"/>
  <c r="S216" i="136" s="1"/>
  <c r="E216" i="136" s="1"/>
  <c r="Q215" i="136"/>
  <c r="S215" i="136" s="1"/>
  <c r="E215" i="136" s="1"/>
  <c r="S214" i="136"/>
  <c r="E214" i="136" s="1"/>
  <c r="Q214" i="136"/>
  <c r="S213" i="136"/>
  <c r="E213" i="136" s="1"/>
  <c r="Q213" i="136"/>
  <c r="S212" i="136"/>
  <c r="E212" i="136" s="1"/>
  <c r="Q212" i="136"/>
  <c r="Q211" i="136"/>
  <c r="S211" i="136" s="1"/>
  <c r="E211" i="136" s="1"/>
  <c r="E210" i="136"/>
  <c r="S210" i="136"/>
  <c r="Q210" i="136"/>
  <c r="Q209" i="136"/>
  <c r="S209" i="136" s="1"/>
  <c r="E209" i="136" s="1"/>
  <c r="Q208" i="136"/>
  <c r="S208" i="136" s="1"/>
  <c r="E208" i="136" s="1"/>
  <c r="Q207" i="136"/>
  <c r="S207" i="136" s="1"/>
  <c r="E207" i="136" s="1"/>
  <c r="S206" i="136"/>
  <c r="E206" i="136" s="1"/>
  <c r="Q206" i="136"/>
  <c r="S205" i="136"/>
  <c r="E205" i="136" s="1"/>
  <c r="Q205" i="136"/>
  <c r="S204" i="136"/>
  <c r="E204" i="136" s="1"/>
  <c r="Q204" i="136"/>
  <c r="Q203" i="136"/>
  <c r="S203" i="136" s="1"/>
  <c r="E203" i="136" s="1"/>
  <c r="E202" i="136"/>
  <c r="S202" i="136"/>
  <c r="Q202" i="136"/>
  <c r="Q201" i="136"/>
  <c r="S201" i="136" s="1"/>
  <c r="E201" i="136" s="1"/>
  <c r="Q200" i="136"/>
  <c r="S200" i="136" s="1"/>
  <c r="E200" i="136" s="1"/>
  <c r="Q199" i="136"/>
  <c r="S199" i="136" s="1"/>
  <c r="E199" i="136" s="1"/>
  <c r="S198" i="136"/>
  <c r="E198" i="136" s="1"/>
  <c r="Q198" i="136"/>
  <c r="S197" i="136"/>
  <c r="E197" i="136" s="1"/>
  <c r="Q197" i="136"/>
  <c r="S196" i="136"/>
  <c r="E196" i="136" s="1"/>
  <c r="Q196" i="136"/>
  <c r="Q195" i="136"/>
  <c r="S195" i="136" s="1"/>
  <c r="E195" i="136" s="1"/>
  <c r="E194" i="136"/>
  <c r="S194" i="136"/>
  <c r="Q194" i="136"/>
  <c r="Q193" i="136"/>
  <c r="S193" i="136" s="1"/>
  <c r="E193" i="136" s="1"/>
  <c r="Q192" i="136"/>
  <c r="S192" i="136" s="1"/>
  <c r="E192" i="136" s="1"/>
  <c r="Q191" i="136"/>
  <c r="S191" i="136" s="1"/>
  <c r="E191" i="136" s="1"/>
  <c r="S190" i="136"/>
  <c r="E190" i="136" s="1"/>
  <c r="Q190" i="136"/>
  <c r="S189" i="136"/>
  <c r="E189" i="136" s="1"/>
  <c r="Q189" i="136"/>
  <c r="S188" i="136"/>
  <c r="E188" i="136" s="1"/>
  <c r="Q188" i="136"/>
  <c r="Q187" i="136"/>
  <c r="S187" i="136" s="1"/>
  <c r="E187" i="136" s="1"/>
  <c r="E186" i="136"/>
  <c r="S186" i="136"/>
  <c r="Q186" i="136"/>
  <c r="Q185" i="136"/>
  <c r="S185" i="136" s="1"/>
  <c r="E185" i="136" s="1"/>
  <c r="Q184" i="136"/>
  <c r="S184" i="136" s="1"/>
  <c r="E184" i="136" s="1"/>
  <c r="Q183" i="136"/>
  <c r="S183" i="136" s="1"/>
  <c r="E183" i="136" s="1"/>
  <c r="S182" i="136"/>
  <c r="E182" i="136" s="1"/>
  <c r="Q182" i="136"/>
  <c r="S181" i="136"/>
  <c r="E181" i="136" s="1"/>
  <c r="Q181" i="136"/>
  <c r="S180" i="136"/>
  <c r="E180" i="136" s="1"/>
  <c r="Q180" i="136"/>
  <c r="Q179" i="136"/>
  <c r="S179" i="136" s="1"/>
  <c r="E179" i="136" s="1"/>
  <c r="E178" i="136"/>
  <c r="S178" i="136"/>
  <c r="Q178" i="136"/>
  <c r="Q177" i="136"/>
  <c r="S177" i="136" s="1"/>
  <c r="E177" i="136" s="1"/>
  <c r="Q176" i="136"/>
  <c r="S176" i="136" s="1"/>
  <c r="E176" i="136" s="1"/>
  <c r="Q175" i="136"/>
  <c r="S175" i="136" s="1"/>
  <c r="E175" i="136" s="1"/>
  <c r="S174" i="136"/>
  <c r="E174" i="136" s="1"/>
  <c r="Q174" i="136"/>
  <c r="S173" i="136"/>
  <c r="E173" i="136" s="1"/>
  <c r="Q173" i="136"/>
  <c r="S172" i="136"/>
  <c r="E172" i="136" s="1"/>
  <c r="Q172" i="136"/>
  <c r="Q171" i="136"/>
  <c r="S171" i="136" s="1"/>
  <c r="E171" i="136" s="1"/>
  <c r="E170" i="136"/>
  <c r="S170" i="136"/>
  <c r="Q170" i="136"/>
  <c r="Q169" i="136"/>
  <c r="S169" i="136" s="1"/>
  <c r="E169" i="136" s="1"/>
  <c r="Q168" i="136"/>
  <c r="S168" i="136" s="1"/>
  <c r="E168" i="136" s="1"/>
  <c r="Q167" i="136"/>
  <c r="S167" i="136" s="1"/>
  <c r="E167" i="136" s="1"/>
  <c r="S166" i="136"/>
  <c r="E166" i="136" s="1"/>
  <c r="Q166" i="136"/>
  <c r="S165" i="136"/>
  <c r="E165" i="136" s="1"/>
  <c r="Q165" i="136"/>
  <c r="S164" i="136"/>
  <c r="E164" i="136" s="1"/>
  <c r="Q164" i="136"/>
  <c r="Q163" i="136"/>
  <c r="S163" i="136" s="1"/>
  <c r="E163" i="136" s="1"/>
  <c r="E162" i="136"/>
  <c r="S162" i="136"/>
  <c r="Q162" i="136"/>
  <c r="Q161" i="136"/>
  <c r="S161" i="136" s="1"/>
  <c r="E161" i="136" s="1"/>
  <c r="Q160" i="136"/>
  <c r="S160" i="136" s="1"/>
  <c r="E160" i="136" s="1"/>
  <c r="Q159" i="136"/>
  <c r="S159" i="136" s="1"/>
  <c r="E159" i="136" s="1"/>
  <c r="S158" i="136"/>
  <c r="E158" i="136" s="1"/>
  <c r="Q158" i="136"/>
  <c r="S157" i="136"/>
  <c r="E157" i="136" s="1"/>
  <c r="Q157" i="136"/>
  <c r="S156" i="136"/>
  <c r="E156" i="136" s="1"/>
  <c r="Q156" i="136"/>
  <c r="Q155" i="136"/>
  <c r="S155" i="136" s="1"/>
  <c r="E155" i="136" s="1"/>
  <c r="E154" i="136"/>
  <c r="S154" i="136"/>
  <c r="Q154" i="136"/>
  <c r="Q153" i="136"/>
  <c r="S153" i="136" s="1"/>
  <c r="E153" i="136" s="1"/>
  <c r="Q152" i="136"/>
  <c r="S152" i="136" s="1"/>
  <c r="E152" i="136" s="1"/>
  <c r="Q151" i="136"/>
  <c r="S151" i="136" s="1"/>
  <c r="E151" i="136" s="1"/>
  <c r="S150" i="136"/>
  <c r="E150" i="136" s="1"/>
  <c r="Q150" i="136"/>
  <c r="S149" i="136"/>
  <c r="E149" i="136" s="1"/>
  <c r="Q149" i="136"/>
  <c r="S148" i="136"/>
  <c r="E148" i="136" s="1"/>
  <c r="Q148" i="136"/>
  <c r="Q147" i="136"/>
  <c r="S147" i="136" s="1"/>
  <c r="E147" i="136" s="1"/>
  <c r="E146" i="136"/>
  <c r="S146" i="136"/>
  <c r="Q146" i="136"/>
  <c r="Q145" i="136"/>
  <c r="S145" i="136" s="1"/>
  <c r="E145" i="136" s="1"/>
  <c r="Q144" i="136"/>
  <c r="S144" i="136" s="1"/>
  <c r="E144" i="136" s="1"/>
  <c r="Q143" i="136"/>
  <c r="S143" i="136" s="1"/>
  <c r="E143" i="136" s="1"/>
  <c r="S142" i="136"/>
  <c r="E142" i="136" s="1"/>
  <c r="Q142" i="136"/>
  <c r="S141" i="136"/>
  <c r="E141" i="136" s="1"/>
  <c r="Q141" i="136"/>
  <c r="S140" i="136"/>
  <c r="E140" i="136" s="1"/>
  <c r="Q140" i="136"/>
  <c r="Q139" i="136"/>
  <c r="S139" i="136" s="1"/>
  <c r="E139" i="136" s="1"/>
  <c r="E138" i="136"/>
  <c r="S138" i="136"/>
  <c r="Q138" i="136"/>
  <c r="Q137" i="136"/>
  <c r="S137" i="136" s="1"/>
  <c r="E137" i="136" s="1"/>
  <c r="Q136" i="136"/>
  <c r="S136" i="136" s="1"/>
  <c r="E136" i="136" s="1"/>
  <c r="Q135" i="136"/>
  <c r="S135" i="136" s="1"/>
  <c r="E135" i="136" s="1"/>
  <c r="S134" i="136"/>
  <c r="E134" i="136" s="1"/>
  <c r="Q134" i="136"/>
  <c r="S133" i="136"/>
  <c r="E133" i="136" s="1"/>
  <c r="Q133" i="136"/>
  <c r="S132" i="136"/>
  <c r="E132" i="136" s="1"/>
  <c r="Q132" i="136"/>
  <c r="Q131" i="136"/>
  <c r="S131" i="136" s="1"/>
  <c r="E131" i="136" s="1"/>
  <c r="E130" i="136"/>
  <c r="S130" i="136"/>
  <c r="Q130" i="136"/>
  <c r="Q129" i="136"/>
  <c r="S129" i="136" s="1"/>
  <c r="E129" i="136" s="1"/>
  <c r="Q128" i="136"/>
  <c r="S128" i="136" s="1"/>
  <c r="E128" i="136" s="1"/>
  <c r="Q127" i="136"/>
  <c r="S127" i="136" s="1"/>
  <c r="E127" i="136" s="1"/>
  <c r="S126" i="136"/>
  <c r="E126" i="136" s="1"/>
  <c r="Q126" i="136"/>
  <c r="S125" i="136"/>
  <c r="E125" i="136" s="1"/>
  <c r="Q125" i="136"/>
  <c r="S124" i="136"/>
  <c r="E124" i="136" s="1"/>
  <c r="Q124" i="136"/>
  <c r="Q123" i="136"/>
  <c r="S123" i="136" s="1"/>
  <c r="E123" i="136" s="1"/>
  <c r="E122" i="136"/>
  <c r="S122" i="136"/>
  <c r="Q122" i="136"/>
  <c r="Q121" i="136"/>
  <c r="S121" i="136" s="1"/>
  <c r="E121" i="136" s="1"/>
  <c r="Q120" i="136"/>
  <c r="S120" i="136" s="1"/>
  <c r="E120" i="136" s="1"/>
  <c r="Q119" i="136"/>
  <c r="S119" i="136" s="1"/>
  <c r="E119" i="136" s="1"/>
  <c r="S118" i="136"/>
  <c r="E118" i="136" s="1"/>
  <c r="Q118" i="136"/>
  <c r="S117" i="136"/>
  <c r="E117" i="136" s="1"/>
  <c r="Q117" i="136"/>
  <c r="S116" i="136"/>
  <c r="E116" i="136" s="1"/>
  <c r="Q116" i="136"/>
  <c r="Q115" i="136"/>
  <c r="S115" i="136" s="1"/>
  <c r="E115" i="136" s="1"/>
  <c r="E114" i="136"/>
  <c r="S114" i="136"/>
  <c r="Q114" i="136"/>
  <c r="Q113" i="136"/>
  <c r="S113" i="136" s="1"/>
  <c r="E113" i="136" s="1"/>
  <c r="Q112" i="136"/>
  <c r="S112" i="136" s="1"/>
  <c r="E112" i="136" s="1"/>
  <c r="Q111" i="136"/>
  <c r="S111" i="136" s="1"/>
  <c r="E111" i="136" s="1"/>
  <c r="S110" i="136"/>
  <c r="E110" i="136" s="1"/>
  <c r="Q110" i="136"/>
  <c r="S109" i="136"/>
  <c r="E109" i="136" s="1"/>
  <c r="Q109" i="136"/>
  <c r="S108" i="136"/>
  <c r="E108" i="136" s="1"/>
  <c r="Q108" i="136"/>
  <c r="Q107" i="136"/>
  <c r="S107" i="136" s="1"/>
  <c r="E107" i="136" s="1"/>
  <c r="E106" i="136"/>
  <c r="S106" i="136"/>
  <c r="Q106" i="136"/>
  <c r="Q105" i="136"/>
  <c r="S105" i="136" s="1"/>
  <c r="E105" i="136" s="1"/>
  <c r="Q104" i="136"/>
  <c r="S104" i="136" s="1"/>
  <c r="E104" i="136" s="1"/>
  <c r="Q103" i="136"/>
  <c r="S103" i="136" s="1"/>
  <c r="E103" i="136" s="1"/>
  <c r="S102" i="136"/>
  <c r="E102" i="136" s="1"/>
  <c r="Q102" i="136"/>
  <c r="S101" i="136"/>
  <c r="E101" i="136" s="1"/>
  <c r="Q101" i="136"/>
  <c r="S100" i="136"/>
  <c r="E100" i="136" s="1"/>
  <c r="Q100" i="136"/>
  <c r="Q99" i="136"/>
  <c r="S99" i="136" s="1"/>
  <c r="E99" i="136" s="1"/>
  <c r="E98" i="136"/>
  <c r="S98" i="136"/>
  <c r="Q98" i="136"/>
  <c r="Q97" i="136"/>
  <c r="S97" i="136" s="1"/>
  <c r="E97" i="136" s="1"/>
  <c r="Q96" i="136"/>
  <c r="S96" i="136" s="1"/>
  <c r="E96" i="136" s="1"/>
  <c r="Q95" i="136"/>
  <c r="S95" i="136" s="1"/>
  <c r="E95" i="136" s="1"/>
  <c r="S94" i="136"/>
  <c r="E94" i="136" s="1"/>
  <c r="Q94" i="136"/>
  <c r="S93" i="136"/>
  <c r="E93" i="136" s="1"/>
  <c r="Q93" i="136"/>
  <c r="S92" i="136"/>
  <c r="E92" i="136" s="1"/>
  <c r="Q92" i="136"/>
  <c r="Q91" i="136"/>
  <c r="S91" i="136" s="1"/>
  <c r="E91" i="136" s="1"/>
  <c r="E90" i="136"/>
  <c r="S90" i="136"/>
  <c r="Q90" i="136"/>
  <c r="Q89" i="136"/>
  <c r="S89" i="136" s="1"/>
  <c r="E89" i="136" s="1"/>
  <c r="Q88" i="136"/>
  <c r="S88" i="136" s="1"/>
  <c r="E88" i="136" s="1"/>
  <c r="Q87" i="136"/>
  <c r="S87" i="136" s="1"/>
  <c r="E87" i="136" s="1"/>
  <c r="S86" i="136"/>
  <c r="E86" i="136" s="1"/>
  <c r="Q86" i="136"/>
  <c r="S85" i="136"/>
  <c r="E85" i="136" s="1"/>
  <c r="Q85" i="136"/>
  <c r="S84" i="136"/>
  <c r="E84" i="136" s="1"/>
  <c r="Q84" i="136"/>
  <c r="Q83" i="136"/>
  <c r="S83" i="136" s="1"/>
  <c r="E83" i="136" s="1"/>
  <c r="E82" i="136"/>
  <c r="S82" i="136"/>
  <c r="Q82" i="136"/>
  <c r="Q81" i="136"/>
  <c r="S81" i="136" s="1"/>
  <c r="E81" i="136" s="1"/>
  <c r="Q80" i="136"/>
  <c r="S80" i="136" s="1"/>
  <c r="E80" i="136" s="1"/>
  <c r="Q79" i="136"/>
  <c r="S79" i="136" s="1"/>
  <c r="E79" i="136" s="1"/>
  <c r="S78" i="136"/>
  <c r="E78" i="136" s="1"/>
  <c r="Q78" i="136"/>
  <c r="S77" i="136"/>
  <c r="E77" i="136" s="1"/>
  <c r="Q77" i="136"/>
  <c r="S76" i="136"/>
  <c r="E76" i="136" s="1"/>
  <c r="Q76" i="136"/>
  <c r="Q75" i="136"/>
  <c r="S75" i="136" s="1"/>
  <c r="E75" i="136" s="1"/>
  <c r="E74" i="136"/>
  <c r="S74" i="136"/>
  <c r="Q74" i="136"/>
  <c r="Q73" i="136"/>
  <c r="S73" i="136" s="1"/>
  <c r="E73" i="136" s="1"/>
  <c r="Q72" i="136"/>
  <c r="S72" i="136" s="1"/>
  <c r="E72" i="136" s="1"/>
  <c r="Q71" i="136"/>
  <c r="S71" i="136" s="1"/>
  <c r="E71" i="136" s="1"/>
  <c r="S70" i="136"/>
  <c r="E70" i="136" s="1"/>
  <c r="Q70" i="136"/>
  <c r="S69" i="136"/>
  <c r="E69" i="136" s="1"/>
  <c r="Q69" i="136"/>
  <c r="S68" i="136"/>
  <c r="E68" i="136" s="1"/>
  <c r="Q68" i="136"/>
  <c r="Q67" i="136"/>
  <c r="S67" i="136" s="1"/>
  <c r="E67" i="136" s="1"/>
  <c r="E66" i="136"/>
  <c r="S66" i="136"/>
  <c r="Q66" i="136"/>
  <c r="Q65" i="136"/>
  <c r="S65" i="136" s="1"/>
  <c r="E65" i="136" s="1"/>
  <c r="Q64" i="136"/>
  <c r="S64" i="136" s="1"/>
  <c r="E64" i="136" s="1"/>
  <c r="Q63" i="136"/>
  <c r="S63" i="136" s="1"/>
  <c r="E63" i="136" s="1"/>
  <c r="S62" i="136"/>
  <c r="E62" i="136" s="1"/>
  <c r="Q62" i="136"/>
  <c r="S61" i="136"/>
  <c r="E61" i="136" s="1"/>
  <c r="Q61" i="136"/>
  <c r="S60" i="136"/>
  <c r="E60" i="136" s="1"/>
  <c r="Q60" i="136"/>
  <c r="Q59" i="136"/>
  <c r="S59" i="136" s="1"/>
  <c r="E59" i="136" s="1"/>
  <c r="E58" i="136"/>
  <c r="S58" i="136"/>
  <c r="Q58" i="136"/>
  <c r="Q57" i="136"/>
  <c r="S57" i="136" s="1"/>
  <c r="E57" i="136" s="1"/>
  <c r="Q56" i="136"/>
  <c r="S56" i="136" s="1"/>
  <c r="E56" i="136" s="1"/>
  <c r="Q55" i="136"/>
  <c r="S55" i="136" s="1"/>
  <c r="E55" i="136" s="1"/>
  <c r="S54" i="136"/>
  <c r="E54" i="136" s="1"/>
  <c r="Q54" i="136"/>
  <c r="S53" i="136"/>
  <c r="E53" i="136" s="1"/>
  <c r="Q53" i="136"/>
  <c r="S52" i="136"/>
  <c r="E52" i="136" s="1"/>
  <c r="Q52" i="136"/>
  <c r="Q51" i="136"/>
  <c r="S51" i="136" s="1"/>
  <c r="E51" i="136" s="1"/>
  <c r="E50" i="136"/>
  <c r="S50" i="136"/>
  <c r="Q50" i="136"/>
  <c r="Q49" i="136"/>
  <c r="S49" i="136" s="1"/>
  <c r="E49" i="136" s="1"/>
  <c r="Q48" i="136"/>
  <c r="S48" i="136" s="1"/>
  <c r="E48" i="136" s="1"/>
  <c r="Q47" i="136"/>
  <c r="S47" i="136" s="1"/>
  <c r="E47" i="136" s="1"/>
  <c r="S46" i="136"/>
  <c r="E46" i="136" s="1"/>
  <c r="Q46" i="136"/>
  <c r="S45" i="136"/>
  <c r="E45" i="136" s="1"/>
  <c r="Q45" i="136"/>
  <c r="S44" i="136"/>
  <c r="E44" i="136" s="1"/>
  <c r="Q44" i="136"/>
  <c r="Q43" i="136"/>
  <c r="S43" i="136" s="1"/>
  <c r="E43" i="136" s="1"/>
  <c r="E42" i="136"/>
  <c r="S42" i="136"/>
  <c r="Q42" i="136"/>
  <c r="Q41" i="136"/>
  <c r="S41" i="136" s="1"/>
  <c r="E41" i="136" s="1"/>
  <c r="Q40" i="136"/>
  <c r="S40" i="136" s="1"/>
  <c r="E40" i="136" s="1"/>
  <c r="Q39" i="136"/>
  <c r="S39" i="136" s="1"/>
  <c r="E39" i="136" s="1"/>
  <c r="S38" i="136"/>
  <c r="E38" i="136" s="1"/>
  <c r="Q38" i="136"/>
  <c r="S37" i="136"/>
  <c r="E37" i="136" s="1"/>
  <c r="Q37" i="136"/>
  <c r="S36" i="136"/>
  <c r="E36" i="136" s="1"/>
  <c r="Q36" i="136"/>
  <c r="Q35" i="136"/>
  <c r="S35" i="136" s="1"/>
  <c r="E35" i="136" s="1"/>
  <c r="E34" i="136"/>
  <c r="S34" i="136"/>
  <c r="Q34" i="136"/>
  <c r="Q33" i="136"/>
  <c r="S33" i="136" s="1"/>
  <c r="E33" i="136" s="1"/>
  <c r="Q32" i="136"/>
  <c r="S32" i="136" s="1"/>
  <c r="E32" i="136" s="1"/>
  <c r="Q31" i="136"/>
  <c r="S31" i="136" s="1"/>
  <c r="E31" i="136" s="1"/>
  <c r="S30" i="136"/>
  <c r="E30" i="136" s="1"/>
  <c r="Q30" i="136"/>
  <c r="S29" i="136"/>
  <c r="E29" i="136" s="1"/>
  <c r="Q29" i="136"/>
  <c r="S28" i="136"/>
  <c r="E28" i="136" s="1"/>
  <c r="Q28" i="136"/>
  <c r="Q27" i="136"/>
  <c r="S27" i="136" s="1"/>
  <c r="E27" i="136" s="1"/>
  <c r="E26" i="136"/>
  <c r="S26" i="136"/>
  <c r="Q26" i="136"/>
  <c r="Q25" i="136"/>
  <c r="S25" i="136" s="1"/>
  <c r="E25" i="136" s="1"/>
  <c r="Q24" i="136"/>
  <c r="S24" i="136" s="1"/>
  <c r="E24" i="136" s="1"/>
  <c r="Q23" i="136"/>
  <c r="S23" i="136" s="1"/>
  <c r="E23" i="136" s="1"/>
  <c r="S22" i="136"/>
  <c r="E22" i="136" s="1"/>
  <c r="Q22" i="136"/>
  <c r="S21" i="136"/>
  <c r="E21" i="136" s="1"/>
  <c r="Q21" i="136"/>
  <c r="S20" i="136"/>
  <c r="E20" i="136" s="1"/>
  <c r="Q20" i="136"/>
  <c r="Q19" i="136"/>
  <c r="S19" i="136" s="1"/>
  <c r="E19" i="136" s="1"/>
  <c r="E18" i="136"/>
  <c r="S18" i="136"/>
  <c r="Q18" i="136"/>
  <c r="Q17" i="136"/>
  <c r="S17" i="136" s="1"/>
  <c r="E17" i="136" s="1"/>
  <c r="Q16" i="136"/>
  <c r="S16" i="136" s="1"/>
  <c r="E16" i="136" s="1"/>
  <c r="Q15" i="136"/>
  <c r="S15" i="136" s="1"/>
  <c r="E15" i="136" s="1"/>
  <c r="S14" i="136"/>
  <c r="E14" i="136" s="1"/>
  <c r="Q14" i="136"/>
  <c r="S13" i="136"/>
  <c r="E13" i="136" s="1"/>
  <c r="Q13" i="136"/>
  <c r="S12" i="136"/>
  <c r="E12" i="136" s="1"/>
  <c r="Q12" i="136"/>
  <c r="Q11" i="136"/>
  <c r="S11" i="136" s="1"/>
  <c r="E11" i="136" s="1"/>
  <c r="E10" i="136"/>
  <c r="S10" i="136"/>
  <c r="S8" i="136" s="1"/>
  <c r="Q10" i="136"/>
  <c r="Q8" i="136" s="1"/>
  <c r="S339" i="136"/>
  <c r="E339" i="136" s="1"/>
  <c r="Q339" i="136"/>
  <c r="S338" i="136"/>
  <c r="E338" i="136" s="1"/>
  <c r="Q338" i="136"/>
  <c r="T6" i="135"/>
  <c r="R8" i="135"/>
  <c r="S8" i="135"/>
  <c r="T8" i="135"/>
  <c r="Q8" i="135"/>
  <c r="P2" i="135"/>
  <c r="P3" i="135" s="1"/>
  <c r="O2" i="135"/>
  <c r="O3" i="135" s="1"/>
  <c r="N2" i="135"/>
  <c r="N3" i="135" s="1"/>
  <c r="M2" i="135"/>
  <c r="M3" i="135" s="1"/>
  <c r="L2" i="135"/>
  <c r="L3" i="135" s="1"/>
  <c r="K2" i="135"/>
  <c r="K3" i="135" s="1"/>
  <c r="J3" i="135"/>
  <c r="J2" i="135"/>
  <c r="I2" i="135"/>
  <c r="I3" i="135" s="1"/>
  <c r="H2" i="135"/>
  <c r="H3" i="135" s="1"/>
  <c r="G2" i="135"/>
  <c r="G3" i="135" s="1"/>
  <c r="V339" i="135"/>
  <c r="U339" i="135"/>
  <c r="W339" i="135" s="1"/>
  <c r="E339" i="135" s="1"/>
  <c r="V338" i="135"/>
  <c r="U338" i="135"/>
  <c r="W338" i="135" s="1"/>
  <c r="E338" i="135" s="1"/>
  <c r="V337" i="135"/>
  <c r="U337" i="135"/>
  <c r="W337" i="135" s="1"/>
  <c r="E337" i="135" s="1"/>
  <c r="V336" i="135"/>
  <c r="U336" i="135"/>
  <c r="W336" i="135" s="1"/>
  <c r="E336" i="135" s="1"/>
  <c r="V335" i="135"/>
  <c r="U335" i="135"/>
  <c r="W335" i="135" s="1"/>
  <c r="E335" i="135" s="1"/>
  <c r="E334" i="135"/>
  <c r="V334" i="135"/>
  <c r="U334" i="135"/>
  <c r="W334" i="135" s="1"/>
  <c r="V333" i="135"/>
  <c r="U333" i="135"/>
  <c r="E332" i="135"/>
  <c r="V332" i="135"/>
  <c r="U332" i="135"/>
  <c r="W332" i="135" s="1"/>
  <c r="V331" i="135"/>
  <c r="U331" i="135"/>
  <c r="V330" i="135"/>
  <c r="U330" i="135"/>
  <c r="E329" i="135"/>
  <c r="V329" i="135"/>
  <c r="U329" i="135"/>
  <c r="W329" i="135" s="1"/>
  <c r="E328" i="135"/>
  <c r="V328" i="135"/>
  <c r="U328" i="135"/>
  <c r="W328" i="135" s="1"/>
  <c r="V327" i="135"/>
  <c r="U327" i="135"/>
  <c r="W327" i="135" s="1"/>
  <c r="E327" i="135" s="1"/>
  <c r="V326" i="135"/>
  <c r="U326" i="135"/>
  <c r="W326" i="135" s="1"/>
  <c r="E326" i="135" s="1"/>
  <c r="V325" i="135"/>
  <c r="U325" i="135"/>
  <c r="V324" i="135"/>
  <c r="U324" i="135"/>
  <c r="V323" i="135"/>
  <c r="U323" i="135"/>
  <c r="V322" i="135"/>
  <c r="U322" i="135"/>
  <c r="E321" i="135"/>
  <c r="V321" i="135"/>
  <c r="U321" i="135"/>
  <c r="W321" i="135" s="1"/>
  <c r="E320" i="135"/>
  <c r="V320" i="135"/>
  <c r="U320" i="135"/>
  <c r="W320" i="135" s="1"/>
  <c r="V319" i="135"/>
  <c r="U319" i="135"/>
  <c r="W319" i="135" s="1"/>
  <c r="E319" i="135" s="1"/>
  <c r="V318" i="135"/>
  <c r="U318" i="135"/>
  <c r="W318" i="135" s="1"/>
  <c r="E318" i="135" s="1"/>
  <c r="V317" i="135"/>
  <c r="U317" i="135"/>
  <c r="V316" i="135"/>
  <c r="U316" i="135"/>
  <c r="V315" i="135"/>
  <c r="U315" i="135"/>
  <c r="E314" i="135"/>
  <c r="V314" i="135"/>
  <c r="U314" i="135"/>
  <c r="W314" i="135" s="1"/>
  <c r="E313" i="135"/>
  <c r="V313" i="135"/>
  <c r="U313" i="135"/>
  <c r="W313" i="135" s="1"/>
  <c r="E312" i="135"/>
  <c r="V312" i="135"/>
  <c r="U312" i="135"/>
  <c r="W312" i="135" s="1"/>
  <c r="V311" i="135"/>
  <c r="U311" i="135"/>
  <c r="W311" i="135" s="1"/>
  <c r="E311" i="135" s="1"/>
  <c r="V310" i="135"/>
  <c r="U310" i="135"/>
  <c r="W310" i="135" s="1"/>
  <c r="E310" i="135" s="1"/>
  <c r="V309" i="135"/>
  <c r="U309" i="135"/>
  <c r="V308" i="135"/>
  <c r="U308" i="135"/>
  <c r="V307" i="135"/>
  <c r="U307" i="135"/>
  <c r="E306" i="135"/>
  <c r="V306" i="135"/>
  <c r="U306" i="135"/>
  <c r="W306" i="135" s="1"/>
  <c r="E305" i="135"/>
  <c r="V305" i="135"/>
  <c r="U305" i="135"/>
  <c r="W305" i="135" s="1"/>
  <c r="E304" i="135"/>
  <c r="V304" i="135"/>
  <c r="U304" i="135"/>
  <c r="W304" i="135" s="1"/>
  <c r="V303" i="135"/>
  <c r="U303" i="135"/>
  <c r="W303" i="135" s="1"/>
  <c r="E303" i="135" s="1"/>
  <c r="V302" i="135"/>
  <c r="U302" i="135"/>
  <c r="W302" i="135" s="1"/>
  <c r="E302" i="135" s="1"/>
  <c r="V301" i="135"/>
  <c r="U301" i="135"/>
  <c r="V300" i="135"/>
  <c r="U300" i="135"/>
  <c r="V299" i="135"/>
  <c r="U299" i="135"/>
  <c r="E298" i="135"/>
  <c r="V298" i="135"/>
  <c r="U298" i="135"/>
  <c r="W298" i="135" s="1"/>
  <c r="E297" i="135"/>
  <c r="V297" i="135"/>
  <c r="U297" i="135"/>
  <c r="W297" i="135" s="1"/>
  <c r="E296" i="135"/>
  <c r="V296" i="135"/>
  <c r="U296" i="135"/>
  <c r="W296" i="135" s="1"/>
  <c r="V295" i="135"/>
  <c r="U295" i="135"/>
  <c r="W295" i="135" s="1"/>
  <c r="E295" i="135" s="1"/>
  <c r="V294" i="135"/>
  <c r="U294" i="135"/>
  <c r="W294" i="135" s="1"/>
  <c r="E294" i="135" s="1"/>
  <c r="V293" i="135"/>
  <c r="U293" i="135"/>
  <c r="V292" i="135"/>
  <c r="U292" i="135"/>
  <c r="V291" i="135"/>
  <c r="U291" i="135"/>
  <c r="E290" i="135"/>
  <c r="V290" i="135"/>
  <c r="U290" i="135"/>
  <c r="W290" i="135" s="1"/>
  <c r="E289" i="135"/>
  <c r="V289" i="135"/>
  <c r="U289" i="135"/>
  <c r="W289" i="135" s="1"/>
  <c r="E288" i="135"/>
  <c r="V288" i="135"/>
  <c r="U288" i="135"/>
  <c r="W288" i="135" s="1"/>
  <c r="V287" i="135"/>
  <c r="U287" i="135"/>
  <c r="W287" i="135" s="1"/>
  <c r="E287" i="135" s="1"/>
  <c r="V286" i="135"/>
  <c r="U286" i="135"/>
  <c r="W286" i="135" s="1"/>
  <c r="E286" i="135" s="1"/>
  <c r="V285" i="135"/>
  <c r="U285" i="135"/>
  <c r="V284" i="135"/>
  <c r="U284" i="135"/>
  <c r="V283" i="135"/>
  <c r="U283" i="135"/>
  <c r="E282" i="135"/>
  <c r="V282" i="135"/>
  <c r="U282" i="135"/>
  <c r="W282" i="135" s="1"/>
  <c r="V281" i="135"/>
  <c r="U281" i="135"/>
  <c r="E280" i="135"/>
  <c r="V280" i="135"/>
  <c r="U280" i="135"/>
  <c r="W280" i="135" s="1"/>
  <c r="V279" i="135"/>
  <c r="U279" i="135"/>
  <c r="W279" i="135" s="1"/>
  <c r="E279" i="135" s="1"/>
  <c r="V278" i="135"/>
  <c r="U278" i="135"/>
  <c r="W278" i="135" s="1"/>
  <c r="E278" i="135" s="1"/>
  <c r="V277" i="135"/>
  <c r="U277" i="135"/>
  <c r="V276" i="135"/>
  <c r="U276" i="135"/>
  <c r="V275" i="135"/>
  <c r="U275" i="135"/>
  <c r="E274" i="135"/>
  <c r="V274" i="135"/>
  <c r="U274" i="135"/>
  <c r="W274" i="135" s="1"/>
  <c r="V273" i="135"/>
  <c r="U273" i="135"/>
  <c r="E272" i="135"/>
  <c r="V272" i="135"/>
  <c r="U272" i="135"/>
  <c r="W272" i="135" s="1"/>
  <c r="V271" i="135"/>
  <c r="U271" i="135"/>
  <c r="W271" i="135" s="1"/>
  <c r="E271" i="135" s="1"/>
  <c r="V270" i="135"/>
  <c r="U270" i="135"/>
  <c r="W270" i="135" s="1"/>
  <c r="E270" i="135" s="1"/>
  <c r="V269" i="135"/>
  <c r="U269" i="135"/>
  <c r="V268" i="135"/>
  <c r="U268" i="135"/>
  <c r="V267" i="135"/>
  <c r="U267" i="135"/>
  <c r="E266" i="135"/>
  <c r="V266" i="135"/>
  <c r="U266" i="135"/>
  <c r="W266" i="135" s="1"/>
  <c r="V265" i="135"/>
  <c r="U265" i="135"/>
  <c r="E264" i="135"/>
  <c r="V264" i="135"/>
  <c r="U264" i="135"/>
  <c r="W264" i="135" s="1"/>
  <c r="V263" i="135"/>
  <c r="U263" i="135"/>
  <c r="W263" i="135" s="1"/>
  <c r="E263" i="135" s="1"/>
  <c r="V262" i="135"/>
  <c r="U262" i="135"/>
  <c r="W262" i="135" s="1"/>
  <c r="E262" i="135" s="1"/>
  <c r="V261" i="135"/>
  <c r="U261" i="135"/>
  <c r="V260" i="135"/>
  <c r="U260" i="135"/>
  <c r="V259" i="135"/>
  <c r="U259" i="135"/>
  <c r="E258" i="135"/>
  <c r="V258" i="135"/>
  <c r="U258" i="135"/>
  <c r="W258" i="135" s="1"/>
  <c r="V257" i="135"/>
  <c r="U257" i="135"/>
  <c r="E256" i="135"/>
  <c r="V256" i="135"/>
  <c r="U256" i="135"/>
  <c r="W256" i="135" s="1"/>
  <c r="V255" i="135"/>
  <c r="U255" i="135"/>
  <c r="W255" i="135" s="1"/>
  <c r="E255" i="135" s="1"/>
  <c r="V254" i="135"/>
  <c r="U254" i="135"/>
  <c r="W254" i="135" s="1"/>
  <c r="E254" i="135" s="1"/>
  <c r="V253" i="135"/>
  <c r="U253" i="135"/>
  <c r="V252" i="135"/>
  <c r="U252" i="135"/>
  <c r="V251" i="135"/>
  <c r="U251" i="135"/>
  <c r="E250" i="135"/>
  <c r="V250" i="135"/>
  <c r="U250" i="135"/>
  <c r="W250" i="135" s="1"/>
  <c r="V249" i="135"/>
  <c r="U249" i="135"/>
  <c r="E248" i="135"/>
  <c r="V248" i="135"/>
  <c r="U248" i="135"/>
  <c r="W248" i="135" s="1"/>
  <c r="V247" i="135"/>
  <c r="U247" i="135"/>
  <c r="W247" i="135" s="1"/>
  <c r="E247" i="135" s="1"/>
  <c r="V246" i="135"/>
  <c r="U246" i="135"/>
  <c r="W246" i="135" s="1"/>
  <c r="E246" i="135" s="1"/>
  <c r="V245" i="135"/>
  <c r="U245" i="135"/>
  <c r="V244" i="135"/>
  <c r="U244" i="135"/>
  <c r="V243" i="135"/>
  <c r="U243" i="135"/>
  <c r="E242" i="135"/>
  <c r="V242" i="135"/>
  <c r="U242" i="135"/>
  <c r="W242" i="135" s="1"/>
  <c r="V241" i="135"/>
  <c r="U241" i="135"/>
  <c r="E240" i="135"/>
  <c r="V240" i="135"/>
  <c r="U240" i="135"/>
  <c r="W240" i="135" s="1"/>
  <c r="V239" i="135"/>
  <c r="U239" i="135"/>
  <c r="W239" i="135" s="1"/>
  <c r="E239" i="135" s="1"/>
  <c r="V238" i="135"/>
  <c r="U238" i="135"/>
  <c r="W238" i="135" s="1"/>
  <c r="E238" i="135" s="1"/>
  <c r="V237" i="135"/>
  <c r="U237" i="135"/>
  <c r="V236" i="135"/>
  <c r="U236" i="135"/>
  <c r="V235" i="135"/>
  <c r="U235" i="135"/>
  <c r="E234" i="135"/>
  <c r="V234" i="135"/>
  <c r="U234" i="135"/>
  <c r="W234" i="135" s="1"/>
  <c r="V233" i="135"/>
  <c r="U233" i="135"/>
  <c r="E232" i="135"/>
  <c r="V232" i="135"/>
  <c r="U232" i="135"/>
  <c r="W232" i="135" s="1"/>
  <c r="V231" i="135"/>
  <c r="U231" i="135"/>
  <c r="W231" i="135" s="1"/>
  <c r="E231" i="135" s="1"/>
  <c r="V230" i="135"/>
  <c r="U230" i="135"/>
  <c r="W230" i="135" s="1"/>
  <c r="E230" i="135" s="1"/>
  <c r="V229" i="135"/>
  <c r="U229" i="135"/>
  <c r="V228" i="135"/>
  <c r="U228" i="135"/>
  <c r="V227" i="135"/>
  <c r="U227" i="135"/>
  <c r="E226" i="135"/>
  <c r="V226" i="135"/>
  <c r="U226" i="135"/>
  <c r="W226" i="135" s="1"/>
  <c r="V225" i="135"/>
  <c r="U225" i="135"/>
  <c r="E224" i="135"/>
  <c r="V224" i="135"/>
  <c r="U224" i="135"/>
  <c r="W224" i="135" s="1"/>
  <c r="V223" i="135"/>
  <c r="U223" i="135"/>
  <c r="W223" i="135" s="1"/>
  <c r="E223" i="135" s="1"/>
  <c r="V222" i="135"/>
  <c r="U222" i="135"/>
  <c r="W222" i="135" s="1"/>
  <c r="E222" i="135" s="1"/>
  <c r="V221" i="135"/>
  <c r="U221" i="135"/>
  <c r="V220" i="135"/>
  <c r="U220" i="135"/>
  <c r="V219" i="135"/>
  <c r="U219" i="135"/>
  <c r="E218" i="135"/>
  <c r="V218" i="135"/>
  <c r="U218" i="135"/>
  <c r="W218" i="135" s="1"/>
  <c r="V217" i="135"/>
  <c r="U217" i="135"/>
  <c r="E216" i="135"/>
  <c r="V216" i="135"/>
  <c r="U216" i="135"/>
  <c r="W216" i="135" s="1"/>
  <c r="V215" i="135"/>
  <c r="U215" i="135"/>
  <c r="W215" i="135" s="1"/>
  <c r="E215" i="135" s="1"/>
  <c r="V214" i="135"/>
  <c r="U214" i="135"/>
  <c r="W214" i="135" s="1"/>
  <c r="E214" i="135" s="1"/>
  <c r="V213" i="135"/>
  <c r="U213" i="135"/>
  <c r="V212" i="135"/>
  <c r="U212" i="135"/>
  <c r="V211" i="135"/>
  <c r="U211" i="135"/>
  <c r="E210" i="135"/>
  <c r="V210" i="135"/>
  <c r="U210" i="135"/>
  <c r="W210" i="135" s="1"/>
  <c r="V209" i="135"/>
  <c r="U209" i="135"/>
  <c r="E208" i="135"/>
  <c r="V208" i="135"/>
  <c r="U208" i="135"/>
  <c r="W208" i="135" s="1"/>
  <c r="V207" i="135"/>
  <c r="U207" i="135"/>
  <c r="W207" i="135" s="1"/>
  <c r="E207" i="135" s="1"/>
  <c r="V206" i="135"/>
  <c r="U206" i="135"/>
  <c r="W206" i="135" s="1"/>
  <c r="E206" i="135" s="1"/>
  <c r="V205" i="135"/>
  <c r="U205" i="135"/>
  <c r="V204" i="135"/>
  <c r="U204" i="135"/>
  <c r="V203" i="135"/>
  <c r="U203" i="135"/>
  <c r="E202" i="135"/>
  <c r="V202" i="135"/>
  <c r="U202" i="135"/>
  <c r="W202" i="135" s="1"/>
  <c r="V201" i="135"/>
  <c r="U201" i="135"/>
  <c r="E200" i="135"/>
  <c r="V200" i="135"/>
  <c r="U200" i="135"/>
  <c r="W200" i="135" s="1"/>
  <c r="V199" i="135"/>
  <c r="U199" i="135"/>
  <c r="W199" i="135" s="1"/>
  <c r="E199" i="135" s="1"/>
  <c r="V198" i="135"/>
  <c r="U198" i="135"/>
  <c r="W198" i="135" s="1"/>
  <c r="E198" i="135" s="1"/>
  <c r="V197" i="135"/>
  <c r="U197" i="135"/>
  <c r="V196" i="135"/>
  <c r="U196" i="135"/>
  <c r="V195" i="135"/>
  <c r="U195" i="135"/>
  <c r="E194" i="135"/>
  <c r="V194" i="135"/>
  <c r="U194" i="135"/>
  <c r="W194" i="135" s="1"/>
  <c r="V193" i="135"/>
  <c r="U193" i="135"/>
  <c r="E192" i="135"/>
  <c r="V192" i="135"/>
  <c r="U192" i="135"/>
  <c r="W192" i="135" s="1"/>
  <c r="V191" i="135"/>
  <c r="U191" i="135"/>
  <c r="W191" i="135" s="1"/>
  <c r="E191" i="135" s="1"/>
  <c r="V190" i="135"/>
  <c r="U190" i="135"/>
  <c r="W190" i="135" s="1"/>
  <c r="E190" i="135" s="1"/>
  <c r="V189" i="135"/>
  <c r="U189" i="135"/>
  <c r="V188" i="135"/>
  <c r="U188" i="135"/>
  <c r="V187" i="135"/>
  <c r="U187" i="135"/>
  <c r="E186" i="135"/>
  <c r="V186" i="135"/>
  <c r="U186" i="135"/>
  <c r="W186" i="135" s="1"/>
  <c r="V185" i="135"/>
  <c r="U185" i="135"/>
  <c r="E184" i="135"/>
  <c r="V184" i="135"/>
  <c r="U184" i="135"/>
  <c r="W184" i="135" s="1"/>
  <c r="V183" i="135"/>
  <c r="U183" i="135"/>
  <c r="W183" i="135" s="1"/>
  <c r="E183" i="135" s="1"/>
  <c r="V182" i="135"/>
  <c r="W182" i="135" s="1"/>
  <c r="E182" i="135" s="1"/>
  <c r="U182" i="135"/>
  <c r="E181" i="135"/>
  <c r="V181" i="135"/>
  <c r="U181" i="135"/>
  <c r="W181" i="135" s="1"/>
  <c r="V180" i="135"/>
  <c r="U180" i="135"/>
  <c r="W180" i="135" s="1"/>
  <c r="E180" i="135" s="1"/>
  <c r="V179" i="135"/>
  <c r="U179" i="135"/>
  <c r="W178" i="135"/>
  <c r="E178" i="135" s="1"/>
  <c r="V178" i="135"/>
  <c r="U178" i="135"/>
  <c r="E177" i="135"/>
  <c r="V177" i="135"/>
  <c r="U177" i="135"/>
  <c r="W177" i="135" s="1"/>
  <c r="V176" i="135"/>
  <c r="U176" i="135"/>
  <c r="W176" i="135" s="1"/>
  <c r="E176" i="135" s="1"/>
  <c r="W175" i="135"/>
  <c r="E175" i="135" s="1"/>
  <c r="V175" i="135"/>
  <c r="U175" i="135"/>
  <c r="V174" i="135"/>
  <c r="U174" i="135"/>
  <c r="W174" i="135" s="1"/>
  <c r="E174" i="135" s="1"/>
  <c r="W173" i="135"/>
  <c r="E173" i="135" s="1"/>
  <c r="V173" i="135"/>
  <c r="U173" i="135"/>
  <c r="V172" i="135"/>
  <c r="U172" i="135"/>
  <c r="W171" i="135"/>
  <c r="E171" i="135" s="1"/>
  <c r="V171" i="135"/>
  <c r="U171" i="135"/>
  <c r="V170" i="135"/>
  <c r="U170" i="135"/>
  <c r="W169" i="135"/>
  <c r="E169" i="135" s="1"/>
  <c r="V169" i="135"/>
  <c r="U169" i="135"/>
  <c r="V168" i="135"/>
  <c r="U168" i="135"/>
  <c r="W168" i="135" s="1"/>
  <c r="E168" i="135" s="1"/>
  <c r="W167" i="135"/>
  <c r="E167" i="135" s="1"/>
  <c r="V167" i="135"/>
  <c r="U167" i="135"/>
  <c r="V166" i="135"/>
  <c r="U166" i="135"/>
  <c r="W165" i="135"/>
  <c r="E165" i="135" s="1"/>
  <c r="V165" i="135"/>
  <c r="U165" i="135"/>
  <c r="V164" i="135"/>
  <c r="U164" i="135"/>
  <c r="W164" i="135" s="1"/>
  <c r="E164" i="135" s="1"/>
  <c r="V163" i="135"/>
  <c r="U163" i="135"/>
  <c r="W163" i="135" s="1"/>
  <c r="E163" i="135" s="1"/>
  <c r="V162" i="135"/>
  <c r="U162" i="135"/>
  <c r="V161" i="135"/>
  <c r="U161" i="135"/>
  <c r="W161" i="135" s="1"/>
  <c r="E161" i="135" s="1"/>
  <c r="V160" i="135"/>
  <c r="U160" i="135"/>
  <c r="W160" i="135" s="1"/>
  <c r="E160" i="135" s="1"/>
  <c r="V159" i="135"/>
  <c r="U159" i="135"/>
  <c r="W159" i="135" s="1"/>
  <c r="E159" i="135" s="1"/>
  <c r="V158" i="135"/>
  <c r="U158" i="135"/>
  <c r="V157" i="135"/>
  <c r="U157" i="135"/>
  <c r="W157" i="135" s="1"/>
  <c r="E157" i="135" s="1"/>
  <c r="V156" i="135"/>
  <c r="U156" i="135"/>
  <c r="W156" i="135" s="1"/>
  <c r="E156" i="135" s="1"/>
  <c r="V155" i="135"/>
  <c r="U155" i="135"/>
  <c r="W155" i="135" s="1"/>
  <c r="E155" i="135" s="1"/>
  <c r="V154" i="135"/>
  <c r="U154" i="135"/>
  <c r="V153" i="135"/>
  <c r="U153" i="135"/>
  <c r="W153" i="135" s="1"/>
  <c r="E153" i="135" s="1"/>
  <c r="V152" i="135"/>
  <c r="U152" i="135"/>
  <c r="W152" i="135" s="1"/>
  <c r="E152" i="135" s="1"/>
  <c r="V151" i="135"/>
  <c r="U151" i="135"/>
  <c r="W151" i="135" s="1"/>
  <c r="E151" i="135" s="1"/>
  <c r="V150" i="135"/>
  <c r="U150" i="135"/>
  <c r="V149" i="135"/>
  <c r="U149" i="135"/>
  <c r="W149" i="135" s="1"/>
  <c r="E149" i="135" s="1"/>
  <c r="V148" i="135"/>
  <c r="U148" i="135"/>
  <c r="W148" i="135" s="1"/>
  <c r="E148" i="135" s="1"/>
  <c r="V147" i="135"/>
  <c r="U147" i="135"/>
  <c r="W147" i="135" s="1"/>
  <c r="E147" i="135" s="1"/>
  <c r="V146" i="135"/>
  <c r="U146" i="135"/>
  <c r="V145" i="135"/>
  <c r="U145" i="135"/>
  <c r="W145" i="135" s="1"/>
  <c r="E145" i="135" s="1"/>
  <c r="V144" i="135"/>
  <c r="U144" i="135"/>
  <c r="W144" i="135" s="1"/>
  <c r="E144" i="135" s="1"/>
  <c r="V143" i="135"/>
  <c r="U143" i="135"/>
  <c r="W143" i="135" s="1"/>
  <c r="E143" i="135" s="1"/>
  <c r="V142" i="135"/>
  <c r="U142" i="135"/>
  <c r="V141" i="135"/>
  <c r="U141" i="135"/>
  <c r="W141" i="135" s="1"/>
  <c r="E141" i="135" s="1"/>
  <c r="V140" i="135"/>
  <c r="U140" i="135"/>
  <c r="W140" i="135" s="1"/>
  <c r="E140" i="135" s="1"/>
  <c r="V139" i="135"/>
  <c r="U139" i="135"/>
  <c r="W139" i="135" s="1"/>
  <c r="E139" i="135" s="1"/>
  <c r="V138" i="135"/>
  <c r="U138" i="135"/>
  <c r="V137" i="135"/>
  <c r="U137" i="135"/>
  <c r="W137" i="135" s="1"/>
  <c r="E137" i="135" s="1"/>
  <c r="V136" i="135"/>
  <c r="U136" i="135"/>
  <c r="W136" i="135" s="1"/>
  <c r="E136" i="135" s="1"/>
  <c r="V135" i="135"/>
  <c r="U135" i="135"/>
  <c r="W135" i="135" s="1"/>
  <c r="E135" i="135" s="1"/>
  <c r="V134" i="135"/>
  <c r="U134" i="135"/>
  <c r="V133" i="135"/>
  <c r="U133" i="135"/>
  <c r="W133" i="135" s="1"/>
  <c r="E133" i="135" s="1"/>
  <c r="V132" i="135"/>
  <c r="U132" i="135"/>
  <c r="W132" i="135" s="1"/>
  <c r="E132" i="135" s="1"/>
  <c r="V131" i="135"/>
  <c r="U131" i="135"/>
  <c r="W131" i="135" s="1"/>
  <c r="E131" i="135" s="1"/>
  <c r="V130" i="135"/>
  <c r="U130" i="135"/>
  <c r="V129" i="135"/>
  <c r="U129" i="135"/>
  <c r="W129" i="135" s="1"/>
  <c r="E129" i="135" s="1"/>
  <c r="V128" i="135"/>
  <c r="U128" i="135"/>
  <c r="W128" i="135" s="1"/>
  <c r="E128" i="135" s="1"/>
  <c r="V127" i="135"/>
  <c r="U127" i="135"/>
  <c r="W127" i="135" s="1"/>
  <c r="E127" i="135" s="1"/>
  <c r="V126" i="135"/>
  <c r="U126" i="135"/>
  <c r="W126" i="135" s="1"/>
  <c r="E126" i="135" s="1"/>
  <c r="V125" i="135"/>
  <c r="U125" i="135"/>
  <c r="W125" i="135" s="1"/>
  <c r="E125" i="135" s="1"/>
  <c r="V124" i="135"/>
  <c r="U124" i="135"/>
  <c r="W124" i="135" s="1"/>
  <c r="E124" i="135" s="1"/>
  <c r="V123" i="135"/>
  <c r="U123" i="135"/>
  <c r="W123" i="135" s="1"/>
  <c r="E123" i="135" s="1"/>
  <c r="V122" i="135"/>
  <c r="U122" i="135"/>
  <c r="W122" i="135" s="1"/>
  <c r="E122" i="135" s="1"/>
  <c r="V121" i="135"/>
  <c r="U121" i="135"/>
  <c r="W121" i="135" s="1"/>
  <c r="E121" i="135" s="1"/>
  <c r="V120" i="135"/>
  <c r="U120" i="135"/>
  <c r="W120" i="135" s="1"/>
  <c r="E120" i="135" s="1"/>
  <c r="V119" i="135"/>
  <c r="U119" i="135"/>
  <c r="W119" i="135" s="1"/>
  <c r="E119" i="135" s="1"/>
  <c r="V118" i="135"/>
  <c r="U118" i="135"/>
  <c r="W118" i="135" s="1"/>
  <c r="E118" i="135" s="1"/>
  <c r="V117" i="135"/>
  <c r="U117" i="135"/>
  <c r="W117" i="135" s="1"/>
  <c r="E117" i="135" s="1"/>
  <c r="V116" i="135"/>
  <c r="U116" i="135"/>
  <c r="W116" i="135" s="1"/>
  <c r="E116" i="135" s="1"/>
  <c r="V115" i="135"/>
  <c r="U115" i="135"/>
  <c r="W115" i="135" s="1"/>
  <c r="E115" i="135" s="1"/>
  <c r="V114" i="135"/>
  <c r="U114" i="135"/>
  <c r="W114" i="135" s="1"/>
  <c r="E114" i="135" s="1"/>
  <c r="V113" i="135"/>
  <c r="U113" i="135"/>
  <c r="W113" i="135" s="1"/>
  <c r="E113" i="135" s="1"/>
  <c r="V112" i="135"/>
  <c r="U112" i="135"/>
  <c r="W112" i="135" s="1"/>
  <c r="E112" i="135" s="1"/>
  <c r="V111" i="135"/>
  <c r="U111" i="135"/>
  <c r="W111" i="135" s="1"/>
  <c r="E111" i="135" s="1"/>
  <c r="V110" i="135"/>
  <c r="U110" i="135"/>
  <c r="W110" i="135" s="1"/>
  <c r="E110" i="135" s="1"/>
  <c r="V109" i="135"/>
  <c r="U109" i="135"/>
  <c r="W109" i="135" s="1"/>
  <c r="E109" i="135" s="1"/>
  <c r="V108" i="135"/>
  <c r="U108" i="135"/>
  <c r="W108" i="135" s="1"/>
  <c r="E108" i="135" s="1"/>
  <c r="V107" i="135"/>
  <c r="U107" i="135"/>
  <c r="W107" i="135" s="1"/>
  <c r="E107" i="135" s="1"/>
  <c r="V106" i="135"/>
  <c r="U106" i="135"/>
  <c r="W106" i="135" s="1"/>
  <c r="E106" i="135" s="1"/>
  <c r="V105" i="135"/>
  <c r="U105" i="135"/>
  <c r="W105" i="135" s="1"/>
  <c r="E105" i="135" s="1"/>
  <c r="V104" i="135"/>
  <c r="U104" i="135"/>
  <c r="W104" i="135" s="1"/>
  <c r="E104" i="135" s="1"/>
  <c r="V103" i="135"/>
  <c r="U103" i="135"/>
  <c r="W103" i="135" s="1"/>
  <c r="E103" i="135" s="1"/>
  <c r="V102" i="135"/>
  <c r="U102" i="135"/>
  <c r="W102" i="135" s="1"/>
  <c r="E102" i="135" s="1"/>
  <c r="U101" i="135"/>
  <c r="V100" i="135"/>
  <c r="W100" i="135" s="1"/>
  <c r="E100" i="135" s="1"/>
  <c r="U100" i="135"/>
  <c r="V99" i="135"/>
  <c r="U99" i="135"/>
  <c r="V98" i="135"/>
  <c r="W98" i="135" s="1"/>
  <c r="E98" i="135" s="1"/>
  <c r="U98" i="135"/>
  <c r="V97" i="135"/>
  <c r="U97" i="135"/>
  <c r="W97" i="135" s="1"/>
  <c r="E97" i="135" s="1"/>
  <c r="V96" i="135"/>
  <c r="W96" i="135" s="1"/>
  <c r="E96" i="135" s="1"/>
  <c r="U96" i="135"/>
  <c r="V95" i="135"/>
  <c r="U95" i="135"/>
  <c r="W95" i="135" s="1"/>
  <c r="E95" i="135" s="1"/>
  <c r="W94" i="135"/>
  <c r="E94" i="135" s="1"/>
  <c r="V94" i="135"/>
  <c r="U94" i="135"/>
  <c r="V93" i="135"/>
  <c r="U93" i="135"/>
  <c r="W93" i="135" s="1"/>
  <c r="E93" i="135" s="1"/>
  <c r="V92" i="135"/>
  <c r="W92" i="135" s="1"/>
  <c r="E92" i="135" s="1"/>
  <c r="U92" i="135"/>
  <c r="V91" i="135"/>
  <c r="U91" i="135"/>
  <c r="W90" i="135"/>
  <c r="E90" i="135" s="1"/>
  <c r="V90" i="135"/>
  <c r="U90" i="135"/>
  <c r="V89" i="135"/>
  <c r="U89" i="135"/>
  <c r="W89" i="135" s="1"/>
  <c r="E89" i="135" s="1"/>
  <c r="V88" i="135"/>
  <c r="W88" i="135" s="1"/>
  <c r="E88" i="135" s="1"/>
  <c r="U88" i="135"/>
  <c r="V87" i="135"/>
  <c r="U87" i="135"/>
  <c r="W86" i="135"/>
  <c r="E86" i="135" s="1"/>
  <c r="V86" i="135"/>
  <c r="U86" i="135"/>
  <c r="V85" i="135"/>
  <c r="U85" i="135"/>
  <c r="W85" i="135" s="1"/>
  <c r="E85" i="135" s="1"/>
  <c r="V84" i="135"/>
  <c r="W84" i="135" s="1"/>
  <c r="E84" i="135" s="1"/>
  <c r="U84" i="135"/>
  <c r="V83" i="135"/>
  <c r="U83" i="135"/>
  <c r="V82" i="135"/>
  <c r="W82" i="135" s="1"/>
  <c r="E82" i="135" s="1"/>
  <c r="U82" i="135"/>
  <c r="V81" i="135"/>
  <c r="U81" i="135"/>
  <c r="W81" i="135" s="1"/>
  <c r="E81" i="135" s="1"/>
  <c r="V80" i="135"/>
  <c r="W80" i="135" s="1"/>
  <c r="E80" i="135" s="1"/>
  <c r="U80" i="135"/>
  <c r="V79" i="135"/>
  <c r="U79" i="135"/>
  <c r="W79" i="135" s="1"/>
  <c r="E79" i="135" s="1"/>
  <c r="W78" i="135"/>
  <c r="E78" i="135" s="1"/>
  <c r="V78" i="135"/>
  <c r="U78" i="135"/>
  <c r="V77" i="135"/>
  <c r="U77" i="135"/>
  <c r="W77" i="135" s="1"/>
  <c r="E77" i="135" s="1"/>
  <c r="V76" i="135"/>
  <c r="W76" i="135" s="1"/>
  <c r="E76" i="135" s="1"/>
  <c r="U76" i="135"/>
  <c r="V75" i="135"/>
  <c r="U75" i="135"/>
  <c r="W74" i="135"/>
  <c r="E74" i="135" s="1"/>
  <c r="V74" i="135"/>
  <c r="U74" i="135"/>
  <c r="V73" i="135"/>
  <c r="U73" i="135"/>
  <c r="W73" i="135" s="1"/>
  <c r="E73" i="135" s="1"/>
  <c r="V72" i="135"/>
  <c r="W72" i="135" s="1"/>
  <c r="E72" i="135" s="1"/>
  <c r="U72" i="135"/>
  <c r="V71" i="135"/>
  <c r="U71" i="135"/>
  <c r="V70" i="135"/>
  <c r="U70" i="135"/>
  <c r="W70" i="135" s="1"/>
  <c r="E70" i="135" s="1"/>
  <c r="V69" i="135"/>
  <c r="U69" i="135"/>
  <c r="W69" i="135" s="1"/>
  <c r="E69" i="135" s="1"/>
  <c r="V68" i="135"/>
  <c r="W68" i="135" s="1"/>
  <c r="E68" i="135" s="1"/>
  <c r="U68" i="135"/>
  <c r="V67" i="135"/>
  <c r="U67" i="135"/>
  <c r="V66" i="135"/>
  <c r="U66" i="135"/>
  <c r="W66" i="135" s="1"/>
  <c r="E66" i="135" s="1"/>
  <c r="V65" i="135"/>
  <c r="U65" i="135"/>
  <c r="W65" i="135" s="1"/>
  <c r="E65" i="135" s="1"/>
  <c r="V64" i="135"/>
  <c r="U64" i="135"/>
  <c r="W64" i="135" s="1"/>
  <c r="E64" i="135" s="1"/>
  <c r="V63" i="135"/>
  <c r="U63" i="135"/>
  <c r="W63" i="135" s="1"/>
  <c r="E63" i="135" s="1"/>
  <c r="W62" i="135"/>
  <c r="E62" i="135" s="1"/>
  <c r="V62" i="135"/>
  <c r="U62" i="135"/>
  <c r="V61" i="135"/>
  <c r="U61" i="135"/>
  <c r="W61" i="135" s="1"/>
  <c r="E61" i="135" s="1"/>
  <c r="V60" i="135"/>
  <c r="U60" i="135"/>
  <c r="W60" i="135" s="1"/>
  <c r="E60" i="135" s="1"/>
  <c r="V59" i="135"/>
  <c r="U59" i="135"/>
  <c r="W58" i="135"/>
  <c r="E58" i="135" s="1"/>
  <c r="V58" i="135"/>
  <c r="U58" i="135"/>
  <c r="V57" i="135"/>
  <c r="U57" i="135"/>
  <c r="W57" i="135" s="1"/>
  <c r="E57" i="135" s="1"/>
  <c r="V56" i="135"/>
  <c r="W56" i="135" s="1"/>
  <c r="E56" i="135" s="1"/>
  <c r="U56" i="135"/>
  <c r="V55" i="135"/>
  <c r="U55" i="135"/>
  <c r="V54" i="135"/>
  <c r="U54" i="135"/>
  <c r="W54" i="135" s="1"/>
  <c r="E54" i="135" s="1"/>
  <c r="V53" i="135"/>
  <c r="U53" i="135"/>
  <c r="W53" i="135" s="1"/>
  <c r="E53" i="135" s="1"/>
  <c r="V52" i="135"/>
  <c r="W52" i="135" s="1"/>
  <c r="E52" i="135" s="1"/>
  <c r="U52" i="135"/>
  <c r="V51" i="135"/>
  <c r="U51" i="135"/>
  <c r="W51" i="135" s="1"/>
  <c r="E51" i="135" s="1"/>
  <c r="U50" i="135"/>
  <c r="V49" i="135"/>
  <c r="U49" i="135"/>
  <c r="W49" i="135" s="1"/>
  <c r="E49" i="135" s="1"/>
  <c r="W48" i="135"/>
  <c r="E48" i="135" s="1"/>
  <c r="V48" i="135"/>
  <c r="U48" i="135"/>
  <c r="V47" i="135"/>
  <c r="U47" i="135"/>
  <c r="W47" i="135" s="1"/>
  <c r="E47" i="135" s="1"/>
  <c r="W46" i="135"/>
  <c r="E46" i="135" s="1"/>
  <c r="V46" i="135"/>
  <c r="U46" i="135"/>
  <c r="V45" i="135"/>
  <c r="U45" i="135"/>
  <c r="W45" i="135" s="1"/>
  <c r="E45" i="135" s="1"/>
  <c r="W44" i="135"/>
  <c r="E44" i="135" s="1"/>
  <c r="V44" i="135"/>
  <c r="U44" i="135"/>
  <c r="V43" i="135"/>
  <c r="U43" i="135"/>
  <c r="W43" i="135" s="1"/>
  <c r="E43" i="135" s="1"/>
  <c r="W42" i="135"/>
  <c r="E42" i="135" s="1"/>
  <c r="V42" i="135"/>
  <c r="U42" i="135"/>
  <c r="V41" i="135"/>
  <c r="U41" i="135"/>
  <c r="W41" i="135" s="1"/>
  <c r="E41" i="135" s="1"/>
  <c r="W40" i="135"/>
  <c r="E40" i="135" s="1"/>
  <c r="V40" i="135"/>
  <c r="U40" i="135"/>
  <c r="V39" i="135"/>
  <c r="U39" i="135"/>
  <c r="W39" i="135" s="1"/>
  <c r="E39" i="135" s="1"/>
  <c r="W38" i="135"/>
  <c r="E38" i="135" s="1"/>
  <c r="V38" i="135"/>
  <c r="U38" i="135"/>
  <c r="V37" i="135"/>
  <c r="U37" i="135"/>
  <c r="W37" i="135" s="1"/>
  <c r="E37" i="135" s="1"/>
  <c r="W36" i="135"/>
  <c r="E36" i="135" s="1"/>
  <c r="V36" i="135"/>
  <c r="U36" i="135"/>
  <c r="V35" i="135"/>
  <c r="U35" i="135"/>
  <c r="W35" i="135" s="1"/>
  <c r="E35" i="135" s="1"/>
  <c r="W34" i="135"/>
  <c r="E34" i="135" s="1"/>
  <c r="V34" i="135"/>
  <c r="U34" i="135"/>
  <c r="V33" i="135"/>
  <c r="U33" i="135"/>
  <c r="W33" i="135" s="1"/>
  <c r="E33" i="135" s="1"/>
  <c r="W32" i="135"/>
  <c r="E32" i="135" s="1"/>
  <c r="V32" i="135"/>
  <c r="U32" i="135"/>
  <c r="V31" i="135"/>
  <c r="U31" i="135"/>
  <c r="W31" i="135" s="1"/>
  <c r="E31" i="135" s="1"/>
  <c r="W30" i="135"/>
  <c r="E30" i="135" s="1"/>
  <c r="V30" i="135"/>
  <c r="U30" i="135"/>
  <c r="V29" i="135"/>
  <c r="U29" i="135"/>
  <c r="W29" i="135" s="1"/>
  <c r="E29" i="135" s="1"/>
  <c r="W28" i="135"/>
  <c r="E28" i="135" s="1"/>
  <c r="V28" i="135"/>
  <c r="U28" i="135"/>
  <c r="V27" i="135"/>
  <c r="U27" i="135"/>
  <c r="W27" i="135" s="1"/>
  <c r="E27" i="135" s="1"/>
  <c r="W26" i="135"/>
  <c r="E26" i="135" s="1"/>
  <c r="V26" i="135"/>
  <c r="U26" i="135"/>
  <c r="V25" i="135"/>
  <c r="U25" i="135"/>
  <c r="W25" i="135" s="1"/>
  <c r="E25" i="135" s="1"/>
  <c r="W24" i="135"/>
  <c r="E24" i="135" s="1"/>
  <c r="V24" i="135"/>
  <c r="U24" i="135"/>
  <c r="V23" i="135"/>
  <c r="U23" i="135"/>
  <c r="W23" i="135" s="1"/>
  <c r="E23" i="135" s="1"/>
  <c r="W22" i="135"/>
  <c r="E22" i="135" s="1"/>
  <c r="V22" i="135"/>
  <c r="U22" i="135"/>
  <c r="V21" i="135"/>
  <c r="U21" i="135"/>
  <c r="W21" i="135" s="1"/>
  <c r="E21" i="135" s="1"/>
  <c r="W20" i="135"/>
  <c r="E20" i="135" s="1"/>
  <c r="V20" i="135"/>
  <c r="U20" i="135"/>
  <c r="U19" i="135"/>
  <c r="U18" i="135"/>
  <c r="U17" i="135"/>
  <c r="U16" i="135"/>
  <c r="U15" i="135"/>
  <c r="U14" i="135"/>
  <c r="U13" i="135"/>
  <c r="U12" i="135"/>
  <c r="U11" i="135"/>
  <c r="U10" i="135"/>
  <c r="U8" i="135" s="1"/>
  <c r="E345" i="135"/>
  <c r="W345" i="135"/>
  <c r="V345" i="135" s="1"/>
  <c r="U345" i="135"/>
  <c r="W344" i="135"/>
  <c r="E344" i="135" s="1"/>
  <c r="U344" i="135"/>
  <c r="E343" i="135"/>
  <c r="W343" i="135"/>
  <c r="V343" i="135" s="1"/>
  <c r="U343" i="135"/>
  <c r="W342" i="135"/>
  <c r="E342" i="135" s="1"/>
  <c r="U342" i="135"/>
  <c r="P2" i="134"/>
  <c r="P3" i="134" s="1"/>
  <c r="O2" i="134"/>
  <c r="O3" i="134" s="1"/>
  <c r="N2" i="134"/>
  <c r="N3" i="134" s="1"/>
  <c r="M2" i="134"/>
  <c r="M3" i="134" s="1"/>
  <c r="L2" i="134"/>
  <c r="L3" i="134" s="1"/>
  <c r="K2" i="134"/>
  <c r="K3" i="134" s="1"/>
  <c r="J3" i="134"/>
  <c r="J2" i="134"/>
  <c r="I2" i="134"/>
  <c r="I3" i="134" s="1"/>
  <c r="H2" i="134"/>
  <c r="H3" i="134" s="1"/>
  <c r="G2" i="134"/>
  <c r="G3" i="134" s="1"/>
  <c r="T339" i="134"/>
  <c r="S339" i="134"/>
  <c r="U339" i="134" s="1"/>
  <c r="E339" i="134" s="1"/>
  <c r="T338" i="134"/>
  <c r="S338" i="134"/>
  <c r="T337" i="134"/>
  <c r="S337" i="134"/>
  <c r="U337" i="134" s="1"/>
  <c r="E337" i="134" s="1"/>
  <c r="T336" i="134"/>
  <c r="S336" i="134"/>
  <c r="T335" i="134"/>
  <c r="S335" i="134"/>
  <c r="U335" i="134" s="1"/>
  <c r="E335" i="134" s="1"/>
  <c r="T334" i="134"/>
  <c r="S334" i="134"/>
  <c r="T333" i="134"/>
  <c r="S333" i="134"/>
  <c r="T332" i="134"/>
  <c r="S332" i="134"/>
  <c r="T331" i="134"/>
  <c r="S331" i="134"/>
  <c r="U331" i="134" s="1"/>
  <c r="E331" i="134" s="1"/>
  <c r="T330" i="134"/>
  <c r="S330" i="134"/>
  <c r="T329" i="134"/>
  <c r="S329" i="134"/>
  <c r="T328" i="134"/>
  <c r="S328" i="134"/>
  <c r="T327" i="134"/>
  <c r="S327" i="134"/>
  <c r="U327" i="134" s="1"/>
  <c r="E327" i="134" s="1"/>
  <c r="T326" i="134"/>
  <c r="S326" i="134"/>
  <c r="T325" i="134"/>
  <c r="S325" i="134"/>
  <c r="T324" i="134"/>
  <c r="S324" i="134"/>
  <c r="T323" i="134"/>
  <c r="S323" i="134"/>
  <c r="U323" i="134" s="1"/>
  <c r="E323" i="134" s="1"/>
  <c r="E322" i="134"/>
  <c r="T322" i="134"/>
  <c r="S322" i="134"/>
  <c r="U322" i="134" s="1"/>
  <c r="T321" i="134"/>
  <c r="S321" i="134"/>
  <c r="U321" i="134" s="1"/>
  <c r="E321" i="134" s="1"/>
  <c r="T320" i="134"/>
  <c r="S320" i="134"/>
  <c r="U320" i="134" s="1"/>
  <c r="E320" i="134" s="1"/>
  <c r="T319" i="134"/>
  <c r="S319" i="134"/>
  <c r="T318" i="134"/>
  <c r="S318" i="134"/>
  <c r="U318" i="134" s="1"/>
  <c r="E318" i="134" s="1"/>
  <c r="T317" i="134"/>
  <c r="S317" i="134"/>
  <c r="E316" i="134"/>
  <c r="T316" i="134"/>
  <c r="S316" i="134"/>
  <c r="U316" i="134" s="1"/>
  <c r="T315" i="134"/>
  <c r="S315" i="134"/>
  <c r="T314" i="134"/>
  <c r="S314" i="134"/>
  <c r="T313" i="134"/>
  <c r="S313" i="134"/>
  <c r="T312" i="134"/>
  <c r="S312" i="134"/>
  <c r="U312" i="134" s="1"/>
  <c r="E312" i="134" s="1"/>
  <c r="T311" i="134"/>
  <c r="S311" i="134"/>
  <c r="T310" i="134"/>
  <c r="S310" i="134"/>
  <c r="U310" i="134" s="1"/>
  <c r="E310" i="134" s="1"/>
  <c r="T309" i="134"/>
  <c r="S309" i="134"/>
  <c r="U309" i="134" s="1"/>
  <c r="E309" i="134" s="1"/>
  <c r="E308" i="134"/>
  <c r="T308" i="134"/>
  <c r="S308" i="134"/>
  <c r="U308" i="134" s="1"/>
  <c r="T307" i="134"/>
  <c r="S307" i="134"/>
  <c r="T306" i="134"/>
  <c r="S306" i="134"/>
  <c r="T305" i="134"/>
  <c r="S305" i="134"/>
  <c r="T304" i="134"/>
  <c r="S304" i="134"/>
  <c r="U304" i="134" s="1"/>
  <c r="E304" i="134" s="1"/>
  <c r="T303" i="134"/>
  <c r="S303" i="134"/>
  <c r="T302" i="134"/>
  <c r="S302" i="134"/>
  <c r="U302" i="134" s="1"/>
  <c r="E302" i="134" s="1"/>
  <c r="T301" i="134"/>
  <c r="S301" i="134"/>
  <c r="U301" i="134" s="1"/>
  <c r="E301" i="134" s="1"/>
  <c r="E300" i="134"/>
  <c r="T300" i="134"/>
  <c r="S300" i="134"/>
  <c r="U300" i="134" s="1"/>
  <c r="T299" i="134"/>
  <c r="S299" i="134"/>
  <c r="T298" i="134"/>
  <c r="S298" i="134"/>
  <c r="T297" i="134"/>
  <c r="S297" i="134"/>
  <c r="T296" i="134"/>
  <c r="S296" i="134"/>
  <c r="U296" i="134" s="1"/>
  <c r="E296" i="134" s="1"/>
  <c r="T295" i="134"/>
  <c r="S295" i="134"/>
  <c r="T294" i="134"/>
  <c r="S294" i="134"/>
  <c r="U294" i="134" s="1"/>
  <c r="E294" i="134" s="1"/>
  <c r="T293" i="134"/>
  <c r="S293" i="134"/>
  <c r="U293" i="134" s="1"/>
  <c r="E293" i="134" s="1"/>
  <c r="E292" i="134"/>
  <c r="T292" i="134"/>
  <c r="S292" i="134"/>
  <c r="U292" i="134" s="1"/>
  <c r="T291" i="134"/>
  <c r="S291" i="134"/>
  <c r="T290" i="134"/>
  <c r="S290" i="134"/>
  <c r="T289" i="134"/>
  <c r="S289" i="134"/>
  <c r="T288" i="134"/>
  <c r="S288" i="134"/>
  <c r="U288" i="134" s="1"/>
  <c r="E288" i="134" s="1"/>
  <c r="T287" i="134"/>
  <c r="S287" i="134"/>
  <c r="T286" i="134"/>
  <c r="S286" i="134"/>
  <c r="U286" i="134" s="1"/>
  <c r="E286" i="134" s="1"/>
  <c r="T285" i="134"/>
  <c r="S285" i="134"/>
  <c r="U285" i="134" s="1"/>
  <c r="E285" i="134" s="1"/>
  <c r="E284" i="134"/>
  <c r="T284" i="134"/>
  <c r="S284" i="134"/>
  <c r="U284" i="134" s="1"/>
  <c r="T283" i="134"/>
  <c r="S283" i="134"/>
  <c r="T282" i="134"/>
  <c r="S282" i="134"/>
  <c r="T281" i="134"/>
  <c r="S281" i="134"/>
  <c r="T280" i="134"/>
  <c r="S280" i="134"/>
  <c r="U280" i="134" s="1"/>
  <c r="E280" i="134" s="1"/>
  <c r="T279" i="134"/>
  <c r="S279" i="134"/>
  <c r="T278" i="134"/>
  <c r="S278" i="134"/>
  <c r="U278" i="134" s="1"/>
  <c r="E278" i="134" s="1"/>
  <c r="T277" i="134"/>
  <c r="S277" i="134"/>
  <c r="U277" i="134" s="1"/>
  <c r="E277" i="134" s="1"/>
  <c r="E276" i="134"/>
  <c r="T276" i="134"/>
  <c r="S276" i="134"/>
  <c r="U276" i="134" s="1"/>
  <c r="T275" i="134"/>
  <c r="S275" i="134"/>
  <c r="T274" i="134"/>
  <c r="S274" i="134"/>
  <c r="T273" i="134"/>
  <c r="S273" i="134"/>
  <c r="T272" i="134"/>
  <c r="S272" i="134"/>
  <c r="U272" i="134" s="1"/>
  <c r="E272" i="134" s="1"/>
  <c r="T271" i="134"/>
  <c r="S271" i="134"/>
  <c r="T270" i="134"/>
  <c r="S270" i="134"/>
  <c r="U270" i="134" s="1"/>
  <c r="E270" i="134" s="1"/>
  <c r="T269" i="134"/>
  <c r="S269" i="134"/>
  <c r="U269" i="134" s="1"/>
  <c r="E269" i="134" s="1"/>
  <c r="E268" i="134"/>
  <c r="T268" i="134"/>
  <c r="S268" i="134"/>
  <c r="U268" i="134" s="1"/>
  <c r="T267" i="134"/>
  <c r="S267" i="134"/>
  <c r="T266" i="134"/>
  <c r="S266" i="134"/>
  <c r="T265" i="134"/>
  <c r="S265" i="134"/>
  <c r="T264" i="134"/>
  <c r="S264" i="134"/>
  <c r="U264" i="134" s="1"/>
  <c r="E264" i="134" s="1"/>
  <c r="T263" i="134"/>
  <c r="S263" i="134"/>
  <c r="T262" i="134"/>
  <c r="S262" i="134"/>
  <c r="U262" i="134" s="1"/>
  <c r="E262" i="134" s="1"/>
  <c r="T261" i="134"/>
  <c r="S261" i="134"/>
  <c r="E260" i="134"/>
  <c r="T260" i="134"/>
  <c r="S260" i="134"/>
  <c r="U260" i="134" s="1"/>
  <c r="T259" i="134"/>
  <c r="S259" i="134"/>
  <c r="T258" i="134"/>
  <c r="S258" i="134"/>
  <c r="T257" i="134"/>
  <c r="S257" i="134"/>
  <c r="T256" i="134"/>
  <c r="S256" i="134"/>
  <c r="U256" i="134" s="1"/>
  <c r="E256" i="134" s="1"/>
  <c r="T255" i="134"/>
  <c r="S255" i="134"/>
  <c r="T254" i="134"/>
  <c r="S254" i="134"/>
  <c r="U254" i="134" s="1"/>
  <c r="E254" i="134" s="1"/>
  <c r="T253" i="134"/>
  <c r="S253" i="134"/>
  <c r="E252" i="134"/>
  <c r="T252" i="134"/>
  <c r="S252" i="134"/>
  <c r="U252" i="134" s="1"/>
  <c r="T251" i="134"/>
  <c r="S251" i="134"/>
  <c r="T250" i="134"/>
  <c r="S250" i="134"/>
  <c r="T249" i="134"/>
  <c r="S249" i="134"/>
  <c r="T248" i="134"/>
  <c r="S248" i="134"/>
  <c r="U248" i="134" s="1"/>
  <c r="E248" i="134" s="1"/>
  <c r="T247" i="134"/>
  <c r="S247" i="134"/>
  <c r="T246" i="134"/>
  <c r="S246" i="134"/>
  <c r="U246" i="134" s="1"/>
  <c r="E246" i="134" s="1"/>
  <c r="T245" i="134"/>
  <c r="S245" i="134"/>
  <c r="U245" i="134" s="1"/>
  <c r="E245" i="134" s="1"/>
  <c r="E244" i="134"/>
  <c r="T244" i="134"/>
  <c r="S244" i="134"/>
  <c r="U244" i="134" s="1"/>
  <c r="T243" i="134"/>
  <c r="S243" i="134"/>
  <c r="T242" i="134"/>
  <c r="S242" i="134"/>
  <c r="T241" i="134"/>
  <c r="S241" i="134"/>
  <c r="T240" i="134"/>
  <c r="S240" i="134"/>
  <c r="U240" i="134" s="1"/>
  <c r="E240" i="134" s="1"/>
  <c r="T239" i="134"/>
  <c r="S239" i="134"/>
  <c r="T238" i="134"/>
  <c r="S238" i="134"/>
  <c r="U238" i="134" s="1"/>
  <c r="E238" i="134" s="1"/>
  <c r="T237" i="134"/>
  <c r="S237" i="134"/>
  <c r="U237" i="134" s="1"/>
  <c r="E237" i="134" s="1"/>
  <c r="E236" i="134"/>
  <c r="T236" i="134"/>
  <c r="S236" i="134"/>
  <c r="U236" i="134" s="1"/>
  <c r="T235" i="134"/>
  <c r="S235" i="134"/>
  <c r="T234" i="134"/>
  <c r="S234" i="134"/>
  <c r="T233" i="134"/>
  <c r="S233" i="134"/>
  <c r="T232" i="134"/>
  <c r="S232" i="134"/>
  <c r="U232" i="134" s="1"/>
  <c r="E232" i="134" s="1"/>
  <c r="T231" i="134"/>
  <c r="S231" i="134"/>
  <c r="T230" i="134"/>
  <c r="S230" i="134"/>
  <c r="U230" i="134" s="1"/>
  <c r="E230" i="134" s="1"/>
  <c r="T229" i="134"/>
  <c r="S229" i="134"/>
  <c r="U229" i="134" s="1"/>
  <c r="E229" i="134" s="1"/>
  <c r="E228" i="134"/>
  <c r="T228" i="134"/>
  <c r="S228" i="134"/>
  <c r="U228" i="134" s="1"/>
  <c r="T227" i="134"/>
  <c r="S227" i="134"/>
  <c r="T226" i="134"/>
  <c r="S226" i="134"/>
  <c r="T225" i="134"/>
  <c r="S225" i="134"/>
  <c r="T224" i="134"/>
  <c r="S224" i="134"/>
  <c r="U224" i="134" s="1"/>
  <c r="E224" i="134" s="1"/>
  <c r="T223" i="134"/>
  <c r="S223" i="134"/>
  <c r="T222" i="134"/>
  <c r="S222" i="134"/>
  <c r="U222" i="134" s="1"/>
  <c r="E222" i="134" s="1"/>
  <c r="T221" i="134"/>
  <c r="S221" i="134"/>
  <c r="U221" i="134" s="1"/>
  <c r="E221" i="134" s="1"/>
  <c r="E220" i="134"/>
  <c r="T220" i="134"/>
  <c r="S220" i="134"/>
  <c r="U220" i="134" s="1"/>
  <c r="T219" i="134"/>
  <c r="S219" i="134"/>
  <c r="T218" i="134"/>
  <c r="S218" i="134"/>
  <c r="T217" i="134"/>
  <c r="S217" i="134"/>
  <c r="T216" i="134"/>
  <c r="S216" i="134"/>
  <c r="U216" i="134" s="1"/>
  <c r="E216" i="134" s="1"/>
  <c r="T215" i="134"/>
  <c r="S215" i="134"/>
  <c r="T214" i="134"/>
  <c r="S214" i="134"/>
  <c r="U214" i="134" s="1"/>
  <c r="E214" i="134" s="1"/>
  <c r="T213" i="134"/>
  <c r="S213" i="134"/>
  <c r="U213" i="134" s="1"/>
  <c r="E213" i="134" s="1"/>
  <c r="E212" i="134"/>
  <c r="T212" i="134"/>
  <c r="S212" i="134"/>
  <c r="U212" i="134" s="1"/>
  <c r="T211" i="134"/>
  <c r="S211" i="134"/>
  <c r="T210" i="134"/>
  <c r="S210" i="134"/>
  <c r="T209" i="134"/>
  <c r="S209" i="134"/>
  <c r="T208" i="134"/>
  <c r="S208" i="134"/>
  <c r="U208" i="134" s="1"/>
  <c r="E208" i="134" s="1"/>
  <c r="T207" i="134"/>
  <c r="S207" i="134"/>
  <c r="T206" i="134"/>
  <c r="S206" i="134"/>
  <c r="U206" i="134" s="1"/>
  <c r="E206" i="134" s="1"/>
  <c r="T205" i="134"/>
  <c r="S205" i="134"/>
  <c r="U205" i="134" s="1"/>
  <c r="E205" i="134" s="1"/>
  <c r="E204" i="134"/>
  <c r="T204" i="134"/>
  <c r="S204" i="134"/>
  <c r="U204" i="134" s="1"/>
  <c r="T203" i="134"/>
  <c r="S203" i="134"/>
  <c r="T202" i="134"/>
  <c r="S202" i="134"/>
  <c r="T201" i="134"/>
  <c r="S201" i="134"/>
  <c r="T200" i="134"/>
  <c r="S200" i="134"/>
  <c r="U200" i="134" s="1"/>
  <c r="E200" i="134" s="1"/>
  <c r="T199" i="134"/>
  <c r="S199" i="134"/>
  <c r="T198" i="134"/>
  <c r="S198" i="134"/>
  <c r="U198" i="134" s="1"/>
  <c r="E198" i="134" s="1"/>
  <c r="T197" i="134"/>
  <c r="S197" i="134"/>
  <c r="E196" i="134"/>
  <c r="T196" i="134"/>
  <c r="S196" i="134"/>
  <c r="U196" i="134" s="1"/>
  <c r="T195" i="134"/>
  <c r="S195" i="134"/>
  <c r="T194" i="134"/>
  <c r="S194" i="134"/>
  <c r="T193" i="134"/>
  <c r="S193" i="134"/>
  <c r="T192" i="134"/>
  <c r="S192" i="134"/>
  <c r="U192" i="134" s="1"/>
  <c r="E192" i="134" s="1"/>
  <c r="T191" i="134"/>
  <c r="S191" i="134"/>
  <c r="T190" i="134"/>
  <c r="S190" i="134"/>
  <c r="U190" i="134" s="1"/>
  <c r="E190" i="134" s="1"/>
  <c r="T189" i="134"/>
  <c r="S189" i="134"/>
  <c r="E188" i="134"/>
  <c r="T188" i="134"/>
  <c r="S188" i="134"/>
  <c r="U188" i="134" s="1"/>
  <c r="T187" i="134"/>
  <c r="S187" i="134"/>
  <c r="T186" i="134"/>
  <c r="S186" i="134"/>
  <c r="T185" i="134"/>
  <c r="S185" i="134"/>
  <c r="T184" i="134"/>
  <c r="S184" i="134"/>
  <c r="U184" i="134" s="1"/>
  <c r="E184" i="134" s="1"/>
  <c r="T183" i="134"/>
  <c r="S183" i="134"/>
  <c r="T182" i="134"/>
  <c r="S182" i="134"/>
  <c r="U182" i="134" s="1"/>
  <c r="E182" i="134" s="1"/>
  <c r="T181" i="134"/>
  <c r="U181" i="134" s="1"/>
  <c r="E181" i="134" s="1"/>
  <c r="S181" i="134"/>
  <c r="T180" i="134"/>
  <c r="S180" i="134"/>
  <c r="U180" i="134" s="1"/>
  <c r="E180" i="134" s="1"/>
  <c r="T179" i="134"/>
  <c r="S179" i="134"/>
  <c r="E178" i="134"/>
  <c r="T178" i="134"/>
  <c r="S178" i="134"/>
  <c r="U178" i="134" s="1"/>
  <c r="T177" i="134"/>
  <c r="S177" i="134"/>
  <c r="U177" i="134" s="1"/>
  <c r="E177" i="134" s="1"/>
  <c r="T176" i="134"/>
  <c r="S176" i="134"/>
  <c r="T175" i="134"/>
  <c r="U175" i="134" s="1"/>
  <c r="E175" i="134" s="1"/>
  <c r="S175" i="134"/>
  <c r="U174" i="134"/>
  <c r="E174" i="134" s="1"/>
  <c r="T174" i="134"/>
  <c r="S174" i="134"/>
  <c r="T173" i="134"/>
  <c r="U173" i="134" s="1"/>
  <c r="E173" i="134" s="1"/>
  <c r="S173" i="134"/>
  <c r="E172" i="134"/>
  <c r="U172" i="134"/>
  <c r="T172" i="134"/>
  <c r="S172" i="134"/>
  <c r="T171" i="134"/>
  <c r="S171" i="134"/>
  <c r="U171" i="134" s="1"/>
  <c r="E171" i="134" s="1"/>
  <c r="E170" i="134"/>
  <c r="U170" i="134"/>
  <c r="T170" i="134"/>
  <c r="S170" i="134"/>
  <c r="T169" i="134"/>
  <c r="S169" i="134"/>
  <c r="U169" i="134" s="1"/>
  <c r="E169" i="134" s="1"/>
  <c r="U168" i="134"/>
  <c r="E168" i="134" s="1"/>
  <c r="T168" i="134"/>
  <c r="S168" i="134"/>
  <c r="T167" i="134"/>
  <c r="S167" i="134"/>
  <c r="U167" i="134" s="1"/>
  <c r="E167" i="134" s="1"/>
  <c r="U166" i="134"/>
  <c r="E166" i="134" s="1"/>
  <c r="T166" i="134"/>
  <c r="S166" i="134"/>
  <c r="T165" i="134"/>
  <c r="S165" i="134"/>
  <c r="U165" i="134" s="1"/>
  <c r="E165" i="134" s="1"/>
  <c r="E164" i="134"/>
  <c r="U164" i="134"/>
  <c r="T164" i="134"/>
  <c r="S164" i="134"/>
  <c r="T163" i="134"/>
  <c r="S163" i="134"/>
  <c r="U163" i="134" s="1"/>
  <c r="E163" i="134" s="1"/>
  <c r="E162" i="134"/>
  <c r="U162" i="134"/>
  <c r="T162" i="134"/>
  <c r="S162" i="134"/>
  <c r="T161" i="134"/>
  <c r="S161" i="134"/>
  <c r="U161" i="134" s="1"/>
  <c r="E161" i="134" s="1"/>
  <c r="U160" i="134"/>
  <c r="E160" i="134" s="1"/>
  <c r="T160" i="134"/>
  <c r="S160" i="134"/>
  <c r="T159" i="134"/>
  <c r="S159" i="134"/>
  <c r="U159" i="134" s="1"/>
  <c r="E159" i="134" s="1"/>
  <c r="U158" i="134"/>
  <c r="E158" i="134" s="1"/>
  <c r="T158" i="134"/>
  <c r="S158" i="134"/>
  <c r="T157" i="134"/>
  <c r="S157" i="134"/>
  <c r="U157" i="134" s="1"/>
  <c r="E157" i="134" s="1"/>
  <c r="E156" i="134"/>
  <c r="U156" i="134"/>
  <c r="T156" i="134"/>
  <c r="S156" i="134"/>
  <c r="T155" i="134"/>
  <c r="S155" i="134"/>
  <c r="U155" i="134" s="1"/>
  <c r="E155" i="134" s="1"/>
  <c r="T154" i="134"/>
  <c r="S154" i="134"/>
  <c r="U154" i="134" s="1"/>
  <c r="E154" i="134" s="1"/>
  <c r="T153" i="134"/>
  <c r="S153" i="134"/>
  <c r="U153" i="134" s="1"/>
  <c r="E153" i="134" s="1"/>
  <c r="U152" i="134"/>
  <c r="E152" i="134" s="1"/>
  <c r="T152" i="134"/>
  <c r="S152" i="134"/>
  <c r="T151" i="134"/>
  <c r="S151" i="134"/>
  <c r="U151" i="134" s="1"/>
  <c r="E151" i="134" s="1"/>
  <c r="U150" i="134"/>
  <c r="E150" i="134" s="1"/>
  <c r="T150" i="134"/>
  <c r="S150" i="134"/>
  <c r="T149" i="134"/>
  <c r="S149" i="134"/>
  <c r="U149" i="134" s="1"/>
  <c r="E149" i="134" s="1"/>
  <c r="T148" i="134"/>
  <c r="S148" i="134"/>
  <c r="U148" i="134" s="1"/>
  <c r="E148" i="134" s="1"/>
  <c r="T147" i="134"/>
  <c r="S147" i="134"/>
  <c r="U147" i="134" s="1"/>
  <c r="E147" i="134" s="1"/>
  <c r="T146" i="134"/>
  <c r="S146" i="134"/>
  <c r="U146" i="134" s="1"/>
  <c r="E146" i="134" s="1"/>
  <c r="T145" i="134"/>
  <c r="S145" i="134"/>
  <c r="U145" i="134" s="1"/>
  <c r="E145" i="134" s="1"/>
  <c r="U144" i="134"/>
  <c r="E144" i="134" s="1"/>
  <c r="T144" i="134"/>
  <c r="S144" i="134"/>
  <c r="T143" i="134"/>
  <c r="S143" i="134"/>
  <c r="U143" i="134" s="1"/>
  <c r="E143" i="134" s="1"/>
  <c r="U142" i="134"/>
  <c r="E142" i="134" s="1"/>
  <c r="T142" i="134"/>
  <c r="S142" i="134"/>
  <c r="T141" i="134"/>
  <c r="S141" i="134"/>
  <c r="U141" i="134" s="1"/>
  <c r="E141" i="134" s="1"/>
  <c r="T140" i="134"/>
  <c r="S140" i="134"/>
  <c r="U140" i="134" s="1"/>
  <c r="E140" i="134" s="1"/>
  <c r="T139" i="134"/>
  <c r="S139" i="134"/>
  <c r="U139" i="134" s="1"/>
  <c r="E139" i="134" s="1"/>
  <c r="T138" i="134"/>
  <c r="S138" i="134"/>
  <c r="U138" i="134" s="1"/>
  <c r="E138" i="134" s="1"/>
  <c r="T137" i="134"/>
  <c r="S137" i="134"/>
  <c r="U137" i="134" s="1"/>
  <c r="E137" i="134" s="1"/>
  <c r="U136" i="134"/>
  <c r="E136" i="134" s="1"/>
  <c r="T136" i="134"/>
  <c r="S136" i="134"/>
  <c r="T135" i="134"/>
  <c r="S135" i="134"/>
  <c r="U135" i="134" s="1"/>
  <c r="E135" i="134" s="1"/>
  <c r="U134" i="134"/>
  <c r="E134" i="134" s="1"/>
  <c r="T134" i="134"/>
  <c r="S134" i="134"/>
  <c r="T133" i="134"/>
  <c r="S133" i="134"/>
  <c r="U133" i="134" s="1"/>
  <c r="E133" i="134" s="1"/>
  <c r="T132" i="134"/>
  <c r="S132" i="134"/>
  <c r="U132" i="134" s="1"/>
  <c r="E132" i="134" s="1"/>
  <c r="T131" i="134"/>
  <c r="S131" i="134"/>
  <c r="U131" i="134" s="1"/>
  <c r="E131" i="134" s="1"/>
  <c r="T130" i="134"/>
  <c r="S130" i="134"/>
  <c r="U130" i="134" s="1"/>
  <c r="E130" i="134" s="1"/>
  <c r="T129" i="134"/>
  <c r="S129" i="134"/>
  <c r="U129" i="134" s="1"/>
  <c r="E129" i="134" s="1"/>
  <c r="U128" i="134"/>
  <c r="E128" i="134" s="1"/>
  <c r="T128" i="134"/>
  <c r="S128" i="134"/>
  <c r="T127" i="134"/>
  <c r="S127" i="134"/>
  <c r="U127" i="134" s="1"/>
  <c r="E127" i="134" s="1"/>
  <c r="U126" i="134"/>
  <c r="E126" i="134" s="1"/>
  <c r="T126" i="134"/>
  <c r="S126" i="134"/>
  <c r="T125" i="134"/>
  <c r="S125" i="134"/>
  <c r="T124" i="134"/>
  <c r="S124" i="134"/>
  <c r="U124" i="134" s="1"/>
  <c r="E124" i="134" s="1"/>
  <c r="T123" i="134"/>
  <c r="S123" i="134"/>
  <c r="U123" i="134" s="1"/>
  <c r="E123" i="134" s="1"/>
  <c r="T122" i="134"/>
  <c r="S122" i="134"/>
  <c r="U122" i="134" s="1"/>
  <c r="E122" i="134" s="1"/>
  <c r="T121" i="134"/>
  <c r="S121" i="134"/>
  <c r="U121" i="134" s="1"/>
  <c r="E121" i="134" s="1"/>
  <c r="U120" i="134"/>
  <c r="E120" i="134" s="1"/>
  <c r="T120" i="134"/>
  <c r="S120" i="134"/>
  <c r="T119" i="134"/>
  <c r="S119" i="134"/>
  <c r="U119" i="134" s="1"/>
  <c r="E119" i="134" s="1"/>
  <c r="U118" i="134"/>
  <c r="E118" i="134" s="1"/>
  <c r="T118" i="134"/>
  <c r="S118" i="134"/>
  <c r="T117" i="134"/>
  <c r="S117" i="134"/>
  <c r="T116" i="134"/>
  <c r="S116" i="134"/>
  <c r="U116" i="134" s="1"/>
  <c r="E116" i="134" s="1"/>
  <c r="T115" i="134"/>
  <c r="S115" i="134"/>
  <c r="U115" i="134" s="1"/>
  <c r="E115" i="134" s="1"/>
  <c r="T114" i="134"/>
  <c r="S114" i="134"/>
  <c r="U114" i="134" s="1"/>
  <c r="E114" i="134" s="1"/>
  <c r="T113" i="134"/>
  <c r="S113" i="134"/>
  <c r="U113" i="134" s="1"/>
  <c r="E113" i="134" s="1"/>
  <c r="U112" i="134"/>
  <c r="E112" i="134" s="1"/>
  <c r="T112" i="134"/>
  <c r="S112" i="134"/>
  <c r="T111" i="134"/>
  <c r="S111" i="134"/>
  <c r="U111" i="134" s="1"/>
  <c r="E111" i="134" s="1"/>
  <c r="U110" i="134"/>
  <c r="E110" i="134" s="1"/>
  <c r="T110" i="134"/>
  <c r="S110" i="134"/>
  <c r="T109" i="134"/>
  <c r="S109" i="134"/>
  <c r="T108" i="134"/>
  <c r="S108" i="134"/>
  <c r="U108" i="134" s="1"/>
  <c r="E108" i="134" s="1"/>
  <c r="T107" i="134"/>
  <c r="S107" i="134"/>
  <c r="U107" i="134" s="1"/>
  <c r="E107" i="134" s="1"/>
  <c r="T106" i="134"/>
  <c r="S106" i="134"/>
  <c r="U106" i="134" s="1"/>
  <c r="E106" i="134" s="1"/>
  <c r="T105" i="134"/>
  <c r="S105" i="134"/>
  <c r="U105" i="134" s="1"/>
  <c r="E105" i="134" s="1"/>
  <c r="U104" i="134"/>
  <c r="E104" i="134" s="1"/>
  <c r="T104" i="134"/>
  <c r="S104" i="134"/>
  <c r="T103" i="134"/>
  <c r="S103" i="134"/>
  <c r="U103" i="134" s="1"/>
  <c r="E103" i="134" s="1"/>
  <c r="U102" i="134"/>
  <c r="E102" i="134" s="1"/>
  <c r="T102" i="134"/>
  <c r="S102" i="134"/>
  <c r="T101" i="134"/>
  <c r="S101" i="134"/>
  <c r="U101" i="134" s="1"/>
  <c r="E101" i="134" s="1"/>
  <c r="T100" i="134"/>
  <c r="S100" i="134"/>
  <c r="U100" i="134" s="1"/>
  <c r="E100" i="134" s="1"/>
  <c r="T99" i="134"/>
  <c r="S99" i="134"/>
  <c r="U99" i="134" s="1"/>
  <c r="E99" i="134" s="1"/>
  <c r="T98" i="134"/>
  <c r="S98" i="134"/>
  <c r="U98" i="134" s="1"/>
  <c r="E98" i="134" s="1"/>
  <c r="T97" i="134"/>
  <c r="S97" i="134"/>
  <c r="U97" i="134" s="1"/>
  <c r="E97" i="134" s="1"/>
  <c r="U96" i="134"/>
  <c r="E96" i="134" s="1"/>
  <c r="T96" i="134"/>
  <c r="S96" i="134"/>
  <c r="T95" i="134"/>
  <c r="S95" i="134"/>
  <c r="U95" i="134" s="1"/>
  <c r="E95" i="134" s="1"/>
  <c r="T94" i="134"/>
  <c r="S94" i="134"/>
  <c r="U94" i="134" s="1"/>
  <c r="E94" i="134" s="1"/>
  <c r="T93" i="134"/>
  <c r="S93" i="134"/>
  <c r="U93" i="134" s="1"/>
  <c r="E93" i="134" s="1"/>
  <c r="U92" i="134"/>
  <c r="E92" i="134" s="1"/>
  <c r="T92" i="134"/>
  <c r="S92" i="134"/>
  <c r="T91" i="134"/>
  <c r="S91" i="134"/>
  <c r="T90" i="134"/>
  <c r="U90" i="134" s="1"/>
  <c r="E90" i="134" s="1"/>
  <c r="S90" i="134"/>
  <c r="E89" i="134"/>
  <c r="T89" i="134"/>
  <c r="S89" i="134"/>
  <c r="U89" i="134" s="1"/>
  <c r="T88" i="134"/>
  <c r="S88" i="134"/>
  <c r="U88" i="134" s="1"/>
  <c r="E88" i="134" s="1"/>
  <c r="T87" i="134"/>
  <c r="S87" i="134"/>
  <c r="T86" i="134"/>
  <c r="S86" i="134"/>
  <c r="U86" i="134" s="1"/>
  <c r="E86" i="134" s="1"/>
  <c r="E85" i="134"/>
  <c r="T85" i="134"/>
  <c r="S85" i="134"/>
  <c r="U85" i="134" s="1"/>
  <c r="T84" i="134"/>
  <c r="S84" i="134"/>
  <c r="U84" i="134" s="1"/>
  <c r="E84" i="134" s="1"/>
  <c r="T83" i="134"/>
  <c r="S83" i="134"/>
  <c r="T82" i="134"/>
  <c r="U82" i="134" s="1"/>
  <c r="E82" i="134" s="1"/>
  <c r="S82" i="134"/>
  <c r="T81" i="134"/>
  <c r="U81" i="134" s="1"/>
  <c r="E81" i="134" s="1"/>
  <c r="S81" i="134"/>
  <c r="T80" i="134"/>
  <c r="U80" i="134" s="1"/>
  <c r="E80" i="134" s="1"/>
  <c r="S80" i="134"/>
  <c r="T79" i="134"/>
  <c r="U79" i="134" s="1"/>
  <c r="E79" i="134" s="1"/>
  <c r="S79" i="134"/>
  <c r="T78" i="134"/>
  <c r="U78" i="134" s="1"/>
  <c r="E78" i="134" s="1"/>
  <c r="S78" i="134"/>
  <c r="T77" i="134"/>
  <c r="U77" i="134" s="1"/>
  <c r="E77" i="134" s="1"/>
  <c r="S77" i="134"/>
  <c r="T76" i="134"/>
  <c r="U76" i="134" s="1"/>
  <c r="E76" i="134" s="1"/>
  <c r="S76" i="134"/>
  <c r="T75" i="134"/>
  <c r="U75" i="134" s="1"/>
  <c r="E75" i="134" s="1"/>
  <c r="S75" i="134"/>
  <c r="T74" i="134"/>
  <c r="U74" i="134" s="1"/>
  <c r="E74" i="134" s="1"/>
  <c r="S74" i="134"/>
  <c r="T73" i="134"/>
  <c r="U73" i="134" s="1"/>
  <c r="E73" i="134" s="1"/>
  <c r="S73" i="134"/>
  <c r="T72" i="134"/>
  <c r="U72" i="134" s="1"/>
  <c r="E72" i="134" s="1"/>
  <c r="S72" i="134"/>
  <c r="T71" i="134"/>
  <c r="U71" i="134" s="1"/>
  <c r="E71" i="134" s="1"/>
  <c r="S71" i="134"/>
  <c r="T70" i="134"/>
  <c r="U70" i="134" s="1"/>
  <c r="E70" i="134" s="1"/>
  <c r="S70" i="134"/>
  <c r="T69" i="134"/>
  <c r="U69" i="134" s="1"/>
  <c r="E69" i="134" s="1"/>
  <c r="S69" i="134"/>
  <c r="T68" i="134"/>
  <c r="U68" i="134" s="1"/>
  <c r="E68" i="134" s="1"/>
  <c r="S68" i="134"/>
  <c r="T67" i="134"/>
  <c r="U67" i="134" s="1"/>
  <c r="E67" i="134" s="1"/>
  <c r="S67" i="134"/>
  <c r="T66" i="134"/>
  <c r="U66" i="134" s="1"/>
  <c r="E66" i="134" s="1"/>
  <c r="S66" i="134"/>
  <c r="T65" i="134"/>
  <c r="U65" i="134" s="1"/>
  <c r="E65" i="134" s="1"/>
  <c r="S65" i="134"/>
  <c r="T64" i="134"/>
  <c r="U64" i="134" s="1"/>
  <c r="E64" i="134" s="1"/>
  <c r="S64" i="134"/>
  <c r="T63" i="134"/>
  <c r="U63" i="134" s="1"/>
  <c r="E63" i="134" s="1"/>
  <c r="S63" i="134"/>
  <c r="T62" i="134"/>
  <c r="U62" i="134" s="1"/>
  <c r="E62" i="134" s="1"/>
  <c r="S62" i="134"/>
  <c r="T61" i="134"/>
  <c r="U61" i="134" s="1"/>
  <c r="E61" i="134" s="1"/>
  <c r="S61" i="134"/>
  <c r="T60" i="134"/>
  <c r="U60" i="134" s="1"/>
  <c r="E60" i="134" s="1"/>
  <c r="S60" i="134"/>
  <c r="T59" i="134"/>
  <c r="U59" i="134" s="1"/>
  <c r="E59" i="134" s="1"/>
  <c r="S59" i="134"/>
  <c r="T58" i="134"/>
  <c r="U58" i="134" s="1"/>
  <c r="E58" i="134" s="1"/>
  <c r="S58" i="134"/>
  <c r="T57" i="134"/>
  <c r="U57" i="134" s="1"/>
  <c r="E57" i="134" s="1"/>
  <c r="S57" i="134"/>
  <c r="S56" i="134"/>
  <c r="U55" i="134"/>
  <c r="E55" i="134" s="1"/>
  <c r="T55" i="134"/>
  <c r="S55" i="134"/>
  <c r="T54" i="134"/>
  <c r="S54" i="134"/>
  <c r="U54" i="134" s="1"/>
  <c r="E54" i="134" s="1"/>
  <c r="U53" i="134"/>
  <c r="E53" i="134" s="1"/>
  <c r="T53" i="134"/>
  <c r="S53" i="134"/>
  <c r="T52" i="134"/>
  <c r="S52" i="134"/>
  <c r="U52" i="134" s="1"/>
  <c r="E52" i="134" s="1"/>
  <c r="U51" i="134"/>
  <c r="E51" i="134" s="1"/>
  <c r="T51" i="134"/>
  <c r="S51" i="134"/>
  <c r="S50" i="134"/>
  <c r="S49" i="134"/>
  <c r="T48" i="134"/>
  <c r="S48" i="134"/>
  <c r="U48" i="134" s="1"/>
  <c r="E48" i="134" s="1"/>
  <c r="U47" i="134"/>
  <c r="E47" i="134" s="1"/>
  <c r="T47" i="134"/>
  <c r="S47" i="134"/>
  <c r="T46" i="134"/>
  <c r="S46" i="134"/>
  <c r="U46" i="134" s="1"/>
  <c r="E46" i="134" s="1"/>
  <c r="U45" i="134"/>
  <c r="E45" i="134" s="1"/>
  <c r="T45" i="134"/>
  <c r="S45" i="134"/>
  <c r="T44" i="134"/>
  <c r="S44" i="134"/>
  <c r="U44" i="134" s="1"/>
  <c r="E44" i="134" s="1"/>
  <c r="U43" i="134"/>
  <c r="E43" i="134" s="1"/>
  <c r="T43" i="134"/>
  <c r="S43" i="134"/>
  <c r="S42" i="134"/>
  <c r="S41" i="134"/>
  <c r="U40" i="134"/>
  <c r="E40" i="134" s="1"/>
  <c r="T40" i="134"/>
  <c r="S40" i="134"/>
  <c r="T39" i="134"/>
  <c r="S39" i="134"/>
  <c r="U39" i="134" s="1"/>
  <c r="E39" i="134" s="1"/>
  <c r="S38" i="134"/>
  <c r="T37" i="134"/>
  <c r="S37" i="134"/>
  <c r="U37" i="134" s="1"/>
  <c r="E37" i="134" s="1"/>
  <c r="T36" i="134"/>
  <c r="S36" i="134"/>
  <c r="U36" i="134" s="1"/>
  <c r="E36" i="134" s="1"/>
  <c r="T35" i="134"/>
  <c r="S35" i="134"/>
  <c r="U35" i="134" s="1"/>
  <c r="E35" i="134" s="1"/>
  <c r="S34" i="134"/>
  <c r="S33" i="134"/>
  <c r="S32" i="134"/>
  <c r="U31" i="134"/>
  <c r="E31" i="134" s="1"/>
  <c r="T31" i="134"/>
  <c r="S31" i="134"/>
  <c r="T30" i="134"/>
  <c r="S30" i="134"/>
  <c r="U30" i="134" s="1"/>
  <c r="E30" i="134" s="1"/>
  <c r="S29" i="134"/>
  <c r="S28" i="134"/>
  <c r="U27" i="134"/>
  <c r="E27" i="134" s="1"/>
  <c r="T27" i="134"/>
  <c r="S27" i="134"/>
  <c r="T26" i="134"/>
  <c r="S26" i="134"/>
  <c r="U26" i="134" s="1"/>
  <c r="E26" i="134" s="1"/>
  <c r="S25" i="134"/>
  <c r="T24" i="134"/>
  <c r="U24" i="134" s="1"/>
  <c r="E24" i="134" s="1"/>
  <c r="S24" i="134"/>
  <c r="T23" i="134"/>
  <c r="U23" i="134" s="1"/>
  <c r="E23" i="134" s="1"/>
  <c r="S23" i="134"/>
  <c r="S22" i="134"/>
  <c r="T21" i="134"/>
  <c r="S21" i="134"/>
  <c r="U21" i="134" s="1"/>
  <c r="E21" i="134" s="1"/>
  <c r="S20" i="134"/>
  <c r="S19" i="134"/>
  <c r="S18" i="134"/>
  <c r="S17" i="134"/>
  <c r="T16" i="134"/>
  <c r="S16" i="134"/>
  <c r="U16" i="134" s="1"/>
  <c r="E16" i="134" s="1"/>
  <c r="S15" i="134"/>
  <c r="T14" i="134"/>
  <c r="S14" i="134"/>
  <c r="U14" i="134" s="1"/>
  <c r="E14" i="134" s="1"/>
  <c r="T13" i="134"/>
  <c r="S13" i="134"/>
  <c r="U13" i="134" s="1"/>
  <c r="E13" i="134" s="1"/>
  <c r="T12" i="134"/>
  <c r="S12" i="134"/>
  <c r="U12" i="134" s="1"/>
  <c r="E12" i="134" s="1"/>
  <c r="T11" i="134"/>
  <c r="S11" i="134"/>
  <c r="U11" i="134" s="1"/>
  <c r="E11" i="134" s="1"/>
  <c r="T10" i="134"/>
  <c r="S10" i="134"/>
  <c r="U10" i="134" s="1"/>
  <c r="U345" i="134"/>
  <c r="T345" i="134" s="1"/>
  <c r="S345" i="134"/>
  <c r="U344" i="134"/>
  <c r="E344" i="134" s="1"/>
  <c r="S344" i="134"/>
  <c r="U343" i="134"/>
  <c r="T343" i="134" s="1"/>
  <c r="S343" i="134"/>
  <c r="U342" i="134"/>
  <c r="E342" i="134" s="1"/>
  <c r="S342" i="134"/>
  <c r="P2" i="133"/>
  <c r="P3" i="133" s="1"/>
  <c r="O2" i="133"/>
  <c r="O3" i="133" s="1"/>
  <c r="N2" i="133"/>
  <c r="N3" i="133" s="1"/>
  <c r="M2" i="133"/>
  <c r="M3" i="133" s="1"/>
  <c r="L2" i="133"/>
  <c r="L3" i="133" s="1"/>
  <c r="K2" i="133"/>
  <c r="K3" i="133" s="1"/>
  <c r="J2" i="133"/>
  <c r="J3" i="133" s="1"/>
  <c r="I2" i="133"/>
  <c r="I3" i="133" s="1"/>
  <c r="H2" i="133"/>
  <c r="H3" i="133" s="1"/>
  <c r="G2" i="133"/>
  <c r="G3" i="133" s="1"/>
  <c r="T339" i="133"/>
  <c r="S339" i="133"/>
  <c r="U339" i="133" s="1"/>
  <c r="E339" i="133" s="1"/>
  <c r="T338" i="133"/>
  <c r="S338" i="133"/>
  <c r="U338" i="133" s="1"/>
  <c r="E338" i="133" s="1"/>
  <c r="T337" i="133"/>
  <c r="S337" i="133"/>
  <c r="U337" i="133" s="1"/>
  <c r="E337" i="133" s="1"/>
  <c r="T336" i="133"/>
  <c r="S336" i="133"/>
  <c r="U336" i="133" s="1"/>
  <c r="E336" i="133" s="1"/>
  <c r="T335" i="133"/>
  <c r="S335" i="133"/>
  <c r="U335" i="133" s="1"/>
  <c r="E335" i="133" s="1"/>
  <c r="T334" i="133"/>
  <c r="S334" i="133"/>
  <c r="U334" i="133" s="1"/>
  <c r="E334" i="133" s="1"/>
  <c r="T333" i="133"/>
  <c r="S333" i="133"/>
  <c r="U333" i="133" s="1"/>
  <c r="E333" i="133" s="1"/>
  <c r="T332" i="133"/>
  <c r="S332" i="133"/>
  <c r="U332" i="133" s="1"/>
  <c r="E332" i="133" s="1"/>
  <c r="T331" i="133"/>
  <c r="S331" i="133"/>
  <c r="U331" i="133" s="1"/>
  <c r="E331" i="133" s="1"/>
  <c r="T330" i="133"/>
  <c r="S330" i="133"/>
  <c r="U330" i="133" s="1"/>
  <c r="E330" i="133" s="1"/>
  <c r="T329" i="133"/>
  <c r="S329" i="133"/>
  <c r="U329" i="133" s="1"/>
  <c r="E329" i="133" s="1"/>
  <c r="T328" i="133"/>
  <c r="S328" i="133"/>
  <c r="U328" i="133" s="1"/>
  <c r="E328" i="133" s="1"/>
  <c r="T327" i="133"/>
  <c r="S327" i="133"/>
  <c r="U327" i="133" s="1"/>
  <c r="E327" i="133" s="1"/>
  <c r="T326" i="133"/>
  <c r="S326" i="133"/>
  <c r="U326" i="133" s="1"/>
  <c r="E326" i="133" s="1"/>
  <c r="T325" i="133"/>
  <c r="S325" i="133"/>
  <c r="U325" i="133" s="1"/>
  <c r="E325" i="133" s="1"/>
  <c r="T324" i="133"/>
  <c r="S324" i="133"/>
  <c r="U324" i="133" s="1"/>
  <c r="E324" i="133" s="1"/>
  <c r="T323" i="133"/>
  <c r="S323" i="133"/>
  <c r="U323" i="133" s="1"/>
  <c r="E323" i="133" s="1"/>
  <c r="T322" i="133"/>
  <c r="S322" i="133"/>
  <c r="U322" i="133" s="1"/>
  <c r="E322" i="133" s="1"/>
  <c r="T321" i="133"/>
  <c r="S321" i="133"/>
  <c r="U321" i="133" s="1"/>
  <c r="E321" i="133" s="1"/>
  <c r="E320" i="133"/>
  <c r="T320" i="133"/>
  <c r="S320" i="133"/>
  <c r="U320" i="133" s="1"/>
  <c r="T319" i="133"/>
  <c r="S319" i="133"/>
  <c r="U319" i="133" s="1"/>
  <c r="E319" i="133" s="1"/>
  <c r="E318" i="133"/>
  <c r="T318" i="133"/>
  <c r="S318" i="133"/>
  <c r="U318" i="133" s="1"/>
  <c r="T317" i="133"/>
  <c r="S317" i="133"/>
  <c r="U317" i="133" s="1"/>
  <c r="E317" i="133" s="1"/>
  <c r="E316" i="133"/>
  <c r="T316" i="133"/>
  <c r="S316" i="133"/>
  <c r="U316" i="133" s="1"/>
  <c r="T315" i="133"/>
  <c r="S315" i="133"/>
  <c r="U315" i="133" s="1"/>
  <c r="E315" i="133" s="1"/>
  <c r="T314" i="133"/>
  <c r="S314" i="133"/>
  <c r="U314" i="133" s="1"/>
  <c r="E314" i="133" s="1"/>
  <c r="T313" i="133"/>
  <c r="S313" i="133"/>
  <c r="U313" i="133" s="1"/>
  <c r="E313" i="133" s="1"/>
  <c r="T312" i="133"/>
  <c r="S312" i="133"/>
  <c r="U312" i="133" s="1"/>
  <c r="E312" i="133" s="1"/>
  <c r="T311" i="133"/>
  <c r="S311" i="133"/>
  <c r="U311" i="133" s="1"/>
  <c r="E311" i="133" s="1"/>
  <c r="E310" i="133"/>
  <c r="T310" i="133"/>
  <c r="S310" i="133"/>
  <c r="U310" i="133" s="1"/>
  <c r="T309" i="133"/>
  <c r="S309" i="133"/>
  <c r="U309" i="133" s="1"/>
  <c r="E309" i="133" s="1"/>
  <c r="T308" i="133"/>
  <c r="S308" i="133"/>
  <c r="U308" i="133" s="1"/>
  <c r="E308" i="133" s="1"/>
  <c r="T307" i="133"/>
  <c r="S307" i="133"/>
  <c r="U307" i="133" s="1"/>
  <c r="E307" i="133" s="1"/>
  <c r="T306" i="133"/>
  <c r="S306" i="133"/>
  <c r="U306" i="133" s="1"/>
  <c r="E306" i="133" s="1"/>
  <c r="T305" i="133"/>
  <c r="S305" i="133"/>
  <c r="U305" i="133" s="1"/>
  <c r="E305" i="133" s="1"/>
  <c r="E304" i="133"/>
  <c r="T304" i="133"/>
  <c r="S304" i="133"/>
  <c r="U304" i="133" s="1"/>
  <c r="T303" i="133"/>
  <c r="S303" i="133"/>
  <c r="U303" i="133" s="1"/>
  <c r="E303" i="133" s="1"/>
  <c r="E302" i="133"/>
  <c r="T302" i="133"/>
  <c r="S302" i="133"/>
  <c r="U302" i="133" s="1"/>
  <c r="T301" i="133"/>
  <c r="S301" i="133"/>
  <c r="U301" i="133" s="1"/>
  <c r="E301" i="133" s="1"/>
  <c r="T300" i="133"/>
  <c r="S300" i="133"/>
  <c r="U300" i="133" s="1"/>
  <c r="E300" i="133" s="1"/>
  <c r="T299" i="133"/>
  <c r="S299" i="133"/>
  <c r="U299" i="133" s="1"/>
  <c r="E299" i="133" s="1"/>
  <c r="T298" i="133"/>
  <c r="S298" i="133"/>
  <c r="U298" i="133" s="1"/>
  <c r="E298" i="133" s="1"/>
  <c r="T297" i="133"/>
  <c r="S297" i="133"/>
  <c r="U297" i="133" s="1"/>
  <c r="E297" i="133" s="1"/>
  <c r="T296" i="133"/>
  <c r="S296" i="133"/>
  <c r="U296" i="133" s="1"/>
  <c r="E296" i="133" s="1"/>
  <c r="T295" i="133"/>
  <c r="S295" i="133"/>
  <c r="U295" i="133" s="1"/>
  <c r="E295" i="133" s="1"/>
  <c r="E294" i="133"/>
  <c r="T294" i="133"/>
  <c r="S294" i="133"/>
  <c r="U294" i="133" s="1"/>
  <c r="T293" i="133"/>
  <c r="S293" i="133"/>
  <c r="U293" i="133" s="1"/>
  <c r="E293" i="133" s="1"/>
  <c r="T292" i="133"/>
  <c r="S292" i="133"/>
  <c r="U292" i="133" s="1"/>
  <c r="E292" i="133" s="1"/>
  <c r="T291" i="133"/>
  <c r="S291" i="133"/>
  <c r="U291" i="133" s="1"/>
  <c r="E291" i="133" s="1"/>
  <c r="T290" i="133"/>
  <c r="S290" i="133"/>
  <c r="U290" i="133" s="1"/>
  <c r="E290" i="133" s="1"/>
  <c r="T289" i="133"/>
  <c r="S289" i="133"/>
  <c r="U289" i="133" s="1"/>
  <c r="E289" i="133" s="1"/>
  <c r="E288" i="133"/>
  <c r="T288" i="133"/>
  <c r="S288" i="133"/>
  <c r="U288" i="133" s="1"/>
  <c r="T287" i="133"/>
  <c r="S287" i="133"/>
  <c r="U287" i="133" s="1"/>
  <c r="E287" i="133" s="1"/>
  <c r="E286" i="133"/>
  <c r="T286" i="133"/>
  <c r="S286" i="133"/>
  <c r="U286" i="133" s="1"/>
  <c r="T285" i="133"/>
  <c r="S285" i="133"/>
  <c r="U285" i="133" s="1"/>
  <c r="E285" i="133" s="1"/>
  <c r="T284" i="133"/>
  <c r="S284" i="133"/>
  <c r="U284" i="133" s="1"/>
  <c r="E284" i="133" s="1"/>
  <c r="T283" i="133"/>
  <c r="S283" i="133"/>
  <c r="U283" i="133" s="1"/>
  <c r="E283" i="133" s="1"/>
  <c r="T282" i="133"/>
  <c r="S282" i="133"/>
  <c r="U282" i="133" s="1"/>
  <c r="E282" i="133" s="1"/>
  <c r="T281" i="133"/>
  <c r="S281" i="133"/>
  <c r="U281" i="133" s="1"/>
  <c r="E281" i="133" s="1"/>
  <c r="T280" i="133"/>
  <c r="S280" i="133"/>
  <c r="U280" i="133" s="1"/>
  <c r="E280" i="133" s="1"/>
  <c r="T279" i="133"/>
  <c r="S279" i="133"/>
  <c r="U279" i="133" s="1"/>
  <c r="E279" i="133" s="1"/>
  <c r="E278" i="133"/>
  <c r="T278" i="133"/>
  <c r="S278" i="133"/>
  <c r="U278" i="133" s="1"/>
  <c r="T277" i="133"/>
  <c r="S277" i="133"/>
  <c r="U277" i="133" s="1"/>
  <c r="E277" i="133" s="1"/>
  <c r="T276" i="133"/>
  <c r="S276" i="133"/>
  <c r="U276" i="133" s="1"/>
  <c r="E276" i="133" s="1"/>
  <c r="T275" i="133"/>
  <c r="S275" i="133"/>
  <c r="U275" i="133" s="1"/>
  <c r="E275" i="133" s="1"/>
  <c r="T274" i="133"/>
  <c r="S274" i="133"/>
  <c r="U274" i="133" s="1"/>
  <c r="E274" i="133" s="1"/>
  <c r="T273" i="133"/>
  <c r="S273" i="133"/>
  <c r="U273" i="133" s="1"/>
  <c r="E273" i="133" s="1"/>
  <c r="E272" i="133"/>
  <c r="T272" i="133"/>
  <c r="S272" i="133"/>
  <c r="U272" i="133" s="1"/>
  <c r="T271" i="133"/>
  <c r="S271" i="133"/>
  <c r="U271" i="133" s="1"/>
  <c r="E271" i="133" s="1"/>
  <c r="T270" i="133"/>
  <c r="S270" i="133"/>
  <c r="U270" i="133" s="1"/>
  <c r="E270" i="133" s="1"/>
  <c r="E269" i="133"/>
  <c r="T269" i="133"/>
  <c r="S269" i="133"/>
  <c r="U269" i="133" s="1"/>
  <c r="T268" i="133"/>
  <c r="S268" i="133"/>
  <c r="U268" i="133" s="1"/>
  <c r="E268" i="133" s="1"/>
  <c r="T267" i="133"/>
  <c r="S267" i="133"/>
  <c r="U267" i="133" s="1"/>
  <c r="E267" i="133" s="1"/>
  <c r="E266" i="133"/>
  <c r="T266" i="133"/>
  <c r="S266" i="133"/>
  <c r="U266" i="133" s="1"/>
  <c r="E265" i="133"/>
  <c r="T265" i="133"/>
  <c r="S265" i="133"/>
  <c r="U265" i="133" s="1"/>
  <c r="E264" i="133"/>
  <c r="T264" i="133"/>
  <c r="S264" i="133"/>
  <c r="U264" i="133" s="1"/>
  <c r="T263" i="133"/>
  <c r="S263" i="133"/>
  <c r="U263" i="133" s="1"/>
  <c r="E263" i="133" s="1"/>
  <c r="T262" i="133"/>
  <c r="S262" i="133"/>
  <c r="U262" i="133" s="1"/>
  <c r="E262" i="133" s="1"/>
  <c r="E261" i="133"/>
  <c r="T261" i="133"/>
  <c r="S261" i="133"/>
  <c r="U261" i="133" s="1"/>
  <c r="T260" i="133"/>
  <c r="S260" i="133"/>
  <c r="T259" i="133"/>
  <c r="S259" i="133"/>
  <c r="U259" i="133" s="1"/>
  <c r="E259" i="133" s="1"/>
  <c r="T258" i="133"/>
  <c r="S258" i="133"/>
  <c r="E257" i="133"/>
  <c r="T257" i="133"/>
  <c r="S257" i="133"/>
  <c r="U257" i="133" s="1"/>
  <c r="T256" i="133"/>
  <c r="S256" i="133"/>
  <c r="T255" i="133"/>
  <c r="S255" i="133"/>
  <c r="U255" i="133" s="1"/>
  <c r="E255" i="133" s="1"/>
  <c r="T254" i="133"/>
  <c r="S254" i="133"/>
  <c r="U254" i="133" s="1"/>
  <c r="E254" i="133" s="1"/>
  <c r="E253" i="133"/>
  <c r="T253" i="133"/>
  <c r="S253" i="133"/>
  <c r="U253" i="133" s="1"/>
  <c r="T252" i="133"/>
  <c r="S252" i="133"/>
  <c r="T251" i="133"/>
  <c r="S251" i="133"/>
  <c r="U251" i="133" s="1"/>
  <c r="E251" i="133" s="1"/>
  <c r="T250" i="133"/>
  <c r="S250" i="133"/>
  <c r="E249" i="133"/>
  <c r="T249" i="133"/>
  <c r="S249" i="133"/>
  <c r="U249" i="133" s="1"/>
  <c r="T248" i="133"/>
  <c r="S248" i="133"/>
  <c r="T247" i="133"/>
  <c r="S247" i="133"/>
  <c r="U247" i="133" s="1"/>
  <c r="E247" i="133" s="1"/>
  <c r="T246" i="133"/>
  <c r="S246" i="133"/>
  <c r="U246" i="133" s="1"/>
  <c r="E246" i="133" s="1"/>
  <c r="E245" i="133"/>
  <c r="T245" i="133"/>
  <c r="S245" i="133"/>
  <c r="U245" i="133" s="1"/>
  <c r="T244" i="133"/>
  <c r="S244" i="133"/>
  <c r="T243" i="133"/>
  <c r="S243" i="133"/>
  <c r="U243" i="133" s="1"/>
  <c r="E243" i="133" s="1"/>
  <c r="T242" i="133"/>
  <c r="S242" i="133"/>
  <c r="E241" i="133"/>
  <c r="T241" i="133"/>
  <c r="S241" i="133"/>
  <c r="U241" i="133" s="1"/>
  <c r="T240" i="133"/>
  <c r="S240" i="133"/>
  <c r="T239" i="133"/>
  <c r="S239" i="133"/>
  <c r="U239" i="133" s="1"/>
  <c r="E239" i="133" s="1"/>
  <c r="T238" i="133"/>
  <c r="S238" i="133"/>
  <c r="U238" i="133" s="1"/>
  <c r="E238" i="133" s="1"/>
  <c r="E237" i="133"/>
  <c r="T237" i="133"/>
  <c r="S237" i="133"/>
  <c r="U237" i="133" s="1"/>
  <c r="T236" i="133"/>
  <c r="S236" i="133"/>
  <c r="T235" i="133"/>
  <c r="S235" i="133"/>
  <c r="U235" i="133" s="1"/>
  <c r="E235" i="133" s="1"/>
  <c r="T234" i="133"/>
  <c r="S234" i="133"/>
  <c r="E233" i="133"/>
  <c r="T233" i="133"/>
  <c r="S233" i="133"/>
  <c r="U233" i="133" s="1"/>
  <c r="T232" i="133"/>
  <c r="S232" i="133"/>
  <c r="T231" i="133"/>
  <c r="S231" i="133"/>
  <c r="U231" i="133" s="1"/>
  <c r="E231" i="133" s="1"/>
  <c r="T230" i="133"/>
  <c r="S230" i="133"/>
  <c r="U230" i="133" s="1"/>
  <c r="E230" i="133" s="1"/>
  <c r="E229" i="133"/>
  <c r="T229" i="133"/>
  <c r="S229" i="133"/>
  <c r="U229" i="133" s="1"/>
  <c r="T228" i="133"/>
  <c r="S228" i="133"/>
  <c r="T227" i="133"/>
  <c r="S227" i="133"/>
  <c r="T226" i="133"/>
  <c r="S226" i="133"/>
  <c r="E225" i="133"/>
  <c r="T225" i="133"/>
  <c r="S225" i="133"/>
  <c r="U225" i="133" s="1"/>
  <c r="T224" i="133"/>
  <c r="S224" i="133"/>
  <c r="T223" i="133"/>
  <c r="S223" i="133"/>
  <c r="U223" i="133" s="1"/>
  <c r="E223" i="133" s="1"/>
  <c r="T222" i="133"/>
  <c r="S222" i="133"/>
  <c r="U222" i="133" s="1"/>
  <c r="E222" i="133" s="1"/>
  <c r="E221" i="133"/>
  <c r="T221" i="133"/>
  <c r="S221" i="133"/>
  <c r="U221" i="133" s="1"/>
  <c r="T220" i="133"/>
  <c r="S220" i="133"/>
  <c r="T219" i="133"/>
  <c r="S219" i="133"/>
  <c r="T218" i="133"/>
  <c r="S218" i="133"/>
  <c r="E217" i="133"/>
  <c r="T217" i="133"/>
  <c r="S217" i="133"/>
  <c r="U217" i="133" s="1"/>
  <c r="T216" i="133"/>
  <c r="S216" i="133"/>
  <c r="T215" i="133"/>
  <c r="S215" i="133"/>
  <c r="U215" i="133" s="1"/>
  <c r="E215" i="133" s="1"/>
  <c r="T214" i="133"/>
  <c r="S214" i="133"/>
  <c r="U214" i="133" s="1"/>
  <c r="E214" i="133" s="1"/>
  <c r="E213" i="133"/>
  <c r="T213" i="133"/>
  <c r="S213" i="133"/>
  <c r="U213" i="133" s="1"/>
  <c r="T212" i="133"/>
  <c r="S212" i="133"/>
  <c r="T211" i="133"/>
  <c r="S211" i="133"/>
  <c r="T210" i="133"/>
  <c r="S210" i="133"/>
  <c r="E209" i="133"/>
  <c r="T209" i="133"/>
  <c r="S209" i="133"/>
  <c r="U209" i="133" s="1"/>
  <c r="T208" i="133"/>
  <c r="S208" i="133"/>
  <c r="T207" i="133"/>
  <c r="S207" i="133"/>
  <c r="U207" i="133" s="1"/>
  <c r="E207" i="133" s="1"/>
  <c r="T206" i="133"/>
  <c r="S206" i="133"/>
  <c r="U206" i="133" s="1"/>
  <c r="E206" i="133" s="1"/>
  <c r="E205" i="133"/>
  <c r="T205" i="133"/>
  <c r="S205" i="133"/>
  <c r="U205" i="133" s="1"/>
  <c r="T204" i="133"/>
  <c r="S204" i="133"/>
  <c r="T203" i="133"/>
  <c r="S203" i="133"/>
  <c r="T202" i="133"/>
  <c r="S202" i="133"/>
  <c r="E201" i="133"/>
  <c r="T201" i="133"/>
  <c r="S201" i="133"/>
  <c r="U201" i="133" s="1"/>
  <c r="T200" i="133"/>
  <c r="S200" i="133"/>
  <c r="T199" i="133"/>
  <c r="S199" i="133"/>
  <c r="U199" i="133" s="1"/>
  <c r="E199" i="133" s="1"/>
  <c r="T198" i="133"/>
  <c r="S198" i="133"/>
  <c r="U198" i="133" s="1"/>
  <c r="E198" i="133" s="1"/>
  <c r="E197" i="133"/>
  <c r="T197" i="133"/>
  <c r="S197" i="133"/>
  <c r="U197" i="133" s="1"/>
  <c r="T196" i="133"/>
  <c r="S196" i="133"/>
  <c r="T195" i="133"/>
  <c r="S195" i="133"/>
  <c r="T194" i="133"/>
  <c r="S194" i="133"/>
  <c r="E193" i="133"/>
  <c r="T193" i="133"/>
  <c r="S193" i="133"/>
  <c r="U193" i="133" s="1"/>
  <c r="T192" i="133"/>
  <c r="S192" i="133"/>
  <c r="T191" i="133"/>
  <c r="S191" i="133"/>
  <c r="U191" i="133" s="1"/>
  <c r="E191" i="133" s="1"/>
  <c r="T190" i="133"/>
  <c r="S190" i="133"/>
  <c r="U190" i="133" s="1"/>
  <c r="E190" i="133" s="1"/>
  <c r="E189" i="133"/>
  <c r="T189" i="133"/>
  <c r="S189" i="133"/>
  <c r="U189" i="133" s="1"/>
  <c r="T188" i="133"/>
  <c r="S188" i="133"/>
  <c r="T187" i="133"/>
  <c r="S187" i="133"/>
  <c r="T186" i="133"/>
  <c r="S186" i="133"/>
  <c r="E185" i="133"/>
  <c r="T185" i="133"/>
  <c r="S185" i="133"/>
  <c r="U185" i="133" s="1"/>
  <c r="T184" i="133"/>
  <c r="S184" i="133"/>
  <c r="T183" i="133"/>
  <c r="S183" i="133"/>
  <c r="U183" i="133" s="1"/>
  <c r="E183" i="133" s="1"/>
  <c r="T182" i="133"/>
  <c r="S182" i="133"/>
  <c r="U182" i="133" s="1"/>
  <c r="E182" i="133" s="1"/>
  <c r="E181" i="133"/>
  <c r="T181" i="133"/>
  <c r="S181" i="133"/>
  <c r="U181" i="133" s="1"/>
  <c r="T180" i="133"/>
  <c r="S180" i="133"/>
  <c r="T179" i="133"/>
  <c r="S179" i="133"/>
  <c r="T178" i="133"/>
  <c r="S178" i="133"/>
  <c r="E177" i="133"/>
  <c r="T177" i="133"/>
  <c r="S177" i="133"/>
  <c r="U177" i="133" s="1"/>
  <c r="T176" i="133"/>
  <c r="S176" i="133"/>
  <c r="T175" i="133"/>
  <c r="S175" i="133"/>
  <c r="U175" i="133" s="1"/>
  <c r="E175" i="133" s="1"/>
  <c r="T174" i="133"/>
  <c r="S174" i="133"/>
  <c r="U174" i="133" s="1"/>
  <c r="E174" i="133" s="1"/>
  <c r="T173" i="133"/>
  <c r="S173" i="133"/>
  <c r="U173" i="133" s="1"/>
  <c r="E173" i="133" s="1"/>
  <c r="E172" i="133"/>
  <c r="T172" i="133"/>
  <c r="S172" i="133"/>
  <c r="U172" i="133" s="1"/>
  <c r="E171" i="133"/>
  <c r="T171" i="133"/>
  <c r="S171" i="133"/>
  <c r="U171" i="133" s="1"/>
  <c r="T170" i="133"/>
  <c r="S170" i="133"/>
  <c r="U170" i="133" s="1"/>
  <c r="E170" i="133" s="1"/>
  <c r="E169" i="133"/>
  <c r="T169" i="133"/>
  <c r="S169" i="133"/>
  <c r="U169" i="133" s="1"/>
  <c r="T168" i="133"/>
  <c r="S168" i="133"/>
  <c r="U168" i="133" s="1"/>
  <c r="E168" i="133" s="1"/>
  <c r="T167" i="133"/>
  <c r="S167" i="133"/>
  <c r="U167" i="133" s="1"/>
  <c r="E167" i="133" s="1"/>
  <c r="E166" i="133"/>
  <c r="T166" i="133"/>
  <c r="S166" i="133"/>
  <c r="U166" i="133" s="1"/>
  <c r="T165" i="133"/>
  <c r="S165" i="133"/>
  <c r="U165" i="133" s="1"/>
  <c r="E165" i="133" s="1"/>
  <c r="E164" i="133"/>
  <c r="T164" i="133"/>
  <c r="S164" i="133"/>
  <c r="U164" i="133" s="1"/>
  <c r="E163" i="133"/>
  <c r="T163" i="133"/>
  <c r="S163" i="133"/>
  <c r="U163" i="133" s="1"/>
  <c r="T162" i="133"/>
  <c r="S162" i="133"/>
  <c r="U162" i="133" s="1"/>
  <c r="E162" i="133" s="1"/>
  <c r="E161" i="133"/>
  <c r="T161" i="133"/>
  <c r="S161" i="133"/>
  <c r="U161" i="133" s="1"/>
  <c r="T160" i="133"/>
  <c r="S160" i="133"/>
  <c r="U160" i="133" s="1"/>
  <c r="E160" i="133" s="1"/>
  <c r="T159" i="133"/>
  <c r="S159" i="133"/>
  <c r="U159" i="133" s="1"/>
  <c r="E159" i="133" s="1"/>
  <c r="E158" i="133"/>
  <c r="T158" i="133"/>
  <c r="S158" i="133"/>
  <c r="U158" i="133" s="1"/>
  <c r="T157" i="133"/>
  <c r="S157" i="133"/>
  <c r="U157" i="133" s="1"/>
  <c r="E157" i="133" s="1"/>
  <c r="E156" i="133"/>
  <c r="T156" i="133"/>
  <c r="S156" i="133"/>
  <c r="U156" i="133" s="1"/>
  <c r="E155" i="133"/>
  <c r="T155" i="133"/>
  <c r="S155" i="133"/>
  <c r="U155" i="133" s="1"/>
  <c r="T154" i="133"/>
  <c r="S154" i="133"/>
  <c r="U154" i="133" s="1"/>
  <c r="E154" i="133" s="1"/>
  <c r="E153" i="133"/>
  <c r="T153" i="133"/>
  <c r="S153" i="133"/>
  <c r="U153" i="133" s="1"/>
  <c r="T152" i="133"/>
  <c r="S152" i="133"/>
  <c r="U152" i="133" s="1"/>
  <c r="E152" i="133" s="1"/>
  <c r="T151" i="133"/>
  <c r="S151" i="133"/>
  <c r="U151" i="133" s="1"/>
  <c r="E151" i="133" s="1"/>
  <c r="E150" i="133"/>
  <c r="T150" i="133"/>
  <c r="S150" i="133"/>
  <c r="U150" i="133" s="1"/>
  <c r="T149" i="133"/>
  <c r="S149" i="133"/>
  <c r="U149" i="133" s="1"/>
  <c r="E149" i="133" s="1"/>
  <c r="E148" i="133"/>
  <c r="T148" i="133"/>
  <c r="S148" i="133"/>
  <c r="U148" i="133" s="1"/>
  <c r="E147" i="133"/>
  <c r="T147" i="133"/>
  <c r="S147" i="133"/>
  <c r="U147" i="133" s="1"/>
  <c r="T146" i="133"/>
  <c r="S146" i="133"/>
  <c r="U146" i="133" s="1"/>
  <c r="E146" i="133" s="1"/>
  <c r="E145" i="133"/>
  <c r="T145" i="133"/>
  <c r="S145" i="133"/>
  <c r="U145" i="133" s="1"/>
  <c r="T144" i="133"/>
  <c r="S144" i="133"/>
  <c r="U144" i="133" s="1"/>
  <c r="E144" i="133" s="1"/>
  <c r="T143" i="133"/>
  <c r="S143" i="133"/>
  <c r="U143" i="133" s="1"/>
  <c r="E143" i="133" s="1"/>
  <c r="E142" i="133"/>
  <c r="T142" i="133"/>
  <c r="S142" i="133"/>
  <c r="U142" i="133" s="1"/>
  <c r="T141" i="133"/>
  <c r="S141" i="133"/>
  <c r="U141" i="133" s="1"/>
  <c r="E141" i="133" s="1"/>
  <c r="E140" i="133"/>
  <c r="T140" i="133"/>
  <c r="S140" i="133"/>
  <c r="U140" i="133" s="1"/>
  <c r="E139" i="133"/>
  <c r="T139" i="133"/>
  <c r="S139" i="133"/>
  <c r="U139" i="133" s="1"/>
  <c r="T138" i="133"/>
  <c r="S138" i="133"/>
  <c r="U138" i="133" s="1"/>
  <c r="E138" i="133" s="1"/>
  <c r="E137" i="133"/>
  <c r="T137" i="133"/>
  <c r="S137" i="133"/>
  <c r="U137" i="133" s="1"/>
  <c r="T136" i="133"/>
  <c r="S136" i="133"/>
  <c r="U136" i="133" s="1"/>
  <c r="E136" i="133" s="1"/>
  <c r="T135" i="133"/>
  <c r="S135" i="133"/>
  <c r="U135" i="133" s="1"/>
  <c r="E135" i="133" s="1"/>
  <c r="E134" i="133"/>
  <c r="T134" i="133"/>
  <c r="S134" i="133"/>
  <c r="U134" i="133" s="1"/>
  <c r="T133" i="133"/>
  <c r="S133" i="133"/>
  <c r="U133" i="133" s="1"/>
  <c r="E133" i="133" s="1"/>
  <c r="E132" i="133"/>
  <c r="T132" i="133"/>
  <c r="S132" i="133"/>
  <c r="U132" i="133" s="1"/>
  <c r="E131" i="133"/>
  <c r="T131" i="133"/>
  <c r="S131" i="133"/>
  <c r="U131" i="133" s="1"/>
  <c r="T130" i="133"/>
  <c r="S130" i="133"/>
  <c r="U130" i="133" s="1"/>
  <c r="E130" i="133" s="1"/>
  <c r="E129" i="133"/>
  <c r="T129" i="133"/>
  <c r="S129" i="133"/>
  <c r="U129" i="133" s="1"/>
  <c r="T128" i="133"/>
  <c r="S128" i="133"/>
  <c r="U128" i="133" s="1"/>
  <c r="E128" i="133" s="1"/>
  <c r="T127" i="133"/>
  <c r="S127" i="133"/>
  <c r="U127" i="133" s="1"/>
  <c r="E127" i="133" s="1"/>
  <c r="E126" i="133"/>
  <c r="T126" i="133"/>
  <c r="S126" i="133"/>
  <c r="U126" i="133" s="1"/>
  <c r="T125" i="133"/>
  <c r="S125" i="133"/>
  <c r="U125" i="133" s="1"/>
  <c r="E125" i="133" s="1"/>
  <c r="E124" i="133"/>
  <c r="T124" i="133"/>
  <c r="S124" i="133"/>
  <c r="U124" i="133" s="1"/>
  <c r="E123" i="133"/>
  <c r="T123" i="133"/>
  <c r="S123" i="133"/>
  <c r="U123" i="133" s="1"/>
  <c r="T122" i="133"/>
  <c r="S122" i="133"/>
  <c r="U122" i="133" s="1"/>
  <c r="E122" i="133" s="1"/>
  <c r="E121" i="133"/>
  <c r="T121" i="133"/>
  <c r="S121" i="133"/>
  <c r="U121" i="133" s="1"/>
  <c r="T120" i="133"/>
  <c r="S120" i="133"/>
  <c r="U120" i="133" s="1"/>
  <c r="E120" i="133" s="1"/>
  <c r="T119" i="133"/>
  <c r="S119" i="133"/>
  <c r="U119" i="133" s="1"/>
  <c r="E119" i="133" s="1"/>
  <c r="E118" i="133"/>
  <c r="T118" i="133"/>
  <c r="S118" i="133"/>
  <c r="U118" i="133" s="1"/>
  <c r="T117" i="133"/>
  <c r="S117" i="133"/>
  <c r="U117" i="133" s="1"/>
  <c r="E117" i="133" s="1"/>
  <c r="E116" i="133"/>
  <c r="T116" i="133"/>
  <c r="S116" i="133"/>
  <c r="U116" i="133" s="1"/>
  <c r="E115" i="133"/>
  <c r="T115" i="133"/>
  <c r="S115" i="133"/>
  <c r="U115" i="133" s="1"/>
  <c r="T114" i="133"/>
  <c r="S114" i="133"/>
  <c r="U114" i="133" s="1"/>
  <c r="E114" i="133" s="1"/>
  <c r="E113" i="133"/>
  <c r="T113" i="133"/>
  <c r="S113" i="133"/>
  <c r="U113" i="133" s="1"/>
  <c r="T112" i="133"/>
  <c r="S112" i="133"/>
  <c r="U112" i="133" s="1"/>
  <c r="E112" i="133" s="1"/>
  <c r="T111" i="133"/>
  <c r="S111" i="133"/>
  <c r="U111" i="133" s="1"/>
  <c r="E111" i="133" s="1"/>
  <c r="E110" i="133"/>
  <c r="T110" i="133"/>
  <c r="S110" i="133"/>
  <c r="U110" i="133" s="1"/>
  <c r="T109" i="133"/>
  <c r="S109" i="133"/>
  <c r="U109" i="133" s="1"/>
  <c r="E109" i="133" s="1"/>
  <c r="E108" i="133"/>
  <c r="T108" i="133"/>
  <c r="S108" i="133"/>
  <c r="U108" i="133" s="1"/>
  <c r="E107" i="133"/>
  <c r="T107" i="133"/>
  <c r="S107" i="133"/>
  <c r="U107" i="133" s="1"/>
  <c r="T106" i="133"/>
  <c r="S106" i="133"/>
  <c r="U106" i="133" s="1"/>
  <c r="E106" i="133" s="1"/>
  <c r="E105" i="133"/>
  <c r="T105" i="133"/>
  <c r="S105" i="133"/>
  <c r="U105" i="133" s="1"/>
  <c r="T104" i="133"/>
  <c r="S104" i="133"/>
  <c r="U104" i="133" s="1"/>
  <c r="E104" i="133" s="1"/>
  <c r="T103" i="133"/>
  <c r="S103" i="133"/>
  <c r="U103" i="133" s="1"/>
  <c r="E103" i="133" s="1"/>
  <c r="E102" i="133"/>
  <c r="T102" i="133"/>
  <c r="S102" i="133"/>
  <c r="U102" i="133" s="1"/>
  <c r="T101" i="133"/>
  <c r="S101" i="133"/>
  <c r="U101" i="133" s="1"/>
  <c r="E101" i="133" s="1"/>
  <c r="E100" i="133"/>
  <c r="T100" i="133"/>
  <c r="S100" i="133"/>
  <c r="U100" i="133" s="1"/>
  <c r="E99" i="133"/>
  <c r="T99" i="133"/>
  <c r="S99" i="133"/>
  <c r="U99" i="133" s="1"/>
  <c r="T98" i="133"/>
  <c r="S98" i="133"/>
  <c r="U98" i="133" s="1"/>
  <c r="E98" i="133" s="1"/>
  <c r="E97" i="133"/>
  <c r="T97" i="133"/>
  <c r="S97" i="133"/>
  <c r="U97" i="133" s="1"/>
  <c r="T96" i="133"/>
  <c r="S96" i="133"/>
  <c r="U96" i="133" s="1"/>
  <c r="E96" i="133" s="1"/>
  <c r="T95" i="133"/>
  <c r="S95" i="133"/>
  <c r="U95" i="133" s="1"/>
  <c r="E95" i="133" s="1"/>
  <c r="T94" i="133"/>
  <c r="S94" i="133"/>
  <c r="T93" i="133"/>
  <c r="S93" i="133"/>
  <c r="T92" i="133"/>
  <c r="S92" i="133"/>
  <c r="T91" i="133"/>
  <c r="S91" i="133"/>
  <c r="T90" i="133"/>
  <c r="S90" i="133"/>
  <c r="U90" i="133" s="1"/>
  <c r="E90" i="133" s="1"/>
  <c r="E89" i="133"/>
  <c r="T89" i="133"/>
  <c r="S89" i="133"/>
  <c r="U89" i="133" s="1"/>
  <c r="T88" i="133"/>
  <c r="S88" i="133"/>
  <c r="U88" i="133" s="1"/>
  <c r="E88" i="133" s="1"/>
  <c r="T87" i="133"/>
  <c r="S87" i="133"/>
  <c r="U87" i="133" s="1"/>
  <c r="E87" i="133" s="1"/>
  <c r="T86" i="133"/>
  <c r="S86" i="133"/>
  <c r="T85" i="133"/>
  <c r="S85" i="133"/>
  <c r="T84" i="133"/>
  <c r="S84" i="133"/>
  <c r="E83" i="133"/>
  <c r="T83" i="133"/>
  <c r="S83" i="133"/>
  <c r="U83" i="133" s="1"/>
  <c r="T82" i="133"/>
  <c r="S82" i="133"/>
  <c r="U82" i="133" s="1"/>
  <c r="E82" i="133" s="1"/>
  <c r="E81" i="133"/>
  <c r="T81" i="133"/>
  <c r="S81" i="133"/>
  <c r="U81" i="133" s="1"/>
  <c r="T80" i="133"/>
  <c r="S80" i="133"/>
  <c r="U80" i="133" s="1"/>
  <c r="E80" i="133" s="1"/>
  <c r="T79" i="133"/>
  <c r="S79" i="133"/>
  <c r="U79" i="133" s="1"/>
  <c r="E79" i="133" s="1"/>
  <c r="T78" i="133"/>
  <c r="S78" i="133"/>
  <c r="T77" i="133"/>
  <c r="S77" i="133"/>
  <c r="T76" i="133"/>
  <c r="S76" i="133"/>
  <c r="E75" i="133"/>
  <c r="T75" i="133"/>
  <c r="S75" i="133"/>
  <c r="U75" i="133" s="1"/>
  <c r="T74" i="133"/>
  <c r="S74" i="133"/>
  <c r="U74" i="133" s="1"/>
  <c r="E74" i="133" s="1"/>
  <c r="E73" i="133"/>
  <c r="T73" i="133"/>
  <c r="S73" i="133"/>
  <c r="U73" i="133" s="1"/>
  <c r="T72" i="133"/>
  <c r="S72" i="133"/>
  <c r="U72" i="133" s="1"/>
  <c r="E72" i="133" s="1"/>
  <c r="T71" i="133"/>
  <c r="S71" i="133"/>
  <c r="U71" i="133" s="1"/>
  <c r="E71" i="133" s="1"/>
  <c r="T70" i="133"/>
  <c r="S70" i="133"/>
  <c r="T69" i="133"/>
  <c r="S69" i="133"/>
  <c r="T68" i="133"/>
  <c r="S68" i="133"/>
  <c r="T67" i="133"/>
  <c r="S67" i="133"/>
  <c r="T66" i="133"/>
  <c r="S66" i="133"/>
  <c r="U66" i="133" s="1"/>
  <c r="E66" i="133" s="1"/>
  <c r="E65" i="133"/>
  <c r="T65" i="133"/>
  <c r="S65" i="133"/>
  <c r="U65" i="133" s="1"/>
  <c r="T64" i="133"/>
  <c r="S64" i="133"/>
  <c r="U64" i="133" s="1"/>
  <c r="E64" i="133" s="1"/>
  <c r="T63" i="133"/>
  <c r="S63" i="133"/>
  <c r="U63" i="133" s="1"/>
  <c r="E63" i="133" s="1"/>
  <c r="T62" i="133"/>
  <c r="S62" i="133"/>
  <c r="T61" i="133"/>
  <c r="S61" i="133"/>
  <c r="T60" i="133"/>
  <c r="S60" i="133"/>
  <c r="T59" i="133"/>
  <c r="S59" i="133"/>
  <c r="T58" i="133"/>
  <c r="S58" i="133"/>
  <c r="U58" i="133" s="1"/>
  <c r="E58" i="133" s="1"/>
  <c r="E57" i="133"/>
  <c r="T57" i="133"/>
  <c r="S57" i="133"/>
  <c r="U57" i="133" s="1"/>
  <c r="S56" i="133"/>
  <c r="T55" i="133"/>
  <c r="U55" i="133" s="1"/>
  <c r="E55" i="133" s="1"/>
  <c r="S55" i="133"/>
  <c r="U54" i="133"/>
  <c r="E54" i="133" s="1"/>
  <c r="T54" i="133"/>
  <c r="S54" i="133"/>
  <c r="T53" i="133"/>
  <c r="S53" i="133"/>
  <c r="U53" i="133" s="1"/>
  <c r="E53" i="133" s="1"/>
  <c r="U52" i="133"/>
  <c r="E52" i="133" s="1"/>
  <c r="T52" i="133"/>
  <c r="S52" i="133"/>
  <c r="T51" i="133"/>
  <c r="S51" i="133"/>
  <c r="U51" i="133" s="1"/>
  <c r="E51" i="133" s="1"/>
  <c r="S50" i="133"/>
  <c r="S49" i="133"/>
  <c r="U48" i="133"/>
  <c r="E48" i="133" s="1"/>
  <c r="T48" i="133"/>
  <c r="S48" i="133"/>
  <c r="T47" i="133"/>
  <c r="S47" i="133"/>
  <c r="U47" i="133" s="1"/>
  <c r="E47" i="133" s="1"/>
  <c r="U46" i="133"/>
  <c r="E46" i="133" s="1"/>
  <c r="T46" i="133"/>
  <c r="S46" i="133"/>
  <c r="T45" i="133"/>
  <c r="S45" i="133"/>
  <c r="U45" i="133" s="1"/>
  <c r="E45" i="133" s="1"/>
  <c r="U44" i="133"/>
  <c r="E44" i="133" s="1"/>
  <c r="T44" i="133"/>
  <c r="S44" i="133"/>
  <c r="T43" i="133"/>
  <c r="S43" i="133"/>
  <c r="U43" i="133" s="1"/>
  <c r="E43" i="133" s="1"/>
  <c r="S42" i="133"/>
  <c r="S41" i="133"/>
  <c r="T40" i="133"/>
  <c r="S40" i="133"/>
  <c r="U40" i="133" s="1"/>
  <c r="E40" i="133" s="1"/>
  <c r="U39" i="133"/>
  <c r="E39" i="133" s="1"/>
  <c r="T39" i="133"/>
  <c r="S39" i="133"/>
  <c r="S38" i="133"/>
  <c r="T37" i="133"/>
  <c r="U37" i="133" s="1"/>
  <c r="E37" i="133" s="1"/>
  <c r="S37" i="133"/>
  <c r="T36" i="133"/>
  <c r="S36" i="133"/>
  <c r="U36" i="133" s="1"/>
  <c r="E36" i="133" s="1"/>
  <c r="T35" i="133"/>
  <c r="U35" i="133" s="1"/>
  <c r="E35" i="133" s="1"/>
  <c r="S35" i="133"/>
  <c r="S34" i="133"/>
  <c r="S33" i="133"/>
  <c r="S32" i="133"/>
  <c r="T31" i="133"/>
  <c r="S31" i="133"/>
  <c r="U31" i="133" s="1"/>
  <c r="E31" i="133" s="1"/>
  <c r="U30" i="133"/>
  <c r="E30" i="133" s="1"/>
  <c r="T30" i="133"/>
  <c r="S30" i="133"/>
  <c r="S29" i="133"/>
  <c r="S28" i="133"/>
  <c r="T27" i="133"/>
  <c r="S27" i="133"/>
  <c r="U27" i="133" s="1"/>
  <c r="E27" i="133" s="1"/>
  <c r="U26" i="133"/>
  <c r="E26" i="133" s="1"/>
  <c r="T26" i="133"/>
  <c r="S26" i="133"/>
  <c r="S25" i="133"/>
  <c r="T24" i="133"/>
  <c r="S24" i="133"/>
  <c r="U24" i="133" s="1"/>
  <c r="E24" i="133" s="1"/>
  <c r="T23" i="133"/>
  <c r="U23" i="133" s="1"/>
  <c r="E23" i="133" s="1"/>
  <c r="S23" i="133"/>
  <c r="S22" i="133"/>
  <c r="U21" i="133"/>
  <c r="E21" i="133" s="1"/>
  <c r="T21" i="133"/>
  <c r="S21" i="133"/>
  <c r="S20" i="133"/>
  <c r="S19" i="133"/>
  <c r="S18" i="133"/>
  <c r="S17" i="133"/>
  <c r="U16" i="133"/>
  <c r="E16" i="133" s="1"/>
  <c r="T16" i="133"/>
  <c r="S16" i="133"/>
  <c r="S15" i="133"/>
  <c r="T14" i="133"/>
  <c r="U14" i="133" s="1"/>
  <c r="E14" i="133" s="1"/>
  <c r="S14" i="133"/>
  <c r="T13" i="133"/>
  <c r="S13" i="133"/>
  <c r="U13" i="133" s="1"/>
  <c r="E13" i="133" s="1"/>
  <c r="T12" i="133"/>
  <c r="U12" i="133" s="1"/>
  <c r="E12" i="133" s="1"/>
  <c r="S12" i="133"/>
  <c r="T11" i="133"/>
  <c r="S11" i="133"/>
  <c r="U11" i="133" s="1"/>
  <c r="E11" i="133" s="1"/>
  <c r="T10" i="133"/>
  <c r="U10" i="133" s="1"/>
  <c r="S10" i="133"/>
  <c r="E345" i="133"/>
  <c r="U345" i="133"/>
  <c r="T345" i="133" s="1"/>
  <c r="S345" i="133"/>
  <c r="U344" i="133"/>
  <c r="E344" i="133" s="1"/>
  <c r="S344" i="133"/>
  <c r="E343" i="133"/>
  <c r="U343" i="133"/>
  <c r="T343" i="133" s="1"/>
  <c r="S343" i="133"/>
  <c r="U342" i="133"/>
  <c r="E342" i="133" s="1"/>
  <c r="S342" i="133"/>
  <c r="R8" i="132"/>
  <c r="Q8" i="132"/>
  <c r="O2" i="132"/>
  <c r="O3" i="132" s="1"/>
  <c r="N2" i="132"/>
  <c r="N3" i="132" s="1"/>
  <c r="M2" i="132"/>
  <c r="M3" i="132" s="1"/>
  <c r="L2" i="132"/>
  <c r="L3" i="132" s="1"/>
  <c r="K2" i="132"/>
  <c r="K3" i="132" s="1"/>
  <c r="J3" i="132"/>
  <c r="J2" i="132"/>
  <c r="I2" i="132"/>
  <c r="I3" i="132" s="1"/>
  <c r="H2" i="132"/>
  <c r="H3" i="132" s="1"/>
  <c r="G2" i="132"/>
  <c r="G3" i="132" s="1"/>
  <c r="T339" i="132"/>
  <c r="S339" i="132"/>
  <c r="U339" i="132" s="1"/>
  <c r="E339" i="132" s="1"/>
  <c r="E338" i="132"/>
  <c r="T338" i="132"/>
  <c r="S338" i="132"/>
  <c r="U338" i="132" s="1"/>
  <c r="T337" i="132"/>
  <c r="S337" i="132"/>
  <c r="U337" i="132" s="1"/>
  <c r="E337" i="132" s="1"/>
  <c r="T336" i="132"/>
  <c r="S336" i="132"/>
  <c r="U336" i="132" s="1"/>
  <c r="E336" i="132" s="1"/>
  <c r="T335" i="132"/>
  <c r="S335" i="132"/>
  <c r="U335" i="132" s="1"/>
  <c r="E335" i="132" s="1"/>
  <c r="T334" i="132"/>
  <c r="S334" i="132"/>
  <c r="U334" i="132" s="1"/>
  <c r="E334" i="132" s="1"/>
  <c r="T333" i="132"/>
  <c r="S333" i="132"/>
  <c r="U333" i="132" s="1"/>
  <c r="E333" i="132" s="1"/>
  <c r="E332" i="132"/>
  <c r="T332" i="132"/>
  <c r="S332" i="132"/>
  <c r="U332" i="132" s="1"/>
  <c r="T331" i="132"/>
  <c r="S331" i="132"/>
  <c r="U331" i="132" s="1"/>
  <c r="E331" i="132" s="1"/>
  <c r="T330" i="132"/>
  <c r="S330" i="132"/>
  <c r="U330" i="132" s="1"/>
  <c r="E330" i="132" s="1"/>
  <c r="T329" i="132"/>
  <c r="S329" i="132"/>
  <c r="U329" i="132" s="1"/>
  <c r="E329" i="132" s="1"/>
  <c r="E328" i="132"/>
  <c r="T328" i="132"/>
  <c r="S328" i="132"/>
  <c r="U328" i="132" s="1"/>
  <c r="T327" i="132"/>
  <c r="S327" i="132"/>
  <c r="U327" i="132" s="1"/>
  <c r="E327" i="132" s="1"/>
  <c r="T326" i="132"/>
  <c r="S326" i="132"/>
  <c r="T325" i="132"/>
  <c r="S325" i="132"/>
  <c r="U325" i="132" s="1"/>
  <c r="E325" i="132" s="1"/>
  <c r="T324" i="132"/>
  <c r="S324" i="132"/>
  <c r="U324" i="132" s="1"/>
  <c r="E324" i="132" s="1"/>
  <c r="T323" i="132"/>
  <c r="S323" i="132"/>
  <c r="U323" i="132" s="1"/>
  <c r="E323" i="132" s="1"/>
  <c r="T322" i="132"/>
  <c r="S322" i="132"/>
  <c r="T321" i="132"/>
  <c r="S321" i="132"/>
  <c r="U321" i="132" s="1"/>
  <c r="E321" i="132" s="1"/>
  <c r="T320" i="132"/>
  <c r="S320" i="132"/>
  <c r="U320" i="132" s="1"/>
  <c r="E320" i="132" s="1"/>
  <c r="T319" i="132"/>
  <c r="S319" i="132"/>
  <c r="U319" i="132" s="1"/>
  <c r="E319" i="132" s="1"/>
  <c r="T318" i="132"/>
  <c r="S318" i="132"/>
  <c r="U318" i="132" s="1"/>
  <c r="E318" i="132" s="1"/>
  <c r="T317" i="132"/>
  <c r="S317" i="132"/>
  <c r="U317" i="132" s="1"/>
  <c r="E317" i="132" s="1"/>
  <c r="T316" i="132"/>
  <c r="S316" i="132"/>
  <c r="T315" i="132"/>
  <c r="S315" i="132"/>
  <c r="U315" i="132" s="1"/>
  <c r="E315" i="132" s="1"/>
  <c r="T314" i="132"/>
  <c r="S314" i="132"/>
  <c r="E313" i="132"/>
  <c r="T313" i="132"/>
  <c r="S313" i="132"/>
  <c r="U313" i="132" s="1"/>
  <c r="E312" i="132"/>
  <c r="T312" i="132"/>
  <c r="S312" i="132"/>
  <c r="U312" i="132" s="1"/>
  <c r="E311" i="132"/>
  <c r="T311" i="132"/>
  <c r="S311" i="132"/>
  <c r="U311" i="132" s="1"/>
  <c r="T310" i="132"/>
  <c r="S310" i="132"/>
  <c r="U310" i="132" s="1"/>
  <c r="E310" i="132" s="1"/>
  <c r="T309" i="132"/>
  <c r="S309" i="132"/>
  <c r="U309" i="132" s="1"/>
  <c r="E309" i="132" s="1"/>
  <c r="T308" i="132"/>
  <c r="S308" i="132"/>
  <c r="T307" i="132"/>
  <c r="S307" i="132"/>
  <c r="U307" i="132" s="1"/>
  <c r="E307" i="132" s="1"/>
  <c r="T306" i="132"/>
  <c r="S306" i="132"/>
  <c r="E305" i="132"/>
  <c r="T305" i="132"/>
  <c r="S305" i="132"/>
  <c r="U305" i="132" s="1"/>
  <c r="E304" i="132"/>
  <c r="T304" i="132"/>
  <c r="S304" i="132"/>
  <c r="U304" i="132" s="1"/>
  <c r="E303" i="132"/>
  <c r="T303" i="132"/>
  <c r="S303" i="132"/>
  <c r="U303" i="132" s="1"/>
  <c r="T302" i="132"/>
  <c r="S302" i="132"/>
  <c r="U302" i="132" s="1"/>
  <c r="E302" i="132" s="1"/>
  <c r="T301" i="132"/>
  <c r="S301" i="132"/>
  <c r="U301" i="132" s="1"/>
  <c r="E301" i="132" s="1"/>
  <c r="E300" i="132"/>
  <c r="T300" i="132"/>
  <c r="S300" i="132"/>
  <c r="U300" i="132" s="1"/>
  <c r="T299" i="132"/>
  <c r="S299" i="132"/>
  <c r="U299" i="132" s="1"/>
  <c r="E299" i="132" s="1"/>
  <c r="T298" i="132"/>
  <c r="S298" i="132"/>
  <c r="E297" i="132"/>
  <c r="T297" i="132"/>
  <c r="S297" i="132"/>
  <c r="U297" i="132" s="1"/>
  <c r="E296" i="132"/>
  <c r="T296" i="132"/>
  <c r="S296" i="132"/>
  <c r="U296" i="132" s="1"/>
  <c r="E295" i="132"/>
  <c r="T295" i="132"/>
  <c r="S295" i="132"/>
  <c r="U295" i="132" s="1"/>
  <c r="T294" i="132"/>
  <c r="S294" i="132"/>
  <c r="U294" i="132" s="1"/>
  <c r="E294" i="132" s="1"/>
  <c r="T293" i="132"/>
  <c r="S293" i="132"/>
  <c r="U293" i="132" s="1"/>
  <c r="E293" i="132" s="1"/>
  <c r="E292" i="132"/>
  <c r="T292" i="132"/>
  <c r="S292" i="132"/>
  <c r="U292" i="132" s="1"/>
  <c r="T291" i="132"/>
  <c r="S291" i="132"/>
  <c r="T290" i="132"/>
  <c r="S290" i="132"/>
  <c r="T289" i="132"/>
  <c r="S289" i="132"/>
  <c r="E288" i="132"/>
  <c r="T288" i="132"/>
  <c r="S288" i="132"/>
  <c r="U288" i="132" s="1"/>
  <c r="T287" i="132"/>
  <c r="S287" i="132"/>
  <c r="T286" i="132"/>
  <c r="S286" i="132"/>
  <c r="U286" i="132" s="1"/>
  <c r="E286" i="132" s="1"/>
  <c r="T285" i="132"/>
  <c r="S285" i="132"/>
  <c r="U285" i="132" s="1"/>
  <c r="E285" i="132" s="1"/>
  <c r="T284" i="132"/>
  <c r="S284" i="132"/>
  <c r="T283" i="132"/>
  <c r="S283" i="132"/>
  <c r="T282" i="132"/>
  <c r="S282" i="132"/>
  <c r="T281" i="132"/>
  <c r="S281" i="132"/>
  <c r="E280" i="132"/>
  <c r="T280" i="132"/>
  <c r="S280" i="132"/>
  <c r="U280" i="132" s="1"/>
  <c r="T279" i="132"/>
  <c r="S279" i="132"/>
  <c r="T278" i="132"/>
  <c r="S278" i="132"/>
  <c r="U278" i="132" s="1"/>
  <c r="E278" i="132" s="1"/>
  <c r="T277" i="132"/>
  <c r="S277" i="132"/>
  <c r="U277" i="132" s="1"/>
  <c r="E277" i="132" s="1"/>
  <c r="T276" i="132"/>
  <c r="S276" i="132"/>
  <c r="T275" i="132"/>
  <c r="S275" i="132"/>
  <c r="T274" i="132"/>
  <c r="S274" i="132"/>
  <c r="T273" i="132"/>
  <c r="S273" i="132"/>
  <c r="E272" i="132"/>
  <c r="T272" i="132"/>
  <c r="S272" i="132"/>
  <c r="U272" i="132" s="1"/>
  <c r="T271" i="132"/>
  <c r="S271" i="132"/>
  <c r="T270" i="132"/>
  <c r="S270" i="132"/>
  <c r="U270" i="132" s="1"/>
  <c r="E270" i="132" s="1"/>
  <c r="T269" i="132"/>
  <c r="S269" i="132"/>
  <c r="U269" i="132" s="1"/>
  <c r="E269" i="132" s="1"/>
  <c r="T268" i="132"/>
  <c r="S268" i="132"/>
  <c r="T267" i="132"/>
  <c r="S267" i="132"/>
  <c r="T266" i="132"/>
  <c r="S266" i="132"/>
  <c r="T265" i="132"/>
  <c r="S265" i="132"/>
  <c r="E264" i="132"/>
  <c r="T264" i="132"/>
  <c r="S264" i="132"/>
  <c r="U264" i="132" s="1"/>
  <c r="T263" i="132"/>
  <c r="S263" i="132"/>
  <c r="T262" i="132"/>
  <c r="S262" i="132"/>
  <c r="U262" i="132" s="1"/>
  <c r="E262" i="132" s="1"/>
  <c r="T261" i="132"/>
  <c r="S261" i="132"/>
  <c r="U261" i="132" s="1"/>
  <c r="E261" i="132" s="1"/>
  <c r="T260" i="132"/>
  <c r="S260" i="132"/>
  <c r="T259" i="132"/>
  <c r="S259" i="132"/>
  <c r="T258" i="132"/>
  <c r="S258" i="132"/>
  <c r="T257" i="132"/>
  <c r="S257" i="132"/>
  <c r="E256" i="132"/>
  <c r="T256" i="132"/>
  <c r="S256" i="132"/>
  <c r="U256" i="132" s="1"/>
  <c r="T255" i="132"/>
  <c r="S255" i="132"/>
  <c r="T254" i="132"/>
  <c r="S254" i="132"/>
  <c r="U254" i="132" s="1"/>
  <c r="E254" i="132" s="1"/>
  <c r="T253" i="132"/>
  <c r="S253" i="132"/>
  <c r="U253" i="132" s="1"/>
  <c r="E253" i="132" s="1"/>
  <c r="T252" i="132"/>
  <c r="S252" i="132"/>
  <c r="T251" i="132"/>
  <c r="S251" i="132"/>
  <c r="T250" i="132"/>
  <c r="S250" i="132"/>
  <c r="T249" i="132"/>
  <c r="S249" i="132"/>
  <c r="E248" i="132"/>
  <c r="T248" i="132"/>
  <c r="S248" i="132"/>
  <c r="U248" i="132" s="1"/>
  <c r="T247" i="132"/>
  <c r="S247" i="132"/>
  <c r="T246" i="132"/>
  <c r="S246" i="132"/>
  <c r="U246" i="132" s="1"/>
  <c r="E246" i="132" s="1"/>
  <c r="T245" i="132"/>
  <c r="S245" i="132"/>
  <c r="U245" i="132" s="1"/>
  <c r="E245" i="132" s="1"/>
  <c r="T244" i="132"/>
  <c r="S244" i="132"/>
  <c r="T243" i="132"/>
  <c r="S243" i="132"/>
  <c r="T242" i="132"/>
  <c r="S242" i="132"/>
  <c r="T241" i="132"/>
  <c r="S241" i="132"/>
  <c r="E240" i="132"/>
  <c r="T240" i="132"/>
  <c r="S240" i="132"/>
  <c r="U240" i="132" s="1"/>
  <c r="T239" i="132"/>
  <c r="S239" i="132"/>
  <c r="T238" i="132"/>
  <c r="S238" i="132"/>
  <c r="U238" i="132" s="1"/>
  <c r="E238" i="132" s="1"/>
  <c r="T237" i="132"/>
  <c r="S237" i="132"/>
  <c r="U237" i="132" s="1"/>
  <c r="E237" i="132" s="1"/>
  <c r="T236" i="132"/>
  <c r="S236" i="132"/>
  <c r="T235" i="132"/>
  <c r="S235" i="132"/>
  <c r="T234" i="132"/>
  <c r="S234" i="132"/>
  <c r="T233" i="132"/>
  <c r="S233" i="132"/>
  <c r="E232" i="132"/>
  <c r="T232" i="132"/>
  <c r="S232" i="132"/>
  <c r="U232" i="132" s="1"/>
  <c r="T231" i="132"/>
  <c r="S231" i="132"/>
  <c r="T230" i="132"/>
  <c r="S230" i="132"/>
  <c r="U230" i="132" s="1"/>
  <c r="E230" i="132" s="1"/>
  <c r="T229" i="132"/>
  <c r="S229" i="132"/>
  <c r="U229" i="132" s="1"/>
  <c r="E229" i="132" s="1"/>
  <c r="T228" i="132"/>
  <c r="S228" i="132"/>
  <c r="T227" i="132"/>
  <c r="S227" i="132"/>
  <c r="T226" i="132"/>
  <c r="S226" i="132"/>
  <c r="T225" i="132"/>
  <c r="S225" i="132"/>
  <c r="E224" i="132"/>
  <c r="T224" i="132"/>
  <c r="S224" i="132"/>
  <c r="U224" i="132" s="1"/>
  <c r="T223" i="132"/>
  <c r="S223" i="132"/>
  <c r="T222" i="132"/>
  <c r="S222" i="132"/>
  <c r="U222" i="132" s="1"/>
  <c r="E222" i="132" s="1"/>
  <c r="T221" i="132"/>
  <c r="S221" i="132"/>
  <c r="U221" i="132" s="1"/>
  <c r="E221" i="132" s="1"/>
  <c r="T220" i="132"/>
  <c r="S220" i="132"/>
  <c r="T219" i="132"/>
  <c r="S219" i="132"/>
  <c r="T218" i="132"/>
  <c r="S218" i="132"/>
  <c r="T217" i="132"/>
  <c r="S217" i="132"/>
  <c r="E216" i="132"/>
  <c r="T216" i="132"/>
  <c r="S216" i="132"/>
  <c r="U216" i="132" s="1"/>
  <c r="T215" i="132"/>
  <c r="S215" i="132"/>
  <c r="T214" i="132"/>
  <c r="S214" i="132"/>
  <c r="U214" i="132" s="1"/>
  <c r="E214" i="132" s="1"/>
  <c r="T213" i="132"/>
  <c r="S213" i="132"/>
  <c r="U213" i="132" s="1"/>
  <c r="E213" i="132" s="1"/>
  <c r="T212" i="132"/>
  <c r="S212" i="132"/>
  <c r="T211" i="132"/>
  <c r="S211" i="132"/>
  <c r="T210" i="132"/>
  <c r="S210" i="132"/>
  <c r="T209" i="132"/>
  <c r="S209" i="132"/>
  <c r="E208" i="132"/>
  <c r="T208" i="132"/>
  <c r="S208" i="132"/>
  <c r="U208" i="132" s="1"/>
  <c r="T207" i="132"/>
  <c r="S207" i="132"/>
  <c r="T206" i="132"/>
  <c r="S206" i="132"/>
  <c r="U206" i="132" s="1"/>
  <c r="E206" i="132" s="1"/>
  <c r="T205" i="132"/>
  <c r="S205" i="132"/>
  <c r="U205" i="132" s="1"/>
  <c r="E205" i="132" s="1"/>
  <c r="T204" i="132"/>
  <c r="S204" i="132"/>
  <c r="T203" i="132"/>
  <c r="S203" i="132"/>
  <c r="T202" i="132"/>
  <c r="S202" i="132"/>
  <c r="T201" i="132"/>
  <c r="S201" i="132"/>
  <c r="E200" i="132"/>
  <c r="T200" i="132"/>
  <c r="S200" i="132"/>
  <c r="U200" i="132" s="1"/>
  <c r="T199" i="132"/>
  <c r="S199" i="132"/>
  <c r="T198" i="132"/>
  <c r="S198" i="132"/>
  <c r="U198" i="132" s="1"/>
  <c r="E198" i="132" s="1"/>
  <c r="T197" i="132"/>
  <c r="S197" i="132"/>
  <c r="U197" i="132" s="1"/>
  <c r="E197" i="132" s="1"/>
  <c r="T196" i="132"/>
  <c r="S196" i="132"/>
  <c r="T195" i="132"/>
  <c r="S195" i="132"/>
  <c r="T194" i="132"/>
  <c r="S194" i="132"/>
  <c r="T193" i="132"/>
  <c r="S193" i="132"/>
  <c r="E192" i="132"/>
  <c r="T192" i="132"/>
  <c r="S192" i="132"/>
  <c r="U192" i="132" s="1"/>
  <c r="T191" i="132"/>
  <c r="S191" i="132"/>
  <c r="T190" i="132"/>
  <c r="S190" i="132"/>
  <c r="U190" i="132" s="1"/>
  <c r="E190" i="132" s="1"/>
  <c r="T189" i="132"/>
  <c r="S189" i="132"/>
  <c r="U189" i="132" s="1"/>
  <c r="E189" i="132" s="1"/>
  <c r="T188" i="132"/>
  <c r="S188" i="132"/>
  <c r="T187" i="132"/>
  <c r="S187" i="132"/>
  <c r="T186" i="132"/>
  <c r="S186" i="132"/>
  <c r="T185" i="132"/>
  <c r="S185" i="132"/>
  <c r="E184" i="132"/>
  <c r="T184" i="132"/>
  <c r="S184" i="132"/>
  <c r="U184" i="132" s="1"/>
  <c r="T183" i="132"/>
  <c r="S183" i="132"/>
  <c r="T182" i="132"/>
  <c r="S182" i="132"/>
  <c r="U182" i="132" s="1"/>
  <c r="E182" i="132" s="1"/>
  <c r="T181" i="132"/>
  <c r="S181" i="132"/>
  <c r="U181" i="132" s="1"/>
  <c r="E181" i="132" s="1"/>
  <c r="T180" i="132"/>
  <c r="S180" i="132"/>
  <c r="T179" i="132"/>
  <c r="S179" i="132"/>
  <c r="U178" i="132"/>
  <c r="E178" i="132" s="1"/>
  <c r="T178" i="132"/>
  <c r="S178" i="132"/>
  <c r="T177" i="132"/>
  <c r="S177" i="132"/>
  <c r="U177" i="132" s="1"/>
  <c r="E177" i="132" s="1"/>
  <c r="T176" i="132"/>
  <c r="S176" i="132"/>
  <c r="T175" i="132"/>
  <c r="S175" i="132"/>
  <c r="U175" i="132" s="1"/>
  <c r="E175" i="132" s="1"/>
  <c r="T174" i="132"/>
  <c r="S174" i="132"/>
  <c r="T173" i="132"/>
  <c r="S173" i="132"/>
  <c r="U173" i="132" s="1"/>
  <c r="E173" i="132" s="1"/>
  <c r="T172" i="132"/>
  <c r="S172" i="132"/>
  <c r="T171" i="132"/>
  <c r="S171" i="132"/>
  <c r="U171" i="132" s="1"/>
  <c r="E171" i="132" s="1"/>
  <c r="T170" i="132"/>
  <c r="S170" i="132"/>
  <c r="T169" i="132"/>
  <c r="S169" i="132"/>
  <c r="U169" i="132" s="1"/>
  <c r="E169" i="132" s="1"/>
  <c r="T168" i="132"/>
  <c r="S168" i="132"/>
  <c r="T167" i="132"/>
  <c r="S167" i="132"/>
  <c r="U167" i="132" s="1"/>
  <c r="E167" i="132" s="1"/>
  <c r="T166" i="132"/>
  <c r="S166" i="132"/>
  <c r="T165" i="132"/>
  <c r="S165" i="132"/>
  <c r="U165" i="132" s="1"/>
  <c r="E165" i="132" s="1"/>
  <c r="T164" i="132"/>
  <c r="S164" i="132"/>
  <c r="T163" i="132"/>
  <c r="S163" i="132"/>
  <c r="U163" i="132" s="1"/>
  <c r="E163" i="132" s="1"/>
  <c r="T162" i="132"/>
  <c r="S162" i="132"/>
  <c r="T161" i="132"/>
  <c r="S161" i="132"/>
  <c r="U161" i="132" s="1"/>
  <c r="E161" i="132" s="1"/>
  <c r="T160" i="132"/>
  <c r="S160" i="132"/>
  <c r="T159" i="132"/>
  <c r="S159" i="132"/>
  <c r="U159" i="132" s="1"/>
  <c r="E159" i="132" s="1"/>
  <c r="T158" i="132"/>
  <c r="S158" i="132"/>
  <c r="T157" i="132"/>
  <c r="S157" i="132"/>
  <c r="U157" i="132" s="1"/>
  <c r="E157" i="132" s="1"/>
  <c r="T156" i="132"/>
  <c r="S156" i="132"/>
  <c r="T155" i="132"/>
  <c r="S155" i="132"/>
  <c r="U155" i="132" s="1"/>
  <c r="E155" i="132" s="1"/>
  <c r="T154" i="132"/>
  <c r="S154" i="132"/>
  <c r="T153" i="132"/>
  <c r="S153" i="132"/>
  <c r="U153" i="132" s="1"/>
  <c r="E153" i="132" s="1"/>
  <c r="T152" i="132"/>
  <c r="S152" i="132"/>
  <c r="T151" i="132"/>
  <c r="S151" i="132"/>
  <c r="U151" i="132" s="1"/>
  <c r="E151" i="132" s="1"/>
  <c r="T150" i="132"/>
  <c r="S150" i="132"/>
  <c r="T149" i="132"/>
  <c r="S149" i="132"/>
  <c r="U149" i="132" s="1"/>
  <c r="E149" i="132" s="1"/>
  <c r="T148" i="132"/>
  <c r="S148" i="132"/>
  <c r="T147" i="132"/>
  <c r="S147" i="132"/>
  <c r="U147" i="132" s="1"/>
  <c r="E147" i="132" s="1"/>
  <c r="T146" i="132"/>
  <c r="S146" i="132"/>
  <c r="T145" i="132"/>
  <c r="S145" i="132"/>
  <c r="U145" i="132" s="1"/>
  <c r="E145" i="132" s="1"/>
  <c r="T144" i="132"/>
  <c r="S144" i="132"/>
  <c r="T143" i="132"/>
  <c r="S143" i="132"/>
  <c r="U143" i="132" s="1"/>
  <c r="E143" i="132" s="1"/>
  <c r="T142" i="132"/>
  <c r="S142" i="132"/>
  <c r="T141" i="132"/>
  <c r="S141" i="132"/>
  <c r="U141" i="132" s="1"/>
  <c r="E141" i="132" s="1"/>
  <c r="T140" i="132"/>
  <c r="S140" i="132"/>
  <c r="T139" i="132"/>
  <c r="S139" i="132"/>
  <c r="U139" i="132" s="1"/>
  <c r="E139" i="132" s="1"/>
  <c r="T138" i="132"/>
  <c r="S138" i="132"/>
  <c r="T137" i="132"/>
  <c r="S137" i="132"/>
  <c r="U137" i="132" s="1"/>
  <c r="E137" i="132" s="1"/>
  <c r="T136" i="132"/>
  <c r="S136" i="132"/>
  <c r="T135" i="132"/>
  <c r="S135" i="132"/>
  <c r="U135" i="132" s="1"/>
  <c r="E135" i="132" s="1"/>
  <c r="T134" i="132"/>
  <c r="S134" i="132"/>
  <c r="T133" i="132"/>
  <c r="S133" i="132"/>
  <c r="U133" i="132" s="1"/>
  <c r="E133" i="132" s="1"/>
  <c r="T132" i="132"/>
  <c r="S132" i="132"/>
  <c r="T131" i="132"/>
  <c r="S131" i="132"/>
  <c r="U131" i="132" s="1"/>
  <c r="E131" i="132" s="1"/>
  <c r="T130" i="132"/>
  <c r="S130" i="132"/>
  <c r="T129" i="132"/>
  <c r="S129" i="132"/>
  <c r="U129" i="132" s="1"/>
  <c r="E129" i="132" s="1"/>
  <c r="T128" i="132"/>
  <c r="S128" i="132"/>
  <c r="T127" i="132"/>
  <c r="S127" i="132"/>
  <c r="U127" i="132" s="1"/>
  <c r="E127" i="132" s="1"/>
  <c r="T126" i="132"/>
  <c r="S126" i="132"/>
  <c r="T125" i="132"/>
  <c r="S125" i="132"/>
  <c r="U125" i="132" s="1"/>
  <c r="E125" i="132" s="1"/>
  <c r="T124" i="132"/>
  <c r="S124" i="132"/>
  <c r="T123" i="132"/>
  <c r="S123" i="132"/>
  <c r="U123" i="132" s="1"/>
  <c r="E123" i="132" s="1"/>
  <c r="T122" i="132"/>
  <c r="S122" i="132"/>
  <c r="T121" i="132"/>
  <c r="S121" i="132"/>
  <c r="U121" i="132" s="1"/>
  <c r="E121" i="132" s="1"/>
  <c r="T120" i="132"/>
  <c r="S120" i="132"/>
  <c r="T119" i="132"/>
  <c r="S119" i="132"/>
  <c r="U119" i="132" s="1"/>
  <c r="E119" i="132" s="1"/>
  <c r="T118" i="132"/>
  <c r="S118" i="132"/>
  <c r="T117" i="132"/>
  <c r="S117" i="132"/>
  <c r="U117" i="132" s="1"/>
  <c r="E117" i="132" s="1"/>
  <c r="T116" i="132"/>
  <c r="S116" i="132"/>
  <c r="T115" i="132"/>
  <c r="S115" i="132"/>
  <c r="U115" i="132" s="1"/>
  <c r="E115" i="132" s="1"/>
  <c r="T114" i="132"/>
  <c r="S114" i="132"/>
  <c r="T113" i="132"/>
  <c r="S113" i="132"/>
  <c r="U113" i="132" s="1"/>
  <c r="E113" i="132" s="1"/>
  <c r="T112" i="132"/>
  <c r="S112" i="132"/>
  <c r="T111" i="132"/>
  <c r="S111" i="132"/>
  <c r="U111" i="132" s="1"/>
  <c r="E111" i="132" s="1"/>
  <c r="T110" i="132"/>
  <c r="S110" i="132"/>
  <c r="T109" i="132"/>
  <c r="S109" i="132"/>
  <c r="U109" i="132" s="1"/>
  <c r="E109" i="132" s="1"/>
  <c r="T108" i="132"/>
  <c r="S108" i="132"/>
  <c r="T107" i="132"/>
  <c r="S107" i="132"/>
  <c r="U107" i="132" s="1"/>
  <c r="E107" i="132" s="1"/>
  <c r="T106" i="132"/>
  <c r="S106" i="132"/>
  <c r="T105" i="132"/>
  <c r="S105" i="132"/>
  <c r="U105" i="132" s="1"/>
  <c r="E105" i="132" s="1"/>
  <c r="T104" i="132"/>
  <c r="S104" i="132"/>
  <c r="T103" i="132"/>
  <c r="S103" i="132"/>
  <c r="U103" i="132" s="1"/>
  <c r="E103" i="132" s="1"/>
  <c r="T102" i="132"/>
  <c r="S102" i="132"/>
  <c r="T101" i="132"/>
  <c r="S101" i="132"/>
  <c r="U101" i="132" s="1"/>
  <c r="E101" i="132" s="1"/>
  <c r="T100" i="132"/>
  <c r="S100" i="132"/>
  <c r="T99" i="132"/>
  <c r="S99" i="132"/>
  <c r="U99" i="132" s="1"/>
  <c r="E99" i="132" s="1"/>
  <c r="T98" i="132"/>
  <c r="S98" i="132"/>
  <c r="T97" i="132"/>
  <c r="S97" i="132"/>
  <c r="U97" i="132" s="1"/>
  <c r="E97" i="132" s="1"/>
  <c r="T96" i="132"/>
  <c r="S96" i="132"/>
  <c r="T95" i="132"/>
  <c r="S95" i="132"/>
  <c r="U95" i="132" s="1"/>
  <c r="E95" i="132" s="1"/>
  <c r="T94" i="132"/>
  <c r="S94" i="132"/>
  <c r="T93" i="132"/>
  <c r="S93" i="132"/>
  <c r="U93" i="132" s="1"/>
  <c r="E93" i="132" s="1"/>
  <c r="T92" i="132"/>
  <c r="S92" i="132"/>
  <c r="T91" i="132"/>
  <c r="S91" i="132"/>
  <c r="U91" i="132" s="1"/>
  <c r="E91" i="132" s="1"/>
  <c r="T90" i="132"/>
  <c r="S90" i="132"/>
  <c r="T89" i="132"/>
  <c r="S89" i="132"/>
  <c r="U89" i="132" s="1"/>
  <c r="E89" i="132" s="1"/>
  <c r="T88" i="132"/>
  <c r="S88" i="132"/>
  <c r="T87" i="132"/>
  <c r="S87" i="132"/>
  <c r="U87" i="132" s="1"/>
  <c r="E87" i="132" s="1"/>
  <c r="T86" i="132"/>
  <c r="S86" i="132"/>
  <c r="T85" i="132"/>
  <c r="S85" i="132"/>
  <c r="U85" i="132" s="1"/>
  <c r="E85" i="132" s="1"/>
  <c r="T84" i="132"/>
  <c r="S84" i="132"/>
  <c r="T83" i="132"/>
  <c r="S83" i="132"/>
  <c r="U83" i="132" s="1"/>
  <c r="E83" i="132" s="1"/>
  <c r="T82" i="132"/>
  <c r="S82" i="132"/>
  <c r="T81" i="132"/>
  <c r="S81" i="132"/>
  <c r="U81" i="132" s="1"/>
  <c r="E81" i="132" s="1"/>
  <c r="T80" i="132"/>
  <c r="S80" i="132"/>
  <c r="U80" i="132" s="1"/>
  <c r="E80" i="132" s="1"/>
  <c r="T79" i="132"/>
  <c r="S79" i="132"/>
  <c r="U79" i="132" s="1"/>
  <c r="E79" i="132" s="1"/>
  <c r="T78" i="132"/>
  <c r="S78" i="132"/>
  <c r="E77" i="132"/>
  <c r="T77" i="132"/>
  <c r="S77" i="132"/>
  <c r="U77" i="132" s="1"/>
  <c r="T76" i="132"/>
  <c r="S76" i="132"/>
  <c r="T75" i="132"/>
  <c r="S75" i="132"/>
  <c r="U75" i="132" s="1"/>
  <c r="E75" i="132" s="1"/>
  <c r="T74" i="132"/>
  <c r="S74" i="132"/>
  <c r="U74" i="132" s="1"/>
  <c r="E74" i="132" s="1"/>
  <c r="E73" i="132"/>
  <c r="T73" i="132"/>
  <c r="S73" i="132"/>
  <c r="U73" i="132" s="1"/>
  <c r="T72" i="132"/>
  <c r="S72" i="132"/>
  <c r="U72" i="132" s="1"/>
  <c r="E72" i="132" s="1"/>
  <c r="E71" i="132"/>
  <c r="T71" i="132"/>
  <c r="S71" i="132"/>
  <c r="U71" i="132" s="1"/>
  <c r="U70" i="132"/>
  <c r="E70" i="132" s="1"/>
  <c r="T70" i="132"/>
  <c r="S70" i="132"/>
  <c r="E69" i="132"/>
  <c r="T69" i="132"/>
  <c r="S69" i="132"/>
  <c r="U69" i="132" s="1"/>
  <c r="T68" i="132"/>
  <c r="S68" i="132"/>
  <c r="U68" i="132" s="1"/>
  <c r="E68" i="132" s="1"/>
  <c r="T67" i="132"/>
  <c r="S67" i="132"/>
  <c r="U67" i="132" s="1"/>
  <c r="E67" i="132" s="1"/>
  <c r="T66" i="132"/>
  <c r="S66" i="132"/>
  <c r="U66" i="132" s="1"/>
  <c r="E66" i="132" s="1"/>
  <c r="T65" i="132"/>
  <c r="S65" i="132"/>
  <c r="U65" i="132" s="1"/>
  <c r="E65" i="132" s="1"/>
  <c r="E64" i="132"/>
  <c r="U64" i="132"/>
  <c r="T64" i="132"/>
  <c r="S64" i="132"/>
  <c r="E63" i="132"/>
  <c r="T63" i="132"/>
  <c r="S63" i="132"/>
  <c r="U63" i="132" s="1"/>
  <c r="E62" i="132"/>
  <c r="U62" i="132"/>
  <c r="T62" i="132"/>
  <c r="S62" i="132"/>
  <c r="T61" i="132"/>
  <c r="S61" i="132"/>
  <c r="U61" i="132" s="1"/>
  <c r="E61" i="132" s="1"/>
  <c r="U60" i="132"/>
  <c r="E60" i="132" s="1"/>
  <c r="T60" i="132"/>
  <c r="S60" i="132"/>
  <c r="T59" i="132"/>
  <c r="S59" i="132"/>
  <c r="U59" i="132" s="1"/>
  <c r="E59" i="132" s="1"/>
  <c r="T58" i="132"/>
  <c r="S58" i="132"/>
  <c r="U58" i="132" s="1"/>
  <c r="E58" i="132" s="1"/>
  <c r="T57" i="132"/>
  <c r="S57" i="132"/>
  <c r="T56" i="132"/>
  <c r="U55" i="132"/>
  <c r="E55" i="132" s="1"/>
  <c r="T55" i="132"/>
  <c r="S55" i="132"/>
  <c r="T54" i="132"/>
  <c r="S54" i="132"/>
  <c r="U54" i="132" s="1"/>
  <c r="E54" i="132" s="1"/>
  <c r="U53" i="132"/>
  <c r="E53" i="132" s="1"/>
  <c r="T53" i="132"/>
  <c r="S53" i="132"/>
  <c r="U52" i="132"/>
  <c r="E52" i="132" s="1"/>
  <c r="T52" i="132"/>
  <c r="S52" i="132"/>
  <c r="U51" i="132"/>
  <c r="E51" i="132" s="1"/>
  <c r="T51" i="132"/>
  <c r="S51" i="132"/>
  <c r="T50" i="132"/>
  <c r="S49" i="132"/>
  <c r="T48" i="132"/>
  <c r="S48" i="132"/>
  <c r="U48" i="132" s="1"/>
  <c r="E48" i="132" s="1"/>
  <c r="E47" i="132"/>
  <c r="U47" i="132"/>
  <c r="T47" i="132"/>
  <c r="S47" i="132"/>
  <c r="T46" i="132"/>
  <c r="S46" i="132"/>
  <c r="U46" i="132" s="1"/>
  <c r="E46" i="132" s="1"/>
  <c r="E45" i="132"/>
  <c r="U45" i="132"/>
  <c r="T45" i="132"/>
  <c r="S45" i="132"/>
  <c r="T44" i="132"/>
  <c r="S44" i="132"/>
  <c r="U44" i="132" s="1"/>
  <c r="E44" i="132" s="1"/>
  <c r="E43" i="132"/>
  <c r="U43" i="132"/>
  <c r="T43" i="132"/>
  <c r="S43" i="132"/>
  <c r="S42" i="132"/>
  <c r="T41" i="132"/>
  <c r="U40" i="132"/>
  <c r="E40" i="132" s="1"/>
  <c r="T40" i="132"/>
  <c r="S40" i="132"/>
  <c r="T39" i="132"/>
  <c r="S39" i="132"/>
  <c r="U39" i="132" s="1"/>
  <c r="E39" i="132" s="1"/>
  <c r="S38" i="132"/>
  <c r="U37" i="132"/>
  <c r="E37" i="132" s="1"/>
  <c r="T37" i="132"/>
  <c r="S37" i="132"/>
  <c r="E36" i="132"/>
  <c r="U36" i="132"/>
  <c r="T36" i="132"/>
  <c r="S36" i="132"/>
  <c r="U35" i="132"/>
  <c r="E35" i="132" s="1"/>
  <c r="T35" i="132"/>
  <c r="S35" i="132"/>
  <c r="S34" i="132"/>
  <c r="S33" i="132"/>
  <c r="S32" i="132"/>
  <c r="U31" i="132"/>
  <c r="E31" i="132" s="1"/>
  <c r="T31" i="132"/>
  <c r="S31" i="132"/>
  <c r="T30" i="132"/>
  <c r="S30" i="132"/>
  <c r="U30" i="132" s="1"/>
  <c r="E30" i="132" s="1"/>
  <c r="S29" i="132"/>
  <c r="S28" i="132"/>
  <c r="E27" i="132"/>
  <c r="U27" i="132"/>
  <c r="T27" i="132"/>
  <c r="S27" i="132"/>
  <c r="T26" i="132"/>
  <c r="S26" i="132"/>
  <c r="U26" i="132" s="1"/>
  <c r="E26" i="132" s="1"/>
  <c r="S25" i="132"/>
  <c r="T24" i="132"/>
  <c r="S24" i="132"/>
  <c r="U24" i="132" s="1"/>
  <c r="E24" i="132" s="1"/>
  <c r="T23" i="132"/>
  <c r="S23" i="132"/>
  <c r="U23" i="132" s="1"/>
  <c r="E23" i="132" s="1"/>
  <c r="T22" i="132"/>
  <c r="T21" i="132"/>
  <c r="S21" i="132"/>
  <c r="U21" i="132" s="1"/>
  <c r="E21" i="132" s="1"/>
  <c r="S20" i="132"/>
  <c r="S19" i="132"/>
  <c r="S18" i="132"/>
  <c r="S17" i="132"/>
  <c r="T16" i="132"/>
  <c r="S16" i="132"/>
  <c r="U16" i="132" s="1"/>
  <c r="E16" i="132" s="1"/>
  <c r="S15" i="132"/>
  <c r="U14" i="132"/>
  <c r="E14" i="132" s="1"/>
  <c r="T14" i="132"/>
  <c r="S14" i="132"/>
  <c r="E13" i="132"/>
  <c r="U13" i="132"/>
  <c r="T13" i="132"/>
  <c r="S13" i="132"/>
  <c r="U12" i="132"/>
  <c r="E12" i="132" s="1"/>
  <c r="T12" i="132"/>
  <c r="S12" i="132"/>
  <c r="E11" i="132"/>
  <c r="U11" i="132"/>
  <c r="T11" i="132"/>
  <c r="S11" i="132"/>
  <c r="U10" i="132"/>
  <c r="T10" i="132"/>
  <c r="S10" i="132"/>
  <c r="E345" i="132"/>
  <c r="U345" i="132"/>
  <c r="T345" i="132" s="1"/>
  <c r="S345" i="132"/>
  <c r="E344" i="132"/>
  <c r="U344" i="132"/>
  <c r="T344" i="132" s="1"/>
  <c r="S344" i="132"/>
  <c r="E343" i="132"/>
  <c r="U343" i="132"/>
  <c r="T343" i="132" s="1"/>
  <c r="S343" i="132"/>
  <c r="E342" i="132"/>
  <c r="U342" i="132"/>
  <c r="T342" i="132" s="1"/>
  <c r="S342" i="132"/>
  <c r="P2" i="131"/>
  <c r="P3" i="131" s="1"/>
  <c r="O2" i="131"/>
  <c r="O3" i="131" s="1"/>
  <c r="N2" i="131"/>
  <c r="N3" i="131" s="1"/>
  <c r="M2" i="131"/>
  <c r="M3" i="131" s="1"/>
  <c r="L2" i="131"/>
  <c r="L3" i="131" s="1"/>
  <c r="K2" i="131"/>
  <c r="K3" i="131" s="1"/>
  <c r="J2" i="131"/>
  <c r="J3" i="131" s="1"/>
  <c r="I2" i="131"/>
  <c r="I3" i="131" s="1"/>
  <c r="H2" i="131"/>
  <c r="H3" i="131" s="1"/>
  <c r="G2" i="131"/>
  <c r="G3" i="131" s="1"/>
  <c r="T339" i="131"/>
  <c r="U339" i="131" s="1"/>
  <c r="E339" i="131" s="1"/>
  <c r="S339" i="131"/>
  <c r="T338" i="131"/>
  <c r="S338" i="131"/>
  <c r="T337" i="131"/>
  <c r="U337" i="131" s="1"/>
  <c r="E337" i="131" s="1"/>
  <c r="S337" i="131"/>
  <c r="T336" i="131"/>
  <c r="S336" i="131"/>
  <c r="T335" i="131"/>
  <c r="U335" i="131" s="1"/>
  <c r="E335" i="131" s="1"/>
  <c r="S335" i="131"/>
  <c r="E334" i="131"/>
  <c r="T334" i="131"/>
  <c r="S334" i="131"/>
  <c r="U334" i="131" s="1"/>
  <c r="T333" i="131"/>
  <c r="U333" i="131" s="1"/>
  <c r="E333" i="131" s="1"/>
  <c r="S333" i="131"/>
  <c r="T332" i="131"/>
  <c r="S332" i="131"/>
  <c r="U332" i="131" s="1"/>
  <c r="E332" i="131" s="1"/>
  <c r="T331" i="131"/>
  <c r="U331" i="131" s="1"/>
  <c r="E331" i="131" s="1"/>
  <c r="S331" i="131"/>
  <c r="E330" i="131"/>
  <c r="T330" i="131"/>
  <c r="S330" i="131"/>
  <c r="U330" i="131" s="1"/>
  <c r="T329" i="131"/>
  <c r="U329" i="131" s="1"/>
  <c r="E329" i="131" s="1"/>
  <c r="S329" i="131"/>
  <c r="T328" i="131"/>
  <c r="S328" i="131"/>
  <c r="T327" i="131"/>
  <c r="U327" i="131" s="1"/>
  <c r="E327" i="131" s="1"/>
  <c r="S327" i="131"/>
  <c r="T326" i="131"/>
  <c r="S326" i="131"/>
  <c r="T325" i="131"/>
  <c r="U325" i="131" s="1"/>
  <c r="E325" i="131" s="1"/>
  <c r="S325" i="131"/>
  <c r="T324" i="131"/>
  <c r="S324" i="131"/>
  <c r="T323" i="131"/>
  <c r="U323" i="131" s="1"/>
  <c r="E323" i="131" s="1"/>
  <c r="S323" i="131"/>
  <c r="T322" i="131"/>
  <c r="S322" i="131"/>
  <c r="T321" i="131"/>
  <c r="S321" i="131"/>
  <c r="U321" i="131" s="1"/>
  <c r="E321" i="131" s="1"/>
  <c r="T320" i="131"/>
  <c r="S320" i="131"/>
  <c r="T319" i="131"/>
  <c r="S319" i="131"/>
  <c r="U319" i="131" s="1"/>
  <c r="E319" i="131" s="1"/>
  <c r="E318" i="131"/>
  <c r="T318" i="131"/>
  <c r="S318" i="131"/>
  <c r="U318" i="131" s="1"/>
  <c r="T317" i="131"/>
  <c r="S317" i="131"/>
  <c r="U317" i="131" s="1"/>
  <c r="E317" i="131" s="1"/>
  <c r="T316" i="131"/>
  <c r="S316" i="131"/>
  <c r="U316" i="131" s="1"/>
  <c r="E316" i="131" s="1"/>
  <c r="E315" i="131"/>
  <c r="T315" i="131"/>
  <c r="S315" i="131"/>
  <c r="U315" i="131" s="1"/>
  <c r="T314" i="131"/>
  <c r="S314" i="131"/>
  <c r="E313" i="131"/>
  <c r="T313" i="131"/>
  <c r="S313" i="131"/>
  <c r="U313" i="131" s="1"/>
  <c r="E312" i="131"/>
  <c r="T312" i="131"/>
  <c r="S312" i="131"/>
  <c r="U312" i="131" s="1"/>
  <c r="T311" i="131"/>
  <c r="S311" i="131"/>
  <c r="U311" i="131" s="1"/>
  <c r="E311" i="131" s="1"/>
  <c r="E310" i="131"/>
  <c r="T310" i="131"/>
  <c r="S310" i="131"/>
  <c r="U310" i="131" s="1"/>
  <c r="T309" i="131"/>
  <c r="S309" i="131"/>
  <c r="U309" i="131" s="1"/>
  <c r="E309" i="131" s="1"/>
  <c r="T308" i="131"/>
  <c r="S308" i="131"/>
  <c r="U308" i="131" s="1"/>
  <c r="E308" i="131" s="1"/>
  <c r="E307" i="131"/>
  <c r="T307" i="131"/>
  <c r="S307" i="131"/>
  <c r="U307" i="131" s="1"/>
  <c r="T306" i="131"/>
  <c r="S306" i="131"/>
  <c r="E305" i="131"/>
  <c r="T305" i="131"/>
  <c r="S305" i="131"/>
  <c r="U305" i="131" s="1"/>
  <c r="E304" i="131"/>
  <c r="T304" i="131"/>
  <c r="S304" i="131"/>
  <c r="U304" i="131" s="1"/>
  <c r="T303" i="131"/>
  <c r="S303" i="131"/>
  <c r="U303" i="131" s="1"/>
  <c r="E303" i="131" s="1"/>
  <c r="E302" i="131"/>
  <c r="T302" i="131"/>
  <c r="S302" i="131"/>
  <c r="U302" i="131" s="1"/>
  <c r="T301" i="131"/>
  <c r="S301" i="131"/>
  <c r="T300" i="131"/>
  <c r="S300" i="131"/>
  <c r="U300" i="131" s="1"/>
  <c r="E300" i="131" s="1"/>
  <c r="T299" i="131"/>
  <c r="S299" i="131"/>
  <c r="E298" i="131"/>
  <c r="T298" i="131"/>
  <c r="S298" i="131"/>
  <c r="U298" i="131" s="1"/>
  <c r="T297" i="131"/>
  <c r="S297" i="131"/>
  <c r="E296" i="131"/>
  <c r="T296" i="131"/>
  <c r="S296" i="131"/>
  <c r="U296" i="131" s="1"/>
  <c r="T295" i="131"/>
  <c r="S295" i="131"/>
  <c r="U295" i="131" s="1"/>
  <c r="E295" i="131" s="1"/>
  <c r="E294" i="131"/>
  <c r="T294" i="131"/>
  <c r="S294" i="131"/>
  <c r="U294" i="131" s="1"/>
  <c r="T293" i="131"/>
  <c r="S293" i="131"/>
  <c r="T292" i="131"/>
  <c r="S292" i="131"/>
  <c r="U292" i="131" s="1"/>
  <c r="E292" i="131" s="1"/>
  <c r="T291" i="131"/>
  <c r="S291" i="131"/>
  <c r="E290" i="131"/>
  <c r="T290" i="131"/>
  <c r="S290" i="131"/>
  <c r="U290" i="131" s="1"/>
  <c r="T289" i="131"/>
  <c r="S289" i="131"/>
  <c r="E288" i="131"/>
  <c r="T288" i="131"/>
  <c r="S288" i="131"/>
  <c r="U288" i="131" s="1"/>
  <c r="T287" i="131"/>
  <c r="S287" i="131"/>
  <c r="U287" i="131" s="1"/>
  <c r="E287" i="131" s="1"/>
  <c r="E286" i="131"/>
  <c r="T286" i="131"/>
  <c r="S286" i="131"/>
  <c r="U286" i="131" s="1"/>
  <c r="T285" i="131"/>
  <c r="S285" i="131"/>
  <c r="T284" i="131"/>
  <c r="S284" i="131"/>
  <c r="U284" i="131" s="1"/>
  <c r="E284" i="131" s="1"/>
  <c r="T283" i="131"/>
  <c r="S283" i="131"/>
  <c r="E282" i="131"/>
  <c r="T282" i="131"/>
  <c r="S282" i="131"/>
  <c r="U282" i="131" s="1"/>
  <c r="T281" i="131"/>
  <c r="S281" i="131"/>
  <c r="E280" i="131"/>
  <c r="T280" i="131"/>
  <c r="S280" i="131"/>
  <c r="U280" i="131" s="1"/>
  <c r="T279" i="131"/>
  <c r="S279" i="131"/>
  <c r="U279" i="131" s="1"/>
  <c r="E279" i="131" s="1"/>
  <c r="E278" i="131"/>
  <c r="T278" i="131"/>
  <c r="S278" i="131"/>
  <c r="U278" i="131" s="1"/>
  <c r="T277" i="131"/>
  <c r="S277" i="131"/>
  <c r="T276" i="131"/>
  <c r="S276" i="131"/>
  <c r="U276" i="131" s="1"/>
  <c r="E276" i="131" s="1"/>
  <c r="T275" i="131"/>
  <c r="S275" i="131"/>
  <c r="E274" i="131"/>
  <c r="T274" i="131"/>
  <c r="S274" i="131"/>
  <c r="U274" i="131" s="1"/>
  <c r="T273" i="131"/>
  <c r="S273" i="131"/>
  <c r="E272" i="131"/>
  <c r="T272" i="131"/>
  <c r="S272" i="131"/>
  <c r="U272" i="131" s="1"/>
  <c r="T271" i="131"/>
  <c r="S271" i="131"/>
  <c r="U271" i="131" s="1"/>
  <c r="E271" i="131" s="1"/>
  <c r="E270" i="131"/>
  <c r="T270" i="131"/>
  <c r="S270" i="131"/>
  <c r="U270" i="131" s="1"/>
  <c r="T269" i="131"/>
  <c r="S269" i="131"/>
  <c r="T268" i="131"/>
  <c r="S268" i="131"/>
  <c r="U268" i="131" s="1"/>
  <c r="E268" i="131" s="1"/>
  <c r="T267" i="131"/>
  <c r="S267" i="131"/>
  <c r="E266" i="131"/>
  <c r="T266" i="131"/>
  <c r="S266" i="131"/>
  <c r="U266" i="131" s="1"/>
  <c r="T265" i="131"/>
  <c r="S265" i="131"/>
  <c r="E264" i="131"/>
  <c r="T264" i="131"/>
  <c r="S264" i="131"/>
  <c r="U264" i="131" s="1"/>
  <c r="T263" i="131"/>
  <c r="S263" i="131"/>
  <c r="U263" i="131" s="1"/>
  <c r="E263" i="131" s="1"/>
  <c r="E262" i="131"/>
  <c r="T262" i="131"/>
  <c r="S262" i="131"/>
  <c r="U262" i="131" s="1"/>
  <c r="T261" i="131"/>
  <c r="S261" i="131"/>
  <c r="T260" i="131"/>
  <c r="S260" i="131"/>
  <c r="U260" i="131" s="1"/>
  <c r="E260" i="131" s="1"/>
  <c r="T259" i="131"/>
  <c r="S259" i="131"/>
  <c r="E258" i="131"/>
  <c r="T258" i="131"/>
  <c r="S258" i="131"/>
  <c r="U258" i="131" s="1"/>
  <c r="T257" i="131"/>
  <c r="S257" i="131"/>
  <c r="E256" i="131"/>
  <c r="T256" i="131"/>
  <c r="S256" i="131"/>
  <c r="U256" i="131" s="1"/>
  <c r="T255" i="131"/>
  <c r="S255" i="131"/>
  <c r="U255" i="131" s="1"/>
  <c r="E255" i="131" s="1"/>
  <c r="E254" i="131"/>
  <c r="T254" i="131"/>
  <c r="S254" i="131"/>
  <c r="U254" i="131" s="1"/>
  <c r="T253" i="131"/>
  <c r="S253" i="131"/>
  <c r="T252" i="131"/>
  <c r="S252" i="131"/>
  <c r="U252" i="131" s="1"/>
  <c r="E252" i="131" s="1"/>
  <c r="T251" i="131"/>
  <c r="S251" i="131"/>
  <c r="E250" i="131"/>
  <c r="T250" i="131"/>
  <c r="S250" i="131"/>
  <c r="U250" i="131" s="1"/>
  <c r="T249" i="131"/>
  <c r="S249" i="131"/>
  <c r="E248" i="131"/>
  <c r="T248" i="131"/>
  <c r="S248" i="131"/>
  <c r="U248" i="131" s="1"/>
  <c r="T247" i="131"/>
  <c r="S247" i="131"/>
  <c r="U247" i="131" s="1"/>
  <c r="E247" i="131" s="1"/>
  <c r="E246" i="131"/>
  <c r="T246" i="131"/>
  <c r="S246" i="131"/>
  <c r="U246" i="131" s="1"/>
  <c r="T245" i="131"/>
  <c r="S245" i="131"/>
  <c r="T244" i="131"/>
  <c r="S244" i="131"/>
  <c r="U244" i="131" s="1"/>
  <c r="E244" i="131" s="1"/>
  <c r="T243" i="131"/>
  <c r="S243" i="131"/>
  <c r="E242" i="131"/>
  <c r="T242" i="131"/>
  <c r="S242" i="131"/>
  <c r="U242" i="131" s="1"/>
  <c r="T241" i="131"/>
  <c r="S241" i="131"/>
  <c r="E240" i="131"/>
  <c r="T240" i="131"/>
  <c r="S240" i="131"/>
  <c r="U240" i="131" s="1"/>
  <c r="T239" i="131"/>
  <c r="S239" i="131"/>
  <c r="U239" i="131" s="1"/>
  <c r="E239" i="131" s="1"/>
  <c r="E238" i="131"/>
  <c r="T238" i="131"/>
  <c r="S238" i="131"/>
  <c r="U238" i="131" s="1"/>
  <c r="T237" i="131"/>
  <c r="S237" i="131"/>
  <c r="T236" i="131"/>
  <c r="S236" i="131"/>
  <c r="U236" i="131" s="1"/>
  <c r="E236" i="131" s="1"/>
  <c r="T235" i="131"/>
  <c r="S235" i="131"/>
  <c r="E234" i="131"/>
  <c r="T234" i="131"/>
  <c r="S234" i="131"/>
  <c r="U234" i="131" s="1"/>
  <c r="T233" i="131"/>
  <c r="S233" i="131"/>
  <c r="E232" i="131"/>
  <c r="T232" i="131"/>
  <c r="S232" i="131"/>
  <c r="U232" i="131" s="1"/>
  <c r="T231" i="131"/>
  <c r="S231" i="131"/>
  <c r="U231" i="131" s="1"/>
  <c r="E231" i="131" s="1"/>
  <c r="T230" i="131"/>
  <c r="S230" i="131"/>
  <c r="U230" i="131" s="1"/>
  <c r="E230" i="131" s="1"/>
  <c r="T229" i="131"/>
  <c r="S229" i="131"/>
  <c r="T228" i="131"/>
  <c r="S228" i="131"/>
  <c r="U228" i="131" s="1"/>
  <c r="E228" i="131" s="1"/>
  <c r="T227" i="131"/>
  <c r="S227" i="131"/>
  <c r="E226" i="131"/>
  <c r="T226" i="131"/>
  <c r="S226" i="131"/>
  <c r="U226" i="131" s="1"/>
  <c r="T225" i="131"/>
  <c r="S225" i="131"/>
  <c r="E224" i="131"/>
  <c r="T224" i="131"/>
  <c r="S224" i="131"/>
  <c r="U224" i="131" s="1"/>
  <c r="T223" i="131"/>
  <c r="S223" i="131"/>
  <c r="U223" i="131" s="1"/>
  <c r="E223" i="131" s="1"/>
  <c r="E222" i="131"/>
  <c r="T222" i="131"/>
  <c r="S222" i="131"/>
  <c r="U222" i="131" s="1"/>
  <c r="T221" i="131"/>
  <c r="S221" i="131"/>
  <c r="T220" i="131"/>
  <c r="S220" i="131"/>
  <c r="U220" i="131" s="1"/>
  <c r="E220" i="131" s="1"/>
  <c r="U219" i="131"/>
  <c r="E219" i="131" s="1"/>
  <c r="T219" i="131"/>
  <c r="S219" i="131"/>
  <c r="T218" i="131"/>
  <c r="S218" i="131"/>
  <c r="U218" i="131" s="1"/>
  <c r="E218" i="131" s="1"/>
  <c r="T217" i="131"/>
  <c r="U217" i="131" s="1"/>
  <c r="E217" i="131" s="1"/>
  <c r="S217" i="131"/>
  <c r="E216" i="131"/>
  <c r="T216" i="131"/>
  <c r="S216" i="131"/>
  <c r="U216" i="131" s="1"/>
  <c r="T215" i="131"/>
  <c r="S215" i="131"/>
  <c r="U215" i="131" s="1"/>
  <c r="E215" i="131" s="1"/>
  <c r="T214" i="131"/>
  <c r="S214" i="131"/>
  <c r="U213" i="131"/>
  <c r="E213" i="131" s="1"/>
  <c r="T213" i="131"/>
  <c r="S213" i="131"/>
  <c r="E212" i="131"/>
  <c r="T212" i="131"/>
  <c r="S212" i="131"/>
  <c r="U212" i="131" s="1"/>
  <c r="T211" i="131"/>
  <c r="S211" i="131"/>
  <c r="T210" i="131"/>
  <c r="S210" i="131"/>
  <c r="T209" i="131"/>
  <c r="S209" i="131"/>
  <c r="U209" i="131" s="1"/>
  <c r="E209" i="131" s="1"/>
  <c r="T208" i="131"/>
  <c r="S208" i="131"/>
  <c r="U207" i="131"/>
  <c r="E207" i="131" s="1"/>
  <c r="T207" i="131"/>
  <c r="S207" i="131"/>
  <c r="T206" i="131"/>
  <c r="S206" i="131"/>
  <c r="U206" i="131" s="1"/>
  <c r="E206" i="131" s="1"/>
  <c r="E205" i="131"/>
  <c r="T205" i="131"/>
  <c r="S205" i="131"/>
  <c r="U205" i="131" s="1"/>
  <c r="T204" i="131"/>
  <c r="S204" i="131"/>
  <c r="U204" i="131" s="1"/>
  <c r="E204" i="131" s="1"/>
  <c r="E203" i="131"/>
  <c r="U203" i="131"/>
  <c r="T203" i="131"/>
  <c r="S203" i="131"/>
  <c r="T202" i="131"/>
  <c r="S202" i="131"/>
  <c r="U202" i="131" s="1"/>
  <c r="E202" i="131" s="1"/>
  <c r="T201" i="131"/>
  <c r="U201" i="131" s="1"/>
  <c r="E201" i="131" s="1"/>
  <c r="S201" i="131"/>
  <c r="E200" i="131"/>
  <c r="T200" i="131"/>
  <c r="S200" i="131"/>
  <c r="U200" i="131" s="1"/>
  <c r="T199" i="131"/>
  <c r="S199" i="131"/>
  <c r="U199" i="131" s="1"/>
  <c r="E199" i="131" s="1"/>
  <c r="T198" i="131"/>
  <c r="S198" i="131"/>
  <c r="U197" i="131"/>
  <c r="E197" i="131" s="1"/>
  <c r="T197" i="131"/>
  <c r="S197" i="131"/>
  <c r="E196" i="131"/>
  <c r="T196" i="131"/>
  <c r="S196" i="131"/>
  <c r="U196" i="131" s="1"/>
  <c r="T195" i="131"/>
  <c r="S195" i="131"/>
  <c r="U195" i="131" s="1"/>
  <c r="E195" i="131" s="1"/>
  <c r="T194" i="131"/>
  <c r="S194" i="131"/>
  <c r="T193" i="131"/>
  <c r="S193" i="131"/>
  <c r="U193" i="131" s="1"/>
  <c r="E193" i="131" s="1"/>
  <c r="T192" i="131"/>
  <c r="S192" i="131"/>
  <c r="U192" i="131" s="1"/>
  <c r="E192" i="131" s="1"/>
  <c r="U191" i="131"/>
  <c r="E191" i="131" s="1"/>
  <c r="T191" i="131"/>
  <c r="S191" i="131"/>
  <c r="T190" i="131"/>
  <c r="S190" i="131"/>
  <c r="U190" i="131" s="1"/>
  <c r="E190" i="131" s="1"/>
  <c r="T189" i="131"/>
  <c r="S189" i="131"/>
  <c r="U189" i="131" s="1"/>
  <c r="E189" i="131" s="1"/>
  <c r="T188" i="131"/>
  <c r="S188" i="131"/>
  <c r="U187" i="131"/>
  <c r="E187" i="131" s="1"/>
  <c r="T187" i="131"/>
  <c r="S187" i="131"/>
  <c r="T186" i="131"/>
  <c r="S186" i="131"/>
  <c r="U186" i="131" s="1"/>
  <c r="E186" i="131" s="1"/>
  <c r="E185" i="131"/>
  <c r="U185" i="131"/>
  <c r="T185" i="131"/>
  <c r="S185" i="131"/>
  <c r="E184" i="131"/>
  <c r="T184" i="131"/>
  <c r="S184" i="131"/>
  <c r="U184" i="131" s="1"/>
  <c r="E183" i="131"/>
  <c r="U183" i="131"/>
  <c r="T183" i="131"/>
  <c r="S183" i="131"/>
  <c r="T182" i="131"/>
  <c r="S182" i="131"/>
  <c r="T181" i="131"/>
  <c r="S181" i="131"/>
  <c r="U181" i="131" s="1"/>
  <c r="E181" i="131" s="1"/>
  <c r="E180" i="131"/>
  <c r="T180" i="131"/>
  <c r="S180" i="131"/>
  <c r="U180" i="131" s="1"/>
  <c r="T179" i="131"/>
  <c r="S179" i="131"/>
  <c r="U179" i="131" s="1"/>
  <c r="E179" i="131" s="1"/>
  <c r="T178" i="131"/>
  <c r="S178" i="131"/>
  <c r="T177" i="131"/>
  <c r="S177" i="131"/>
  <c r="U177" i="131" s="1"/>
  <c r="E177" i="131" s="1"/>
  <c r="T176" i="131"/>
  <c r="S176" i="131"/>
  <c r="U176" i="131" s="1"/>
  <c r="E176" i="131" s="1"/>
  <c r="U175" i="131"/>
  <c r="E175" i="131" s="1"/>
  <c r="T175" i="131"/>
  <c r="S175" i="131"/>
  <c r="E174" i="131"/>
  <c r="U174" i="131"/>
  <c r="T174" i="131"/>
  <c r="S174" i="131"/>
  <c r="T173" i="131"/>
  <c r="S173" i="131"/>
  <c r="U173" i="131" s="1"/>
  <c r="E173" i="131" s="1"/>
  <c r="U172" i="131"/>
  <c r="E172" i="131" s="1"/>
  <c r="T172" i="131"/>
  <c r="S172" i="131"/>
  <c r="T171" i="131"/>
  <c r="S171" i="131"/>
  <c r="U171" i="131" s="1"/>
  <c r="E171" i="131" s="1"/>
  <c r="T170" i="131"/>
  <c r="S170" i="131"/>
  <c r="U170" i="131" s="1"/>
  <c r="E170" i="131" s="1"/>
  <c r="T169" i="131"/>
  <c r="S169" i="131"/>
  <c r="U169" i="131" s="1"/>
  <c r="E169" i="131" s="1"/>
  <c r="T168" i="131"/>
  <c r="U168" i="131" s="1"/>
  <c r="E168" i="131" s="1"/>
  <c r="S168" i="131"/>
  <c r="T167" i="131"/>
  <c r="S167" i="131"/>
  <c r="U167" i="131" s="1"/>
  <c r="E167" i="131" s="1"/>
  <c r="E166" i="131"/>
  <c r="U166" i="131"/>
  <c r="T166" i="131"/>
  <c r="S166" i="131"/>
  <c r="T165" i="131"/>
  <c r="S165" i="131"/>
  <c r="U165" i="131" s="1"/>
  <c r="E165" i="131" s="1"/>
  <c r="U164" i="131"/>
  <c r="E164" i="131" s="1"/>
  <c r="T164" i="131"/>
  <c r="S164" i="131"/>
  <c r="T163" i="131"/>
  <c r="S163" i="131"/>
  <c r="U163" i="131" s="1"/>
  <c r="E163" i="131" s="1"/>
  <c r="T162" i="131"/>
  <c r="S162" i="131"/>
  <c r="U162" i="131" s="1"/>
  <c r="E162" i="131" s="1"/>
  <c r="T161" i="131"/>
  <c r="S161" i="131"/>
  <c r="U161" i="131" s="1"/>
  <c r="E161" i="131" s="1"/>
  <c r="U160" i="131"/>
  <c r="E160" i="131" s="1"/>
  <c r="T160" i="131"/>
  <c r="S160" i="131"/>
  <c r="T159" i="131"/>
  <c r="S159" i="131"/>
  <c r="U159" i="131" s="1"/>
  <c r="E159" i="131" s="1"/>
  <c r="U158" i="131"/>
  <c r="E158" i="131" s="1"/>
  <c r="T158" i="131"/>
  <c r="S158" i="131"/>
  <c r="T157" i="131"/>
  <c r="S157" i="131"/>
  <c r="U157" i="131" s="1"/>
  <c r="E157" i="131" s="1"/>
  <c r="U156" i="131"/>
  <c r="E156" i="131" s="1"/>
  <c r="T156" i="131"/>
  <c r="S156" i="131"/>
  <c r="T155" i="131"/>
  <c r="S155" i="131"/>
  <c r="U155" i="131" s="1"/>
  <c r="E155" i="131" s="1"/>
  <c r="T154" i="131"/>
  <c r="S154" i="131"/>
  <c r="U154" i="131" s="1"/>
  <c r="E154" i="131" s="1"/>
  <c r="T153" i="131"/>
  <c r="S153" i="131"/>
  <c r="U153" i="131" s="1"/>
  <c r="E153" i="131" s="1"/>
  <c r="U152" i="131"/>
  <c r="E152" i="131" s="1"/>
  <c r="T152" i="131"/>
  <c r="S152" i="131"/>
  <c r="T151" i="131"/>
  <c r="S151" i="131"/>
  <c r="U151" i="131" s="1"/>
  <c r="E151" i="131" s="1"/>
  <c r="U150" i="131"/>
  <c r="E150" i="131" s="1"/>
  <c r="T150" i="131"/>
  <c r="S150" i="131"/>
  <c r="T149" i="131"/>
  <c r="S149" i="131"/>
  <c r="U149" i="131" s="1"/>
  <c r="E149" i="131" s="1"/>
  <c r="U148" i="131"/>
  <c r="E148" i="131" s="1"/>
  <c r="T148" i="131"/>
  <c r="S148" i="131"/>
  <c r="T147" i="131"/>
  <c r="S147" i="131"/>
  <c r="U147" i="131" s="1"/>
  <c r="E147" i="131" s="1"/>
  <c r="T146" i="131"/>
  <c r="S146" i="131"/>
  <c r="U146" i="131" s="1"/>
  <c r="E146" i="131" s="1"/>
  <c r="T145" i="131"/>
  <c r="S145" i="131"/>
  <c r="U145" i="131" s="1"/>
  <c r="E145" i="131" s="1"/>
  <c r="U144" i="131"/>
  <c r="E144" i="131" s="1"/>
  <c r="T144" i="131"/>
  <c r="S144" i="131"/>
  <c r="T143" i="131"/>
  <c r="S143" i="131"/>
  <c r="U143" i="131" s="1"/>
  <c r="E143" i="131" s="1"/>
  <c r="U142" i="131"/>
  <c r="E142" i="131" s="1"/>
  <c r="T142" i="131"/>
  <c r="S142" i="131"/>
  <c r="T141" i="131"/>
  <c r="S141" i="131"/>
  <c r="U141" i="131" s="1"/>
  <c r="E141" i="131" s="1"/>
  <c r="T140" i="131"/>
  <c r="U140" i="131" s="1"/>
  <c r="E140" i="131" s="1"/>
  <c r="S140" i="131"/>
  <c r="U139" i="131"/>
  <c r="E139" i="131" s="1"/>
  <c r="T139" i="131"/>
  <c r="S139" i="131"/>
  <c r="U138" i="131"/>
  <c r="E138" i="131" s="1"/>
  <c r="T138" i="131"/>
  <c r="S138" i="131"/>
  <c r="T137" i="131"/>
  <c r="S137" i="131"/>
  <c r="U137" i="131" s="1"/>
  <c r="E137" i="131" s="1"/>
  <c r="T136" i="131"/>
  <c r="U136" i="131" s="1"/>
  <c r="E136" i="131" s="1"/>
  <c r="S136" i="131"/>
  <c r="U135" i="131"/>
  <c r="E135" i="131" s="1"/>
  <c r="T135" i="131"/>
  <c r="S135" i="131"/>
  <c r="T134" i="131"/>
  <c r="S134" i="131"/>
  <c r="U134" i="131" s="1"/>
  <c r="E134" i="131" s="1"/>
  <c r="T133" i="131"/>
  <c r="U133" i="131" s="1"/>
  <c r="E133" i="131" s="1"/>
  <c r="S133" i="131"/>
  <c r="T132" i="131"/>
  <c r="S132" i="131"/>
  <c r="U132" i="131" s="1"/>
  <c r="E132" i="131" s="1"/>
  <c r="U131" i="131"/>
  <c r="E131" i="131" s="1"/>
  <c r="T131" i="131"/>
  <c r="S131" i="131"/>
  <c r="U130" i="131"/>
  <c r="E130" i="131" s="1"/>
  <c r="T130" i="131"/>
  <c r="S130" i="131"/>
  <c r="T129" i="131"/>
  <c r="U129" i="131" s="1"/>
  <c r="E129" i="131" s="1"/>
  <c r="S129" i="131"/>
  <c r="T128" i="131"/>
  <c r="S128" i="131"/>
  <c r="U128" i="131" s="1"/>
  <c r="E128" i="131" s="1"/>
  <c r="T127" i="131"/>
  <c r="S127" i="131"/>
  <c r="U127" i="131" s="1"/>
  <c r="E127" i="131" s="1"/>
  <c r="U126" i="131"/>
  <c r="E126" i="131" s="1"/>
  <c r="T126" i="131"/>
  <c r="S126" i="131"/>
  <c r="T125" i="131"/>
  <c r="S125" i="131"/>
  <c r="U125" i="131" s="1"/>
  <c r="E125" i="131" s="1"/>
  <c r="T124" i="131"/>
  <c r="U124" i="131" s="1"/>
  <c r="E124" i="131" s="1"/>
  <c r="S124" i="131"/>
  <c r="U123" i="131"/>
  <c r="E123" i="131" s="1"/>
  <c r="T123" i="131"/>
  <c r="S123" i="131"/>
  <c r="U122" i="131"/>
  <c r="E122" i="131" s="1"/>
  <c r="T122" i="131"/>
  <c r="S122" i="131"/>
  <c r="T121" i="131"/>
  <c r="S121" i="131"/>
  <c r="U121" i="131" s="1"/>
  <c r="E121" i="131" s="1"/>
  <c r="T120" i="131"/>
  <c r="U120" i="131" s="1"/>
  <c r="E120" i="131" s="1"/>
  <c r="S120" i="131"/>
  <c r="U119" i="131"/>
  <c r="E119" i="131" s="1"/>
  <c r="T119" i="131"/>
  <c r="S119" i="131"/>
  <c r="T118" i="131"/>
  <c r="S118" i="131"/>
  <c r="U118" i="131" s="1"/>
  <c r="E118" i="131" s="1"/>
  <c r="T117" i="131"/>
  <c r="U117" i="131" s="1"/>
  <c r="E117" i="131" s="1"/>
  <c r="S117" i="131"/>
  <c r="T116" i="131"/>
  <c r="S116" i="131"/>
  <c r="U116" i="131" s="1"/>
  <c r="E116" i="131" s="1"/>
  <c r="U115" i="131"/>
  <c r="E115" i="131" s="1"/>
  <c r="T115" i="131"/>
  <c r="S115" i="131"/>
  <c r="U114" i="131"/>
  <c r="E114" i="131" s="1"/>
  <c r="T114" i="131"/>
  <c r="S114" i="131"/>
  <c r="T113" i="131"/>
  <c r="U113" i="131" s="1"/>
  <c r="E113" i="131" s="1"/>
  <c r="S113" i="131"/>
  <c r="T112" i="131"/>
  <c r="S112" i="131"/>
  <c r="U112" i="131" s="1"/>
  <c r="E112" i="131" s="1"/>
  <c r="T111" i="131"/>
  <c r="S111" i="131"/>
  <c r="U111" i="131" s="1"/>
  <c r="E111" i="131" s="1"/>
  <c r="U110" i="131"/>
  <c r="E110" i="131" s="1"/>
  <c r="T110" i="131"/>
  <c r="S110" i="131"/>
  <c r="T109" i="131"/>
  <c r="S109" i="131"/>
  <c r="U109" i="131" s="1"/>
  <c r="E109" i="131" s="1"/>
  <c r="T108" i="131"/>
  <c r="U108" i="131" s="1"/>
  <c r="E108" i="131" s="1"/>
  <c r="S108" i="131"/>
  <c r="U107" i="131"/>
  <c r="E107" i="131" s="1"/>
  <c r="T107" i="131"/>
  <c r="S107" i="131"/>
  <c r="U106" i="131"/>
  <c r="E106" i="131" s="1"/>
  <c r="T106" i="131"/>
  <c r="S106" i="131"/>
  <c r="T105" i="131"/>
  <c r="S105" i="131"/>
  <c r="U105" i="131" s="1"/>
  <c r="E105" i="131" s="1"/>
  <c r="T104" i="131"/>
  <c r="U104" i="131" s="1"/>
  <c r="E104" i="131" s="1"/>
  <c r="S104" i="131"/>
  <c r="U103" i="131"/>
  <c r="E103" i="131" s="1"/>
  <c r="T103" i="131"/>
  <c r="S103" i="131"/>
  <c r="T102" i="131"/>
  <c r="S102" i="131"/>
  <c r="U102" i="131" s="1"/>
  <c r="E102" i="131" s="1"/>
  <c r="T101" i="131"/>
  <c r="U101" i="131" s="1"/>
  <c r="E101" i="131" s="1"/>
  <c r="S101" i="131"/>
  <c r="T100" i="131"/>
  <c r="S100" i="131"/>
  <c r="U100" i="131" s="1"/>
  <c r="E100" i="131" s="1"/>
  <c r="U99" i="131"/>
  <c r="E99" i="131" s="1"/>
  <c r="T99" i="131"/>
  <c r="S99" i="131"/>
  <c r="U98" i="131"/>
  <c r="E98" i="131" s="1"/>
  <c r="T98" i="131"/>
  <c r="S98" i="131"/>
  <c r="T97" i="131"/>
  <c r="U97" i="131" s="1"/>
  <c r="E97" i="131" s="1"/>
  <c r="S97" i="131"/>
  <c r="T96" i="131"/>
  <c r="S96" i="131"/>
  <c r="U96" i="131" s="1"/>
  <c r="E96" i="131" s="1"/>
  <c r="T95" i="131"/>
  <c r="S95" i="131"/>
  <c r="U95" i="131" s="1"/>
  <c r="E95" i="131" s="1"/>
  <c r="U94" i="131"/>
  <c r="E94" i="131" s="1"/>
  <c r="T94" i="131"/>
  <c r="S94" i="131"/>
  <c r="T93" i="131"/>
  <c r="S93" i="131"/>
  <c r="U93" i="131" s="1"/>
  <c r="E93" i="131" s="1"/>
  <c r="T92" i="131"/>
  <c r="U92" i="131" s="1"/>
  <c r="E92" i="131" s="1"/>
  <c r="S92" i="131"/>
  <c r="U91" i="131"/>
  <c r="E91" i="131" s="1"/>
  <c r="T91" i="131"/>
  <c r="S91" i="131"/>
  <c r="U90" i="131"/>
  <c r="E90" i="131" s="1"/>
  <c r="T90" i="131"/>
  <c r="S90" i="131"/>
  <c r="T89" i="131"/>
  <c r="S89" i="131"/>
  <c r="U89" i="131" s="1"/>
  <c r="E89" i="131" s="1"/>
  <c r="T88" i="131"/>
  <c r="U88" i="131" s="1"/>
  <c r="E88" i="131" s="1"/>
  <c r="S88" i="131"/>
  <c r="U87" i="131"/>
  <c r="E87" i="131" s="1"/>
  <c r="T87" i="131"/>
  <c r="S87" i="131"/>
  <c r="T86" i="131"/>
  <c r="S86" i="131"/>
  <c r="U86" i="131" s="1"/>
  <c r="E86" i="131" s="1"/>
  <c r="T85" i="131"/>
  <c r="U85" i="131" s="1"/>
  <c r="E85" i="131" s="1"/>
  <c r="S85" i="131"/>
  <c r="T84" i="131"/>
  <c r="S84" i="131"/>
  <c r="U84" i="131" s="1"/>
  <c r="E84" i="131" s="1"/>
  <c r="U83" i="131"/>
  <c r="E83" i="131" s="1"/>
  <c r="T83" i="131"/>
  <c r="S83" i="131"/>
  <c r="U82" i="131"/>
  <c r="E82" i="131" s="1"/>
  <c r="T82" i="131"/>
  <c r="S82" i="131"/>
  <c r="T81" i="131"/>
  <c r="U81" i="131" s="1"/>
  <c r="E81" i="131" s="1"/>
  <c r="S81" i="131"/>
  <c r="T80" i="131"/>
  <c r="S80" i="131"/>
  <c r="U80" i="131" s="1"/>
  <c r="E80" i="131" s="1"/>
  <c r="T79" i="131"/>
  <c r="S79" i="131"/>
  <c r="U79" i="131" s="1"/>
  <c r="E79" i="131" s="1"/>
  <c r="U78" i="131"/>
  <c r="E78" i="131" s="1"/>
  <c r="T78" i="131"/>
  <c r="S78" i="131"/>
  <c r="T77" i="131"/>
  <c r="S77" i="131"/>
  <c r="U77" i="131" s="1"/>
  <c r="E77" i="131" s="1"/>
  <c r="T76" i="131"/>
  <c r="U76" i="131" s="1"/>
  <c r="E76" i="131" s="1"/>
  <c r="S76" i="131"/>
  <c r="T75" i="131"/>
  <c r="S75" i="131"/>
  <c r="U75" i="131" s="1"/>
  <c r="E75" i="131" s="1"/>
  <c r="T74" i="131"/>
  <c r="U74" i="131" s="1"/>
  <c r="E74" i="131" s="1"/>
  <c r="S74" i="131"/>
  <c r="T73" i="131"/>
  <c r="S73" i="131"/>
  <c r="U73" i="131" s="1"/>
  <c r="E73" i="131" s="1"/>
  <c r="T72" i="131"/>
  <c r="U72" i="131" s="1"/>
  <c r="E72" i="131" s="1"/>
  <c r="S72" i="131"/>
  <c r="T71" i="131"/>
  <c r="S71" i="131"/>
  <c r="U71" i="131" s="1"/>
  <c r="E71" i="131" s="1"/>
  <c r="T70" i="131"/>
  <c r="U70" i="131" s="1"/>
  <c r="E70" i="131" s="1"/>
  <c r="S70" i="131"/>
  <c r="T69" i="131"/>
  <c r="S69" i="131"/>
  <c r="U69" i="131" s="1"/>
  <c r="E69" i="131" s="1"/>
  <c r="T68" i="131"/>
  <c r="U68" i="131" s="1"/>
  <c r="E68" i="131" s="1"/>
  <c r="S68" i="131"/>
  <c r="T67" i="131"/>
  <c r="S67" i="131"/>
  <c r="U67" i="131" s="1"/>
  <c r="E67" i="131" s="1"/>
  <c r="T66" i="131"/>
  <c r="U66" i="131" s="1"/>
  <c r="E66" i="131" s="1"/>
  <c r="S66" i="131"/>
  <c r="T65" i="131"/>
  <c r="S65" i="131"/>
  <c r="U65" i="131" s="1"/>
  <c r="E65" i="131" s="1"/>
  <c r="T64" i="131"/>
  <c r="U64" i="131" s="1"/>
  <c r="E64" i="131" s="1"/>
  <c r="S64" i="131"/>
  <c r="T63" i="131"/>
  <c r="S63" i="131"/>
  <c r="U63" i="131" s="1"/>
  <c r="E63" i="131" s="1"/>
  <c r="T62" i="131"/>
  <c r="U62" i="131" s="1"/>
  <c r="E62" i="131" s="1"/>
  <c r="S62" i="131"/>
  <c r="T61" i="131"/>
  <c r="S61" i="131"/>
  <c r="U61" i="131" s="1"/>
  <c r="E61" i="131" s="1"/>
  <c r="T60" i="131"/>
  <c r="U60" i="131" s="1"/>
  <c r="E60" i="131" s="1"/>
  <c r="S60" i="131"/>
  <c r="T59" i="131"/>
  <c r="S59" i="131"/>
  <c r="U59" i="131" s="1"/>
  <c r="E59" i="131" s="1"/>
  <c r="T58" i="131"/>
  <c r="U58" i="131" s="1"/>
  <c r="E58" i="131" s="1"/>
  <c r="S58" i="131"/>
  <c r="T57" i="131"/>
  <c r="S57" i="131"/>
  <c r="U57" i="131" s="1"/>
  <c r="E57" i="131" s="1"/>
  <c r="T56" i="131"/>
  <c r="U56" i="131" s="1"/>
  <c r="E56" i="131" s="1"/>
  <c r="S56" i="131"/>
  <c r="T55" i="131"/>
  <c r="S55" i="131"/>
  <c r="U55" i="131" s="1"/>
  <c r="E55" i="131" s="1"/>
  <c r="T54" i="131"/>
  <c r="U54" i="131" s="1"/>
  <c r="E54" i="131" s="1"/>
  <c r="S54" i="131"/>
  <c r="T53" i="131"/>
  <c r="S53" i="131"/>
  <c r="U53" i="131" s="1"/>
  <c r="E53" i="131" s="1"/>
  <c r="T52" i="131"/>
  <c r="U52" i="131" s="1"/>
  <c r="E52" i="131" s="1"/>
  <c r="S52" i="131"/>
  <c r="T51" i="131"/>
  <c r="S51" i="131"/>
  <c r="U51" i="131" s="1"/>
  <c r="E51" i="131" s="1"/>
  <c r="T50" i="131"/>
  <c r="U50" i="131" s="1"/>
  <c r="E50" i="131" s="1"/>
  <c r="S50" i="131"/>
  <c r="T49" i="131"/>
  <c r="T48" i="131"/>
  <c r="U48" i="131" s="1"/>
  <c r="E48" i="131" s="1"/>
  <c r="S48" i="131"/>
  <c r="T47" i="131"/>
  <c r="S47" i="131"/>
  <c r="U47" i="131" s="1"/>
  <c r="E47" i="131" s="1"/>
  <c r="T46" i="131"/>
  <c r="U46" i="131" s="1"/>
  <c r="E46" i="131" s="1"/>
  <c r="S46" i="131"/>
  <c r="T45" i="131"/>
  <c r="S45" i="131"/>
  <c r="U45" i="131" s="1"/>
  <c r="E45" i="131" s="1"/>
  <c r="T44" i="131"/>
  <c r="U44" i="131" s="1"/>
  <c r="E44" i="131" s="1"/>
  <c r="S44" i="131"/>
  <c r="T43" i="131"/>
  <c r="S43" i="131"/>
  <c r="U43" i="131" s="1"/>
  <c r="E43" i="131" s="1"/>
  <c r="T42" i="131"/>
  <c r="T41" i="131"/>
  <c r="S41" i="131"/>
  <c r="U41" i="131" s="1"/>
  <c r="E41" i="131" s="1"/>
  <c r="T40" i="131"/>
  <c r="U40" i="131" s="1"/>
  <c r="E40" i="131" s="1"/>
  <c r="S40" i="131"/>
  <c r="T39" i="131"/>
  <c r="S39" i="131"/>
  <c r="U39" i="131" s="1"/>
  <c r="E39" i="131" s="1"/>
  <c r="T38" i="131"/>
  <c r="T37" i="131"/>
  <c r="S37" i="131"/>
  <c r="U37" i="131" s="1"/>
  <c r="E37" i="131" s="1"/>
  <c r="T36" i="131"/>
  <c r="U36" i="131" s="1"/>
  <c r="E36" i="131" s="1"/>
  <c r="S36" i="131"/>
  <c r="T35" i="131"/>
  <c r="S35" i="131"/>
  <c r="U35" i="131" s="1"/>
  <c r="E35" i="131" s="1"/>
  <c r="T34" i="131"/>
  <c r="T33" i="131"/>
  <c r="T32" i="131"/>
  <c r="T31" i="131"/>
  <c r="S31" i="131"/>
  <c r="U31" i="131" s="1"/>
  <c r="E31" i="131" s="1"/>
  <c r="T30" i="131"/>
  <c r="U30" i="131" s="1"/>
  <c r="E30" i="131" s="1"/>
  <c r="S30" i="131"/>
  <c r="T29" i="131"/>
  <c r="T28" i="131"/>
  <c r="T27" i="131"/>
  <c r="S27" i="131"/>
  <c r="U27" i="131" s="1"/>
  <c r="E27" i="131" s="1"/>
  <c r="T26" i="131"/>
  <c r="U26" i="131" s="1"/>
  <c r="E26" i="131" s="1"/>
  <c r="S26" i="131"/>
  <c r="T25" i="131"/>
  <c r="T24" i="131"/>
  <c r="U24" i="131" s="1"/>
  <c r="E24" i="131" s="1"/>
  <c r="S24" i="131"/>
  <c r="T23" i="131"/>
  <c r="S23" i="131"/>
  <c r="U23" i="131" s="1"/>
  <c r="E23" i="131" s="1"/>
  <c r="T22" i="131"/>
  <c r="U22" i="131" s="1"/>
  <c r="E22" i="131" s="1"/>
  <c r="S22" i="131"/>
  <c r="T21" i="131"/>
  <c r="S21" i="131"/>
  <c r="U21" i="131" s="1"/>
  <c r="E21" i="131" s="1"/>
  <c r="T20" i="131"/>
  <c r="T19" i="131"/>
  <c r="T18" i="131"/>
  <c r="T17" i="131"/>
  <c r="T16" i="131"/>
  <c r="U16" i="131" s="1"/>
  <c r="E16" i="131" s="1"/>
  <c r="S16" i="131"/>
  <c r="T15" i="131"/>
  <c r="T14" i="131"/>
  <c r="U14" i="131" s="1"/>
  <c r="E14" i="131" s="1"/>
  <c r="S14" i="131"/>
  <c r="T13" i="131"/>
  <c r="S13" i="131"/>
  <c r="U13" i="131" s="1"/>
  <c r="E13" i="131" s="1"/>
  <c r="T12" i="131"/>
  <c r="U12" i="131" s="1"/>
  <c r="E12" i="131" s="1"/>
  <c r="S12" i="131"/>
  <c r="T11" i="131"/>
  <c r="S11" i="131"/>
  <c r="U11" i="131" s="1"/>
  <c r="E11" i="131" s="1"/>
  <c r="T10" i="131"/>
  <c r="S10" i="131"/>
  <c r="U345" i="131"/>
  <c r="E345" i="131" s="1"/>
  <c r="S345" i="131"/>
  <c r="U344" i="131"/>
  <c r="T344" i="131" s="1"/>
  <c r="S344" i="131"/>
  <c r="U343" i="131"/>
  <c r="E343" i="131" s="1"/>
  <c r="S343" i="131"/>
  <c r="U342" i="131"/>
  <c r="T342" i="131" s="1"/>
  <c r="S342" i="131"/>
  <c r="S56" i="130"/>
  <c r="T20" i="130"/>
  <c r="P2" i="130"/>
  <c r="P3" i="130" s="1"/>
  <c r="O2" i="130"/>
  <c r="O3" i="130" s="1"/>
  <c r="N2" i="130"/>
  <c r="N3" i="130" s="1"/>
  <c r="M2" i="130"/>
  <c r="M3" i="130" s="1"/>
  <c r="L2" i="130"/>
  <c r="L3" i="130" s="1"/>
  <c r="K2" i="130"/>
  <c r="K3" i="130" s="1"/>
  <c r="J2" i="130"/>
  <c r="J3" i="130" s="1"/>
  <c r="I2" i="130"/>
  <c r="I3" i="130" s="1"/>
  <c r="H2" i="130"/>
  <c r="H3" i="130" s="1"/>
  <c r="G2" i="130"/>
  <c r="G3" i="130" s="1"/>
  <c r="T339" i="130"/>
  <c r="S339" i="130"/>
  <c r="U339" i="130" s="1"/>
  <c r="E339" i="130" s="1"/>
  <c r="T338" i="130"/>
  <c r="S338" i="130"/>
  <c r="U338" i="130" s="1"/>
  <c r="E338" i="130" s="1"/>
  <c r="T337" i="130"/>
  <c r="S337" i="130"/>
  <c r="U337" i="130" s="1"/>
  <c r="E337" i="130" s="1"/>
  <c r="E336" i="130"/>
  <c r="T336" i="130"/>
  <c r="S336" i="130"/>
  <c r="U336" i="130" s="1"/>
  <c r="T335" i="130"/>
  <c r="S335" i="130"/>
  <c r="U335" i="130" s="1"/>
  <c r="E335" i="130" s="1"/>
  <c r="T334" i="130"/>
  <c r="S334" i="130"/>
  <c r="T333" i="130"/>
  <c r="S333" i="130"/>
  <c r="U333" i="130" s="1"/>
  <c r="E333" i="130" s="1"/>
  <c r="T332" i="130"/>
  <c r="S332" i="130"/>
  <c r="U332" i="130" s="1"/>
  <c r="E332" i="130" s="1"/>
  <c r="T331" i="130"/>
  <c r="S331" i="130"/>
  <c r="T330" i="130"/>
  <c r="S330" i="130"/>
  <c r="T329" i="130"/>
  <c r="S329" i="130"/>
  <c r="T328" i="130"/>
  <c r="S328" i="130"/>
  <c r="T327" i="130"/>
  <c r="S327" i="130"/>
  <c r="U327" i="130" s="1"/>
  <c r="E327" i="130" s="1"/>
  <c r="T326" i="130"/>
  <c r="S326" i="130"/>
  <c r="T325" i="130"/>
  <c r="S325" i="130"/>
  <c r="U325" i="130" s="1"/>
  <c r="E325" i="130" s="1"/>
  <c r="T324" i="130"/>
  <c r="S324" i="130"/>
  <c r="U324" i="130" s="1"/>
  <c r="E324" i="130" s="1"/>
  <c r="T323" i="130"/>
  <c r="S323" i="130"/>
  <c r="U323" i="130" s="1"/>
  <c r="E323" i="130" s="1"/>
  <c r="T322" i="130"/>
  <c r="S322" i="130"/>
  <c r="U322" i="130" s="1"/>
  <c r="E322" i="130" s="1"/>
  <c r="T321" i="130"/>
  <c r="S321" i="130"/>
  <c r="U321" i="130" s="1"/>
  <c r="E321" i="130" s="1"/>
  <c r="T320" i="130"/>
  <c r="S320" i="130"/>
  <c r="T319" i="130"/>
  <c r="S319" i="130"/>
  <c r="T318" i="130"/>
  <c r="S318" i="130"/>
  <c r="T317" i="130"/>
  <c r="S317" i="130"/>
  <c r="U317" i="130" s="1"/>
  <c r="E317" i="130" s="1"/>
  <c r="T316" i="130"/>
  <c r="S316" i="130"/>
  <c r="E315" i="130"/>
  <c r="T315" i="130"/>
  <c r="S315" i="130"/>
  <c r="U315" i="130" s="1"/>
  <c r="T314" i="130"/>
  <c r="S314" i="130"/>
  <c r="U314" i="130" s="1"/>
  <c r="E314" i="130" s="1"/>
  <c r="T313" i="130"/>
  <c r="S313" i="130"/>
  <c r="U313" i="130" s="1"/>
  <c r="E313" i="130" s="1"/>
  <c r="T312" i="130"/>
  <c r="S312" i="130"/>
  <c r="T311" i="130"/>
  <c r="S311" i="130"/>
  <c r="T310" i="130"/>
  <c r="S310" i="130"/>
  <c r="T309" i="130"/>
  <c r="S309" i="130"/>
  <c r="U309" i="130" s="1"/>
  <c r="E309" i="130" s="1"/>
  <c r="T308" i="130"/>
  <c r="S308" i="130"/>
  <c r="E307" i="130"/>
  <c r="T307" i="130"/>
  <c r="S307" i="130"/>
  <c r="U307" i="130" s="1"/>
  <c r="T306" i="130"/>
  <c r="S306" i="130"/>
  <c r="U306" i="130" s="1"/>
  <c r="E306" i="130" s="1"/>
  <c r="T305" i="130"/>
  <c r="S305" i="130"/>
  <c r="U305" i="130" s="1"/>
  <c r="E305" i="130" s="1"/>
  <c r="T304" i="130"/>
  <c r="S304" i="130"/>
  <c r="T303" i="130"/>
  <c r="S303" i="130"/>
  <c r="T302" i="130"/>
  <c r="S302" i="130"/>
  <c r="T301" i="130"/>
  <c r="S301" i="130"/>
  <c r="U301" i="130" s="1"/>
  <c r="E301" i="130" s="1"/>
  <c r="E300" i="130"/>
  <c r="T300" i="130"/>
  <c r="S300" i="130"/>
  <c r="U300" i="130" s="1"/>
  <c r="E299" i="130"/>
  <c r="T299" i="130"/>
  <c r="S299" i="130"/>
  <c r="U299" i="130" s="1"/>
  <c r="T298" i="130"/>
  <c r="S298" i="130"/>
  <c r="U298" i="130" s="1"/>
  <c r="E298" i="130" s="1"/>
  <c r="T297" i="130"/>
  <c r="S297" i="130"/>
  <c r="U297" i="130" s="1"/>
  <c r="E297" i="130" s="1"/>
  <c r="T296" i="130"/>
  <c r="S296" i="130"/>
  <c r="U296" i="130" s="1"/>
  <c r="E296" i="130" s="1"/>
  <c r="T295" i="130"/>
  <c r="S295" i="130"/>
  <c r="T294" i="130"/>
  <c r="S294" i="130"/>
  <c r="T293" i="130"/>
  <c r="S293" i="130"/>
  <c r="U293" i="130" s="1"/>
  <c r="E293" i="130" s="1"/>
  <c r="E292" i="130"/>
  <c r="T292" i="130"/>
  <c r="S292" i="130"/>
  <c r="U292" i="130" s="1"/>
  <c r="T291" i="130"/>
  <c r="S291" i="130"/>
  <c r="T290" i="130"/>
  <c r="S290" i="130"/>
  <c r="U290" i="130" s="1"/>
  <c r="E290" i="130" s="1"/>
  <c r="T289" i="130"/>
  <c r="S289" i="130"/>
  <c r="U289" i="130" s="1"/>
  <c r="E289" i="130" s="1"/>
  <c r="T288" i="130"/>
  <c r="S288" i="130"/>
  <c r="U288" i="130" s="1"/>
  <c r="E288" i="130" s="1"/>
  <c r="T287" i="130"/>
  <c r="S287" i="130"/>
  <c r="T286" i="130"/>
  <c r="S286" i="130"/>
  <c r="T285" i="130"/>
  <c r="S285" i="130"/>
  <c r="U285" i="130" s="1"/>
  <c r="E285" i="130" s="1"/>
  <c r="E284" i="130"/>
  <c r="T284" i="130"/>
  <c r="S284" i="130"/>
  <c r="U284" i="130" s="1"/>
  <c r="E283" i="130"/>
  <c r="T283" i="130"/>
  <c r="S283" i="130"/>
  <c r="U283" i="130" s="1"/>
  <c r="T282" i="130"/>
  <c r="S282" i="130"/>
  <c r="U282" i="130" s="1"/>
  <c r="E282" i="130" s="1"/>
  <c r="T281" i="130"/>
  <c r="S281" i="130"/>
  <c r="U281" i="130" s="1"/>
  <c r="E281" i="130" s="1"/>
  <c r="T280" i="130"/>
  <c r="S280" i="130"/>
  <c r="U280" i="130" s="1"/>
  <c r="E280" i="130" s="1"/>
  <c r="T279" i="130"/>
  <c r="S279" i="130"/>
  <c r="T278" i="130"/>
  <c r="S278" i="130"/>
  <c r="T277" i="130"/>
  <c r="S277" i="130"/>
  <c r="U277" i="130" s="1"/>
  <c r="E277" i="130" s="1"/>
  <c r="E276" i="130"/>
  <c r="T276" i="130"/>
  <c r="S276" i="130"/>
  <c r="U276" i="130" s="1"/>
  <c r="E275" i="130"/>
  <c r="T275" i="130"/>
  <c r="S275" i="130"/>
  <c r="U275" i="130" s="1"/>
  <c r="T274" i="130"/>
  <c r="S274" i="130"/>
  <c r="U274" i="130" s="1"/>
  <c r="E274" i="130" s="1"/>
  <c r="T273" i="130"/>
  <c r="S273" i="130"/>
  <c r="U273" i="130" s="1"/>
  <c r="E273" i="130" s="1"/>
  <c r="T272" i="130"/>
  <c r="S272" i="130"/>
  <c r="U272" i="130" s="1"/>
  <c r="E272" i="130" s="1"/>
  <c r="T271" i="130"/>
  <c r="S271" i="130"/>
  <c r="T270" i="130"/>
  <c r="S270" i="130"/>
  <c r="T269" i="130"/>
  <c r="S269" i="130"/>
  <c r="U269" i="130" s="1"/>
  <c r="E269" i="130" s="1"/>
  <c r="E268" i="130"/>
  <c r="T268" i="130"/>
  <c r="S268" i="130"/>
  <c r="U268" i="130" s="1"/>
  <c r="E267" i="130"/>
  <c r="T267" i="130"/>
  <c r="S267" i="130"/>
  <c r="U267" i="130" s="1"/>
  <c r="T266" i="130"/>
  <c r="S266" i="130"/>
  <c r="U266" i="130" s="1"/>
  <c r="E266" i="130" s="1"/>
  <c r="T265" i="130"/>
  <c r="S265" i="130"/>
  <c r="U265" i="130" s="1"/>
  <c r="E265" i="130" s="1"/>
  <c r="T264" i="130"/>
  <c r="S264" i="130"/>
  <c r="U264" i="130" s="1"/>
  <c r="E264" i="130" s="1"/>
  <c r="T263" i="130"/>
  <c r="S263" i="130"/>
  <c r="T262" i="130"/>
  <c r="S262" i="130"/>
  <c r="T261" i="130"/>
  <c r="S261" i="130"/>
  <c r="U261" i="130" s="1"/>
  <c r="E261" i="130" s="1"/>
  <c r="T260" i="130"/>
  <c r="S260" i="130"/>
  <c r="T259" i="130"/>
  <c r="S259" i="130"/>
  <c r="T258" i="130"/>
  <c r="S258" i="130"/>
  <c r="U258" i="130" s="1"/>
  <c r="E258" i="130" s="1"/>
  <c r="T257" i="130"/>
  <c r="S257" i="130"/>
  <c r="U257" i="130" s="1"/>
  <c r="E257" i="130" s="1"/>
  <c r="T256" i="130"/>
  <c r="S256" i="130"/>
  <c r="U256" i="130" s="1"/>
  <c r="E256" i="130" s="1"/>
  <c r="T255" i="130"/>
  <c r="S255" i="130"/>
  <c r="T254" i="130"/>
  <c r="S254" i="130"/>
  <c r="T253" i="130"/>
  <c r="S253" i="130"/>
  <c r="U253" i="130" s="1"/>
  <c r="E253" i="130" s="1"/>
  <c r="T252" i="130"/>
  <c r="S252" i="130"/>
  <c r="E251" i="130"/>
  <c r="T251" i="130"/>
  <c r="S251" i="130"/>
  <c r="U251" i="130" s="1"/>
  <c r="T250" i="130"/>
  <c r="S250" i="130"/>
  <c r="U250" i="130" s="1"/>
  <c r="E250" i="130" s="1"/>
  <c r="T249" i="130"/>
  <c r="S249" i="130"/>
  <c r="U249" i="130" s="1"/>
  <c r="E249" i="130" s="1"/>
  <c r="T248" i="130"/>
  <c r="S248" i="130"/>
  <c r="U248" i="130" s="1"/>
  <c r="E248" i="130" s="1"/>
  <c r="T247" i="130"/>
  <c r="S247" i="130"/>
  <c r="T246" i="130"/>
  <c r="S246" i="130"/>
  <c r="T245" i="130"/>
  <c r="S245" i="130"/>
  <c r="U245" i="130" s="1"/>
  <c r="E245" i="130" s="1"/>
  <c r="T244" i="130"/>
  <c r="S244" i="130"/>
  <c r="E243" i="130"/>
  <c r="T243" i="130"/>
  <c r="S243" i="130"/>
  <c r="U243" i="130" s="1"/>
  <c r="T242" i="130"/>
  <c r="S242" i="130"/>
  <c r="U242" i="130" s="1"/>
  <c r="E242" i="130" s="1"/>
  <c r="T241" i="130"/>
  <c r="S241" i="130"/>
  <c r="U241" i="130" s="1"/>
  <c r="E241" i="130" s="1"/>
  <c r="T240" i="130"/>
  <c r="S240" i="130"/>
  <c r="U240" i="130" s="1"/>
  <c r="E240" i="130" s="1"/>
  <c r="T239" i="130"/>
  <c r="S239" i="130"/>
  <c r="T238" i="130"/>
  <c r="S238" i="130"/>
  <c r="T237" i="130"/>
  <c r="S237" i="130"/>
  <c r="U237" i="130" s="1"/>
  <c r="E237" i="130" s="1"/>
  <c r="T236" i="130"/>
  <c r="S236" i="130"/>
  <c r="T235" i="130"/>
  <c r="S235" i="130"/>
  <c r="T234" i="130"/>
  <c r="S234" i="130"/>
  <c r="U234" i="130" s="1"/>
  <c r="E234" i="130" s="1"/>
  <c r="T233" i="130"/>
  <c r="S233" i="130"/>
  <c r="U233" i="130" s="1"/>
  <c r="E233" i="130" s="1"/>
  <c r="T232" i="130"/>
  <c r="S232" i="130"/>
  <c r="U232" i="130" s="1"/>
  <c r="E232" i="130" s="1"/>
  <c r="T231" i="130"/>
  <c r="S231" i="130"/>
  <c r="T230" i="130"/>
  <c r="S230" i="130"/>
  <c r="T229" i="130"/>
  <c r="S229" i="130"/>
  <c r="U229" i="130" s="1"/>
  <c r="E229" i="130" s="1"/>
  <c r="T228" i="130"/>
  <c r="S228" i="130"/>
  <c r="T227" i="130"/>
  <c r="S227" i="130"/>
  <c r="T226" i="130"/>
  <c r="S226" i="130"/>
  <c r="U226" i="130" s="1"/>
  <c r="E226" i="130" s="1"/>
  <c r="T225" i="130"/>
  <c r="S225" i="130"/>
  <c r="U225" i="130" s="1"/>
  <c r="E225" i="130" s="1"/>
  <c r="T224" i="130"/>
  <c r="S224" i="130"/>
  <c r="U224" i="130" s="1"/>
  <c r="E224" i="130" s="1"/>
  <c r="T223" i="130"/>
  <c r="S223" i="130"/>
  <c r="T222" i="130"/>
  <c r="S222" i="130"/>
  <c r="T221" i="130"/>
  <c r="S221" i="130"/>
  <c r="U221" i="130" s="1"/>
  <c r="E221" i="130" s="1"/>
  <c r="T220" i="130"/>
  <c r="S220" i="130"/>
  <c r="T219" i="130"/>
  <c r="S219" i="130"/>
  <c r="T218" i="130"/>
  <c r="S218" i="130"/>
  <c r="U218" i="130" s="1"/>
  <c r="E218" i="130" s="1"/>
  <c r="T217" i="130"/>
  <c r="S217" i="130"/>
  <c r="U217" i="130" s="1"/>
  <c r="E217" i="130" s="1"/>
  <c r="T216" i="130"/>
  <c r="S216" i="130"/>
  <c r="U216" i="130" s="1"/>
  <c r="E216" i="130" s="1"/>
  <c r="T215" i="130"/>
  <c r="S215" i="130"/>
  <c r="T214" i="130"/>
  <c r="S214" i="130"/>
  <c r="T213" i="130"/>
  <c r="S213" i="130"/>
  <c r="U213" i="130" s="1"/>
  <c r="E213" i="130" s="1"/>
  <c r="T212" i="130"/>
  <c r="S212" i="130"/>
  <c r="T211" i="130"/>
  <c r="S211" i="130"/>
  <c r="T210" i="130"/>
  <c r="S210" i="130"/>
  <c r="U210" i="130" s="1"/>
  <c r="E210" i="130" s="1"/>
  <c r="T209" i="130"/>
  <c r="S209" i="130"/>
  <c r="U209" i="130" s="1"/>
  <c r="E209" i="130" s="1"/>
  <c r="T208" i="130"/>
  <c r="S208" i="130"/>
  <c r="U208" i="130" s="1"/>
  <c r="E208" i="130" s="1"/>
  <c r="T207" i="130"/>
  <c r="S207" i="130"/>
  <c r="T206" i="130"/>
  <c r="S206" i="130"/>
  <c r="T205" i="130"/>
  <c r="S205" i="130"/>
  <c r="U205" i="130" s="1"/>
  <c r="E205" i="130" s="1"/>
  <c r="T204" i="130"/>
  <c r="S204" i="130"/>
  <c r="T203" i="130"/>
  <c r="S203" i="130"/>
  <c r="T202" i="130"/>
  <c r="S202" i="130"/>
  <c r="U202" i="130" s="1"/>
  <c r="E202" i="130" s="1"/>
  <c r="T201" i="130"/>
  <c r="S201" i="130"/>
  <c r="U201" i="130" s="1"/>
  <c r="E201" i="130" s="1"/>
  <c r="T200" i="130"/>
  <c r="S200" i="130"/>
  <c r="U200" i="130" s="1"/>
  <c r="E200" i="130" s="1"/>
  <c r="T199" i="130"/>
  <c r="S199" i="130"/>
  <c r="T198" i="130"/>
  <c r="S198" i="130"/>
  <c r="T197" i="130"/>
  <c r="S197" i="130"/>
  <c r="U197" i="130" s="1"/>
  <c r="E197" i="130" s="1"/>
  <c r="T196" i="130"/>
  <c r="S196" i="130"/>
  <c r="T195" i="130"/>
  <c r="S195" i="130"/>
  <c r="T194" i="130"/>
  <c r="S194" i="130"/>
  <c r="U194" i="130" s="1"/>
  <c r="E194" i="130" s="1"/>
  <c r="T193" i="130"/>
  <c r="S193" i="130"/>
  <c r="U193" i="130" s="1"/>
  <c r="E193" i="130" s="1"/>
  <c r="T192" i="130"/>
  <c r="S192" i="130"/>
  <c r="U192" i="130" s="1"/>
  <c r="E192" i="130" s="1"/>
  <c r="T191" i="130"/>
  <c r="S191" i="130"/>
  <c r="T190" i="130"/>
  <c r="S190" i="130"/>
  <c r="T189" i="130"/>
  <c r="S189" i="130"/>
  <c r="U189" i="130" s="1"/>
  <c r="E189" i="130" s="1"/>
  <c r="T188" i="130"/>
  <c r="S188" i="130"/>
  <c r="T187" i="130"/>
  <c r="S187" i="130"/>
  <c r="T186" i="130"/>
  <c r="S186" i="130"/>
  <c r="U186" i="130" s="1"/>
  <c r="E186" i="130" s="1"/>
  <c r="T185" i="130"/>
  <c r="S185" i="130"/>
  <c r="U185" i="130" s="1"/>
  <c r="E185" i="130" s="1"/>
  <c r="T184" i="130"/>
  <c r="S184" i="130"/>
  <c r="U184" i="130" s="1"/>
  <c r="E184" i="130" s="1"/>
  <c r="T183" i="130"/>
  <c r="S183" i="130"/>
  <c r="T182" i="130"/>
  <c r="S182" i="130"/>
  <c r="T181" i="130"/>
  <c r="S181" i="130"/>
  <c r="U181" i="130" s="1"/>
  <c r="E181" i="130" s="1"/>
  <c r="T180" i="130"/>
  <c r="S180" i="130"/>
  <c r="T179" i="130"/>
  <c r="S179" i="130"/>
  <c r="T178" i="130"/>
  <c r="S178" i="130"/>
  <c r="U178" i="130" s="1"/>
  <c r="E178" i="130" s="1"/>
  <c r="T177" i="130"/>
  <c r="S177" i="130"/>
  <c r="U177" i="130" s="1"/>
  <c r="E177" i="130" s="1"/>
  <c r="T176" i="130"/>
  <c r="S176" i="130"/>
  <c r="U176" i="130" s="1"/>
  <c r="E176" i="130" s="1"/>
  <c r="U175" i="130"/>
  <c r="E175" i="130" s="1"/>
  <c r="T175" i="130"/>
  <c r="S175" i="130"/>
  <c r="T174" i="130"/>
  <c r="S174" i="130"/>
  <c r="U174" i="130" s="1"/>
  <c r="E174" i="130" s="1"/>
  <c r="U173" i="130"/>
  <c r="E173" i="130" s="1"/>
  <c r="T173" i="130"/>
  <c r="S173" i="130"/>
  <c r="T172" i="130"/>
  <c r="S172" i="130"/>
  <c r="U172" i="130" s="1"/>
  <c r="E172" i="130" s="1"/>
  <c r="U171" i="130"/>
  <c r="E171" i="130" s="1"/>
  <c r="T171" i="130"/>
  <c r="S171" i="130"/>
  <c r="T170" i="130"/>
  <c r="S170" i="130"/>
  <c r="U170" i="130" s="1"/>
  <c r="E170" i="130" s="1"/>
  <c r="U169" i="130"/>
  <c r="E169" i="130" s="1"/>
  <c r="T169" i="130"/>
  <c r="S169" i="130"/>
  <c r="T168" i="130"/>
  <c r="S168" i="130"/>
  <c r="U168" i="130" s="1"/>
  <c r="E168" i="130" s="1"/>
  <c r="U167" i="130"/>
  <c r="E167" i="130" s="1"/>
  <c r="T167" i="130"/>
  <c r="S167" i="130"/>
  <c r="T166" i="130"/>
  <c r="S166" i="130"/>
  <c r="U166" i="130" s="1"/>
  <c r="E166" i="130" s="1"/>
  <c r="U165" i="130"/>
  <c r="E165" i="130" s="1"/>
  <c r="T165" i="130"/>
  <c r="S165" i="130"/>
  <c r="T164" i="130"/>
  <c r="S164" i="130"/>
  <c r="U164" i="130" s="1"/>
  <c r="E164" i="130" s="1"/>
  <c r="U163" i="130"/>
  <c r="E163" i="130" s="1"/>
  <c r="T163" i="130"/>
  <c r="S163" i="130"/>
  <c r="T162" i="130"/>
  <c r="S162" i="130"/>
  <c r="U162" i="130" s="1"/>
  <c r="E162" i="130" s="1"/>
  <c r="E161" i="130"/>
  <c r="U161" i="130"/>
  <c r="T161" i="130"/>
  <c r="S161" i="130"/>
  <c r="E160" i="130"/>
  <c r="T160" i="130"/>
  <c r="S160" i="130"/>
  <c r="U160" i="130" s="1"/>
  <c r="U159" i="130"/>
  <c r="E159" i="130" s="1"/>
  <c r="T159" i="130"/>
  <c r="S159" i="130"/>
  <c r="T158" i="130"/>
  <c r="S158" i="130"/>
  <c r="U158" i="130" s="1"/>
  <c r="E158" i="130" s="1"/>
  <c r="E157" i="130"/>
  <c r="U157" i="130"/>
  <c r="T157" i="130"/>
  <c r="S157" i="130"/>
  <c r="T156" i="130"/>
  <c r="S156" i="130"/>
  <c r="U156" i="130" s="1"/>
  <c r="E156" i="130" s="1"/>
  <c r="E155" i="130"/>
  <c r="U155" i="130"/>
  <c r="T155" i="130"/>
  <c r="S155" i="130"/>
  <c r="T154" i="130"/>
  <c r="S154" i="130"/>
  <c r="U154" i="130" s="1"/>
  <c r="E154" i="130" s="1"/>
  <c r="U153" i="130"/>
  <c r="E153" i="130" s="1"/>
  <c r="T153" i="130"/>
  <c r="S153" i="130"/>
  <c r="E152" i="130"/>
  <c r="T152" i="130"/>
  <c r="S152" i="130"/>
  <c r="U152" i="130" s="1"/>
  <c r="U151" i="130"/>
  <c r="E151" i="130" s="1"/>
  <c r="T151" i="130"/>
  <c r="S151" i="130"/>
  <c r="E150" i="130"/>
  <c r="T150" i="130"/>
  <c r="S150" i="130"/>
  <c r="U150" i="130" s="1"/>
  <c r="T149" i="130"/>
  <c r="S149" i="130"/>
  <c r="U149" i="130" s="1"/>
  <c r="E149" i="130" s="1"/>
  <c r="E148" i="130"/>
  <c r="T148" i="130"/>
  <c r="S148" i="130"/>
  <c r="U148" i="130" s="1"/>
  <c r="T147" i="130"/>
  <c r="S147" i="130"/>
  <c r="U147" i="130" s="1"/>
  <c r="E147" i="130" s="1"/>
  <c r="E146" i="130"/>
  <c r="T146" i="130"/>
  <c r="S146" i="130"/>
  <c r="U146" i="130" s="1"/>
  <c r="T145" i="130"/>
  <c r="S145" i="130"/>
  <c r="U145" i="130" s="1"/>
  <c r="E145" i="130" s="1"/>
  <c r="T144" i="130"/>
  <c r="S144" i="130"/>
  <c r="U144" i="130" s="1"/>
  <c r="E144" i="130" s="1"/>
  <c r="U143" i="130"/>
  <c r="E143" i="130" s="1"/>
  <c r="T143" i="130"/>
  <c r="S143" i="130"/>
  <c r="T142" i="130"/>
  <c r="S142" i="130"/>
  <c r="U142" i="130" s="1"/>
  <c r="E142" i="130" s="1"/>
  <c r="E141" i="130"/>
  <c r="U141" i="130"/>
  <c r="T141" i="130"/>
  <c r="S141" i="130"/>
  <c r="T140" i="130"/>
  <c r="S140" i="130"/>
  <c r="U140" i="130" s="1"/>
  <c r="E140" i="130" s="1"/>
  <c r="E139" i="130"/>
  <c r="U139" i="130"/>
  <c r="T139" i="130"/>
  <c r="S139" i="130"/>
  <c r="T138" i="130"/>
  <c r="S138" i="130"/>
  <c r="U138" i="130" s="1"/>
  <c r="E138" i="130" s="1"/>
  <c r="U137" i="130"/>
  <c r="E137" i="130" s="1"/>
  <c r="T137" i="130"/>
  <c r="S137" i="130"/>
  <c r="E136" i="130"/>
  <c r="T136" i="130"/>
  <c r="S136" i="130"/>
  <c r="U136" i="130" s="1"/>
  <c r="U135" i="130"/>
  <c r="E135" i="130" s="1"/>
  <c r="T135" i="130"/>
  <c r="S135" i="130"/>
  <c r="E134" i="130"/>
  <c r="T134" i="130"/>
  <c r="S134" i="130"/>
  <c r="U134" i="130" s="1"/>
  <c r="T133" i="130"/>
  <c r="S133" i="130"/>
  <c r="U133" i="130" s="1"/>
  <c r="E133" i="130" s="1"/>
  <c r="E132" i="130"/>
  <c r="T132" i="130"/>
  <c r="S132" i="130"/>
  <c r="U132" i="130" s="1"/>
  <c r="T131" i="130"/>
  <c r="S131" i="130"/>
  <c r="U131" i="130" s="1"/>
  <c r="E131" i="130" s="1"/>
  <c r="E130" i="130"/>
  <c r="T130" i="130"/>
  <c r="S130" i="130"/>
  <c r="U130" i="130" s="1"/>
  <c r="T129" i="130"/>
  <c r="S129" i="130"/>
  <c r="U129" i="130" s="1"/>
  <c r="E129" i="130" s="1"/>
  <c r="T128" i="130"/>
  <c r="S128" i="130"/>
  <c r="U128" i="130" s="1"/>
  <c r="E128" i="130" s="1"/>
  <c r="U127" i="130"/>
  <c r="E127" i="130" s="1"/>
  <c r="T127" i="130"/>
  <c r="S127" i="130"/>
  <c r="T126" i="130"/>
  <c r="S126" i="130"/>
  <c r="U126" i="130" s="1"/>
  <c r="E126" i="130" s="1"/>
  <c r="E125" i="130"/>
  <c r="U125" i="130"/>
  <c r="T125" i="130"/>
  <c r="S125" i="130"/>
  <c r="T124" i="130"/>
  <c r="S124" i="130"/>
  <c r="U124" i="130" s="1"/>
  <c r="E124" i="130" s="1"/>
  <c r="E123" i="130"/>
  <c r="U123" i="130"/>
  <c r="T123" i="130"/>
  <c r="S123" i="130"/>
  <c r="T122" i="130"/>
  <c r="S122" i="130"/>
  <c r="U122" i="130" s="1"/>
  <c r="E122" i="130" s="1"/>
  <c r="U121" i="130"/>
  <c r="E121" i="130" s="1"/>
  <c r="T121" i="130"/>
  <c r="S121" i="130"/>
  <c r="E120" i="130"/>
  <c r="T120" i="130"/>
  <c r="S120" i="130"/>
  <c r="U120" i="130" s="1"/>
  <c r="U119" i="130"/>
  <c r="E119" i="130" s="1"/>
  <c r="T119" i="130"/>
  <c r="S119" i="130"/>
  <c r="E118" i="130"/>
  <c r="T118" i="130"/>
  <c r="S118" i="130"/>
  <c r="U118" i="130" s="1"/>
  <c r="T117" i="130"/>
  <c r="S117" i="130"/>
  <c r="U117" i="130" s="1"/>
  <c r="E117" i="130" s="1"/>
  <c r="E116" i="130"/>
  <c r="T116" i="130"/>
  <c r="S116" i="130"/>
  <c r="U116" i="130" s="1"/>
  <c r="T115" i="130"/>
  <c r="S115" i="130"/>
  <c r="U115" i="130" s="1"/>
  <c r="E115" i="130" s="1"/>
  <c r="E114" i="130"/>
  <c r="T114" i="130"/>
  <c r="S114" i="130"/>
  <c r="U114" i="130" s="1"/>
  <c r="T113" i="130"/>
  <c r="S113" i="130"/>
  <c r="U113" i="130" s="1"/>
  <c r="E113" i="130" s="1"/>
  <c r="E112" i="130"/>
  <c r="T112" i="130"/>
  <c r="S112" i="130"/>
  <c r="U112" i="130" s="1"/>
  <c r="U111" i="130"/>
  <c r="E111" i="130" s="1"/>
  <c r="T111" i="130"/>
  <c r="S111" i="130"/>
  <c r="T110" i="130"/>
  <c r="S110" i="130"/>
  <c r="U110" i="130" s="1"/>
  <c r="E110" i="130" s="1"/>
  <c r="T109" i="130"/>
  <c r="U109" i="130" s="1"/>
  <c r="E109" i="130" s="1"/>
  <c r="S109" i="130"/>
  <c r="T108" i="130"/>
  <c r="S108" i="130"/>
  <c r="U108" i="130" s="1"/>
  <c r="E108" i="130" s="1"/>
  <c r="E107" i="130"/>
  <c r="U107" i="130"/>
  <c r="T107" i="130"/>
  <c r="S107" i="130"/>
  <c r="T106" i="130"/>
  <c r="S106" i="130"/>
  <c r="U106" i="130" s="1"/>
  <c r="E106" i="130" s="1"/>
  <c r="U105" i="130"/>
  <c r="E105" i="130" s="1"/>
  <c r="T105" i="130"/>
  <c r="S105" i="130"/>
  <c r="E104" i="130"/>
  <c r="T104" i="130"/>
  <c r="S104" i="130"/>
  <c r="U104" i="130" s="1"/>
  <c r="T103" i="130"/>
  <c r="U103" i="130" s="1"/>
  <c r="E103" i="130" s="1"/>
  <c r="S103" i="130"/>
  <c r="E102" i="130"/>
  <c r="T102" i="130"/>
  <c r="S102" i="130"/>
  <c r="U102" i="130" s="1"/>
  <c r="T101" i="130"/>
  <c r="S101" i="130"/>
  <c r="U101" i="130" s="1"/>
  <c r="E101" i="130" s="1"/>
  <c r="E100" i="130"/>
  <c r="T100" i="130"/>
  <c r="S100" i="130"/>
  <c r="U100" i="130" s="1"/>
  <c r="T99" i="130"/>
  <c r="S99" i="130"/>
  <c r="U99" i="130" s="1"/>
  <c r="E99" i="130" s="1"/>
  <c r="T98" i="130"/>
  <c r="S98" i="130"/>
  <c r="T97" i="130"/>
  <c r="S97" i="130"/>
  <c r="U97" i="130" s="1"/>
  <c r="E97" i="130" s="1"/>
  <c r="T96" i="130"/>
  <c r="S96" i="130"/>
  <c r="E95" i="130"/>
  <c r="U95" i="130"/>
  <c r="T95" i="130"/>
  <c r="S95" i="130"/>
  <c r="T94" i="130"/>
  <c r="S94" i="130"/>
  <c r="U94" i="130" s="1"/>
  <c r="E94" i="130" s="1"/>
  <c r="E93" i="130"/>
  <c r="U93" i="130"/>
  <c r="T93" i="130"/>
  <c r="S93" i="130"/>
  <c r="T92" i="130"/>
  <c r="S92" i="130"/>
  <c r="U92" i="130" s="1"/>
  <c r="E92" i="130" s="1"/>
  <c r="E91" i="130"/>
  <c r="U91" i="130"/>
  <c r="T91" i="130"/>
  <c r="S91" i="130"/>
  <c r="T90" i="130"/>
  <c r="S90" i="130"/>
  <c r="U90" i="130" s="1"/>
  <c r="E90" i="130" s="1"/>
  <c r="U89" i="130"/>
  <c r="E89" i="130" s="1"/>
  <c r="T89" i="130"/>
  <c r="S89" i="130"/>
  <c r="E88" i="130"/>
  <c r="T88" i="130"/>
  <c r="S88" i="130"/>
  <c r="U88" i="130" s="1"/>
  <c r="T87" i="130"/>
  <c r="S87" i="130"/>
  <c r="U87" i="130" s="1"/>
  <c r="E87" i="130" s="1"/>
  <c r="T86" i="130"/>
  <c r="S86" i="130"/>
  <c r="T85" i="130"/>
  <c r="S85" i="130"/>
  <c r="U85" i="130" s="1"/>
  <c r="E85" i="130" s="1"/>
  <c r="E84" i="130"/>
  <c r="T84" i="130"/>
  <c r="S84" i="130"/>
  <c r="U84" i="130" s="1"/>
  <c r="T83" i="130"/>
  <c r="S83" i="130"/>
  <c r="U83" i="130" s="1"/>
  <c r="E83" i="130" s="1"/>
  <c r="E82" i="130"/>
  <c r="U82" i="130"/>
  <c r="T82" i="130"/>
  <c r="S82" i="130"/>
  <c r="T81" i="130"/>
  <c r="S81" i="130"/>
  <c r="U81" i="130" s="1"/>
  <c r="E81" i="130" s="1"/>
  <c r="E80" i="130"/>
  <c r="U80" i="130"/>
  <c r="T80" i="130"/>
  <c r="S80" i="130"/>
  <c r="T79" i="130"/>
  <c r="S79" i="130"/>
  <c r="U79" i="130" s="1"/>
  <c r="E79" i="130" s="1"/>
  <c r="T78" i="130"/>
  <c r="S78" i="130"/>
  <c r="U78" i="130" s="1"/>
  <c r="E78" i="130" s="1"/>
  <c r="T77" i="130"/>
  <c r="S77" i="130"/>
  <c r="U77" i="130" s="1"/>
  <c r="E77" i="130" s="1"/>
  <c r="T76" i="130"/>
  <c r="S76" i="130"/>
  <c r="U76" i="130" s="1"/>
  <c r="E76" i="130" s="1"/>
  <c r="T75" i="130"/>
  <c r="S75" i="130"/>
  <c r="U75" i="130" s="1"/>
  <c r="E75" i="130" s="1"/>
  <c r="T74" i="130"/>
  <c r="S74" i="130"/>
  <c r="U74" i="130" s="1"/>
  <c r="E74" i="130" s="1"/>
  <c r="T73" i="130"/>
  <c r="S73" i="130"/>
  <c r="U73" i="130" s="1"/>
  <c r="E73" i="130" s="1"/>
  <c r="T72" i="130"/>
  <c r="S72" i="130"/>
  <c r="U72" i="130" s="1"/>
  <c r="E72" i="130" s="1"/>
  <c r="T71" i="130"/>
  <c r="S71" i="130"/>
  <c r="U71" i="130" s="1"/>
  <c r="E71" i="130" s="1"/>
  <c r="T70" i="130"/>
  <c r="S70" i="130"/>
  <c r="U70" i="130" s="1"/>
  <c r="E70" i="130" s="1"/>
  <c r="T69" i="130"/>
  <c r="S69" i="130"/>
  <c r="U69" i="130" s="1"/>
  <c r="E69" i="130" s="1"/>
  <c r="T68" i="130"/>
  <c r="S68" i="130"/>
  <c r="U68" i="130" s="1"/>
  <c r="E68" i="130" s="1"/>
  <c r="T67" i="130"/>
  <c r="S67" i="130"/>
  <c r="U67" i="130" s="1"/>
  <c r="E67" i="130" s="1"/>
  <c r="T66" i="130"/>
  <c r="S66" i="130"/>
  <c r="U66" i="130" s="1"/>
  <c r="E66" i="130" s="1"/>
  <c r="T65" i="130"/>
  <c r="S65" i="130"/>
  <c r="U65" i="130" s="1"/>
  <c r="E65" i="130" s="1"/>
  <c r="T64" i="130"/>
  <c r="S64" i="130"/>
  <c r="U64" i="130" s="1"/>
  <c r="E64" i="130" s="1"/>
  <c r="T63" i="130"/>
  <c r="S63" i="130"/>
  <c r="U63" i="130" s="1"/>
  <c r="E63" i="130" s="1"/>
  <c r="T62" i="130"/>
  <c r="S62" i="130"/>
  <c r="U62" i="130" s="1"/>
  <c r="E62" i="130" s="1"/>
  <c r="T61" i="130"/>
  <c r="S61" i="130"/>
  <c r="U61" i="130" s="1"/>
  <c r="E61" i="130" s="1"/>
  <c r="T60" i="130"/>
  <c r="S60" i="130"/>
  <c r="U60" i="130" s="1"/>
  <c r="E60" i="130" s="1"/>
  <c r="T59" i="130"/>
  <c r="S59" i="130"/>
  <c r="U59" i="130" s="1"/>
  <c r="E59" i="130" s="1"/>
  <c r="T58" i="130"/>
  <c r="S58" i="130"/>
  <c r="U58" i="130" s="1"/>
  <c r="E58" i="130" s="1"/>
  <c r="T57" i="130"/>
  <c r="S57" i="130"/>
  <c r="U57" i="130" s="1"/>
  <c r="E57" i="130" s="1"/>
  <c r="T56" i="130"/>
  <c r="U56" i="130"/>
  <c r="E56" i="130" s="1"/>
  <c r="T55" i="130"/>
  <c r="S55" i="130"/>
  <c r="U55" i="130" s="1"/>
  <c r="E55" i="130" s="1"/>
  <c r="T54" i="130"/>
  <c r="S54" i="130"/>
  <c r="U54" i="130" s="1"/>
  <c r="E54" i="130" s="1"/>
  <c r="T53" i="130"/>
  <c r="S53" i="130"/>
  <c r="U53" i="130" s="1"/>
  <c r="E53" i="130" s="1"/>
  <c r="T52" i="130"/>
  <c r="S52" i="130"/>
  <c r="U52" i="130" s="1"/>
  <c r="E52" i="130" s="1"/>
  <c r="T51" i="130"/>
  <c r="S51" i="130"/>
  <c r="U51" i="130" s="1"/>
  <c r="E51" i="130" s="1"/>
  <c r="T50" i="130"/>
  <c r="S50" i="130"/>
  <c r="U50" i="130" s="1"/>
  <c r="E50" i="130" s="1"/>
  <c r="T49" i="130"/>
  <c r="T48" i="130"/>
  <c r="S48" i="130"/>
  <c r="U48" i="130" s="1"/>
  <c r="E48" i="130" s="1"/>
  <c r="T47" i="130"/>
  <c r="S47" i="130"/>
  <c r="U47" i="130" s="1"/>
  <c r="E47" i="130" s="1"/>
  <c r="T46" i="130"/>
  <c r="S46" i="130"/>
  <c r="U46" i="130" s="1"/>
  <c r="E46" i="130" s="1"/>
  <c r="T45" i="130"/>
  <c r="S45" i="130"/>
  <c r="U45" i="130" s="1"/>
  <c r="E45" i="130" s="1"/>
  <c r="T44" i="130"/>
  <c r="S44" i="130"/>
  <c r="U44" i="130" s="1"/>
  <c r="E44" i="130" s="1"/>
  <c r="T43" i="130"/>
  <c r="S43" i="130"/>
  <c r="U43" i="130" s="1"/>
  <c r="E43" i="130" s="1"/>
  <c r="T42" i="130"/>
  <c r="T41" i="130"/>
  <c r="S41" i="130"/>
  <c r="U41" i="130" s="1"/>
  <c r="E41" i="130" s="1"/>
  <c r="T40" i="130"/>
  <c r="S40" i="130"/>
  <c r="U40" i="130" s="1"/>
  <c r="E40" i="130" s="1"/>
  <c r="T39" i="130"/>
  <c r="S39" i="130"/>
  <c r="U39" i="130" s="1"/>
  <c r="E39" i="130" s="1"/>
  <c r="T38" i="130"/>
  <c r="T37" i="130"/>
  <c r="S37" i="130"/>
  <c r="U37" i="130" s="1"/>
  <c r="E37" i="130" s="1"/>
  <c r="T36" i="130"/>
  <c r="S36" i="130"/>
  <c r="U36" i="130" s="1"/>
  <c r="E36" i="130" s="1"/>
  <c r="T35" i="130"/>
  <c r="S35" i="130"/>
  <c r="U35" i="130" s="1"/>
  <c r="E35" i="130" s="1"/>
  <c r="T34" i="130"/>
  <c r="T33" i="130"/>
  <c r="T32" i="130"/>
  <c r="T31" i="130"/>
  <c r="S31" i="130"/>
  <c r="U31" i="130" s="1"/>
  <c r="E31" i="130" s="1"/>
  <c r="T30" i="130"/>
  <c r="S30" i="130"/>
  <c r="U30" i="130" s="1"/>
  <c r="E30" i="130" s="1"/>
  <c r="T29" i="130"/>
  <c r="T28" i="130"/>
  <c r="T27" i="130"/>
  <c r="S27" i="130"/>
  <c r="U27" i="130" s="1"/>
  <c r="E27" i="130" s="1"/>
  <c r="T26" i="130"/>
  <c r="S26" i="130"/>
  <c r="U26" i="130" s="1"/>
  <c r="E26" i="130" s="1"/>
  <c r="T25" i="130"/>
  <c r="T24" i="130"/>
  <c r="S24" i="130"/>
  <c r="U24" i="130" s="1"/>
  <c r="E24" i="130" s="1"/>
  <c r="T23" i="130"/>
  <c r="S23" i="130"/>
  <c r="U23" i="130" s="1"/>
  <c r="E23" i="130" s="1"/>
  <c r="T22" i="130"/>
  <c r="S22" i="130"/>
  <c r="U22" i="130" s="1"/>
  <c r="E22" i="130" s="1"/>
  <c r="T21" i="130"/>
  <c r="S21" i="130"/>
  <c r="U21" i="130" s="1"/>
  <c r="E21" i="130" s="1"/>
  <c r="T19" i="130"/>
  <c r="T18" i="130"/>
  <c r="T17" i="130"/>
  <c r="T16" i="130"/>
  <c r="S16" i="130"/>
  <c r="U16" i="130" s="1"/>
  <c r="E16" i="130" s="1"/>
  <c r="T15" i="130"/>
  <c r="T14" i="130"/>
  <c r="S14" i="130"/>
  <c r="U14" i="130" s="1"/>
  <c r="E14" i="130" s="1"/>
  <c r="T13" i="130"/>
  <c r="S13" i="130"/>
  <c r="U13" i="130" s="1"/>
  <c r="E13" i="130" s="1"/>
  <c r="T12" i="130"/>
  <c r="S12" i="130"/>
  <c r="U12" i="130" s="1"/>
  <c r="E12" i="130" s="1"/>
  <c r="T11" i="130"/>
  <c r="S11" i="130"/>
  <c r="U11" i="130" s="1"/>
  <c r="E11" i="130" s="1"/>
  <c r="T10" i="130"/>
  <c r="S10" i="130"/>
  <c r="T345" i="130"/>
  <c r="U345" i="130"/>
  <c r="E345" i="130" s="1"/>
  <c r="S345" i="130"/>
  <c r="U344" i="130"/>
  <c r="E344" i="130" s="1"/>
  <c r="S344" i="130"/>
  <c r="T343" i="130"/>
  <c r="U343" i="130"/>
  <c r="E343" i="130" s="1"/>
  <c r="S343" i="130"/>
  <c r="U342" i="130"/>
  <c r="E342" i="130" s="1"/>
  <c r="S342" i="130"/>
  <c r="P2" i="129"/>
  <c r="P3" i="129" s="1"/>
  <c r="O2" i="129"/>
  <c r="O3" i="129" s="1"/>
  <c r="N2" i="129"/>
  <c r="N3" i="129" s="1"/>
  <c r="M2" i="129"/>
  <c r="M3" i="129" s="1"/>
  <c r="L2" i="129"/>
  <c r="L3" i="129" s="1"/>
  <c r="K2" i="129"/>
  <c r="K3" i="129" s="1"/>
  <c r="J2" i="129"/>
  <c r="J3" i="129" s="1"/>
  <c r="I2" i="129"/>
  <c r="I3" i="129" s="1"/>
  <c r="H2" i="129"/>
  <c r="H3" i="129" s="1"/>
  <c r="G2" i="129"/>
  <c r="G3" i="129" s="1"/>
  <c r="E339" i="129"/>
  <c r="E338" i="129"/>
  <c r="E337" i="129"/>
  <c r="E336" i="129"/>
  <c r="E335" i="129"/>
  <c r="E334" i="129"/>
  <c r="E333" i="129"/>
  <c r="E332" i="129"/>
  <c r="E331" i="129"/>
  <c r="E330" i="129"/>
  <c r="E329" i="129"/>
  <c r="E328" i="129"/>
  <c r="E327" i="129"/>
  <c r="E326" i="129"/>
  <c r="E324" i="129"/>
  <c r="E322" i="129"/>
  <c r="E320" i="129"/>
  <c r="E318" i="129"/>
  <c r="E316" i="129"/>
  <c r="E314" i="129"/>
  <c r="E312" i="129"/>
  <c r="E310" i="129"/>
  <c r="E308" i="129"/>
  <c r="E306" i="129"/>
  <c r="E304" i="129"/>
  <c r="E302" i="129"/>
  <c r="E300" i="129"/>
  <c r="E298" i="129"/>
  <c r="E296" i="129"/>
  <c r="E294" i="129"/>
  <c r="E292" i="129"/>
  <c r="E290" i="129"/>
  <c r="E288" i="129"/>
  <c r="E286" i="129"/>
  <c r="E284" i="129"/>
  <c r="E282" i="129"/>
  <c r="E280" i="129"/>
  <c r="E278" i="129"/>
  <c r="E276" i="129"/>
  <c r="E274" i="129"/>
  <c r="E272" i="129"/>
  <c r="E270" i="129"/>
  <c r="E268" i="129"/>
  <c r="E266" i="129"/>
  <c r="E264" i="129"/>
  <c r="E262" i="129"/>
  <c r="E260" i="129"/>
  <c r="E258" i="129"/>
  <c r="E256" i="129"/>
  <c r="E254" i="129"/>
  <c r="E252" i="129"/>
  <c r="E250" i="129"/>
  <c r="E248" i="129"/>
  <c r="E246" i="129"/>
  <c r="E244" i="129"/>
  <c r="E242" i="129"/>
  <c r="E240" i="129"/>
  <c r="E238" i="129"/>
  <c r="E236" i="129"/>
  <c r="E234" i="129"/>
  <c r="E232" i="129"/>
  <c r="E230" i="129"/>
  <c r="E228" i="129"/>
  <c r="E226" i="129"/>
  <c r="E224" i="129"/>
  <c r="E222" i="129"/>
  <c r="E220" i="129"/>
  <c r="E218" i="129"/>
  <c r="E216" i="129"/>
  <c r="E214" i="129"/>
  <c r="E212" i="129"/>
  <c r="E210" i="129"/>
  <c r="E209" i="129"/>
  <c r="E208" i="129"/>
  <c r="E206" i="129"/>
  <c r="E204" i="129"/>
  <c r="E202" i="129"/>
  <c r="E201" i="129"/>
  <c r="E200" i="129"/>
  <c r="E198" i="129"/>
  <c r="E196" i="129"/>
  <c r="E194" i="129"/>
  <c r="E193" i="129"/>
  <c r="E192" i="129"/>
  <c r="E190" i="129"/>
  <c r="E188" i="129"/>
  <c r="E186" i="129"/>
  <c r="E185" i="129"/>
  <c r="E184" i="129"/>
  <c r="E182" i="129"/>
  <c r="E180" i="129"/>
  <c r="E178" i="129"/>
  <c r="E177" i="129"/>
  <c r="E176" i="129"/>
  <c r="E175" i="129"/>
  <c r="E174" i="129"/>
  <c r="E173" i="129"/>
  <c r="E172" i="129"/>
  <c r="E171" i="129"/>
  <c r="E170" i="129"/>
  <c r="E169" i="129"/>
  <c r="E168" i="129"/>
  <c r="E167" i="129"/>
  <c r="E166" i="129"/>
  <c r="E165" i="129"/>
  <c r="E164" i="129"/>
  <c r="E163" i="129"/>
  <c r="E162" i="129"/>
  <c r="E161" i="129"/>
  <c r="E160" i="129"/>
  <c r="E159" i="129"/>
  <c r="E158" i="129"/>
  <c r="E157" i="129"/>
  <c r="E156" i="129"/>
  <c r="E155" i="129"/>
  <c r="E154" i="129"/>
  <c r="E153" i="129"/>
  <c r="E152" i="129"/>
  <c r="E151" i="129"/>
  <c r="E150" i="129"/>
  <c r="E149" i="129"/>
  <c r="E148" i="129"/>
  <c r="E147" i="129"/>
  <c r="E146" i="129"/>
  <c r="E145" i="129"/>
  <c r="E144" i="129"/>
  <c r="E143" i="129"/>
  <c r="E142" i="129"/>
  <c r="E141" i="129"/>
  <c r="E140" i="129"/>
  <c r="E139" i="129"/>
  <c r="E138" i="129"/>
  <c r="E137" i="129"/>
  <c r="E136" i="129"/>
  <c r="E135" i="129"/>
  <c r="E11" i="129"/>
  <c r="E134" i="129"/>
  <c r="E133" i="129"/>
  <c r="E132" i="129"/>
  <c r="E131" i="129"/>
  <c r="E130" i="129"/>
  <c r="E129" i="129"/>
  <c r="E128" i="129"/>
  <c r="E127" i="129"/>
  <c r="E126" i="129"/>
  <c r="E125" i="129"/>
  <c r="E124" i="129"/>
  <c r="E123" i="129"/>
  <c r="E122" i="129"/>
  <c r="E121" i="129"/>
  <c r="E120" i="129"/>
  <c r="E119" i="129"/>
  <c r="E118" i="129"/>
  <c r="E117" i="129"/>
  <c r="E116" i="129"/>
  <c r="E115" i="129"/>
  <c r="E114" i="129"/>
  <c r="E113" i="129"/>
  <c r="E112" i="129"/>
  <c r="E111" i="129"/>
  <c r="E110" i="129"/>
  <c r="E109" i="129"/>
  <c r="E108" i="129"/>
  <c r="E107" i="129"/>
  <c r="E106" i="129"/>
  <c r="E105" i="129"/>
  <c r="E104" i="129"/>
  <c r="E103" i="129"/>
  <c r="E102" i="129"/>
  <c r="E101" i="129"/>
  <c r="E100" i="129"/>
  <c r="E99" i="129"/>
  <c r="E98" i="129"/>
  <c r="E97" i="129"/>
  <c r="E96" i="129"/>
  <c r="E95" i="129"/>
  <c r="E94" i="129"/>
  <c r="E93" i="129"/>
  <c r="E92" i="129"/>
  <c r="E91" i="129"/>
  <c r="E90" i="129"/>
  <c r="E89" i="129"/>
  <c r="E88" i="129"/>
  <c r="E87" i="129"/>
  <c r="E86" i="129"/>
  <c r="E85" i="129"/>
  <c r="E84" i="129"/>
  <c r="E83" i="129"/>
  <c r="E82" i="129"/>
  <c r="E81" i="129"/>
  <c r="E80" i="129"/>
  <c r="E79" i="129"/>
  <c r="E78" i="129"/>
  <c r="E77" i="129"/>
  <c r="E76" i="129"/>
  <c r="E75" i="129"/>
  <c r="E74" i="129"/>
  <c r="E73" i="129"/>
  <c r="E72" i="129"/>
  <c r="E71" i="129"/>
  <c r="E70" i="129"/>
  <c r="E69" i="129"/>
  <c r="E68" i="129"/>
  <c r="E67" i="129"/>
  <c r="E66" i="129"/>
  <c r="E65" i="129"/>
  <c r="E64" i="129"/>
  <c r="E63" i="129"/>
  <c r="E62" i="129"/>
  <c r="E61" i="129"/>
  <c r="E60" i="129"/>
  <c r="E59" i="129"/>
  <c r="E58" i="129"/>
  <c r="E57" i="129"/>
  <c r="E56" i="129"/>
  <c r="E55" i="129"/>
  <c r="E54" i="129"/>
  <c r="E53" i="129"/>
  <c r="E52" i="129"/>
  <c r="E12" i="129"/>
  <c r="E51" i="129"/>
  <c r="E50" i="129"/>
  <c r="E49" i="129"/>
  <c r="E48" i="129"/>
  <c r="E47" i="129"/>
  <c r="E46" i="129"/>
  <c r="E45" i="129"/>
  <c r="E44" i="129"/>
  <c r="E43" i="129"/>
  <c r="E42" i="129"/>
  <c r="E41" i="129"/>
  <c r="E40" i="129"/>
  <c r="E39" i="129"/>
  <c r="E38" i="129"/>
  <c r="E37" i="129"/>
  <c r="E36" i="129"/>
  <c r="E35" i="129"/>
  <c r="E34" i="129"/>
  <c r="E13" i="129"/>
  <c r="E33" i="129"/>
  <c r="E32" i="129"/>
  <c r="E10" i="129"/>
  <c r="E31" i="129"/>
  <c r="E30" i="129"/>
  <c r="E29" i="129"/>
  <c r="U345" i="129"/>
  <c r="T345" i="129" s="1"/>
  <c r="S345" i="129"/>
  <c r="U344" i="129"/>
  <c r="E344" i="129" s="1"/>
  <c r="S344" i="129"/>
  <c r="U343" i="129"/>
  <c r="T343" i="129" s="1"/>
  <c r="S343" i="129"/>
  <c r="U342" i="129"/>
  <c r="E342" i="129" s="1"/>
  <c r="S342" i="129"/>
  <c r="K17" i="139" l="1"/>
  <c r="K16" i="139"/>
  <c r="R8" i="138"/>
  <c r="T10" i="138"/>
  <c r="T331" i="137"/>
  <c r="U331" i="137" s="1"/>
  <c r="E331" i="137" s="1"/>
  <c r="T332" i="137"/>
  <c r="U334" i="137"/>
  <c r="E334" i="137" s="1"/>
  <c r="U332" i="137"/>
  <c r="E332" i="137" s="1"/>
  <c r="T339" i="137"/>
  <c r="S8" i="137"/>
  <c r="R338" i="136"/>
  <c r="R339" i="136"/>
  <c r="A3" i="136"/>
  <c r="T50" i="135"/>
  <c r="V50" i="135" s="1"/>
  <c r="W50" i="135" s="1"/>
  <c r="E50" i="135" s="1"/>
  <c r="T101" i="135"/>
  <c r="V101" i="135" s="1"/>
  <c r="W101" i="135" s="1"/>
  <c r="E101" i="135" s="1"/>
  <c r="R11" i="135"/>
  <c r="V11" i="135" s="1"/>
  <c r="W11" i="135" s="1"/>
  <c r="E11" i="135" s="1"/>
  <c r="R13" i="135"/>
  <c r="R14" i="135"/>
  <c r="R12" i="135"/>
  <c r="V12" i="135" s="1"/>
  <c r="W12" i="135" s="1"/>
  <c r="E12" i="135" s="1"/>
  <c r="R10" i="135"/>
  <c r="V10" i="135" s="1"/>
  <c r="V342" i="135"/>
  <c r="V344" i="135"/>
  <c r="W59" i="135"/>
  <c r="E59" i="135" s="1"/>
  <c r="W75" i="135"/>
  <c r="E75" i="135" s="1"/>
  <c r="W91" i="135"/>
  <c r="E91" i="135" s="1"/>
  <c r="W170" i="135"/>
  <c r="E170" i="135" s="1"/>
  <c r="W67" i="135"/>
  <c r="E67" i="135" s="1"/>
  <c r="W83" i="135"/>
  <c r="E83" i="135" s="1"/>
  <c r="W99" i="135"/>
  <c r="E99" i="135" s="1"/>
  <c r="W130" i="135"/>
  <c r="E130" i="135" s="1"/>
  <c r="W134" i="135"/>
  <c r="E134" i="135" s="1"/>
  <c r="W138" i="135"/>
  <c r="E138" i="135" s="1"/>
  <c r="W142" i="135"/>
  <c r="E142" i="135" s="1"/>
  <c r="W146" i="135"/>
  <c r="E146" i="135" s="1"/>
  <c r="W150" i="135"/>
  <c r="E150" i="135" s="1"/>
  <c r="W154" i="135"/>
  <c r="E154" i="135" s="1"/>
  <c r="W158" i="135"/>
  <c r="E158" i="135" s="1"/>
  <c r="W162" i="135"/>
  <c r="E162" i="135" s="1"/>
  <c r="W172" i="135"/>
  <c r="E172" i="135" s="1"/>
  <c r="W55" i="135"/>
  <c r="E55" i="135" s="1"/>
  <c r="W71" i="135"/>
  <c r="E71" i="135" s="1"/>
  <c r="W87" i="135"/>
  <c r="E87" i="135" s="1"/>
  <c r="W166" i="135"/>
  <c r="E166" i="135" s="1"/>
  <c r="W188" i="135"/>
  <c r="E188" i="135" s="1"/>
  <c r="W196" i="135"/>
  <c r="E196" i="135" s="1"/>
  <c r="W204" i="135"/>
  <c r="E204" i="135" s="1"/>
  <c r="W212" i="135"/>
  <c r="E212" i="135" s="1"/>
  <c r="W220" i="135"/>
  <c r="E220" i="135" s="1"/>
  <c r="W228" i="135"/>
  <c r="E228" i="135" s="1"/>
  <c r="W236" i="135"/>
  <c r="E236" i="135" s="1"/>
  <c r="W244" i="135"/>
  <c r="E244" i="135" s="1"/>
  <c r="W252" i="135"/>
  <c r="E252" i="135" s="1"/>
  <c r="W260" i="135"/>
  <c r="E260" i="135" s="1"/>
  <c r="W268" i="135"/>
  <c r="E268" i="135" s="1"/>
  <c r="W276" i="135"/>
  <c r="E276" i="135" s="1"/>
  <c r="W284" i="135"/>
  <c r="E284" i="135" s="1"/>
  <c r="W292" i="135"/>
  <c r="E292" i="135" s="1"/>
  <c r="W300" i="135"/>
  <c r="E300" i="135" s="1"/>
  <c r="W308" i="135"/>
  <c r="E308" i="135" s="1"/>
  <c r="W316" i="135"/>
  <c r="E316" i="135" s="1"/>
  <c r="W324" i="135"/>
  <c r="E324" i="135" s="1"/>
  <c r="W322" i="135"/>
  <c r="E322" i="135" s="1"/>
  <c r="W330" i="135"/>
  <c r="E330" i="135" s="1"/>
  <c r="W333" i="135"/>
  <c r="E333" i="135" s="1"/>
  <c r="W179" i="135"/>
  <c r="E179" i="135" s="1"/>
  <c r="W189" i="135"/>
  <c r="E189" i="135" s="1"/>
  <c r="W197" i="135"/>
  <c r="E197" i="135" s="1"/>
  <c r="W205" i="135"/>
  <c r="E205" i="135" s="1"/>
  <c r="W213" i="135"/>
  <c r="E213" i="135" s="1"/>
  <c r="W221" i="135"/>
  <c r="E221" i="135" s="1"/>
  <c r="W229" i="135"/>
  <c r="E229" i="135" s="1"/>
  <c r="W237" i="135"/>
  <c r="E237" i="135" s="1"/>
  <c r="W245" i="135"/>
  <c r="E245" i="135" s="1"/>
  <c r="W253" i="135"/>
  <c r="E253" i="135" s="1"/>
  <c r="W261" i="135"/>
  <c r="E261" i="135" s="1"/>
  <c r="W269" i="135"/>
  <c r="E269" i="135" s="1"/>
  <c r="W277" i="135"/>
  <c r="E277" i="135" s="1"/>
  <c r="W285" i="135"/>
  <c r="E285" i="135" s="1"/>
  <c r="W293" i="135"/>
  <c r="E293" i="135" s="1"/>
  <c r="W301" i="135"/>
  <c r="E301" i="135" s="1"/>
  <c r="W309" i="135"/>
  <c r="E309" i="135" s="1"/>
  <c r="W317" i="135"/>
  <c r="E317" i="135" s="1"/>
  <c r="W325" i="135"/>
  <c r="E325" i="135" s="1"/>
  <c r="W187" i="135"/>
  <c r="E187" i="135" s="1"/>
  <c r="W195" i="135"/>
  <c r="E195" i="135" s="1"/>
  <c r="W203" i="135"/>
  <c r="E203" i="135" s="1"/>
  <c r="W211" i="135"/>
  <c r="E211" i="135" s="1"/>
  <c r="W219" i="135"/>
  <c r="E219" i="135" s="1"/>
  <c r="W227" i="135"/>
  <c r="E227" i="135" s="1"/>
  <c r="W235" i="135"/>
  <c r="E235" i="135" s="1"/>
  <c r="W243" i="135"/>
  <c r="E243" i="135" s="1"/>
  <c r="W251" i="135"/>
  <c r="E251" i="135" s="1"/>
  <c r="W259" i="135"/>
  <c r="E259" i="135" s="1"/>
  <c r="W267" i="135"/>
  <c r="E267" i="135" s="1"/>
  <c r="W275" i="135"/>
  <c r="E275" i="135" s="1"/>
  <c r="W283" i="135"/>
  <c r="E283" i="135" s="1"/>
  <c r="W291" i="135"/>
  <c r="E291" i="135" s="1"/>
  <c r="W299" i="135"/>
  <c r="E299" i="135" s="1"/>
  <c r="W307" i="135"/>
  <c r="E307" i="135" s="1"/>
  <c r="W315" i="135"/>
  <c r="E315" i="135" s="1"/>
  <c r="W323" i="135"/>
  <c r="E323" i="135" s="1"/>
  <c r="W331" i="135"/>
  <c r="E331" i="135" s="1"/>
  <c r="W185" i="135"/>
  <c r="E185" i="135" s="1"/>
  <c r="W193" i="135"/>
  <c r="E193" i="135" s="1"/>
  <c r="W201" i="135"/>
  <c r="E201" i="135" s="1"/>
  <c r="W209" i="135"/>
  <c r="E209" i="135" s="1"/>
  <c r="W217" i="135"/>
  <c r="E217" i="135" s="1"/>
  <c r="W225" i="135"/>
  <c r="E225" i="135" s="1"/>
  <c r="W233" i="135"/>
  <c r="E233" i="135" s="1"/>
  <c r="W241" i="135"/>
  <c r="E241" i="135" s="1"/>
  <c r="W249" i="135"/>
  <c r="E249" i="135" s="1"/>
  <c r="W257" i="135"/>
  <c r="E257" i="135" s="1"/>
  <c r="W265" i="135"/>
  <c r="E265" i="135" s="1"/>
  <c r="W273" i="135"/>
  <c r="E273" i="135" s="1"/>
  <c r="W281" i="135"/>
  <c r="E281" i="135" s="1"/>
  <c r="Q22" i="134"/>
  <c r="T22" i="134" s="1"/>
  <c r="U22" i="134" s="1"/>
  <c r="E22" i="134" s="1"/>
  <c r="Q56" i="134"/>
  <c r="T56" i="134" s="1"/>
  <c r="U56" i="134" s="1"/>
  <c r="E56" i="134" s="1"/>
  <c r="Q50" i="134"/>
  <c r="T50" i="134" s="1"/>
  <c r="U50" i="134" s="1"/>
  <c r="E50" i="134" s="1"/>
  <c r="Q41" i="134"/>
  <c r="T41" i="134" s="1"/>
  <c r="U41" i="134" s="1"/>
  <c r="E41" i="134" s="1"/>
  <c r="E343" i="134"/>
  <c r="E345" i="134"/>
  <c r="T342" i="134"/>
  <c r="T344" i="134"/>
  <c r="E10" i="134"/>
  <c r="U83" i="134"/>
  <c r="E83" i="134" s="1"/>
  <c r="U197" i="134"/>
  <c r="E197" i="134" s="1"/>
  <c r="U261" i="134"/>
  <c r="E261" i="134" s="1"/>
  <c r="U91" i="134"/>
  <c r="E91" i="134" s="1"/>
  <c r="U109" i="134"/>
  <c r="E109" i="134" s="1"/>
  <c r="U117" i="134"/>
  <c r="E117" i="134" s="1"/>
  <c r="U125" i="134"/>
  <c r="E125" i="134" s="1"/>
  <c r="U179" i="134"/>
  <c r="E179" i="134" s="1"/>
  <c r="U189" i="134"/>
  <c r="E189" i="134" s="1"/>
  <c r="U253" i="134"/>
  <c r="E253" i="134" s="1"/>
  <c r="U317" i="134"/>
  <c r="E317" i="134" s="1"/>
  <c r="S8" i="134"/>
  <c r="U87" i="134"/>
  <c r="E87" i="134" s="1"/>
  <c r="U186" i="134"/>
  <c r="E186" i="134" s="1"/>
  <c r="U194" i="134"/>
  <c r="E194" i="134" s="1"/>
  <c r="U202" i="134"/>
  <c r="E202" i="134" s="1"/>
  <c r="U210" i="134"/>
  <c r="E210" i="134" s="1"/>
  <c r="U218" i="134"/>
  <c r="E218" i="134" s="1"/>
  <c r="U226" i="134"/>
  <c r="E226" i="134" s="1"/>
  <c r="U234" i="134"/>
  <c r="E234" i="134" s="1"/>
  <c r="U242" i="134"/>
  <c r="E242" i="134" s="1"/>
  <c r="U250" i="134"/>
  <c r="E250" i="134" s="1"/>
  <c r="U258" i="134"/>
  <c r="E258" i="134" s="1"/>
  <c r="U266" i="134"/>
  <c r="E266" i="134" s="1"/>
  <c r="U274" i="134"/>
  <c r="E274" i="134" s="1"/>
  <c r="U282" i="134"/>
  <c r="E282" i="134" s="1"/>
  <c r="U290" i="134"/>
  <c r="E290" i="134" s="1"/>
  <c r="U298" i="134"/>
  <c r="E298" i="134" s="1"/>
  <c r="U306" i="134"/>
  <c r="E306" i="134" s="1"/>
  <c r="U314" i="134"/>
  <c r="E314" i="134" s="1"/>
  <c r="U187" i="134"/>
  <c r="E187" i="134" s="1"/>
  <c r="U195" i="134"/>
  <c r="E195" i="134" s="1"/>
  <c r="U203" i="134"/>
  <c r="E203" i="134" s="1"/>
  <c r="U211" i="134"/>
  <c r="E211" i="134" s="1"/>
  <c r="U219" i="134"/>
  <c r="E219" i="134" s="1"/>
  <c r="U227" i="134"/>
  <c r="E227" i="134" s="1"/>
  <c r="U235" i="134"/>
  <c r="E235" i="134" s="1"/>
  <c r="U243" i="134"/>
  <c r="E243" i="134" s="1"/>
  <c r="U251" i="134"/>
  <c r="E251" i="134" s="1"/>
  <c r="U259" i="134"/>
  <c r="E259" i="134" s="1"/>
  <c r="U267" i="134"/>
  <c r="E267" i="134" s="1"/>
  <c r="U275" i="134"/>
  <c r="E275" i="134" s="1"/>
  <c r="U283" i="134"/>
  <c r="E283" i="134" s="1"/>
  <c r="U291" i="134"/>
  <c r="E291" i="134" s="1"/>
  <c r="U299" i="134"/>
  <c r="E299" i="134" s="1"/>
  <c r="U307" i="134"/>
  <c r="E307" i="134" s="1"/>
  <c r="U315" i="134"/>
  <c r="E315" i="134" s="1"/>
  <c r="U324" i="134"/>
  <c r="E324" i="134" s="1"/>
  <c r="U328" i="134"/>
  <c r="E328" i="134" s="1"/>
  <c r="U332" i="134"/>
  <c r="E332" i="134" s="1"/>
  <c r="U336" i="134"/>
  <c r="E336" i="134" s="1"/>
  <c r="U185" i="134"/>
  <c r="E185" i="134" s="1"/>
  <c r="U193" i="134"/>
  <c r="E193" i="134" s="1"/>
  <c r="U201" i="134"/>
  <c r="E201" i="134" s="1"/>
  <c r="U209" i="134"/>
  <c r="E209" i="134" s="1"/>
  <c r="U217" i="134"/>
  <c r="E217" i="134" s="1"/>
  <c r="U225" i="134"/>
  <c r="E225" i="134" s="1"/>
  <c r="U233" i="134"/>
  <c r="E233" i="134" s="1"/>
  <c r="U241" i="134"/>
  <c r="E241" i="134" s="1"/>
  <c r="U249" i="134"/>
  <c r="E249" i="134" s="1"/>
  <c r="U257" i="134"/>
  <c r="E257" i="134" s="1"/>
  <c r="U265" i="134"/>
  <c r="E265" i="134" s="1"/>
  <c r="U273" i="134"/>
  <c r="E273" i="134" s="1"/>
  <c r="U281" i="134"/>
  <c r="E281" i="134" s="1"/>
  <c r="U289" i="134"/>
  <c r="E289" i="134" s="1"/>
  <c r="U297" i="134"/>
  <c r="E297" i="134" s="1"/>
  <c r="U305" i="134"/>
  <c r="E305" i="134" s="1"/>
  <c r="U313" i="134"/>
  <c r="E313" i="134" s="1"/>
  <c r="U325" i="134"/>
  <c r="E325" i="134" s="1"/>
  <c r="U329" i="134"/>
  <c r="E329" i="134" s="1"/>
  <c r="U333" i="134"/>
  <c r="E333" i="134" s="1"/>
  <c r="U176" i="134"/>
  <c r="E176" i="134" s="1"/>
  <c r="U183" i="134"/>
  <c r="E183" i="134" s="1"/>
  <c r="U191" i="134"/>
  <c r="E191" i="134" s="1"/>
  <c r="U199" i="134"/>
  <c r="E199" i="134" s="1"/>
  <c r="U207" i="134"/>
  <c r="E207" i="134" s="1"/>
  <c r="U215" i="134"/>
  <c r="E215" i="134" s="1"/>
  <c r="U223" i="134"/>
  <c r="E223" i="134" s="1"/>
  <c r="U231" i="134"/>
  <c r="E231" i="134" s="1"/>
  <c r="U239" i="134"/>
  <c r="E239" i="134" s="1"/>
  <c r="U247" i="134"/>
  <c r="E247" i="134" s="1"/>
  <c r="U255" i="134"/>
  <c r="E255" i="134" s="1"/>
  <c r="U263" i="134"/>
  <c r="E263" i="134" s="1"/>
  <c r="U271" i="134"/>
  <c r="E271" i="134" s="1"/>
  <c r="U279" i="134"/>
  <c r="E279" i="134" s="1"/>
  <c r="U287" i="134"/>
  <c r="E287" i="134" s="1"/>
  <c r="U295" i="134"/>
  <c r="E295" i="134" s="1"/>
  <c r="U303" i="134"/>
  <c r="E303" i="134" s="1"/>
  <c r="U311" i="134"/>
  <c r="E311" i="134" s="1"/>
  <c r="U319" i="134"/>
  <c r="E319" i="134" s="1"/>
  <c r="U326" i="134"/>
  <c r="E326" i="134" s="1"/>
  <c r="U330" i="134"/>
  <c r="E330" i="134" s="1"/>
  <c r="U334" i="134"/>
  <c r="E334" i="134" s="1"/>
  <c r="U338" i="134"/>
  <c r="E338" i="134" s="1"/>
  <c r="Q56" i="133"/>
  <c r="T56" i="133" s="1"/>
  <c r="Q50" i="133"/>
  <c r="T50" i="133" s="1"/>
  <c r="U50" i="133" s="1"/>
  <c r="E50" i="133" s="1"/>
  <c r="Q41" i="133"/>
  <c r="T41" i="133" s="1"/>
  <c r="U41" i="133" s="1"/>
  <c r="E41" i="133" s="1"/>
  <c r="Q22" i="133"/>
  <c r="T22" i="133" s="1"/>
  <c r="U22" i="133"/>
  <c r="E22" i="133" s="1"/>
  <c r="T342" i="133"/>
  <c r="T344" i="133"/>
  <c r="U56" i="133"/>
  <c r="E56" i="133" s="1"/>
  <c r="E10" i="133"/>
  <c r="U60" i="133"/>
  <c r="E60" i="133" s="1"/>
  <c r="U68" i="133"/>
  <c r="E68" i="133" s="1"/>
  <c r="U76" i="133"/>
  <c r="E76" i="133" s="1"/>
  <c r="U84" i="133"/>
  <c r="E84" i="133" s="1"/>
  <c r="U92" i="133"/>
  <c r="E92" i="133" s="1"/>
  <c r="U61" i="133"/>
  <c r="E61" i="133" s="1"/>
  <c r="U69" i="133"/>
  <c r="E69" i="133" s="1"/>
  <c r="U77" i="133"/>
  <c r="E77" i="133" s="1"/>
  <c r="U85" i="133"/>
  <c r="E85" i="133" s="1"/>
  <c r="U93" i="133"/>
  <c r="E93" i="133" s="1"/>
  <c r="U59" i="133"/>
  <c r="E59" i="133" s="1"/>
  <c r="U67" i="133"/>
  <c r="E67" i="133" s="1"/>
  <c r="U91" i="133"/>
  <c r="E91" i="133" s="1"/>
  <c r="S8" i="133"/>
  <c r="U62" i="133"/>
  <c r="E62" i="133" s="1"/>
  <c r="U70" i="133"/>
  <c r="E70" i="133" s="1"/>
  <c r="U78" i="133"/>
  <c r="E78" i="133" s="1"/>
  <c r="U86" i="133"/>
  <c r="E86" i="133" s="1"/>
  <c r="U94" i="133"/>
  <c r="E94" i="133" s="1"/>
  <c r="U180" i="133"/>
  <c r="E180" i="133" s="1"/>
  <c r="U188" i="133"/>
  <c r="E188" i="133" s="1"/>
  <c r="U196" i="133"/>
  <c r="E196" i="133" s="1"/>
  <c r="U204" i="133"/>
  <c r="E204" i="133" s="1"/>
  <c r="U212" i="133"/>
  <c r="E212" i="133" s="1"/>
  <c r="U220" i="133"/>
  <c r="E220" i="133" s="1"/>
  <c r="U228" i="133"/>
  <c r="E228" i="133" s="1"/>
  <c r="U236" i="133"/>
  <c r="E236" i="133" s="1"/>
  <c r="U244" i="133"/>
  <c r="E244" i="133" s="1"/>
  <c r="U252" i="133"/>
  <c r="E252" i="133" s="1"/>
  <c r="U260" i="133"/>
  <c r="E260" i="133" s="1"/>
  <c r="U178" i="133"/>
  <c r="E178" i="133" s="1"/>
  <c r="U186" i="133"/>
  <c r="E186" i="133" s="1"/>
  <c r="U194" i="133"/>
  <c r="E194" i="133" s="1"/>
  <c r="U202" i="133"/>
  <c r="E202" i="133" s="1"/>
  <c r="U210" i="133"/>
  <c r="E210" i="133" s="1"/>
  <c r="U218" i="133"/>
  <c r="E218" i="133" s="1"/>
  <c r="U226" i="133"/>
  <c r="E226" i="133" s="1"/>
  <c r="U234" i="133"/>
  <c r="E234" i="133" s="1"/>
  <c r="U242" i="133"/>
  <c r="E242" i="133" s="1"/>
  <c r="U250" i="133"/>
  <c r="E250" i="133" s="1"/>
  <c r="U258" i="133"/>
  <c r="E258" i="133" s="1"/>
  <c r="U176" i="133"/>
  <c r="E176" i="133" s="1"/>
  <c r="U184" i="133"/>
  <c r="E184" i="133" s="1"/>
  <c r="U192" i="133"/>
  <c r="E192" i="133" s="1"/>
  <c r="U200" i="133"/>
  <c r="E200" i="133" s="1"/>
  <c r="U208" i="133"/>
  <c r="E208" i="133" s="1"/>
  <c r="U216" i="133"/>
  <c r="E216" i="133" s="1"/>
  <c r="U224" i="133"/>
  <c r="E224" i="133" s="1"/>
  <c r="U232" i="133"/>
  <c r="E232" i="133" s="1"/>
  <c r="U240" i="133"/>
  <c r="E240" i="133" s="1"/>
  <c r="U248" i="133"/>
  <c r="E248" i="133" s="1"/>
  <c r="U256" i="133"/>
  <c r="E256" i="133" s="1"/>
  <c r="U179" i="133"/>
  <c r="E179" i="133" s="1"/>
  <c r="U187" i="133"/>
  <c r="E187" i="133" s="1"/>
  <c r="U195" i="133"/>
  <c r="E195" i="133" s="1"/>
  <c r="U203" i="133"/>
  <c r="E203" i="133" s="1"/>
  <c r="U211" i="133"/>
  <c r="E211" i="133" s="1"/>
  <c r="U219" i="133"/>
  <c r="E219" i="133" s="1"/>
  <c r="U227" i="133"/>
  <c r="E227" i="133" s="1"/>
  <c r="P41" i="132"/>
  <c r="S41" i="132" s="1"/>
  <c r="U41" i="132" s="1"/>
  <c r="E41" i="132" s="1"/>
  <c r="P56" i="132"/>
  <c r="S56" i="132" s="1"/>
  <c r="U56" i="132" s="1"/>
  <c r="E56" i="132" s="1"/>
  <c r="P22" i="132"/>
  <c r="P50" i="132"/>
  <c r="S50" i="132" s="1"/>
  <c r="U50" i="132" s="1"/>
  <c r="E50" i="132" s="1"/>
  <c r="Q29" i="132"/>
  <c r="T29" i="132" s="1"/>
  <c r="U29" i="132" s="1"/>
  <c r="E29" i="132" s="1"/>
  <c r="Q15" i="132"/>
  <c r="T15" i="132" s="1"/>
  <c r="U15" i="132" s="1"/>
  <c r="E15" i="132" s="1"/>
  <c r="Q49" i="132"/>
  <c r="T49" i="132" s="1"/>
  <c r="U49" i="132" s="1"/>
  <c r="E49" i="132" s="1"/>
  <c r="Q34" i="132"/>
  <c r="T34" i="132" s="1"/>
  <c r="U34" i="132" s="1"/>
  <c r="E34" i="132" s="1"/>
  <c r="Q20" i="132"/>
  <c r="T20" i="132" s="1"/>
  <c r="U20" i="132" s="1"/>
  <c r="E20" i="132" s="1"/>
  <c r="Q38" i="132"/>
  <c r="T38" i="132" s="1"/>
  <c r="U38" i="132" s="1"/>
  <c r="E38" i="132" s="1"/>
  <c r="Q17" i="132"/>
  <c r="T17" i="132" s="1"/>
  <c r="T8" i="132" s="1"/>
  <c r="Q18" i="132"/>
  <c r="T18" i="132" s="1"/>
  <c r="U18" i="132" s="1"/>
  <c r="E18" i="132" s="1"/>
  <c r="Q28" i="132"/>
  <c r="T28" i="132" s="1"/>
  <c r="Q33" i="132"/>
  <c r="T33" i="132" s="1"/>
  <c r="Q25" i="132"/>
  <c r="T25" i="132" s="1"/>
  <c r="U25" i="132" s="1"/>
  <c r="E25" i="132" s="1"/>
  <c r="Q19" i="132"/>
  <c r="T19" i="132" s="1"/>
  <c r="Q42" i="132"/>
  <c r="T42" i="132" s="1"/>
  <c r="Q32" i="132"/>
  <c r="T32" i="132" s="1"/>
  <c r="U42" i="132"/>
  <c r="E42" i="132" s="1"/>
  <c r="U19" i="132"/>
  <c r="E19" i="132" s="1"/>
  <c r="U33" i="132"/>
  <c r="E33" i="132" s="1"/>
  <c r="U28" i="132"/>
  <c r="E28" i="132" s="1"/>
  <c r="U32" i="132"/>
  <c r="E32" i="132" s="1"/>
  <c r="U84" i="132"/>
  <c r="E84" i="132" s="1"/>
  <c r="U88" i="132"/>
  <c r="E88" i="132" s="1"/>
  <c r="U92" i="132"/>
  <c r="E92" i="132" s="1"/>
  <c r="U96" i="132"/>
  <c r="E96" i="132" s="1"/>
  <c r="U100" i="132"/>
  <c r="E100" i="132" s="1"/>
  <c r="U104" i="132"/>
  <c r="E104" i="132" s="1"/>
  <c r="U108" i="132"/>
  <c r="E108" i="132" s="1"/>
  <c r="U112" i="132"/>
  <c r="E112" i="132" s="1"/>
  <c r="U116" i="132"/>
  <c r="E116" i="132" s="1"/>
  <c r="U120" i="132"/>
  <c r="E120" i="132" s="1"/>
  <c r="U124" i="132"/>
  <c r="E124" i="132" s="1"/>
  <c r="U128" i="132"/>
  <c r="E128" i="132" s="1"/>
  <c r="U132" i="132"/>
  <c r="E132" i="132" s="1"/>
  <c r="U136" i="132"/>
  <c r="E136" i="132" s="1"/>
  <c r="U140" i="132"/>
  <c r="E140" i="132" s="1"/>
  <c r="U144" i="132"/>
  <c r="E144" i="132" s="1"/>
  <c r="U148" i="132"/>
  <c r="E148" i="132" s="1"/>
  <c r="U152" i="132"/>
  <c r="E152" i="132" s="1"/>
  <c r="U156" i="132"/>
  <c r="E156" i="132" s="1"/>
  <c r="U160" i="132"/>
  <c r="E160" i="132" s="1"/>
  <c r="U164" i="132"/>
  <c r="E164" i="132" s="1"/>
  <c r="U168" i="132"/>
  <c r="E168" i="132" s="1"/>
  <c r="U172" i="132"/>
  <c r="E172" i="132" s="1"/>
  <c r="U176" i="132"/>
  <c r="E176" i="132" s="1"/>
  <c r="E10" i="132"/>
  <c r="U57" i="132"/>
  <c r="E57" i="132" s="1"/>
  <c r="U78" i="132"/>
  <c r="E78" i="132" s="1"/>
  <c r="U82" i="132"/>
  <c r="E82" i="132" s="1"/>
  <c r="U86" i="132"/>
  <c r="E86" i="132" s="1"/>
  <c r="U90" i="132"/>
  <c r="E90" i="132" s="1"/>
  <c r="U94" i="132"/>
  <c r="E94" i="132" s="1"/>
  <c r="U98" i="132"/>
  <c r="E98" i="132" s="1"/>
  <c r="U102" i="132"/>
  <c r="E102" i="132" s="1"/>
  <c r="U106" i="132"/>
  <c r="E106" i="132" s="1"/>
  <c r="U110" i="132"/>
  <c r="E110" i="132" s="1"/>
  <c r="U114" i="132"/>
  <c r="E114" i="132" s="1"/>
  <c r="U118" i="132"/>
  <c r="E118" i="132" s="1"/>
  <c r="U122" i="132"/>
  <c r="E122" i="132" s="1"/>
  <c r="U126" i="132"/>
  <c r="E126" i="132" s="1"/>
  <c r="U130" i="132"/>
  <c r="E130" i="132" s="1"/>
  <c r="U134" i="132"/>
  <c r="E134" i="132" s="1"/>
  <c r="U138" i="132"/>
  <c r="E138" i="132" s="1"/>
  <c r="U142" i="132"/>
  <c r="E142" i="132" s="1"/>
  <c r="U146" i="132"/>
  <c r="E146" i="132" s="1"/>
  <c r="U150" i="132"/>
  <c r="E150" i="132" s="1"/>
  <c r="U154" i="132"/>
  <c r="E154" i="132" s="1"/>
  <c r="U158" i="132"/>
  <c r="E158" i="132" s="1"/>
  <c r="U162" i="132"/>
  <c r="E162" i="132" s="1"/>
  <c r="U166" i="132"/>
  <c r="E166" i="132" s="1"/>
  <c r="U170" i="132"/>
  <c r="E170" i="132" s="1"/>
  <c r="U174" i="132"/>
  <c r="E174" i="132" s="1"/>
  <c r="U76" i="132"/>
  <c r="E76" i="132" s="1"/>
  <c r="U186" i="132"/>
  <c r="E186" i="132" s="1"/>
  <c r="U194" i="132"/>
  <c r="E194" i="132" s="1"/>
  <c r="U202" i="132"/>
  <c r="E202" i="132" s="1"/>
  <c r="U210" i="132"/>
  <c r="E210" i="132" s="1"/>
  <c r="U218" i="132"/>
  <c r="E218" i="132" s="1"/>
  <c r="U226" i="132"/>
  <c r="E226" i="132" s="1"/>
  <c r="U234" i="132"/>
  <c r="E234" i="132" s="1"/>
  <c r="U242" i="132"/>
  <c r="E242" i="132" s="1"/>
  <c r="U250" i="132"/>
  <c r="E250" i="132" s="1"/>
  <c r="U258" i="132"/>
  <c r="E258" i="132" s="1"/>
  <c r="U266" i="132"/>
  <c r="E266" i="132" s="1"/>
  <c r="U274" i="132"/>
  <c r="E274" i="132" s="1"/>
  <c r="U282" i="132"/>
  <c r="E282" i="132" s="1"/>
  <c r="U290" i="132"/>
  <c r="E290" i="132" s="1"/>
  <c r="U298" i="132"/>
  <c r="E298" i="132" s="1"/>
  <c r="U306" i="132"/>
  <c r="E306" i="132" s="1"/>
  <c r="U314" i="132"/>
  <c r="E314" i="132" s="1"/>
  <c r="U326" i="132"/>
  <c r="E326" i="132" s="1"/>
  <c r="U179" i="132"/>
  <c r="E179" i="132" s="1"/>
  <c r="U187" i="132"/>
  <c r="E187" i="132" s="1"/>
  <c r="U195" i="132"/>
  <c r="E195" i="132" s="1"/>
  <c r="U203" i="132"/>
  <c r="E203" i="132" s="1"/>
  <c r="U211" i="132"/>
  <c r="E211" i="132" s="1"/>
  <c r="U219" i="132"/>
  <c r="E219" i="132" s="1"/>
  <c r="U227" i="132"/>
  <c r="E227" i="132" s="1"/>
  <c r="U235" i="132"/>
  <c r="E235" i="132" s="1"/>
  <c r="U243" i="132"/>
  <c r="E243" i="132" s="1"/>
  <c r="U251" i="132"/>
  <c r="E251" i="132" s="1"/>
  <c r="U259" i="132"/>
  <c r="E259" i="132" s="1"/>
  <c r="U267" i="132"/>
  <c r="E267" i="132" s="1"/>
  <c r="U275" i="132"/>
  <c r="E275" i="132" s="1"/>
  <c r="U283" i="132"/>
  <c r="E283" i="132" s="1"/>
  <c r="U291" i="132"/>
  <c r="E291" i="132" s="1"/>
  <c r="U185" i="132"/>
  <c r="E185" i="132" s="1"/>
  <c r="U193" i="132"/>
  <c r="E193" i="132" s="1"/>
  <c r="U201" i="132"/>
  <c r="E201" i="132" s="1"/>
  <c r="U209" i="132"/>
  <c r="E209" i="132" s="1"/>
  <c r="U217" i="132"/>
  <c r="E217" i="132" s="1"/>
  <c r="U225" i="132"/>
  <c r="E225" i="132" s="1"/>
  <c r="U233" i="132"/>
  <c r="E233" i="132" s="1"/>
  <c r="U241" i="132"/>
  <c r="E241" i="132" s="1"/>
  <c r="U249" i="132"/>
  <c r="E249" i="132" s="1"/>
  <c r="U257" i="132"/>
  <c r="E257" i="132" s="1"/>
  <c r="U265" i="132"/>
  <c r="E265" i="132" s="1"/>
  <c r="U273" i="132"/>
  <c r="E273" i="132" s="1"/>
  <c r="U281" i="132"/>
  <c r="E281" i="132" s="1"/>
  <c r="U289" i="132"/>
  <c r="E289" i="132" s="1"/>
  <c r="U180" i="132"/>
  <c r="E180" i="132" s="1"/>
  <c r="U188" i="132"/>
  <c r="E188" i="132" s="1"/>
  <c r="U196" i="132"/>
  <c r="E196" i="132" s="1"/>
  <c r="U204" i="132"/>
  <c r="E204" i="132" s="1"/>
  <c r="U212" i="132"/>
  <c r="E212" i="132" s="1"/>
  <c r="U220" i="132"/>
  <c r="E220" i="132" s="1"/>
  <c r="U228" i="132"/>
  <c r="E228" i="132" s="1"/>
  <c r="U236" i="132"/>
  <c r="E236" i="132" s="1"/>
  <c r="U244" i="132"/>
  <c r="E244" i="132" s="1"/>
  <c r="U252" i="132"/>
  <c r="E252" i="132" s="1"/>
  <c r="U260" i="132"/>
  <c r="E260" i="132" s="1"/>
  <c r="U268" i="132"/>
  <c r="E268" i="132" s="1"/>
  <c r="U276" i="132"/>
  <c r="E276" i="132" s="1"/>
  <c r="U284" i="132"/>
  <c r="E284" i="132" s="1"/>
  <c r="U308" i="132"/>
  <c r="E308" i="132" s="1"/>
  <c r="U316" i="132"/>
  <c r="E316" i="132" s="1"/>
  <c r="U322" i="132"/>
  <c r="E322" i="132" s="1"/>
  <c r="U183" i="132"/>
  <c r="E183" i="132" s="1"/>
  <c r="U191" i="132"/>
  <c r="E191" i="132" s="1"/>
  <c r="U199" i="132"/>
  <c r="E199" i="132" s="1"/>
  <c r="U207" i="132"/>
  <c r="E207" i="132" s="1"/>
  <c r="U215" i="132"/>
  <c r="E215" i="132" s="1"/>
  <c r="U223" i="132"/>
  <c r="E223" i="132" s="1"/>
  <c r="U231" i="132"/>
  <c r="E231" i="132" s="1"/>
  <c r="U239" i="132"/>
  <c r="E239" i="132" s="1"/>
  <c r="U247" i="132"/>
  <c r="E247" i="132" s="1"/>
  <c r="U255" i="132"/>
  <c r="E255" i="132" s="1"/>
  <c r="U263" i="132"/>
  <c r="E263" i="132" s="1"/>
  <c r="U271" i="132"/>
  <c r="E271" i="132" s="1"/>
  <c r="U279" i="132"/>
  <c r="E279" i="132" s="1"/>
  <c r="U287" i="132"/>
  <c r="E287" i="132" s="1"/>
  <c r="S49" i="131"/>
  <c r="U49" i="131" s="1"/>
  <c r="E49" i="131" s="1"/>
  <c r="S32" i="131"/>
  <c r="U32" i="131" s="1"/>
  <c r="E32" i="131" s="1"/>
  <c r="S29" i="131"/>
  <c r="U29" i="131" s="1"/>
  <c r="E29" i="131" s="1"/>
  <c r="S19" i="131"/>
  <c r="U19" i="131" s="1"/>
  <c r="E19" i="131" s="1"/>
  <c r="S15" i="131"/>
  <c r="U15" i="131" s="1"/>
  <c r="E15" i="131" s="1"/>
  <c r="S42" i="131"/>
  <c r="S38" i="131"/>
  <c r="S34" i="131"/>
  <c r="S28" i="131"/>
  <c r="U28" i="131" s="1"/>
  <c r="E28" i="131" s="1"/>
  <c r="S25" i="131"/>
  <c r="U25" i="131" s="1"/>
  <c r="E25" i="131" s="1"/>
  <c r="S18" i="131"/>
  <c r="S33" i="131"/>
  <c r="U33" i="131" s="1"/>
  <c r="E33" i="131" s="1"/>
  <c r="S17" i="131"/>
  <c r="U17" i="131" s="1"/>
  <c r="E17" i="131" s="1"/>
  <c r="S20" i="131"/>
  <c r="E342" i="131"/>
  <c r="E344" i="131"/>
  <c r="U20" i="131"/>
  <c r="E20" i="131" s="1"/>
  <c r="U18" i="131"/>
  <c r="E18" i="131" s="1"/>
  <c r="U34" i="131"/>
  <c r="E34" i="131" s="1"/>
  <c r="U38" i="131"/>
  <c r="E38" i="131" s="1"/>
  <c r="U42" i="131"/>
  <c r="E42" i="131" s="1"/>
  <c r="T343" i="131"/>
  <c r="T345" i="131"/>
  <c r="S8" i="131"/>
  <c r="U322" i="131"/>
  <c r="E322" i="131" s="1"/>
  <c r="T8" i="131"/>
  <c r="U188" i="131"/>
  <c r="E188" i="131" s="1"/>
  <c r="U10" i="131"/>
  <c r="U208" i="131"/>
  <c r="E208" i="131" s="1"/>
  <c r="U211" i="131"/>
  <c r="E211" i="131" s="1"/>
  <c r="U306" i="131"/>
  <c r="E306" i="131" s="1"/>
  <c r="U314" i="131"/>
  <c r="E314" i="131" s="1"/>
  <c r="U326" i="131"/>
  <c r="E326" i="131" s="1"/>
  <c r="U182" i="131"/>
  <c r="E182" i="131" s="1"/>
  <c r="U198" i="131"/>
  <c r="E198" i="131" s="1"/>
  <c r="U214" i="131"/>
  <c r="E214" i="131" s="1"/>
  <c r="U221" i="131"/>
  <c r="E221" i="131" s="1"/>
  <c r="U229" i="131"/>
  <c r="E229" i="131" s="1"/>
  <c r="U237" i="131"/>
  <c r="E237" i="131" s="1"/>
  <c r="U245" i="131"/>
  <c r="E245" i="131" s="1"/>
  <c r="U253" i="131"/>
  <c r="E253" i="131" s="1"/>
  <c r="U261" i="131"/>
  <c r="E261" i="131" s="1"/>
  <c r="U269" i="131"/>
  <c r="E269" i="131" s="1"/>
  <c r="U277" i="131"/>
  <c r="E277" i="131" s="1"/>
  <c r="U285" i="131"/>
  <c r="E285" i="131" s="1"/>
  <c r="U293" i="131"/>
  <c r="E293" i="131" s="1"/>
  <c r="U301" i="131"/>
  <c r="E301" i="131" s="1"/>
  <c r="U320" i="131"/>
  <c r="E320" i="131" s="1"/>
  <c r="U336" i="131"/>
  <c r="E336" i="131" s="1"/>
  <c r="U178" i="131"/>
  <c r="E178" i="131" s="1"/>
  <c r="U194" i="131"/>
  <c r="E194" i="131" s="1"/>
  <c r="U210" i="131"/>
  <c r="E210" i="131" s="1"/>
  <c r="U227" i="131"/>
  <c r="E227" i="131" s="1"/>
  <c r="U235" i="131"/>
  <c r="E235" i="131" s="1"/>
  <c r="U243" i="131"/>
  <c r="E243" i="131" s="1"/>
  <c r="U251" i="131"/>
  <c r="E251" i="131" s="1"/>
  <c r="U259" i="131"/>
  <c r="E259" i="131" s="1"/>
  <c r="U267" i="131"/>
  <c r="E267" i="131" s="1"/>
  <c r="U275" i="131"/>
  <c r="E275" i="131" s="1"/>
  <c r="U283" i="131"/>
  <c r="E283" i="131" s="1"/>
  <c r="U291" i="131"/>
  <c r="E291" i="131" s="1"/>
  <c r="U299" i="131"/>
  <c r="E299" i="131" s="1"/>
  <c r="U324" i="131"/>
  <c r="E324" i="131" s="1"/>
  <c r="U225" i="131"/>
  <c r="E225" i="131" s="1"/>
  <c r="U233" i="131"/>
  <c r="E233" i="131" s="1"/>
  <c r="U241" i="131"/>
  <c r="E241" i="131" s="1"/>
  <c r="U249" i="131"/>
  <c r="E249" i="131" s="1"/>
  <c r="U257" i="131"/>
  <c r="E257" i="131" s="1"/>
  <c r="U265" i="131"/>
  <c r="E265" i="131" s="1"/>
  <c r="U273" i="131"/>
  <c r="E273" i="131" s="1"/>
  <c r="U281" i="131"/>
  <c r="E281" i="131" s="1"/>
  <c r="U289" i="131"/>
  <c r="E289" i="131" s="1"/>
  <c r="U297" i="131"/>
  <c r="E297" i="131" s="1"/>
  <c r="U328" i="131"/>
  <c r="E328" i="131" s="1"/>
  <c r="U338" i="131"/>
  <c r="E338" i="131" s="1"/>
  <c r="T342" i="130"/>
  <c r="T344" i="130"/>
  <c r="U10" i="130"/>
  <c r="U96" i="130"/>
  <c r="E96" i="130" s="1"/>
  <c r="U86" i="130"/>
  <c r="E86" i="130" s="1"/>
  <c r="T8" i="130"/>
  <c r="U98" i="130"/>
  <c r="E98" i="130" s="1"/>
  <c r="U183" i="130"/>
  <c r="E183" i="130" s="1"/>
  <c r="U191" i="130"/>
  <c r="E191" i="130" s="1"/>
  <c r="U199" i="130"/>
  <c r="E199" i="130" s="1"/>
  <c r="U207" i="130"/>
  <c r="E207" i="130" s="1"/>
  <c r="U215" i="130"/>
  <c r="E215" i="130" s="1"/>
  <c r="U223" i="130"/>
  <c r="E223" i="130" s="1"/>
  <c r="U231" i="130"/>
  <c r="E231" i="130" s="1"/>
  <c r="U239" i="130"/>
  <c r="E239" i="130" s="1"/>
  <c r="U247" i="130"/>
  <c r="E247" i="130" s="1"/>
  <c r="U255" i="130"/>
  <c r="E255" i="130" s="1"/>
  <c r="U263" i="130"/>
  <c r="E263" i="130" s="1"/>
  <c r="U271" i="130"/>
  <c r="E271" i="130" s="1"/>
  <c r="U279" i="130"/>
  <c r="E279" i="130" s="1"/>
  <c r="U287" i="130"/>
  <c r="E287" i="130" s="1"/>
  <c r="U295" i="130"/>
  <c r="E295" i="130" s="1"/>
  <c r="U303" i="130"/>
  <c r="E303" i="130" s="1"/>
  <c r="U311" i="130"/>
  <c r="E311" i="130" s="1"/>
  <c r="U319" i="130"/>
  <c r="E319" i="130" s="1"/>
  <c r="U328" i="130"/>
  <c r="E328" i="130" s="1"/>
  <c r="U331" i="130"/>
  <c r="E331" i="130" s="1"/>
  <c r="U304" i="130"/>
  <c r="E304" i="130" s="1"/>
  <c r="U312" i="130"/>
  <c r="E312" i="130" s="1"/>
  <c r="U320" i="130"/>
  <c r="E320" i="130" s="1"/>
  <c r="U326" i="130"/>
  <c r="E326" i="130" s="1"/>
  <c r="U329" i="130"/>
  <c r="E329" i="130" s="1"/>
  <c r="U179" i="130"/>
  <c r="E179" i="130" s="1"/>
  <c r="U187" i="130"/>
  <c r="E187" i="130" s="1"/>
  <c r="U195" i="130"/>
  <c r="E195" i="130" s="1"/>
  <c r="U203" i="130"/>
  <c r="E203" i="130" s="1"/>
  <c r="U211" i="130"/>
  <c r="E211" i="130" s="1"/>
  <c r="U219" i="130"/>
  <c r="E219" i="130" s="1"/>
  <c r="U227" i="130"/>
  <c r="E227" i="130" s="1"/>
  <c r="U235" i="130"/>
  <c r="E235" i="130" s="1"/>
  <c r="U259" i="130"/>
  <c r="E259" i="130" s="1"/>
  <c r="U291" i="130"/>
  <c r="E291" i="130" s="1"/>
  <c r="U182" i="130"/>
  <c r="E182" i="130" s="1"/>
  <c r="U190" i="130"/>
  <c r="E190" i="130" s="1"/>
  <c r="U198" i="130"/>
  <c r="E198" i="130" s="1"/>
  <c r="U206" i="130"/>
  <c r="E206" i="130" s="1"/>
  <c r="U214" i="130"/>
  <c r="E214" i="130" s="1"/>
  <c r="U222" i="130"/>
  <c r="E222" i="130" s="1"/>
  <c r="U230" i="130"/>
  <c r="E230" i="130" s="1"/>
  <c r="U238" i="130"/>
  <c r="E238" i="130" s="1"/>
  <c r="U246" i="130"/>
  <c r="E246" i="130" s="1"/>
  <c r="U254" i="130"/>
  <c r="E254" i="130" s="1"/>
  <c r="U262" i="130"/>
  <c r="E262" i="130" s="1"/>
  <c r="U270" i="130"/>
  <c r="E270" i="130" s="1"/>
  <c r="U278" i="130"/>
  <c r="E278" i="130" s="1"/>
  <c r="U286" i="130"/>
  <c r="E286" i="130" s="1"/>
  <c r="U294" i="130"/>
  <c r="E294" i="130" s="1"/>
  <c r="U302" i="130"/>
  <c r="E302" i="130" s="1"/>
  <c r="U310" i="130"/>
  <c r="E310" i="130" s="1"/>
  <c r="U318" i="130"/>
  <c r="E318" i="130" s="1"/>
  <c r="U330" i="130"/>
  <c r="E330" i="130" s="1"/>
  <c r="U180" i="130"/>
  <c r="E180" i="130" s="1"/>
  <c r="U188" i="130"/>
  <c r="E188" i="130" s="1"/>
  <c r="U196" i="130"/>
  <c r="E196" i="130" s="1"/>
  <c r="U204" i="130"/>
  <c r="E204" i="130" s="1"/>
  <c r="U212" i="130"/>
  <c r="E212" i="130" s="1"/>
  <c r="U220" i="130"/>
  <c r="E220" i="130" s="1"/>
  <c r="U228" i="130"/>
  <c r="E228" i="130" s="1"/>
  <c r="U236" i="130"/>
  <c r="E236" i="130" s="1"/>
  <c r="U244" i="130"/>
  <c r="E244" i="130" s="1"/>
  <c r="U252" i="130"/>
  <c r="E252" i="130" s="1"/>
  <c r="U260" i="130"/>
  <c r="E260" i="130" s="1"/>
  <c r="U308" i="130"/>
  <c r="E308" i="130" s="1"/>
  <c r="U316" i="130"/>
  <c r="E316" i="130" s="1"/>
  <c r="U334" i="130"/>
  <c r="E334" i="130" s="1"/>
  <c r="E343" i="129"/>
  <c r="E345" i="129"/>
  <c r="T342" i="129"/>
  <c r="T344" i="129"/>
  <c r="T8" i="129"/>
  <c r="E179" i="129"/>
  <c r="E187" i="129"/>
  <c r="E195" i="129"/>
  <c r="E203" i="129"/>
  <c r="E211" i="129"/>
  <c r="E219" i="129"/>
  <c r="E227" i="129"/>
  <c r="E235" i="129"/>
  <c r="E243" i="129"/>
  <c r="E251" i="129"/>
  <c r="E259" i="129"/>
  <c r="E267" i="129"/>
  <c r="E275" i="129"/>
  <c r="E283" i="129"/>
  <c r="E291" i="129"/>
  <c r="E299" i="129"/>
  <c r="E307" i="129"/>
  <c r="E315" i="129"/>
  <c r="E323" i="129"/>
  <c r="E217" i="129"/>
  <c r="E225" i="129"/>
  <c r="E233" i="129"/>
  <c r="E241" i="129"/>
  <c r="E249" i="129"/>
  <c r="E257" i="129"/>
  <c r="E265" i="129"/>
  <c r="E273" i="129"/>
  <c r="E281" i="129"/>
  <c r="E289" i="129"/>
  <c r="E297" i="129"/>
  <c r="E305" i="129"/>
  <c r="E313" i="129"/>
  <c r="E321" i="129"/>
  <c r="E183" i="129"/>
  <c r="E191" i="129"/>
  <c r="E199" i="129"/>
  <c r="E207" i="129"/>
  <c r="E215" i="129"/>
  <c r="E223" i="129"/>
  <c r="E231" i="129"/>
  <c r="E239" i="129"/>
  <c r="E247" i="129"/>
  <c r="E255" i="129"/>
  <c r="E263" i="129"/>
  <c r="E271" i="129"/>
  <c r="E279" i="129"/>
  <c r="E287" i="129"/>
  <c r="E295" i="129"/>
  <c r="E303" i="129"/>
  <c r="E311" i="129"/>
  <c r="E319" i="129"/>
  <c r="E181" i="129"/>
  <c r="E189" i="129"/>
  <c r="E197" i="129"/>
  <c r="E205" i="129"/>
  <c r="E213" i="129"/>
  <c r="E221" i="129"/>
  <c r="E229" i="129"/>
  <c r="E237" i="129"/>
  <c r="E245" i="129"/>
  <c r="E253" i="129"/>
  <c r="E261" i="129"/>
  <c r="E269" i="129"/>
  <c r="E277" i="129"/>
  <c r="E285" i="129"/>
  <c r="E293" i="129"/>
  <c r="E301" i="129"/>
  <c r="E309" i="129"/>
  <c r="E317" i="129"/>
  <c r="E325" i="129"/>
  <c r="P2" i="128"/>
  <c r="P3" i="128" s="1"/>
  <c r="O2" i="128"/>
  <c r="O3" i="128" s="1"/>
  <c r="N2" i="128"/>
  <c r="N3" i="128" s="1"/>
  <c r="M2" i="128"/>
  <c r="M3" i="128" s="1"/>
  <c r="L2" i="128"/>
  <c r="L3" i="128" s="1"/>
  <c r="K2" i="128"/>
  <c r="K3" i="128" s="1"/>
  <c r="J2" i="128"/>
  <c r="J3" i="128" s="1"/>
  <c r="I2" i="128"/>
  <c r="I3" i="128" s="1"/>
  <c r="H2" i="128"/>
  <c r="H3" i="128" s="1"/>
  <c r="G2" i="128"/>
  <c r="G3" i="128" s="1"/>
  <c r="T335" i="128"/>
  <c r="U335" i="128" s="1"/>
  <c r="E335" i="128" s="1"/>
  <c r="S335" i="128"/>
  <c r="T334" i="128"/>
  <c r="S334" i="128"/>
  <c r="U334" i="128" s="1"/>
  <c r="E334" i="128" s="1"/>
  <c r="T333" i="128"/>
  <c r="U333" i="128" s="1"/>
  <c r="E333" i="128" s="1"/>
  <c r="S333" i="128"/>
  <c r="T332" i="128"/>
  <c r="S332" i="128"/>
  <c r="U332" i="128" s="1"/>
  <c r="E332" i="128" s="1"/>
  <c r="T331" i="128"/>
  <c r="U331" i="128" s="1"/>
  <c r="E331" i="128" s="1"/>
  <c r="S331" i="128"/>
  <c r="T330" i="128"/>
  <c r="S330" i="128"/>
  <c r="U330" i="128" s="1"/>
  <c r="E330" i="128" s="1"/>
  <c r="T329" i="128"/>
  <c r="U329" i="128" s="1"/>
  <c r="E329" i="128" s="1"/>
  <c r="S329" i="128"/>
  <c r="T328" i="128"/>
  <c r="S328" i="128"/>
  <c r="U328" i="128" s="1"/>
  <c r="E328" i="128" s="1"/>
  <c r="T327" i="128"/>
  <c r="U327" i="128" s="1"/>
  <c r="E327" i="128" s="1"/>
  <c r="S327" i="128"/>
  <c r="T326" i="128"/>
  <c r="S326" i="128"/>
  <c r="U326" i="128" s="1"/>
  <c r="E326" i="128" s="1"/>
  <c r="T325" i="128"/>
  <c r="U325" i="128" s="1"/>
  <c r="E325" i="128" s="1"/>
  <c r="S325" i="128"/>
  <c r="T324" i="128"/>
  <c r="S324" i="128"/>
  <c r="U324" i="128" s="1"/>
  <c r="E324" i="128" s="1"/>
  <c r="T323" i="128"/>
  <c r="U323" i="128" s="1"/>
  <c r="E323" i="128" s="1"/>
  <c r="S323" i="128"/>
  <c r="T322" i="128"/>
  <c r="S322" i="128"/>
  <c r="U322" i="128" s="1"/>
  <c r="E322" i="128" s="1"/>
  <c r="T321" i="128"/>
  <c r="U321" i="128" s="1"/>
  <c r="E321" i="128" s="1"/>
  <c r="S321" i="128"/>
  <c r="T320" i="128"/>
  <c r="S320" i="128"/>
  <c r="U320" i="128" s="1"/>
  <c r="E320" i="128" s="1"/>
  <c r="T319" i="128"/>
  <c r="U319" i="128" s="1"/>
  <c r="E319" i="128" s="1"/>
  <c r="S319" i="128"/>
  <c r="T318" i="128"/>
  <c r="S318" i="128"/>
  <c r="U318" i="128" s="1"/>
  <c r="E318" i="128" s="1"/>
  <c r="T317" i="128"/>
  <c r="S317" i="128"/>
  <c r="U317" i="128" s="1"/>
  <c r="E317" i="128" s="1"/>
  <c r="T316" i="128"/>
  <c r="S316" i="128"/>
  <c r="U316" i="128" s="1"/>
  <c r="E316" i="128" s="1"/>
  <c r="T315" i="128"/>
  <c r="S315" i="128"/>
  <c r="U315" i="128" s="1"/>
  <c r="E315" i="128" s="1"/>
  <c r="E314" i="128"/>
  <c r="T314" i="128"/>
  <c r="S314" i="128"/>
  <c r="U314" i="128" s="1"/>
  <c r="T313" i="128"/>
  <c r="S313" i="128"/>
  <c r="U313" i="128" s="1"/>
  <c r="E313" i="128" s="1"/>
  <c r="E312" i="128"/>
  <c r="T312" i="128"/>
  <c r="S312" i="128"/>
  <c r="U312" i="128" s="1"/>
  <c r="T311" i="128"/>
  <c r="S311" i="128"/>
  <c r="U311" i="128" s="1"/>
  <c r="E311" i="128" s="1"/>
  <c r="T310" i="128"/>
  <c r="S310" i="128"/>
  <c r="U310" i="128" s="1"/>
  <c r="E310" i="128" s="1"/>
  <c r="T309" i="128"/>
  <c r="S309" i="128"/>
  <c r="U309" i="128" s="1"/>
  <c r="E309" i="128" s="1"/>
  <c r="E308" i="128"/>
  <c r="T308" i="128"/>
  <c r="S308" i="128"/>
  <c r="U308" i="128" s="1"/>
  <c r="T307" i="128"/>
  <c r="S307" i="128"/>
  <c r="U307" i="128" s="1"/>
  <c r="E307" i="128" s="1"/>
  <c r="T306" i="128"/>
  <c r="S306" i="128"/>
  <c r="U306" i="128" s="1"/>
  <c r="E306" i="128" s="1"/>
  <c r="T305" i="128"/>
  <c r="S305" i="128"/>
  <c r="U305" i="128" s="1"/>
  <c r="E305" i="128" s="1"/>
  <c r="T304" i="128"/>
  <c r="S304" i="128"/>
  <c r="U304" i="128" s="1"/>
  <c r="E304" i="128" s="1"/>
  <c r="T303" i="128"/>
  <c r="S303" i="128"/>
  <c r="U303" i="128" s="1"/>
  <c r="E303" i="128" s="1"/>
  <c r="E302" i="128"/>
  <c r="T302" i="128"/>
  <c r="S302" i="128"/>
  <c r="U302" i="128" s="1"/>
  <c r="T301" i="128"/>
  <c r="S301" i="128"/>
  <c r="U301" i="128" s="1"/>
  <c r="E301" i="128" s="1"/>
  <c r="T300" i="128"/>
  <c r="S300" i="128"/>
  <c r="U300" i="128" s="1"/>
  <c r="E300" i="128" s="1"/>
  <c r="T299" i="128"/>
  <c r="S299" i="128"/>
  <c r="U299" i="128" s="1"/>
  <c r="E299" i="128" s="1"/>
  <c r="E298" i="128"/>
  <c r="T298" i="128"/>
  <c r="S298" i="128"/>
  <c r="U298" i="128" s="1"/>
  <c r="T297" i="128"/>
  <c r="S297" i="128"/>
  <c r="U297" i="128" s="1"/>
  <c r="E297" i="128" s="1"/>
  <c r="E296" i="128"/>
  <c r="T296" i="128"/>
  <c r="S296" i="128"/>
  <c r="U296" i="128" s="1"/>
  <c r="T295" i="128"/>
  <c r="S295" i="128"/>
  <c r="U295" i="128" s="1"/>
  <c r="E295" i="128" s="1"/>
  <c r="T294" i="128"/>
  <c r="S294" i="128"/>
  <c r="U294" i="128" s="1"/>
  <c r="E294" i="128" s="1"/>
  <c r="T293" i="128"/>
  <c r="S293" i="128"/>
  <c r="U293" i="128" s="1"/>
  <c r="E293" i="128" s="1"/>
  <c r="E292" i="128"/>
  <c r="T292" i="128"/>
  <c r="S292" i="128"/>
  <c r="U292" i="128" s="1"/>
  <c r="T291" i="128"/>
  <c r="S291" i="128"/>
  <c r="U291" i="128" s="1"/>
  <c r="E291" i="128" s="1"/>
  <c r="T290" i="128"/>
  <c r="S290" i="128"/>
  <c r="U290" i="128" s="1"/>
  <c r="E290" i="128" s="1"/>
  <c r="T289" i="128"/>
  <c r="S289" i="128"/>
  <c r="U289" i="128" s="1"/>
  <c r="E289" i="128" s="1"/>
  <c r="T288" i="128"/>
  <c r="S288" i="128"/>
  <c r="U288" i="128" s="1"/>
  <c r="E288" i="128" s="1"/>
  <c r="T287" i="128"/>
  <c r="S287" i="128"/>
  <c r="U287" i="128" s="1"/>
  <c r="E287" i="128" s="1"/>
  <c r="E286" i="128"/>
  <c r="T286" i="128"/>
  <c r="S286" i="128"/>
  <c r="U286" i="128" s="1"/>
  <c r="T285" i="128"/>
  <c r="S285" i="128"/>
  <c r="U285" i="128" s="1"/>
  <c r="E285" i="128" s="1"/>
  <c r="T284" i="128"/>
  <c r="S284" i="128"/>
  <c r="U284" i="128" s="1"/>
  <c r="E284" i="128" s="1"/>
  <c r="T283" i="128"/>
  <c r="S283" i="128"/>
  <c r="U283" i="128" s="1"/>
  <c r="E283" i="128" s="1"/>
  <c r="E282" i="128"/>
  <c r="T282" i="128"/>
  <c r="S282" i="128"/>
  <c r="U282" i="128" s="1"/>
  <c r="T281" i="128"/>
  <c r="S281" i="128"/>
  <c r="U281" i="128" s="1"/>
  <c r="E281" i="128" s="1"/>
  <c r="E280" i="128"/>
  <c r="T280" i="128"/>
  <c r="S280" i="128"/>
  <c r="U280" i="128" s="1"/>
  <c r="T279" i="128"/>
  <c r="S279" i="128"/>
  <c r="U279" i="128" s="1"/>
  <c r="E279" i="128" s="1"/>
  <c r="T278" i="128"/>
  <c r="S278" i="128"/>
  <c r="U278" i="128" s="1"/>
  <c r="E278" i="128" s="1"/>
  <c r="T277" i="128"/>
  <c r="S277" i="128"/>
  <c r="U277" i="128" s="1"/>
  <c r="E277" i="128" s="1"/>
  <c r="T276" i="128"/>
  <c r="S276" i="128"/>
  <c r="U276" i="128" s="1"/>
  <c r="E276" i="128" s="1"/>
  <c r="T275" i="128"/>
  <c r="S275" i="128"/>
  <c r="U275" i="128" s="1"/>
  <c r="E275" i="128" s="1"/>
  <c r="T274" i="128"/>
  <c r="S274" i="128"/>
  <c r="U274" i="128" s="1"/>
  <c r="E274" i="128" s="1"/>
  <c r="T273" i="128"/>
  <c r="S273" i="128"/>
  <c r="U273" i="128" s="1"/>
  <c r="E273" i="128" s="1"/>
  <c r="T272" i="128"/>
  <c r="S272" i="128"/>
  <c r="U272" i="128" s="1"/>
  <c r="E272" i="128" s="1"/>
  <c r="T271" i="128"/>
  <c r="S271" i="128"/>
  <c r="U271" i="128" s="1"/>
  <c r="E271" i="128" s="1"/>
  <c r="E270" i="128"/>
  <c r="T270" i="128"/>
  <c r="S270" i="128"/>
  <c r="U270" i="128" s="1"/>
  <c r="T269" i="128"/>
  <c r="S269" i="128"/>
  <c r="U269" i="128" s="1"/>
  <c r="E269" i="128" s="1"/>
  <c r="E268" i="128"/>
  <c r="T268" i="128"/>
  <c r="S268" i="128"/>
  <c r="U268" i="128" s="1"/>
  <c r="T267" i="128"/>
  <c r="S267" i="128"/>
  <c r="U267" i="128" s="1"/>
  <c r="E267" i="128" s="1"/>
  <c r="T266" i="128"/>
  <c r="S266" i="128"/>
  <c r="U266" i="128" s="1"/>
  <c r="E266" i="128" s="1"/>
  <c r="T265" i="128"/>
  <c r="S265" i="128"/>
  <c r="U265" i="128" s="1"/>
  <c r="E265" i="128" s="1"/>
  <c r="T264" i="128"/>
  <c r="S264" i="128"/>
  <c r="U264" i="128" s="1"/>
  <c r="E264" i="128" s="1"/>
  <c r="T263" i="128"/>
  <c r="S263" i="128"/>
  <c r="U263" i="128" s="1"/>
  <c r="E263" i="128" s="1"/>
  <c r="E262" i="128"/>
  <c r="T262" i="128"/>
  <c r="S262" i="128"/>
  <c r="U262" i="128" s="1"/>
  <c r="T261" i="128"/>
  <c r="S261" i="128"/>
  <c r="U261" i="128" s="1"/>
  <c r="E261" i="128" s="1"/>
  <c r="E260" i="128"/>
  <c r="T260" i="128"/>
  <c r="S260" i="128"/>
  <c r="U260" i="128" s="1"/>
  <c r="T259" i="128"/>
  <c r="S259" i="128"/>
  <c r="U259" i="128" s="1"/>
  <c r="E259" i="128" s="1"/>
  <c r="T258" i="128"/>
  <c r="S258" i="128"/>
  <c r="U258" i="128" s="1"/>
  <c r="E258" i="128" s="1"/>
  <c r="T257" i="128"/>
  <c r="S257" i="128"/>
  <c r="U257" i="128" s="1"/>
  <c r="E257" i="128" s="1"/>
  <c r="T256" i="128"/>
  <c r="S256" i="128"/>
  <c r="U256" i="128" s="1"/>
  <c r="E256" i="128" s="1"/>
  <c r="T255" i="128"/>
  <c r="S255" i="128"/>
  <c r="U255" i="128" s="1"/>
  <c r="E255" i="128" s="1"/>
  <c r="T254" i="128"/>
  <c r="S254" i="128"/>
  <c r="T253" i="128"/>
  <c r="S253" i="128"/>
  <c r="U253" i="128" s="1"/>
  <c r="E253" i="128" s="1"/>
  <c r="E252" i="128"/>
  <c r="T252" i="128"/>
  <c r="S252" i="128"/>
  <c r="U252" i="128" s="1"/>
  <c r="T251" i="128"/>
  <c r="S251" i="128"/>
  <c r="U251" i="128" s="1"/>
  <c r="E251" i="128" s="1"/>
  <c r="T250" i="128"/>
  <c r="S250" i="128"/>
  <c r="U250" i="128" s="1"/>
  <c r="E250" i="128" s="1"/>
  <c r="T249" i="128"/>
  <c r="S249" i="128"/>
  <c r="U249" i="128" s="1"/>
  <c r="E249" i="128" s="1"/>
  <c r="T248" i="128"/>
  <c r="S248" i="128"/>
  <c r="U248" i="128" s="1"/>
  <c r="E248" i="128" s="1"/>
  <c r="T247" i="128"/>
  <c r="S247" i="128"/>
  <c r="U247" i="128" s="1"/>
  <c r="E247" i="128" s="1"/>
  <c r="T246" i="128"/>
  <c r="S246" i="128"/>
  <c r="E245" i="128"/>
  <c r="T245" i="128"/>
  <c r="S245" i="128"/>
  <c r="U245" i="128" s="1"/>
  <c r="E244" i="128"/>
  <c r="T244" i="128"/>
  <c r="S244" i="128"/>
  <c r="U244" i="128" s="1"/>
  <c r="T243" i="128"/>
  <c r="S243" i="128"/>
  <c r="U243" i="128" s="1"/>
  <c r="E243" i="128" s="1"/>
  <c r="T242" i="128"/>
  <c r="S242" i="128"/>
  <c r="U242" i="128" s="1"/>
  <c r="E242" i="128" s="1"/>
  <c r="T241" i="128"/>
  <c r="S241" i="128"/>
  <c r="U241" i="128" s="1"/>
  <c r="E241" i="128" s="1"/>
  <c r="T240" i="128"/>
  <c r="S240" i="128"/>
  <c r="U240" i="128" s="1"/>
  <c r="E240" i="128" s="1"/>
  <c r="T239" i="128"/>
  <c r="S239" i="128"/>
  <c r="U239" i="128" s="1"/>
  <c r="E239" i="128" s="1"/>
  <c r="T238" i="128"/>
  <c r="S238" i="128"/>
  <c r="E237" i="128"/>
  <c r="T237" i="128"/>
  <c r="S237" i="128"/>
  <c r="U237" i="128" s="1"/>
  <c r="T236" i="128"/>
  <c r="S236" i="128"/>
  <c r="U236" i="128" s="1"/>
  <c r="E236" i="128" s="1"/>
  <c r="T235" i="128"/>
  <c r="S235" i="128"/>
  <c r="U235" i="128" s="1"/>
  <c r="E235" i="128" s="1"/>
  <c r="T234" i="128"/>
  <c r="S234" i="128"/>
  <c r="U234" i="128" s="1"/>
  <c r="E234" i="128" s="1"/>
  <c r="T233" i="128"/>
  <c r="S233" i="128"/>
  <c r="U233" i="128" s="1"/>
  <c r="E233" i="128" s="1"/>
  <c r="T232" i="128"/>
  <c r="S232" i="128"/>
  <c r="U232" i="128" s="1"/>
  <c r="E232" i="128" s="1"/>
  <c r="T231" i="128"/>
  <c r="S231" i="128"/>
  <c r="U231" i="128" s="1"/>
  <c r="E231" i="128" s="1"/>
  <c r="T230" i="128"/>
  <c r="S230" i="128"/>
  <c r="E229" i="128"/>
  <c r="T229" i="128"/>
  <c r="S229" i="128"/>
  <c r="U229" i="128" s="1"/>
  <c r="E228" i="128"/>
  <c r="T228" i="128"/>
  <c r="S228" i="128"/>
  <c r="U228" i="128" s="1"/>
  <c r="T227" i="128"/>
  <c r="S227" i="128"/>
  <c r="U227" i="128" s="1"/>
  <c r="E227" i="128" s="1"/>
  <c r="T226" i="128"/>
  <c r="S226" i="128"/>
  <c r="U226" i="128" s="1"/>
  <c r="E226" i="128" s="1"/>
  <c r="T225" i="128"/>
  <c r="S225" i="128"/>
  <c r="T224" i="128"/>
  <c r="S224" i="128"/>
  <c r="U224" i="128" s="1"/>
  <c r="E224" i="128" s="1"/>
  <c r="T223" i="128"/>
  <c r="S223" i="128"/>
  <c r="T222" i="128"/>
  <c r="S222" i="128"/>
  <c r="T221" i="128"/>
  <c r="S221" i="128"/>
  <c r="T220" i="128"/>
  <c r="S220" i="128"/>
  <c r="U220" i="128" s="1"/>
  <c r="E220" i="128" s="1"/>
  <c r="T219" i="128"/>
  <c r="S219" i="128"/>
  <c r="U219" i="128" s="1"/>
  <c r="E219" i="128" s="1"/>
  <c r="T218" i="128"/>
  <c r="S218" i="128"/>
  <c r="U218" i="128" s="1"/>
  <c r="E218" i="128" s="1"/>
  <c r="T217" i="128"/>
  <c r="S217" i="128"/>
  <c r="T216" i="128"/>
  <c r="S216" i="128"/>
  <c r="U216" i="128" s="1"/>
  <c r="E216" i="128" s="1"/>
  <c r="T215" i="128"/>
  <c r="S215" i="128"/>
  <c r="T214" i="128"/>
  <c r="S214" i="128"/>
  <c r="T213" i="128"/>
  <c r="S213" i="128"/>
  <c r="T212" i="128"/>
  <c r="S212" i="128"/>
  <c r="U212" i="128" s="1"/>
  <c r="E212" i="128" s="1"/>
  <c r="T211" i="128"/>
  <c r="S211" i="128"/>
  <c r="U211" i="128" s="1"/>
  <c r="E211" i="128" s="1"/>
  <c r="T210" i="128"/>
  <c r="S210" i="128"/>
  <c r="U210" i="128" s="1"/>
  <c r="E210" i="128" s="1"/>
  <c r="T209" i="128"/>
  <c r="S209" i="128"/>
  <c r="T208" i="128"/>
  <c r="S208" i="128"/>
  <c r="U208" i="128" s="1"/>
  <c r="E208" i="128" s="1"/>
  <c r="T207" i="128"/>
  <c r="S207" i="128"/>
  <c r="T206" i="128"/>
  <c r="S206" i="128"/>
  <c r="T205" i="128"/>
  <c r="S205" i="128"/>
  <c r="E204" i="128"/>
  <c r="T204" i="128"/>
  <c r="S204" i="128"/>
  <c r="U204" i="128" s="1"/>
  <c r="T203" i="128"/>
  <c r="S203" i="128"/>
  <c r="U203" i="128" s="1"/>
  <c r="E203" i="128" s="1"/>
  <c r="T202" i="128"/>
  <c r="S202" i="128"/>
  <c r="U202" i="128" s="1"/>
  <c r="E202" i="128" s="1"/>
  <c r="T201" i="128"/>
  <c r="S201" i="128"/>
  <c r="T200" i="128"/>
  <c r="S200" i="128"/>
  <c r="U200" i="128" s="1"/>
  <c r="E200" i="128" s="1"/>
  <c r="T199" i="128"/>
  <c r="S199" i="128"/>
  <c r="T198" i="128"/>
  <c r="S198" i="128"/>
  <c r="T197" i="128"/>
  <c r="S197" i="128"/>
  <c r="E196" i="128"/>
  <c r="T196" i="128"/>
  <c r="S196" i="128"/>
  <c r="U196" i="128" s="1"/>
  <c r="T195" i="128"/>
  <c r="S195" i="128"/>
  <c r="U195" i="128" s="1"/>
  <c r="E195" i="128" s="1"/>
  <c r="T194" i="128"/>
  <c r="S194" i="128"/>
  <c r="U194" i="128" s="1"/>
  <c r="E194" i="128" s="1"/>
  <c r="T193" i="128"/>
  <c r="S193" i="128"/>
  <c r="T192" i="128"/>
  <c r="S192" i="128"/>
  <c r="U192" i="128" s="1"/>
  <c r="E192" i="128" s="1"/>
  <c r="T191" i="128"/>
  <c r="S191" i="128"/>
  <c r="T190" i="128"/>
  <c r="S190" i="128"/>
  <c r="T189" i="128"/>
  <c r="S189" i="128"/>
  <c r="T188" i="128"/>
  <c r="S188" i="128"/>
  <c r="U188" i="128" s="1"/>
  <c r="E188" i="128" s="1"/>
  <c r="T187" i="128"/>
  <c r="S187" i="128"/>
  <c r="U187" i="128" s="1"/>
  <c r="E187" i="128" s="1"/>
  <c r="T186" i="128"/>
  <c r="S186" i="128"/>
  <c r="U186" i="128" s="1"/>
  <c r="E186" i="128" s="1"/>
  <c r="T185" i="128"/>
  <c r="S185" i="128"/>
  <c r="T184" i="128"/>
  <c r="S184" i="128"/>
  <c r="U184" i="128" s="1"/>
  <c r="E184" i="128" s="1"/>
  <c r="T183" i="128"/>
  <c r="S183" i="128"/>
  <c r="T182" i="128"/>
  <c r="S182" i="128"/>
  <c r="T181" i="128"/>
  <c r="S181" i="128"/>
  <c r="T180" i="128"/>
  <c r="S180" i="128"/>
  <c r="U180" i="128" s="1"/>
  <c r="E180" i="128" s="1"/>
  <c r="T179" i="128"/>
  <c r="S179" i="128"/>
  <c r="U179" i="128" s="1"/>
  <c r="E179" i="128" s="1"/>
  <c r="T178" i="128"/>
  <c r="S178" i="128"/>
  <c r="U178" i="128" s="1"/>
  <c r="E178" i="128" s="1"/>
  <c r="U177" i="128"/>
  <c r="E177" i="128" s="1"/>
  <c r="T177" i="128"/>
  <c r="S177" i="128"/>
  <c r="T176" i="128"/>
  <c r="S176" i="128"/>
  <c r="E175" i="128"/>
  <c r="T175" i="128"/>
  <c r="S175" i="128"/>
  <c r="U175" i="128" s="1"/>
  <c r="T174" i="128"/>
  <c r="S174" i="128"/>
  <c r="U174" i="128" s="1"/>
  <c r="E174" i="128" s="1"/>
  <c r="T173" i="128"/>
  <c r="S173" i="128"/>
  <c r="U173" i="128" s="1"/>
  <c r="E173" i="128" s="1"/>
  <c r="T172" i="128"/>
  <c r="S172" i="128"/>
  <c r="U172" i="128" s="1"/>
  <c r="E172" i="128" s="1"/>
  <c r="T171" i="128"/>
  <c r="S171" i="128"/>
  <c r="U171" i="128" s="1"/>
  <c r="E171" i="128" s="1"/>
  <c r="T170" i="128"/>
  <c r="S170" i="128"/>
  <c r="T169" i="128"/>
  <c r="S169" i="128"/>
  <c r="U169" i="128" s="1"/>
  <c r="E169" i="128" s="1"/>
  <c r="U168" i="128"/>
  <c r="E168" i="128" s="1"/>
  <c r="T168" i="128"/>
  <c r="S168" i="128"/>
  <c r="T167" i="128"/>
  <c r="S167" i="128"/>
  <c r="U167" i="128" s="1"/>
  <c r="E167" i="128" s="1"/>
  <c r="U166" i="128"/>
  <c r="E166" i="128" s="1"/>
  <c r="T166" i="128"/>
  <c r="S166" i="128"/>
  <c r="T165" i="128"/>
  <c r="S165" i="128"/>
  <c r="U165" i="128" s="1"/>
  <c r="E165" i="128" s="1"/>
  <c r="U164" i="128"/>
  <c r="E164" i="128" s="1"/>
  <c r="T164" i="128"/>
  <c r="S164" i="128"/>
  <c r="T163" i="128"/>
  <c r="S163" i="128"/>
  <c r="U163" i="128" s="1"/>
  <c r="E163" i="128" s="1"/>
  <c r="U162" i="128"/>
  <c r="E162" i="128" s="1"/>
  <c r="T162" i="128"/>
  <c r="S162" i="128"/>
  <c r="T161" i="128"/>
  <c r="S161" i="128"/>
  <c r="U161" i="128" s="1"/>
  <c r="E161" i="128" s="1"/>
  <c r="U160" i="128"/>
  <c r="E160" i="128" s="1"/>
  <c r="T160" i="128"/>
  <c r="S160" i="128"/>
  <c r="T159" i="128"/>
  <c r="S159" i="128"/>
  <c r="U159" i="128" s="1"/>
  <c r="E159" i="128" s="1"/>
  <c r="U158" i="128"/>
  <c r="E158" i="128" s="1"/>
  <c r="T158" i="128"/>
  <c r="S158" i="128"/>
  <c r="T157" i="128"/>
  <c r="S157" i="128"/>
  <c r="U157" i="128" s="1"/>
  <c r="E157" i="128" s="1"/>
  <c r="U156" i="128"/>
  <c r="E156" i="128" s="1"/>
  <c r="T156" i="128"/>
  <c r="S156" i="128"/>
  <c r="T155" i="128"/>
  <c r="S155" i="128"/>
  <c r="U155" i="128" s="1"/>
  <c r="E155" i="128" s="1"/>
  <c r="U154" i="128"/>
  <c r="E154" i="128" s="1"/>
  <c r="T154" i="128"/>
  <c r="S154" i="128"/>
  <c r="T153" i="128"/>
  <c r="S153" i="128"/>
  <c r="U153" i="128" s="1"/>
  <c r="E153" i="128" s="1"/>
  <c r="U152" i="128"/>
  <c r="E152" i="128" s="1"/>
  <c r="T152" i="128"/>
  <c r="S152" i="128"/>
  <c r="T151" i="128"/>
  <c r="S151" i="128"/>
  <c r="U151" i="128" s="1"/>
  <c r="E151" i="128" s="1"/>
  <c r="U150" i="128"/>
  <c r="E150" i="128" s="1"/>
  <c r="T150" i="128"/>
  <c r="S150" i="128"/>
  <c r="T149" i="128"/>
  <c r="S149" i="128"/>
  <c r="U149" i="128" s="1"/>
  <c r="E149" i="128" s="1"/>
  <c r="U148" i="128"/>
  <c r="E148" i="128" s="1"/>
  <c r="T148" i="128"/>
  <c r="S148" i="128"/>
  <c r="T147" i="128"/>
  <c r="S147" i="128"/>
  <c r="U147" i="128" s="1"/>
  <c r="E147" i="128" s="1"/>
  <c r="U146" i="128"/>
  <c r="E146" i="128" s="1"/>
  <c r="T146" i="128"/>
  <c r="S146" i="128"/>
  <c r="T145" i="128"/>
  <c r="S145" i="128"/>
  <c r="U145" i="128" s="1"/>
  <c r="E145" i="128" s="1"/>
  <c r="U144" i="128"/>
  <c r="E144" i="128" s="1"/>
  <c r="T144" i="128"/>
  <c r="S144" i="128"/>
  <c r="T143" i="128"/>
  <c r="S143" i="128"/>
  <c r="U143" i="128" s="1"/>
  <c r="E143" i="128" s="1"/>
  <c r="U142" i="128"/>
  <c r="E142" i="128" s="1"/>
  <c r="T142" i="128"/>
  <c r="S142" i="128"/>
  <c r="T141" i="128"/>
  <c r="S141" i="128"/>
  <c r="U141" i="128" s="1"/>
  <c r="E141" i="128" s="1"/>
  <c r="U140" i="128"/>
  <c r="E140" i="128" s="1"/>
  <c r="T140" i="128"/>
  <c r="S140" i="128"/>
  <c r="T139" i="128"/>
  <c r="S139" i="128"/>
  <c r="U139" i="128" s="1"/>
  <c r="E139" i="128" s="1"/>
  <c r="U138" i="128"/>
  <c r="E138" i="128" s="1"/>
  <c r="T138" i="128"/>
  <c r="S138" i="128"/>
  <c r="T137" i="128"/>
  <c r="S137" i="128"/>
  <c r="U137" i="128" s="1"/>
  <c r="E137" i="128" s="1"/>
  <c r="U136" i="128"/>
  <c r="E136" i="128" s="1"/>
  <c r="T136" i="128"/>
  <c r="S136" i="128"/>
  <c r="T135" i="128"/>
  <c r="S135" i="128"/>
  <c r="U135" i="128" s="1"/>
  <c r="E135" i="128" s="1"/>
  <c r="U134" i="128"/>
  <c r="E134" i="128" s="1"/>
  <c r="T134" i="128"/>
  <c r="S134" i="128"/>
  <c r="T133" i="128"/>
  <c r="S133" i="128"/>
  <c r="U133" i="128" s="1"/>
  <c r="E133" i="128" s="1"/>
  <c r="U132" i="128"/>
  <c r="E132" i="128" s="1"/>
  <c r="T132" i="128"/>
  <c r="S132" i="128"/>
  <c r="T131" i="128"/>
  <c r="S131" i="128"/>
  <c r="U131" i="128" s="1"/>
  <c r="E131" i="128" s="1"/>
  <c r="U130" i="128"/>
  <c r="E130" i="128" s="1"/>
  <c r="T130" i="128"/>
  <c r="S130" i="128"/>
  <c r="T129" i="128"/>
  <c r="S129" i="128"/>
  <c r="U129" i="128" s="1"/>
  <c r="E129" i="128" s="1"/>
  <c r="U128" i="128"/>
  <c r="E128" i="128" s="1"/>
  <c r="T128" i="128"/>
  <c r="S128" i="128"/>
  <c r="T127" i="128"/>
  <c r="S127" i="128"/>
  <c r="U127" i="128" s="1"/>
  <c r="E127" i="128" s="1"/>
  <c r="Q126" i="128"/>
  <c r="T126" i="128" s="1"/>
  <c r="U126" i="128" s="1"/>
  <c r="E126" i="128" s="1"/>
  <c r="S126" i="128"/>
  <c r="T125" i="128"/>
  <c r="U125" i="128" s="1"/>
  <c r="E125" i="128" s="1"/>
  <c r="S125" i="128"/>
  <c r="E124" i="128"/>
  <c r="T124" i="128"/>
  <c r="S124" i="128"/>
  <c r="U124" i="128" s="1"/>
  <c r="T123" i="128"/>
  <c r="S123" i="128"/>
  <c r="U123" i="128" s="1"/>
  <c r="E123" i="128" s="1"/>
  <c r="T122" i="128"/>
  <c r="S122" i="128"/>
  <c r="U122" i="128" s="1"/>
  <c r="E122" i="128" s="1"/>
  <c r="T121" i="128"/>
  <c r="S121" i="128"/>
  <c r="T120" i="128"/>
  <c r="S120" i="128"/>
  <c r="U120" i="128" s="1"/>
  <c r="E120" i="128" s="1"/>
  <c r="T119" i="128"/>
  <c r="S119" i="128"/>
  <c r="U119" i="128" s="1"/>
  <c r="E119" i="128" s="1"/>
  <c r="E118" i="128"/>
  <c r="T118" i="128"/>
  <c r="S118" i="128"/>
  <c r="U118" i="128" s="1"/>
  <c r="T117" i="128"/>
  <c r="S117" i="128"/>
  <c r="U117" i="128" s="1"/>
  <c r="E117" i="128" s="1"/>
  <c r="T116" i="128"/>
  <c r="S116" i="128"/>
  <c r="U116" i="128" s="1"/>
  <c r="E116" i="128" s="1"/>
  <c r="T115" i="128"/>
  <c r="S115" i="128"/>
  <c r="U115" i="128" s="1"/>
  <c r="E115" i="128" s="1"/>
  <c r="T114" i="128"/>
  <c r="S114" i="128"/>
  <c r="U114" i="128" s="1"/>
  <c r="E114" i="128" s="1"/>
  <c r="T113" i="128"/>
  <c r="S113" i="128"/>
  <c r="E112" i="128"/>
  <c r="T112" i="128"/>
  <c r="S112" i="128"/>
  <c r="U112" i="128" s="1"/>
  <c r="T111" i="128"/>
  <c r="S111" i="128"/>
  <c r="U111" i="128" s="1"/>
  <c r="E111" i="128" s="1"/>
  <c r="E110" i="128"/>
  <c r="T110" i="128"/>
  <c r="S110" i="128"/>
  <c r="U110" i="128" s="1"/>
  <c r="T109" i="128"/>
  <c r="S109" i="128"/>
  <c r="E108" i="128"/>
  <c r="T108" i="128"/>
  <c r="S108" i="128"/>
  <c r="U108" i="128" s="1"/>
  <c r="T107" i="128"/>
  <c r="S107" i="128"/>
  <c r="U107" i="128" s="1"/>
  <c r="E107" i="128" s="1"/>
  <c r="T106" i="128"/>
  <c r="S106" i="128"/>
  <c r="U106" i="128" s="1"/>
  <c r="E106" i="128" s="1"/>
  <c r="T105" i="128"/>
  <c r="S105" i="128"/>
  <c r="T104" i="128"/>
  <c r="S104" i="128"/>
  <c r="U104" i="128" s="1"/>
  <c r="E104" i="128" s="1"/>
  <c r="T103" i="128"/>
  <c r="S103" i="128"/>
  <c r="U103" i="128" s="1"/>
  <c r="E103" i="128" s="1"/>
  <c r="E102" i="128"/>
  <c r="T102" i="128"/>
  <c r="S102" i="128"/>
  <c r="U102" i="128" s="1"/>
  <c r="T101" i="128"/>
  <c r="S101" i="128"/>
  <c r="U101" i="128" s="1"/>
  <c r="E101" i="128" s="1"/>
  <c r="T100" i="128"/>
  <c r="S100" i="128"/>
  <c r="U100" i="128" s="1"/>
  <c r="E100" i="128" s="1"/>
  <c r="S99" i="128"/>
  <c r="T98" i="128"/>
  <c r="U98" i="128" s="1"/>
  <c r="E98" i="128" s="1"/>
  <c r="S98" i="128"/>
  <c r="T97" i="128"/>
  <c r="U97" i="128" s="1"/>
  <c r="E97" i="128" s="1"/>
  <c r="S97" i="128"/>
  <c r="T96" i="128"/>
  <c r="U96" i="128" s="1"/>
  <c r="E96" i="128" s="1"/>
  <c r="S96" i="128"/>
  <c r="T95" i="128"/>
  <c r="U95" i="128" s="1"/>
  <c r="E95" i="128" s="1"/>
  <c r="S95" i="128"/>
  <c r="T94" i="128"/>
  <c r="U94" i="128" s="1"/>
  <c r="E94" i="128" s="1"/>
  <c r="S94" i="128"/>
  <c r="T93" i="128"/>
  <c r="U93" i="128" s="1"/>
  <c r="E93" i="128" s="1"/>
  <c r="S93" i="128"/>
  <c r="T92" i="128"/>
  <c r="U92" i="128" s="1"/>
  <c r="E92" i="128" s="1"/>
  <c r="S92" i="128"/>
  <c r="E91" i="128"/>
  <c r="T91" i="128"/>
  <c r="U91" i="128" s="1"/>
  <c r="S91" i="128"/>
  <c r="T90" i="128"/>
  <c r="U90" i="128" s="1"/>
  <c r="E90" i="128" s="1"/>
  <c r="S90" i="128"/>
  <c r="T89" i="128"/>
  <c r="U89" i="128" s="1"/>
  <c r="E89" i="128" s="1"/>
  <c r="S89" i="128"/>
  <c r="T88" i="128"/>
  <c r="U88" i="128" s="1"/>
  <c r="E88" i="128" s="1"/>
  <c r="S88" i="128"/>
  <c r="E87" i="128"/>
  <c r="T87" i="128"/>
  <c r="U87" i="128" s="1"/>
  <c r="S87" i="128"/>
  <c r="T86" i="128"/>
  <c r="U86" i="128" s="1"/>
  <c r="E86" i="128" s="1"/>
  <c r="S86" i="128"/>
  <c r="T85" i="128"/>
  <c r="U85" i="128" s="1"/>
  <c r="E85" i="128" s="1"/>
  <c r="S85" i="128"/>
  <c r="T84" i="128"/>
  <c r="U84" i="128" s="1"/>
  <c r="E84" i="128" s="1"/>
  <c r="S84" i="128"/>
  <c r="E83" i="128"/>
  <c r="T83" i="128"/>
  <c r="U83" i="128" s="1"/>
  <c r="S83" i="128"/>
  <c r="T82" i="128"/>
  <c r="U82" i="128" s="1"/>
  <c r="E82" i="128" s="1"/>
  <c r="S82" i="128"/>
  <c r="T81" i="128"/>
  <c r="U81" i="128" s="1"/>
  <c r="E81" i="128" s="1"/>
  <c r="S81" i="128"/>
  <c r="T80" i="128"/>
  <c r="U80" i="128" s="1"/>
  <c r="E80" i="128" s="1"/>
  <c r="S80" i="128"/>
  <c r="T79" i="128"/>
  <c r="U79" i="128" s="1"/>
  <c r="E79" i="128" s="1"/>
  <c r="S79" i="128"/>
  <c r="T78" i="128"/>
  <c r="U78" i="128" s="1"/>
  <c r="E78" i="128" s="1"/>
  <c r="S78" i="128"/>
  <c r="T77" i="128"/>
  <c r="S77" i="128"/>
  <c r="T76" i="128"/>
  <c r="U76" i="128" s="1"/>
  <c r="E76" i="128" s="1"/>
  <c r="S76" i="128"/>
  <c r="T75" i="128"/>
  <c r="S75" i="128"/>
  <c r="U75" i="128" s="1"/>
  <c r="E75" i="128" s="1"/>
  <c r="T74" i="128"/>
  <c r="S74" i="128"/>
  <c r="U74" i="128" s="1"/>
  <c r="E74" i="128" s="1"/>
  <c r="T73" i="128"/>
  <c r="S73" i="128"/>
  <c r="U73" i="128" s="1"/>
  <c r="E73" i="128" s="1"/>
  <c r="T72" i="128"/>
  <c r="S72" i="128"/>
  <c r="E71" i="128"/>
  <c r="T71" i="128"/>
  <c r="S71" i="128"/>
  <c r="U71" i="128" s="1"/>
  <c r="T70" i="128"/>
  <c r="S70" i="128"/>
  <c r="U70" i="128" s="1"/>
  <c r="E70" i="128" s="1"/>
  <c r="T69" i="128"/>
  <c r="S69" i="128"/>
  <c r="T68" i="128"/>
  <c r="S68" i="128"/>
  <c r="E67" i="128"/>
  <c r="T67" i="128"/>
  <c r="S67" i="128"/>
  <c r="U67" i="128" s="1"/>
  <c r="T66" i="128"/>
  <c r="S66" i="128"/>
  <c r="U66" i="128" s="1"/>
  <c r="E66" i="128" s="1"/>
  <c r="T65" i="128"/>
  <c r="S65" i="128"/>
  <c r="T64" i="128"/>
  <c r="S64" i="128"/>
  <c r="T63" i="128"/>
  <c r="S63" i="128"/>
  <c r="U63" i="128" s="1"/>
  <c r="E63" i="128" s="1"/>
  <c r="T62" i="128"/>
  <c r="S62" i="128"/>
  <c r="U62" i="128" s="1"/>
  <c r="E62" i="128" s="1"/>
  <c r="T61" i="128"/>
  <c r="S61" i="128"/>
  <c r="T60" i="128"/>
  <c r="S60" i="128"/>
  <c r="U60" i="128" s="1"/>
  <c r="E60" i="128" s="1"/>
  <c r="T59" i="128"/>
  <c r="S59" i="128"/>
  <c r="U59" i="128" s="1"/>
  <c r="E59" i="128" s="1"/>
  <c r="T58" i="128"/>
  <c r="S58" i="128"/>
  <c r="U58" i="128" s="1"/>
  <c r="E58" i="128" s="1"/>
  <c r="T57" i="128"/>
  <c r="S57" i="128"/>
  <c r="U57" i="128" s="1"/>
  <c r="E57" i="128" s="1"/>
  <c r="T56" i="128"/>
  <c r="S56" i="128"/>
  <c r="E55" i="128"/>
  <c r="T55" i="128"/>
  <c r="S55" i="128"/>
  <c r="U55" i="128" s="1"/>
  <c r="T54" i="128"/>
  <c r="S54" i="128"/>
  <c r="U54" i="128" s="1"/>
  <c r="E54" i="128" s="1"/>
  <c r="T53" i="128"/>
  <c r="S53" i="128"/>
  <c r="T52" i="128"/>
  <c r="S52" i="128"/>
  <c r="E51" i="128"/>
  <c r="T51" i="128"/>
  <c r="S51" i="128"/>
  <c r="U51" i="128" s="1"/>
  <c r="T50" i="128"/>
  <c r="S50" i="128"/>
  <c r="U50" i="128" s="1"/>
  <c r="E50" i="128" s="1"/>
  <c r="S49" i="128"/>
  <c r="T48" i="128"/>
  <c r="S48" i="128"/>
  <c r="U48" i="128" s="1"/>
  <c r="E48" i="128" s="1"/>
  <c r="U47" i="128"/>
  <c r="E47" i="128" s="1"/>
  <c r="T47" i="128"/>
  <c r="S47" i="128"/>
  <c r="T46" i="128"/>
  <c r="U46" i="128" s="1"/>
  <c r="E46" i="128" s="1"/>
  <c r="S46" i="128"/>
  <c r="T45" i="128"/>
  <c r="U45" i="128" s="1"/>
  <c r="E45" i="128" s="1"/>
  <c r="S45" i="128"/>
  <c r="T44" i="128"/>
  <c r="S44" i="128"/>
  <c r="U44" i="128" s="1"/>
  <c r="E44" i="128" s="1"/>
  <c r="U43" i="128"/>
  <c r="E43" i="128" s="1"/>
  <c r="T43" i="128"/>
  <c r="S43" i="128"/>
  <c r="T42" i="128"/>
  <c r="U42" i="128" s="1"/>
  <c r="E42" i="128" s="1"/>
  <c r="S42" i="128"/>
  <c r="U41" i="128"/>
  <c r="E41" i="128" s="1"/>
  <c r="T41" i="128"/>
  <c r="S41" i="128"/>
  <c r="T40" i="128"/>
  <c r="S40" i="128"/>
  <c r="U40" i="128" s="1"/>
  <c r="E40" i="128" s="1"/>
  <c r="T39" i="128"/>
  <c r="S39" i="128"/>
  <c r="U39" i="128" s="1"/>
  <c r="E39" i="128" s="1"/>
  <c r="T38" i="128"/>
  <c r="U38" i="128" s="1"/>
  <c r="E38" i="128" s="1"/>
  <c r="S38" i="128"/>
  <c r="T37" i="128"/>
  <c r="S37" i="128"/>
  <c r="U37" i="128" s="1"/>
  <c r="E37" i="128" s="1"/>
  <c r="T36" i="128"/>
  <c r="S36" i="128"/>
  <c r="U36" i="128" s="1"/>
  <c r="E36" i="128" s="1"/>
  <c r="U35" i="128"/>
  <c r="E35" i="128" s="1"/>
  <c r="T35" i="128"/>
  <c r="S35" i="128"/>
  <c r="T34" i="128"/>
  <c r="U34" i="128" s="1"/>
  <c r="E34" i="128" s="1"/>
  <c r="S34" i="128"/>
  <c r="U33" i="128"/>
  <c r="E33" i="128" s="1"/>
  <c r="T33" i="128"/>
  <c r="S33" i="128"/>
  <c r="T32" i="128"/>
  <c r="S32" i="128"/>
  <c r="U32" i="128" s="1"/>
  <c r="E32" i="128" s="1"/>
  <c r="T31" i="128"/>
  <c r="S31" i="128"/>
  <c r="U31" i="128" s="1"/>
  <c r="E31" i="128" s="1"/>
  <c r="T30" i="128"/>
  <c r="U30" i="128" s="1"/>
  <c r="E30" i="128" s="1"/>
  <c r="S30" i="128"/>
  <c r="T29" i="128"/>
  <c r="S29" i="128"/>
  <c r="U29" i="128" s="1"/>
  <c r="E29" i="128" s="1"/>
  <c r="T28" i="128"/>
  <c r="S28" i="128"/>
  <c r="U28" i="128" s="1"/>
  <c r="E28" i="128" s="1"/>
  <c r="U27" i="128"/>
  <c r="E27" i="128" s="1"/>
  <c r="T27" i="128"/>
  <c r="S27" i="128"/>
  <c r="T26" i="128"/>
  <c r="U26" i="128" s="1"/>
  <c r="E26" i="128" s="1"/>
  <c r="S26" i="128"/>
  <c r="U25" i="128"/>
  <c r="E25" i="128" s="1"/>
  <c r="T25" i="128"/>
  <c r="S25" i="128"/>
  <c r="T24" i="128"/>
  <c r="S24" i="128"/>
  <c r="U24" i="128" s="1"/>
  <c r="E24" i="128" s="1"/>
  <c r="T23" i="128"/>
  <c r="S23" i="128"/>
  <c r="U23" i="128" s="1"/>
  <c r="E23" i="128" s="1"/>
  <c r="T22" i="128"/>
  <c r="U22" i="128" s="1"/>
  <c r="E22" i="128" s="1"/>
  <c r="S22" i="128"/>
  <c r="T21" i="128"/>
  <c r="S21" i="128"/>
  <c r="U21" i="128" s="1"/>
  <c r="E21" i="128" s="1"/>
  <c r="T20" i="128"/>
  <c r="S20" i="128"/>
  <c r="U20" i="128" s="1"/>
  <c r="E20" i="128" s="1"/>
  <c r="U19" i="128"/>
  <c r="E19" i="128" s="1"/>
  <c r="T19" i="128"/>
  <c r="S19" i="128"/>
  <c r="T18" i="128"/>
  <c r="U18" i="128" s="1"/>
  <c r="E18" i="128" s="1"/>
  <c r="S18" i="128"/>
  <c r="U17" i="128"/>
  <c r="E17" i="128" s="1"/>
  <c r="T17" i="128"/>
  <c r="S17" i="128"/>
  <c r="T16" i="128"/>
  <c r="S16" i="128"/>
  <c r="U16" i="128" s="1"/>
  <c r="E16" i="128" s="1"/>
  <c r="T15" i="128"/>
  <c r="S15" i="128"/>
  <c r="U15" i="128" s="1"/>
  <c r="E15" i="128" s="1"/>
  <c r="T14" i="128"/>
  <c r="U14" i="128" s="1"/>
  <c r="E14" i="128" s="1"/>
  <c r="S14" i="128"/>
  <c r="T13" i="128"/>
  <c r="U13" i="128" s="1"/>
  <c r="E13" i="128" s="1"/>
  <c r="S13" i="128"/>
  <c r="U12" i="128"/>
  <c r="E12" i="128" s="1"/>
  <c r="T12" i="128"/>
  <c r="S12" i="128"/>
  <c r="T11" i="128"/>
  <c r="S11" i="128"/>
  <c r="U11" i="128" s="1"/>
  <c r="E11" i="128" s="1"/>
  <c r="T10" i="128"/>
  <c r="S10" i="128"/>
  <c r="U10" i="128" s="1"/>
  <c r="T339" i="128"/>
  <c r="R49" i="128" s="1"/>
  <c r="T49" i="128" s="1"/>
  <c r="U339" i="128"/>
  <c r="E339" i="128" s="1"/>
  <c r="S339" i="128"/>
  <c r="E338" i="128"/>
  <c r="T338" i="128"/>
  <c r="Q99" i="128" s="1"/>
  <c r="U338" i="128"/>
  <c r="S338" i="128"/>
  <c r="P2" i="127"/>
  <c r="P3" i="127" s="1"/>
  <c r="O2" i="127"/>
  <c r="O3" i="127" s="1"/>
  <c r="N2" i="127"/>
  <c r="N3" i="127" s="1"/>
  <c r="M2" i="127"/>
  <c r="M3" i="127" s="1"/>
  <c r="L2" i="127"/>
  <c r="L3" i="127" s="1"/>
  <c r="K2" i="127"/>
  <c r="K3" i="127" s="1"/>
  <c r="J2" i="127"/>
  <c r="J3" i="127" s="1"/>
  <c r="I2" i="127"/>
  <c r="I3" i="127" s="1"/>
  <c r="H2" i="127"/>
  <c r="H3" i="127" s="1"/>
  <c r="G2" i="127"/>
  <c r="G3" i="127" s="1"/>
  <c r="T335" i="127"/>
  <c r="S335" i="127"/>
  <c r="U335" i="127" s="1"/>
  <c r="E335" i="127" s="1"/>
  <c r="E334" i="127"/>
  <c r="T334" i="127"/>
  <c r="U334" i="127" s="1"/>
  <c r="S334" i="127"/>
  <c r="E333" i="127"/>
  <c r="T333" i="127"/>
  <c r="S333" i="127"/>
  <c r="U333" i="127" s="1"/>
  <c r="E332" i="127"/>
  <c r="T332" i="127"/>
  <c r="U332" i="127" s="1"/>
  <c r="S332" i="127"/>
  <c r="T331" i="127"/>
  <c r="S331" i="127"/>
  <c r="U331" i="127" s="1"/>
  <c r="E331" i="127" s="1"/>
  <c r="E330" i="127"/>
  <c r="T330" i="127"/>
  <c r="U330" i="127" s="1"/>
  <c r="S330" i="127"/>
  <c r="T329" i="127"/>
  <c r="S329" i="127"/>
  <c r="U329" i="127" s="1"/>
  <c r="E329" i="127" s="1"/>
  <c r="E328" i="127"/>
  <c r="T328" i="127"/>
  <c r="U328" i="127" s="1"/>
  <c r="S328" i="127"/>
  <c r="T327" i="127"/>
  <c r="S327" i="127"/>
  <c r="U327" i="127" s="1"/>
  <c r="E327" i="127" s="1"/>
  <c r="T326" i="127"/>
  <c r="S326" i="127"/>
  <c r="U326" i="127" s="1"/>
  <c r="E326" i="127" s="1"/>
  <c r="E325" i="127"/>
  <c r="T325" i="127"/>
  <c r="S325" i="127"/>
  <c r="U325" i="127" s="1"/>
  <c r="E324" i="127"/>
  <c r="T324" i="127"/>
  <c r="S324" i="127"/>
  <c r="U324" i="127" s="1"/>
  <c r="T323" i="127"/>
  <c r="S323" i="127"/>
  <c r="U323" i="127" s="1"/>
  <c r="E323" i="127" s="1"/>
  <c r="E322" i="127"/>
  <c r="T322" i="127"/>
  <c r="S322" i="127"/>
  <c r="U322" i="127" s="1"/>
  <c r="T321" i="127"/>
  <c r="S321" i="127"/>
  <c r="U321" i="127" s="1"/>
  <c r="E321" i="127" s="1"/>
  <c r="T320" i="127"/>
  <c r="S320" i="127"/>
  <c r="T319" i="127"/>
  <c r="S319" i="127"/>
  <c r="U319" i="127" s="1"/>
  <c r="E319" i="127" s="1"/>
  <c r="T318" i="127"/>
  <c r="S318" i="127"/>
  <c r="U318" i="127" s="1"/>
  <c r="E318" i="127" s="1"/>
  <c r="E317" i="127"/>
  <c r="T317" i="127"/>
  <c r="S317" i="127"/>
  <c r="U317" i="127" s="1"/>
  <c r="E316" i="127"/>
  <c r="T316" i="127"/>
  <c r="S316" i="127"/>
  <c r="U316" i="127" s="1"/>
  <c r="T315" i="127"/>
  <c r="S315" i="127"/>
  <c r="U315" i="127" s="1"/>
  <c r="E315" i="127" s="1"/>
  <c r="E314" i="127"/>
  <c r="T314" i="127"/>
  <c r="S314" i="127"/>
  <c r="U314" i="127" s="1"/>
  <c r="E313" i="127"/>
  <c r="T313" i="127"/>
  <c r="S313" i="127"/>
  <c r="U313" i="127" s="1"/>
  <c r="T312" i="127"/>
  <c r="S312" i="127"/>
  <c r="T311" i="127"/>
  <c r="S311" i="127"/>
  <c r="U311" i="127" s="1"/>
  <c r="E311" i="127" s="1"/>
  <c r="T310" i="127"/>
  <c r="S310" i="127"/>
  <c r="U310" i="127" s="1"/>
  <c r="E310" i="127" s="1"/>
  <c r="T309" i="127"/>
  <c r="S309" i="127"/>
  <c r="E308" i="127"/>
  <c r="T308" i="127"/>
  <c r="S308" i="127"/>
  <c r="U308" i="127" s="1"/>
  <c r="T307" i="127"/>
  <c r="S307" i="127"/>
  <c r="E306" i="127"/>
  <c r="T306" i="127"/>
  <c r="S306" i="127"/>
  <c r="U306" i="127" s="1"/>
  <c r="T305" i="127"/>
  <c r="S305" i="127"/>
  <c r="T304" i="127"/>
  <c r="S304" i="127"/>
  <c r="T303" i="127"/>
  <c r="S303" i="127"/>
  <c r="T302" i="127"/>
  <c r="S302" i="127"/>
  <c r="U302" i="127" s="1"/>
  <c r="E302" i="127" s="1"/>
  <c r="T301" i="127"/>
  <c r="S301" i="127"/>
  <c r="E300" i="127"/>
  <c r="T300" i="127"/>
  <c r="S300" i="127"/>
  <c r="U300" i="127" s="1"/>
  <c r="T299" i="127"/>
  <c r="S299" i="127"/>
  <c r="E298" i="127"/>
  <c r="T298" i="127"/>
  <c r="S298" i="127"/>
  <c r="U298" i="127" s="1"/>
  <c r="T297" i="127"/>
  <c r="S297" i="127"/>
  <c r="T296" i="127"/>
  <c r="S296" i="127"/>
  <c r="T295" i="127"/>
  <c r="S295" i="127"/>
  <c r="T294" i="127"/>
  <c r="S294" i="127"/>
  <c r="U294" i="127" s="1"/>
  <c r="E294" i="127" s="1"/>
  <c r="T293" i="127"/>
  <c r="S293" i="127"/>
  <c r="E292" i="127"/>
  <c r="T292" i="127"/>
  <c r="S292" i="127"/>
  <c r="U292" i="127" s="1"/>
  <c r="T291" i="127"/>
  <c r="S291" i="127"/>
  <c r="E290" i="127"/>
  <c r="T290" i="127"/>
  <c r="S290" i="127"/>
  <c r="U290" i="127" s="1"/>
  <c r="T289" i="127"/>
  <c r="S289" i="127"/>
  <c r="T288" i="127"/>
  <c r="S288" i="127"/>
  <c r="T287" i="127"/>
  <c r="S287" i="127"/>
  <c r="T286" i="127"/>
  <c r="S286" i="127"/>
  <c r="U286" i="127" s="1"/>
  <c r="E286" i="127" s="1"/>
  <c r="T285" i="127"/>
  <c r="S285" i="127"/>
  <c r="E284" i="127"/>
  <c r="T284" i="127"/>
  <c r="S284" i="127"/>
  <c r="U284" i="127" s="1"/>
  <c r="T283" i="127"/>
  <c r="S283" i="127"/>
  <c r="E282" i="127"/>
  <c r="T282" i="127"/>
  <c r="S282" i="127"/>
  <c r="U282" i="127" s="1"/>
  <c r="T281" i="127"/>
  <c r="S281" i="127"/>
  <c r="T280" i="127"/>
  <c r="S280" i="127"/>
  <c r="T279" i="127"/>
  <c r="S279" i="127"/>
  <c r="T278" i="127"/>
  <c r="S278" i="127"/>
  <c r="U278" i="127" s="1"/>
  <c r="E278" i="127" s="1"/>
  <c r="T277" i="127"/>
  <c r="S277" i="127"/>
  <c r="E276" i="127"/>
  <c r="T276" i="127"/>
  <c r="S276" i="127"/>
  <c r="U276" i="127" s="1"/>
  <c r="T275" i="127"/>
  <c r="S275" i="127"/>
  <c r="E274" i="127"/>
  <c r="T274" i="127"/>
  <c r="S274" i="127"/>
  <c r="U274" i="127" s="1"/>
  <c r="T273" i="127"/>
  <c r="S273" i="127"/>
  <c r="T272" i="127"/>
  <c r="S272" i="127"/>
  <c r="T271" i="127"/>
  <c r="S271" i="127"/>
  <c r="T270" i="127"/>
  <c r="S270" i="127"/>
  <c r="U270" i="127" s="1"/>
  <c r="E270" i="127" s="1"/>
  <c r="T269" i="127"/>
  <c r="S269" i="127"/>
  <c r="E268" i="127"/>
  <c r="T268" i="127"/>
  <c r="S268" i="127"/>
  <c r="U268" i="127" s="1"/>
  <c r="T267" i="127"/>
  <c r="S267" i="127"/>
  <c r="E266" i="127"/>
  <c r="T266" i="127"/>
  <c r="S266" i="127"/>
  <c r="U266" i="127" s="1"/>
  <c r="T265" i="127"/>
  <c r="S265" i="127"/>
  <c r="T264" i="127"/>
  <c r="S264" i="127"/>
  <c r="T263" i="127"/>
  <c r="S263" i="127"/>
  <c r="T262" i="127"/>
  <c r="S262" i="127"/>
  <c r="U262" i="127" s="1"/>
  <c r="E262" i="127" s="1"/>
  <c r="T261" i="127"/>
  <c r="S261" i="127"/>
  <c r="E260" i="127"/>
  <c r="T260" i="127"/>
  <c r="S260" i="127"/>
  <c r="U260" i="127" s="1"/>
  <c r="T259" i="127"/>
  <c r="S259" i="127"/>
  <c r="E258" i="127"/>
  <c r="T258" i="127"/>
  <c r="S258" i="127"/>
  <c r="U258" i="127" s="1"/>
  <c r="T257" i="127"/>
  <c r="S257" i="127"/>
  <c r="T256" i="127"/>
  <c r="S256" i="127"/>
  <c r="T255" i="127"/>
  <c r="S255" i="127"/>
  <c r="T254" i="127"/>
  <c r="S254" i="127"/>
  <c r="U254" i="127" s="1"/>
  <c r="E254" i="127" s="1"/>
  <c r="T253" i="127"/>
  <c r="S253" i="127"/>
  <c r="E252" i="127"/>
  <c r="T252" i="127"/>
  <c r="S252" i="127"/>
  <c r="U252" i="127" s="1"/>
  <c r="T251" i="127"/>
  <c r="S251" i="127"/>
  <c r="E250" i="127"/>
  <c r="T250" i="127"/>
  <c r="S250" i="127"/>
  <c r="U250" i="127" s="1"/>
  <c r="T249" i="127"/>
  <c r="S249" i="127"/>
  <c r="E248" i="127"/>
  <c r="U248" i="127"/>
  <c r="T248" i="127"/>
  <c r="S248" i="127"/>
  <c r="E247" i="127"/>
  <c r="T247" i="127"/>
  <c r="S247" i="127"/>
  <c r="U247" i="127" s="1"/>
  <c r="U246" i="127"/>
  <c r="E246" i="127" s="1"/>
  <c r="T246" i="127"/>
  <c r="S246" i="127"/>
  <c r="T245" i="127"/>
  <c r="S245" i="127"/>
  <c r="T244" i="127"/>
  <c r="S244" i="127"/>
  <c r="U244" i="127" s="1"/>
  <c r="E244" i="127" s="1"/>
  <c r="E243" i="127"/>
  <c r="T243" i="127"/>
  <c r="S243" i="127"/>
  <c r="U243" i="127" s="1"/>
  <c r="T242" i="127"/>
  <c r="S242" i="127"/>
  <c r="U242" i="127" s="1"/>
  <c r="E242" i="127" s="1"/>
  <c r="T241" i="127"/>
  <c r="S241" i="127"/>
  <c r="T240" i="127"/>
  <c r="U240" i="127" s="1"/>
  <c r="E240" i="127" s="1"/>
  <c r="S240" i="127"/>
  <c r="T239" i="127"/>
  <c r="S239" i="127"/>
  <c r="U238" i="127"/>
  <c r="E238" i="127" s="1"/>
  <c r="T238" i="127"/>
  <c r="S238" i="127"/>
  <c r="T237" i="127"/>
  <c r="S237" i="127"/>
  <c r="T236" i="127"/>
  <c r="S236" i="127"/>
  <c r="U236" i="127" s="1"/>
  <c r="E236" i="127" s="1"/>
  <c r="T235" i="127"/>
  <c r="S235" i="127"/>
  <c r="U235" i="127" s="1"/>
  <c r="E235" i="127" s="1"/>
  <c r="E234" i="127"/>
  <c r="U234" i="127"/>
  <c r="T234" i="127"/>
  <c r="S234" i="127"/>
  <c r="T233" i="127"/>
  <c r="S233" i="127"/>
  <c r="E232" i="127"/>
  <c r="U232" i="127"/>
  <c r="T232" i="127"/>
  <c r="S232" i="127"/>
  <c r="E231" i="127"/>
  <c r="T231" i="127"/>
  <c r="S231" i="127"/>
  <c r="U231" i="127" s="1"/>
  <c r="U230" i="127"/>
  <c r="E230" i="127" s="1"/>
  <c r="T230" i="127"/>
  <c r="S230" i="127"/>
  <c r="T229" i="127"/>
  <c r="S229" i="127"/>
  <c r="T228" i="127"/>
  <c r="S228" i="127"/>
  <c r="E227" i="127"/>
  <c r="T227" i="127"/>
  <c r="S227" i="127"/>
  <c r="U227" i="127" s="1"/>
  <c r="T226" i="127"/>
  <c r="S226" i="127"/>
  <c r="U226" i="127" s="1"/>
  <c r="E226" i="127" s="1"/>
  <c r="T225" i="127"/>
  <c r="S225" i="127"/>
  <c r="T224" i="127"/>
  <c r="U224" i="127" s="1"/>
  <c r="E224" i="127" s="1"/>
  <c r="S224" i="127"/>
  <c r="T223" i="127"/>
  <c r="S223" i="127"/>
  <c r="U222" i="127"/>
  <c r="E222" i="127" s="1"/>
  <c r="T222" i="127"/>
  <c r="S222" i="127"/>
  <c r="T221" i="127"/>
  <c r="S221" i="127"/>
  <c r="T220" i="127"/>
  <c r="S220" i="127"/>
  <c r="U220" i="127" s="1"/>
  <c r="E220" i="127" s="1"/>
  <c r="T219" i="127"/>
  <c r="S219" i="127"/>
  <c r="U219" i="127" s="1"/>
  <c r="E219" i="127" s="1"/>
  <c r="E218" i="127"/>
  <c r="U218" i="127"/>
  <c r="T218" i="127"/>
  <c r="S218" i="127"/>
  <c r="T217" i="127"/>
  <c r="S217" i="127"/>
  <c r="E216" i="127"/>
  <c r="U216" i="127"/>
  <c r="T216" i="127"/>
  <c r="S216" i="127"/>
  <c r="E215" i="127"/>
  <c r="T215" i="127"/>
  <c r="S215" i="127"/>
  <c r="U215" i="127" s="1"/>
  <c r="U214" i="127"/>
  <c r="E214" i="127" s="1"/>
  <c r="T214" i="127"/>
  <c r="S214" i="127"/>
  <c r="T213" i="127"/>
  <c r="S213" i="127"/>
  <c r="T212" i="127"/>
  <c r="S212" i="127"/>
  <c r="U212" i="127" s="1"/>
  <c r="E212" i="127" s="1"/>
  <c r="E211" i="127"/>
  <c r="T211" i="127"/>
  <c r="S211" i="127"/>
  <c r="U211" i="127" s="1"/>
  <c r="T210" i="127"/>
  <c r="S210" i="127"/>
  <c r="U210" i="127" s="1"/>
  <c r="E210" i="127" s="1"/>
  <c r="T209" i="127"/>
  <c r="S209" i="127"/>
  <c r="T208" i="127"/>
  <c r="U208" i="127" s="1"/>
  <c r="E208" i="127" s="1"/>
  <c r="S208" i="127"/>
  <c r="T207" i="127"/>
  <c r="S207" i="127"/>
  <c r="U206" i="127"/>
  <c r="E206" i="127" s="1"/>
  <c r="T206" i="127"/>
  <c r="S206" i="127"/>
  <c r="T205" i="127"/>
  <c r="S205" i="127"/>
  <c r="U205" i="127" s="1"/>
  <c r="E205" i="127" s="1"/>
  <c r="E204" i="127"/>
  <c r="T204" i="127"/>
  <c r="S204" i="127"/>
  <c r="U204" i="127" s="1"/>
  <c r="T203" i="127"/>
  <c r="S203" i="127"/>
  <c r="U203" i="127" s="1"/>
  <c r="E203" i="127" s="1"/>
  <c r="U202" i="127"/>
  <c r="E202" i="127" s="1"/>
  <c r="T202" i="127"/>
  <c r="S202" i="127"/>
  <c r="T201" i="127"/>
  <c r="S201" i="127"/>
  <c r="T200" i="127"/>
  <c r="U200" i="127" s="1"/>
  <c r="E200" i="127" s="1"/>
  <c r="S200" i="127"/>
  <c r="E199" i="127"/>
  <c r="T199" i="127"/>
  <c r="S199" i="127"/>
  <c r="U199" i="127" s="1"/>
  <c r="T198" i="127"/>
  <c r="S198" i="127"/>
  <c r="U198" i="127" s="1"/>
  <c r="E198" i="127" s="1"/>
  <c r="T197" i="127"/>
  <c r="S197" i="127"/>
  <c r="T196" i="127"/>
  <c r="S196" i="127"/>
  <c r="E195" i="127"/>
  <c r="T195" i="127"/>
  <c r="S195" i="127"/>
  <c r="U195" i="127" s="1"/>
  <c r="T194" i="127"/>
  <c r="S194" i="127"/>
  <c r="U194" i="127" s="1"/>
  <c r="E194" i="127" s="1"/>
  <c r="T193" i="127"/>
  <c r="S193" i="127"/>
  <c r="T192" i="127"/>
  <c r="U192" i="127" s="1"/>
  <c r="E192" i="127" s="1"/>
  <c r="S192" i="127"/>
  <c r="T191" i="127"/>
  <c r="S191" i="127"/>
  <c r="U191" i="127" s="1"/>
  <c r="E191" i="127" s="1"/>
  <c r="U190" i="127"/>
  <c r="E190" i="127" s="1"/>
  <c r="T190" i="127"/>
  <c r="S190" i="127"/>
  <c r="T189" i="127"/>
  <c r="S189" i="127"/>
  <c r="T188" i="127"/>
  <c r="S188" i="127"/>
  <c r="U188" i="127" s="1"/>
  <c r="E188" i="127" s="1"/>
  <c r="T187" i="127"/>
  <c r="S187" i="127"/>
  <c r="U187" i="127" s="1"/>
  <c r="E187" i="127" s="1"/>
  <c r="U186" i="127"/>
  <c r="E186" i="127" s="1"/>
  <c r="T186" i="127"/>
  <c r="S186" i="127"/>
  <c r="T185" i="127"/>
  <c r="S185" i="127"/>
  <c r="U184" i="127"/>
  <c r="E184" i="127" s="1"/>
  <c r="T184" i="127"/>
  <c r="S184" i="127"/>
  <c r="E183" i="127"/>
  <c r="T183" i="127"/>
  <c r="S183" i="127"/>
  <c r="U183" i="127" s="1"/>
  <c r="T182" i="127"/>
  <c r="S182" i="127"/>
  <c r="U182" i="127" s="1"/>
  <c r="E182" i="127" s="1"/>
  <c r="T181" i="127"/>
  <c r="S181" i="127"/>
  <c r="T180" i="127"/>
  <c r="S180" i="127"/>
  <c r="U180" i="127" s="1"/>
  <c r="E180" i="127" s="1"/>
  <c r="E179" i="127"/>
  <c r="T179" i="127"/>
  <c r="S179" i="127"/>
  <c r="U179" i="127" s="1"/>
  <c r="T178" i="127"/>
  <c r="S178" i="127"/>
  <c r="U178" i="127" s="1"/>
  <c r="E178" i="127" s="1"/>
  <c r="T177" i="127"/>
  <c r="S177" i="127"/>
  <c r="T176" i="127"/>
  <c r="U176" i="127" s="1"/>
  <c r="E176" i="127" s="1"/>
  <c r="S176" i="127"/>
  <c r="T175" i="127"/>
  <c r="S175" i="127"/>
  <c r="U174" i="127"/>
  <c r="E174" i="127" s="1"/>
  <c r="T174" i="127"/>
  <c r="S174" i="127"/>
  <c r="T173" i="127"/>
  <c r="S173" i="127"/>
  <c r="U173" i="127" s="1"/>
  <c r="E173" i="127" s="1"/>
  <c r="E172" i="127"/>
  <c r="T172" i="127"/>
  <c r="S172" i="127"/>
  <c r="U172" i="127" s="1"/>
  <c r="T171" i="127"/>
  <c r="S171" i="127"/>
  <c r="T170" i="127"/>
  <c r="S170" i="127"/>
  <c r="U170" i="127" s="1"/>
  <c r="E170" i="127" s="1"/>
  <c r="T169" i="127"/>
  <c r="S169" i="127"/>
  <c r="U169" i="127" s="1"/>
  <c r="E169" i="127" s="1"/>
  <c r="E168" i="127"/>
  <c r="T168" i="127"/>
  <c r="S168" i="127"/>
  <c r="U168" i="127" s="1"/>
  <c r="T167" i="127"/>
  <c r="S167" i="127"/>
  <c r="U167" i="127" s="1"/>
  <c r="E167" i="127" s="1"/>
  <c r="T166" i="127"/>
  <c r="S166" i="127"/>
  <c r="U166" i="127" s="1"/>
  <c r="E166" i="127" s="1"/>
  <c r="T165" i="127"/>
  <c r="S165" i="127"/>
  <c r="U165" i="127" s="1"/>
  <c r="E165" i="127" s="1"/>
  <c r="T164" i="127"/>
  <c r="S164" i="127"/>
  <c r="U164" i="127" s="1"/>
  <c r="E164" i="127" s="1"/>
  <c r="T163" i="127"/>
  <c r="S163" i="127"/>
  <c r="U163" i="127" s="1"/>
  <c r="E163" i="127" s="1"/>
  <c r="E162" i="127"/>
  <c r="T162" i="127"/>
  <c r="S162" i="127"/>
  <c r="U162" i="127" s="1"/>
  <c r="T161" i="127"/>
  <c r="S161" i="127"/>
  <c r="T160" i="127"/>
  <c r="S160" i="127"/>
  <c r="U160" i="127" s="1"/>
  <c r="E160" i="127" s="1"/>
  <c r="T159" i="127"/>
  <c r="S159" i="127"/>
  <c r="E158" i="127"/>
  <c r="T158" i="127"/>
  <c r="S158" i="127"/>
  <c r="U158" i="127" s="1"/>
  <c r="T157" i="127"/>
  <c r="S157" i="127"/>
  <c r="U157" i="127" s="1"/>
  <c r="E157" i="127" s="1"/>
  <c r="E156" i="127"/>
  <c r="T156" i="127"/>
  <c r="S156" i="127"/>
  <c r="U156" i="127" s="1"/>
  <c r="T155" i="127"/>
  <c r="S155" i="127"/>
  <c r="T154" i="127"/>
  <c r="S154" i="127"/>
  <c r="U154" i="127" s="1"/>
  <c r="E154" i="127" s="1"/>
  <c r="T153" i="127"/>
  <c r="S153" i="127"/>
  <c r="U153" i="127" s="1"/>
  <c r="E153" i="127" s="1"/>
  <c r="E152" i="127"/>
  <c r="T152" i="127"/>
  <c r="S152" i="127"/>
  <c r="U152" i="127" s="1"/>
  <c r="T151" i="127"/>
  <c r="S151" i="127"/>
  <c r="U151" i="127" s="1"/>
  <c r="E151" i="127" s="1"/>
  <c r="T150" i="127"/>
  <c r="S150" i="127"/>
  <c r="U150" i="127" s="1"/>
  <c r="E150" i="127" s="1"/>
  <c r="T149" i="127"/>
  <c r="S149" i="127"/>
  <c r="U149" i="127" s="1"/>
  <c r="E149" i="127" s="1"/>
  <c r="T148" i="127"/>
  <c r="S148" i="127"/>
  <c r="U148" i="127" s="1"/>
  <c r="E148" i="127" s="1"/>
  <c r="T147" i="127"/>
  <c r="S147" i="127"/>
  <c r="U147" i="127" s="1"/>
  <c r="E147" i="127" s="1"/>
  <c r="E146" i="127"/>
  <c r="T146" i="127"/>
  <c r="S146" i="127"/>
  <c r="U146" i="127" s="1"/>
  <c r="T145" i="127"/>
  <c r="S145" i="127"/>
  <c r="T144" i="127"/>
  <c r="S144" i="127"/>
  <c r="U144" i="127" s="1"/>
  <c r="E144" i="127" s="1"/>
  <c r="T143" i="127"/>
  <c r="S143" i="127"/>
  <c r="E142" i="127"/>
  <c r="T142" i="127"/>
  <c r="S142" i="127"/>
  <c r="U142" i="127" s="1"/>
  <c r="T141" i="127"/>
  <c r="S141" i="127"/>
  <c r="U141" i="127" s="1"/>
  <c r="E141" i="127" s="1"/>
  <c r="T140" i="127"/>
  <c r="S140" i="127"/>
  <c r="T139" i="127"/>
  <c r="S139" i="127"/>
  <c r="T138" i="127"/>
  <c r="S138" i="127"/>
  <c r="U138" i="127" s="1"/>
  <c r="E138" i="127" s="1"/>
  <c r="T137" i="127"/>
  <c r="S137" i="127"/>
  <c r="U137" i="127" s="1"/>
  <c r="E137" i="127" s="1"/>
  <c r="T136" i="127"/>
  <c r="S136" i="127"/>
  <c r="T135" i="127"/>
  <c r="S135" i="127"/>
  <c r="U135" i="127" s="1"/>
  <c r="E135" i="127" s="1"/>
  <c r="T134" i="127"/>
  <c r="S134" i="127"/>
  <c r="U134" i="127" s="1"/>
  <c r="E134" i="127" s="1"/>
  <c r="T133" i="127"/>
  <c r="S133" i="127"/>
  <c r="U133" i="127" s="1"/>
  <c r="E133" i="127" s="1"/>
  <c r="T132" i="127"/>
  <c r="S132" i="127"/>
  <c r="U132" i="127" s="1"/>
  <c r="E132" i="127" s="1"/>
  <c r="T131" i="127"/>
  <c r="S131" i="127"/>
  <c r="U131" i="127" s="1"/>
  <c r="E131" i="127" s="1"/>
  <c r="E130" i="127"/>
  <c r="T130" i="127"/>
  <c r="S130" i="127"/>
  <c r="U130" i="127" s="1"/>
  <c r="T129" i="127"/>
  <c r="S129" i="127"/>
  <c r="T128" i="127"/>
  <c r="S128" i="127"/>
  <c r="U128" i="127" s="1"/>
  <c r="E128" i="127" s="1"/>
  <c r="T127" i="127"/>
  <c r="S127" i="127"/>
  <c r="S126" i="127"/>
  <c r="T125" i="127"/>
  <c r="S125" i="127"/>
  <c r="U125" i="127" s="1"/>
  <c r="E125" i="127" s="1"/>
  <c r="T124" i="127"/>
  <c r="U124" i="127" s="1"/>
  <c r="E124" i="127" s="1"/>
  <c r="S124" i="127"/>
  <c r="T123" i="127"/>
  <c r="S123" i="127"/>
  <c r="U123" i="127" s="1"/>
  <c r="E123" i="127" s="1"/>
  <c r="T122" i="127"/>
  <c r="U122" i="127" s="1"/>
  <c r="E122" i="127" s="1"/>
  <c r="S122" i="127"/>
  <c r="U121" i="127"/>
  <c r="E121" i="127" s="1"/>
  <c r="T121" i="127"/>
  <c r="S121" i="127"/>
  <c r="T120" i="127"/>
  <c r="S120" i="127"/>
  <c r="U120" i="127" s="1"/>
  <c r="E120" i="127" s="1"/>
  <c r="U119" i="127"/>
  <c r="E119" i="127" s="1"/>
  <c r="T119" i="127"/>
  <c r="S119" i="127"/>
  <c r="T118" i="127"/>
  <c r="S118" i="127"/>
  <c r="U118" i="127" s="1"/>
  <c r="E118" i="127" s="1"/>
  <c r="T117" i="127"/>
  <c r="S117" i="127"/>
  <c r="U117" i="127" s="1"/>
  <c r="E117" i="127" s="1"/>
  <c r="T116" i="127"/>
  <c r="U116" i="127" s="1"/>
  <c r="E116" i="127" s="1"/>
  <c r="S116" i="127"/>
  <c r="T115" i="127"/>
  <c r="S115" i="127"/>
  <c r="U115" i="127" s="1"/>
  <c r="E115" i="127" s="1"/>
  <c r="T114" i="127"/>
  <c r="U114" i="127" s="1"/>
  <c r="E114" i="127" s="1"/>
  <c r="S114" i="127"/>
  <c r="U113" i="127"/>
  <c r="E113" i="127" s="1"/>
  <c r="T113" i="127"/>
  <c r="S113" i="127"/>
  <c r="T112" i="127"/>
  <c r="S112" i="127"/>
  <c r="U112" i="127" s="1"/>
  <c r="E112" i="127" s="1"/>
  <c r="U111" i="127"/>
  <c r="E111" i="127" s="1"/>
  <c r="T111" i="127"/>
  <c r="S111" i="127"/>
  <c r="T110" i="127"/>
  <c r="S110" i="127"/>
  <c r="U110" i="127" s="1"/>
  <c r="E110" i="127" s="1"/>
  <c r="T109" i="127"/>
  <c r="S109" i="127"/>
  <c r="U109" i="127" s="1"/>
  <c r="E109" i="127" s="1"/>
  <c r="T108" i="127"/>
  <c r="U108" i="127" s="1"/>
  <c r="E108" i="127" s="1"/>
  <c r="S108" i="127"/>
  <c r="T107" i="127"/>
  <c r="S107" i="127"/>
  <c r="U107" i="127" s="1"/>
  <c r="E107" i="127" s="1"/>
  <c r="T106" i="127"/>
  <c r="U106" i="127" s="1"/>
  <c r="E106" i="127" s="1"/>
  <c r="S106" i="127"/>
  <c r="U105" i="127"/>
  <c r="E105" i="127" s="1"/>
  <c r="T105" i="127"/>
  <c r="S105" i="127"/>
  <c r="T104" i="127"/>
  <c r="S104" i="127"/>
  <c r="U104" i="127" s="1"/>
  <c r="E104" i="127" s="1"/>
  <c r="U103" i="127"/>
  <c r="E103" i="127" s="1"/>
  <c r="T103" i="127"/>
  <c r="S103" i="127"/>
  <c r="T102" i="127"/>
  <c r="S102" i="127"/>
  <c r="U102" i="127" s="1"/>
  <c r="E102" i="127" s="1"/>
  <c r="T101" i="127"/>
  <c r="S101" i="127"/>
  <c r="U101" i="127" s="1"/>
  <c r="E101" i="127" s="1"/>
  <c r="T100" i="127"/>
  <c r="U100" i="127" s="1"/>
  <c r="E100" i="127" s="1"/>
  <c r="S100" i="127"/>
  <c r="S99" i="127"/>
  <c r="U98" i="127"/>
  <c r="E98" i="127" s="1"/>
  <c r="T98" i="127"/>
  <c r="S98" i="127"/>
  <c r="T97" i="127"/>
  <c r="S97" i="127"/>
  <c r="U97" i="127" s="1"/>
  <c r="E97" i="127" s="1"/>
  <c r="U96" i="127"/>
  <c r="E96" i="127" s="1"/>
  <c r="T96" i="127"/>
  <c r="S96" i="127"/>
  <c r="T95" i="127"/>
  <c r="S95" i="127"/>
  <c r="U95" i="127" s="1"/>
  <c r="E95" i="127" s="1"/>
  <c r="U94" i="127"/>
  <c r="E94" i="127" s="1"/>
  <c r="T94" i="127"/>
  <c r="S94" i="127"/>
  <c r="T93" i="127"/>
  <c r="S93" i="127"/>
  <c r="U93" i="127" s="1"/>
  <c r="E93" i="127" s="1"/>
  <c r="U92" i="127"/>
  <c r="E92" i="127" s="1"/>
  <c r="T92" i="127"/>
  <c r="S92" i="127"/>
  <c r="T91" i="127"/>
  <c r="S91" i="127"/>
  <c r="U91" i="127" s="1"/>
  <c r="E91" i="127" s="1"/>
  <c r="U90" i="127"/>
  <c r="E90" i="127" s="1"/>
  <c r="T90" i="127"/>
  <c r="S90" i="127"/>
  <c r="T89" i="127"/>
  <c r="S89" i="127"/>
  <c r="U89" i="127" s="1"/>
  <c r="E89" i="127" s="1"/>
  <c r="U88" i="127"/>
  <c r="E88" i="127" s="1"/>
  <c r="T88" i="127"/>
  <c r="S88" i="127"/>
  <c r="T87" i="127"/>
  <c r="S87" i="127"/>
  <c r="U87" i="127" s="1"/>
  <c r="E87" i="127" s="1"/>
  <c r="U86" i="127"/>
  <c r="E86" i="127" s="1"/>
  <c r="T86" i="127"/>
  <c r="S86" i="127"/>
  <c r="T85" i="127"/>
  <c r="S85" i="127"/>
  <c r="U85" i="127" s="1"/>
  <c r="E85" i="127" s="1"/>
  <c r="U84" i="127"/>
  <c r="E84" i="127" s="1"/>
  <c r="T84" i="127"/>
  <c r="S84" i="127"/>
  <c r="T83" i="127"/>
  <c r="S83" i="127"/>
  <c r="U83" i="127" s="1"/>
  <c r="E83" i="127" s="1"/>
  <c r="U82" i="127"/>
  <c r="E82" i="127" s="1"/>
  <c r="T82" i="127"/>
  <c r="S82" i="127"/>
  <c r="T81" i="127"/>
  <c r="S81" i="127"/>
  <c r="U81" i="127" s="1"/>
  <c r="E81" i="127" s="1"/>
  <c r="U80" i="127"/>
  <c r="E80" i="127" s="1"/>
  <c r="T80" i="127"/>
  <c r="S80" i="127"/>
  <c r="T79" i="127"/>
  <c r="S79" i="127"/>
  <c r="U79" i="127" s="1"/>
  <c r="E79" i="127" s="1"/>
  <c r="U78" i="127"/>
  <c r="E78" i="127" s="1"/>
  <c r="T78" i="127"/>
  <c r="S78" i="127"/>
  <c r="T77" i="127"/>
  <c r="S77" i="127"/>
  <c r="U77" i="127" s="1"/>
  <c r="E77" i="127" s="1"/>
  <c r="U76" i="127"/>
  <c r="E76" i="127" s="1"/>
  <c r="T76" i="127"/>
  <c r="S76" i="127"/>
  <c r="T75" i="127"/>
  <c r="S75" i="127"/>
  <c r="U75" i="127" s="1"/>
  <c r="E75" i="127" s="1"/>
  <c r="U74" i="127"/>
  <c r="E74" i="127" s="1"/>
  <c r="T74" i="127"/>
  <c r="S74" i="127"/>
  <c r="T73" i="127"/>
  <c r="S73" i="127"/>
  <c r="U73" i="127" s="1"/>
  <c r="E73" i="127" s="1"/>
  <c r="U72" i="127"/>
  <c r="E72" i="127" s="1"/>
  <c r="T72" i="127"/>
  <c r="S72" i="127"/>
  <c r="T71" i="127"/>
  <c r="S71" i="127"/>
  <c r="U71" i="127" s="1"/>
  <c r="E71" i="127" s="1"/>
  <c r="U70" i="127"/>
  <c r="E70" i="127" s="1"/>
  <c r="T70" i="127"/>
  <c r="S70" i="127"/>
  <c r="T69" i="127"/>
  <c r="S69" i="127"/>
  <c r="U69" i="127" s="1"/>
  <c r="E69" i="127" s="1"/>
  <c r="U68" i="127"/>
  <c r="E68" i="127" s="1"/>
  <c r="T68" i="127"/>
  <c r="S68" i="127"/>
  <c r="T67" i="127"/>
  <c r="S67" i="127"/>
  <c r="U67" i="127" s="1"/>
  <c r="E67" i="127" s="1"/>
  <c r="U66" i="127"/>
  <c r="E66" i="127" s="1"/>
  <c r="T66" i="127"/>
  <c r="S66" i="127"/>
  <c r="T65" i="127"/>
  <c r="S65" i="127"/>
  <c r="U65" i="127" s="1"/>
  <c r="E65" i="127" s="1"/>
  <c r="U64" i="127"/>
  <c r="E64" i="127" s="1"/>
  <c r="T64" i="127"/>
  <c r="S64" i="127"/>
  <c r="T63" i="127"/>
  <c r="S63" i="127"/>
  <c r="U63" i="127" s="1"/>
  <c r="E63" i="127" s="1"/>
  <c r="U62" i="127"/>
  <c r="E62" i="127" s="1"/>
  <c r="T62" i="127"/>
  <c r="S62" i="127"/>
  <c r="T61" i="127"/>
  <c r="S61" i="127"/>
  <c r="U61" i="127" s="1"/>
  <c r="E61" i="127" s="1"/>
  <c r="U60" i="127"/>
  <c r="E60" i="127" s="1"/>
  <c r="T60" i="127"/>
  <c r="S60" i="127"/>
  <c r="T59" i="127"/>
  <c r="S59" i="127"/>
  <c r="U59" i="127" s="1"/>
  <c r="E59" i="127" s="1"/>
  <c r="T58" i="127"/>
  <c r="S58" i="127"/>
  <c r="U58" i="127" s="1"/>
  <c r="E58" i="127" s="1"/>
  <c r="T57" i="127"/>
  <c r="S57" i="127"/>
  <c r="U57" i="127" s="1"/>
  <c r="E57" i="127" s="1"/>
  <c r="T56" i="127"/>
  <c r="S56" i="127"/>
  <c r="U56" i="127" s="1"/>
  <c r="E56" i="127" s="1"/>
  <c r="T55" i="127"/>
  <c r="S55" i="127"/>
  <c r="U55" i="127" s="1"/>
  <c r="E55" i="127" s="1"/>
  <c r="T54" i="127"/>
  <c r="S54" i="127"/>
  <c r="U54" i="127" s="1"/>
  <c r="E54" i="127" s="1"/>
  <c r="T53" i="127"/>
  <c r="S53" i="127"/>
  <c r="U53" i="127" s="1"/>
  <c r="E53" i="127" s="1"/>
  <c r="T52" i="127"/>
  <c r="S52" i="127"/>
  <c r="U52" i="127" s="1"/>
  <c r="E52" i="127" s="1"/>
  <c r="T51" i="127"/>
  <c r="S51" i="127"/>
  <c r="U51" i="127" s="1"/>
  <c r="E51" i="127" s="1"/>
  <c r="T50" i="127"/>
  <c r="S50" i="127"/>
  <c r="U50" i="127" s="1"/>
  <c r="E50" i="127" s="1"/>
  <c r="S49" i="127"/>
  <c r="T48" i="127"/>
  <c r="S48" i="127"/>
  <c r="U48" i="127" s="1"/>
  <c r="E48" i="127" s="1"/>
  <c r="T47" i="127"/>
  <c r="S47" i="127"/>
  <c r="U47" i="127" s="1"/>
  <c r="E47" i="127" s="1"/>
  <c r="E46" i="127"/>
  <c r="T46" i="127"/>
  <c r="S46" i="127"/>
  <c r="U46" i="127" s="1"/>
  <c r="T45" i="127"/>
  <c r="S45" i="127"/>
  <c r="T44" i="127"/>
  <c r="S44" i="127"/>
  <c r="U44" i="127" s="1"/>
  <c r="E44" i="127" s="1"/>
  <c r="T43" i="127"/>
  <c r="S43" i="127"/>
  <c r="E42" i="127"/>
  <c r="T42" i="127"/>
  <c r="S42" i="127"/>
  <c r="U42" i="127" s="1"/>
  <c r="T41" i="127"/>
  <c r="S41" i="127"/>
  <c r="T40" i="127"/>
  <c r="S40" i="127"/>
  <c r="U40" i="127" s="1"/>
  <c r="E40" i="127" s="1"/>
  <c r="T39" i="127"/>
  <c r="S39" i="127"/>
  <c r="U39" i="127" s="1"/>
  <c r="E39" i="127" s="1"/>
  <c r="E38" i="127"/>
  <c r="T38" i="127"/>
  <c r="S38" i="127"/>
  <c r="U38" i="127" s="1"/>
  <c r="T37" i="127"/>
  <c r="S37" i="127"/>
  <c r="T36" i="127"/>
  <c r="S36" i="127"/>
  <c r="U36" i="127" s="1"/>
  <c r="E36" i="127" s="1"/>
  <c r="T35" i="127"/>
  <c r="S35" i="127"/>
  <c r="E34" i="127"/>
  <c r="T34" i="127"/>
  <c r="S34" i="127"/>
  <c r="U34" i="127" s="1"/>
  <c r="T33" i="127"/>
  <c r="S33" i="127"/>
  <c r="T32" i="127"/>
  <c r="S32" i="127"/>
  <c r="U32" i="127" s="1"/>
  <c r="E32" i="127" s="1"/>
  <c r="T31" i="127"/>
  <c r="S31" i="127"/>
  <c r="U31" i="127" s="1"/>
  <c r="E31" i="127" s="1"/>
  <c r="E30" i="127"/>
  <c r="T30" i="127"/>
  <c r="S30" i="127"/>
  <c r="U30" i="127" s="1"/>
  <c r="T29" i="127"/>
  <c r="S29" i="127"/>
  <c r="T28" i="127"/>
  <c r="U28" i="127" s="1"/>
  <c r="E28" i="127" s="1"/>
  <c r="S28" i="127"/>
  <c r="T27" i="127"/>
  <c r="S27" i="127"/>
  <c r="U27" i="127" s="1"/>
  <c r="E27" i="127" s="1"/>
  <c r="T26" i="127"/>
  <c r="U26" i="127" s="1"/>
  <c r="E26" i="127" s="1"/>
  <c r="S26" i="127"/>
  <c r="T25" i="127"/>
  <c r="S25" i="127"/>
  <c r="U25" i="127" s="1"/>
  <c r="E25" i="127" s="1"/>
  <c r="T24" i="127"/>
  <c r="S24" i="127"/>
  <c r="U24" i="127" s="1"/>
  <c r="E24" i="127" s="1"/>
  <c r="T23" i="127"/>
  <c r="S23" i="127"/>
  <c r="U23" i="127" s="1"/>
  <c r="E23" i="127" s="1"/>
  <c r="T22" i="127"/>
  <c r="S22" i="127"/>
  <c r="U22" i="127" s="1"/>
  <c r="E22" i="127" s="1"/>
  <c r="T21" i="127"/>
  <c r="S21" i="127"/>
  <c r="U21" i="127" s="1"/>
  <c r="E21" i="127" s="1"/>
  <c r="T20" i="127"/>
  <c r="S20" i="127"/>
  <c r="U20" i="127" s="1"/>
  <c r="E20" i="127" s="1"/>
  <c r="T19" i="127"/>
  <c r="S19" i="127"/>
  <c r="U19" i="127" s="1"/>
  <c r="E19" i="127" s="1"/>
  <c r="T18" i="127"/>
  <c r="S18" i="127"/>
  <c r="U18" i="127" s="1"/>
  <c r="E18" i="127" s="1"/>
  <c r="T17" i="127"/>
  <c r="S17" i="127"/>
  <c r="U17" i="127" s="1"/>
  <c r="E17" i="127" s="1"/>
  <c r="T16" i="127"/>
  <c r="S16" i="127"/>
  <c r="U16" i="127" s="1"/>
  <c r="E16" i="127" s="1"/>
  <c r="T15" i="127"/>
  <c r="S15" i="127"/>
  <c r="U15" i="127" s="1"/>
  <c r="E15" i="127" s="1"/>
  <c r="T14" i="127"/>
  <c r="S14" i="127"/>
  <c r="U14" i="127" s="1"/>
  <c r="E14" i="127" s="1"/>
  <c r="T13" i="127"/>
  <c r="S13" i="127"/>
  <c r="U13" i="127" s="1"/>
  <c r="E13" i="127" s="1"/>
  <c r="T12" i="127"/>
  <c r="S12" i="127"/>
  <c r="U12" i="127" s="1"/>
  <c r="E12" i="127" s="1"/>
  <c r="T11" i="127"/>
  <c r="S11" i="127"/>
  <c r="U11" i="127" s="1"/>
  <c r="E11" i="127" s="1"/>
  <c r="T10" i="127"/>
  <c r="S10" i="127"/>
  <c r="E339" i="127"/>
  <c r="U339" i="127"/>
  <c r="T339" i="127" s="1"/>
  <c r="S339" i="127"/>
  <c r="E338" i="127"/>
  <c r="U338" i="127"/>
  <c r="T338" i="127" s="1"/>
  <c r="S338" i="127"/>
  <c r="P2" i="126"/>
  <c r="P3" i="126" s="1"/>
  <c r="O2" i="126"/>
  <c r="O3" i="126" s="1"/>
  <c r="N2" i="126"/>
  <c r="N3" i="126" s="1"/>
  <c r="M2" i="126"/>
  <c r="M3" i="126" s="1"/>
  <c r="L2" i="126"/>
  <c r="L3" i="126" s="1"/>
  <c r="K2" i="126"/>
  <c r="K3" i="126" s="1"/>
  <c r="J2" i="126"/>
  <c r="J3" i="126" s="1"/>
  <c r="I2" i="126"/>
  <c r="I3" i="126" s="1"/>
  <c r="H2" i="126"/>
  <c r="H3" i="126" s="1"/>
  <c r="G2" i="126"/>
  <c r="G3" i="126" s="1"/>
  <c r="U335" i="126"/>
  <c r="E335" i="126" s="1"/>
  <c r="T335" i="126"/>
  <c r="S335" i="126"/>
  <c r="T334" i="126"/>
  <c r="S334" i="126"/>
  <c r="U334" i="126" s="1"/>
  <c r="E334" i="126" s="1"/>
  <c r="U333" i="126"/>
  <c r="E333" i="126" s="1"/>
  <c r="T333" i="126"/>
  <c r="S333" i="126"/>
  <c r="T332" i="126"/>
  <c r="S332" i="126"/>
  <c r="U332" i="126" s="1"/>
  <c r="E332" i="126" s="1"/>
  <c r="U331" i="126"/>
  <c r="E331" i="126" s="1"/>
  <c r="T331" i="126"/>
  <c r="S331" i="126"/>
  <c r="T330" i="126"/>
  <c r="S330" i="126"/>
  <c r="U329" i="126"/>
  <c r="E329" i="126" s="1"/>
  <c r="T329" i="126"/>
  <c r="S329" i="126"/>
  <c r="T328" i="126"/>
  <c r="S328" i="126"/>
  <c r="U327" i="126"/>
  <c r="E327" i="126" s="1"/>
  <c r="T327" i="126"/>
  <c r="S327" i="126"/>
  <c r="T326" i="126"/>
  <c r="S326" i="126"/>
  <c r="U326" i="126" s="1"/>
  <c r="E326" i="126" s="1"/>
  <c r="U325" i="126"/>
  <c r="E325" i="126" s="1"/>
  <c r="T325" i="126"/>
  <c r="S325" i="126"/>
  <c r="T324" i="126"/>
  <c r="S324" i="126"/>
  <c r="U324" i="126" s="1"/>
  <c r="E324" i="126" s="1"/>
  <c r="U323" i="126"/>
  <c r="E323" i="126" s="1"/>
  <c r="T323" i="126"/>
  <c r="S323" i="126"/>
  <c r="T322" i="126"/>
  <c r="S322" i="126"/>
  <c r="U322" i="126" s="1"/>
  <c r="E322" i="126" s="1"/>
  <c r="T321" i="126"/>
  <c r="S321" i="126"/>
  <c r="U321" i="126" s="1"/>
  <c r="E321" i="126" s="1"/>
  <c r="T320" i="126"/>
  <c r="S320" i="126"/>
  <c r="U319" i="126"/>
  <c r="E319" i="126" s="1"/>
  <c r="T319" i="126"/>
  <c r="S319" i="126"/>
  <c r="T318" i="126"/>
  <c r="S318" i="126"/>
  <c r="U318" i="126" s="1"/>
  <c r="E318" i="126" s="1"/>
  <c r="T317" i="126"/>
  <c r="S317" i="126"/>
  <c r="U317" i="126" s="1"/>
  <c r="E317" i="126" s="1"/>
  <c r="T316" i="126"/>
  <c r="S316" i="126"/>
  <c r="U316" i="126" s="1"/>
  <c r="E316" i="126" s="1"/>
  <c r="U315" i="126"/>
  <c r="E315" i="126" s="1"/>
  <c r="T315" i="126"/>
  <c r="S315" i="126"/>
  <c r="T314" i="126"/>
  <c r="S314" i="126"/>
  <c r="U314" i="126" s="1"/>
  <c r="E314" i="126" s="1"/>
  <c r="T313" i="126"/>
  <c r="S313" i="126"/>
  <c r="U313" i="126" s="1"/>
  <c r="E313" i="126" s="1"/>
  <c r="T312" i="126"/>
  <c r="S312" i="126"/>
  <c r="U311" i="126"/>
  <c r="E311" i="126" s="1"/>
  <c r="T311" i="126"/>
  <c r="S311" i="126"/>
  <c r="T310" i="126"/>
  <c r="S310" i="126"/>
  <c r="U310" i="126" s="1"/>
  <c r="E310" i="126" s="1"/>
  <c r="T309" i="126"/>
  <c r="S309" i="126"/>
  <c r="U309" i="126" s="1"/>
  <c r="E309" i="126" s="1"/>
  <c r="T308" i="126"/>
  <c r="S308" i="126"/>
  <c r="U308" i="126" s="1"/>
  <c r="E308" i="126" s="1"/>
  <c r="U307" i="126"/>
  <c r="E307" i="126" s="1"/>
  <c r="T307" i="126"/>
  <c r="S307" i="126"/>
  <c r="T306" i="126"/>
  <c r="S306" i="126"/>
  <c r="U306" i="126" s="1"/>
  <c r="E306" i="126" s="1"/>
  <c r="T305" i="126"/>
  <c r="S305" i="126"/>
  <c r="U305" i="126" s="1"/>
  <c r="E305" i="126" s="1"/>
  <c r="E304" i="126"/>
  <c r="T304" i="126"/>
  <c r="S304" i="126"/>
  <c r="U304" i="126" s="1"/>
  <c r="T303" i="126"/>
  <c r="U303" i="126" s="1"/>
  <c r="E303" i="126" s="1"/>
  <c r="S303" i="126"/>
  <c r="T302" i="126"/>
  <c r="S302" i="126"/>
  <c r="U302" i="126" s="1"/>
  <c r="E302" i="126" s="1"/>
  <c r="T301" i="126"/>
  <c r="S301" i="126"/>
  <c r="U301" i="126" s="1"/>
  <c r="E301" i="126" s="1"/>
  <c r="T300" i="126"/>
  <c r="S300" i="126"/>
  <c r="U300" i="126" s="1"/>
  <c r="E300" i="126" s="1"/>
  <c r="T299" i="126"/>
  <c r="U299" i="126" s="1"/>
  <c r="E299" i="126" s="1"/>
  <c r="S299" i="126"/>
  <c r="E298" i="126"/>
  <c r="T298" i="126"/>
  <c r="S298" i="126"/>
  <c r="U298" i="126" s="1"/>
  <c r="T297" i="126"/>
  <c r="S297" i="126"/>
  <c r="U297" i="126" s="1"/>
  <c r="E297" i="126" s="1"/>
  <c r="E296" i="126"/>
  <c r="T296" i="126"/>
  <c r="S296" i="126"/>
  <c r="U296" i="126" s="1"/>
  <c r="T295" i="126"/>
  <c r="U295" i="126" s="1"/>
  <c r="E295" i="126" s="1"/>
  <c r="S295" i="126"/>
  <c r="T294" i="126"/>
  <c r="S294" i="126"/>
  <c r="U294" i="126" s="1"/>
  <c r="E294" i="126" s="1"/>
  <c r="T293" i="126"/>
  <c r="S293" i="126"/>
  <c r="U293" i="126" s="1"/>
  <c r="E293" i="126" s="1"/>
  <c r="E292" i="126"/>
  <c r="T292" i="126"/>
  <c r="S292" i="126"/>
  <c r="U292" i="126" s="1"/>
  <c r="T291" i="126"/>
  <c r="U291" i="126" s="1"/>
  <c r="E291" i="126" s="1"/>
  <c r="S291" i="126"/>
  <c r="E290" i="126"/>
  <c r="T290" i="126"/>
  <c r="S290" i="126"/>
  <c r="U290" i="126" s="1"/>
  <c r="T289" i="126"/>
  <c r="S289" i="126"/>
  <c r="U289" i="126" s="1"/>
  <c r="E289" i="126" s="1"/>
  <c r="E288" i="126"/>
  <c r="T288" i="126"/>
  <c r="S288" i="126"/>
  <c r="U288" i="126" s="1"/>
  <c r="T287" i="126"/>
  <c r="U287" i="126" s="1"/>
  <c r="E287" i="126" s="1"/>
  <c r="S287" i="126"/>
  <c r="T286" i="126"/>
  <c r="S286" i="126"/>
  <c r="U286" i="126" s="1"/>
  <c r="E286" i="126" s="1"/>
  <c r="U285" i="126"/>
  <c r="E285" i="126" s="1"/>
  <c r="T285" i="126"/>
  <c r="S285" i="126"/>
  <c r="T284" i="126"/>
  <c r="S284" i="126"/>
  <c r="U284" i="126" s="1"/>
  <c r="E284" i="126" s="1"/>
  <c r="T283" i="126"/>
  <c r="S283" i="126"/>
  <c r="U283" i="126" s="1"/>
  <c r="E283" i="126" s="1"/>
  <c r="E282" i="126"/>
  <c r="T282" i="126"/>
  <c r="S282" i="126"/>
  <c r="U282" i="126" s="1"/>
  <c r="U281" i="126"/>
  <c r="E281" i="126" s="1"/>
  <c r="T281" i="126"/>
  <c r="S281" i="126"/>
  <c r="T280" i="126"/>
  <c r="S280" i="126"/>
  <c r="T279" i="126"/>
  <c r="U279" i="126" s="1"/>
  <c r="E279" i="126" s="1"/>
  <c r="S279" i="126"/>
  <c r="E278" i="126"/>
  <c r="T278" i="126"/>
  <c r="S278" i="126"/>
  <c r="U278" i="126" s="1"/>
  <c r="T277" i="126"/>
  <c r="S277" i="126"/>
  <c r="U277" i="126" s="1"/>
  <c r="E277" i="126" s="1"/>
  <c r="T276" i="126"/>
  <c r="S276" i="126"/>
  <c r="T275" i="126"/>
  <c r="S275" i="126"/>
  <c r="U275" i="126" s="1"/>
  <c r="E275" i="126" s="1"/>
  <c r="E274" i="126"/>
  <c r="T274" i="126"/>
  <c r="S274" i="126"/>
  <c r="U274" i="126" s="1"/>
  <c r="U273" i="126"/>
  <c r="E273" i="126" s="1"/>
  <c r="T273" i="126"/>
  <c r="S273" i="126"/>
  <c r="T272" i="126"/>
  <c r="S272" i="126"/>
  <c r="T271" i="126"/>
  <c r="U271" i="126" s="1"/>
  <c r="E271" i="126" s="1"/>
  <c r="S271" i="126"/>
  <c r="T270" i="126"/>
  <c r="S270" i="126"/>
  <c r="U270" i="126" s="1"/>
  <c r="E270" i="126" s="1"/>
  <c r="U269" i="126"/>
  <c r="E269" i="126" s="1"/>
  <c r="T269" i="126"/>
  <c r="S269" i="126"/>
  <c r="T268" i="126"/>
  <c r="S268" i="126"/>
  <c r="U268" i="126" s="1"/>
  <c r="E268" i="126" s="1"/>
  <c r="E267" i="126"/>
  <c r="T267" i="126"/>
  <c r="S267" i="126"/>
  <c r="U267" i="126" s="1"/>
  <c r="E266" i="126"/>
  <c r="T266" i="126"/>
  <c r="S266" i="126"/>
  <c r="U266" i="126" s="1"/>
  <c r="U265" i="126"/>
  <c r="E265" i="126" s="1"/>
  <c r="T265" i="126"/>
  <c r="S265" i="126"/>
  <c r="T264" i="126"/>
  <c r="S264" i="126"/>
  <c r="T263" i="126"/>
  <c r="U263" i="126" s="1"/>
  <c r="E263" i="126" s="1"/>
  <c r="S263" i="126"/>
  <c r="E262" i="126"/>
  <c r="T262" i="126"/>
  <c r="S262" i="126"/>
  <c r="U262" i="126" s="1"/>
  <c r="T261" i="126"/>
  <c r="S261" i="126"/>
  <c r="U261" i="126" s="1"/>
  <c r="E261" i="126" s="1"/>
  <c r="T260" i="126"/>
  <c r="S260" i="126"/>
  <c r="T259" i="126"/>
  <c r="S259" i="126"/>
  <c r="U259" i="126" s="1"/>
  <c r="E259" i="126" s="1"/>
  <c r="E258" i="126"/>
  <c r="T258" i="126"/>
  <c r="S258" i="126"/>
  <c r="U258" i="126" s="1"/>
  <c r="U257" i="126"/>
  <c r="E257" i="126" s="1"/>
  <c r="T257" i="126"/>
  <c r="S257" i="126"/>
  <c r="T256" i="126"/>
  <c r="S256" i="126"/>
  <c r="T255" i="126"/>
  <c r="U255" i="126" s="1"/>
  <c r="E255" i="126" s="1"/>
  <c r="S255" i="126"/>
  <c r="T254" i="126"/>
  <c r="S254" i="126"/>
  <c r="U254" i="126" s="1"/>
  <c r="E254" i="126" s="1"/>
  <c r="U253" i="126"/>
  <c r="E253" i="126" s="1"/>
  <c r="T253" i="126"/>
  <c r="S253" i="126"/>
  <c r="T252" i="126"/>
  <c r="S252" i="126"/>
  <c r="U252" i="126" s="1"/>
  <c r="E252" i="126" s="1"/>
  <c r="T251" i="126"/>
  <c r="S251" i="126"/>
  <c r="U251" i="126" s="1"/>
  <c r="E251" i="126" s="1"/>
  <c r="E250" i="126"/>
  <c r="T250" i="126"/>
  <c r="S250" i="126"/>
  <c r="U250" i="126" s="1"/>
  <c r="U249" i="126"/>
  <c r="E249" i="126" s="1"/>
  <c r="T249" i="126"/>
  <c r="S249" i="126"/>
  <c r="T248" i="126"/>
  <c r="S248" i="126"/>
  <c r="T247" i="126"/>
  <c r="U247" i="126" s="1"/>
  <c r="E247" i="126" s="1"/>
  <c r="S247" i="126"/>
  <c r="E246" i="126"/>
  <c r="T246" i="126"/>
  <c r="S246" i="126"/>
  <c r="U246" i="126" s="1"/>
  <c r="T245" i="126"/>
  <c r="S245" i="126"/>
  <c r="U245" i="126" s="1"/>
  <c r="E245" i="126" s="1"/>
  <c r="T244" i="126"/>
  <c r="S244" i="126"/>
  <c r="T243" i="126"/>
  <c r="S243" i="126"/>
  <c r="U243" i="126" s="1"/>
  <c r="E243" i="126" s="1"/>
  <c r="E242" i="126"/>
  <c r="T242" i="126"/>
  <c r="S242" i="126"/>
  <c r="U242" i="126" s="1"/>
  <c r="U241" i="126"/>
  <c r="E241" i="126" s="1"/>
  <c r="T241" i="126"/>
  <c r="S241" i="126"/>
  <c r="T240" i="126"/>
  <c r="S240" i="126"/>
  <c r="T239" i="126"/>
  <c r="U239" i="126" s="1"/>
  <c r="E239" i="126" s="1"/>
  <c r="S239" i="126"/>
  <c r="T238" i="126"/>
  <c r="S238" i="126"/>
  <c r="U238" i="126" s="1"/>
  <c r="E238" i="126" s="1"/>
  <c r="U237" i="126"/>
  <c r="E237" i="126" s="1"/>
  <c r="T237" i="126"/>
  <c r="S237" i="126"/>
  <c r="T236" i="126"/>
  <c r="S236" i="126"/>
  <c r="U236" i="126" s="1"/>
  <c r="E236" i="126" s="1"/>
  <c r="T235" i="126"/>
  <c r="S235" i="126"/>
  <c r="E234" i="126"/>
  <c r="T234" i="126"/>
  <c r="S234" i="126"/>
  <c r="U234" i="126" s="1"/>
  <c r="U233" i="126"/>
  <c r="E233" i="126" s="1"/>
  <c r="T233" i="126"/>
  <c r="S233" i="126"/>
  <c r="T232" i="126"/>
  <c r="S232" i="126"/>
  <c r="T231" i="126"/>
  <c r="U231" i="126" s="1"/>
  <c r="E231" i="126" s="1"/>
  <c r="S231" i="126"/>
  <c r="E230" i="126"/>
  <c r="T230" i="126"/>
  <c r="S230" i="126"/>
  <c r="U230" i="126" s="1"/>
  <c r="T229" i="126"/>
  <c r="S229" i="126"/>
  <c r="U229" i="126" s="1"/>
  <c r="E229" i="126" s="1"/>
  <c r="T228" i="126"/>
  <c r="S228" i="126"/>
  <c r="T227" i="126"/>
  <c r="S227" i="126"/>
  <c r="U227" i="126" s="1"/>
  <c r="E227" i="126" s="1"/>
  <c r="E226" i="126"/>
  <c r="T226" i="126"/>
  <c r="S226" i="126"/>
  <c r="U226" i="126" s="1"/>
  <c r="U225" i="126"/>
  <c r="E225" i="126" s="1"/>
  <c r="T225" i="126"/>
  <c r="S225" i="126"/>
  <c r="T224" i="126"/>
  <c r="S224" i="126"/>
  <c r="T223" i="126"/>
  <c r="U223" i="126" s="1"/>
  <c r="E223" i="126" s="1"/>
  <c r="S223" i="126"/>
  <c r="T222" i="126"/>
  <c r="S222" i="126"/>
  <c r="U222" i="126" s="1"/>
  <c r="E222" i="126" s="1"/>
  <c r="U221" i="126"/>
  <c r="E221" i="126" s="1"/>
  <c r="T221" i="126"/>
  <c r="S221" i="126"/>
  <c r="T220" i="126"/>
  <c r="S220" i="126"/>
  <c r="U220" i="126" s="1"/>
  <c r="E220" i="126" s="1"/>
  <c r="T219" i="126"/>
  <c r="S219" i="126"/>
  <c r="E218" i="126"/>
  <c r="T218" i="126"/>
  <c r="S218" i="126"/>
  <c r="U218" i="126" s="1"/>
  <c r="T217" i="126"/>
  <c r="S217" i="126"/>
  <c r="U217" i="126" s="1"/>
  <c r="E217" i="126" s="1"/>
  <c r="T216" i="126"/>
  <c r="S216" i="126"/>
  <c r="T215" i="126"/>
  <c r="U215" i="126" s="1"/>
  <c r="E215" i="126" s="1"/>
  <c r="S215" i="126"/>
  <c r="E214" i="126"/>
  <c r="T214" i="126"/>
  <c r="S214" i="126"/>
  <c r="U214" i="126" s="1"/>
  <c r="T213" i="126"/>
  <c r="S213" i="126"/>
  <c r="U213" i="126" s="1"/>
  <c r="E213" i="126" s="1"/>
  <c r="T212" i="126"/>
  <c r="S212" i="126"/>
  <c r="T211" i="126"/>
  <c r="S211" i="126"/>
  <c r="U211" i="126" s="1"/>
  <c r="E211" i="126" s="1"/>
  <c r="T210" i="126"/>
  <c r="S210" i="126"/>
  <c r="U210" i="126" s="1"/>
  <c r="E210" i="126" s="1"/>
  <c r="U209" i="126"/>
  <c r="E209" i="126" s="1"/>
  <c r="T209" i="126"/>
  <c r="S209" i="126"/>
  <c r="T208" i="126"/>
  <c r="S208" i="126"/>
  <c r="T207" i="126"/>
  <c r="U207" i="126" s="1"/>
  <c r="E207" i="126" s="1"/>
  <c r="S207" i="126"/>
  <c r="T206" i="126"/>
  <c r="S206" i="126"/>
  <c r="U206" i="126" s="1"/>
  <c r="E206" i="126" s="1"/>
  <c r="U205" i="126"/>
  <c r="E205" i="126" s="1"/>
  <c r="T205" i="126"/>
  <c r="S205" i="126"/>
  <c r="T204" i="126"/>
  <c r="S204" i="126"/>
  <c r="U204" i="126" s="1"/>
  <c r="E204" i="126" s="1"/>
  <c r="T203" i="126"/>
  <c r="S203" i="126"/>
  <c r="E202" i="126"/>
  <c r="T202" i="126"/>
  <c r="S202" i="126"/>
  <c r="U202" i="126" s="1"/>
  <c r="T201" i="126"/>
  <c r="S201" i="126"/>
  <c r="U201" i="126" s="1"/>
  <c r="E201" i="126" s="1"/>
  <c r="T200" i="126"/>
  <c r="S200" i="126"/>
  <c r="T199" i="126"/>
  <c r="U199" i="126" s="1"/>
  <c r="E199" i="126" s="1"/>
  <c r="S199" i="126"/>
  <c r="E198" i="126"/>
  <c r="T198" i="126"/>
  <c r="S198" i="126"/>
  <c r="U198" i="126" s="1"/>
  <c r="T197" i="126"/>
  <c r="S197" i="126"/>
  <c r="U197" i="126" s="1"/>
  <c r="E197" i="126" s="1"/>
  <c r="T196" i="126"/>
  <c r="S196" i="126"/>
  <c r="T195" i="126"/>
  <c r="S195" i="126"/>
  <c r="U195" i="126" s="1"/>
  <c r="E195" i="126" s="1"/>
  <c r="T194" i="126"/>
  <c r="S194" i="126"/>
  <c r="U194" i="126" s="1"/>
  <c r="E194" i="126" s="1"/>
  <c r="U193" i="126"/>
  <c r="E193" i="126" s="1"/>
  <c r="T193" i="126"/>
  <c r="S193" i="126"/>
  <c r="T192" i="126"/>
  <c r="S192" i="126"/>
  <c r="T191" i="126"/>
  <c r="U191" i="126" s="1"/>
  <c r="E191" i="126" s="1"/>
  <c r="S191" i="126"/>
  <c r="T190" i="126"/>
  <c r="S190" i="126"/>
  <c r="U190" i="126" s="1"/>
  <c r="E190" i="126" s="1"/>
  <c r="U189" i="126"/>
  <c r="E189" i="126" s="1"/>
  <c r="T189" i="126"/>
  <c r="S189" i="126"/>
  <c r="T188" i="126"/>
  <c r="S188" i="126"/>
  <c r="U188" i="126" s="1"/>
  <c r="E188" i="126" s="1"/>
  <c r="T187" i="126"/>
  <c r="S187" i="126"/>
  <c r="E186" i="126"/>
  <c r="T186" i="126"/>
  <c r="S186" i="126"/>
  <c r="U186" i="126" s="1"/>
  <c r="T185" i="126"/>
  <c r="S185" i="126"/>
  <c r="U185" i="126" s="1"/>
  <c r="E185" i="126" s="1"/>
  <c r="T184" i="126"/>
  <c r="S184" i="126"/>
  <c r="T183" i="126"/>
  <c r="U183" i="126" s="1"/>
  <c r="E183" i="126" s="1"/>
  <c r="S183" i="126"/>
  <c r="E182" i="126"/>
  <c r="T182" i="126"/>
  <c r="S182" i="126"/>
  <c r="U182" i="126" s="1"/>
  <c r="T181" i="126"/>
  <c r="S181" i="126"/>
  <c r="U181" i="126" s="1"/>
  <c r="E181" i="126" s="1"/>
  <c r="T180" i="126"/>
  <c r="S180" i="126"/>
  <c r="T179" i="126"/>
  <c r="S179" i="126"/>
  <c r="U179" i="126" s="1"/>
  <c r="E179" i="126" s="1"/>
  <c r="T178" i="126"/>
  <c r="S178" i="126"/>
  <c r="U178" i="126" s="1"/>
  <c r="E178" i="126" s="1"/>
  <c r="U177" i="126"/>
  <c r="E177" i="126" s="1"/>
  <c r="T177" i="126"/>
  <c r="S177" i="126"/>
  <c r="T176" i="126"/>
  <c r="S176" i="126"/>
  <c r="T175" i="126"/>
  <c r="U175" i="126" s="1"/>
  <c r="E175" i="126" s="1"/>
  <c r="S175" i="126"/>
  <c r="T174" i="126"/>
  <c r="S174" i="126"/>
  <c r="U174" i="126" s="1"/>
  <c r="E174" i="126" s="1"/>
  <c r="U173" i="126"/>
  <c r="E173" i="126" s="1"/>
  <c r="T173" i="126"/>
  <c r="S173" i="126"/>
  <c r="T172" i="126"/>
  <c r="S172" i="126"/>
  <c r="U172" i="126" s="1"/>
  <c r="E172" i="126" s="1"/>
  <c r="T171" i="126"/>
  <c r="S171" i="126"/>
  <c r="T170" i="126"/>
  <c r="S170" i="126"/>
  <c r="U170" i="126" s="1"/>
  <c r="E170" i="126" s="1"/>
  <c r="T169" i="126"/>
  <c r="S169" i="126"/>
  <c r="U169" i="126" s="1"/>
  <c r="E169" i="126" s="1"/>
  <c r="T168" i="126"/>
  <c r="S168" i="126"/>
  <c r="U168" i="126" s="1"/>
  <c r="E168" i="126" s="1"/>
  <c r="T167" i="126"/>
  <c r="S167" i="126"/>
  <c r="T166" i="126"/>
  <c r="S166" i="126"/>
  <c r="U166" i="126" s="1"/>
  <c r="E166" i="126" s="1"/>
  <c r="E165" i="126"/>
  <c r="T165" i="126"/>
  <c r="S165" i="126"/>
  <c r="U165" i="126" s="1"/>
  <c r="T164" i="126"/>
  <c r="S164" i="126"/>
  <c r="U164" i="126" s="1"/>
  <c r="E164" i="126" s="1"/>
  <c r="T163" i="126"/>
  <c r="S163" i="126"/>
  <c r="T162" i="126"/>
  <c r="S162" i="126"/>
  <c r="U162" i="126" s="1"/>
  <c r="E162" i="126" s="1"/>
  <c r="T161" i="126"/>
  <c r="S161" i="126"/>
  <c r="T160" i="126"/>
  <c r="S160" i="126"/>
  <c r="U160" i="126" s="1"/>
  <c r="E160" i="126" s="1"/>
  <c r="T159" i="126"/>
  <c r="S159" i="126"/>
  <c r="T158" i="126"/>
  <c r="S158" i="126"/>
  <c r="U158" i="126" s="1"/>
  <c r="E158" i="126" s="1"/>
  <c r="T157" i="126"/>
  <c r="S157" i="126"/>
  <c r="U157" i="126" s="1"/>
  <c r="E157" i="126" s="1"/>
  <c r="T156" i="126"/>
  <c r="S156" i="126"/>
  <c r="U156" i="126" s="1"/>
  <c r="E156" i="126" s="1"/>
  <c r="T155" i="126"/>
  <c r="S155" i="126"/>
  <c r="T154" i="126"/>
  <c r="S154" i="126"/>
  <c r="U154" i="126" s="1"/>
  <c r="E154" i="126" s="1"/>
  <c r="T153" i="126"/>
  <c r="S153" i="126"/>
  <c r="U153" i="126" s="1"/>
  <c r="E153" i="126" s="1"/>
  <c r="T152" i="126"/>
  <c r="S152" i="126"/>
  <c r="U152" i="126" s="1"/>
  <c r="E152" i="126" s="1"/>
  <c r="T151" i="126"/>
  <c r="S151" i="126"/>
  <c r="T150" i="126"/>
  <c r="S150" i="126"/>
  <c r="U150" i="126" s="1"/>
  <c r="E150" i="126" s="1"/>
  <c r="E149" i="126"/>
  <c r="T149" i="126"/>
  <c r="S149" i="126"/>
  <c r="U149" i="126" s="1"/>
  <c r="T148" i="126"/>
  <c r="S148" i="126"/>
  <c r="U148" i="126" s="1"/>
  <c r="E148" i="126" s="1"/>
  <c r="T147" i="126"/>
  <c r="S147" i="126"/>
  <c r="T146" i="126"/>
  <c r="S146" i="126"/>
  <c r="U146" i="126" s="1"/>
  <c r="E146" i="126" s="1"/>
  <c r="T145" i="126"/>
  <c r="S145" i="126"/>
  <c r="T144" i="126"/>
  <c r="S144" i="126"/>
  <c r="U144" i="126" s="1"/>
  <c r="E144" i="126" s="1"/>
  <c r="T143" i="126"/>
  <c r="S143" i="126"/>
  <c r="T142" i="126"/>
  <c r="S142" i="126"/>
  <c r="U142" i="126" s="1"/>
  <c r="E142" i="126" s="1"/>
  <c r="T141" i="126"/>
  <c r="S141" i="126"/>
  <c r="U141" i="126" s="1"/>
  <c r="E141" i="126" s="1"/>
  <c r="T140" i="126"/>
  <c r="S140" i="126"/>
  <c r="U140" i="126" s="1"/>
  <c r="E140" i="126" s="1"/>
  <c r="T139" i="126"/>
  <c r="S139" i="126"/>
  <c r="T138" i="126"/>
  <c r="S138" i="126"/>
  <c r="U138" i="126" s="1"/>
  <c r="E138" i="126" s="1"/>
  <c r="T137" i="126"/>
  <c r="S137" i="126"/>
  <c r="U137" i="126" s="1"/>
  <c r="E137" i="126" s="1"/>
  <c r="T136" i="126"/>
  <c r="S136" i="126"/>
  <c r="U136" i="126" s="1"/>
  <c r="E136" i="126" s="1"/>
  <c r="T135" i="126"/>
  <c r="S135" i="126"/>
  <c r="T134" i="126"/>
  <c r="S134" i="126"/>
  <c r="U134" i="126" s="1"/>
  <c r="E134" i="126" s="1"/>
  <c r="E133" i="126"/>
  <c r="T133" i="126"/>
  <c r="S133" i="126"/>
  <c r="U133" i="126" s="1"/>
  <c r="T132" i="126"/>
  <c r="S132" i="126"/>
  <c r="U132" i="126" s="1"/>
  <c r="E132" i="126" s="1"/>
  <c r="T131" i="126"/>
  <c r="S131" i="126"/>
  <c r="T130" i="126"/>
  <c r="S130" i="126"/>
  <c r="U130" i="126" s="1"/>
  <c r="E130" i="126" s="1"/>
  <c r="E129" i="126"/>
  <c r="T129" i="126"/>
  <c r="S129" i="126"/>
  <c r="U129" i="126" s="1"/>
  <c r="T128" i="126"/>
  <c r="S128" i="126"/>
  <c r="U128" i="126" s="1"/>
  <c r="E128" i="126" s="1"/>
  <c r="T127" i="126"/>
  <c r="S127" i="126"/>
  <c r="S126" i="126"/>
  <c r="T125" i="126"/>
  <c r="U125" i="126" s="1"/>
  <c r="E125" i="126" s="1"/>
  <c r="S125" i="126"/>
  <c r="T124" i="126"/>
  <c r="S124" i="126"/>
  <c r="U123" i="126"/>
  <c r="E123" i="126" s="1"/>
  <c r="T123" i="126"/>
  <c r="S123" i="126"/>
  <c r="T122" i="126"/>
  <c r="S122" i="126"/>
  <c r="U122" i="126" s="1"/>
  <c r="E122" i="126" s="1"/>
  <c r="T121" i="126"/>
  <c r="U121" i="126" s="1"/>
  <c r="E121" i="126" s="1"/>
  <c r="S121" i="126"/>
  <c r="T120" i="126"/>
  <c r="S120" i="126"/>
  <c r="U119" i="126"/>
  <c r="E119" i="126" s="1"/>
  <c r="T119" i="126"/>
  <c r="S119" i="126"/>
  <c r="T118" i="126"/>
  <c r="S118" i="126"/>
  <c r="U118" i="126" s="1"/>
  <c r="E118" i="126" s="1"/>
  <c r="T117" i="126"/>
  <c r="U117" i="126" s="1"/>
  <c r="E117" i="126" s="1"/>
  <c r="S117" i="126"/>
  <c r="T116" i="126"/>
  <c r="S116" i="126"/>
  <c r="U115" i="126"/>
  <c r="E115" i="126" s="1"/>
  <c r="T115" i="126"/>
  <c r="S115" i="126"/>
  <c r="T114" i="126"/>
  <c r="S114" i="126"/>
  <c r="U114" i="126" s="1"/>
  <c r="E114" i="126" s="1"/>
  <c r="T113" i="126"/>
  <c r="U113" i="126" s="1"/>
  <c r="E113" i="126" s="1"/>
  <c r="S113" i="126"/>
  <c r="T112" i="126"/>
  <c r="S112" i="126"/>
  <c r="U111" i="126"/>
  <c r="E111" i="126" s="1"/>
  <c r="T111" i="126"/>
  <c r="S111" i="126"/>
  <c r="T110" i="126"/>
  <c r="S110" i="126"/>
  <c r="U110" i="126" s="1"/>
  <c r="E110" i="126" s="1"/>
  <c r="T109" i="126"/>
  <c r="S109" i="126"/>
  <c r="U109" i="126" s="1"/>
  <c r="E109" i="126" s="1"/>
  <c r="T108" i="126"/>
  <c r="S108" i="126"/>
  <c r="U107" i="126"/>
  <c r="E107" i="126" s="1"/>
  <c r="T107" i="126"/>
  <c r="S107" i="126"/>
  <c r="T106" i="126"/>
  <c r="S106" i="126"/>
  <c r="U106" i="126" s="1"/>
  <c r="E106" i="126" s="1"/>
  <c r="T105" i="126"/>
  <c r="S105" i="126"/>
  <c r="U105" i="126" s="1"/>
  <c r="E105" i="126" s="1"/>
  <c r="T104" i="126"/>
  <c r="S104" i="126"/>
  <c r="T103" i="126"/>
  <c r="S103" i="126"/>
  <c r="U103" i="126" s="1"/>
  <c r="E103" i="126" s="1"/>
  <c r="T102" i="126"/>
  <c r="S102" i="126"/>
  <c r="U102" i="126" s="1"/>
  <c r="E102" i="126" s="1"/>
  <c r="T101" i="126"/>
  <c r="U101" i="126" s="1"/>
  <c r="E101" i="126" s="1"/>
  <c r="S101" i="126"/>
  <c r="T100" i="126"/>
  <c r="S100" i="126"/>
  <c r="S99" i="126"/>
  <c r="T98" i="126"/>
  <c r="S98" i="126"/>
  <c r="U98" i="126" s="1"/>
  <c r="E98" i="126" s="1"/>
  <c r="U97" i="126"/>
  <c r="E97" i="126" s="1"/>
  <c r="T97" i="126"/>
  <c r="S97" i="126"/>
  <c r="T96" i="126"/>
  <c r="S96" i="126"/>
  <c r="U96" i="126" s="1"/>
  <c r="E96" i="126" s="1"/>
  <c r="U95" i="126"/>
  <c r="E95" i="126" s="1"/>
  <c r="T95" i="126"/>
  <c r="S95" i="126"/>
  <c r="T94" i="126"/>
  <c r="S94" i="126"/>
  <c r="U94" i="126" s="1"/>
  <c r="E94" i="126" s="1"/>
  <c r="U93" i="126"/>
  <c r="E93" i="126" s="1"/>
  <c r="T93" i="126"/>
  <c r="S93" i="126"/>
  <c r="T92" i="126"/>
  <c r="S92" i="126"/>
  <c r="U92" i="126" s="1"/>
  <c r="E92" i="126" s="1"/>
  <c r="U91" i="126"/>
  <c r="E91" i="126" s="1"/>
  <c r="T91" i="126"/>
  <c r="S91" i="126"/>
  <c r="T90" i="126"/>
  <c r="S90" i="126"/>
  <c r="U90" i="126" s="1"/>
  <c r="E90" i="126" s="1"/>
  <c r="U89" i="126"/>
  <c r="E89" i="126" s="1"/>
  <c r="T89" i="126"/>
  <c r="S89" i="126"/>
  <c r="T88" i="126"/>
  <c r="S88" i="126"/>
  <c r="U88" i="126" s="1"/>
  <c r="E88" i="126" s="1"/>
  <c r="U87" i="126"/>
  <c r="E87" i="126" s="1"/>
  <c r="T87" i="126"/>
  <c r="S87" i="126"/>
  <c r="T86" i="126"/>
  <c r="S86" i="126"/>
  <c r="U86" i="126" s="1"/>
  <c r="E86" i="126" s="1"/>
  <c r="U85" i="126"/>
  <c r="E85" i="126" s="1"/>
  <c r="T85" i="126"/>
  <c r="S85" i="126"/>
  <c r="T84" i="126"/>
  <c r="S84" i="126"/>
  <c r="U84" i="126" s="1"/>
  <c r="E84" i="126" s="1"/>
  <c r="U83" i="126"/>
  <c r="E83" i="126" s="1"/>
  <c r="T83" i="126"/>
  <c r="S83" i="126"/>
  <c r="T82" i="126"/>
  <c r="S82" i="126"/>
  <c r="U82" i="126" s="1"/>
  <c r="E82" i="126" s="1"/>
  <c r="U81" i="126"/>
  <c r="E81" i="126" s="1"/>
  <c r="T81" i="126"/>
  <c r="S81" i="126"/>
  <c r="T80" i="126"/>
  <c r="S80" i="126"/>
  <c r="U80" i="126" s="1"/>
  <c r="E80" i="126" s="1"/>
  <c r="U79" i="126"/>
  <c r="E79" i="126" s="1"/>
  <c r="T79" i="126"/>
  <c r="S79" i="126"/>
  <c r="T78" i="126"/>
  <c r="S78" i="126"/>
  <c r="U78" i="126" s="1"/>
  <c r="E78" i="126" s="1"/>
  <c r="U77" i="126"/>
  <c r="E77" i="126" s="1"/>
  <c r="T77" i="126"/>
  <c r="S77" i="126"/>
  <c r="T76" i="126"/>
  <c r="S76" i="126"/>
  <c r="U76" i="126" s="1"/>
  <c r="E76" i="126" s="1"/>
  <c r="U75" i="126"/>
  <c r="E75" i="126" s="1"/>
  <c r="T75" i="126"/>
  <c r="S75" i="126"/>
  <c r="T74" i="126"/>
  <c r="S74" i="126"/>
  <c r="U74" i="126" s="1"/>
  <c r="E74" i="126" s="1"/>
  <c r="U73" i="126"/>
  <c r="E73" i="126" s="1"/>
  <c r="T73" i="126"/>
  <c r="S73" i="126"/>
  <c r="T72" i="126"/>
  <c r="S72" i="126"/>
  <c r="U72" i="126" s="1"/>
  <c r="E72" i="126" s="1"/>
  <c r="U71" i="126"/>
  <c r="E71" i="126" s="1"/>
  <c r="T71" i="126"/>
  <c r="S71" i="126"/>
  <c r="T70" i="126"/>
  <c r="S70" i="126"/>
  <c r="U70" i="126" s="1"/>
  <c r="E70" i="126" s="1"/>
  <c r="U69" i="126"/>
  <c r="E69" i="126" s="1"/>
  <c r="T69" i="126"/>
  <c r="S69" i="126"/>
  <c r="T68" i="126"/>
  <c r="S68" i="126"/>
  <c r="U68" i="126" s="1"/>
  <c r="E68" i="126" s="1"/>
  <c r="U67" i="126"/>
  <c r="E67" i="126" s="1"/>
  <c r="T67" i="126"/>
  <c r="S67" i="126"/>
  <c r="T66" i="126"/>
  <c r="S66" i="126"/>
  <c r="U66" i="126" s="1"/>
  <c r="E66" i="126" s="1"/>
  <c r="U65" i="126"/>
  <c r="E65" i="126" s="1"/>
  <c r="T65" i="126"/>
  <c r="S65" i="126"/>
  <c r="T64" i="126"/>
  <c r="S64" i="126"/>
  <c r="U64" i="126" s="1"/>
  <c r="E64" i="126" s="1"/>
  <c r="U63" i="126"/>
  <c r="E63" i="126" s="1"/>
  <c r="T63" i="126"/>
  <c r="S63" i="126"/>
  <c r="T62" i="126"/>
  <c r="S62" i="126"/>
  <c r="U62" i="126" s="1"/>
  <c r="E62" i="126" s="1"/>
  <c r="U61" i="126"/>
  <c r="E61" i="126" s="1"/>
  <c r="T61" i="126"/>
  <c r="S61" i="126"/>
  <c r="T60" i="126"/>
  <c r="S60" i="126"/>
  <c r="U60" i="126" s="1"/>
  <c r="E60" i="126" s="1"/>
  <c r="U59" i="126"/>
  <c r="E59" i="126" s="1"/>
  <c r="T59" i="126"/>
  <c r="S59" i="126"/>
  <c r="T58" i="126"/>
  <c r="S58" i="126"/>
  <c r="U58" i="126" s="1"/>
  <c r="E58" i="126" s="1"/>
  <c r="U57" i="126"/>
  <c r="E57" i="126" s="1"/>
  <c r="T57" i="126"/>
  <c r="S57" i="126"/>
  <c r="T56" i="126"/>
  <c r="S56" i="126"/>
  <c r="U56" i="126" s="1"/>
  <c r="E56" i="126" s="1"/>
  <c r="U55" i="126"/>
  <c r="E55" i="126" s="1"/>
  <c r="T55" i="126"/>
  <c r="S55" i="126"/>
  <c r="T54" i="126"/>
  <c r="S54" i="126"/>
  <c r="U54" i="126" s="1"/>
  <c r="E54" i="126" s="1"/>
  <c r="U53" i="126"/>
  <c r="E53" i="126" s="1"/>
  <c r="T53" i="126"/>
  <c r="S53" i="126"/>
  <c r="T52" i="126"/>
  <c r="S52" i="126"/>
  <c r="U52" i="126" s="1"/>
  <c r="E52" i="126" s="1"/>
  <c r="U51" i="126"/>
  <c r="E51" i="126" s="1"/>
  <c r="T51" i="126"/>
  <c r="S51" i="126"/>
  <c r="T50" i="126"/>
  <c r="S50" i="126"/>
  <c r="U50" i="126" s="1"/>
  <c r="E50" i="126" s="1"/>
  <c r="S49" i="126"/>
  <c r="T48" i="126"/>
  <c r="S48" i="126"/>
  <c r="U48" i="126" s="1"/>
  <c r="E48" i="126" s="1"/>
  <c r="T47" i="126"/>
  <c r="S47" i="126"/>
  <c r="E46" i="126"/>
  <c r="T46" i="126"/>
  <c r="S46" i="126"/>
  <c r="U46" i="126" s="1"/>
  <c r="T45" i="126"/>
  <c r="S45" i="126"/>
  <c r="E44" i="126"/>
  <c r="T44" i="126"/>
  <c r="S44" i="126"/>
  <c r="U44" i="126" s="1"/>
  <c r="T43" i="126"/>
  <c r="S43" i="126"/>
  <c r="T42" i="126"/>
  <c r="S42" i="126"/>
  <c r="U42" i="126" s="1"/>
  <c r="E42" i="126" s="1"/>
  <c r="T41" i="126"/>
  <c r="S41" i="126"/>
  <c r="T40" i="126"/>
  <c r="S40" i="126"/>
  <c r="U40" i="126" s="1"/>
  <c r="E40" i="126" s="1"/>
  <c r="T39" i="126"/>
  <c r="S39" i="126"/>
  <c r="E38" i="126"/>
  <c r="T38" i="126"/>
  <c r="S38" i="126"/>
  <c r="U38" i="126" s="1"/>
  <c r="T37" i="126"/>
  <c r="S37" i="126"/>
  <c r="E36" i="126"/>
  <c r="T36" i="126"/>
  <c r="S36" i="126"/>
  <c r="U36" i="126" s="1"/>
  <c r="T35" i="126"/>
  <c r="S35" i="126"/>
  <c r="T34" i="126"/>
  <c r="S34" i="126"/>
  <c r="U34" i="126" s="1"/>
  <c r="E34" i="126" s="1"/>
  <c r="T33" i="126"/>
  <c r="S33" i="126"/>
  <c r="T32" i="126"/>
  <c r="S32" i="126"/>
  <c r="U32" i="126" s="1"/>
  <c r="E32" i="126" s="1"/>
  <c r="T31" i="126"/>
  <c r="S31" i="126"/>
  <c r="E30" i="126"/>
  <c r="T30" i="126"/>
  <c r="S30" i="126"/>
  <c r="U30" i="126" s="1"/>
  <c r="T29" i="126"/>
  <c r="S29" i="126"/>
  <c r="T28" i="126"/>
  <c r="S28" i="126"/>
  <c r="U28" i="126" s="1"/>
  <c r="E28" i="126" s="1"/>
  <c r="T27" i="126"/>
  <c r="S27" i="126"/>
  <c r="U27" i="126" s="1"/>
  <c r="E27" i="126" s="1"/>
  <c r="U26" i="126"/>
  <c r="E26" i="126" s="1"/>
  <c r="T26" i="126"/>
  <c r="S26" i="126"/>
  <c r="T25" i="126"/>
  <c r="S25" i="126"/>
  <c r="T24" i="126"/>
  <c r="S24" i="126"/>
  <c r="U24" i="126" s="1"/>
  <c r="E24" i="126" s="1"/>
  <c r="E23" i="126"/>
  <c r="T23" i="126"/>
  <c r="S23" i="126"/>
  <c r="U23" i="126" s="1"/>
  <c r="T22" i="126"/>
  <c r="S22" i="126"/>
  <c r="U22" i="126" s="1"/>
  <c r="E22" i="126" s="1"/>
  <c r="T21" i="126"/>
  <c r="S21" i="126"/>
  <c r="T20" i="126"/>
  <c r="S20" i="126"/>
  <c r="U20" i="126" s="1"/>
  <c r="E20" i="126" s="1"/>
  <c r="T19" i="126"/>
  <c r="S19" i="126"/>
  <c r="U19" i="126" s="1"/>
  <c r="E19" i="126" s="1"/>
  <c r="T18" i="126"/>
  <c r="S18" i="126"/>
  <c r="U18" i="126" s="1"/>
  <c r="E18" i="126" s="1"/>
  <c r="T17" i="126"/>
  <c r="S17" i="126"/>
  <c r="U17" i="126" s="1"/>
  <c r="E17" i="126" s="1"/>
  <c r="T16" i="126"/>
  <c r="S16" i="126"/>
  <c r="U16" i="126" s="1"/>
  <c r="E16" i="126" s="1"/>
  <c r="T15" i="126"/>
  <c r="S15" i="126"/>
  <c r="U15" i="126" s="1"/>
  <c r="E15" i="126" s="1"/>
  <c r="T14" i="126"/>
  <c r="S14" i="126"/>
  <c r="U14" i="126" s="1"/>
  <c r="E14" i="126" s="1"/>
  <c r="T13" i="126"/>
  <c r="S13" i="126"/>
  <c r="U13" i="126" s="1"/>
  <c r="E13" i="126" s="1"/>
  <c r="T12" i="126"/>
  <c r="S12" i="126"/>
  <c r="U12" i="126" s="1"/>
  <c r="E12" i="126" s="1"/>
  <c r="T11" i="126"/>
  <c r="S11" i="126"/>
  <c r="U11" i="126" s="1"/>
  <c r="E11" i="126" s="1"/>
  <c r="T10" i="126"/>
  <c r="S10" i="126"/>
  <c r="U10" i="126" s="1"/>
  <c r="E10" i="126" s="1"/>
  <c r="U339" i="126"/>
  <c r="T339" i="126" s="1"/>
  <c r="S339" i="126"/>
  <c r="U338" i="126"/>
  <c r="E338" i="126" s="1"/>
  <c r="S338" i="126"/>
  <c r="H2" i="125"/>
  <c r="H3" i="125" s="1"/>
  <c r="G2" i="125"/>
  <c r="G3" i="125" s="1"/>
  <c r="L13" i="125"/>
  <c r="E13" i="125" s="1"/>
  <c r="K13" i="125"/>
  <c r="J13" i="125"/>
  <c r="J12" i="125"/>
  <c r="E11" i="125"/>
  <c r="L11" i="125"/>
  <c r="K11" i="125"/>
  <c r="J11" i="125"/>
  <c r="J10" i="125"/>
  <c r="E17" i="125"/>
  <c r="L17" i="125"/>
  <c r="K17" i="125" s="1"/>
  <c r="J17" i="125"/>
  <c r="L16" i="125"/>
  <c r="E16" i="125" s="1"/>
  <c r="J16" i="125"/>
  <c r="Q2" i="124"/>
  <c r="Q3" i="124" s="1"/>
  <c r="P2" i="124"/>
  <c r="P3" i="124" s="1"/>
  <c r="O2" i="124"/>
  <c r="O3" i="124" s="1"/>
  <c r="N2" i="124"/>
  <c r="N3" i="124" s="1"/>
  <c r="M2" i="124"/>
  <c r="M3" i="124" s="1"/>
  <c r="L2" i="124"/>
  <c r="L3" i="124" s="1"/>
  <c r="K2" i="124"/>
  <c r="K3" i="124" s="1"/>
  <c r="J2" i="124"/>
  <c r="J3" i="124" s="1"/>
  <c r="I2" i="124"/>
  <c r="I3" i="124" s="1"/>
  <c r="H2" i="124"/>
  <c r="H3" i="124" s="1"/>
  <c r="G2" i="124"/>
  <c r="G3" i="124" s="1"/>
  <c r="R330" i="124"/>
  <c r="T330" i="124" s="1"/>
  <c r="E330" i="124" s="1"/>
  <c r="T329" i="124"/>
  <c r="E329" i="124" s="1"/>
  <c r="R329" i="124"/>
  <c r="R328" i="124"/>
  <c r="T328" i="124" s="1"/>
  <c r="E328" i="124" s="1"/>
  <c r="T327" i="124"/>
  <c r="E327" i="124" s="1"/>
  <c r="R327" i="124"/>
  <c r="R326" i="124"/>
  <c r="T326" i="124" s="1"/>
  <c r="E326" i="124" s="1"/>
  <c r="T325" i="124"/>
  <c r="E325" i="124" s="1"/>
  <c r="R325" i="124"/>
  <c r="R324" i="124"/>
  <c r="T324" i="124" s="1"/>
  <c r="E324" i="124" s="1"/>
  <c r="T323" i="124"/>
  <c r="E323" i="124" s="1"/>
  <c r="R323" i="124"/>
  <c r="R322" i="124"/>
  <c r="T322" i="124" s="1"/>
  <c r="E322" i="124" s="1"/>
  <c r="T321" i="124"/>
  <c r="E321" i="124" s="1"/>
  <c r="R321" i="124"/>
  <c r="R320" i="124"/>
  <c r="T320" i="124" s="1"/>
  <c r="E320" i="124" s="1"/>
  <c r="T319" i="124"/>
  <c r="E319" i="124" s="1"/>
  <c r="R319" i="124"/>
  <c r="R318" i="124"/>
  <c r="T318" i="124" s="1"/>
  <c r="E318" i="124" s="1"/>
  <c r="T317" i="124"/>
  <c r="E317" i="124" s="1"/>
  <c r="R317" i="124"/>
  <c r="R316" i="124"/>
  <c r="T316" i="124" s="1"/>
  <c r="E316" i="124" s="1"/>
  <c r="T315" i="124"/>
  <c r="E315" i="124" s="1"/>
  <c r="R315" i="124"/>
  <c r="E314" i="124"/>
  <c r="R314" i="124"/>
  <c r="T314" i="124" s="1"/>
  <c r="T313" i="124"/>
  <c r="E313" i="124" s="1"/>
  <c r="R313" i="124"/>
  <c r="R312" i="124"/>
  <c r="T312" i="124" s="1"/>
  <c r="E312" i="124" s="1"/>
  <c r="T311" i="124"/>
  <c r="E311" i="124" s="1"/>
  <c r="R311" i="124"/>
  <c r="R310" i="124"/>
  <c r="T310" i="124" s="1"/>
  <c r="E310" i="124" s="1"/>
  <c r="T309" i="124"/>
  <c r="E309" i="124" s="1"/>
  <c r="R309" i="124"/>
  <c r="R308" i="124"/>
  <c r="T308" i="124" s="1"/>
  <c r="E308" i="124" s="1"/>
  <c r="T307" i="124"/>
  <c r="E307" i="124" s="1"/>
  <c r="R307" i="124"/>
  <c r="R306" i="124"/>
  <c r="T306" i="124" s="1"/>
  <c r="E306" i="124" s="1"/>
  <c r="T305" i="124"/>
  <c r="E305" i="124" s="1"/>
  <c r="R305" i="124"/>
  <c r="R304" i="124"/>
  <c r="T304" i="124" s="1"/>
  <c r="E304" i="124" s="1"/>
  <c r="T303" i="124"/>
  <c r="E303" i="124" s="1"/>
  <c r="R303" i="124"/>
  <c r="R302" i="124"/>
  <c r="T302" i="124" s="1"/>
  <c r="E302" i="124" s="1"/>
  <c r="T301" i="124"/>
  <c r="E301" i="124" s="1"/>
  <c r="R301" i="124"/>
  <c r="R300" i="124"/>
  <c r="T300" i="124" s="1"/>
  <c r="E300" i="124" s="1"/>
  <c r="T299" i="124"/>
  <c r="E299" i="124" s="1"/>
  <c r="R299" i="124"/>
  <c r="E298" i="124"/>
  <c r="R298" i="124"/>
  <c r="T298" i="124" s="1"/>
  <c r="T297" i="124"/>
  <c r="E297" i="124" s="1"/>
  <c r="R297" i="124"/>
  <c r="R296" i="124"/>
  <c r="T296" i="124" s="1"/>
  <c r="E296" i="124" s="1"/>
  <c r="T295" i="124"/>
  <c r="E295" i="124" s="1"/>
  <c r="R295" i="124"/>
  <c r="R294" i="124"/>
  <c r="T294" i="124" s="1"/>
  <c r="E294" i="124" s="1"/>
  <c r="T293" i="124"/>
  <c r="E293" i="124" s="1"/>
  <c r="R293" i="124"/>
  <c r="R292" i="124"/>
  <c r="T292" i="124" s="1"/>
  <c r="E292" i="124" s="1"/>
  <c r="T291" i="124"/>
  <c r="E291" i="124" s="1"/>
  <c r="R291" i="124"/>
  <c r="R290" i="124"/>
  <c r="T290" i="124" s="1"/>
  <c r="E290" i="124" s="1"/>
  <c r="T289" i="124"/>
  <c r="E289" i="124" s="1"/>
  <c r="R289" i="124"/>
  <c r="R288" i="124"/>
  <c r="T288" i="124" s="1"/>
  <c r="E288" i="124" s="1"/>
  <c r="T287" i="124"/>
  <c r="E287" i="124" s="1"/>
  <c r="R287" i="124"/>
  <c r="R286" i="124"/>
  <c r="T286" i="124" s="1"/>
  <c r="E286" i="124" s="1"/>
  <c r="T285" i="124"/>
  <c r="E285" i="124" s="1"/>
  <c r="R285" i="124"/>
  <c r="R284" i="124"/>
  <c r="T284" i="124" s="1"/>
  <c r="E284" i="124" s="1"/>
  <c r="T283" i="124"/>
  <c r="E283" i="124" s="1"/>
  <c r="R283" i="124"/>
  <c r="E282" i="124"/>
  <c r="R282" i="124"/>
  <c r="T282" i="124" s="1"/>
  <c r="T281" i="124"/>
  <c r="E281" i="124" s="1"/>
  <c r="R281" i="124"/>
  <c r="R280" i="124"/>
  <c r="T280" i="124" s="1"/>
  <c r="E280" i="124" s="1"/>
  <c r="T279" i="124"/>
  <c r="E279" i="124" s="1"/>
  <c r="R279" i="124"/>
  <c r="R278" i="124"/>
  <c r="T278" i="124" s="1"/>
  <c r="E278" i="124" s="1"/>
  <c r="T277" i="124"/>
  <c r="E277" i="124" s="1"/>
  <c r="R277" i="124"/>
  <c r="R276" i="124"/>
  <c r="T276" i="124" s="1"/>
  <c r="E276" i="124" s="1"/>
  <c r="T275" i="124"/>
  <c r="E275" i="124" s="1"/>
  <c r="R275" i="124"/>
  <c r="R274" i="124"/>
  <c r="T274" i="124" s="1"/>
  <c r="E274" i="124" s="1"/>
  <c r="T273" i="124"/>
  <c r="E273" i="124" s="1"/>
  <c r="R273" i="124"/>
  <c r="R272" i="124"/>
  <c r="T272" i="124" s="1"/>
  <c r="E272" i="124" s="1"/>
  <c r="T271" i="124"/>
  <c r="E271" i="124" s="1"/>
  <c r="R271" i="124"/>
  <c r="R270" i="124"/>
  <c r="T270" i="124" s="1"/>
  <c r="E270" i="124" s="1"/>
  <c r="T269" i="124"/>
  <c r="E269" i="124" s="1"/>
  <c r="R269" i="124"/>
  <c r="R268" i="124"/>
  <c r="T268" i="124" s="1"/>
  <c r="E268" i="124" s="1"/>
  <c r="T267" i="124"/>
  <c r="E267" i="124" s="1"/>
  <c r="R267" i="124"/>
  <c r="E266" i="124"/>
  <c r="R266" i="124"/>
  <c r="T266" i="124" s="1"/>
  <c r="T265" i="124"/>
  <c r="E265" i="124" s="1"/>
  <c r="R265" i="124"/>
  <c r="R264" i="124"/>
  <c r="T264" i="124" s="1"/>
  <c r="E264" i="124" s="1"/>
  <c r="T263" i="124"/>
  <c r="E263" i="124" s="1"/>
  <c r="R263" i="124"/>
  <c r="R262" i="124"/>
  <c r="T262" i="124" s="1"/>
  <c r="E262" i="124" s="1"/>
  <c r="T261" i="124"/>
  <c r="E261" i="124" s="1"/>
  <c r="R261" i="124"/>
  <c r="R260" i="124"/>
  <c r="T260" i="124" s="1"/>
  <c r="E260" i="124" s="1"/>
  <c r="T259" i="124"/>
  <c r="E259" i="124" s="1"/>
  <c r="R259" i="124"/>
  <c r="R258" i="124"/>
  <c r="T258" i="124" s="1"/>
  <c r="E258" i="124" s="1"/>
  <c r="T257" i="124"/>
  <c r="E257" i="124" s="1"/>
  <c r="R257" i="124"/>
  <c r="R256" i="124"/>
  <c r="T256" i="124" s="1"/>
  <c r="E256" i="124" s="1"/>
  <c r="T255" i="124"/>
  <c r="E255" i="124" s="1"/>
  <c r="R255" i="124"/>
  <c r="R254" i="124"/>
  <c r="T254" i="124" s="1"/>
  <c r="E254" i="124" s="1"/>
  <c r="T253" i="124"/>
  <c r="E253" i="124" s="1"/>
  <c r="R253" i="124"/>
  <c r="R252" i="124"/>
  <c r="T252" i="124" s="1"/>
  <c r="E252" i="124" s="1"/>
  <c r="T251" i="124"/>
  <c r="E251" i="124" s="1"/>
  <c r="R251" i="124"/>
  <c r="E250" i="124"/>
  <c r="R250" i="124"/>
  <c r="T250" i="124" s="1"/>
  <c r="T249" i="124"/>
  <c r="E249" i="124" s="1"/>
  <c r="R249" i="124"/>
  <c r="R248" i="124"/>
  <c r="T248" i="124" s="1"/>
  <c r="E248" i="124" s="1"/>
  <c r="T247" i="124"/>
  <c r="E247" i="124" s="1"/>
  <c r="R247" i="124"/>
  <c r="R246" i="124"/>
  <c r="T246" i="124" s="1"/>
  <c r="E246" i="124" s="1"/>
  <c r="T245" i="124"/>
  <c r="E245" i="124" s="1"/>
  <c r="R245" i="124"/>
  <c r="R244" i="124"/>
  <c r="T244" i="124" s="1"/>
  <c r="E244" i="124" s="1"/>
  <c r="T243" i="124"/>
  <c r="E243" i="124" s="1"/>
  <c r="R243" i="124"/>
  <c r="R242" i="124"/>
  <c r="T242" i="124" s="1"/>
  <c r="E242" i="124" s="1"/>
  <c r="T241" i="124"/>
  <c r="E241" i="124" s="1"/>
  <c r="R241" i="124"/>
  <c r="R240" i="124"/>
  <c r="T240" i="124" s="1"/>
  <c r="E240" i="124" s="1"/>
  <c r="T239" i="124"/>
  <c r="E239" i="124" s="1"/>
  <c r="R239" i="124"/>
  <c r="R238" i="124"/>
  <c r="T238" i="124" s="1"/>
  <c r="E238" i="124" s="1"/>
  <c r="T237" i="124"/>
  <c r="E237" i="124" s="1"/>
  <c r="R237" i="124"/>
  <c r="R236" i="124"/>
  <c r="T236" i="124" s="1"/>
  <c r="E236" i="124" s="1"/>
  <c r="T235" i="124"/>
  <c r="E235" i="124" s="1"/>
  <c r="R235" i="124"/>
  <c r="E234" i="124"/>
  <c r="R234" i="124"/>
  <c r="T234" i="124" s="1"/>
  <c r="T233" i="124"/>
  <c r="E233" i="124" s="1"/>
  <c r="R233" i="124"/>
  <c r="R232" i="124"/>
  <c r="T232" i="124" s="1"/>
  <c r="E232" i="124" s="1"/>
  <c r="T231" i="124"/>
  <c r="E231" i="124" s="1"/>
  <c r="R231" i="124"/>
  <c r="R230" i="124"/>
  <c r="T230" i="124" s="1"/>
  <c r="E230" i="124" s="1"/>
  <c r="T229" i="124"/>
  <c r="E229" i="124" s="1"/>
  <c r="R229" i="124"/>
  <c r="R228" i="124"/>
  <c r="T228" i="124" s="1"/>
  <c r="E228" i="124" s="1"/>
  <c r="T227" i="124"/>
  <c r="E227" i="124" s="1"/>
  <c r="R227" i="124"/>
  <c r="R226" i="124"/>
  <c r="T226" i="124" s="1"/>
  <c r="E226" i="124" s="1"/>
  <c r="T225" i="124"/>
  <c r="E225" i="124" s="1"/>
  <c r="R225" i="124"/>
  <c r="R224" i="124"/>
  <c r="T224" i="124" s="1"/>
  <c r="E224" i="124" s="1"/>
  <c r="T223" i="124"/>
  <c r="E223" i="124" s="1"/>
  <c r="R223" i="124"/>
  <c r="R222" i="124"/>
  <c r="T222" i="124" s="1"/>
  <c r="E222" i="124" s="1"/>
  <c r="T221" i="124"/>
  <c r="E221" i="124" s="1"/>
  <c r="R221" i="124"/>
  <c r="R220" i="124"/>
  <c r="T220" i="124" s="1"/>
  <c r="E220" i="124" s="1"/>
  <c r="T219" i="124"/>
  <c r="E219" i="124" s="1"/>
  <c r="R219" i="124"/>
  <c r="E218" i="124"/>
  <c r="R218" i="124"/>
  <c r="T218" i="124" s="1"/>
  <c r="T217" i="124"/>
  <c r="E217" i="124" s="1"/>
  <c r="R217" i="124"/>
  <c r="R216" i="124"/>
  <c r="T216" i="124" s="1"/>
  <c r="E216" i="124" s="1"/>
  <c r="T215" i="124"/>
  <c r="E215" i="124" s="1"/>
  <c r="R215" i="124"/>
  <c r="R214" i="124"/>
  <c r="T214" i="124" s="1"/>
  <c r="E214" i="124" s="1"/>
  <c r="T213" i="124"/>
  <c r="E213" i="124" s="1"/>
  <c r="R213" i="124"/>
  <c r="R212" i="124"/>
  <c r="T212" i="124" s="1"/>
  <c r="E212" i="124" s="1"/>
  <c r="T211" i="124"/>
  <c r="E211" i="124" s="1"/>
  <c r="R211" i="124"/>
  <c r="R210" i="124"/>
  <c r="T210" i="124" s="1"/>
  <c r="E210" i="124" s="1"/>
  <c r="T209" i="124"/>
  <c r="E209" i="124" s="1"/>
  <c r="R209" i="124"/>
  <c r="R208" i="124"/>
  <c r="T208" i="124" s="1"/>
  <c r="E208" i="124" s="1"/>
  <c r="T207" i="124"/>
  <c r="E207" i="124" s="1"/>
  <c r="R207" i="124"/>
  <c r="R206" i="124"/>
  <c r="T206" i="124" s="1"/>
  <c r="E206" i="124" s="1"/>
  <c r="T205" i="124"/>
  <c r="E205" i="124" s="1"/>
  <c r="R205" i="124"/>
  <c r="R204" i="124"/>
  <c r="T204" i="124" s="1"/>
  <c r="E204" i="124" s="1"/>
  <c r="T203" i="124"/>
  <c r="E203" i="124" s="1"/>
  <c r="R203" i="124"/>
  <c r="E202" i="124"/>
  <c r="R202" i="124"/>
  <c r="T202" i="124" s="1"/>
  <c r="T201" i="124"/>
  <c r="E201" i="124" s="1"/>
  <c r="R201" i="124"/>
  <c r="R200" i="124"/>
  <c r="T200" i="124" s="1"/>
  <c r="E200" i="124" s="1"/>
  <c r="T199" i="124"/>
  <c r="E199" i="124" s="1"/>
  <c r="R199" i="124"/>
  <c r="R198" i="124"/>
  <c r="T198" i="124" s="1"/>
  <c r="E198" i="124" s="1"/>
  <c r="T197" i="124"/>
  <c r="E197" i="124" s="1"/>
  <c r="R197" i="124"/>
  <c r="R196" i="124"/>
  <c r="T196" i="124" s="1"/>
  <c r="E196" i="124" s="1"/>
  <c r="T195" i="124"/>
  <c r="E195" i="124" s="1"/>
  <c r="R195" i="124"/>
  <c r="R194" i="124"/>
  <c r="T194" i="124" s="1"/>
  <c r="E194" i="124" s="1"/>
  <c r="T193" i="124"/>
  <c r="E193" i="124" s="1"/>
  <c r="R193" i="124"/>
  <c r="R192" i="124"/>
  <c r="T192" i="124" s="1"/>
  <c r="E192" i="124" s="1"/>
  <c r="T191" i="124"/>
  <c r="E191" i="124" s="1"/>
  <c r="R191" i="124"/>
  <c r="R190" i="124"/>
  <c r="T190" i="124" s="1"/>
  <c r="E190" i="124" s="1"/>
  <c r="T189" i="124"/>
  <c r="E189" i="124" s="1"/>
  <c r="R189" i="124"/>
  <c r="R188" i="124"/>
  <c r="T188" i="124" s="1"/>
  <c r="E188" i="124" s="1"/>
  <c r="T187" i="124"/>
  <c r="E187" i="124" s="1"/>
  <c r="R187" i="124"/>
  <c r="E186" i="124"/>
  <c r="R186" i="124"/>
  <c r="T186" i="124" s="1"/>
  <c r="T185" i="124"/>
  <c r="E185" i="124" s="1"/>
  <c r="R185" i="124"/>
  <c r="R184" i="124"/>
  <c r="T184" i="124" s="1"/>
  <c r="E184" i="124" s="1"/>
  <c r="T183" i="124"/>
  <c r="E183" i="124" s="1"/>
  <c r="R183" i="124"/>
  <c r="R182" i="124"/>
  <c r="T182" i="124" s="1"/>
  <c r="E182" i="124" s="1"/>
  <c r="T181" i="124"/>
  <c r="E181" i="124" s="1"/>
  <c r="R181" i="124"/>
  <c r="R180" i="124"/>
  <c r="T180" i="124" s="1"/>
  <c r="E180" i="124" s="1"/>
  <c r="T179" i="124"/>
  <c r="E179" i="124" s="1"/>
  <c r="R179" i="124"/>
  <c r="R178" i="124"/>
  <c r="T178" i="124" s="1"/>
  <c r="E178" i="124" s="1"/>
  <c r="T177" i="124"/>
  <c r="E177" i="124" s="1"/>
  <c r="R177" i="124"/>
  <c r="R176" i="124"/>
  <c r="T176" i="124" s="1"/>
  <c r="E176" i="124" s="1"/>
  <c r="T175" i="124"/>
  <c r="E175" i="124" s="1"/>
  <c r="R175" i="124"/>
  <c r="R174" i="124"/>
  <c r="T174" i="124" s="1"/>
  <c r="E174" i="124" s="1"/>
  <c r="T173" i="124"/>
  <c r="E173" i="124" s="1"/>
  <c r="R173" i="124"/>
  <c r="R172" i="124"/>
  <c r="T172" i="124" s="1"/>
  <c r="E172" i="124" s="1"/>
  <c r="T171" i="124"/>
  <c r="E171" i="124" s="1"/>
  <c r="R171" i="124"/>
  <c r="R170" i="124"/>
  <c r="T170" i="124" s="1"/>
  <c r="E170" i="124" s="1"/>
  <c r="T169" i="124"/>
  <c r="E169" i="124" s="1"/>
  <c r="R169" i="124"/>
  <c r="R168" i="124"/>
  <c r="T168" i="124" s="1"/>
  <c r="E168" i="124" s="1"/>
  <c r="T167" i="124"/>
  <c r="E167" i="124" s="1"/>
  <c r="R167" i="124"/>
  <c r="R166" i="124"/>
  <c r="T166" i="124" s="1"/>
  <c r="E166" i="124" s="1"/>
  <c r="T165" i="124"/>
  <c r="E165" i="124" s="1"/>
  <c r="R165" i="124"/>
  <c r="R164" i="124"/>
  <c r="T164" i="124" s="1"/>
  <c r="E164" i="124" s="1"/>
  <c r="T163" i="124"/>
  <c r="E163" i="124" s="1"/>
  <c r="R163" i="124"/>
  <c r="R162" i="124"/>
  <c r="T162" i="124" s="1"/>
  <c r="E162" i="124" s="1"/>
  <c r="T161" i="124"/>
  <c r="E161" i="124" s="1"/>
  <c r="R161" i="124"/>
  <c r="R160" i="124"/>
  <c r="T160" i="124" s="1"/>
  <c r="E160" i="124" s="1"/>
  <c r="T159" i="124"/>
  <c r="E159" i="124" s="1"/>
  <c r="R159" i="124"/>
  <c r="R158" i="124"/>
  <c r="T158" i="124" s="1"/>
  <c r="E158" i="124" s="1"/>
  <c r="T157" i="124"/>
  <c r="E157" i="124" s="1"/>
  <c r="R157" i="124"/>
  <c r="R156" i="124"/>
  <c r="T156" i="124" s="1"/>
  <c r="E156" i="124" s="1"/>
  <c r="T155" i="124"/>
  <c r="E155" i="124" s="1"/>
  <c r="R155" i="124"/>
  <c r="R154" i="124"/>
  <c r="T154" i="124" s="1"/>
  <c r="E154" i="124" s="1"/>
  <c r="T153" i="124"/>
  <c r="E153" i="124" s="1"/>
  <c r="R153" i="124"/>
  <c r="R152" i="124"/>
  <c r="T152" i="124" s="1"/>
  <c r="E152" i="124" s="1"/>
  <c r="T151" i="124"/>
  <c r="E151" i="124" s="1"/>
  <c r="R151" i="124"/>
  <c r="R150" i="124"/>
  <c r="T150" i="124" s="1"/>
  <c r="E150" i="124" s="1"/>
  <c r="T149" i="124"/>
  <c r="E149" i="124" s="1"/>
  <c r="R149" i="124"/>
  <c r="R148" i="124"/>
  <c r="T148" i="124" s="1"/>
  <c r="E148" i="124" s="1"/>
  <c r="T147" i="124"/>
  <c r="E147" i="124" s="1"/>
  <c r="R147" i="124"/>
  <c r="R146" i="124"/>
  <c r="T146" i="124" s="1"/>
  <c r="E146" i="124" s="1"/>
  <c r="T145" i="124"/>
  <c r="E145" i="124" s="1"/>
  <c r="R145" i="124"/>
  <c r="R144" i="124"/>
  <c r="T144" i="124" s="1"/>
  <c r="E144" i="124" s="1"/>
  <c r="T143" i="124"/>
  <c r="E143" i="124" s="1"/>
  <c r="R143" i="124"/>
  <c r="R142" i="124"/>
  <c r="T142" i="124" s="1"/>
  <c r="E142" i="124" s="1"/>
  <c r="T141" i="124"/>
  <c r="E141" i="124" s="1"/>
  <c r="R141" i="124"/>
  <c r="R140" i="124"/>
  <c r="T140" i="124" s="1"/>
  <c r="E140" i="124" s="1"/>
  <c r="T139" i="124"/>
  <c r="E139" i="124" s="1"/>
  <c r="R139" i="124"/>
  <c r="R138" i="124"/>
  <c r="T138" i="124" s="1"/>
  <c r="E138" i="124" s="1"/>
  <c r="T137" i="124"/>
  <c r="E137" i="124" s="1"/>
  <c r="R137" i="124"/>
  <c r="R136" i="124"/>
  <c r="T136" i="124" s="1"/>
  <c r="E136" i="124" s="1"/>
  <c r="T135" i="124"/>
  <c r="E135" i="124" s="1"/>
  <c r="R135" i="124"/>
  <c r="R134" i="124"/>
  <c r="T134" i="124" s="1"/>
  <c r="E134" i="124" s="1"/>
  <c r="T133" i="124"/>
  <c r="E133" i="124" s="1"/>
  <c r="R133" i="124"/>
  <c r="R132" i="124"/>
  <c r="T132" i="124" s="1"/>
  <c r="E132" i="124" s="1"/>
  <c r="T131" i="124"/>
  <c r="E131" i="124" s="1"/>
  <c r="R131" i="124"/>
  <c r="R130" i="124"/>
  <c r="T130" i="124" s="1"/>
  <c r="E130" i="124" s="1"/>
  <c r="T129" i="124"/>
  <c r="E129" i="124" s="1"/>
  <c r="R129" i="124"/>
  <c r="R128" i="124"/>
  <c r="T128" i="124" s="1"/>
  <c r="E128" i="124" s="1"/>
  <c r="T127" i="124"/>
  <c r="E127" i="124" s="1"/>
  <c r="R127" i="124"/>
  <c r="R126" i="124"/>
  <c r="T126" i="124" s="1"/>
  <c r="E126" i="124" s="1"/>
  <c r="T125" i="124"/>
  <c r="E125" i="124" s="1"/>
  <c r="R125" i="124"/>
  <c r="R124" i="124"/>
  <c r="T124" i="124" s="1"/>
  <c r="E124" i="124" s="1"/>
  <c r="T123" i="124"/>
  <c r="E123" i="124" s="1"/>
  <c r="R123" i="124"/>
  <c r="R122" i="124"/>
  <c r="T122" i="124" s="1"/>
  <c r="E122" i="124" s="1"/>
  <c r="T121" i="124"/>
  <c r="E121" i="124" s="1"/>
  <c r="R121" i="124"/>
  <c r="R120" i="124"/>
  <c r="T120" i="124" s="1"/>
  <c r="E120" i="124" s="1"/>
  <c r="T119" i="124"/>
  <c r="E119" i="124" s="1"/>
  <c r="R119" i="124"/>
  <c r="R118" i="124"/>
  <c r="T118" i="124" s="1"/>
  <c r="E118" i="124" s="1"/>
  <c r="T117" i="124"/>
  <c r="E117" i="124" s="1"/>
  <c r="R117" i="124"/>
  <c r="R116" i="124"/>
  <c r="T116" i="124" s="1"/>
  <c r="E116" i="124" s="1"/>
  <c r="T115" i="124"/>
  <c r="E115" i="124" s="1"/>
  <c r="R115" i="124"/>
  <c r="R114" i="124"/>
  <c r="T114" i="124" s="1"/>
  <c r="E114" i="124" s="1"/>
  <c r="T113" i="124"/>
  <c r="E113" i="124" s="1"/>
  <c r="R113" i="124"/>
  <c r="R112" i="124"/>
  <c r="T112" i="124" s="1"/>
  <c r="E112" i="124" s="1"/>
  <c r="T111" i="124"/>
  <c r="E111" i="124" s="1"/>
  <c r="R111" i="124"/>
  <c r="R110" i="124"/>
  <c r="T110" i="124" s="1"/>
  <c r="E110" i="124" s="1"/>
  <c r="T109" i="124"/>
  <c r="E109" i="124" s="1"/>
  <c r="R109" i="124"/>
  <c r="R108" i="124"/>
  <c r="T108" i="124" s="1"/>
  <c r="E108" i="124" s="1"/>
  <c r="T107" i="124"/>
  <c r="E107" i="124" s="1"/>
  <c r="R107" i="124"/>
  <c r="R106" i="124"/>
  <c r="T106" i="124" s="1"/>
  <c r="E106" i="124" s="1"/>
  <c r="T105" i="124"/>
  <c r="E105" i="124" s="1"/>
  <c r="R105" i="124"/>
  <c r="R104" i="124"/>
  <c r="T104" i="124" s="1"/>
  <c r="E104" i="124" s="1"/>
  <c r="T103" i="124"/>
  <c r="E103" i="124" s="1"/>
  <c r="R103" i="124"/>
  <c r="R102" i="124"/>
  <c r="T102" i="124" s="1"/>
  <c r="E102" i="124" s="1"/>
  <c r="T101" i="124"/>
  <c r="E101" i="124" s="1"/>
  <c r="R101" i="124"/>
  <c r="R100" i="124"/>
  <c r="T100" i="124" s="1"/>
  <c r="E100" i="124" s="1"/>
  <c r="T99" i="124"/>
  <c r="E99" i="124" s="1"/>
  <c r="R99" i="124"/>
  <c r="R98" i="124"/>
  <c r="T98" i="124" s="1"/>
  <c r="E98" i="124" s="1"/>
  <c r="T97" i="124"/>
  <c r="E97" i="124" s="1"/>
  <c r="R97" i="124"/>
  <c r="R96" i="124"/>
  <c r="T96" i="124" s="1"/>
  <c r="E96" i="124" s="1"/>
  <c r="T95" i="124"/>
  <c r="E95" i="124" s="1"/>
  <c r="R95" i="124"/>
  <c r="R94" i="124"/>
  <c r="T94" i="124" s="1"/>
  <c r="E94" i="124" s="1"/>
  <c r="T93" i="124"/>
  <c r="E93" i="124" s="1"/>
  <c r="R93" i="124"/>
  <c r="R92" i="124"/>
  <c r="T92" i="124" s="1"/>
  <c r="E92" i="124" s="1"/>
  <c r="T91" i="124"/>
  <c r="E91" i="124" s="1"/>
  <c r="R91" i="124"/>
  <c r="R90" i="124"/>
  <c r="T90" i="124" s="1"/>
  <c r="E90" i="124" s="1"/>
  <c r="T89" i="124"/>
  <c r="E89" i="124" s="1"/>
  <c r="R89" i="124"/>
  <c r="R88" i="124"/>
  <c r="T88" i="124" s="1"/>
  <c r="E88" i="124" s="1"/>
  <c r="T87" i="124"/>
  <c r="E87" i="124" s="1"/>
  <c r="R87" i="124"/>
  <c r="R86" i="124"/>
  <c r="T86" i="124" s="1"/>
  <c r="E86" i="124" s="1"/>
  <c r="T85" i="124"/>
  <c r="E85" i="124" s="1"/>
  <c r="R85" i="124"/>
  <c r="R84" i="124"/>
  <c r="T84" i="124" s="1"/>
  <c r="E84" i="124" s="1"/>
  <c r="T83" i="124"/>
  <c r="E83" i="124" s="1"/>
  <c r="R83" i="124"/>
  <c r="R82" i="124"/>
  <c r="T82" i="124" s="1"/>
  <c r="E82" i="124" s="1"/>
  <c r="T81" i="124"/>
  <c r="E81" i="124" s="1"/>
  <c r="R81" i="124"/>
  <c r="R80" i="124"/>
  <c r="T80" i="124" s="1"/>
  <c r="E80" i="124" s="1"/>
  <c r="T79" i="124"/>
  <c r="E79" i="124" s="1"/>
  <c r="R79" i="124"/>
  <c r="R78" i="124"/>
  <c r="T78" i="124" s="1"/>
  <c r="E78" i="124" s="1"/>
  <c r="T77" i="124"/>
  <c r="E77" i="124" s="1"/>
  <c r="R77" i="124"/>
  <c r="R76" i="124"/>
  <c r="T76" i="124" s="1"/>
  <c r="E76" i="124" s="1"/>
  <c r="T75" i="124"/>
  <c r="E75" i="124" s="1"/>
  <c r="R75" i="124"/>
  <c r="R74" i="124"/>
  <c r="T74" i="124" s="1"/>
  <c r="E74" i="124" s="1"/>
  <c r="T73" i="124"/>
  <c r="E73" i="124" s="1"/>
  <c r="R73" i="124"/>
  <c r="R72" i="124"/>
  <c r="T72" i="124" s="1"/>
  <c r="E72" i="124" s="1"/>
  <c r="T71" i="124"/>
  <c r="E71" i="124" s="1"/>
  <c r="R71" i="124"/>
  <c r="R70" i="124"/>
  <c r="T70" i="124" s="1"/>
  <c r="E70" i="124" s="1"/>
  <c r="T69" i="124"/>
  <c r="E69" i="124" s="1"/>
  <c r="R69" i="124"/>
  <c r="R68" i="124"/>
  <c r="T68" i="124" s="1"/>
  <c r="E68" i="124" s="1"/>
  <c r="T67" i="124"/>
  <c r="E67" i="124" s="1"/>
  <c r="R67" i="124"/>
  <c r="R66" i="124"/>
  <c r="T66" i="124" s="1"/>
  <c r="E66" i="124" s="1"/>
  <c r="T65" i="124"/>
  <c r="E65" i="124" s="1"/>
  <c r="R65" i="124"/>
  <c r="R64" i="124"/>
  <c r="T64" i="124" s="1"/>
  <c r="E64" i="124" s="1"/>
  <c r="T63" i="124"/>
  <c r="E63" i="124" s="1"/>
  <c r="R63" i="124"/>
  <c r="R62" i="124"/>
  <c r="T62" i="124" s="1"/>
  <c r="E62" i="124" s="1"/>
  <c r="T61" i="124"/>
  <c r="E61" i="124" s="1"/>
  <c r="R61" i="124"/>
  <c r="R60" i="124"/>
  <c r="T60" i="124" s="1"/>
  <c r="E60" i="124" s="1"/>
  <c r="T59" i="124"/>
  <c r="E59" i="124" s="1"/>
  <c r="R59" i="124"/>
  <c r="R58" i="124"/>
  <c r="T58" i="124" s="1"/>
  <c r="E58" i="124" s="1"/>
  <c r="T57" i="124"/>
  <c r="E57" i="124" s="1"/>
  <c r="R57" i="124"/>
  <c r="R56" i="124"/>
  <c r="T56" i="124" s="1"/>
  <c r="E56" i="124" s="1"/>
  <c r="T55" i="124"/>
  <c r="E55" i="124" s="1"/>
  <c r="R55" i="124"/>
  <c r="R54" i="124"/>
  <c r="T54" i="124" s="1"/>
  <c r="E54" i="124" s="1"/>
  <c r="T53" i="124"/>
  <c r="E53" i="124" s="1"/>
  <c r="R53" i="124"/>
  <c r="R52" i="124"/>
  <c r="T52" i="124" s="1"/>
  <c r="E52" i="124" s="1"/>
  <c r="T51" i="124"/>
  <c r="E51" i="124" s="1"/>
  <c r="R51" i="124"/>
  <c r="R50" i="124"/>
  <c r="T50" i="124" s="1"/>
  <c r="E50" i="124" s="1"/>
  <c r="T49" i="124"/>
  <c r="E49" i="124" s="1"/>
  <c r="R49" i="124"/>
  <c r="R48" i="124"/>
  <c r="T48" i="124" s="1"/>
  <c r="E48" i="124" s="1"/>
  <c r="T47" i="124"/>
  <c r="E47" i="124" s="1"/>
  <c r="R47" i="124"/>
  <c r="R46" i="124"/>
  <c r="T46" i="124" s="1"/>
  <c r="E46" i="124" s="1"/>
  <c r="T45" i="124"/>
  <c r="E45" i="124" s="1"/>
  <c r="R45" i="124"/>
  <c r="R44" i="124"/>
  <c r="T44" i="124" s="1"/>
  <c r="E44" i="124" s="1"/>
  <c r="T43" i="124"/>
  <c r="E43" i="124" s="1"/>
  <c r="R43" i="124"/>
  <c r="R42" i="124"/>
  <c r="T42" i="124" s="1"/>
  <c r="E42" i="124" s="1"/>
  <c r="T41" i="124"/>
  <c r="E41" i="124" s="1"/>
  <c r="R41" i="124"/>
  <c r="R40" i="124"/>
  <c r="T40" i="124" s="1"/>
  <c r="E40" i="124" s="1"/>
  <c r="T39" i="124"/>
  <c r="E39" i="124" s="1"/>
  <c r="R39" i="124"/>
  <c r="R38" i="124"/>
  <c r="T38" i="124" s="1"/>
  <c r="E38" i="124" s="1"/>
  <c r="T37" i="124"/>
  <c r="E37" i="124" s="1"/>
  <c r="R37" i="124"/>
  <c r="R36" i="124"/>
  <c r="T36" i="124" s="1"/>
  <c r="E36" i="124" s="1"/>
  <c r="T35" i="124"/>
  <c r="E35" i="124" s="1"/>
  <c r="R35" i="124"/>
  <c r="R34" i="124"/>
  <c r="T34" i="124" s="1"/>
  <c r="E34" i="124" s="1"/>
  <c r="T33" i="124"/>
  <c r="E33" i="124" s="1"/>
  <c r="R33" i="124"/>
  <c r="R32" i="124"/>
  <c r="T32" i="124" s="1"/>
  <c r="E32" i="124" s="1"/>
  <c r="T31" i="124"/>
  <c r="E31" i="124" s="1"/>
  <c r="R31" i="124"/>
  <c r="R30" i="124"/>
  <c r="T30" i="124" s="1"/>
  <c r="E30" i="124" s="1"/>
  <c r="T29" i="124"/>
  <c r="E29" i="124" s="1"/>
  <c r="R29" i="124"/>
  <c r="R28" i="124"/>
  <c r="T28" i="124" s="1"/>
  <c r="E28" i="124" s="1"/>
  <c r="T27" i="124"/>
  <c r="E27" i="124" s="1"/>
  <c r="R27" i="124"/>
  <c r="R26" i="124"/>
  <c r="T26" i="124" s="1"/>
  <c r="E26" i="124" s="1"/>
  <c r="T25" i="124"/>
  <c r="E25" i="124" s="1"/>
  <c r="R25" i="124"/>
  <c r="R24" i="124"/>
  <c r="T24" i="124" s="1"/>
  <c r="E24" i="124" s="1"/>
  <c r="T23" i="124"/>
  <c r="E23" i="124" s="1"/>
  <c r="R23" i="124"/>
  <c r="R22" i="124"/>
  <c r="T22" i="124" s="1"/>
  <c r="E22" i="124" s="1"/>
  <c r="T21" i="124"/>
  <c r="E21" i="124" s="1"/>
  <c r="R21" i="124"/>
  <c r="R20" i="124"/>
  <c r="T20" i="124" s="1"/>
  <c r="E20" i="124" s="1"/>
  <c r="T19" i="124"/>
  <c r="E19" i="124" s="1"/>
  <c r="R19" i="124"/>
  <c r="R18" i="124"/>
  <c r="T18" i="124" s="1"/>
  <c r="E18" i="124" s="1"/>
  <c r="T17" i="124"/>
  <c r="E17" i="124" s="1"/>
  <c r="R17" i="124"/>
  <c r="R16" i="124"/>
  <c r="T16" i="124" s="1"/>
  <c r="E16" i="124" s="1"/>
  <c r="T15" i="124"/>
  <c r="E15" i="124" s="1"/>
  <c r="R15" i="124"/>
  <c r="R14" i="124"/>
  <c r="T14" i="124" s="1"/>
  <c r="E14" i="124" s="1"/>
  <c r="T13" i="124"/>
  <c r="E13" i="124" s="1"/>
  <c r="R13" i="124"/>
  <c r="R12" i="124"/>
  <c r="T12" i="124" s="1"/>
  <c r="E12" i="124" s="1"/>
  <c r="T11" i="124"/>
  <c r="E11" i="124" s="1"/>
  <c r="R11" i="124"/>
  <c r="R10" i="124"/>
  <c r="T10" i="124" s="1"/>
  <c r="E10" i="124" s="1"/>
  <c r="T333" i="124"/>
  <c r="E333" i="124" s="1"/>
  <c r="R333" i="124"/>
  <c r="I10" i="139" l="1"/>
  <c r="K10" i="139" s="1"/>
  <c r="I12" i="139"/>
  <c r="K12" i="139" s="1"/>
  <c r="L12" i="139" s="1"/>
  <c r="E12" i="139" s="1"/>
  <c r="T8" i="138"/>
  <c r="E10" i="138"/>
  <c r="A3" i="138" s="1"/>
  <c r="T330" i="137"/>
  <c r="U330" i="137" s="1"/>
  <c r="E330" i="137" s="1"/>
  <c r="T329" i="137"/>
  <c r="U329" i="137" s="1"/>
  <c r="E329" i="137" s="1"/>
  <c r="R49" i="137"/>
  <c r="R99" i="137"/>
  <c r="W10" i="135"/>
  <c r="S15" i="135"/>
  <c r="S13" i="135"/>
  <c r="V13" i="135" s="1"/>
  <c r="S14" i="135"/>
  <c r="V14" i="135" s="1"/>
  <c r="W14" i="135" s="1"/>
  <c r="E14" i="135" s="1"/>
  <c r="S19" i="135"/>
  <c r="Q18" i="135"/>
  <c r="V18" i="135" s="1"/>
  <c r="W18" i="135" s="1"/>
  <c r="E18" i="135" s="1"/>
  <c r="Q16" i="135"/>
  <c r="V16" i="135" s="1"/>
  <c r="W16" i="135" s="1"/>
  <c r="E16" i="135" s="1"/>
  <c r="Q15" i="135"/>
  <c r="Q17" i="135"/>
  <c r="V17" i="135" s="1"/>
  <c r="W17" i="135" s="1"/>
  <c r="E17" i="135" s="1"/>
  <c r="Q19" i="135"/>
  <c r="V19" i="135" s="1"/>
  <c r="W19" i="135" s="1"/>
  <c r="E19" i="135" s="1"/>
  <c r="E10" i="135"/>
  <c r="R38" i="134"/>
  <c r="T38" i="134" s="1"/>
  <c r="U38" i="134" s="1"/>
  <c r="E38" i="134" s="1"/>
  <c r="R29" i="134"/>
  <c r="T29" i="134" s="1"/>
  <c r="U29" i="134" s="1"/>
  <c r="E29" i="134" s="1"/>
  <c r="R18" i="134"/>
  <c r="T18" i="134" s="1"/>
  <c r="U18" i="134" s="1"/>
  <c r="E18" i="134" s="1"/>
  <c r="R34" i="134"/>
  <c r="T34" i="134" s="1"/>
  <c r="U34" i="134" s="1"/>
  <c r="E34" i="134" s="1"/>
  <c r="R20" i="134"/>
  <c r="T20" i="134" s="1"/>
  <c r="U20" i="134" s="1"/>
  <c r="E20" i="134" s="1"/>
  <c r="R15" i="134"/>
  <c r="T15" i="134" s="1"/>
  <c r="R49" i="134"/>
  <c r="T49" i="134" s="1"/>
  <c r="U49" i="134" s="1"/>
  <c r="E49" i="134" s="1"/>
  <c r="R28" i="134"/>
  <c r="T28" i="134" s="1"/>
  <c r="U28" i="134" s="1"/>
  <c r="E28" i="134" s="1"/>
  <c r="R17" i="134"/>
  <c r="T17" i="134" s="1"/>
  <c r="U17" i="134" s="1"/>
  <c r="E17" i="134" s="1"/>
  <c r="R42" i="134"/>
  <c r="T42" i="134" s="1"/>
  <c r="U42" i="134" s="1"/>
  <c r="E42" i="134" s="1"/>
  <c r="R33" i="134"/>
  <c r="T33" i="134" s="1"/>
  <c r="U33" i="134" s="1"/>
  <c r="E33" i="134" s="1"/>
  <c r="R25" i="134"/>
  <c r="T25" i="134" s="1"/>
  <c r="U25" i="134" s="1"/>
  <c r="E25" i="134" s="1"/>
  <c r="R19" i="134"/>
  <c r="T19" i="134" s="1"/>
  <c r="U19" i="134" s="1"/>
  <c r="E19" i="134" s="1"/>
  <c r="R32" i="134"/>
  <c r="T32" i="134" s="1"/>
  <c r="U32" i="134" s="1"/>
  <c r="E32" i="134" s="1"/>
  <c r="R15" i="133"/>
  <c r="T15" i="133" s="1"/>
  <c r="R38" i="133"/>
  <c r="T38" i="133" s="1"/>
  <c r="U38" i="133" s="1"/>
  <c r="E38" i="133" s="1"/>
  <c r="R32" i="133"/>
  <c r="T32" i="133" s="1"/>
  <c r="U32" i="133" s="1"/>
  <c r="E32" i="133" s="1"/>
  <c r="R29" i="133"/>
  <c r="T29" i="133" s="1"/>
  <c r="U29" i="133" s="1"/>
  <c r="E29" i="133" s="1"/>
  <c r="R20" i="133"/>
  <c r="T20" i="133" s="1"/>
  <c r="U20" i="133" s="1"/>
  <c r="E20" i="133" s="1"/>
  <c r="R34" i="133"/>
  <c r="T34" i="133" s="1"/>
  <c r="U34" i="133" s="1"/>
  <c r="E34" i="133" s="1"/>
  <c r="R17" i="133"/>
  <c r="T17" i="133" s="1"/>
  <c r="U17" i="133" s="1"/>
  <c r="E17" i="133" s="1"/>
  <c r="R49" i="133"/>
  <c r="T49" i="133" s="1"/>
  <c r="U49" i="133" s="1"/>
  <c r="E49" i="133" s="1"/>
  <c r="R28" i="133"/>
  <c r="T28" i="133" s="1"/>
  <c r="U28" i="133" s="1"/>
  <c r="E28" i="133" s="1"/>
  <c r="R25" i="133"/>
  <c r="T25" i="133" s="1"/>
  <c r="U25" i="133" s="1"/>
  <c r="E25" i="133" s="1"/>
  <c r="R19" i="133"/>
  <c r="T19" i="133" s="1"/>
  <c r="U19" i="133" s="1"/>
  <c r="E19" i="133" s="1"/>
  <c r="R18" i="133"/>
  <c r="T18" i="133" s="1"/>
  <c r="U18" i="133" s="1"/>
  <c r="E18" i="133" s="1"/>
  <c r="R42" i="133"/>
  <c r="T42" i="133" s="1"/>
  <c r="U42" i="133" s="1"/>
  <c r="E42" i="133" s="1"/>
  <c r="R33" i="133"/>
  <c r="T33" i="133" s="1"/>
  <c r="U33" i="133" s="1"/>
  <c r="E33" i="133" s="1"/>
  <c r="U17" i="132"/>
  <c r="E17" i="132" s="1"/>
  <c r="P2" i="132"/>
  <c r="P3" i="132" s="1"/>
  <c r="S22" i="132"/>
  <c r="U8" i="131"/>
  <c r="E10" i="131"/>
  <c r="A3" i="131" s="1"/>
  <c r="S32" i="130"/>
  <c r="U32" i="130" s="1"/>
  <c r="E32" i="130" s="1"/>
  <c r="S17" i="130"/>
  <c r="U17" i="130" s="1"/>
  <c r="E17" i="130" s="1"/>
  <c r="S34" i="130"/>
  <c r="U34" i="130" s="1"/>
  <c r="E34" i="130" s="1"/>
  <c r="S28" i="130"/>
  <c r="U28" i="130" s="1"/>
  <c r="E28" i="130" s="1"/>
  <c r="S20" i="130"/>
  <c r="U20" i="130" s="1"/>
  <c r="E20" i="130" s="1"/>
  <c r="S25" i="130"/>
  <c r="U25" i="130" s="1"/>
  <c r="E25" i="130" s="1"/>
  <c r="S33" i="130"/>
  <c r="U33" i="130" s="1"/>
  <c r="E33" i="130" s="1"/>
  <c r="S19" i="130"/>
  <c r="U19" i="130" s="1"/>
  <c r="E19" i="130" s="1"/>
  <c r="S15" i="130"/>
  <c r="S38" i="130"/>
  <c r="U38" i="130" s="1"/>
  <c r="E38" i="130" s="1"/>
  <c r="S49" i="130"/>
  <c r="U49" i="130" s="1"/>
  <c r="E49" i="130" s="1"/>
  <c r="S42" i="130"/>
  <c r="U42" i="130" s="1"/>
  <c r="E42" i="130" s="1"/>
  <c r="S29" i="130"/>
  <c r="U29" i="130" s="1"/>
  <c r="E29" i="130" s="1"/>
  <c r="S18" i="130"/>
  <c r="U18" i="130" s="1"/>
  <c r="E18" i="130" s="1"/>
  <c r="E10" i="130"/>
  <c r="E25" i="129"/>
  <c r="E18" i="129"/>
  <c r="E19" i="129"/>
  <c r="E15" i="129"/>
  <c r="E27" i="129"/>
  <c r="E23" i="129"/>
  <c r="E17" i="129"/>
  <c r="E26" i="129"/>
  <c r="E20" i="129"/>
  <c r="E21" i="129"/>
  <c r="E22" i="129"/>
  <c r="E16" i="129"/>
  <c r="E24" i="129"/>
  <c r="E28" i="129"/>
  <c r="R99" i="128"/>
  <c r="T99" i="128" s="1"/>
  <c r="E10" i="128"/>
  <c r="U53" i="128"/>
  <c r="E53" i="128" s="1"/>
  <c r="U56" i="128"/>
  <c r="E56" i="128" s="1"/>
  <c r="U69" i="128"/>
  <c r="E69" i="128" s="1"/>
  <c r="U72" i="128"/>
  <c r="E72" i="128" s="1"/>
  <c r="U113" i="128"/>
  <c r="E113" i="128" s="1"/>
  <c r="U61" i="128"/>
  <c r="E61" i="128" s="1"/>
  <c r="U64" i="128"/>
  <c r="E64" i="128" s="1"/>
  <c r="U77" i="128"/>
  <c r="E77" i="128" s="1"/>
  <c r="U105" i="128"/>
  <c r="E105" i="128" s="1"/>
  <c r="U121" i="128"/>
  <c r="E121" i="128" s="1"/>
  <c r="U49" i="128"/>
  <c r="E49" i="128" s="1"/>
  <c r="S8" i="128"/>
  <c r="U52" i="128"/>
  <c r="E52" i="128" s="1"/>
  <c r="U65" i="128"/>
  <c r="E65" i="128" s="1"/>
  <c r="U68" i="128"/>
  <c r="E68" i="128" s="1"/>
  <c r="U109" i="128"/>
  <c r="E109" i="128" s="1"/>
  <c r="U176" i="128"/>
  <c r="E176" i="128" s="1"/>
  <c r="U181" i="128"/>
  <c r="E181" i="128" s="1"/>
  <c r="U189" i="128"/>
  <c r="E189" i="128" s="1"/>
  <c r="U197" i="128"/>
  <c r="E197" i="128" s="1"/>
  <c r="U205" i="128"/>
  <c r="E205" i="128" s="1"/>
  <c r="U213" i="128"/>
  <c r="E213" i="128" s="1"/>
  <c r="U221" i="128"/>
  <c r="E221" i="128" s="1"/>
  <c r="U170" i="128"/>
  <c r="E170" i="128" s="1"/>
  <c r="U182" i="128"/>
  <c r="E182" i="128" s="1"/>
  <c r="U190" i="128"/>
  <c r="E190" i="128" s="1"/>
  <c r="U198" i="128"/>
  <c r="E198" i="128" s="1"/>
  <c r="U206" i="128"/>
  <c r="E206" i="128" s="1"/>
  <c r="U214" i="128"/>
  <c r="E214" i="128" s="1"/>
  <c r="U222" i="128"/>
  <c r="E222" i="128" s="1"/>
  <c r="U230" i="128"/>
  <c r="E230" i="128" s="1"/>
  <c r="U238" i="128"/>
  <c r="E238" i="128" s="1"/>
  <c r="U246" i="128"/>
  <c r="E246" i="128" s="1"/>
  <c r="U254" i="128"/>
  <c r="E254" i="128" s="1"/>
  <c r="U185" i="128"/>
  <c r="E185" i="128" s="1"/>
  <c r="U193" i="128"/>
  <c r="E193" i="128" s="1"/>
  <c r="U201" i="128"/>
  <c r="E201" i="128" s="1"/>
  <c r="U209" i="128"/>
  <c r="E209" i="128" s="1"/>
  <c r="U217" i="128"/>
  <c r="E217" i="128" s="1"/>
  <c r="U225" i="128"/>
  <c r="E225" i="128" s="1"/>
  <c r="U183" i="128"/>
  <c r="E183" i="128" s="1"/>
  <c r="U191" i="128"/>
  <c r="E191" i="128" s="1"/>
  <c r="U199" i="128"/>
  <c r="E199" i="128" s="1"/>
  <c r="U207" i="128"/>
  <c r="E207" i="128" s="1"/>
  <c r="U215" i="128"/>
  <c r="E215" i="128" s="1"/>
  <c r="U223" i="128"/>
  <c r="E223" i="128" s="1"/>
  <c r="Q126" i="127"/>
  <c r="T126" i="127" s="1"/>
  <c r="U126" i="127" s="1"/>
  <c r="E126" i="127" s="1"/>
  <c r="Q99" i="127"/>
  <c r="T99" i="127" s="1"/>
  <c r="R99" i="127"/>
  <c r="R49" i="127"/>
  <c r="T49" i="127" s="1"/>
  <c r="T8" i="127"/>
  <c r="U99" i="127"/>
  <c r="E99" i="127" s="1"/>
  <c r="U49" i="127"/>
  <c r="E49" i="127" s="1"/>
  <c r="S8" i="127"/>
  <c r="U33" i="127"/>
  <c r="E33" i="127" s="1"/>
  <c r="U41" i="127"/>
  <c r="E41" i="127" s="1"/>
  <c r="U127" i="127"/>
  <c r="E127" i="127" s="1"/>
  <c r="U140" i="127"/>
  <c r="E140" i="127" s="1"/>
  <c r="U143" i="127"/>
  <c r="E143" i="127" s="1"/>
  <c r="U159" i="127"/>
  <c r="E159" i="127" s="1"/>
  <c r="U175" i="127"/>
  <c r="E175" i="127" s="1"/>
  <c r="U196" i="127"/>
  <c r="E196" i="127" s="1"/>
  <c r="U10" i="127"/>
  <c r="U29" i="127"/>
  <c r="E29" i="127" s="1"/>
  <c r="U37" i="127"/>
  <c r="E37" i="127" s="1"/>
  <c r="U45" i="127"/>
  <c r="E45" i="127" s="1"/>
  <c r="U228" i="127"/>
  <c r="E228" i="127" s="1"/>
  <c r="U129" i="127"/>
  <c r="E129" i="127" s="1"/>
  <c r="U145" i="127"/>
  <c r="E145" i="127" s="1"/>
  <c r="U161" i="127"/>
  <c r="E161" i="127" s="1"/>
  <c r="U35" i="127"/>
  <c r="E35" i="127" s="1"/>
  <c r="U43" i="127"/>
  <c r="E43" i="127" s="1"/>
  <c r="U136" i="127"/>
  <c r="E136" i="127" s="1"/>
  <c r="U139" i="127"/>
  <c r="E139" i="127" s="1"/>
  <c r="U155" i="127"/>
  <c r="E155" i="127" s="1"/>
  <c r="U171" i="127"/>
  <c r="E171" i="127" s="1"/>
  <c r="U189" i="127"/>
  <c r="E189" i="127" s="1"/>
  <c r="U207" i="127"/>
  <c r="E207" i="127" s="1"/>
  <c r="U185" i="127"/>
  <c r="E185" i="127" s="1"/>
  <c r="U201" i="127"/>
  <c r="E201" i="127" s="1"/>
  <c r="U217" i="127"/>
  <c r="E217" i="127" s="1"/>
  <c r="U233" i="127"/>
  <c r="E233" i="127" s="1"/>
  <c r="U249" i="127"/>
  <c r="E249" i="127" s="1"/>
  <c r="U257" i="127"/>
  <c r="E257" i="127" s="1"/>
  <c r="U265" i="127"/>
  <c r="E265" i="127" s="1"/>
  <c r="U273" i="127"/>
  <c r="E273" i="127" s="1"/>
  <c r="U281" i="127"/>
  <c r="E281" i="127" s="1"/>
  <c r="U289" i="127"/>
  <c r="E289" i="127" s="1"/>
  <c r="U297" i="127"/>
  <c r="E297" i="127" s="1"/>
  <c r="U305" i="127"/>
  <c r="E305" i="127" s="1"/>
  <c r="U181" i="127"/>
  <c r="E181" i="127" s="1"/>
  <c r="U197" i="127"/>
  <c r="E197" i="127" s="1"/>
  <c r="U213" i="127"/>
  <c r="E213" i="127" s="1"/>
  <c r="U229" i="127"/>
  <c r="E229" i="127" s="1"/>
  <c r="U245" i="127"/>
  <c r="E245" i="127" s="1"/>
  <c r="U255" i="127"/>
  <c r="E255" i="127" s="1"/>
  <c r="U263" i="127"/>
  <c r="E263" i="127" s="1"/>
  <c r="U271" i="127"/>
  <c r="E271" i="127" s="1"/>
  <c r="U279" i="127"/>
  <c r="E279" i="127" s="1"/>
  <c r="U287" i="127"/>
  <c r="E287" i="127" s="1"/>
  <c r="U295" i="127"/>
  <c r="E295" i="127" s="1"/>
  <c r="U303" i="127"/>
  <c r="E303" i="127" s="1"/>
  <c r="U177" i="127"/>
  <c r="E177" i="127" s="1"/>
  <c r="U193" i="127"/>
  <c r="E193" i="127" s="1"/>
  <c r="U209" i="127"/>
  <c r="E209" i="127" s="1"/>
  <c r="U225" i="127"/>
  <c r="E225" i="127" s="1"/>
  <c r="U241" i="127"/>
  <c r="E241" i="127" s="1"/>
  <c r="U253" i="127"/>
  <c r="E253" i="127" s="1"/>
  <c r="U261" i="127"/>
  <c r="E261" i="127" s="1"/>
  <c r="U269" i="127"/>
  <c r="E269" i="127" s="1"/>
  <c r="U277" i="127"/>
  <c r="E277" i="127" s="1"/>
  <c r="U285" i="127"/>
  <c r="E285" i="127" s="1"/>
  <c r="U293" i="127"/>
  <c r="E293" i="127" s="1"/>
  <c r="U301" i="127"/>
  <c r="E301" i="127" s="1"/>
  <c r="U309" i="127"/>
  <c r="E309" i="127" s="1"/>
  <c r="U223" i="127"/>
  <c r="E223" i="127" s="1"/>
  <c r="U239" i="127"/>
  <c r="E239" i="127" s="1"/>
  <c r="U256" i="127"/>
  <c r="E256" i="127" s="1"/>
  <c r="U264" i="127"/>
  <c r="E264" i="127" s="1"/>
  <c r="U272" i="127"/>
  <c r="E272" i="127" s="1"/>
  <c r="U280" i="127"/>
  <c r="E280" i="127" s="1"/>
  <c r="U288" i="127"/>
  <c r="E288" i="127" s="1"/>
  <c r="U296" i="127"/>
  <c r="E296" i="127" s="1"/>
  <c r="U304" i="127"/>
  <c r="E304" i="127" s="1"/>
  <c r="U312" i="127"/>
  <c r="E312" i="127" s="1"/>
  <c r="U320" i="127"/>
  <c r="E320" i="127" s="1"/>
  <c r="U221" i="127"/>
  <c r="E221" i="127" s="1"/>
  <c r="U237" i="127"/>
  <c r="E237" i="127" s="1"/>
  <c r="U251" i="127"/>
  <c r="E251" i="127" s="1"/>
  <c r="U259" i="127"/>
  <c r="E259" i="127" s="1"/>
  <c r="U267" i="127"/>
  <c r="E267" i="127" s="1"/>
  <c r="U275" i="127"/>
  <c r="E275" i="127" s="1"/>
  <c r="U283" i="127"/>
  <c r="E283" i="127" s="1"/>
  <c r="U291" i="127"/>
  <c r="E291" i="127" s="1"/>
  <c r="U299" i="127"/>
  <c r="E299" i="127" s="1"/>
  <c r="U307" i="127"/>
  <c r="E307" i="127" s="1"/>
  <c r="R49" i="126"/>
  <c r="T49" i="126" s="1"/>
  <c r="U49" i="126" s="1"/>
  <c r="E49" i="126" s="1"/>
  <c r="R99" i="126"/>
  <c r="E339" i="126"/>
  <c r="T338" i="126"/>
  <c r="U29" i="126"/>
  <c r="E29" i="126" s="1"/>
  <c r="U37" i="126"/>
  <c r="E37" i="126" s="1"/>
  <c r="U45" i="126"/>
  <c r="E45" i="126" s="1"/>
  <c r="U112" i="126"/>
  <c r="E112" i="126" s="1"/>
  <c r="U131" i="126"/>
  <c r="E131" i="126" s="1"/>
  <c r="U147" i="126"/>
  <c r="E147" i="126" s="1"/>
  <c r="U163" i="126"/>
  <c r="E163" i="126" s="1"/>
  <c r="U25" i="126"/>
  <c r="E25" i="126" s="1"/>
  <c r="U35" i="126"/>
  <c r="E35" i="126" s="1"/>
  <c r="U43" i="126"/>
  <c r="E43" i="126" s="1"/>
  <c r="U100" i="126"/>
  <c r="E100" i="126" s="1"/>
  <c r="U116" i="126"/>
  <c r="E116" i="126" s="1"/>
  <c r="U135" i="126"/>
  <c r="E135" i="126" s="1"/>
  <c r="U151" i="126"/>
  <c r="E151" i="126" s="1"/>
  <c r="U167" i="126"/>
  <c r="E167" i="126" s="1"/>
  <c r="U145" i="126"/>
  <c r="E145" i="126" s="1"/>
  <c r="U161" i="126"/>
  <c r="E161" i="126" s="1"/>
  <c r="U21" i="126"/>
  <c r="E21" i="126" s="1"/>
  <c r="U33" i="126"/>
  <c r="E33" i="126" s="1"/>
  <c r="U41" i="126"/>
  <c r="E41" i="126" s="1"/>
  <c r="U104" i="126"/>
  <c r="E104" i="126" s="1"/>
  <c r="U120" i="126"/>
  <c r="E120" i="126" s="1"/>
  <c r="U139" i="126"/>
  <c r="E139" i="126" s="1"/>
  <c r="U155" i="126"/>
  <c r="E155" i="126" s="1"/>
  <c r="U171" i="126"/>
  <c r="E171" i="126" s="1"/>
  <c r="U187" i="126"/>
  <c r="E187" i="126" s="1"/>
  <c r="U203" i="126"/>
  <c r="E203" i="126" s="1"/>
  <c r="U219" i="126"/>
  <c r="E219" i="126" s="1"/>
  <c r="U235" i="126"/>
  <c r="E235" i="126" s="1"/>
  <c r="U31" i="126"/>
  <c r="E31" i="126" s="1"/>
  <c r="U39" i="126"/>
  <c r="E39" i="126" s="1"/>
  <c r="U47" i="126"/>
  <c r="E47" i="126" s="1"/>
  <c r="U108" i="126"/>
  <c r="E108" i="126" s="1"/>
  <c r="U124" i="126"/>
  <c r="E124" i="126" s="1"/>
  <c r="U127" i="126"/>
  <c r="E127" i="126" s="1"/>
  <c r="U143" i="126"/>
  <c r="E143" i="126" s="1"/>
  <c r="U159" i="126"/>
  <c r="E159" i="126" s="1"/>
  <c r="U184" i="126"/>
  <c r="E184" i="126" s="1"/>
  <c r="U200" i="126"/>
  <c r="E200" i="126" s="1"/>
  <c r="U216" i="126"/>
  <c r="E216" i="126" s="1"/>
  <c r="U232" i="126"/>
  <c r="E232" i="126" s="1"/>
  <c r="U248" i="126"/>
  <c r="E248" i="126" s="1"/>
  <c r="U264" i="126"/>
  <c r="E264" i="126" s="1"/>
  <c r="U280" i="126"/>
  <c r="E280" i="126" s="1"/>
  <c r="U330" i="126"/>
  <c r="E330" i="126" s="1"/>
  <c r="U180" i="126"/>
  <c r="E180" i="126" s="1"/>
  <c r="U196" i="126"/>
  <c r="E196" i="126" s="1"/>
  <c r="U212" i="126"/>
  <c r="E212" i="126" s="1"/>
  <c r="U228" i="126"/>
  <c r="E228" i="126" s="1"/>
  <c r="U244" i="126"/>
  <c r="E244" i="126" s="1"/>
  <c r="U260" i="126"/>
  <c r="E260" i="126" s="1"/>
  <c r="U276" i="126"/>
  <c r="E276" i="126" s="1"/>
  <c r="U312" i="126"/>
  <c r="E312" i="126" s="1"/>
  <c r="U320" i="126"/>
  <c r="E320" i="126" s="1"/>
  <c r="U328" i="126"/>
  <c r="E328" i="126" s="1"/>
  <c r="U176" i="126"/>
  <c r="E176" i="126" s="1"/>
  <c r="U192" i="126"/>
  <c r="E192" i="126" s="1"/>
  <c r="U208" i="126"/>
  <c r="E208" i="126" s="1"/>
  <c r="U224" i="126"/>
  <c r="E224" i="126" s="1"/>
  <c r="U240" i="126"/>
  <c r="E240" i="126" s="1"/>
  <c r="U256" i="126"/>
  <c r="E256" i="126" s="1"/>
  <c r="U272" i="126"/>
  <c r="E272" i="126" s="1"/>
  <c r="K16" i="125"/>
  <c r="S333" i="124"/>
  <c r="S3" i="124"/>
  <c r="R7" i="123"/>
  <c r="Q7" i="123"/>
  <c r="P2" i="123"/>
  <c r="P3" i="123" s="1"/>
  <c r="O2" i="123"/>
  <c r="O3" i="123" s="1"/>
  <c r="N2" i="123"/>
  <c r="N3" i="123" s="1"/>
  <c r="M2" i="123"/>
  <c r="M3" i="123" s="1"/>
  <c r="L2" i="123"/>
  <c r="L3" i="123" s="1"/>
  <c r="K2" i="123"/>
  <c r="K3" i="123" s="1"/>
  <c r="J2" i="123"/>
  <c r="J3" i="123" s="1"/>
  <c r="I2" i="123"/>
  <c r="I3" i="123" s="1"/>
  <c r="H2" i="123"/>
  <c r="H3" i="123" s="1"/>
  <c r="G2" i="123"/>
  <c r="G3" i="123" s="1"/>
  <c r="T335" i="123"/>
  <c r="S335" i="123"/>
  <c r="T334" i="123"/>
  <c r="S334" i="123"/>
  <c r="U334" i="123" s="1"/>
  <c r="E334" i="123" s="1"/>
  <c r="E333" i="123"/>
  <c r="T333" i="123"/>
  <c r="S333" i="123"/>
  <c r="U333" i="123" s="1"/>
  <c r="T332" i="123"/>
  <c r="S332" i="123"/>
  <c r="U332" i="123" s="1"/>
  <c r="E332" i="123" s="1"/>
  <c r="T331" i="123"/>
  <c r="S331" i="123"/>
  <c r="T330" i="123"/>
  <c r="S330" i="123"/>
  <c r="U330" i="123" s="1"/>
  <c r="E330" i="123" s="1"/>
  <c r="T329" i="123"/>
  <c r="S329" i="123"/>
  <c r="T328" i="123"/>
  <c r="S328" i="123"/>
  <c r="T327" i="123"/>
  <c r="S327" i="123"/>
  <c r="T326" i="123"/>
  <c r="S326" i="123"/>
  <c r="U326" i="123" s="1"/>
  <c r="E326" i="123" s="1"/>
  <c r="E325" i="123"/>
  <c r="T325" i="123"/>
  <c r="S325" i="123"/>
  <c r="U325" i="123" s="1"/>
  <c r="T324" i="123"/>
  <c r="S324" i="123"/>
  <c r="U324" i="123" s="1"/>
  <c r="E324" i="123" s="1"/>
  <c r="T323" i="123"/>
  <c r="S323" i="123"/>
  <c r="T322" i="123"/>
  <c r="S322" i="123"/>
  <c r="U322" i="123" s="1"/>
  <c r="E322" i="123" s="1"/>
  <c r="T321" i="123"/>
  <c r="S321" i="123"/>
  <c r="T320" i="123"/>
  <c r="S320" i="123"/>
  <c r="T319" i="123"/>
  <c r="S319" i="123"/>
  <c r="T318" i="123"/>
  <c r="S318" i="123"/>
  <c r="U318" i="123" s="1"/>
  <c r="E318" i="123" s="1"/>
  <c r="E317" i="123"/>
  <c r="T317" i="123"/>
  <c r="S317" i="123"/>
  <c r="U317" i="123" s="1"/>
  <c r="T316" i="123"/>
  <c r="S316" i="123"/>
  <c r="U316" i="123" s="1"/>
  <c r="E316" i="123" s="1"/>
  <c r="T315" i="123"/>
  <c r="S315" i="123"/>
  <c r="T314" i="123"/>
  <c r="S314" i="123"/>
  <c r="U314" i="123" s="1"/>
  <c r="E314" i="123" s="1"/>
  <c r="T313" i="123"/>
  <c r="S313" i="123"/>
  <c r="T312" i="123"/>
  <c r="S312" i="123"/>
  <c r="T311" i="123"/>
  <c r="S311" i="123"/>
  <c r="T310" i="123"/>
  <c r="S310" i="123"/>
  <c r="U310" i="123" s="1"/>
  <c r="E310" i="123" s="1"/>
  <c r="E309" i="123"/>
  <c r="T309" i="123"/>
  <c r="S309" i="123"/>
  <c r="U309" i="123" s="1"/>
  <c r="T308" i="123"/>
  <c r="S308" i="123"/>
  <c r="U308" i="123" s="1"/>
  <c r="E308" i="123" s="1"/>
  <c r="T307" i="123"/>
  <c r="S307" i="123"/>
  <c r="T306" i="123"/>
  <c r="S306" i="123"/>
  <c r="U306" i="123" s="1"/>
  <c r="E306" i="123" s="1"/>
  <c r="T305" i="123"/>
  <c r="S305" i="123"/>
  <c r="T304" i="123"/>
  <c r="S304" i="123"/>
  <c r="T303" i="123"/>
  <c r="S303" i="123"/>
  <c r="T302" i="123"/>
  <c r="S302" i="123"/>
  <c r="U302" i="123" s="1"/>
  <c r="E302" i="123" s="1"/>
  <c r="E301" i="123"/>
  <c r="T301" i="123"/>
  <c r="S301" i="123"/>
  <c r="U301" i="123" s="1"/>
  <c r="T300" i="123"/>
  <c r="S300" i="123"/>
  <c r="U300" i="123" s="1"/>
  <c r="E300" i="123" s="1"/>
  <c r="T299" i="123"/>
  <c r="S299" i="123"/>
  <c r="T298" i="123"/>
  <c r="S298" i="123"/>
  <c r="U298" i="123" s="1"/>
  <c r="E298" i="123" s="1"/>
  <c r="T297" i="123"/>
  <c r="S297" i="123"/>
  <c r="T296" i="123"/>
  <c r="S296" i="123"/>
  <c r="T295" i="123"/>
  <c r="S295" i="123"/>
  <c r="T294" i="123"/>
  <c r="S294" i="123"/>
  <c r="U294" i="123" s="1"/>
  <c r="E294" i="123" s="1"/>
  <c r="E293" i="123"/>
  <c r="T293" i="123"/>
  <c r="S293" i="123"/>
  <c r="U293" i="123" s="1"/>
  <c r="T292" i="123"/>
  <c r="S292" i="123"/>
  <c r="U292" i="123" s="1"/>
  <c r="E292" i="123" s="1"/>
  <c r="T291" i="123"/>
  <c r="S291" i="123"/>
  <c r="T290" i="123"/>
  <c r="S290" i="123"/>
  <c r="U290" i="123" s="1"/>
  <c r="E290" i="123" s="1"/>
  <c r="T289" i="123"/>
  <c r="S289" i="123"/>
  <c r="T288" i="123"/>
  <c r="S288" i="123"/>
  <c r="T287" i="123"/>
  <c r="S287" i="123"/>
  <c r="T286" i="123"/>
  <c r="S286" i="123"/>
  <c r="U286" i="123" s="1"/>
  <c r="E286" i="123" s="1"/>
  <c r="E285" i="123"/>
  <c r="T285" i="123"/>
  <c r="S285" i="123"/>
  <c r="U285" i="123" s="1"/>
  <c r="T284" i="123"/>
  <c r="S284" i="123"/>
  <c r="U284" i="123" s="1"/>
  <c r="E284" i="123" s="1"/>
  <c r="T283" i="123"/>
  <c r="S283" i="123"/>
  <c r="T282" i="123"/>
  <c r="S282" i="123"/>
  <c r="U282" i="123" s="1"/>
  <c r="E282" i="123" s="1"/>
  <c r="T281" i="123"/>
  <c r="S281" i="123"/>
  <c r="T280" i="123"/>
  <c r="S280" i="123"/>
  <c r="T279" i="123"/>
  <c r="S279" i="123"/>
  <c r="T278" i="123"/>
  <c r="S278" i="123"/>
  <c r="U278" i="123" s="1"/>
  <c r="E278" i="123" s="1"/>
  <c r="E277" i="123"/>
  <c r="T277" i="123"/>
  <c r="S277" i="123"/>
  <c r="U277" i="123" s="1"/>
  <c r="T276" i="123"/>
  <c r="S276" i="123"/>
  <c r="U276" i="123" s="1"/>
  <c r="E276" i="123" s="1"/>
  <c r="T275" i="123"/>
  <c r="S275" i="123"/>
  <c r="T274" i="123"/>
  <c r="S274" i="123"/>
  <c r="U274" i="123" s="1"/>
  <c r="E274" i="123" s="1"/>
  <c r="T273" i="123"/>
  <c r="S273" i="123"/>
  <c r="T272" i="123"/>
  <c r="S272" i="123"/>
  <c r="T271" i="123"/>
  <c r="S271" i="123"/>
  <c r="T270" i="123"/>
  <c r="S270" i="123"/>
  <c r="U270" i="123" s="1"/>
  <c r="E270" i="123" s="1"/>
  <c r="E269" i="123"/>
  <c r="T269" i="123"/>
  <c r="S269" i="123"/>
  <c r="U269" i="123" s="1"/>
  <c r="T268" i="123"/>
  <c r="S268" i="123"/>
  <c r="U268" i="123" s="1"/>
  <c r="E268" i="123" s="1"/>
  <c r="T267" i="123"/>
  <c r="S267" i="123"/>
  <c r="T266" i="123"/>
  <c r="S266" i="123"/>
  <c r="U266" i="123" s="1"/>
  <c r="E266" i="123" s="1"/>
  <c r="T265" i="123"/>
  <c r="S265" i="123"/>
  <c r="T264" i="123"/>
  <c r="S264" i="123"/>
  <c r="T263" i="123"/>
  <c r="S263" i="123"/>
  <c r="T262" i="123"/>
  <c r="S262" i="123"/>
  <c r="U262" i="123" s="1"/>
  <c r="E262" i="123" s="1"/>
  <c r="E261" i="123"/>
  <c r="T261" i="123"/>
  <c r="S261" i="123"/>
  <c r="U261" i="123" s="1"/>
  <c r="T260" i="123"/>
  <c r="S260" i="123"/>
  <c r="U260" i="123" s="1"/>
  <c r="E260" i="123" s="1"/>
  <c r="T259" i="123"/>
  <c r="S259" i="123"/>
  <c r="T258" i="123"/>
  <c r="S258" i="123"/>
  <c r="U258" i="123" s="1"/>
  <c r="E258" i="123" s="1"/>
  <c r="T257" i="123"/>
  <c r="S257" i="123"/>
  <c r="T256" i="123"/>
  <c r="S256" i="123"/>
  <c r="T255" i="123"/>
  <c r="S255" i="123"/>
  <c r="T254" i="123"/>
  <c r="S254" i="123"/>
  <c r="U254" i="123" s="1"/>
  <c r="E254" i="123" s="1"/>
  <c r="E253" i="123"/>
  <c r="T253" i="123"/>
  <c r="S253" i="123"/>
  <c r="U253" i="123" s="1"/>
  <c r="T252" i="123"/>
  <c r="S252" i="123"/>
  <c r="U252" i="123" s="1"/>
  <c r="E252" i="123" s="1"/>
  <c r="T251" i="123"/>
  <c r="S251" i="123"/>
  <c r="T250" i="123"/>
  <c r="S250" i="123"/>
  <c r="U250" i="123" s="1"/>
  <c r="E250" i="123" s="1"/>
  <c r="T249" i="123"/>
  <c r="S249" i="123"/>
  <c r="T248" i="123"/>
  <c r="S248" i="123"/>
  <c r="T247" i="123"/>
  <c r="S247" i="123"/>
  <c r="T246" i="123"/>
  <c r="S246" i="123"/>
  <c r="U246" i="123" s="1"/>
  <c r="E246" i="123" s="1"/>
  <c r="E245" i="123"/>
  <c r="T245" i="123"/>
  <c r="S245" i="123"/>
  <c r="U245" i="123" s="1"/>
  <c r="T244" i="123"/>
  <c r="S244" i="123"/>
  <c r="U244" i="123" s="1"/>
  <c r="E244" i="123" s="1"/>
  <c r="T243" i="123"/>
  <c r="S243" i="123"/>
  <c r="T242" i="123"/>
  <c r="S242" i="123"/>
  <c r="U242" i="123" s="1"/>
  <c r="E242" i="123" s="1"/>
  <c r="T241" i="123"/>
  <c r="S241" i="123"/>
  <c r="T240" i="123"/>
  <c r="S240" i="123"/>
  <c r="T239" i="123"/>
  <c r="S239" i="123"/>
  <c r="T238" i="123"/>
  <c r="S238" i="123"/>
  <c r="U238" i="123" s="1"/>
  <c r="E238" i="123" s="1"/>
  <c r="E237" i="123"/>
  <c r="T237" i="123"/>
  <c r="S237" i="123"/>
  <c r="U237" i="123" s="1"/>
  <c r="T236" i="123"/>
  <c r="S236" i="123"/>
  <c r="U236" i="123" s="1"/>
  <c r="E236" i="123" s="1"/>
  <c r="T235" i="123"/>
  <c r="S235" i="123"/>
  <c r="T234" i="123"/>
  <c r="S234" i="123"/>
  <c r="U234" i="123" s="1"/>
  <c r="E234" i="123" s="1"/>
  <c r="T233" i="123"/>
  <c r="S233" i="123"/>
  <c r="T232" i="123"/>
  <c r="S232" i="123"/>
  <c r="T231" i="123"/>
  <c r="S231" i="123"/>
  <c r="T230" i="123"/>
  <c r="S230" i="123"/>
  <c r="U230" i="123" s="1"/>
  <c r="E230" i="123" s="1"/>
  <c r="E229" i="123"/>
  <c r="T229" i="123"/>
  <c r="S229" i="123"/>
  <c r="U229" i="123" s="1"/>
  <c r="T228" i="123"/>
  <c r="S228" i="123"/>
  <c r="U228" i="123" s="1"/>
  <c r="E228" i="123" s="1"/>
  <c r="T227" i="123"/>
  <c r="S227" i="123"/>
  <c r="T226" i="123"/>
  <c r="S226" i="123"/>
  <c r="U226" i="123" s="1"/>
  <c r="E226" i="123" s="1"/>
  <c r="T225" i="123"/>
  <c r="S225" i="123"/>
  <c r="T224" i="123"/>
  <c r="S224" i="123"/>
  <c r="T223" i="123"/>
  <c r="S223" i="123"/>
  <c r="T222" i="123"/>
  <c r="S222" i="123"/>
  <c r="U222" i="123" s="1"/>
  <c r="E222" i="123" s="1"/>
  <c r="E221" i="123"/>
  <c r="T221" i="123"/>
  <c r="S221" i="123"/>
  <c r="U221" i="123" s="1"/>
  <c r="T220" i="123"/>
  <c r="S220" i="123"/>
  <c r="U220" i="123" s="1"/>
  <c r="E220" i="123" s="1"/>
  <c r="T219" i="123"/>
  <c r="S219" i="123"/>
  <c r="T218" i="123"/>
  <c r="S218" i="123"/>
  <c r="U218" i="123" s="1"/>
  <c r="E218" i="123" s="1"/>
  <c r="T217" i="123"/>
  <c r="S217" i="123"/>
  <c r="T216" i="123"/>
  <c r="S216" i="123"/>
  <c r="T215" i="123"/>
  <c r="S215" i="123"/>
  <c r="T214" i="123"/>
  <c r="S214" i="123"/>
  <c r="U214" i="123" s="1"/>
  <c r="E214" i="123" s="1"/>
  <c r="E213" i="123"/>
  <c r="T213" i="123"/>
  <c r="S213" i="123"/>
  <c r="U213" i="123" s="1"/>
  <c r="T212" i="123"/>
  <c r="S212" i="123"/>
  <c r="U212" i="123" s="1"/>
  <c r="E212" i="123" s="1"/>
  <c r="T211" i="123"/>
  <c r="S211" i="123"/>
  <c r="T210" i="123"/>
  <c r="S210" i="123"/>
  <c r="U210" i="123" s="1"/>
  <c r="E210" i="123" s="1"/>
  <c r="T209" i="123"/>
  <c r="S209" i="123"/>
  <c r="T208" i="123"/>
  <c r="S208" i="123"/>
  <c r="T207" i="123"/>
  <c r="S207" i="123"/>
  <c r="T206" i="123"/>
  <c r="S206" i="123"/>
  <c r="U206" i="123" s="1"/>
  <c r="E206" i="123" s="1"/>
  <c r="E205" i="123"/>
  <c r="T205" i="123"/>
  <c r="S205" i="123"/>
  <c r="U205" i="123" s="1"/>
  <c r="T204" i="123"/>
  <c r="S204" i="123"/>
  <c r="U204" i="123" s="1"/>
  <c r="E204" i="123" s="1"/>
  <c r="T203" i="123"/>
  <c r="S203" i="123"/>
  <c r="T202" i="123"/>
  <c r="S202" i="123"/>
  <c r="U202" i="123" s="1"/>
  <c r="E202" i="123" s="1"/>
  <c r="T201" i="123"/>
  <c r="S201" i="123"/>
  <c r="T200" i="123"/>
  <c r="S200" i="123"/>
  <c r="T199" i="123"/>
  <c r="S199" i="123"/>
  <c r="T198" i="123"/>
  <c r="S198" i="123"/>
  <c r="U198" i="123" s="1"/>
  <c r="E198" i="123" s="1"/>
  <c r="E197" i="123"/>
  <c r="T197" i="123"/>
  <c r="S197" i="123"/>
  <c r="U197" i="123" s="1"/>
  <c r="T196" i="123"/>
  <c r="S196" i="123"/>
  <c r="U196" i="123" s="1"/>
  <c r="E196" i="123" s="1"/>
  <c r="T195" i="123"/>
  <c r="S195" i="123"/>
  <c r="T194" i="123"/>
  <c r="S194" i="123"/>
  <c r="U194" i="123" s="1"/>
  <c r="E194" i="123" s="1"/>
  <c r="T193" i="123"/>
  <c r="S193" i="123"/>
  <c r="T192" i="123"/>
  <c r="S192" i="123"/>
  <c r="T191" i="123"/>
  <c r="S191" i="123"/>
  <c r="T190" i="123"/>
  <c r="S190" i="123"/>
  <c r="U190" i="123" s="1"/>
  <c r="E190" i="123" s="1"/>
  <c r="E189" i="123"/>
  <c r="T189" i="123"/>
  <c r="S189" i="123"/>
  <c r="U189" i="123" s="1"/>
  <c r="T188" i="123"/>
  <c r="S188" i="123"/>
  <c r="U188" i="123" s="1"/>
  <c r="E188" i="123" s="1"/>
  <c r="T187" i="123"/>
  <c r="S187" i="123"/>
  <c r="T186" i="123"/>
  <c r="S186" i="123"/>
  <c r="U186" i="123" s="1"/>
  <c r="E186" i="123" s="1"/>
  <c r="T185" i="123"/>
  <c r="S185" i="123"/>
  <c r="T184" i="123"/>
  <c r="S184" i="123"/>
  <c r="T183" i="123"/>
  <c r="S183" i="123"/>
  <c r="T182" i="123"/>
  <c r="S182" i="123"/>
  <c r="U182" i="123" s="1"/>
  <c r="E182" i="123" s="1"/>
  <c r="E181" i="123"/>
  <c r="T181" i="123"/>
  <c r="S181" i="123"/>
  <c r="U181" i="123" s="1"/>
  <c r="T180" i="123"/>
  <c r="S180" i="123"/>
  <c r="U180" i="123" s="1"/>
  <c r="E180" i="123" s="1"/>
  <c r="T179" i="123"/>
  <c r="S179" i="123"/>
  <c r="T178" i="123"/>
  <c r="S178" i="123"/>
  <c r="U178" i="123" s="1"/>
  <c r="E178" i="123" s="1"/>
  <c r="T177" i="123"/>
  <c r="S177" i="123"/>
  <c r="T176" i="123"/>
  <c r="S176" i="123"/>
  <c r="T175" i="123"/>
  <c r="S175" i="123"/>
  <c r="T174" i="123"/>
  <c r="S174" i="123"/>
  <c r="U174" i="123" s="1"/>
  <c r="E174" i="123" s="1"/>
  <c r="E173" i="123"/>
  <c r="T173" i="123"/>
  <c r="S173" i="123"/>
  <c r="U173" i="123" s="1"/>
  <c r="T172" i="123"/>
  <c r="S172" i="123"/>
  <c r="U172" i="123" s="1"/>
  <c r="E172" i="123" s="1"/>
  <c r="T171" i="123"/>
  <c r="S171" i="123"/>
  <c r="U171" i="123" s="1"/>
  <c r="E171" i="123" s="1"/>
  <c r="T170" i="123"/>
  <c r="S170" i="123"/>
  <c r="U170" i="123" s="1"/>
  <c r="E170" i="123" s="1"/>
  <c r="T169" i="123"/>
  <c r="S169" i="123"/>
  <c r="T168" i="123"/>
  <c r="S168" i="123"/>
  <c r="U168" i="123" s="1"/>
  <c r="E168" i="123" s="1"/>
  <c r="T167" i="123"/>
  <c r="S167" i="123"/>
  <c r="U167" i="123" s="1"/>
  <c r="E167" i="123" s="1"/>
  <c r="T166" i="123"/>
  <c r="S166" i="123"/>
  <c r="U166" i="123" s="1"/>
  <c r="E166" i="123" s="1"/>
  <c r="T165" i="123"/>
  <c r="S165" i="123"/>
  <c r="T164" i="123"/>
  <c r="S164" i="123"/>
  <c r="U164" i="123" s="1"/>
  <c r="E164" i="123" s="1"/>
  <c r="T163" i="123"/>
  <c r="S163" i="123"/>
  <c r="U163" i="123" s="1"/>
  <c r="E163" i="123" s="1"/>
  <c r="T162" i="123"/>
  <c r="S162" i="123"/>
  <c r="U162" i="123" s="1"/>
  <c r="E162" i="123" s="1"/>
  <c r="T161" i="123"/>
  <c r="S161" i="123"/>
  <c r="T160" i="123"/>
  <c r="S160" i="123"/>
  <c r="U160" i="123" s="1"/>
  <c r="E160" i="123" s="1"/>
  <c r="T159" i="123"/>
  <c r="S159" i="123"/>
  <c r="U159" i="123" s="1"/>
  <c r="E159" i="123" s="1"/>
  <c r="T158" i="123"/>
  <c r="S158" i="123"/>
  <c r="U158" i="123" s="1"/>
  <c r="E158" i="123" s="1"/>
  <c r="T157" i="123"/>
  <c r="S157" i="123"/>
  <c r="T156" i="123"/>
  <c r="S156" i="123"/>
  <c r="U156" i="123" s="1"/>
  <c r="E156" i="123" s="1"/>
  <c r="T155" i="123"/>
  <c r="S155" i="123"/>
  <c r="U155" i="123" s="1"/>
  <c r="E155" i="123" s="1"/>
  <c r="T154" i="123"/>
  <c r="S154" i="123"/>
  <c r="U154" i="123" s="1"/>
  <c r="E154" i="123" s="1"/>
  <c r="T153" i="123"/>
  <c r="S153" i="123"/>
  <c r="T152" i="123"/>
  <c r="S152" i="123"/>
  <c r="U152" i="123" s="1"/>
  <c r="E152" i="123" s="1"/>
  <c r="T151" i="123"/>
  <c r="S151" i="123"/>
  <c r="U151" i="123" s="1"/>
  <c r="E151" i="123" s="1"/>
  <c r="T150" i="123"/>
  <c r="S150" i="123"/>
  <c r="U150" i="123" s="1"/>
  <c r="E150" i="123" s="1"/>
  <c r="T149" i="123"/>
  <c r="S149" i="123"/>
  <c r="T148" i="123"/>
  <c r="S148" i="123"/>
  <c r="U148" i="123" s="1"/>
  <c r="E148" i="123" s="1"/>
  <c r="T147" i="123"/>
  <c r="S147" i="123"/>
  <c r="U147" i="123" s="1"/>
  <c r="E147" i="123" s="1"/>
  <c r="T146" i="123"/>
  <c r="S146" i="123"/>
  <c r="U146" i="123" s="1"/>
  <c r="E146" i="123" s="1"/>
  <c r="T145" i="123"/>
  <c r="S145" i="123"/>
  <c r="T144" i="123"/>
  <c r="S144" i="123"/>
  <c r="U144" i="123" s="1"/>
  <c r="E144" i="123" s="1"/>
  <c r="T143" i="123"/>
  <c r="S143" i="123"/>
  <c r="U143" i="123" s="1"/>
  <c r="E143" i="123" s="1"/>
  <c r="T142" i="123"/>
  <c r="S142" i="123"/>
  <c r="U142" i="123" s="1"/>
  <c r="E142" i="123" s="1"/>
  <c r="T141" i="123"/>
  <c r="S141" i="123"/>
  <c r="T140" i="123"/>
  <c r="S140" i="123"/>
  <c r="U140" i="123" s="1"/>
  <c r="E140" i="123" s="1"/>
  <c r="T139" i="123"/>
  <c r="S139" i="123"/>
  <c r="U139" i="123" s="1"/>
  <c r="E139" i="123" s="1"/>
  <c r="T138" i="123"/>
  <c r="S138" i="123"/>
  <c r="U138" i="123" s="1"/>
  <c r="E138" i="123" s="1"/>
  <c r="T137" i="123"/>
  <c r="S137" i="123"/>
  <c r="T136" i="123"/>
  <c r="S136" i="123"/>
  <c r="U136" i="123" s="1"/>
  <c r="E136" i="123" s="1"/>
  <c r="T135" i="123"/>
  <c r="S135" i="123"/>
  <c r="U135" i="123" s="1"/>
  <c r="E135" i="123" s="1"/>
  <c r="T134" i="123"/>
  <c r="S134" i="123"/>
  <c r="U134" i="123" s="1"/>
  <c r="E134" i="123" s="1"/>
  <c r="T133" i="123"/>
  <c r="S133" i="123"/>
  <c r="T132" i="123"/>
  <c r="S132" i="123"/>
  <c r="U132" i="123" s="1"/>
  <c r="E132" i="123" s="1"/>
  <c r="T131" i="123"/>
  <c r="S131" i="123"/>
  <c r="U131" i="123" s="1"/>
  <c r="E131" i="123" s="1"/>
  <c r="T130" i="123"/>
  <c r="S130" i="123"/>
  <c r="U130" i="123" s="1"/>
  <c r="E130" i="123" s="1"/>
  <c r="T129" i="123"/>
  <c r="S129" i="123"/>
  <c r="T128" i="123"/>
  <c r="S128" i="123"/>
  <c r="U128" i="123" s="1"/>
  <c r="E128" i="123" s="1"/>
  <c r="T127" i="123"/>
  <c r="S127" i="123"/>
  <c r="U127" i="123" s="1"/>
  <c r="E127" i="123" s="1"/>
  <c r="S126" i="123"/>
  <c r="U125" i="123"/>
  <c r="E125" i="123" s="1"/>
  <c r="T125" i="123"/>
  <c r="S125" i="123"/>
  <c r="T124" i="123"/>
  <c r="S124" i="123"/>
  <c r="U124" i="123" s="1"/>
  <c r="E124" i="123" s="1"/>
  <c r="U123" i="123"/>
  <c r="E123" i="123" s="1"/>
  <c r="T123" i="123"/>
  <c r="S123" i="123"/>
  <c r="T122" i="123"/>
  <c r="S122" i="123"/>
  <c r="T121" i="123"/>
  <c r="U121" i="123" s="1"/>
  <c r="E121" i="123" s="1"/>
  <c r="S121" i="123"/>
  <c r="T120" i="123"/>
  <c r="S120" i="123"/>
  <c r="U119" i="123"/>
  <c r="E119" i="123" s="1"/>
  <c r="T119" i="123"/>
  <c r="S119" i="123"/>
  <c r="T118" i="123"/>
  <c r="S118" i="123"/>
  <c r="U118" i="123" s="1"/>
  <c r="E118" i="123" s="1"/>
  <c r="U117" i="123"/>
  <c r="E117" i="123" s="1"/>
  <c r="T117" i="123"/>
  <c r="S117" i="123"/>
  <c r="T116" i="123"/>
  <c r="S116" i="123"/>
  <c r="U115" i="123"/>
  <c r="E115" i="123" s="1"/>
  <c r="T115" i="123"/>
  <c r="S115" i="123"/>
  <c r="T114" i="123"/>
  <c r="S114" i="123"/>
  <c r="T113" i="123"/>
  <c r="U113" i="123" s="1"/>
  <c r="E113" i="123" s="1"/>
  <c r="S113" i="123"/>
  <c r="T112" i="123"/>
  <c r="S112" i="123"/>
  <c r="T111" i="123"/>
  <c r="U111" i="123" s="1"/>
  <c r="E111" i="123" s="1"/>
  <c r="S111" i="123"/>
  <c r="T110" i="123"/>
  <c r="S110" i="123"/>
  <c r="U110" i="123" s="1"/>
  <c r="E110" i="123" s="1"/>
  <c r="U109" i="123"/>
  <c r="E109" i="123" s="1"/>
  <c r="T109" i="123"/>
  <c r="S109" i="123"/>
  <c r="T108" i="123"/>
  <c r="S108" i="123"/>
  <c r="U108" i="123" s="1"/>
  <c r="E108" i="123" s="1"/>
  <c r="U107" i="123"/>
  <c r="E107" i="123" s="1"/>
  <c r="T107" i="123"/>
  <c r="S107" i="123"/>
  <c r="T106" i="123"/>
  <c r="S106" i="123"/>
  <c r="T105" i="123"/>
  <c r="U105" i="123" s="1"/>
  <c r="E105" i="123" s="1"/>
  <c r="S105" i="123"/>
  <c r="T104" i="123"/>
  <c r="S104" i="123"/>
  <c r="U103" i="123"/>
  <c r="E103" i="123" s="1"/>
  <c r="T103" i="123"/>
  <c r="S103" i="123"/>
  <c r="T102" i="123"/>
  <c r="S102" i="123"/>
  <c r="U102" i="123" s="1"/>
  <c r="E102" i="123" s="1"/>
  <c r="U101" i="123"/>
  <c r="E101" i="123" s="1"/>
  <c r="T101" i="123"/>
  <c r="S101" i="123"/>
  <c r="T100" i="123"/>
  <c r="S100" i="123"/>
  <c r="S99" i="123"/>
  <c r="U98" i="123"/>
  <c r="E98" i="123" s="1"/>
  <c r="T98" i="123"/>
  <c r="S98" i="123"/>
  <c r="T97" i="123"/>
  <c r="S97" i="123"/>
  <c r="U97" i="123" s="1"/>
  <c r="E97" i="123" s="1"/>
  <c r="T96" i="123"/>
  <c r="S96" i="123"/>
  <c r="U96" i="123" s="1"/>
  <c r="E96" i="123" s="1"/>
  <c r="E95" i="123"/>
  <c r="T95" i="123"/>
  <c r="S95" i="123"/>
  <c r="U95" i="123" s="1"/>
  <c r="T94" i="123"/>
  <c r="S94" i="123"/>
  <c r="U94" i="123" s="1"/>
  <c r="E94" i="123" s="1"/>
  <c r="E93" i="123"/>
  <c r="T93" i="123"/>
  <c r="S93" i="123"/>
  <c r="U93" i="123" s="1"/>
  <c r="U92" i="123"/>
  <c r="E92" i="123" s="1"/>
  <c r="T92" i="123"/>
  <c r="S92" i="123"/>
  <c r="E91" i="123"/>
  <c r="T91" i="123"/>
  <c r="S91" i="123"/>
  <c r="U91" i="123" s="1"/>
  <c r="T90" i="123"/>
  <c r="S90" i="123"/>
  <c r="U90" i="123" s="1"/>
  <c r="E90" i="123" s="1"/>
  <c r="T89" i="123"/>
  <c r="S89" i="123"/>
  <c r="U89" i="123" s="1"/>
  <c r="E89" i="123" s="1"/>
  <c r="T88" i="123"/>
  <c r="S88" i="123"/>
  <c r="U88" i="123" s="1"/>
  <c r="E88" i="123" s="1"/>
  <c r="T87" i="123"/>
  <c r="S87" i="123"/>
  <c r="U87" i="123" s="1"/>
  <c r="E87" i="123" s="1"/>
  <c r="E86" i="123"/>
  <c r="U86" i="123"/>
  <c r="T86" i="123"/>
  <c r="S86" i="123"/>
  <c r="E85" i="123"/>
  <c r="T85" i="123"/>
  <c r="S85" i="123"/>
  <c r="U85" i="123" s="1"/>
  <c r="E84" i="123"/>
  <c r="U84" i="123"/>
  <c r="T84" i="123"/>
  <c r="S84" i="123"/>
  <c r="T83" i="123"/>
  <c r="S83" i="123"/>
  <c r="U83" i="123" s="1"/>
  <c r="E83" i="123" s="1"/>
  <c r="U82" i="123"/>
  <c r="E82" i="123" s="1"/>
  <c r="T82" i="123"/>
  <c r="S82" i="123"/>
  <c r="T81" i="123"/>
  <c r="S81" i="123"/>
  <c r="U81" i="123" s="1"/>
  <c r="E81" i="123" s="1"/>
  <c r="T80" i="123"/>
  <c r="S80" i="123"/>
  <c r="U80" i="123" s="1"/>
  <c r="E80" i="123" s="1"/>
  <c r="E79" i="123"/>
  <c r="T79" i="123"/>
  <c r="S79" i="123"/>
  <c r="U79" i="123" s="1"/>
  <c r="T78" i="123"/>
  <c r="S78" i="123"/>
  <c r="U78" i="123" s="1"/>
  <c r="E78" i="123" s="1"/>
  <c r="E77" i="123"/>
  <c r="T77" i="123"/>
  <c r="S77" i="123"/>
  <c r="U77" i="123" s="1"/>
  <c r="U76" i="123"/>
  <c r="E76" i="123" s="1"/>
  <c r="T76" i="123"/>
  <c r="S76" i="123"/>
  <c r="E75" i="123"/>
  <c r="T75" i="123"/>
  <c r="S75" i="123"/>
  <c r="U75" i="123" s="1"/>
  <c r="T74" i="123"/>
  <c r="S74" i="123"/>
  <c r="U74" i="123" s="1"/>
  <c r="E74" i="123" s="1"/>
  <c r="T73" i="123"/>
  <c r="S73" i="123"/>
  <c r="U73" i="123" s="1"/>
  <c r="E73" i="123" s="1"/>
  <c r="T72" i="123"/>
  <c r="S72" i="123"/>
  <c r="U72" i="123" s="1"/>
  <c r="E72" i="123" s="1"/>
  <c r="T71" i="123"/>
  <c r="S71" i="123"/>
  <c r="U71" i="123" s="1"/>
  <c r="E71" i="123" s="1"/>
  <c r="E70" i="123"/>
  <c r="U70" i="123"/>
  <c r="T70" i="123"/>
  <c r="S70" i="123"/>
  <c r="E69" i="123"/>
  <c r="T69" i="123"/>
  <c r="S69" i="123"/>
  <c r="U69" i="123" s="1"/>
  <c r="E68" i="123"/>
  <c r="U68" i="123"/>
  <c r="T68" i="123"/>
  <c r="S68" i="123"/>
  <c r="T67" i="123"/>
  <c r="S67" i="123"/>
  <c r="U67" i="123" s="1"/>
  <c r="E67" i="123" s="1"/>
  <c r="U66" i="123"/>
  <c r="E66" i="123" s="1"/>
  <c r="T66" i="123"/>
  <c r="S66" i="123"/>
  <c r="T65" i="123"/>
  <c r="S65" i="123"/>
  <c r="U65" i="123" s="1"/>
  <c r="E65" i="123" s="1"/>
  <c r="T64" i="123"/>
  <c r="S64" i="123"/>
  <c r="U64" i="123" s="1"/>
  <c r="E64" i="123" s="1"/>
  <c r="E63" i="123"/>
  <c r="T63" i="123"/>
  <c r="S63" i="123"/>
  <c r="U63" i="123" s="1"/>
  <c r="T62" i="123"/>
  <c r="S62" i="123"/>
  <c r="U62" i="123" s="1"/>
  <c r="E62" i="123" s="1"/>
  <c r="E61" i="123"/>
  <c r="T61" i="123"/>
  <c r="S61" i="123"/>
  <c r="U61" i="123" s="1"/>
  <c r="U60" i="123"/>
  <c r="E60" i="123" s="1"/>
  <c r="T60" i="123"/>
  <c r="S60" i="123"/>
  <c r="E59" i="123"/>
  <c r="T59" i="123"/>
  <c r="S59" i="123"/>
  <c r="U59" i="123" s="1"/>
  <c r="T58" i="123"/>
  <c r="S58" i="123"/>
  <c r="U58" i="123" s="1"/>
  <c r="E58" i="123" s="1"/>
  <c r="T57" i="123"/>
  <c r="S57" i="123"/>
  <c r="U57" i="123" s="1"/>
  <c r="E57" i="123" s="1"/>
  <c r="T56" i="123"/>
  <c r="S56" i="123"/>
  <c r="U56" i="123" s="1"/>
  <c r="E56" i="123" s="1"/>
  <c r="T55" i="123"/>
  <c r="S55" i="123"/>
  <c r="U55" i="123" s="1"/>
  <c r="E55" i="123" s="1"/>
  <c r="E54" i="123"/>
  <c r="U54" i="123"/>
  <c r="T54" i="123"/>
  <c r="S54" i="123"/>
  <c r="T53" i="123"/>
  <c r="S53" i="123"/>
  <c r="U53" i="123" s="1"/>
  <c r="E53" i="123" s="1"/>
  <c r="E52" i="123"/>
  <c r="U52" i="123"/>
  <c r="T52" i="123"/>
  <c r="S52" i="123"/>
  <c r="T51" i="123"/>
  <c r="S51" i="123"/>
  <c r="U51" i="123" s="1"/>
  <c r="E51" i="123" s="1"/>
  <c r="E50" i="123"/>
  <c r="U50" i="123"/>
  <c r="T50" i="123"/>
  <c r="S50" i="123"/>
  <c r="S49" i="123"/>
  <c r="E48" i="123"/>
  <c r="T48" i="123"/>
  <c r="S48" i="123"/>
  <c r="U48" i="123" s="1"/>
  <c r="T47" i="123"/>
  <c r="S47" i="123"/>
  <c r="T46" i="123"/>
  <c r="S46" i="123"/>
  <c r="T45" i="123"/>
  <c r="S45" i="123"/>
  <c r="U45" i="123" s="1"/>
  <c r="E45" i="123" s="1"/>
  <c r="T44" i="123"/>
  <c r="S44" i="123"/>
  <c r="U44" i="123" s="1"/>
  <c r="E44" i="123" s="1"/>
  <c r="T43" i="123"/>
  <c r="S43" i="123"/>
  <c r="T42" i="123"/>
  <c r="S42" i="123"/>
  <c r="T41" i="123"/>
  <c r="S41" i="123"/>
  <c r="E40" i="123"/>
  <c r="T40" i="123"/>
  <c r="S40" i="123"/>
  <c r="U40" i="123" s="1"/>
  <c r="T39" i="123"/>
  <c r="S39" i="123"/>
  <c r="T38" i="123"/>
  <c r="S38" i="123"/>
  <c r="T37" i="123"/>
  <c r="S37" i="123"/>
  <c r="U37" i="123" s="1"/>
  <c r="E37" i="123" s="1"/>
  <c r="T36" i="123"/>
  <c r="S36" i="123"/>
  <c r="U36" i="123" s="1"/>
  <c r="E36" i="123" s="1"/>
  <c r="T35" i="123"/>
  <c r="S35" i="123"/>
  <c r="T34" i="123"/>
  <c r="S34" i="123"/>
  <c r="T33" i="123"/>
  <c r="S33" i="123"/>
  <c r="E32" i="123"/>
  <c r="T32" i="123"/>
  <c r="S32" i="123"/>
  <c r="U32" i="123" s="1"/>
  <c r="T31" i="123"/>
  <c r="S31" i="123"/>
  <c r="T30" i="123"/>
  <c r="S30" i="123"/>
  <c r="T29" i="123"/>
  <c r="S29" i="123"/>
  <c r="U29" i="123" s="1"/>
  <c r="E29" i="123" s="1"/>
  <c r="T28" i="123"/>
  <c r="S28" i="123"/>
  <c r="U28" i="123" s="1"/>
  <c r="E28" i="123" s="1"/>
  <c r="T27" i="123"/>
  <c r="S27" i="123"/>
  <c r="T26" i="123"/>
  <c r="S26" i="123"/>
  <c r="T25" i="123"/>
  <c r="S25" i="123"/>
  <c r="E24" i="123"/>
  <c r="T24" i="123"/>
  <c r="S24" i="123"/>
  <c r="U24" i="123" s="1"/>
  <c r="T23" i="123"/>
  <c r="S23" i="123"/>
  <c r="T22" i="123"/>
  <c r="S22" i="123"/>
  <c r="T21" i="123"/>
  <c r="S21" i="123"/>
  <c r="U21" i="123" s="1"/>
  <c r="E21" i="123" s="1"/>
  <c r="T20" i="123"/>
  <c r="S20" i="123"/>
  <c r="U20" i="123" s="1"/>
  <c r="E20" i="123" s="1"/>
  <c r="T19" i="123"/>
  <c r="S19" i="123"/>
  <c r="U18" i="123"/>
  <c r="E18" i="123" s="1"/>
  <c r="T18" i="123"/>
  <c r="S18" i="123"/>
  <c r="T17" i="123"/>
  <c r="S17" i="123"/>
  <c r="T16" i="123"/>
  <c r="S16" i="123"/>
  <c r="U16" i="123" s="1"/>
  <c r="E16" i="123" s="1"/>
  <c r="T15" i="123"/>
  <c r="S15" i="123"/>
  <c r="T14" i="123"/>
  <c r="S14" i="123"/>
  <c r="U14" i="123" s="1"/>
  <c r="E14" i="123" s="1"/>
  <c r="T13" i="123"/>
  <c r="S13" i="123"/>
  <c r="U13" i="123" s="1"/>
  <c r="E13" i="123" s="1"/>
  <c r="E12" i="123"/>
  <c r="U12" i="123"/>
  <c r="T12" i="123"/>
  <c r="S12" i="123"/>
  <c r="T11" i="123"/>
  <c r="S11" i="123"/>
  <c r="T10" i="123"/>
  <c r="U10" i="123" s="1"/>
  <c r="E10" i="123" s="1"/>
  <c r="S10" i="123"/>
  <c r="U339" i="123"/>
  <c r="E339" i="123" s="1"/>
  <c r="S339" i="123"/>
  <c r="U338" i="123"/>
  <c r="E338" i="123" s="1"/>
  <c r="S338" i="123"/>
  <c r="K8" i="139" l="1"/>
  <c r="L10" i="139"/>
  <c r="T327" i="137"/>
  <c r="U327" i="137" s="1"/>
  <c r="E327" i="137" s="1"/>
  <c r="T328" i="137"/>
  <c r="U328" i="137" s="1"/>
  <c r="E328" i="137" s="1"/>
  <c r="W13" i="135"/>
  <c r="E13" i="135" s="1"/>
  <c r="V15" i="135"/>
  <c r="W15" i="135" s="1"/>
  <c r="E15" i="135" s="1"/>
  <c r="A3" i="135" s="1"/>
  <c r="U15" i="134"/>
  <c r="T8" i="134"/>
  <c r="U15" i="133"/>
  <c r="T8" i="133"/>
  <c r="U22" i="132"/>
  <c r="E22" i="132" s="1"/>
  <c r="A3" i="132" s="1"/>
  <c r="S8" i="132"/>
  <c r="S8" i="130"/>
  <c r="U15" i="130"/>
  <c r="S8" i="129"/>
  <c r="U99" i="128"/>
  <c r="E99" i="128" s="1"/>
  <c r="T8" i="128"/>
  <c r="A3" i="128"/>
  <c r="U8" i="128"/>
  <c r="U8" i="127"/>
  <c r="E10" i="127"/>
  <c r="A3" i="127" s="1"/>
  <c r="Q99" i="126"/>
  <c r="T99" i="126" s="1"/>
  <c r="U99" i="126" s="1"/>
  <c r="E99" i="126" s="1"/>
  <c r="Q126" i="126"/>
  <c r="T126" i="126" s="1"/>
  <c r="U126" i="126" s="1"/>
  <c r="E126" i="126" s="1"/>
  <c r="A3" i="126"/>
  <c r="I10" i="125"/>
  <c r="K10" i="125" s="1"/>
  <c r="L10" i="125" s="1"/>
  <c r="E10" i="125" s="1"/>
  <c r="I12" i="125"/>
  <c r="K12" i="125" s="1"/>
  <c r="L12" i="125" s="1"/>
  <c r="E12" i="125" s="1"/>
  <c r="T338" i="123"/>
  <c r="T339" i="123"/>
  <c r="U11" i="123"/>
  <c r="E11" i="123" s="1"/>
  <c r="U23" i="123"/>
  <c r="E23" i="123" s="1"/>
  <c r="U31" i="123"/>
  <c r="E31" i="123" s="1"/>
  <c r="U39" i="123"/>
  <c r="E39" i="123" s="1"/>
  <c r="U47" i="123"/>
  <c r="E47" i="123" s="1"/>
  <c r="U104" i="123"/>
  <c r="E104" i="123" s="1"/>
  <c r="U120" i="123"/>
  <c r="E120" i="123" s="1"/>
  <c r="U26" i="123"/>
  <c r="E26" i="123" s="1"/>
  <c r="U34" i="123"/>
  <c r="E34" i="123" s="1"/>
  <c r="U42" i="123"/>
  <c r="E42" i="123" s="1"/>
  <c r="U114" i="123"/>
  <c r="E114" i="123" s="1"/>
  <c r="U19" i="123"/>
  <c r="E19" i="123" s="1"/>
  <c r="U27" i="123"/>
  <c r="E27" i="123" s="1"/>
  <c r="U35" i="123"/>
  <c r="E35" i="123" s="1"/>
  <c r="U43" i="123"/>
  <c r="E43" i="123" s="1"/>
  <c r="U112" i="123"/>
  <c r="E112" i="123" s="1"/>
  <c r="U17" i="123"/>
  <c r="E17" i="123" s="1"/>
  <c r="U22" i="123"/>
  <c r="E22" i="123" s="1"/>
  <c r="U30" i="123"/>
  <c r="E30" i="123" s="1"/>
  <c r="U38" i="123"/>
  <c r="E38" i="123" s="1"/>
  <c r="U46" i="123"/>
  <c r="E46" i="123" s="1"/>
  <c r="U106" i="123"/>
  <c r="E106" i="123" s="1"/>
  <c r="U122" i="123"/>
  <c r="E122" i="123" s="1"/>
  <c r="U15" i="123"/>
  <c r="E15" i="123" s="1"/>
  <c r="U25" i="123"/>
  <c r="E25" i="123" s="1"/>
  <c r="U33" i="123"/>
  <c r="E33" i="123" s="1"/>
  <c r="U41" i="123"/>
  <c r="E41" i="123" s="1"/>
  <c r="U100" i="123"/>
  <c r="E100" i="123" s="1"/>
  <c r="U116" i="123"/>
  <c r="E116" i="123" s="1"/>
  <c r="U129" i="123"/>
  <c r="E129" i="123" s="1"/>
  <c r="U133" i="123"/>
  <c r="E133" i="123" s="1"/>
  <c r="U137" i="123"/>
  <c r="E137" i="123" s="1"/>
  <c r="U141" i="123"/>
  <c r="E141" i="123" s="1"/>
  <c r="U145" i="123"/>
  <c r="E145" i="123" s="1"/>
  <c r="U149" i="123"/>
  <c r="E149" i="123" s="1"/>
  <c r="U153" i="123"/>
  <c r="E153" i="123" s="1"/>
  <c r="U157" i="123"/>
  <c r="E157" i="123" s="1"/>
  <c r="U161" i="123"/>
  <c r="E161" i="123" s="1"/>
  <c r="U165" i="123"/>
  <c r="E165" i="123" s="1"/>
  <c r="U169" i="123"/>
  <c r="E169" i="123" s="1"/>
  <c r="U177" i="123"/>
  <c r="E177" i="123" s="1"/>
  <c r="U185" i="123"/>
  <c r="E185" i="123" s="1"/>
  <c r="U193" i="123"/>
  <c r="E193" i="123" s="1"/>
  <c r="U201" i="123"/>
  <c r="E201" i="123" s="1"/>
  <c r="U209" i="123"/>
  <c r="E209" i="123" s="1"/>
  <c r="U217" i="123"/>
  <c r="E217" i="123" s="1"/>
  <c r="U225" i="123"/>
  <c r="E225" i="123" s="1"/>
  <c r="U233" i="123"/>
  <c r="E233" i="123" s="1"/>
  <c r="U241" i="123"/>
  <c r="E241" i="123" s="1"/>
  <c r="U249" i="123"/>
  <c r="E249" i="123" s="1"/>
  <c r="U257" i="123"/>
  <c r="E257" i="123" s="1"/>
  <c r="U265" i="123"/>
  <c r="E265" i="123" s="1"/>
  <c r="U273" i="123"/>
  <c r="E273" i="123" s="1"/>
  <c r="U281" i="123"/>
  <c r="E281" i="123" s="1"/>
  <c r="U289" i="123"/>
  <c r="E289" i="123" s="1"/>
  <c r="U297" i="123"/>
  <c r="E297" i="123" s="1"/>
  <c r="U305" i="123"/>
  <c r="E305" i="123" s="1"/>
  <c r="U313" i="123"/>
  <c r="E313" i="123" s="1"/>
  <c r="U321" i="123"/>
  <c r="E321" i="123" s="1"/>
  <c r="U329" i="123"/>
  <c r="E329" i="123" s="1"/>
  <c r="U175" i="123"/>
  <c r="E175" i="123" s="1"/>
  <c r="U183" i="123"/>
  <c r="E183" i="123" s="1"/>
  <c r="U191" i="123"/>
  <c r="E191" i="123" s="1"/>
  <c r="U199" i="123"/>
  <c r="E199" i="123" s="1"/>
  <c r="U207" i="123"/>
  <c r="E207" i="123" s="1"/>
  <c r="U215" i="123"/>
  <c r="E215" i="123" s="1"/>
  <c r="U223" i="123"/>
  <c r="E223" i="123" s="1"/>
  <c r="U231" i="123"/>
  <c r="E231" i="123" s="1"/>
  <c r="U239" i="123"/>
  <c r="E239" i="123" s="1"/>
  <c r="U247" i="123"/>
  <c r="E247" i="123" s="1"/>
  <c r="U255" i="123"/>
  <c r="E255" i="123" s="1"/>
  <c r="U263" i="123"/>
  <c r="E263" i="123" s="1"/>
  <c r="U271" i="123"/>
  <c r="E271" i="123" s="1"/>
  <c r="U279" i="123"/>
  <c r="E279" i="123" s="1"/>
  <c r="U287" i="123"/>
  <c r="E287" i="123" s="1"/>
  <c r="U295" i="123"/>
  <c r="E295" i="123" s="1"/>
  <c r="U303" i="123"/>
  <c r="E303" i="123" s="1"/>
  <c r="U311" i="123"/>
  <c r="E311" i="123" s="1"/>
  <c r="U319" i="123"/>
  <c r="E319" i="123" s="1"/>
  <c r="U327" i="123"/>
  <c r="E327" i="123" s="1"/>
  <c r="U335" i="123"/>
  <c r="E335" i="123" s="1"/>
  <c r="U176" i="123"/>
  <c r="E176" i="123" s="1"/>
  <c r="U184" i="123"/>
  <c r="E184" i="123" s="1"/>
  <c r="U192" i="123"/>
  <c r="E192" i="123" s="1"/>
  <c r="U200" i="123"/>
  <c r="E200" i="123" s="1"/>
  <c r="U208" i="123"/>
  <c r="E208" i="123" s="1"/>
  <c r="U216" i="123"/>
  <c r="E216" i="123" s="1"/>
  <c r="U224" i="123"/>
  <c r="E224" i="123" s="1"/>
  <c r="U232" i="123"/>
  <c r="E232" i="123" s="1"/>
  <c r="U240" i="123"/>
  <c r="E240" i="123" s="1"/>
  <c r="U248" i="123"/>
  <c r="E248" i="123" s="1"/>
  <c r="U256" i="123"/>
  <c r="E256" i="123" s="1"/>
  <c r="U264" i="123"/>
  <c r="E264" i="123" s="1"/>
  <c r="U272" i="123"/>
  <c r="E272" i="123" s="1"/>
  <c r="U280" i="123"/>
  <c r="E280" i="123" s="1"/>
  <c r="U288" i="123"/>
  <c r="E288" i="123" s="1"/>
  <c r="U296" i="123"/>
  <c r="E296" i="123" s="1"/>
  <c r="U304" i="123"/>
  <c r="E304" i="123" s="1"/>
  <c r="U312" i="123"/>
  <c r="E312" i="123" s="1"/>
  <c r="U320" i="123"/>
  <c r="E320" i="123" s="1"/>
  <c r="U328" i="123"/>
  <c r="E328" i="123" s="1"/>
  <c r="U179" i="123"/>
  <c r="E179" i="123" s="1"/>
  <c r="U187" i="123"/>
  <c r="E187" i="123" s="1"/>
  <c r="U195" i="123"/>
  <c r="E195" i="123" s="1"/>
  <c r="U203" i="123"/>
  <c r="E203" i="123" s="1"/>
  <c r="U211" i="123"/>
  <c r="E211" i="123" s="1"/>
  <c r="U219" i="123"/>
  <c r="E219" i="123" s="1"/>
  <c r="U227" i="123"/>
  <c r="E227" i="123" s="1"/>
  <c r="U235" i="123"/>
  <c r="E235" i="123" s="1"/>
  <c r="U243" i="123"/>
  <c r="E243" i="123" s="1"/>
  <c r="U251" i="123"/>
  <c r="E251" i="123" s="1"/>
  <c r="U259" i="123"/>
  <c r="E259" i="123" s="1"/>
  <c r="U267" i="123"/>
  <c r="E267" i="123" s="1"/>
  <c r="U275" i="123"/>
  <c r="E275" i="123" s="1"/>
  <c r="U283" i="123"/>
  <c r="E283" i="123" s="1"/>
  <c r="U291" i="123"/>
  <c r="E291" i="123" s="1"/>
  <c r="U299" i="123"/>
  <c r="E299" i="123" s="1"/>
  <c r="U307" i="123"/>
  <c r="E307" i="123" s="1"/>
  <c r="U315" i="123"/>
  <c r="E315" i="123" s="1"/>
  <c r="U323" i="123"/>
  <c r="E323" i="123" s="1"/>
  <c r="U331" i="123"/>
  <c r="E331" i="123" s="1"/>
  <c r="F5" i="106"/>
  <c r="Q2" i="106"/>
  <c r="Q3" i="106" s="1"/>
  <c r="P2" i="106"/>
  <c r="P3" i="106" s="1"/>
  <c r="O2" i="106"/>
  <c r="O3" i="106" s="1"/>
  <c r="N2" i="106"/>
  <c r="N3" i="106" s="1"/>
  <c r="M2" i="106"/>
  <c r="M3" i="106" s="1"/>
  <c r="L2" i="106"/>
  <c r="L3" i="106" s="1"/>
  <c r="K2" i="106"/>
  <c r="K3" i="106" s="1"/>
  <c r="J2" i="106"/>
  <c r="J3" i="106" s="1"/>
  <c r="I2" i="106"/>
  <c r="I3" i="106" s="1"/>
  <c r="H2" i="106"/>
  <c r="H3" i="106" s="1"/>
  <c r="G2" i="106"/>
  <c r="G3" i="106" s="1"/>
  <c r="E332" i="106"/>
  <c r="E264" i="106"/>
  <c r="E265" i="106"/>
  <c r="E205" i="106"/>
  <c r="E143" i="106"/>
  <c r="E173" i="106"/>
  <c r="E44" i="106"/>
  <c r="E186" i="106"/>
  <c r="E228" i="106"/>
  <c r="E260" i="106"/>
  <c r="E147" i="106"/>
  <c r="E208" i="106"/>
  <c r="E111" i="106"/>
  <c r="E114" i="106"/>
  <c r="E190" i="106"/>
  <c r="E38" i="106"/>
  <c r="E149" i="106"/>
  <c r="E102" i="106"/>
  <c r="E153" i="106"/>
  <c r="E297" i="106"/>
  <c r="E138" i="106"/>
  <c r="E179" i="106"/>
  <c r="E61" i="106"/>
  <c r="E214" i="106"/>
  <c r="E78" i="106"/>
  <c r="E235" i="106"/>
  <c r="E88" i="106"/>
  <c r="E244" i="106"/>
  <c r="E40" i="106"/>
  <c r="E133" i="106"/>
  <c r="E98" i="106"/>
  <c r="E263" i="106"/>
  <c r="E21" i="106"/>
  <c r="E55" i="106"/>
  <c r="E162" i="106"/>
  <c r="E159" i="106"/>
  <c r="E269" i="106"/>
  <c r="E331" i="106"/>
  <c r="E116" i="106"/>
  <c r="E152" i="106"/>
  <c r="E258" i="106"/>
  <c r="E43" i="106"/>
  <c r="E79" i="106"/>
  <c r="E47" i="106"/>
  <c r="E178" i="106"/>
  <c r="E234" i="106"/>
  <c r="E239" i="106"/>
  <c r="E286" i="106"/>
  <c r="E201" i="106"/>
  <c r="E308" i="106"/>
  <c r="E49" i="106"/>
  <c r="E83" i="106"/>
  <c r="E270" i="106"/>
  <c r="E290" i="106"/>
  <c r="E249" i="106"/>
  <c r="E291" i="106"/>
  <c r="E25" i="106"/>
  <c r="E280" i="106"/>
  <c r="E216" i="106"/>
  <c r="E218" i="106"/>
  <c r="E238" i="106"/>
  <c r="E275" i="106"/>
  <c r="E60" i="106"/>
  <c r="E17" i="106"/>
  <c r="E54" i="106"/>
  <c r="E242" i="106"/>
  <c r="E80" i="106"/>
  <c r="E86" i="106"/>
  <c r="E183" i="106"/>
  <c r="E320" i="106"/>
  <c r="E233" i="106"/>
  <c r="E169" i="106"/>
  <c r="E74" i="106"/>
  <c r="E134" i="106"/>
  <c r="E318" i="106"/>
  <c r="E52" i="106"/>
  <c r="E106" i="106"/>
  <c r="E161" i="106"/>
  <c r="E327" i="106"/>
  <c r="E73" i="106"/>
  <c r="E305" i="106"/>
  <c r="E93" i="106"/>
  <c r="E157" i="106"/>
  <c r="E136" i="106"/>
  <c r="E12" i="106"/>
  <c r="E274" i="106"/>
  <c r="E241" i="106"/>
  <c r="E66" i="106"/>
  <c r="E254" i="106"/>
  <c r="E97" i="106"/>
  <c r="E240" i="106"/>
  <c r="E15" i="106"/>
  <c r="E224" i="106"/>
  <c r="E103" i="106"/>
  <c r="E285" i="106"/>
  <c r="E283" i="106"/>
  <c r="E287" i="106"/>
  <c r="E300" i="106"/>
  <c r="E279" i="106"/>
  <c r="E104" i="106"/>
  <c r="E24" i="106"/>
  <c r="E58" i="106"/>
  <c r="E310" i="106"/>
  <c r="E188" i="106"/>
  <c r="E29" i="106"/>
  <c r="E250" i="106"/>
  <c r="E144" i="106"/>
  <c r="E165" i="106"/>
  <c r="E117" i="106"/>
  <c r="E311" i="106"/>
  <c r="E71" i="106"/>
  <c r="E122" i="106"/>
  <c r="E324" i="106"/>
  <c r="E323" i="106"/>
  <c r="E11" i="106"/>
  <c r="E31" i="106"/>
  <c r="E222" i="106"/>
  <c r="E51" i="106"/>
  <c r="E145" i="106"/>
  <c r="E75" i="106"/>
  <c r="E176" i="106"/>
  <c r="E303" i="106"/>
  <c r="E137" i="106"/>
  <c r="E156" i="106"/>
  <c r="E121" i="106"/>
  <c r="E282" i="106"/>
  <c r="E298" i="106"/>
  <c r="E312" i="106"/>
  <c r="E63" i="106"/>
  <c r="E108" i="106"/>
  <c r="E210" i="106"/>
  <c r="E230" i="106"/>
  <c r="E84" i="106"/>
  <c r="E175" i="106"/>
  <c r="E155" i="106"/>
  <c r="E109" i="106"/>
  <c r="E69" i="106"/>
  <c r="E192" i="106"/>
  <c r="E195" i="106"/>
  <c r="E243" i="106"/>
  <c r="E87" i="106"/>
  <c r="E112" i="106"/>
  <c r="E33" i="106"/>
  <c r="E187" i="106"/>
  <c r="E125" i="106"/>
  <c r="E313" i="106"/>
  <c r="E215" i="106"/>
  <c r="E278" i="106"/>
  <c r="E182" i="106"/>
  <c r="E39" i="106"/>
  <c r="E148" i="106"/>
  <c r="E42" i="106"/>
  <c r="E141" i="106"/>
  <c r="E294" i="106"/>
  <c r="E293" i="106"/>
  <c r="E167" i="106"/>
  <c r="E115" i="106"/>
  <c r="E296" i="106"/>
  <c r="E151" i="106"/>
  <c r="E317" i="106"/>
  <c r="E219" i="106"/>
  <c r="E50" i="106"/>
  <c r="E16" i="106"/>
  <c r="E246" i="106"/>
  <c r="E276" i="106"/>
  <c r="E262" i="106"/>
  <c r="E105" i="106"/>
  <c r="E289" i="106"/>
  <c r="E225" i="106"/>
  <c r="E198" i="106"/>
  <c r="E252" i="106"/>
  <c r="E206" i="106"/>
  <c r="E326" i="106"/>
  <c r="E37" i="106"/>
  <c r="E65" i="106"/>
  <c r="E253" i="106"/>
  <c r="E90" i="106"/>
  <c r="E30" i="106"/>
  <c r="E171" i="106"/>
  <c r="E271" i="106"/>
  <c r="E158" i="106"/>
  <c r="E203" i="106"/>
  <c r="E199" i="106"/>
  <c r="E62" i="106"/>
  <c r="E191" i="106"/>
  <c r="E96" i="106"/>
  <c r="E257" i="106"/>
  <c r="E177" i="106"/>
  <c r="E231" i="106"/>
  <c r="E245" i="106"/>
  <c r="E229" i="106"/>
  <c r="E119" i="106"/>
  <c r="E139" i="106"/>
  <c r="E101" i="106"/>
  <c r="E221" i="106"/>
  <c r="E81" i="106"/>
  <c r="E277" i="106"/>
  <c r="E45" i="106"/>
  <c r="E128" i="106"/>
  <c r="E207" i="106"/>
  <c r="E56" i="106"/>
  <c r="E304" i="106"/>
  <c r="E213" i="106"/>
  <c r="E184" i="106"/>
  <c r="E82" i="106"/>
  <c r="E329" i="106"/>
  <c r="E92" i="106"/>
  <c r="E193" i="106"/>
  <c r="E227" i="106"/>
  <c r="E46" i="106"/>
  <c r="E72" i="106"/>
  <c r="E185" i="106"/>
  <c r="E100" i="106"/>
  <c r="E57" i="106"/>
  <c r="E220" i="106"/>
  <c r="E14" i="106"/>
  <c r="E330" i="106"/>
  <c r="E160" i="106"/>
  <c r="E89" i="106"/>
  <c r="E197" i="106"/>
  <c r="E307" i="106"/>
  <c r="E118" i="106"/>
  <c r="E131" i="106"/>
  <c r="E223" i="106"/>
  <c r="E150" i="106"/>
  <c r="E154" i="106"/>
  <c r="E256" i="106"/>
  <c r="E168" i="106"/>
  <c r="E272" i="106"/>
  <c r="E146" i="106"/>
  <c r="E32" i="106"/>
  <c r="E328" i="106"/>
  <c r="E314" i="106"/>
  <c r="E248" i="106"/>
  <c r="E142" i="106"/>
  <c r="E126" i="106"/>
  <c r="E266" i="106"/>
  <c r="E26" i="106"/>
  <c r="E321" i="106"/>
  <c r="E189" i="106"/>
  <c r="E95" i="106"/>
  <c r="E19" i="106"/>
  <c r="E123" i="106"/>
  <c r="E236" i="106"/>
  <c r="E127" i="106"/>
  <c r="E85" i="106"/>
  <c r="E23" i="106"/>
  <c r="E288" i="106"/>
  <c r="E315" i="106"/>
  <c r="E284" i="106"/>
  <c r="E113" i="106"/>
  <c r="E67" i="106"/>
  <c r="E319" i="106"/>
  <c r="E302" i="106"/>
  <c r="E18" i="106"/>
  <c r="E232" i="106"/>
  <c r="E292" i="106"/>
  <c r="E91" i="106"/>
  <c r="E34" i="106"/>
  <c r="E48" i="106"/>
  <c r="E194" i="106"/>
  <c r="E325" i="106"/>
  <c r="E301" i="106"/>
  <c r="E196" i="106"/>
  <c r="E226" i="106"/>
  <c r="E76" i="106"/>
  <c r="E59" i="106"/>
  <c r="E13" i="106"/>
  <c r="E132" i="106"/>
  <c r="E180" i="106"/>
  <c r="E107" i="106"/>
  <c r="E28" i="106"/>
  <c r="E268" i="106"/>
  <c r="E53" i="106"/>
  <c r="E204" i="106"/>
  <c r="E202" i="106"/>
  <c r="E35" i="106"/>
  <c r="E130" i="106"/>
  <c r="E172" i="106"/>
  <c r="E41" i="106"/>
  <c r="E135" i="106"/>
  <c r="E322" i="106"/>
  <c r="E306" i="106"/>
  <c r="E68" i="106"/>
  <c r="E110" i="106"/>
  <c r="E10" i="106"/>
  <c r="E174" i="106"/>
  <c r="E273" i="106"/>
  <c r="E259" i="106"/>
  <c r="E36" i="106"/>
  <c r="E261" i="106"/>
  <c r="E22" i="106"/>
  <c r="E212" i="106"/>
  <c r="E255" i="106"/>
  <c r="E267" i="106"/>
  <c r="E27" i="106"/>
  <c r="E129" i="106"/>
  <c r="E209" i="106"/>
  <c r="E124" i="106"/>
  <c r="E295" i="106"/>
  <c r="E247" i="106"/>
  <c r="E99" i="106"/>
  <c r="E211" i="106"/>
  <c r="E20" i="106"/>
  <c r="E309" i="106"/>
  <c r="E217" i="106"/>
  <c r="E70" i="106"/>
  <c r="E120" i="106"/>
  <c r="E281" i="106"/>
  <c r="E77" i="106"/>
  <c r="E299" i="106"/>
  <c r="E181" i="106"/>
  <c r="E316" i="106"/>
  <c r="E140" i="106"/>
  <c r="E251" i="106"/>
  <c r="E170" i="106"/>
  <c r="E163" i="106"/>
  <c r="E200" i="106"/>
  <c r="E94" i="106"/>
  <c r="E64" i="106"/>
  <c r="E166" i="106"/>
  <c r="E237" i="106"/>
  <c r="E164" i="106"/>
  <c r="T335" i="106"/>
  <c r="E335" i="106" s="1"/>
  <c r="R335" i="106"/>
  <c r="L8" i="139" l="1"/>
  <c r="E10" i="139"/>
  <c r="A3" i="139" s="1"/>
  <c r="T326" i="137"/>
  <c r="U326" i="137" s="1"/>
  <c r="E326" i="137" s="1"/>
  <c r="T325" i="137"/>
  <c r="U325" i="137" s="1"/>
  <c r="E325" i="137" s="1"/>
  <c r="W8" i="135"/>
  <c r="V8" i="135"/>
  <c r="E15" i="134"/>
  <c r="A3" i="134" s="1"/>
  <c r="U8" i="134"/>
  <c r="E15" i="133"/>
  <c r="A3" i="133" s="1"/>
  <c r="U8" i="133"/>
  <c r="U8" i="132"/>
  <c r="E15" i="130"/>
  <c r="A3" i="130" s="1"/>
  <c r="U8" i="130"/>
  <c r="E14" i="129"/>
  <c r="A3" i="129" s="1"/>
  <c r="U8" i="129"/>
  <c r="J3" i="125"/>
  <c r="R49" i="123"/>
  <c r="T49" i="123" s="1"/>
  <c r="U49" i="123" s="1"/>
  <c r="E49" i="123" s="1"/>
  <c r="R3" i="123" s="1"/>
  <c r="R99" i="123"/>
  <c r="Q126" i="123"/>
  <c r="T126" i="123" s="1"/>
  <c r="U126" i="123" s="1"/>
  <c r="E126" i="123" s="1"/>
  <c r="Q99" i="123"/>
  <c r="T99" i="123" s="1"/>
  <c r="U99" i="123" s="1"/>
  <c r="E99" i="123" s="1"/>
  <c r="F4" i="106"/>
  <c r="F6" i="106"/>
  <c r="S335" i="106"/>
  <c r="S3" i="106"/>
  <c r="F5" i="105"/>
  <c r="P2" i="105"/>
  <c r="P3" i="105" s="1"/>
  <c r="O2" i="105"/>
  <c r="O3" i="105" s="1"/>
  <c r="N2" i="105"/>
  <c r="N3" i="105" s="1"/>
  <c r="M2" i="105"/>
  <c r="M3" i="105" s="1"/>
  <c r="L2" i="105"/>
  <c r="L3" i="105" s="1"/>
  <c r="K2" i="105"/>
  <c r="K3" i="105" s="1"/>
  <c r="J2" i="105"/>
  <c r="J3" i="105" s="1"/>
  <c r="I2" i="105"/>
  <c r="I3" i="105" s="1"/>
  <c r="H2" i="105"/>
  <c r="H3" i="105" s="1"/>
  <c r="G2" i="105"/>
  <c r="G3" i="105" s="1"/>
  <c r="E332" i="105"/>
  <c r="E264" i="105"/>
  <c r="E265" i="105"/>
  <c r="E205" i="105"/>
  <c r="E143" i="105"/>
  <c r="E173" i="105"/>
  <c r="E44" i="105"/>
  <c r="E186" i="105"/>
  <c r="E228" i="105"/>
  <c r="E260" i="105"/>
  <c r="E147" i="105"/>
  <c r="E208" i="105"/>
  <c r="E111" i="105"/>
  <c r="E114" i="105"/>
  <c r="E190" i="105"/>
  <c r="E38" i="105"/>
  <c r="E149" i="105"/>
  <c r="E102" i="105"/>
  <c r="E153" i="105"/>
  <c r="E297" i="105"/>
  <c r="E138" i="105"/>
  <c r="E179" i="105"/>
  <c r="E61" i="105"/>
  <c r="E214" i="105"/>
  <c r="E78" i="105"/>
  <c r="E235" i="105"/>
  <c r="E88" i="105"/>
  <c r="E244" i="105"/>
  <c r="E40" i="105"/>
  <c r="E133" i="105"/>
  <c r="E98" i="105"/>
  <c r="E263" i="105"/>
  <c r="E21" i="105"/>
  <c r="E55" i="105"/>
  <c r="E162" i="105"/>
  <c r="E159" i="105"/>
  <c r="E269" i="105"/>
  <c r="E331" i="105"/>
  <c r="E116" i="105"/>
  <c r="E152" i="105"/>
  <c r="E258" i="105"/>
  <c r="E43" i="105"/>
  <c r="E79" i="105"/>
  <c r="E47" i="105"/>
  <c r="E178" i="105"/>
  <c r="E234" i="105"/>
  <c r="E239" i="105"/>
  <c r="E286" i="105"/>
  <c r="E201" i="105"/>
  <c r="E308" i="105"/>
  <c r="E49" i="105"/>
  <c r="E83" i="105"/>
  <c r="E270" i="105"/>
  <c r="E290" i="105"/>
  <c r="E249" i="105"/>
  <c r="E291" i="105"/>
  <c r="E25" i="105"/>
  <c r="E280" i="105"/>
  <c r="E216" i="105"/>
  <c r="E218" i="105"/>
  <c r="E238" i="105"/>
  <c r="E275" i="105"/>
  <c r="E60" i="105"/>
  <c r="E17" i="105"/>
  <c r="E54" i="105"/>
  <c r="E242" i="105"/>
  <c r="E80" i="105"/>
  <c r="E86" i="105"/>
  <c r="E183" i="105"/>
  <c r="E320" i="105"/>
  <c r="E233" i="105"/>
  <c r="E169" i="105"/>
  <c r="E74" i="105"/>
  <c r="E134" i="105"/>
  <c r="E318" i="105"/>
  <c r="E52" i="105"/>
  <c r="E106" i="105"/>
  <c r="E161" i="105"/>
  <c r="E327" i="105"/>
  <c r="E73" i="105"/>
  <c r="E305" i="105"/>
  <c r="E93" i="105"/>
  <c r="E157" i="105"/>
  <c r="E136" i="105"/>
  <c r="E12" i="105"/>
  <c r="E274" i="105"/>
  <c r="E241" i="105"/>
  <c r="E66" i="105"/>
  <c r="E254" i="105"/>
  <c r="E97" i="105"/>
  <c r="E240" i="105"/>
  <c r="E15" i="105"/>
  <c r="E224" i="105"/>
  <c r="E103" i="105"/>
  <c r="E285" i="105"/>
  <c r="E283" i="105"/>
  <c r="E287" i="105"/>
  <c r="E300" i="105"/>
  <c r="E279" i="105"/>
  <c r="E104" i="105"/>
  <c r="E24" i="105"/>
  <c r="E58" i="105"/>
  <c r="E310" i="105"/>
  <c r="E188" i="105"/>
  <c r="E29" i="105"/>
  <c r="E250" i="105"/>
  <c r="E144" i="105"/>
  <c r="E165" i="105"/>
  <c r="E117" i="105"/>
  <c r="E311" i="105"/>
  <c r="E71" i="105"/>
  <c r="E122" i="105"/>
  <c r="E324" i="105"/>
  <c r="E323" i="105"/>
  <c r="E11" i="105"/>
  <c r="E31" i="105"/>
  <c r="E222" i="105"/>
  <c r="E51" i="105"/>
  <c r="E145" i="105"/>
  <c r="E75" i="105"/>
  <c r="E176" i="105"/>
  <c r="E303" i="105"/>
  <c r="E137" i="105"/>
  <c r="E156" i="105"/>
  <c r="E121" i="105"/>
  <c r="E282" i="105"/>
  <c r="E298" i="105"/>
  <c r="E312" i="105"/>
  <c r="E63" i="105"/>
  <c r="E108" i="105"/>
  <c r="E210" i="105"/>
  <c r="E230" i="105"/>
  <c r="E84" i="105"/>
  <c r="E175" i="105"/>
  <c r="E155" i="105"/>
  <c r="E109" i="105"/>
  <c r="E69" i="105"/>
  <c r="E192" i="105"/>
  <c r="E195" i="105"/>
  <c r="E243" i="105"/>
  <c r="E87" i="105"/>
  <c r="E112" i="105"/>
  <c r="E33" i="105"/>
  <c r="E187" i="105"/>
  <c r="E125" i="105"/>
  <c r="E313" i="105"/>
  <c r="E215" i="105"/>
  <c r="E278" i="105"/>
  <c r="E182" i="105"/>
  <c r="E39" i="105"/>
  <c r="E148" i="105"/>
  <c r="E42" i="105"/>
  <c r="E141" i="105"/>
  <c r="E294" i="105"/>
  <c r="E293" i="105"/>
  <c r="E167" i="105"/>
  <c r="E115" i="105"/>
  <c r="E296" i="105"/>
  <c r="E151" i="105"/>
  <c r="E317" i="105"/>
  <c r="E219" i="105"/>
  <c r="E50" i="105"/>
  <c r="E16" i="105"/>
  <c r="E246" i="105"/>
  <c r="E276" i="105"/>
  <c r="E262" i="105"/>
  <c r="E105" i="105"/>
  <c r="E289" i="105"/>
  <c r="E225" i="105"/>
  <c r="E198" i="105"/>
  <c r="E252" i="105"/>
  <c r="E206" i="105"/>
  <c r="E326" i="105"/>
  <c r="E37" i="105"/>
  <c r="E65" i="105"/>
  <c r="E253" i="105"/>
  <c r="E90" i="105"/>
  <c r="E30" i="105"/>
  <c r="E171" i="105"/>
  <c r="E271" i="105"/>
  <c r="E158" i="105"/>
  <c r="E203" i="105"/>
  <c r="E199" i="105"/>
  <c r="E62" i="105"/>
  <c r="E191" i="105"/>
  <c r="E96" i="105"/>
  <c r="E257" i="105"/>
  <c r="E177" i="105"/>
  <c r="E231" i="105"/>
  <c r="E245" i="105"/>
  <c r="E229" i="105"/>
  <c r="E119" i="105"/>
  <c r="E139" i="105"/>
  <c r="E101" i="105"/>
  <c r="E221" i="105"/>
  <c r="E81" i="105"/>
  <c r="E277" i="105"/>
  <c r="E45" i="105"/>
  <c r="E128" i="105"/>
  <c r="E207" i="105"/>
  <c r="E56" i="105"/>
  <c r="E304" i="105"/>
  <c r="E213" i="105"/>
  <c r="E184" i="105"/>
  <c r="E82" i="105"/>
  <c r="E329" i="105"/>
  <c r="E92" i="105"/>
  <c r="E193" i="105"/>
  <c r="E227" i="105"/>
  <c r="E46" i="105"/>
  <c r="E72" i="105"/>
  <c r="E185" i="105"/>
  <c r="E100" i="105"/>
  <c r="E57" i="105"/>
  <c r="E220" i="105"/>
  <c r="E14" i="105"/>
  <c r="E330" i="105"/>
  <c r="E160" i="105"/>
  <c r="E89" i="105"/>
  <c r="E197" i="105"/>
  <c r="E307" i="105"/>
  <c r="E118" i="105"/>
  <c r="E131" i="105"/>
  <c r="E223" i="105"/>
  <c r="E150" i="105"/>
  <c r="E154" i="105"/>
  <c r="E256" i="105"/>
  <c r="E168" i="105"/>
  <c r="E272" i="105"/>
  <c r="E146" i="105"/>
  <c r="E32" i="105"/>
  <c r="E328" i="105"/>
  <c r="E314" i="105"/>
  <c r="E248" i="105"/>
  <c r="E142" i="105"/>
  <c r="E126" i="105"/>
  <c r="E266" i="105"/>
  <c r="E26" i="105"/>
  <c r="E321" i="105"/>
  <c r="E189" i="105"/>
  <c r="E95" i="105"/>
  <c r="E19" i="105"/>
  <c r="E123" i="105"/>
  <c r="E236" i="105"/>
  <c r="E127" i="105"/>
  <c r="E85" i="105"/>
  <c r="E23" i="105"/>
  <c r="E288" i="105"/>
  <c r="E315" i="105"/>
  <c r="E284" i="105"/>
  <c r="E113" i="105"/>
  <c r="E67" i="105"/>
  <c r="E319" i="105"/>
  <c r="E302" i="105"/>
  <c r="E18" i="105"/>
  <c r="E232" i="105"/>
  <c r="E292" i="105"/>
  <c r="E91" i="105"/>
  <c r="E34" i="105"/>
  <c r="E48" i="105"/>
  <c r="E194" i="105"/>
  <c r="E325" i="105"/>
  <c r="E301" i="105"/>
  <c r="E196" i="105"/>
  <c r="E226" i="105"/>
  <c r="E76" i="105"/>
  <c r="E59" i="105"/>
  <c r="E13" i="105"/>
  <c r="E132" i="105"/>
  <c r="E180" i="105"/>
  <c r="E107" i="105"/>
  <c r="E28" i="105"/>
  <c r="E268" i="105"/>
  <c r="E53" i="105"/>
  <c r="E204" i="105"/>
  <c r="E202" i="105"/>
  <c r="E35" i="105"/>
  <c r="E130" i="105"/>
  <c r="E172" i="105"/>
  <c r="E41" i="105"/>
  <c r="E135" i="105"/>
  <c r="E322" i="105"/>
  <c r="E306" i="105"/>
  <c r="E68" i="105"/>
  <c r="E110" i="105"/>
  <c r="E10" i="105"/>
  <c r="E174" i="105"/>
  <c r="E273" i="105"/>
  <c r="E259" i="105"/>
  <c r="E36" i="105"/>
  <c r="E261" i="105"/>
  <c r="E22" i="105"/>
  <c r="E212" i="105"/>
  <c r="E255" i="105"/>
  <c r="E267" i="105"/>
  <c r="E27" i="105"/>
  <c r="E129" i="105"/>
  <c r="E209" i="105"/>
  <c r="E124" i="105"/>
  <c r="E295" i="105"/>
  <c r="E247" i="105"/>
  <c r="E99" i="105"/>
  <c r="E211" i="105"/>
  <c r="E20" i="105"/>
  <c r="E309" i="105"/>
  <c r="E217" i="105"/>
  <c r="E70" i="105"/>
  <c r="E120" i="105"/>
  <c r="E281" i="105"/>
  <c r="E77" i="105"/>
  <c r="E299" i="105"/>
  <c r="E181" i="105"/>
  <c r="E316" i="105"/>
  <c r="E140" i="105"/>
  <c r="E251" i="105"/>
  <c r="E170" i="105"/>
  <c r="E163" i="105"/>
  <c r="E200" i="105"/>
  <c r="E94" i="105"/>
  <c r="E64" i="105"/>
  <c r="E166" i="105"/>
  <c r="E237" i="105"/>
  <c r="S335" i="105"/>
  <c r="E335" i="105" s="1"/>
  <c r="Q335" i="105"/>
  <c r="T323" i="137" l="1"/>
  <c r="U323" i="137" s="1"/>
  <c r="E323" i="137" s="1"/>
  <c r="T324" i="137"/>
  <c r="U324" i="137" s="1"/>
  <c r="E324" i="137" s="1"/>
  <c r="F4" i="105"/>
  <c r="F6" i="105"/>
  <c r="E164" i="105"/>
  <c r="R3" i="105" s="1"/>
  <c r="R335" i="105"/>
  <c r="P2" i="104"/>
  <c r="P3" i="104" s="1"/>
  <c r="O2" i="104"/>
  <c r="O3" i="104" s="1"/>
  <c r="N2" i="104"/>
  <c r="N3" i="104" s="1"/>
  <c r="M2" i="104"/>
  <c r="M3" i="104" s="1"/>
  <c r="L2" i="104"/>
  <c r="L3" i="104" s="1"/>
  <c r="K2" i="104"/>
  <c r="K3" i="104" s="1"/>
  <c r="J2" i="104"/>
  <c r="J3" i="104" s="1"/>
  <c r="I2" i="104"/>
  <c r="I3" i="104" s="1"/>
  <c r="H2" i="104"/>
  <c r="H3" i="104" s="1"/>
  <c r="G2" i="104"/>
  <c r="G3" i="104" s="1"/>
  <c r="F4" i="104" s="1"/>
  <c r="E331" i="104"/>
  <c r="E330" i="104"/>
  <c r="E329" i="104"/>
  <c r="E328" i="104"/>
  <c r="E327" i="104"/>
  <c r="E326" i="104"/>
  <c r="E38" i="104"/>
  <c r="E325" i="104"/>
  <c r="E324" i="104"/>
  <c r="E323" i="104"/>
  <c r="E322" i="104"/>
  <c r="E321" i="104"/>
  <c r="E37" i="104"/>
  <c r="E320" i="104"/>
  <c r="E319" i="104"/>
  <c r="E318" i="104"/>
  <c r="E317" i="104"/>
  <c r="E316" i="104"/>
  <c r="E315" i="104"/>
  <c r="E314" i="104"/>
  <c r="E313" i="104"/>
  <c r="E312" i="104"/>
  <c r="E35" i="104"/>
  <c r="E311" i="104"/>
  <c r="E310" i="104"/>
  <c r="E309" i="104"/>
  <c r="E308" i="104"/>
  <c r="E307" i="104"/>
  <c r="E306" i="104"/>
  <c r="E305" i="104"/>
  <c r="E304" i="104"/>
  <c r="E303" i="104"/>
  <c r="E302" i="104"/>
  <c r="E301" i="104"/>
  <c r="E300" i="104"/>
  <c r="E299" i="104"/>
  <c r="E298" i="104"/>
  <c r="E297" i="104"/>
  <c r="E296" i="104"/>
  <c r="E295" i="104"/>
  <c r="E294" i="104"/>
  <c r="E293" i="104"/>
  <c r="E292" i="104"/>
  <c r="E291" i="104"/>
  <c r="E290" i="104"/>
  <c r="E289" i="104"/>
  <c r="E288" i="104"/>
  <c r="E287" i="104"/>
  <c r="E286" i="104"/>
  <c r="E285" i="104"/>
  <c r="E284" i="104"/>
  <c r="E283" i="104"/>
  <c r="E282" i="104"/>
  <c r="E281" i="104"/>
  <c r="E280" i="104"/>
  <c r="E279" i="104"/>
  <c r="E34" i="104"/>
  <c r="E278" i="104"/>
  <c r="E16" i="104"/>
  <c r="E277" i="104"/>
  <c r="E276" i="104"/>
  <c r="E275" i="104"/>
  <c r="E274" i="104"/>
  <c r="E273" i="104"/>
  <c r="E272" i="104"/>
  <c r="E271" i="104"/>
  <c r="E270" i="104"/>
  <c r="E269" i="104"/>
  <c r="E268" i="104"/>
  <c r="E267" i="104"/>
  <c r="E266" i="104"/>
  <c r="E265" i="104"/>
  <c r="E264" i="104"/>
  <c r="E263" i="104"/>
  <c r="E262" i="104"/>
  <c r="E261" i="104"/>
  <c r="E260" i="104"/>
  <c r="E259" i="104"/>
  <c r="E258" i="104"/>
  <c r="E257" i="104"/>
  <c r="E256" i="104"/>
  <c r="E26" i="104"/>
  <c r="E40" i="104"/>
  <c r="E255" i="104"/>
  <c r="E254" i="104"/>
  <c r="E253" i="104"/>
  <c r="E252" i="104"/>
  <c r="E251" i="104"/>
  <c r="E250" i="104"/>
  <c r="E249" i="104"/>
  <c r="E248" i="104"/>
  <c r="E247" i="104"/>
  <c r="E246" i="104"/>
  <c r="E245" i="104"/>
  <c r="E244" i="104"/>
  <c r="E243" i="104"/>
  <c r="E242" i="104"/>
  <c r="E241" i="104"/>
  <c r="E240" i="104"/>
  <c r="E239" i="104"/>
  <c r="E238" i="104"/>
  <c r="E237" i="104"/>
  <c r="E236" i="104"/>
  <c r="E235" i="104"/>
  <c r="E10" i="104"/>
  <c r="E234" i="104"/>
  <c r="E233" i="104"/>
  <c r="E232" i="104"/>
  <c r="E231" i="104"/>
  <c r="E230" i="104"/>
  <c r="E229" i="104"/>
  <c r="E228" i="104"/>
  <c r="E227" i="104"/>
  <c r="E226" i="104"/>
  <c r="E225" i="104"/>
  <c r="E224" i="104"/>
  <c r="E223" i="104"/>
  <c r="E222" i="104"/>
  <c r="E221" i="104"/>
  <c r="E220" i="104"/>
  <c r="E219" i="104"/>
  <c r="E218" i="104"/>
  <c r="E17" i="104"/>
  <c r="E217" i="104"/>
  <c r="E216" i="104"/>
  <c r="E215" i="104"/>
  <c r="E214" i="104"/>
  <c r="E213" i="104"/>
  <c r="E212" i="104"/>
  <c r="E211" i="104"/>
  <c r="E210" i="104"/>
  <c r="E209" i="104"/>
  <c r="E208" i="104"/>
  <c r="E207" i="104"/>
  <c r="E206" i="104"/>
  <c r="E205" i="104"/>
  <c r="E204" i="104"/>
  <c r="E203" i="104"/>
  <c r="E15" i="104"/>
  <c r="E202" i="104"/>
  <c r="E201" i="104"/>
  <c r="E18" i="104"/>
  <c r="E200" i="104"/>
  <c r="E14" i="104"/>
  <c r="E199" i="104"/>
  <c r="E198" i="104"/>
  <c r="E33" i="104"/>
  <c r="E197" i="104"/>
  <c r="E196" i="104"/>
  <c r="E195" i="104"/>
  <c r="E194" i="104"/>
  <c r="E193" i="104"/>
  <c r="E192" i="104"/>
  <c r="E191" i="104"/>
  <c r="E190" i="104"/>
  <c r="E189" i="104"/>
  <c r="E24" i="104"/>
  <c r="E188" i="104"/>
  <c r="E11" i="104"/>
  <c r="E187" i="104"/>
  <c r="E186" i="104"/>
  <c r="E185" i="104"/>
  <c r="E184" i="104"/>
  <c r="E183" i="104"/>
  <c r="E182" i="104"/>
  <c r="E181" i="104"/>
  <c r="E180" i="104"/>
  <c r="E179" i="104"/>
  <c r="E178" i="104"/>
  <c r="E177" i="104"/>
  <c r="E176" i="104"/>
  <c r="E175" i="104"/>
  <c r="E174" i="104"/>
  <c r="E173" i="104"/>
  <c r="E172" i="104"/>
  <c r="E171" i="104"/>
  <c r="E25" i="104"/>
  <c r="E170" i="104"/>
  <c r="E169" i="104"/>
  <c r="E168" i="104"/>
  <c r="E167" i="104"/>
  <c r="E166" i="104"/>
  <c r="E165" i="104"/>
  <c r="E164" i="104"/>
  <c r="E163" i="104"/>
  <c r="E162" i="104"/>
  <c r="E161" i="104"/>
  <c r="E23" i="104"/>
  <c r="E160" i="104"/>
  <c r="E159" i="104"/>
  <c r="E158" i="104"/>
  <c r="E157" i="104"/>
  <c r="E20" i="104"/>
  <c r="E156" i="104"/>
  <c r="E155" i="104"/>
  <c r="E154" i="104"/>
  <c r="E153" i="104"/>
  <c r="E152" i="104"/>
  <c r="E151" i="104"/>
  <c r="E150" i="104"/>
  <c r="E149" i="104"/>
  <c r="E148" i="104"/>
  <c r="E147" i="104"/>
  <c r="E146" i="104"/>
  <c r="E145" i="104"/>
  <c r="E144" i="104"/>
  <c r="E143" i="104"/>
  <c r="E31" i="104"/>
  <c r="E142" i="104"/>
  <c r="E141" i="104"/>
  <c r="E22" i="104"/>
  <c r="E140" i="104"/>
  <c r="E139" i="104"/>
  <c r="E138" i="104"/>
  <c r="E137" i="104"/>
  <c r="E136" i="104"/>
  <c r="E135" i="104"/>
  <c r="E134" i="104"/>
  <c r="E133" i="104"/>
  <c r="E132" i="104"/>
  <c r="E131" i="104"/>
  <c r="E130" i="104"/>
  <c r="E129" i="104"/>
  <c r="E39" i="104"/>
  <c r="E128" i="104"/>
  <c r="E127" i="104"/>
  <c r="E126" i="104"/>
  <c r="E125" i="104"/>
  <c r="E124" i="104"/>
  <c r="E123" i="104"/>
  <c r="E122" i="104"/>
  <c r="E121" i="104"/>
  <c r="E120" i="104"/>
  <c r="E36" i="104"/>
  <c r="E27" i="104"/>
  <c r="E119" i="104"/>
  <c r="E118" i="104"/>
  <c r="E117" i="104"/>
  <c r="E116" i="104"/>
  <c r="E115" i="104"/>
  <c r="E30" i="104"/>
  <c r="E114" i="104"/>
  <c r="E113" i="104"/>
  <c r="E112" i="104"/>
  <c r="E111" i="104"/>
  <c r="E110" i="104"/>
  <c r="E109" i="104"/>
  <c r="E108" i="104"/>
  <c r="E107" i="104"/>
  <c r="E106" i="104"/>
  <c r="E105" i="104"/>
  <c r="E104" i="104"/>
  <c r="E103" i="104"/>
  <c r="E102" i="104"/>
  <c r="E101" i="104"/>
  <c r="E100" i="104"/>
  <c r="E99" i="104"/>
  <c r="E98" i="104"/>
  <c r="E97" i="104"/>
  <c r="E96" i="104"/>
  <c r="E95" i="104"/>
  <c r="E94" i="104"/>
  <c r="E93" i="104"/>
  <c r="E92" i="104"/>
  <c r="E91" i="104"/>
  <c r="E90" i="104"/>
  <c r="E89" i="104"/>
  <c r="E88" i="104"/>
  <c r="E87" i="104"/>
  <c r="E86" i="104"/>
  <c r="E85" i="104"/>
  <c r="E84" i="104"/>
  <c r="E83" i="104"/>
  <c r="E82" i="104"/>
  <c r="E81" i="104"/>
  <c r="E80" i="104"/>
  <c r="E79" i="104"/>
  <c r="E78" i="104"/>
  <c r="E77" i="104"/>
  <c r="E76" i="104"/>
  <c r="E75" i="104"/>
  <c r="E74" i="104"/>
  <c r="E13" i="104"/>
  <c r="E19" i="104"/>
  <c r="E73" i="104"/>
  <c r="E72" i="104"/>
  <c r="E71" i="104"/>
  <c r="E70" i="104"/>
  <c r="E69" i="104"/>
  <c r="E29" i="104"/>
  <c r="E68" i="104"/>
  <c r="E12" i="104"/>
  <c r="E67" i="104"/>
  <c r="E66" i="104"/>
  <c r="E65" i="104"/>
  <c r="E64" i="104"/>
  <c r="E63" i="104"/>
  <c r="E32" i="104"/>
  <c r="E28" i="104"/>
  <c r="E62" i="104"/>
  <c r="E61" i="104"/>
  <c r="E60" i="104"/>
  <c r="E59" i="104"/>
  <c r="E58" i="104"/>
  <c r="E57" i="104"/>
  <c r="E56" i="104"/>
  <c r="E55" i="104"/>
  <c r="E54" i="104"/>
  <c r="E53" i="104"/>
  <c r="E52" i="104"/>
  <c r="E51" i="104"/>
  <c r="E50" i="104"/>
  <c r="E49" i="104"/>
  <c r="E48" i="104"/>
  <c r="E47" i="104"/>
  <c r="E46" i="104"/>
  <c r="E45" i="104"/>
  <c r="E21" i="104"/>
  <c r="E44" i="104"/>
  <c r="E43" i="104"/>
  <c r="E42" i="104"/>
  <c r="E41" i="104"/>
  <c r="S334" i="104"/>
  <c r="E334" i="104" s="1"/>
  <c r="Q334" i="104"/>
  <c r="T322" i="137" l="1"/>
  <c r="U322" i="137" s="1"/>
  <c r="E322" i="137" s="1"/>
  <c r="T321" i="137"/>
  <c r="U321" i="137" s="1"/>
  <c r="E321" i="137" s="1"/>
  <c r="R334" i="104"/>
  <c r="R3" i="104"/>
  <c r="T320" i="137" l="1"/>
  <c r="U320" i="137" s="1"/>
  <c r="E320" i="137" s="1"/>
  <c r="T319" i="137"/>
  <c r="U319" i="137" s="1"/>
  <c r="E319" i="137" s="1"/>
  <c r="T318" i="137" l="1"/>
  <c r="U318" i="137" s="1"/>
  <c r="E318" i="137" s="1"/>
  <c r="T317" i="137"/>
  <c r="U317" i="137" s="1"/>
  <c r="E317" i="137" s="1"/>
  <c r="T316" i="137" l="1"/>
  <c r="U316" i="137" s="1"/>
  <c r="E316" i="137" s="1"/>
  <c r="T315" i="137"/>
  <c r="U315" i="137" s="1"/>
  <c r="E315" i="137" s="1"/>
  <c r="T314" i="137" l="1"/>
  <c r="U314" i="137" s="1"/>
  <c r="E314" i="137" s="1"/>
  <c r="T313" i="137"/>
  <c r="U313" i="137" s="1"/>
  <c r="E313" i="137" s="1"/>
  <c r="T312" i="137" l="1"/>
  <c r="U312" i="137" s="1"/>
  <c r="E312" i="137" s="1"/>
  <c r="T311" i="137"/>
  <c r="U311" i="137" s="1"/>
  <c r="E311" i="137" s="1"/>
  <c r="T309" i="137" l="1"/>
  <c r="U309" i="137" s="1"/>
  <c r="E309" i="137" s="1"/>
  <c r="T310" i="137"/>
  <c r="U310" i="137" s="1"/>
  <c r="E310" i="137" s="1"/>
  <c r="T307" i="137" l="1"/>
  <c r="U307" i="137" s="1"/>
  <c r="E307" i="137" s="1"/>
  <c r="T308" i="137"/>
  <c r="U308" i="137" s="1"/>
  <c r="E308" i="137" s="1"/>
  <c r="T306" i="137" l="1"/>
  <c r="U306" i="137" s="1"/>
  <c r="E306" i="137" s="1"/>
  <c r="T305" i="137"/>
  <c r="U305" i="137" s="1"/>
  <c r="E305" i="137" s="1"/>
  <c r="T304" i="137" l="1"/>
  <c r="U304" i="137" s="1"/>
  <c r="E304" i="137" s="1"/>
  <c r="T303" i="137"/>
  <c r="U303" i="137" s="1"/>
  <c r="E303" i="137" s="1"/>
  <c r="T301" i="137" l="1"/>
  <c r="U301" i="137" s="1"/>
  <c r="E301" i="137" s="1"/>
  <c r="T302" i="137"/>
  <c r="U302" i="137" s="1"/>
  <c r="E302" i="137" s="1"/>
  <c r="T299" i="137" l="1"/>
  <c r="U299" i="137" s="1"/>
  <c r="E299" i="137" s="1"/>
  <c r="T300" i="137"/>
  <c r="U300" i="137" s="1"/>
  <c r="E300" i="137" s="1"/>
  <c r="T298" i="137" l="1"/>
  <c r="U298" i="137" s="1"/>
  <c r="E298" i="137" s="1"/>
  <c r="T297" i="137"/>
  <c r="U297" i="137" s="1"/>
  <c r="E297" i="137" s="1"/>
  <c r="T296" i="137" l="1"/>
  <c r="U296" i="137" s="1"/>
  <c r="E296" i="137" s="1"/>
  <c r="T295" i="137"/>
  <c r="U295" i="137" s="1"/>
  <c r="E295" i="137" s="1"/>
  <c r="T293" i="137" l="1"/>
  <c r="U293" i="137" s="1"/>
  <c r="E293" i="137" s="1"/>
  <c r="T294" i="137"/>
  <c r="U294" i="137" s="1"/>
  <c r="E294" i="137" s="1"/>
  <c r="T291" i="137" l="1"/>
  <c r="U291" i="137" s="1"/>
  <c r="E291" i="137" s="1"/>
  <c r="T292" i="137"/>
  <c r="U292" i="137" s="1"/>
  <c r="E292" i="137" s="1"/>
  <c r="T290" i="137" l="1"/>
  <c r="U290" i="137" s="1"/>
  <c r="E290" i="137" s="1"/>
  <c r="T289" i="137"/>
  <c r="U289" i="137" s="1"/>
  <c r="E289" i="137" s="1"/>
  <c r="T288" i="137" l="1"/>
  <c r="U288" i="137" s="1"/>
  <c r="E288" i="137" s="1"/>
  <c r="T287" i="137"/>
  <c r="U287" i="137" s="1"/>
  <c r="E287" i="137" s="1"/>
  <c r="T285" i="137" l="1"/>
  <c r="U285" i="137" s="1"/>
  <c r="E285" i="137" s="1"/>
  <c r="T286" i="137"/>
  <c r="U286" i="137" s="1"/>
  <c r="E286" i="137" s="1"/>
  <c r="T284" i="137" l="1"/>
  <c r="U284" i="137" s="1"/>
  <c r="E284" i="137" s="1"/>
  <c r="T283" i="137"/>
  <c r="U283" i="137" s="1"/>
  <c r="E283" i="137" s="1"/>
  <c r="T281" i="137" l="1"/>
  <c r="U281" i="137" s="1"/>
  <c r="E281" i="137" s="1"/>
  <c r="T282" i="137"/>
  <c r="U282" i="137" s="1"/>
  <c r="E282" i="137" s="1"/>
  <c r="T280" i="137" l="1"/>
  <c r="U280" i="137" s="1"/>
  <c r="E280" i="137" s="1"/>
  <c r="T279" i="137"/>
  <c r="U279" i="137" s="1"/>
  <c r="E279" i="137" s="1"/>
  <c r="T277" i="137" l="1"/>
  <c r="U277" i="137" s="1"/>
  <c r="E277" i="137" s="1"/>
  <c r="T278" i="137"/>
  <c r="U278" i="137" s="1"/>
  <c r="E278" i="137" s="1"/>
  <c r="T276" i="137" l="1"/>
  <c r="U276" i="137" s="1"/>
  <c r="E276" i="137" s="1"/>
  <c r="T275" i="137"/>
  <c r="U275" i="137" s="1"/>
  <c r="E275" i="137" s="1"/>
  <c r="T273" i="137" l="1"/>
  <c r="U273" i="137" s="1"/>
  <c r="E273" i="137" s="1"/>
  <c r="T274" i="137"/>
  <c r="U274" i="137" s="1"/>
  <c r="E274" i="137" s="1"/>
  <c r="T271" i="137" l="1"/>
  <c r="U271" i="137" s="1"/>
  <c r="E271" i="137" s="1"/>
  <c r="T272" i="137"/>
  <c r="U272" i="137" s="1"/>
  <c r="E272" i="137" s="1"/>
  <c r="T270" i="137" l="1"/>
  <c r="U270" i="137" s="1"/>
  <c r="E270" i="137" s="1"/>
  <c r="T269" i="137"/>
  <c r="U269" i="137" s="1"/>
  <c r="E269" i="137" s="1"/>
  <c r="T267" i="137" l="1"/>
  <c r="U267" i="137" s="1"/>
  <c r="E267" i="137" s="1"/>
  <c r="T268" i="137"/>
  <c r="U268" i="137" s="1"/>
  <c r="E268" i="137" s="1"/>
  <c r="T266" i="137" l="1"/>
  <c r="U266" i="137" s="1"/>
  <c r="E266" i="137" s="1"/>
  <c r="T265" i="137"/>
  <c r="U265" i="137" s="1"/>
  <c r="E265" i="137" s="1"/>
  <c r="T263" i="137" l="1"/>
  <c r="U263" i="137" s="1"/>
  <c r="E263" i="137" s="1"/>
  <c r="T264" i="137"/>
  <c r="U264" i="137" s="1"/>
  <c r="E264" i="137" s="1"/>
  <c r="T262" i="137" l="1"/>
  <c r="U262" i="137" s="1"/>
  <c r="E262" i="137" s="1"/>
  <c r="T261" i="137"/>
  <c r="U261" i="137" s="1"/>
  <c r="E261" i="137" s="1"/>
  <c r="T260" i="137" l="1"/>
  <c r="U260" i="137" s="1"/>
  <c r="E260" i="137" s="1"/>
  <c r="T259" i="137"/>
  <c r="U259" i="137" s="1"/>
  <c r="E259" i="137" s="1"/>
  <c r="T258" i="137" l="1"/>
  <c r="U258" i="137" s="1"/>
  <c r="E258" i="137" s="1"/>
  <c r="T257" i="137"/>
  <c r="U257" i="137" s="1"/>
  <c r="E257" i="137" s="1"/>
  <c r="T255" i="137" l="1"/>
  <c r="U255" i="137" s="1"/>
  <c r="E255" i="137" s="1"/>
  <c r="T256" i="137"/>
  <c r="U256" i="137" s="1"/>
  <c r="E256" i="137" s="1"/>
  <c r="T254" i="137" l="1"/>
  <c r="U254" i="137" s="1"/>
  <c r="E254" i="137" s="1"/>
  <c r="T253" i="137"/>
  <c r="U253" i="137" s="1"/>
  <c r="E253" i="137" s="1"/>
  <c r="T252" i="137" l="1"/>
  <c r="U252" i="137" s="1"/>
  <c r="E252" i="137" s="1"/>
  <c r="T251" i="137"/>
  <c r="U251" i="137" s="1"/>
  <c r="E251" i="137" s="1"/>
  <c r="T250" i="137" l="1"/>
  <c r="U250" i="137" s="1"/>
  <c r="E250" i="137" s="1"/>
  <c r="T249" i="137"/>
  <c r="U249" i="137" s="1"/>
  <c r="E249" i="137" s="1"/>
  <c r="T247" i="137" l="1"/>
  <c r="U247" i="137" s="1"/>
  <c r="E247" i="137" s="1"/>
  <c r="T248" i="137"/>
  <c r="U248" i="137" s="1"/>
  <c r="E248" i="137" s="1"/>
  <c r="T246" i="137" l="1"/>
  <c r="U246" i="137" s="1"/>
  <c r="E246" i="137" s="1"/>
  <c r="T245" i="137"/>
  <c r="U245" i="137" s="1"/>
  <c r="E245" i="137" s="1"/>
  <c r="T243" i="137" l="1"/>
  <c r="U243" i="137" s="1"/>
  <c r="E243" i="137" s="1"/>
  <c r="T244" i="137"/>
  <c r="U244" i="137" s="1"/>
  <c r="E244" i="137" s="1"/>
  <c r="T241" i="137" l="1"/>
  <c r="U241" i="137" s="1"/>
  <c r="E241" i="137" s="1"/>
  <c r="T242" i="137"/>
  <c r="U242" i="137" s="1"/>
  <c r="E242" i="137" s="1"/>
  <c r="T240" i="137" l="1"/>
  <c r="U240" i="137" s="1"/>
  <c r="E240" i="137" s="1"/>
  <c r="T239" i="137"/>
  <c r="U239" i="137" s="1"/>
  <c r="E239" i="137" s="1"/>
  <c r="T238" i="137" l="1"/>
  <c r="U238" i="137" s="1"/>
  <c r="E238" i="137" s="1"/>
  <c r="T237" i="137"/>
  <c r="U237" i="137" s="1"/>
  <c r="E237" i="137" s="1"/>
  <c r="T235" i="137" l="1"/>
  <c r="U235" i="137" s="1"/>
  <c r="E235" i="137" s="1"/>
  <c r="T236" i="137"/>
  <c r="U236" i="137" s="1"/>
  <c r="E236" i="137" s="1"/>
  <c r="T234" i="137" l="1"/>
  <c r="U234" i="137" s="1"/>
  <c r="E234" i="137" s="1"/>
  <c r="T233" i="137"/>
  <c r="U233" i="137" s="1"/>
  <c r="E233" i="137" s="1"/>
  <c r="T231" i="137" l="1"/>
  <c r="U231" i="137" s="1"/>
  <c r="E231" i="137" s="1"/>
  <c r="T232" i="137"/>
  <c r="U232" i="137" s="1"/>
  <c r="E232" i="137" s="1"/>
  <c r="T230" i="137" l="1"/>
  <c r="U230" i="137" s="1"/>
  <c r="E230" i="137" s="1"/>
  <c r="T229" i="137"/>
  <c r="U229" i="137" s="1"/>
  <c r="E229" i="137" s="1"/>
  <c r="T227" i="137" l="1"/>
  <c r="U227" i="137" s="1"/>
  <c r="E227" i="137" s="1"/>
  <c r="T228" i="137"/>
  <c r="U228" i="137" s="1"/>
  <c r="E228" i="137" s="1"/>
  <c r="T226" i="137" l="1"/>
  <c r="U226" i="137" s="1"/>
  <c r="E226" i="137" s="1"/>
  <c r="T225" i="137"/>
  <c r="U225" i="137" s="1"/>
  <c r="E225" i="137" s="1"/>
  <c r="T223" i="137" l="1"/>
  <c r="U223" i="137" s="1"/>
  <c r="E223" i="137" s="1"/>
  <c r="T224" i="137"/>
  <c r="U224" i="137" s="1"/>
  <c r="E224" i="137" s="1"/>
  <c r="T222" i="137" l="1"/>
  <c r="U222" i="137" s="1"/>
  <c r="E222" i="137" s="1"/>
  <c r="T221" i="137"/>
  <c r="U221" i="137" s="1"/>
  <c r="E221" i="137" s="1"/>
  <c r="T219" i="137" l="1"/>
  <c r="U219" i="137" s="1"/>
  <c r="E219" i="137" s="1"/>
  <c r="T220" i="137"/>
  <c r="U220" i="137" s="1"/>
  <c r="E220" i="137" s="1"/>
  <c r="T218" i="137" l="1"/>
  <c r="U218" i="137" s="1"/>
  <c r="E218" i="137" s="1"/>
  <c r="T217" i="137"/>
  <c r="U217" i="137" s="1"/>
  <c r="E217" i="137" s="1"/>
  <c r="T215" i="137" l="1"/>
  <c r="U215" i="137" s="1"/>
  <c r="E215" i="137" s="1"/>
  <c r="T216" i="137"/>
  <c r="U216" i="137" s="1"/>
  <c r="E216" i="137" s="1"/>
  <c r="T214" i="137" l="1"/>
  <c r="U214" i="137" s="1"/>
  <c r="E214" i="137" s="1"/>
  <c r="T213" i="137"/>
  <c r="U213" i="137" s="1"/>
  <c r="E213" i="137" s="1"/>
  <c r="T211" i="137" l="1"/>
  <c r="U211" i="137" s="1"/>
  <c r="E211" i="137" s="1"/>
  <c r="T212" i="137"/>
  <c r="U212" i="137" s="1"/>
  <c r="E212" i="137" s="1"/>
  <c r="T210" i="137" l="1"/>
  <c r="U210" i="137" s="1"/>
  <c r="E210" i="137" s="1"/>
  <c r="T209" i="137"/>
  <c r="U209" i="137" s="1"/>
  <c r="E209" i="137" s="1"/>
  <c r="T207" i="137" l="1"/>
  <c r="U207" i="137" s="1"/>
  <c r="E207" i="137" s="1"/>
  <c r="T208" i="137"/>
  <c r="U208" i="137" s="1"/>
  <c r="E208" i="137" s="1"/>
  <c r="T206" i="137" l="1"/>
  <c r="U206" i="137" s="1"/>
  <c r="E206" i="137" s="1"/>
  <c r="T205" i="137"/>
  <c r="U205" i="137" s="1"/>
  <c r="E205" i="137" s="1"/>
  <c r="T203" i="137" l="1"/>
  <c r="U203" i="137" s="1"/>
  <c r="E203" i="137" s="1"/>
  <c r="T204" i="137"/>
  <c r="U204" i="137" s="1"/>
  <c r="E204" i="137" s="1"/>
  <c r="T202" i="137" l="1"/>
  <c r="U202" i="137" s="1"/>
  <c r="E202" i="137" s="1"/>
  <c r="T201" i="137"/>
  <c r="U201" i="137" s="1"/>
  <c r="E201" i="137" s="1"/>
  <c r="T199" i="137" l="1"/>
  <c r="U199" i="137" s="1"/>
  <c r="E199" i="137" s="1"/>
  <c r="T200" i="137"/>
  <c r="U200" i="137" s="1"/>
  <c r="E200" i="137" s="1"/>
  <c r="T198" i="137" l="1"/>
  <c r="U198" i="137" s="1"/>
  <c r="E198" i="137" s="1"/>
  <c r="T197" i="137"/>
  <c r="U197" i="137" s="1"/>
  <c r="E197" i="137" s="1"/>
  <c r="T195" i="137" l="1"/>
  <c r="U195" i="137" s="1"/>
  <c r="E195" i="137" s="1"/>
  <c r="T196" i="137"/>
  <c r="U196" i="137" s="1"/>
  <c r="E196" i="137" s="1"/>
  <c r="T194" i="137" l="1"/>
  <c r="U194" i="137" s="1"/>
  <c r="E194" i="137" s="1"/>
  <c r="T193" i="137"/>
  <c r="U193" i="137" s="1"/>
  <c r="E193" i="137" s="1"/>
  <c r="T191" i="137" l="1"/>
  <c r="U191" i="137" s="1"/>
  <c r="E191" i="137" s="1"/>
  <c r="T192" i="137"/>
  <c r="U192" i="137" s="1"/>
  <c r="E192" i="137" s="1"/>
  <c r="T190" i="137" l="1"/>
  <c r="U190" i="137" s="1"/>
  <c r="E190" i="137" s="1"/>
  <c r="T189" i="137"/>
  <c r="U189" i="137" s="1"/>
  <c r="E189" i="137" s="1"/>
  <c r="T187" i="137" l="1"/>
  <c r="U187" i="137" s="1"/>
  <c r="E187" i="137" s="1"/>
  <c r="T188" i="137"/>
  <c r="U188" i="137" s="1"/>
  <c r="E188" i="137" s="1"/>
  <c r="T186" i="137" l="1"/>
  <c r="U186" i="137" s="1"/>
  <c r="E186" i="137" s="1"/>
  <c r="T185" i="137"/>
  <c r="U185" i="137" s="1"/>
  <c r="E185" i="137" s="1"/>
  <c r="T183" i="137" l="1"/>
  <c r="U183" i="137" s="1"/>
  <c r="E183" i="137" s="1"/>
  <c r="T184" i="137"/>
  <c r="U184" i="137" s="1"/>
  <c r="E184" i="137" s="1"/>
  <c r="T182" i="137" l="1"/>
  <c r="U182" i="137" s="1"/>
  <c r="E182" i="137" s="1"/>
  <c r="T181" i="137"/>
  <c r="U181" i="137" s="1"/>
  <c r="E181" i="137" s="1"/>
  <c r="T179" i="137" l="1"/>
  <c r="U179" i="137" s="1"/>
  <c r="E179" i="137" s="1"/>
  <c r="T180" i="137"/>
  <c r="U180" i="137" s="1"/>
  <c r="E180" i="137" s="1"/>
  <c r="T178" i="137" l="1"/>
  <c r="U178" i="137" s="1"/>
  <c r="E178" i="137" s="1"/>
  <c r="T177" i="137"/>
  <c r="U177" i="137" s="1"/>
  <c r="E177" i="137" s="1"/>
  <c r="T175" i="137" l="1"/>
  <c r="U175" i="137" s="1"/>
  <c r="E175" i="137" s="1"/>
  <c r="T176" i="137"/>
  <c r="U176" i="137" s="1"/>
  <c r="E176" i="137" s="1"/>
  <c r="T174" i="137" l="1"/>
  <c r="U174" i="137" s="1"/>
  <c r="E174" i="137" s="1"/>
  <c r="T173" i="137"/>
  <c r="U173" i="137" s="1"/>
  <c r="E173" i="137" s="1"/>
  <c r="T171" i="137" l="1"/>
  <c r="U171" i="137" s="1"/>
  <c r="E171" i="137" s="1"/>
  <c r="T172" i="137"/>
  <c r="U172" i="137" s="1"/>
  <c r="E172" i="137" s="1"/>
  <c r="T170" i="137" l="1"/>
  <c r="U170" i="137" s="1"/>
  <c r="E170" i="137" s="1"/>
  <c r="T169" i="137"/>
  <c r="U169" i="137" s="1"/>
  <c r="E169" i="137" s="1"/>
  <c r="T167" i="137" l="1"/>
  <c r="U167" i="137" s="1"/>
  <c r="E167" i="137" s="1"/>
  <c r="T168" i="137"/>
  <c r="U168" i="137" s="1"/>
  <c r="E168" i="137" s="1"/>
  <c r="T166" i="137" l="1"/>
  <c r="U166" i="137" s="1"/>
  <c r="E166" i="137" s="1"/>
  <c r="T165" i="137"/>
  <c r="U165" i="137" s="1"/>
  <c r="E165" i="137" s="1"/>
  <c r="T163" i="137" l="1"/>
  <c r="U163" i="137" s="1"/>
  <c r="E163" i="137" s="1"/>
  <c r="T164" i="137"/>
  <c r="U164" i="137" s="1"/>
  <c r="E164" i="137" s="1"/>
  <c r="T162" i="137" l="1"/>
  <c r="U162" i="137" s="1"/>
  <c r="E162" i="137" s="1"/>
  <c r="T161" i="137"/>
  <c r="U161" i="137" s="1"/>
  <c r="E161" i="137" s="1"/>
  <c r="T160" i="137" l="1"/>
  <c r="U160" i="137" s="1"/>
  <c r="E160" i="137" s="1"/>
  <c r="T159" i="137"/>
  <c r="U159" i="137" s="1"/>
  <c r="E159" i="137" s="1"/>
  <c r="T158" i="137" l="1"/>
  <c r="U158" i="137" s="1"/>
  <c r="E158" i="137" s="1"/>
  <c r="T157" i="137"/>
  <c r="U157" i="137" s="1"/>
  <c r="E157" i="137" s="1"/>
  <c r="T155" i="137" l="1"/>
  <c r="U155" i="137" s="1"/>
  <c r="E155" i="137" s="1"/>
  <c r="T156" i="137"/>
  <c r="U156" i="137" s="1"/>
  <c r="E156" i="137" s="1"/>
  <c r="T153" i="137" l="1"/>
  <c r="U153" i="137" s="1"/>
  <c r="E153" i="137" s="1"/>
  <c r="T154" i="137"/>
  <c r="U154" i="137" s="1"/>
  <c r="E154" i="137" s="1"/>
  <c r="T152" i="137" l="1"/>
  <c r="U152" i="137" s="1"/>
  <c r="E152" i="137" s="1"/>
  <c r="T151" i="137"/>
  <c r="U151" i="137" s="1"/>
  <c r="E151" i="137" s="1"/>
  <c r="T150" i="137" l="1"/>
  <c r="U150" i="137" s="1"/>
  <c r="E150" i="137" s="1"/>
  <c r="T149" i="137"/>
  <c r="U149" i="137" s="1"/>
  <c r="E149" i="137" s="1"/>
  <c r="T148" i="137" l="1"/>
  <c r="U148" i="137" s="1"/>
  <c r="E148" i="137" s="1"/>
  <c r="T147" i="137"/>
  <c r="U147" i="137" s="1"/>
  <c r="E147" i="137" s="1"/>
  <c r="T146" i="137" l="1"/>
  <c r="U146" i="137" s="1"/>
  <c r="E146" i="137" s="1"/>
  <c r="T145" i="137"/>
  <c r="U145" i="137" s="1"/>
  <c r="E145" i="137" s="1"/>
  <c r="T144" i="137" l="1"/>
  <c r="U144" i="137" s="1"/>
  <c r="E144" i="137" s="1"/>
  <c r="T143" i="137"/>
  <c r="U143" i="137" s="1"/>
  <c r="E143" i="137" s="1"/>
  <c r="T142" i="137" l="1"/>
  <c r="U142" i="137" s="1"/>
  <c r="E142" i="137" s="1"/>
  <c r="T141" i="137"/>
  <c r="U141" i="137" s="1"/>
  <c r="E141" i="137" s="1"/>
  <c r="T140" i="137" l="1"/>
  <c r="U140" i="137" s="1"/>
  <c r="E140" i="137" s="1"/>
  <c r="T139" i="137"/>
  <c r="U139" i="137" s="1"/>
  <c r="E139" i="137" s="1"/>
  <c r="T138" i="137" l="1"/>
  <c r="U138" i="137" s="1"/>
  <c r="E138" i="137" s="1"/>
  <c r="T137" i="137"/>
  <c r="U137" i="137" s="1"/>
  <c r="E137" i="137" s="1"/>
  <c r="T135" i="137" l="1"/>
  <c r="U135" i="137" s="1"/>
  <c r="E135" i="137" s="1"/>
  <c r="T136" i="137"/>
  <c r="U136" i="137" s="1"/>
  <c r="E136" i="137" s="1"/>
  <c r="T133" i="137" l="1"/>
  <c r="U133" i="137" s="1"/>
  <c r="E133" i="137" s="1"/>
  <c r="T134" i="137"/>
  <c r="U134" i="137" s="1"/>
  <c r="E134" i="137" s="1"/>
  <c r="T131" i="137" l="1"/>
  <c r="U131" i="137" s="1"/>
  <c r="E131" i="137" s="1"/>
  <c r="T132" i="137"/>
  <c r="U132" i="137" s="1"/>
  <c r="E132" i="137" s="1"/>
  <c r="T129" i="137" l="1"/>
  <c r="U129" i="137" s="1"/>
  <c r="E129" i="137" s="1"/>
  <c r="T130" i="137"/>
  <c r="U130" i="137" s="1"/>
  <c r="E130" i="137" s="1"/>
  <c r="T128" i="137" l="1"/>
  <c r="U128" i="137" s="1"/>
  <c r="E128" i="137" s="1"/>
  <c r="T127" i="137"/>
  <c r="U127" i="137" s="1"/>
  <c r="E127" i="137" s="1"/>
  <c r="T126" i="137" l="1"/>
  <c r="U126" i="137" s="1"/>
  <c r="E126" i="137" s="1"/>
  <c r="T125" i="137"/>
  <c r="U125" i="137" s="1"/>
  <c r="E125" i="137" s="1"/>
  <c r="T124" i="137" l="1"/>
  <c r="U124" i="137" s="1"/>
  <c r="E124" i="137" s="1"/>
  <c r="T123" i="137"/>
  <c r="U123" i="137" s="1"/>
  <c r="E123" i="137" s="1"/>
  <c r="T122" i="137" l="1"/>
  <c r="U122" i="137" s="1"/>
  <c r="E122" i="137" s="1"/>
  <c r="T121" i="137"/>
  <c r="U121" i="137" s="1"/>
  <c r="E121" i="137" s="1"/>
  <c r="T119" i="137" l="1"/>
  <c r="U119" i="137" s="1"/>
  <c r="E119" i="137" s="1"/>
  <c r="T120" i="137"/>
  <c r="U120" i="137" s="1"/>
  <c r="E120" i="137" s="1"/>
  <c r="T117" i="137" l="1"/>
  <c r="U117" i="137" s="1"/>
  <c r="E117" i="137" s="1"/>
  <c r="T118" i="137"/>
  <c r="U118" i="137" s="1"/>
  <c r="E118" i="137" s="1"/>
  <c r="T115" i="137" l="1"/>
  <c r="U115" i="137" s="1"/>
  <c r="E115" i="137" s="1"/>
  <c r="T116" i="137"/>
  <c r="U116" i="137" s="1"/>
  <c r="E116" i="137" s="1"/>
  <c r="T113" i="137" l="1"/>
  <c r="U113" i="137" s="1"/>
  <c r="E113" i="137" s="1"/>
  <c r="T114" i="137"/>
  <c r="U114" i="137" s="1"/>
  <c r="E114" i="137" s="1"/>
  <c r="T111" i="137" l="1"/>
  <c r="U111" i="137" s="1"/>
  <c r="E111" i="137" s="1"/>
  <c r="T112" i="137"/>
  <c r="U112" i="137" s="1"/>
  <c r="E112" i="137" s="1"/>
  <c r="T110" i="137" l="1"/>
  <c r="U110" i="137" s="1"/>
  <c r="E110" i="137" s="1"/>
  <c r="T109" i="137"/>
  <c r="U109" i="137" s="1"/>
  <c r="E109" i="137" s="1"/>
  <c r="T107" i="137" l="1"/>
  <c r="U107" i="137" s="1"/>
  <c r="E107" i="137" s="1"/>
  <c r="T108" i="137"/>
  <c r="U108" i="137" s="1"/>
  <c r="E108" i="137" s="1"/>
  <c r="T105" i="137" l="1"/>
  <c r="U105" i="137" s="1"/>
  <c r="E105" i="137" s="1"/>
  <c r="T106" i="137"/>
  <c r="U106" i="137" s="1"/>
  <c r="E106" i="137" s="1"/>
  <c r="T104" i="137" l="1"/>
  <c r="U104" i="137" s="1"/>
  <c r="E104" i="137" s="1"/>
  <c r="T103" i="137"/>
  <c r="U103" i="137" s="1"/>
  <c r="E103" i="137" s="1"/>
  <c r="T101" i="137" l="1"/>
  <c r="U101" i="137" s="1"/>
  <c r="E101" i="137" s="1"/>
  <c r="T102" i="137"/>
  <c r="U102" i="137" s="1"/>
  <c r="E102" i="137" s="1"/>
  <c r="T100" i="137" l="1"/>
  <c r="U100" i="137" s="1"/>
  <c r="E100" i="137" s="1"/>
  <c r="T99" i="137"/>
  <c r="U99" i="137" s="1"/>
  <c r="E99" i="137" s="1"/>
  <c r="T97" i="137" l="1"/>
  <c r="U97" i="137" s="1"/>
  <c r="E97" i="137" s="1"/>
  <c r="T98" i="137"/>
  <c r="U98" i="137" s="1"/>
  <c r="E98" i="137" s="1"/>
  <c r="T96" i="137" l="1"/>
  <c r="U96" i="137" s="1"/>
  <c r="E96" i="137" s="1"/>
  <c r="T95" i="137"/>
  <c r="U95" i="137" s="1"/>
  <c r="E95" i="137" s="1"/>
  <c r="T93" i="137" l="1"/>
  <c r="U93" i="137" s="1"/>
  <c r="E93" i="137" s="1"/>
  <c r="T94" i="137"/>
  <c r="U94" i="137" s="1"/>
  <c r="E94" i="137" s="1"/>
  <c r="T92" i="137" l="1"/>
  <c r="U92" i="137" s="1"/>
  <c r="E92" i="137" s="1"/>
  <c r="T91" i="137"/>
  <c r="U91" i="137" s="1"/>
  <c r="E91" i="137" s="1"/>
  <c r="T90" i="137" l="1"/>
  <c r="U90" i="137" s="1"/>
  <c r="E90" i="137" s="1"/>
  <c r="T89" i="137"/>
  <c r="U89" i="137" s="1"/>
  <c r="E89" i="137" s="1"/>
  <c r="T88" i="137" l="1"/>
  <c r="U88" i="137" s="1"/>
  <c r="E88" i="137" s="1"/>
  <c r="T87" i="137"/>
  <c r="U87" i="137" s="1"/>
  <c r="E87" i="137" s="1"/>
  <c r="T86" i="137" l="1"/>
  <c r="U86" i="137" s="1"/>
  <c r="E86" i="137" s="1"/>
  <c r="T85" i="137"/>
  <c r="U85" i="137" s="1"/>
  <c r="E85" i="137" s="1"/>
  <c r="T84" i="137" l="1"/>
  <c r="U84" i="137" s="1"/>
  <c r="E84" i="137" s="1"/>
  <c r="T83" i="137"/>
  <c r="U83" i="137" s="1"/>
  <c r="E83" i="137" s="1"/>
  <c r="T82" i="137" l="1"/>
  <c r="U82" i="137" s="1"/>
  <c r="E82" i="137" s="1"/>
  <c r="T81" i="137"/>
  <c r="U81" i="137" s="1"/>
  <c r="E81" i="137" s="1"/>
  <c r="T80" i="137" l="1"/>
  <c r="U80" i="137" s="1"/>
  <c r="E80" i="137" s="1"/>
  <c r="T79" i="137"/>
  <c r="U79" i="137" s="1"/>
  <c r="E79" i="137" s="1"/>
  <c r="T78" i="137" l="1"/>
  <c r="U78" i="137" s="1"/>
  <c r="E78" i="137" s="1"/>
  <c r="T77" i="137"/>
  <c r="U77" i="137" s="1"/>
  <c r="E77" i="137" s="1"/>
  <c r="T76" i="137" l="1"/>
  <c r="U76" i="137" s="1"/>
  <c r="E76" i="137" s="1"/>
  <c r="T75" i="137"/>
  <c r="U75" i="137" s="1"/>
  <c r="E75" i="137" s="1"/>
  <c r="T74" i="137" l="1"/>
  <c r="U74" i="137" s="1"/>
  <c r="E74" i="137" s="1"/>
  <c r="T73" i="137"/>
  <c r="U73" i="137" s="1"/>
  <c r="E73" i="137" s="1"/>
  <c r="T71" i="137" l="1"/>
  <c r="U71" i="137" s="1"/>
  <c r="E71" i="137" s="1"/>
  <c r="T72" i="137"/>
  <c r="U72" i="137" s="1"/>
  <c r="E72" i="137" s="1"/>
  <c r="T69" i="137" l="1"/>
  <c r="U69" i="137" s="1"/>
  <c r="E69" i="137" s="1"/>
  <c r="T70" i="137"/>
  <c r="U70" i="137" s="1"/>
  <c r="E70" i="137" s="1"/>
  <c r="T67" i="137" l="1"/>
  <c r="U67" i="137" s="1"/>
  <c r="E67" i="137" s="1"/>
  <c r="T68" i="137"/>
  <c r="U68" i="137" s="1"/>
  <c r="E68" i="137" s="1"/>
  <c r="T65" i="137" l="1"/>
  <c r="U65" i="137" s="1"/>
  <c r="E65" i="137" s="1"/>
  <c r="T66" i="137"/>
  <c r="U66" i="137" s="1"/>
  <c r="E66" i="137" s="1"/>
  <c r="T64" i="137" l="1"/>
  <c r="U64" i="137" s="1"/>
  <c r="E64" i="137" s="1"/>
  <c r="T63" i="137"/>
  <c r="U63" i="137" s="1"/>
  <c r="E63" i="137" s="1"/>
  <c r="T62" i="137" l="1"/>
  <c r="U62" i="137" s="1"/>
  <c r="E62" i="137" s="1"/>
  <c r="T61" i="137"/>
  <c r="U61" i="137" s="1"/>
  <c r="E61" i="137" s="1"/>
  <c r="T60" i="137" l="1"/>
  <c r="U60" i="137" s="1"/>
  <c r="E60" i="137" s="1"/>
  <c r="T59" i="137"/>
  <c r="U59" i="137" s="1"/>
  <c r="E59" i="137" s="1"/>
  <c r="T58" i="137" l="1"/>
  <c r="U58" i="137" s="1"/>
  <c r="E58" i="137" s="1"/>
  <c r="T57" i="137"/>
  <c r="U57" i="137" s="1"/>
  <c r="E57" i="137" s="1"/>
  <c r="T56" i="137" l="1"/>
  <c r="U56" i="137" s="1"/>
  <c r="E56" i="137" s="1"/>
  <c r="T55" i="137"/>
  <c r="U55" i="137" s="1"/>
  <c r="E55" i="137" s="1"/>
  <c r="T54" i="137" l="1"/>
  <c r="U54" i="137" s="1"/>
  <c r="E54" i="137" s="1"/>
  <c r="T53" i="137"/>
  <c r="U53" i="137" s="1"/>
  <c r="E53" i="137" s="1"/>
  <c r="T52" i="137" l="1"/>
  <c r="U52" i="137" s="1"/>
  <c r="E52" i="137" s="1"/>
  <c r="T51" i="137"/>
  <c r="U51" i="137" s="1"/>
  <c r="E51" i="137" s="1"/>
  <c r="T50" i="137" l="1"/>
  <c r="U50" i="137" s="1"/>
  <c r="E50" i="137" s="1"/>
  <c r="T49" i="137"/>
  <c r="U49" i="137" s="1"/>
  <c r="E49" i="137" s="1"/>
  <c r="T48" i="137" l="1"/>
  <c r="U48" i="137" s="1"/>
  <c r="E48" i="137" s="1"/>
  <c r="T47" i="137"/>
  <c r="U47" i="137" s="1"/>
  <c r="E47" i="137" s="1"/>
  <c r="T45" i="137" l="1"/>
  <c r="U45" i="137" s="1"/>
  <c r="E45" i="137" s="1"/>
  <c r="T46" i="137"/>
  <c r="U46" i="137" s="1"/>
  <c r="E46" i="137" s="1"/>
  <c r="T43" i="137" l="1"/>
  <c r="U43" i="137" s="1"/>
  <c r="E43" i="137" s="1"/>
  <c r="T44" i="137"/>
  <c r="U44" i="137" s="1"/>
  <c r="E44" i="137" s="1"/>
  <c r="T41" i="137" l="1"/>
  <c r="U41" i="137" s="1"/>
  <c r="E41" i="137" s="1"/>
  <c r="T42" i="137"/>
  <c r="U42" i="137" s="1"/>
  <c r="E42" i="137" s="1"/>
  <c r="T40" i="137" l="1"/>
  <c r="U40" i="137" s="1"/>
  <c r="E40" i="137" s="1"/>
  <c r="T39" i="137"/>
  <c r="U39" i="137" s="1"/>
  <c r="E39" i="137" s="1"/>
  <c r="T38" i="137" l="1"/>
  <c r="U38" i="137" s="1"/>
  <c r="E38" i="137" s="1"/>
  <c r="T37" i="137"/>
  <c r="U37" i="137" s="1"/>
  <c r="E37" i="137" s="1"/>
  <c r="T36" i="137" l="1"/>
  <c r="U36" i="137" s="1"/>
  <c r="E36" i="137" s="1"/>
  <c r="T35" i="137"/>
  <c r="U35" i="137" s="1"/>
  <c r="E35" i="137" s="1"/>
  <c r="T34" i="137" l="1"/>
  <c r="U34" i="137" s="1"/>
  <c r="E34" i="137" s="1"/>
  <c r="T33" i="137"/>
  <c r="U33" i="137" s="1"/>
  <c r="E33" i="137" s="1"/>
  <c r="T31" i="137" l="1"/>
  <c r="U31" i="137" s="1"/>
  <c r="E31" i="137" s="1"/>
  <c r="T32" i="137"/>
  <c r="U32" i="137" s="1"/>
  <c r="E32" i="137" s="1"/>
  <c r="T30" i="137" l="1"/>
  <c r="U30" i="137" s="1"/>
  <c r="E30" i="137" s="1"/>
  <c r="T29" i="137"/>
  <c r="U29" i="137" s="1"/>
  <c r="E29" i="137" s="1"/>
  <c r="T28" i="137" l="1"/>
  <c r="U28" i="137" s="1"/>
  <c r="E28" i="137" s="1"/>
  <c r="T27" i="137"/>
  <c r="U27" i="137" s="1"/>
  <c r="E27" i="137" s="1"/>
  <c r="T26" i="137" l="1"/>
  <c r="U26" i="137" s="1"/>
  <c r="E26" i="137" s="1"/>
  <c r="T25" i="137"/>
  <c r="U25" i="137" s="1"/>
  <c r="E25" i="137" s="1"/>
  <c r="T23" i="137" l="1"/>
  <c r="U23" i="137" s="1"/>
  <c r="E23" i="137" s="1"/>
  <c r="T24" i="137"/>
  <c r="U24" i="137" s="1"/>
  <c r="E24" i="137" s="1"/>
  <c r="T21" i="137" l="1"/>
  <c r="U21" i="137" s="1"/>
  <c r="E21" i="137" s="1"/>
  <c r="T22" i="137"/>
  <c r="U22" i="137" s="1"/>
  <c r="E22" i="137" s="1"/>
  <c r="T19" i="137" l="1"/>
  <c r="U19" i="137" s="1"/>
  <c r="E19" i="137" s="1"/>
  <c r="T20" i="137"/>
  <c r="U20" i="137" s="1"/>
  <c r="E20" i="137" s="1"/>
  <c r="T17" i="137" l="1"/>
  <c r="U17" i="137" s="1"/>
  <c r="E17" i="137" s="1"/>
  <c r="T18" i="137"/>
  <c r="U18" i="137" s="1"/>
  <c r="E18" i="137" s="1"/>
  <c r="T16" i="137" l="1"/>
  <c r="U16" i="137" s="1"/>
  <c r="E16" i="137" s="1"/>
  <c r="T15" i="137"/>
  <c r="U15" i="137" s="1"/>
  <c r="E15" i="137" s="1"/>
  <c r="T14" i="137" l="1"/>
  <c r="U14" i="137" s="1"/>
  <c r="E14" i="137" s="1"/>
  <c r="T13" i="137"/>
  <c r="U13" i="137" s="1"/>
  <c r="E13" i="137" s="1"/>
  <c r="T12" i="137" l="1"/>
  <c r="U12" i="137" s="1"/>
  <c r="E12" i="137" s="1"/>
  <c r="T11" i="137"/>
  <c r="U11" i="137" s="1"/>
  <c r="E11" i="137" s="1"/>
  <c r="T10" i="137" l="1"/>
  <c r="Q8" i="137"/>
  <c r="U10" i="137" l="1"/>
  <c r="T8" i="137"/>
  <c r="E10" i="137" l="1"/>
  <c r="A3" i="137" s="1"/>
  <c r="U8" i="137"/>
</calcChain>
</file>

<file path=xl/sharedStrings.xml><?xml version="1.0" encoding="utf-8"?>
<sst xmlns="http://schemas.openxmlformats.org/spreadsheetml/2006/main" count="25715" uniqueCount="1304">
  <si>
    <t>1. Ga naar View =&gt; Macro's =&gt; Import_turflijst =&gt; Run</t>
  </si>
  <si>
    <t>2. Navigeer naar de SD kaart van de tablet. De afrekeningen staan in  Android/data/nl.groover.bar/files/afrekeningen</t>
  </si>
  <si>
    <t>3. Navigeer naar de map met de juiste datum. Het bestand wat je wilt importeren heet "afrekening(.xml)"</t>
  </si>
  <si>
    <t>4. Klik op importeer.</t>
  </si>
  <si>
    <t>Bier</t>
  </si>
  <si>
    <t>Weizen</t>
  </si>
  <si>
    <t>Fris</t>
  </si>
  <si>
    <t>Wijn</t>
  </si>
  <si>
    <t>Whisky €2</t>
  </si>
  <si>
    <t>Whisky €3</t>
  </si>
  <si>
    <t>Whisky €4</t>
  </si>
  <si>
    <t>Whisky €5</t>
  </si>
  <si>
    <t>Chips</t>
  </si>
  <si>
    <t>Warme snack</t>
  </si>
  <si>
    <t>ID</t>
  </si>
  <si>
    <t>Voornaam</t>
  </si>
  <si>
    <t>Tussenvoegsel</t>
  </si>
  <si>
    <t>Achternaam</t>
  </si>
  <si>
    <t>Aanwezig</t>
  </si>
  <si>
    <t>Naam</t>
  </si>
  <si>
    <t>Afzet:</t>
  </si>
  <si>
    <t>Omzet:</t>
  </si>
  <si>
    <t>Prijzen:</t>
  </si>
  <si>
    <t>Subtotaal consumpties</t>
  </si>
  <si>
    <t>Subtotaal groepen</t>
  </si>
  <si>
    <t>Totaal</t>
  </si>
  <si>
    <t>Totaal per persoon</t>
  </si>
  <si>
    <t>pandco 'vo</t>
  </si>
  <si>
    <t>ID0704</t>
  </si>
  <si>
    <t>Albert</t>
  </si>
  <si>
    <t>Franquet</t>
  </si>
  <si>
    <t>Albert Franquet</t>
  </si>
  <si>
    <t>ID0827</t>
  </si>
  <si>
    <t>Alberto</t>
  </si>
  <si>
    <t>van</t>
  </si>
  <si>
    <t>Meenen GEEN 18!!!</t>
  </si>
  <si>
    <t>Alberto van Meenen GEEN 18!!!</t>
  </si>
  <si>
    <t>ID0709</t>
  </si>
  <si>
    <t>Alex</t>
  </si>
  <si>
    <t>Pobuda</t>
  </si>
  <si>
    <t>Alex Pobuda</t>
  </si>
  <si>
    <t>ID0450</t>
  </si>
  <si>
    <t>Veringmeier</t>
  </si>
  <si>
    <t>Alex Veringmeier</t>
  </si>
  <si>
    <t>ID0542</t>
  </si>
  <si>
    <t>Alexander</t>
  </si>
  <si>
    <t>Heemels</t>
  </si>
  <si>
    <t>Alexander Heemels</t>
  </si>
  <si>
    <t>ID0773</t>
  </si>
  <si>
    <t>Kolset</t>
  </si>
  <si>
    <t>Alexander Kolset</t>
  </si>
  <si>
    <t>ID0702</t>
  </si>
  <si>
    <t>Alexandros</t>
  </si>
  <si>
    <t>Skourtis-Cabrera</t>
  </si>
  <si>
    <t>Alexandros Skourtis-Cabrera</t>
  </si>
  <si>
    <t>ID0727</t>
  </si>
  <si>
    <t>Almaz</t>
  </si>
  <si>
    <t>Paalvast</t>
  </si>
  <si>
    <t>Almaz Paalvast</t>
  </si>
  <si>
    <t>ID0841</t>
  </si>
  <si>
    <t>Alo</t>
  </si>
  <si>
    <t>Brewster</t>
  </si>
  <si>
    <t>Alo Brewster</t>
  </si>
  <si>
    <t>ID0656</t>
  </si>
  <si>
    <t>Amanda</t>
  </si>
  <si>
    <t>van der</t>
  </si>
  <si>
    <t>Sijs</t>
  </si>
  <si>
    <t>Amanda van der Sijs</t>
  </si>
  <si>
    <t>ID0906</t>
  </si>
  <si>
    <t>Amar</t>
  </si>
  <si>
    <t>Kohabir</t>
  </si>
  <si>
    <t>Amar Kohabir</t>
  </si>
  <si>
    <t>ID0746</t>
  </si>
  <si>
    <t>Anna</t>
  </si>
  <si>
    <t>Zonneveld</t>
  </si>
  <si>
    <t>Anna Zonneveld</t>
  </si>
  <si>
    <t>ID0889</t>
  </si>
  <si>
    <t>Anne</t>
  </si>
  <si>
    <t>Hoekstra</t>
  </si>
  <si>
    <t>Anne Hoekstra</t>
  </si>
  <si>
    <t>ID0495</t>
  </si>
  <si>
    <t>Klein</t>
  </si>
  <si>
    <t>Anne van der Klein</t>
  </si>
  <si>
    <t>ID0871</t>
  </si>
  <si>
    <t>Anne-Mei</t>
  </si>
  <si>
    <t>Anne-Mei Klein</t>
  </si>
  <si>
    <t>ID0610</t>
  </si>
  <si>
    <t>Annemiek</t>
  </si>
  <si>
    <t>Wiggers</t>
  </si>
  <si>
    <t>Annemiek Wiggers</t>
  </si>
  <si>
    <t>ID0471</t>
  </si>
  <si>
    <t>Arend</t>
  </si>
  <si>
    <t>Moerman</t>
  </si>
  <si>
    <t>Arend Moerman</t>
  </si>
  <si>
    <t>ID0800</t>
  </si>
  <si>
    <t>Aron</t>
  </si>
  <si>
    <t>Bevelander</t>
  </si>
  <si>
    <t>Aron Bevelander</t>
  </si>
  <si>
    <t>ID0899</t>
  </si>
  <si>
    <t>Arturo</t>
  </si>
  <si>
    <t>Martinez Lopez</t>
  </si>
  <si>
    <t>Arturo Martinez Lopez</t>
  </si>
  <si>
    <t>ID0234</t>
  </si>
  <si>
    <t>Bas</t>
  </si>
  <si>
    <t>Biesheuvel</t>
  </si>
  <si>
    <t>Bas Biesheuvel</t>
  </si>
  <si>
    <t>ID0789</t>
  </si>
  <si>
    <t>Gradussen</t>
  </si>
  <si>
    <t>Bas Gradussen</t>
  </si>
  <si>
    <t>ID0558</t>
  </si>
  <si>
    <t>Rosenboom</t>
  </si>
  <si>
    <t>Bas Rosenboom</t>
  </si>
  <si>
    <t>ID0837</t>
  </si>
  <si>
    <t>Bauke</t>
  </si>
  <si>
    <t>Schoustra</t>
  </si>
  <si>
    <t>Bauke Schoustra</t>
  </si>
  <si>
    <t>ID0885</t>
  </si>
  <si>
    <t>Bendert</t>
  </si>
  <si>
    <t>Dijk</t>
  </si>
  <si>
    <t>Bendert van Dijk</t>
  </si>
  <si>
    <t>ID0620</t>
  </si>
  <si>
    <t>Bente</t>
  </si>
  <si>
    <t>Vermaat</t>
  </si>
  <si>
    <t>Bente Vermaat</t>
  </si>
  <si>
    <t>ID0787</t>
  </si>
  <si>
    <t>Billy</t>
  </si>
  <si>
    <t>Abadi</t>
  </si>
  <si>
    <t>Billy Abadi</t>
  </si>
  <si>
    <t>ID0639</t>
  </si>
  <si>
    <t>Boaz</t>
  </si>
  <si>
    <t>Willigenburg</t>
  </si>
  <si>
    <t>Boaz van Willigenburg</t>
  </si>
  <si>
    <t>ID0262</t>
  </si>
  <si>
    <t>Bram</t>
  </si>
  <si>
    <t>Peerlings</t>
  </si>
  <si>
    <t>Bram Peerlings</t>
  </si>
  <si>
    <t>ID0857</t>
  </si>
  <si>
    <t>Bruno</t>
  </si>
  <si>
    <t>Hermans</t>
  </si>
  <si>
    <t>Bruno Hermans</t>
  </si>
  <si>
    <t>ID0845</t>
  </si>
  <si>
    <t>Carlijn</t>
  </si>
  <si>
    <t>Kuijper</t>
  </si>
  <si>
    <t>Carlijn Kuijper</t>
  </si>
  <si>
    <t>ID0793</t>
  </si>
  <si>
    <t>Cas</t>
  </si>
  <si>
    <t>Jiskoot</t>
  </si>
  <si>
    <t>Cas Jiskoot</t>
  </si>
  <si>
    <t>ID0244</t>
  </si>
  <si>
    <t>Casper</t>
  </si>
  <si>
    <t>Hugel</t>
  </si>
  <si>
    <t>Casper Hugel</t>
  </si>
  <si>
    <t>ID0851</t>
  </si>
  <si>
    <t>Cedrick</t>
  </si>
  <si>
    <t>Vandeputte</t>
  </si>
  <si>
    <t>Cedrick Vandeputte</t>
  </si>
  <si>
    <t>ID0315</t>
  </si>
  <si>
    <t>Cees</t>
  </si>
  <si>
    <t>Geer</t>
  </si>
  <si>
    <t>Cees van der Geer</t>
  </si>
  <si>
    <t>ID0849</t>
  </si>
  <si>
    <t>Chantal</t>
  </si>
  <si>
    <t>Schouwenaar</t>
  </si>
  <si>
    <t>Chantal Schouwenaar</t>
  </si>
  <si>
    <t>ID0863</t>
  </si>
  <si>
    <t>Charly</t>
  </si>
  <si>
    <t>Watson</t>
  </si>
  <si>
    <t>Charly Watson</t>
  </si>
  <si>
    <t>ID0739</t>
  </si>
  <si>
    <t>Christian</t>
  </si>
  <si>
    <t>Zalm</t>
  </si>
  <si>
    <t>Christian van der Zalm</t>
  </si>
  <si>
    <t>ID0001</t>
  </si>
  <si>
    <t>Contant</t>
  </si>
  <si>
    <t>Kas</t>
  </si>
  <si>
    <t>Contant Kas</t>
  </si>
  <si>
    <t>ID0584</t>
  </si>
  <si>
    <t>Daan</t>
  </si>
  <si>
    <t>de Wolf</t>
  </si>
  <si>
    <t>Daan de Wolf</t>
  </si>
  <si>
    <t>ID0467</t>
  </si>
  <si>
    <t>Houtzager</t>
  </si>
  <si>
    <t>Daan Houtzager</t>
  </si>
  <si>
    <t>ID0896</t>
  </si>
  <si>
    <t>Juurlink</t>
  </si>
  <si>
    <t>Daan Juurlink</t>
  </si>
  <si>
    <t>ID0912</t>
  </si>
  <si>
    <t>Kluwer</t>
  </si>
  <si>
    <t>Daan Kluwer</t>
  </si>
  <si>
    <t>ID0649</t>
  </si>
  <si>
    <t>Koetzier</t>
  </si>
  <si>
    <t>Daan Koetzier</t>
  </si>
  <si>
    <t>ID0344</t>
  </si>
  <si>
    <t>Picavet</t>
  </si>
  <si>
    <t>Daan Picavet</t>
  </si>
  <si>
    <t>ID0737</t>
  </si>
  <si>
    <t>Prinsze</t>
  </si>
  <si>
    <t>Daan Prinsze</t>
  </si>
  <si>
    <t>ID0640</t>
  </si>
  <si>
    <t>Spek</t>
  </si>
  <si>
    <t>Daan van der Spek</t>
  </si>
  <si>
    <t>ID0310</t>
  </si>
  <si>
    <t>de</t>
  </si>
  <si>
    <t>Winter</t>
  </si>
  <si>
    <t>Daan de Winter</t>
  </si>
  <si>
    <t>ID0776</t>
  </si>
  <si>
    <t>Dan</t>
  </si>
  <si>
    <t>McCusker</t>
  </si>
  <si>
    <t>Dan McCusker</t>
  </si>
  <si>
    <t>ID0778</t>
  </si>
  <si>
    <t>Daniel</t>
  </si>
  <si>
    <t>Salomon</t>
  </si>
  <si>
    <t>Daniel Salomon</t>
  </si>
  <si>
    <t>ID0408</t>
  </si>
  <si>
    <t>Zhuk</t>
  </si>
  <si>
    <t>Daniel Zhuk</t>
  </si>
  <si>
    <t>ID0858</t>
  </si>
  <si>
    <t>Darcey</t>
  </si>
  <si>
    <t>Bil</t>
  </si>
  <si>
    <t>Darcey Bil</t>
  </si>
  <si>
    <t>ID0272</t>
  </si>
  <si>
    <t>Davey</t>
  </si>
  <si>
    <t>Giesen</t>
  </si>
  <si>
    <t>Davey van Giesen</t>
  </si>
  <si>
    <t>ID0578</t>
  </si>
  <si>
    <t>David</t>
  </si>
  <si>
    <t>Alderliesten</t>
  </si>
  <si>
    <t>David Alderliesten</t>
  </si>
  <si>
    <t>ID0745</t>
  </si>
  <si>
    <t>Marcinek</t>
  </si>
  <si>
    <t>David Marcinek</t>
  </si>
  <si>
    <t>ID0645</t>
  </si>
  <si>
    <t>Oldenhuis</t>
  </si>
  <si>
    <t>David Oldenhuis</t>
  </si>
  <si>
    <t>ID0029</t>
  </si>
  <si>
    <t>Dennis</t>
  </si>
  <si>
    <t>Schaart</t>
  </si>
  <si>
    <t>Dennis Schaart</t>
  </si>
  <si>
    <t>ID0428</t>
  </si>
  <si>
    <t>Veen</t>
  </si>
  <si>
    <t>Dennis van Veen</t>
  </si>
  <si>
    <t>ID0493</t>
  </si>
  <si>
    <t>Dion</t>
  </si>
  <si>
    <t>van den</t>
  </si>
  <si>
    <t>Heuvel</t>
  </si>
  <si>
    <t>Dion van den Heuvel</t>
  </si>
  <si>
    <t>ID0812</t>
  </si>
  <si>
    <t>Platschorre</t>
  </si>
  <si>
    <t>Dion Platschorre</t>
  </si>
  <si>
    <t>ID0769</t>
  </si>
  <si>
    <t>Strijen</t>
  </si>
  <si>
    <t>Dion van Strijen</t>
  </si>
  <si>
    <t>ID0891</t>
  </si>
  <si>
    <t>Djennifer</t>
  </si>
  <si>
    <t>Madzia-Madzou</t>
  </si>
  <si>
    <t>Djennifer Madzia-Madzou</t>
  </si>
  <si>
    <t>ID0915</t>
  </si>
  <si>
    <t>Dylan</t>
  </si>
  <si>
    <t>Selden</t>
  </si>
  <si>
    <t>Dylan Selden</t>
  </si>
  <si>
    <t>ID0764</t>
  </si>
  <si>
    <t>Eddie</t>
  </si>
  <si>
    <t>Skinner</t>
  </si>
  <si>
    <t>Eddie Skinner</t>
  </si>
  <si>
    <t>ID0389</t>
  </si>
  <si>
    <t>Eileen</t>
  </si>
  <si>
    <t>Stornebrink</t>
  </si>
  <si>
    <t>Eileen Stornebrink</t>
  </si>
  <si>
    <t>ID0309</t>
  </si>
  <si>
    <t>Elena</t>
  </si>
  <si>
    <t>Hooijschuur</t>
  </si>
  <si>
    <t>Elena Hooijschuur</t>
  </si>
  <si>
    <t>ID0525</t>
  </si>
  <si>
    <t>Elmo</t>
  </si>
  <si>
    <t>Koning</t>
  </si>
  <si>
    <t>Elmo Koning</t>
  </si>
  <si>
    <t>ID0882</t>
  </si>
  <si>
    <t>Elodie</t>
  </si>
  <si>
    <t>van de</t>
  </si>
  <si>
    <t>Kemenade</t>
  </si>
  <si>
    <t>Elodie van de Kemenade</t>
  </si>
  <si>
    <t>ID0822</t>
  </si>
  <si>
    <t>Elyn</t>
  </si>
  <si>
    <t>den</t>
  </si>
  <si>
    <t>Hollander</t>
  </si>
  <si>
    <t>Elyn den Hollander</t>
  </si>
  <si>
    <t>ID0201</t>
  </si>
  <si>
    <t>Emiel</t>
  </si>
  <si>
    <t>Ven</t>
  </si>
  <si>
    <t>Emiel van de Ven</t>
  </si>
  <si>
    <t>ID0892</t>
  </si>
  <si>
    <t>Emile</t>
  </si>
  <si>
    <t>Vreeburg</t>
  </si>
  <si>
    <t>Emile Vreeburg</t>
  </si>
  <si>
    <t>ID0909</t>
  </si>
  <si>
    <t>Emma</t>
  </si>
  <si>
    <t>Bakker</t>
  </si>
  <si>
    <t>Emma Bakker</t>
  </si>
  <si>
    <t>ID0466</t>
  </si>
  <si>
    <t>Wisse</t>
  </si>
  <si>
    <t>Emma Wisse</t>
  </si>
  <si>
    <t>ID0594</t>
  </si>
  <si>
    <t>Ernesto</t>
  </si>
  <si>
    <t>Gonzales</t>
  </si>
  <si>
    <t>Ernesto Gonzales</t>
  </si>
  <si>
    <t>ID0874</t>
  </si>
  <si>
    <t>Eva</t>
  </si>
  <si>
    <t>Pelk</t>
  </si>
  <si>
    <t>Eva Pelk</t>
  </si>
  <si>
    <t>ID0905</t>
  </si>
  <si>
    <t>Evgenios</t>
  </si>
  <si>
    <t>Snitsas</t>
  </si>
  <si>
    <t>Evgenios Snitsas</t>
  </si>
  <si>
    <t>ID0878</t>
  </si>
  <si>
    <t>Falko</t>
  </si>
  <si>
    <t>Baatsen</t>
  </si>
  <si>
    <t>Falko Baatsen</t>
  </si>
  <si>
    <t>ID0248</t>
  </si>
  <si>
    <t>Felix</t>
  </si>
  <si>
    <t>Quaedvlieg</t>
  </si>
  <si>
    <t>Felix Quaedvlieg</t>
  </si>
  <si>
    <t>ID0512</t>
  </si>
  <si>
    <t>Femke</t>
  </si>
  <si>
    <t>Lokhorst</t>
  </si>
  <si>
    <t>Femke Lokhorst</t>
  </si>
  <si>
    <t>ID0633</t>
  </si>
  <si>
    <t>Floor</t>
  </si>
  <si>
    <t>Berg</t>
  </si>
  <si>
    <t>Floor van den Berg</t>
  </si>
  <si>
    <t>ID0826</t>
  </si>
  <si>
    <t>Florian</t>
  </si>
  <si>
    <t>Holtbernd</t>
  </si>
  <si>
    <t>Florian Holtbernd</t>
  </si>
  <si>
    <t>ID0617</t>
  </si>
  <si>
    <t>Floris</t>
  </si>
  <si>
    <t>Bruinsma</t>
  </si>
  <si>
    <t>Floris Bruinsma</t>
  </si>
  <si>
    <t>ID0219</t>
  </si>
  <si>
    <t>Rouwen</t>
  </si>
  <si>
    <t>Floris Rouwen</t>
  </si>
  <si>
    <t>ID0543</t>
  </si>
  <si>
    <t>Florrie</t>
  </si>
  <si>
    <t>le</t>
  </si>
  <si>
    <t>Roy</t>
  </si>
  <si>
    <t>Florrie le Roy</t>
  </si>
  <si>
    <t>ID0758</t>
  </si>
  <si>
    <t>Frank</t>
  </si>
  <si>
    <t>Schilperoort</t>
  </si>
  <si>
    <t>Frank Schilperoort</t>
  </si>
  <si>
    <t>ID0911</t>
  </si>
  <si>
    <t>Gabriela</t>
  </si>
  <si>
    <t>Koster</t>
  </si>
  <si>
    <t>Gabriela Koster</t>
  </si>
  <si>
    <t>ID0260</t>
  </si>
  <si>
    <t>Gerran</t>
  </si>
  <si>
    <t>Lankhorst</t>
  </si>
  <si>
    <t>Gerran Lankhorst</t>
  </si>
  <si>
    <t>ID0856</t>
  </si>
  <si>
    <t>Gijs</t>
  </si>
  <si>
    <t>Eck</t>
  </si>
  <si>
    <t>Gijs van Eck</t>
  </si>
  <si>
    <t>ID0632</t>
  </si>
  <si>
    <t>Gasteren</t>
  </si>
  <si>
    <t>Gijs van Gasteren</t>
  </si>
  <si>
    <t>ID0659</t>
  </si>
  <si>
    <t>Vis</t>
  </si>
  <si>
    <t>Gijs Vis</t>
  </si>
  <si>
    <t>ID0838</t>
  </si>
  <si>
    <t>Guilaume</t>
  </si>
  <si>
    <t>Guilaume van Dijk</t>
  </si>
  <si>
    <t>ID0904</t>
  </si>
  <si>
    <t>Guo</t>
  </si>
  <si>
    <t>Ghen</t>
  </si>
  <si>
    <t>Guo Ghen</t>
  </si>
  <si>
    <t>ID0918</t>
  </si>
  <si>
    <t>gustaf</t>
  </si>
  <si>
    <t>jackson</t>
  </si>
  <si>
    <t>gustaf jackson</t>
  </si>
  <si>
    <t>ID0303</t>
  </si>
  <si>
    <t>Guy</t>
  </si>
  <si>
    <t>Versluys</t>
  </si>
  <si>
    <t>Guy Versluys</t>
  </si>
  <si>
    <t>ID0669</t>
  </si>
  <si>
    <t>Halana</t>
  </si>
  <si>
    <t>Vlaming</t>
  </si>
  <si>
    <t>Halana Vlaming</t>
  </si>
  <si>
    <t>ID0862</t>
  </si>
  <si>
    <t>Hidde</t>
  </si>
  <si>
    <t>Rhee</t>
  </si>
  <si>
    <t>Hidde van de Rhee</t>
  </si>
  <si>
    <t>ID0712</t>
  </si>
  <si>
    <t>Wiechen</t>
  </si>
  <si>
    <t>Hidde van Wiechen</t>
  </si>
  <si>
    <t>ID0846</t>
  </si>
  <si>
    <t>Hugo</t>
  </si>
  <si>
    <t>Loopik</t>
  </si>
  <si>
    <t>Hugo Loopik</t>
  </si>
  <si>
    <t>ID0680</t>
  </si>
  <si>
    <t>Ilse</t>
  </si>
  <si>
    <t>Brink</t>
  </si>
  <si>
    <t>Ilse van den Brink</t>
  </si>
  <si>
    <t>ID0676</t>
  </si>
  <si>
    <t>Ingo</t>
  </si>
  <si>
    <t>Nettersheim</t>
  </si>
  <si>
    <t>Ingo Nettersheim</t>
  </si>
  <si>
    <t>ID0806</t>
  </si>
  <si>
    <t>Iris</t>
  </si>
  <si>
    <t>Jansen</t>
  </si>
  <si>
    <t>Iris Jansen</t>
  </si>
  <si>
    <t>ID0644</t>
  </si>
  <si>
    <t>Isaac</t>
  </si>
  <si>
    <t>Blange</t>
  </si>
  <si>
    <t>Isaac Blange</t>
  </si>
  <si>
    <t>ID0603</t>
  </si>
  <si>
    <t>Isabella</t>
  </si>
  <si>
    <t>Keppy</t>
  </si>
  <si>
    <t>Isabella Keppy</t>
  </si>
  <si>
    <t>ID0897</t>
  </si>
  <si>
    <t>Ivan</t>
  </si>
  <si>
    <t>Kalkman</t>
  </si>
  <si>
    <t>Ivan Kalkman</t>
  </si>
  <si>
    <t>ID0770</t>
  </si>
  <si>
    <t>Jaap</t>
  </si>
  <si>
    <t>Koopmans</t>
  </si>
  <si>
    <t>Jaap Koopmans</t>
  </si>
  <si>
    <t>ID0523</t>
  </si>
  <si>
    <t>Jacomijn</t>
  </si>
  <si>
    <t>Ham</t>
  </si>
  <si>
    <t>Jacomijn van Ham</t>
  </si>
  <si>
    <t>ID0698</t>
  </si>
  <si>
    <t>Jahmil</t>
  </si>
  <si>
    <t>Givner</t>
  </si>
  <si>
    <t>Jahmil Givner</t>
  </si>
  <si>
    <t>ID0031</t>
  </si>
  <si>
    <t>Jan</t>
  </si>
  <si>
    <t>Kort</t>
  </si>
  <si>
    <t>Jan de Kort</t>
  </si>
  <si>
    <t>ID0803</t>
  </si>
  <si>
    <t>Panhuis</t>
  </si>
  <si>
    <t>Jan Panhuis</t>
  </si>
  <si>
    <t>ID0424</t>
  </si>
  <si>
    <t>Jan Gerk</t>
  </si>
  <si>
    <t>Boer</t>
  </si>
  <si>
    <t>Jan Gerk de Boer</t>
  </si>
  <si>
    <t>ID0562</t>
  </si>
  <si>
    <t>Janneke</t>
  </si>
  <si>
    <t>Jolink</t>
  </si>
  <si>
    <t>Janneke Jolink</t>
  </si>
  <si>
    <t>ID0751</t>
  </si>
  <si>
    <t>Jari</t>
  </si>
  <si>
    <t>Bervoets</t>
  </si>
  <si>
    <t>Jari Bervoets</t>
  </si>
  <si>
    <t>ID0482</t>
  </si>
  <si>
    <t>Jarl</t>
  </si>
  <si>
    <t>Everaart</t>
  </si>
  <si>
    <t>Jarl Everaart</t>
  </si>
  <si>
    <t>ID0383</t>
  </si>
  <si>
    <t>Jasper</t>
  </si>
  <si>
    <t>Eenhoorn</t>
  </si>
  <si>
    <t>Jasper Eenhoorn</t>
  </si>
  <si>
    <t>ID0813</t>
  </si>
  <si>
    <t>Kuijt</t>
  </si>
  <si>
    <t>Jasper Kuijt</t>
  </si>
  <si>
    <t>ID0763</t>
  </si>
  <si>
    <t>Rosendaal</t>
  </si>
  <si>
    <t>Jasper van Rosendaal</t>
  </si>
  <si>
    <t>ID0527</t>
  </si>
  <si>
    <t>Sauer</t>
  </si>
  <si>
    <t>Jasper Sauer</t>
  </si>
  <si>
    <t>ID0919</t>
  </si>
  <si>
    <t>javier</t>
  </si>
  <si>
    <t>figuera comojo</t>
  </si>
  <si>
    <t>javier figuera comojo</t>
  </si>
  <si>
    <t>ID0503</t>
  </si>
  <si>
    <t>Jeanique</t>
  </si>
  <si>
    <t>Romeijnders</t>
  </si>
  <si>
    <t>Jeanique Romeijnders</t>
  </si>
  <si>
    <t>ID0750</t>
  </si>
  <si>
    <t>Jelmer</t>
  </si>
  <si>
    <t>Basting</t>
  </si>
  <si>
    <t>Jelmer Basting</t>
  </si>
  <si>
    <t>ID0795</t>
  </si>
  <si>
    <t>Jens</t>
  </si>
  <si>
    <t>Coppoolse</t>
  </si>
  <si>
    <t>Jens Coppoolse</t>
  </si>
  <si>
    <t>ID0894</t>
  </si>
  <si>
    <t>Jeroen</t>
  </si>
  <si>
    <t>Hes</t>
  </si>
  <si>
    <t>Jeroen Hes</t>
  </si>
  <si>
    <t>ID0415</t>
  </si>
  <si>
    <t>Jesse</t>
  </si>
  <si>
    <t>Salet</t>
  </si>
  <si>
    <t>Jesse Salet</t>
  </si>
  <si>
    <t>ID0785</t>
  </si>
  <si>
    <t>Jippe</t>
  </si>
  <si>
    <t>Dunne</t>
  </si>
  <si>
    <t>Jippe van Dunne</t>
  </si>
  <si>
    <t>ID0635</t>
  </si>
  <si>
    <t>Jiska</t>
  </si>
  <si>
    <t>Bonte</t>
  </si>
  <si>
    <t>Jiska Bonte</t>
  </si>
  <si>
    <t>ID0378</t>
  </si>
  <si>
    <t>Job</t>
  </si>
  <si>
    <t>Erp</t>
  </si>
  <si>
    <t>Job van Erp</t>
  </si>
  <si>
    <t>ID0867</t>
  </si>
  <si>
    <t>Job Oldenhuis</t>
  </si>
  <si>
    <t>ID0502</t>
  </si>
  <si>
    <t>Jochem</t>
  </si>
  <si>
    <t>Zaag</t>
  </si>
  <si>
    <t>Jochem van der Zaag</t>
  </si>
  <si>
    <t>ID0804</t>
  </si>
  <si>
    <t>Joell</t>
  </si>
  <si>
    <t>ten</t>
  </si>
  <si>
    <t>Hove</t>
  </si>
  <si>
    <t>Joell ten Hove</t>
  </si>
  <si>
    <t>ID0567</t>
  </si>
  <si>
    <t>Joep</t>
  </si>
  <si>
    <t>Hagen</t>
  </si>
  <si>
    <t>Joep van der Hagen</t>
  </si>
  <si>
    <t>ID0654</t>
  </si>
  <si>
    <t>Knepper</t>
  </si>
  <si>
    <t>Joep Knepper</t>
  </si>
  <si>
    <t>ID0608</t>
  </si>
  <si>
    <t>Johannes</t>
  </si>
  <si>
    <t>Johannes van der Berg</t>
  </si>
  <si>
    <t>ID0816</t>
  </si>
  <si>
    <t>Jonas</t>
  </si>
  <si>
    <t>Roozenburg</t>
  </si>
  <si>
    <t>Jonas Roozenburg</t>
  </si>
  <si>
    <t>ID0835</t>
  </si>
  <si>
    <t>Jonathan</t>
  </si>
  <si>
    <t>swart GEEN 18!!!</t>
  </si>
  <si>
    <t>Jonathan swart GEEN 18!!!</t>
  </si>
  <si>
    <t>ID0820</t>
  </si>
  <si>
    <t>Joost</t>
  </si>
  <si>
    <t>Nijskens</t>
  </si>
  <si>
    <t>Joost Nijskens</t>
  </si>
  <si>
    <t>ID0742</t>
  </si>
  <si>
    <t>Schoonhoven</t>
  </si>
  <si>
    <t>Joost Schoonhoven</t>
  </si>
  <si>
    <t>ID0847</t>
  </si>
  <si>
    <t>Joram</t>
  </si>
  <si>
    <t>Boumans</t>
  </si>
  <si>
    <t>Joram Boumans</t>
  </si>
  <si>
    <t>ID0552</t>
  </si>
  <si>
    <t>Jordi</t>
  </si>
  <si>
    <t>Alkemade</t>
  </si>
  <si>
    <t>Jordi Alkemade</t>
  </si>
  <si>
    <t>ID0760</t>
  </si>
  <si>
    <t>Jordy</t>
  </si>
  <si>
    <t>Eijk</t>
  </si>
  <si>
    <t>Jordy van Eijk</t>
  </si>
  <si>
    <t>ID0441</t>
  </si>
  <si>
    <t>Joris</t>
  </si>
  <si>
    <t>Albeda</t>
  </si>
  <si>
    <t>Joris Albeda</t>
  </si>
  <si>
    <t>ID0772</t>
  </si>
  <si>
    <t>Vellekoop</t>
  </si>
  <si>
    <t>Joris Vellekoop</t>
  </si>
  <si>
    <t>ID0777</t>
  </si>
  <si>
    <t>Jorn</t>
  </si>
  <si>
    <t>Zwetsloot</t>
  </si>
  <si>
    <t>Jorn Zwetsloot</t>
  </si>
  <si>
    <t>ID0695</t>
  </si>
  <si>
    <t>Jos</t>
  </si>
  <si>
    <t>Feenstra</t>
  </si>
  <si>
    <t>Jos Feenstra</t>
  </si>
  <si>
    <t>ID0861</t>
  </si>
  <si>
    <t>Joschua</t>
  </si>
  <si>
    <t>Gosslar</t>
  </si>
  <si>
    <t>Joschua Gosslar</t>
  </si>
  <si>
    <t>ID0736</t>
  </si>
  <si>
    <t>Judith</t>
  </si>
  <si>
    <t>Heugten</t>
  </si>
  <si>
    <t>Judith van Heugten</t>
  </si>
  <si>
    <t>ID0297</t>
  </si>
  <si>
    <t>Julia</t>
  </si>
  <si>
    <t>Stoevelaar</t>
  </si>
  <si>
    <t>Julia Stoevelaar</t>
  </si>
  <si>
    <t>ID0524</t>
  </si>
  <si>
    <t>Julian</t>
  </si>
  <si>
    <t>Kaihatu</t>
  </si>
  <si>
    <t>Julian Kaihatu</t>
  </si>
  <si>
    <t>ID0843</t>
  </si>
  <si>
    <t>Julius</t>
  </si>
  <si>
    <t>Koppen</t>
  </si>
  <si>
    <t>Julius Koppen</t>
  </si>
  <si>
    <t>ID0453</t>
  </si>
  <si>
    <t>Jurgen</t>
  </si>
  <si>
    <t>Kuipers</t>
  </si>
  <si>
    <t>Jurgen Kuipers</t>
  </si>
  <si>
    <t>ID0321</t>
  </si>
  <si>
    <t>Jurriaan</t>
  </si>
  <si>
    <t>Govers</t>
  </si>
  <si>
    <t>Jurriaan Govers</t>
  </si>
  <si>
    <t>ID0916</t>
  </si>
  <si>
    <t>kalea</t>
  </si>
  <si>
    <t>holkema</t>
  </si>
  <si>
    <t>kalea holkema</t>
  </si>
  <si>
    <t>ID0784</t>
  </si>
  <si>
    <t>Karan</t>
  </si>
  <si>
    <t>Karan Kohabir</t>
  </si>
  <si>
    <t>ID0842</t>
  </si>
  <si>
    <t>Karel</t>
  </si>
  <si>
    <t>Hamburg</t>
  </si>
  <si>
    <t>Karel Hamburg</t>
  </si>
  <si>
    <t>ID0771</t>
  </si>
  <si>
    <t>Kari</t>
  </si>
  <si>
    <t>Dooren</t>
  </si>
  <si>
    <t>Kari Dooren</t>
  </si>
  <si>
    <t>ID0809</t>
  </si>
  <si>
    <t>Kate</t>
  </si>
  <si>
    <t>Loe</t>
  </si>
  <si>
    <t>Kate Loe</t>
  </si>
  <si>
    <t>ID0879</t>
  </si>
  <si>
    <t>Kevin</t>
  </si>
  <si>
    <t>Robbesom</t>
  </si>
  <si>
    <t>Kevin Robbesom</t>
  </si>
  <si>
    <t>ID0575</t>
  </si>
  <si>
    <t>Kim</t>
  </si>
  <si>
    <t>Eekelen</t>
  </si>
  <si>
    <t>Kim van Eekelen</t>
  </si>
  <si>
    <t>ID0852</t>
  </si>
  <si>
    <t>Koen</t>
  </si>
  <si>
    <t>Ruijgrok</t>
  </si>
  <si>
    <t>Koen Ruijgrok</t>
  </si>
  <si>
    <t>ID0866</t>
  </si>
  <si>
    <t>Zoeter</t>
  </si>
  <si>
    <t>Koen Zoeter</t>
  </si>
  <si>
    <t>ID0836</t>
  </si>
  <si>
    <t>Kris</t>
  </si>
  <si>
    <t>Ransijn</t>
  </si>
  <si>
    <t>Kris Ransijn</t>
  </si>
  <si>
    <t>ID0097</t>
  </si>
  <si>
    <t>Kristiaan</t>
  </si>
  <si>
    <t>Schuppers</t>
  </si>
  <si>
    <t>Kristiaan Schuppers</t>
  </si>
  <si>
    <t>ID0392</t>
  </si>
  <si>
    <t>Laetitia</t>
  </si>
  <si>
    <t>Laetitia Koning</t>
  </si>
  <si>
    <t>ID0802</t>
  </si>
  <si>
    <t>Laika</t>
  </si>
  <si>
    <t>Buser</t>
  </si>
  <si>
    <t>Laika Buser</t>
  </si>
  <si>
    <t>ID0907</t>
  </si>
  <si>
    <t>Larissa</t>
  </si>
  <si>
    <t>Lobbezoo</t>
  </si>
  <si>
    <t>Larissa Lobbezoo</t>
  </si>
  <si>
    <t>ID0677</t>
  </si>
  <si>
    <t>Lars</t>
  </si>
  <si>
    <t>Hoogland</t>
  </si>
  <si>
    <t>Lars Hoogland</t>
  </si>
  <si>
    <t>ID0886</t>
  </si>
  <si>
    <t>Laura</t>
  </si>
  <si>
    <t>Rivera Diez</t>
  </si>
  <si>
    <t>Laura Rivera Diez</t>
  </si>
  <si>
    <t>ID0596</t>
  </si>
  <si>
    <t>Laurens</t>
  </si>
  <si>
    <t>Buijs</t>
  </si>
  <si>
    <t>Laurens Buijs</t>
  </si>
  <si>
    <t>ID0710</t>
  </si>
  <si>
    <t>Munck</t>
  </si>
  <si>
    <t>Laurens de Munck</t>
  </si>
  <si>
    <t>ID0883</t>
  </si>
  <si>
    <t>Leon</t>
  </si>
  <si>
    <t>Yegenoglu</t>
  </si>
  <si>
    <t>Leon Yegenoglu</t>
  </si>
  <si>
    <t>ID0884</t>
  </si>
  <si>
    <t>Lianne</t>
  </si>
  <si>
    <t>Smits</t>
  </si>
  <si>
    <t>Lianne Smits</t>
  </si>
  <si>
    <t>ID0658</t>
  </si>
  <si>
    <t>Lina</t>
  </si>
  <si>
    <t>Wang</t>
  </si>
  <si>
    <t>Lina Wang</t>
  </si>
  <si>
    <t>ID0349</t>
  </si>
  <si>
    <t>Linda</t>
  </si>
  <si>
    <t>Supheert</t>
  </si>
  <si>
    <t>Linda Supheert</t>
  </si>
  <si>
    <t>ID0674</t>
  </si>
  <si>
    <t>Liset</t>
  </si>
  <si>
    <t>Vliegen</t>
  </si>
  <si>
    <t>Liset Vliegen</t>
  </si>
  <si>
    <t>ID0330</t>
  </si>
  <si>
    <t>Lizzy</t>
  </si>
  <si>
    <t>Berendsen</t>
  </si>
  <si>
    <t>Lizzy Berendsen</t>
  </si>
  <si>
    <t>ID0747</t>
  </si>
  <si>
    <t>Lorena</t>
  </si>
  <si>
    <t>Hendrix</t>
  </si>
  <si>
    <t>Lorena Hendrix</t>
  </si>
  <si>
    <t>ID0868</t>
  </si>
  <si>
    <t>Lotte</t>
  </si>
  <si>
    <t>Jagt</t>
  </si>
  <si>
    <t>Lotte van der Jagt</t>
  </si>
  <si>
    <t>ID0797</t>
  </si>
  <si>
    <t>Louise</t>
  </si>
  <si>
    <t>Houweling</t>
  </si>
  <si>
    <t>Louise Houweling</t>
  </si>
  <si>
    <t>ID0903</t>
  </si>
  <si>
    <t>Petersson</t>
  </si>
  <si>
    <t>Louise Petersson</t>
  </si>
  <si>
    <t>ID0628</t>
  </si>
  <si>
    <t>Luca</t>
  </si>
  <si>
    <t>van der Knaap</t>
  </si>
  <si>
    <t>Luca van der Knaap</t>
  </si>
  <si>
    <t>ID0755</t>
  </si>
  <si>
    <t>Lucas</t>
  </si>
  <si>
    <t>Lucas Giesen</t>
  </si>
  <si>
    <t>ID0304</t>
  </si>
  <si>
    <t>Mathijssen</t>
  </si>
  <si>
    <t>Lucas Mathijssen</t>
  </si>
  <si>
    <t>ID0589</t>
  </si>
  <si>
    <t>Norder</t>
  </si>
  <si>
    <t>Lucas Norder</t>
  </si>
  <si>
    <t>ID0520</t>
  </si>
  <si>
    <t>Lukas</t>
  </si>
  <si>
    <t>Veldman</t>
  </si>
  <si>
    <t>Lukas Veldman</t>
  </si>
  <si>
    <t>ID0833</t>
  </si>
  <si>
    <t>Luuk</t>
  </si>
  <si>
    <t>Eeftink</t>
  </si>
  <si>
    <t>Luuk Eeftink</t>
  </si>
  <si>
    <t>ID0765</t>
  </si>
  <si>
    <t>Withagen</t>
  </si>
  <si>
    <t>Luuk Withagen</t>
  </si>
  <si>
    <t>ID0762</t>
  </si>
  <si>
    <t>Maarten</t>
  </si>
  <si>
    <t>Mens</t>
  </si>
  <si>
    <t>Maarten Mens</t>
  </si>
  <si>
    <t>ID0469</t>
  </si>
  <si>
    <t>Machteld</t>
  </si>
  <si>
    <t>Zinsmeister</t>
  </si>
  <si>
    <t>Machteld Zinsmeister</t>
  </si>
  <si>
    <t>ID0583</t>
  </si>
  <si>
    <t>Mala</t>
  </si>
  <si>
    <t>Dengkeng</t>
  </si>
  <si>
    <t>Mala Dengkeng</t>
  </si>
  <si>
    <t>ID0690</t>
  </si>
  <si>
    <t>Manuel</t>
  </si>
  <si>
    <t>Manuel van der Veen</t>
  </si>
  <si>
    <t>ID0740</t>
  </si>
  <si>
    <t>Marc</t>
  </si>
  <si>
    <t>Corstanje</t>
  </si>
  <si>
    <t>Marc Corstanje</t>
  </si>
  <si>
    <t>ID0508</t>
  </si>
  <si>
    <t>Marco</t>
  </si>
  <si>
    <t>Admiraal</t>
  </si>
  <si>
    <t>Marco Admiraal</t>
  </si>
  <si>
    <t>ID0819</t>
  </si>
  <si>
    <t>Maren</t>
  </si>
  <si>
    <t>Hengelmolen</t>
  </si>
  <si>
    <t>Maren Hengelmolen</t>
  </si>
  <si>
    <t>ID0788</t>
  </si>
  <si>
    <t>Margo</t>
  </si>
  <si>
    <t>Welsch</t>
  </si>
  <si>
    <t>Margo Welsch</t>
  </si>
  <si>
    <t>ID0580</t>
  </si>
  <si>
    <t>Marijn</t>
  </si>
  <si>
    <t>Reiche</t>
  </si>
  <si>
    <t>Marijn Reiche</t>
  </si>
  <si>
    <t>ID0449</t>
  </si>
  <si>
    <t>Marinus</t>
  </si>
  <si>
    <t>Jongeneel</t>
  </si>
  <si>
    <t>Marinus Jongeneel</t>
  </si>
  <si>
    <t>ID0902</t>
  </si>
  <si>
    <t>Mario</t>
  </si>
  <si>
    <t>Roman Cabezas</t>
  </si>
  <si>
    <t>Mario Roman Cabezas</t>
  </si>
  <si>
    <t>ID0888</t>
  </si>
  <si>
    <t>Mark</t>
  </si>
  <si>
    <t>Kuntz</t>
  </si>
  <si>
    <t>Mark Kuntz</t>
  </si>
  <si>
    <t>ID0872</t>
  </si>
  <si>
    <t>Marloes</t>
  </si>
  <si>
    <t>Slokker</t>
  </si>
  <si>
    <t>Marloes Slokker</t>
  </si>
  <si>
    <t>ID0612</t>
  </si>
  <si>
    <t>Martijn</t>
  </si>
  <si>
    <t>Bodegraven</t>
  </si>
  <si>
    <t>Martijn Bodegraven</t>
  </si>
  <si>
    <t>ID0691</t>
  </si>
  <si>
    <t>Vos</t>
  </si>
  <si>
    <t>Martijn Vos</t>
  </si>
  <si>
    <t>ID0652</t>
  </si>
  <si>
    <t>Weverling</t>
  </si>
  <si>
    <t>Martijn Weverling</t>
  </si>
  <si>
    <t>ID0893</t>
  </si>
  <si>
    <t>Martin</t>
  </si>
  <si>
    <t>Meijer</t>
  </si>
  <si>
    <t>Martin Meijer</t>
  </si>
  <si>
    <t>ID0741</t>
  </si>
  <si>
    <t>Mathilde</t>
  </si>
  <si>
    <t>Siderius</t>
  </si>
  <si>
    <t>Mathilde Siderius</t>
  </si>
  <si>
    <t>ID0491</t>
  </si>
  <si>
    <t>Mats</t>
  </si>
  <si>
    <t>Dirkzwager</t>
  </si>
  <si>
    <t>Mats Dirkzwager</t>
  </si>
  <si>
    <t>ID0666</t>
  </si>
  <si>
    <t>Tongeren</t>
  </si>
  <si>
    <t>Mats van Tongeren</t>
  </si>
  <si>
    <t>ID0396</t>
  </si>
  <si>
    <t>Matthijs</t>
  </si>
  <si>
    <t>Neerven</t>
  </si>
  <si>
    <t>Matthijs van Neerven</t>
  </si>
  <si>
    <t>ID0805</t>
  </si>
  <si>
    <t>Matze</t>
  </si>
  <si>
    <t>Huising</t>
  </si>
  <si>
    <t>Matze Huising</t>
  </si>
  <si>
    <t>ID0299</t>
  </si>
  <si>
    <t>Maura</t>
  </si>
  <si>
    <t>Henkes</t>
  </si>
  <si>
    <t>Maura Henkes</t>
  </si>
  <si>
    <t>ID0002</t>
  </si>
  <si>
    <t>Maurits</t>
  </si>
  <si>
    <t>Kok</t>
  </si>
  <si>
    <t>Maurits Kok</t>
  </si>
  <si>
    <t>ID0913</t>
  </si>
  <si>
    <t>Meltem</t>
  </si>
  <si>
    <t>Coroz</t>
  </si>
  <si>
    <t>Meltem Coroz</t>
  </si>
  <si>
    <t>ID0914</t>
  </si>
  <si>
    <t>Mert</t>
  </si>
  <si>
    <t>Bereket</t>
  </si>
  <si>
    <t>Mert Bereket</t>
  </si>
  <si>
    <t>ID0615</t>
  </si>
  <si>
    <t>Mike</t>
  </si>
  <si>
    <t>Roelofsen</t>
  </si>
  <si>
    <t>Mike Roelofsen</t>
  </si>
  <si>
    <t>ID0477</t>
  </si>
  <si>
    <t>Milan</t>
  </si>
  <si>
    <t>Niestijl</t>
  </si>
  <si>
    <t>Milan Niestijl</t>
  </si>
  <si>
    <t>ID0901</t>
  </si>
  <si>
    <t>Mingyu</t>
  </si>
  <si>
    <t>Liu</t>
  </si>
  <si>
    <t>Mingyu Liu</t>
  </si>
  <si>
    <t>ID0602</t>
  </si>
  <si>
    <t>Minne</t>
  </si>
  <si>
    <t>Dekker</t>
  </si>
  <si>
    <t>Minne Dekker</t>
  </si>
  <si>
    <t>ID0707</t>
  </si>
  <si>
    <t>Mirthe</t>
  </si>
  <si>
    <t>Strijker</t>
  </si>
  <si>
    <t>Mirthe Strijker</t>
  </si>
  <si>
    <t>ID0663</t>
  </si>
  <si>
    <t>Mischa</t>
  </si>
  <si>
    <t>Haan</t>
  </si>
  <si>
    <t>Mischa de Haan</t>
  </si>
  <si>
    <t>ID0840</t>
  </si>
  <si>
    <t>Mo</t>
  </si>
  <si>
    <t>Javenfekr</t>
  </si>
  <si>
    <t>Mo Javenfekr</t>
  </si>
  <si>
    <t>ID0288</t>
  </si>
  <si>
    <t>Moos</t>
  </si>
  <si>
    <t>Moos Meijer</t>
  </si>
  <si>
    <t>ID0757</t>
  </si>
  <si>
    <t>Nadja</t>
  </si>
  <si>
    <t>Znamenskaya</t>
  </si>
  <si>
    <t>Nadja Znamenskaya</t>
  </si>
  <si>
    <t>ID0900</t>
  </si>
  <si>
    <t>Nancy</t>
  </si>
  <si>
    <t>Keyner</t>
  </si>
  <si>
    <t>Nancy Keyner</t>
  </si>
  <si>
    <t>ID0426</t>
  </si>
  <si>
    <t>Naomi</t>
  </si>
  <si>
    <t>Binnekamp</t>
  </si>
  <si>
    <t>Naomi Binnekamp</t>
  </si>
  <si>
    <t>ID0254</t>
  </si>
  <si>
    <t>Nicas</t>
  </si>
  <si>
    <t>Nicas van den Brink</t>
  </si>
  <si>
    <t>ID0571</t>
  </si>
  <si>
    <t>Nicky</t>
  </si>
  <si>
    <t>van Hinsberg</t>
  </si>
  <si>
    <t>Nicky van Hinsberg</t>
  </si>
  <si>
    <t>ID0869</t>
  </si>
  <si>
    <t>Nicolas</t>
  </si>
  <si>
    <t>Rückert</t>
  </si>
  <si>
    <t>Nicolas Rückert</t>
  </si>
  <si>
    <t>ID0890</t>
  </si>
  <si>
    <t>Niels</t>
  </si>
  <si>
    <t>Dur</t>
  </si>
  <si>
    <t>Niels Dur</t>
  </si>
  <si>
    <t>ID0877</t>
  </si>
  <si>
    <t>Nina</t>
  </si>
  <si>
    <t>te</t>
  </si>
  <si>
    <t>Groen</t>
  </si>
  <si>
    <t>Nina te Groen</t>
  </si>
  <si>
    <t>ID0873</t>
  </si>
  <si>
    <t>Touw</t>
  </si>
  <si>
    <t>Nina Touw</t>
  </si>
  <si>
    <t>ID0875</t>
  </si>
  <si>
    <t>Niroda</t>
  </si>
  <si>
    <t>Smit</t>
  </si>
  <si>
    <t>Niroda Smit</t>
  </si>
  <si>
    <t>ID0570</t>
  </si>
  <si>
    <t>Oskar</t>
  </si>
  <si>
    <t>Zakrzewski</t>
  </si>
  <si>
    <t>Oskar Zakrzewski</t>
  </si>
  <si>
    <t>ID0807</t>
  </si>
  <si>
    <t>Patrick</t>
  </si>
  <si>
    <t>Schilder</t>
  </si>
  <si>
    <t>Patrick Schilder</t>
  </si>
  <si>
    <t>ID0078</t>
  </si>
  <si>
    <t>Paul</t>
  </si>
  <si>
    <t>Paul den Bakker</t>
  </si>
  <si>
    <t>ID0830</t>
  </si>
  <si>
    <t>Paula</t>
  </si>
  <si>
    <t>Goldebeld</t>
  </si>
  <si>
    <t>Paula Goldebeld</t>
  </si>
  <si>
    <t>ID0555</t>
  </si>
  <si>
    <t>Pauline</t>
  </si>
  <si>
    <t>Heijden</t>
  </si>
  <si>
    <t>Pauline van der Heijden</t>
  </si>
  <si>
    <t>ID0844</t>
  </si>
  <si>
    <t>Peter</t>
  </si>
  <si>
    <t>Habraken</t>
  </si>
  <si>
    <t>Peter Habraken</t>
  </si>
  <si>
    <t>ID0462</t>
  </si>
  <si>
    <t>Mulders</t>
  </si>
  <si>
    <t>Peter Mulders</t>
  </si>
  <si>
    <t>ID0831</t>
  </si>
  <si>
    <t>Oost</t>
  </si>
  <si>
    <t>Peter van Oost</t>
  </si>
  <si>
    <t>ID0864</t>
  </si>
  <si>
    <t>Philippe</t>
  </si>
  <si>
    <t>Rouffoem</t>
  </si>
  <si>
    <t>Philippe Rouffoem</t>
  </si>
  <si>
    <t>ID0024</t>
  </si>
  <si>
    <t>Pieter-Jan</t>
  </si>
  <si>
    <t>Coumou</t>
  </si>
  <si>
    <t>Pieter-Jan Coumou</t>
  </si>
  <si>
    <t>ID0651</t>
  </si>
  <si>
    <t>Pim</t>
  </si>
  <si>
    <t>America</t>
  </si>
  <si>
    <t>Pim America</t>
  </si>
  <si>
    <t>ID0692</t>
  </si>
  <si>
    <t>Puck</t>
  </si>
  <si>
    <t>Bieseman</t>
  </si>
  <si>
    <t>Puck Bieseman</t>
  </si>
  <si>
    <t>ID0529</t>
  </si>
  <si>
    <t>Rachel</t>
  </si>
  <si>
    <t>Los</t>
  </si>
  <si>
    <t>Rachel Los</t>
  </si>
  <si>
    <t>ID0895</t>
  </si>
  <si>
    <t>Randy</t>
  </si>
  <si>
    <t>Kocha</t>
  </si>
  <si>
    <t>Randy Kocha</t>
  </si>
  <si>
    <t>ID0484</t>
  </si>
  <si>
    <t>Raymond</t>
  </si>
  <si>
    <t>Raymond van Dijk</t>
  </si>
  <si>
    <t>ID0917</t>
  </si>
  <si>
    <t>raymond</t>
  </si>
  <si>
    <t>lagraauw</t>
  </si>
  <si>
    <t>raymond lagraauw</t>
  </si>
  <si>
    <t>ID0699</t>
  </si>
  <si>
    <t>Rees</t>
  </si>
  <si>
    <t>Sommen</t>
  </si>
  <si>
    <t>Rees van der Sommen</t>
  </si>
  <si>
    <t>ID0577</t>
  </si>
  <si>
    <t>Reindert</t>
  </si>
  <si>
    <t>Reuver</t>
  </si>
  <si>
    <t>Reindert de Reuver</t>
  </si>
  <si>
    <t>ID0402</t>
  </si>
  <si>
    <t>Renee</t>
  </si>
  <si>
    <t>Renee Dooren</t>
  </si>
  <si>
    <t>ID0908</t>
  </si>
  <si>
    <t>Rens</t>
  </si>
  <si>
    <t>Kierkels</t>
  </si>
  <si>
    <t>Rens Kierkels</t>
  </si>
  <si>
    <t>ID0648</t>
  </si>
  <si>
    <t>Resy</t>
  </si>
  <si>
    <t>Aarts</t>
  </si>
  <si>
    <t>Resy Aarts</t>
  </si>
  <si>
    <t>ID0487</t>
  </si>
  <si>
    <t>Richard</t>
  </si>
  <si>
    <t>Coesoij</t>
  </si>
  <si>
    <t>Richard Coesoij</t>
  </si>
  <si>
    <t>ID0714</t>
  </si>
  <si>
    <t>Rieneke</t>
  </si>
  <si>
    <t>Noort</t>
  </si>
  <si>
    <t>Rieneke van Noort</t>
  </si>
  <si>
    <t>ID0823</t>
  </si>
  <si>
    <t>Robbie</t>
  </si>
  <si>
    <t>Groot</t>
  </si>
  <si>
    <t>Robbie de Groot</t>
  </si>
  <si>
    <t>ID0910</t>
  </si>
  <si>
    <t>Roos</t>
  </si>
  <si>
    <t>Velde GEEN 18!!!</t>
  </si>
  <si>
    <t>Roos te Velde GEEN 18!!!</t>
  </si>
  <si>
    <t>ID0749</t>
  </si>
  <si>
    <t>Vorster GEEN 18!</t>
  </si>
  <si>
    <t>Roy Vorster GEEN 18!</t>
  </si>
  <si>
    <t>ID0518</t>
  </si>
  <si>
    <t>Ruben</t>
  </si>
  <si>
    <t>Borsje</t>
  </si>
  <si>
    <t>Ruben Borsje</t>
  </si>
  <si>
    <t>ID0501</t>
  </si>
  <si>
    <t>Rudy</t>
  </si>
  <si>
    <t>Lange</t>
  </si>
  <si>
    <t>Rudy de Lange</t>
  </si>
  <si>
    <t>ID0832</t>
  </si>
  <si>
    <t>Rutger</t>
  </si>
  <si>
    <t>Mayer</t>
  </si>
  <si>
    <t>Rutger Mayer</t>
  </si>
  <si>
    <t>ID0409</t>
  </si>
  <si>
    <t>Schönfeld</t>
  </si>
  <si>
    <t>Rutger Schönfeld</t>
  </si>
  <si>
    <t>ID0165</t>
  </si>
  <si>
    <t>Samuel</t>
  </si>
  <si>
    <t>Verburg</t>
  </si>
  <si>
    <t>Samuel Verburg</t>
  </si>
  <si>
    <t>ID0434</t>
  </si>
  <si>
    <t>Sara</t>
  </si>
  <si>
    <t>Francke</t>
  </si>
  <si>
    <t>Sara Francke</t>
  </si>
  <si>
    <t>ID0865</t>
  </si>
  <si>
    <t>Okhuijsen</t>
  </si>
  <si>
    <t>Sara Okhuijsen</t>
  </si>
  <si>
    <t>ID0828</t>
  </si>
  <si>
    <t>Sarah</t>
  </si>
  <si>
    <t>Hartog GEEN 18!!!</t>
  </si>
  <si>
    <t>Sarah den Hartog GEEN 18!!!</t>
  </si>
  <si>
    <t>ID0801</t>
  </si>
  <si>
    <t>Saskia</t>
  </si>
  <si>
    <t>Monen</t>
  </si>
  <si>
    <t>Saskia Monen</t>
  </si>
  <si>
    <t>ID0799</t>
  </si>
  <si>
    <t>Savanne</t>
  </si>
  <si>
    <t>Harrewijen</t>
  </si>
  <si>
    <t>Savanne van Harrewijen</t>
  </si>
  <si>
    <t>ID0870</t>
  </si>
  <si>
    <t>Klop</t>
  </si>
  <si>
    <t>Savanne Klop</t>
  </si>
  <si>
    <t>ID0255</t>
  </si>
  <si>
    <t>Sebas</t>
  </si>
  <si>
    <t>Joosten</t>
  </si>
  <si>
    <t>Sebas Joosten</t>
  </si>
  <si>
    <t>ID0881</t>
  </si>
  <si>
    <t>Ranitz</t>
  </si>
  <si>
    <t>Sebas de Ranitz</t>
  </si>
  <si>
    <t>ID0839</t>
  </si>
  <si>
    <t>Sem</t>
  </si>
  <si>
    <t>Nouws</t>
  </si>
  <si>
    <t>Sem Nouws</t>
  </si>
  <si>
    <t>ID0880</t>
  </si>
  <si>
    <t>Sherine</t>
  </si>
  <si>
    <t>Brahma</t>
  </si>
  <si>
    <t>Sherine Brahma</t>
  </si>
  <si>
    <t>ID0860</t>
  </si>
  <si>
    <t>Simon</t>
  </si>
  <si>
    <t>Staalduine</t>
  </si>
  <si>
    <t>Simon van Staalduine</t>
  </si>
  <si>
    <t>ID0507</t>
  </si>
  <si>
    <t>Sjoerd</t>
  </si>
  <si>
    <t>Bos</t>
  </si>
  <si>
    <t>Sjoerd van den Bos</t>
  </si>
  <si>
    <t>ID0391</t>
  </si>
  <si>
    <t>Velde</t>
  </si>
  <si>
    <t>Sjoerd van de Velde</t>
  </si>
  <si>
    <t>ID0898</t>
  </si>
  <si>
    <t>Sonia</t>
  </si>
  <si>
    <t>Perdeck</t>
  </si>
  <si>
    <t>Sonia Perdeck</t>
  </si>
  <si>
    <t>ID0774</t>
  </si>
  <si>
    <t>Sonny Floyd</t>
  </si>
  <si>
    <t>Jong</t>
  </si>
  <si>
    <t>Sonny Floyd de Jong</t>
  </si>
  <si>
    <t>ID0876</t>
  </si>
  <si>
    <t>Stefan</t>
  </si>
  <si>
    <t>Hoogervorst</t>
  </si>
  <si>
    <t>Stefan Hoogervorst</t>
  </si>
  <si>
    <t>ID0829</t>
  </si>
  <si>
    <t>Loonen</t>
  </si>
  <si>
    <t>Stefan Loonen</t>
  </si>
  <si>
    <t>ID0824</t>
  </si>
  <si>
    <t>Stephan</t>
  </si>
  <si>
    <t>Neevel</t>
  </si>
  <si>
    <t>Stephan Neevel</t>
  </si>
  <si>
    <t>ID0743</t>
  </si>
  <si>
    <t>Stijn</t>
  </si>
  <si>
    <t>Lakerveld</t>
  </si>
  <si>
    <t>Stijn Lakerveld</t>
  </si>
  <si>
    <t>ID0385</t>
  </si>
  <si>
    <t>Linderman</t>
  </si>
  <si>
    <t>Stijn Linderman</t>
  </si>
  <si>
    <t>ID0497</t>
  </si>
  <si>
    <t>Smagt</t>
  </si>
  <si>
    <t>Stijn van der Smagt</t>
  </si>
  <si>
    <t>ID0370</t>
  </si>
  <si>
    <t>van den Elshout</t>
  </si>
  <si>
    <t>Stijn van den Elshout</t>
  </si>
  <si>
    <t>ID0848</t>
  </si>
  <si>
    <t>Suze</t>
  </si>
  <si>
    <t>Santen</t>
  </si>
  <si>
    <t>Suze van Santen</t>
  </si>
  <si>
    <t>ID0678</t>
  </si>
  <si>
    <t>Swier</t>
  </si>
  <si>
    <t>Garst</t>
  </si>
  <si>
    <t>Swier Garst</t>
  </si>
  <si>
    <t>ID0599</t>
  </si>
  <si>
    <t>Tessa</t>
  </si>
  <si>
    <t>Lievestro</t>
  </si>
  <si>
    <t>Tessa Lievestro</t>
  </si>
  <si>
    <t>ID2011</t>
  </si>
  <si>
    <t>test</t>
  </si>
  <si>
    <t>test test</t>
  </si>
  <si>
    <t>ID0859</t>
  </si>
  <si>
    <t>Teun</t>
  </si>
  <si>
    <t>Woudenberg</t>
  </si>
  <si>
    <t>Teun van Woudenberg</t>
  </si>
  <si>
    <t>ID0697</t>
  </si>
  <si>
    <t>Thijs</t>
  </si>
  <si>
    <t>Thijs van Veen</t>
  </si>
  <si>
    <t>ID0701</t>
  </si>
  <si>
    <t>Thomas</t>
  </si>
  <si>
    <t>Booij</t>
  </si>
  <si>
    <t>Thomas Booij</t>
  </si>
  <si>
    <t>ID0411</t>
  </si>
  <si>
    <t>Haex</t>
  </si>
  <si>
    <t>Thomas Haex</t>
  </si>
  <si>
    <t>ID0239</t>
  </si>
  <si>
    <t>Sips</t>
  </si>
  <si>
    <t>Thomas Sips</t>
  </si>
  <si>
    <t>ID0853</t>
  </si>
  <si>
    <t>Ypma</t>
  </si>
  <si>
    <t>Thomas Ypma</t>
  </si>
  <si>
    <t>ID0556</t>
  </si>
  <si>
    <t>Thymen</t>
  </si>
  <si>
    <t>Duijn</t>
  </si>
  <si>
    <t>Thymen van Duijn</t>
  </si>
  <si>
    <t>ID0646</t>
  </si>
  <si>
    <t>Thymo</t>
  </si>
  <si>
    <t>Vlot</t>
  </si>
  <si>
    <t>Thymo Vlot</t>
  </si>
  <si>
    <t>ID0337</t>
  </si>
  <si>
    <t>Ties</t>
  </si>
  <si>
    <t>Nieuwenhuizen</t>
  </si>
  <si>
    <t>Ties Nieuwenhuizen</t>
  </si>
  <si>
    <t>ID0834</t>
  </si>
  <si>
    <t>Tim</t>
  </si>
  <si>
    <t>Tim de Boer</t>
  </si>
  <si>
    <t>ID0521</t>
  </si>
  <si>
    <t>Boot</t>
  </si>
  <si>
    <t>Tim Boot</t>
  </si>
  <si>
    <t>ID0825</t>
  </si>
  <si>
    <t>Tim Hermans</t>
  </si>
  <si>
    <t>ID0496</t>
  </si>
  <si>
    <t>Hosman</t>
  </si>
  <si>
    <t>Tim Hosman</t>
  </si>
  <si>
    <t>ID0796</t>
  </si>
  <si>
    <t>Puglia</t>
  </si>
  <si>
    <t>Tim Puglia</t>
  </si>
  <si>
    <t>ID0437</t>
  </si>
  <si>
    <t>Tobias</t>
  </si>
  <si>
    <t>Roest</t>
  </si>
  <si>
    <t>Tobias Roest</t>
  </si>
  <si>
    <t>ID0744</t>
  </si>
  <si>
    <t>Tom</t>
  </si>
  <si>
    <t>Scheeper</t>
  </si>
  <si>
    <t>Tom Scheeper</t>
  </si>
  <si>
    <t>ID0653</t>
  </si>
  <si>
    <t>Wemelsfelder</t>
  </si>
  <si>
    <t>Tom Wemelsfelder</t>
  </si>
  <si>
    <t>ID0887</t>
  </si>
  <si>
    <t>Wijngaard</t>
  </si>
  <si>
    <t>Tom van den Wijngaard</t>
  </si>
  <si>
    <t>ID0679</t>
  </si>
  <si>
    <t>Van-Nhi</t>
  </si>
  <si>
    <t>Nguyen</t>
  </si>
  <si>
    <t>Van-Nhi Nguyen</t>
  </si>
  <si>
    <t>ID0569</t>
  </si>
  <si>
    <t>Victor</t>
  </si>
  <si>
    <t>Ionescu</t>
  </si>
  <si>
    <t>Victor Ionescu</t>
  </si>
  <si>
    <t>ID0675</t>
  </si>
  <si>
    <t>Werff</t>
  </si>
  <si>
    <t>Victor van der Werff</t>
  </si>
  <si>
    <t>ID0323</t>
  </si>
  <si>
    <t>Vincent</t>
  </si>
  <si>
    <t>HOfte</t>
  </si>
  <si>
    <t>Vincent HOfte</t>
  </si>
  <si>
    <t>ID0759</t>
  </si>
  <si>
    <t>Ward</t>
  </si>
  <si>
    <t>Velden</t>
  </si>
  <si>
    <t>Ward van der Velden</t>
  </si>
  <si>
    <t>ID0595</t>
  </si>
  <si>
    <t>Wessel</t>
  </si>
  <si>
    <t>Teunisse</t>
  </si>
  <si>
    <t>Wessel Teunisse</t>
  </si>
  <si>
    <t>ID0585</t>
  </si>
  <si>
    <t>Wietske</t>
  </si>
  <si>
    <t>Maas</t>
  </si>
  <si>
    <t>Wietske Maas</t>
  </si>
  <si>
    <t>ID0786</t>
  </si>
  <si>
    <t>Willem</t>
  </si>
  <si>
    <t>Wolleswinkel</t>
  </si>
  <si>
    <t>Willem Wolleswinkel</t>
  </si>
  <si>
    <t>ID0673</t>
  </si>
  <si>
    <t>William</t>
  </si>
  <si>
    <t>Hunter</t>
  </si>
  <si>
    <t>William Hunter</t>
  </si>
  <si>
    <t>ID0850</t>
  </si>
  <si>
    <t>Wouter</t>
  </si>
  <si>
    <t>Sipma</t>
  </si>
  <si>
    <t>Wouter Sipma</t>
  </si>
  <si>
    <t>ID0814</t>
  </si>
  <si>
    <t>Zijlstra</t>
  </si>
  <si>
    <t>Wouter Zijlstra</t>
  </si>
  <si>
    <t>ID0752</t>
  </si>
  <si>
    <t>Xander</t>
  </si>
  <si>
    <t>Xander Smits</t>
  </si>
  <si>
    <t>ID0374</t>
  </si>
  <si>
    <t>Yann</t>
  </si>
  <si>
    <t>Rosema</t>
  </si>
  <si>
    <t>Yann Rosema</t>
  </si>
  <si>
    <t>ID0738</t>
  </si>
  <si>
    <t>Yorick</t>
  </si>
  <si>
    <t>Yorick de Jong</t>
  </si>
  <si>
    <t>ID0661</t>
  </si>
  <si>
    <t>Youri</t>
  </si>
  <si>
    <t>Penders</t>
  </si>
  <si>
    <t>Youri Penders</t>
  </si>
  <si>
    <t>ID0783</t>
  </si>
  <si>
    <t>Ysk</t>
  </si>
  <si>
    <t>Horssen</t>
  </si>
  <si>
    <t>Ysk van Horssen</t>
  </si>
  <si>
    <t>ID0855</t>
  </si>
  <si>
    <t>Zach</t>
  </si>
  <si>
    <t>Burr</t>
  </si>
  <si>
    <t>Zach Burr</t>
  </si>
  <si>
    <t>ID0854</t>
  </si>
  <si>
    <t>Cobut</t>
  </si>
  <si>
    <t>Zach Cobut</t>
  </si>
  <si>
    <t>ID2400</t>
  </si>
  <si>
    <t>zzzzzz</t>
  </si>
  <si>
    <t>zzzzzz zzzzzz</t>
  </si>
  <si>
    <t>Bezoekers</t>
  </si>
  <si>
    <t>Nacho's</t>
  </si>
  <si>
    <t>ID1200</t>
  </si>
  <si>
    <t>Jamleider</t>
  </si>
  <si>
    <t>(MAX 6.60)</t>
  </si>
  <si>
    <t>Jamleider (MAX 6.60)</t>
  </si>
  <si>
    <t>Herfstbok</t>
  </si>
  <si>
    <t>IPA</t>
  </si>
  <si>
    <t>comciehoog</t>
  </si>
  <si>
    <t>ID6667</t>
  </si>
  <si>
    <t>earproof</t>
  </si>
  <si>
    <t>!</t>
  </si>
  <si>
    <t>earproof !</t>
  </si>
  <si>
    <t>ID6668</t>
  </si>
  <si>
    <t>jamleider</t>
  </si>
  <si>
    <t>MAX €6.60</t>
  </si>
  <si>
    <t>jamleider MAX €6.60</t>
  </si>
  <si>
    <t>Roos te Velde</t>
  </si>
  <si>
    <t>ID6666</t>
  </si>
  <si>
    <t>Thomas de Boer</t>
  </si>
  <si>
    <t>Kolom1</t>
  </si>
  <si>
    <t>Kolom2</t>
  </si>
  <si>
    <t>ID6670</t>
  </si>
  <si>
    <t>Ronald</t>
  </si>
  <si>
    <t>Olsthoorn</t>
  </si>
  <si>
    <t>Ronald Olsthoorn</t>
  </si>
  <si>
    <t>Pul bier (0.5L)</t>
  </si>
  <si>
    <t>Grolsch Weizen</t>
  </si>
  <si>
    <t>Whisky</t>
  </si>
  <si>
    <t>Bigband</t>
  </si>
  <si>
    <t>Webcie</t>
  </si>
  <si>
    <t>ID0003</t>
  </si>
  <si>
    <t>ID0004</t>
  </si>
  <si>
    <t>Woodchopper</t>
  </si>
  <si>
    <t>Daan Woodchopper</t>
  </si>
  <si>
    <t>Tung</t>
  </si>
  <si>
    <t>Phan</t>
  </si>
  <si>
    <t>Tung Phan</t>
  </si>
  <si>
    <t>Kerstsnack</t>
  </si>
  <si>
    <t>groep1?</t>
  </si>
  <si>
    <t>nog een groep?</t>
  </si>
  <si>
    <t>ID8888</t>
  </si>
  <si>
    <t>Brasszzinga</t>
  </si>
  <si>
    <t>Brasszzinga !</t>
  </si>
  <si>
    <t>ID8900</t>
  </si>
  <si>
    <t>Dr. Meraki</t>
  </si>
  <si>
    <t>MAX €100</t>
  </si>
  <si>
    <t>Dr. Meraki MAX €100</t>
  </si>
  <si>
    <t>ID8889</t>
  </si>
  <si>
    <t>Guido</t>
  </si>
  <si>
    <t>Guido MAX €100</t>
  </si>
  <si>
    <t>ID9121</t>
  </si>
  <si>
    <t>NSO</t>
  </si>
  <si>
    <t>(Extern)</t>
  </si>
  <si>
    <t>NSO (Extern)</t>
  </si>
  <si>
    <t>Vorster 18 OMG</t>
  </si>
  <si>
    <t>Roy Vorster 18 OMG</t>
  </si>
  <si>
    <t>"Torpedo"</t>
  </si>
  <si>
    <t>Ties "Torpedo" Nieuwenhuizen</t>
  </si>
  <si>
    <t>6 tm 10</t>
  </si>
  <si>
    <t>eerste 5</t>
  </si>
  <si>
    <t>overlap</t>
  </si>
  <si>
    <t>pandcoo</t>
  </si>
  <si>
    <t>Kolom3</t>
  </si>
  <si>
    <t>Kolom4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</si>
</sst>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€\ #,##0.00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0" tint="-0.34998626667073579"/>
        <bgColor theme="0" tint="-0.34998626667073579"/>
      </patternFill>
    </fill>
    <fill>
      <patternFill patternType="solid">
        <fgColor theme="0" tint="-0.14999847407452621"/>
        <bgColor theme="0" tint="-0.14999847407452621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center" wrapText="1"/>
    </xf>
    <xf numFmtId="164" fontId="0" fillId="0" borderId="0" xfId="0" applyNumberFormat="1"/>
    <xf numFmtId="164" fontId="0" fillId="0" borderId="1" xfId="0" applyNumberFormat="1" applyBorder="1"/>
    <xf numFmtId="0" fontId="1" fillId="2" borderId="0" xfId="0" applyFont="1" applyFill="1" applyBorder="1"/>
    <xf numFmtId="0" fontId="1" fillId="2" borderId="2" xfId="0" applyFont="1" applyFill="1" applyBorder="1"/>
    <xf numFmtId="0" fontId="0" fillId="3" borderId="3" xfId="0" applyFont="1" applyFill="1" applyBorder="1"/>
    <xf numFmtId="0" fontId="0" fillId="3" borderId="4" xfId="0" applyFont="1" applyFill="1" applyBorder="1"/>
    <xf numFmtId="164" fontId="0" fillId="3" borderId="4" xfId="0" applyNumberFormat="1" applyFont="1" applyFill="1" applyBorder="1"/>
    <xf numFmtId="0" fontId="0" fillId="4" borderId="5" xfId="0" applyFont="1" applyFill="1" applyBorder="1"/>
    <xf numFmtId="0" fontId="0" fillId="4" borderId="6" xfId="0" applyFont="1" applyFill="1" applyBorder="1"/>
    <xf numFmtId="164" fontId="0" fillId="4" borderId="6" xfId="0" applyNumberFormat="1" applyFont="1" applyFill="1" applyBorder="1"/>
    <xf numFmtId="0" fontId="0" fillId="3" borderId="5" xfId="0" applyFont="1" applyFill="1" applyBorder="1"/>
    <xf numFmtId="0" fontId="0" fillId="3" borderId="6" xfId="0" applyFont="1" applyFill="1" applyBorder="1"/>
    <xf numFmtId="164" fontId="0" fillId="3" borderId="6" xfId="0" applyNumberFormat="1" applyFont="1" applyFill="1" applyBorder="1"/>
    <xf numFmtId="0" fontId="0" fillId="4" borderId="3" xfId="0" applyFont="1" applyFill="1" applyBorder="1"/>
    <xf numFmtId="0" fontId="0" fillId="4" borderId="4" xfId="0" applyFont="1" applyFill="1" applyBorder="1"/>
    <xf numFmtId="164" fontId="0" fillId="4" borderId="4" xfId="0" applyNumberFormat="1" applyFont="1" applyFill="1" applyBorder="1"/>
    <xf numFmtId="0" fontId="0" fillId="0" borderId="0" xfId="0" applyAlignment="1">
      <alignment horizontal="center" vertical="center" wrapText="1"/>
    </xf>
  </cellXfs>
  <cellStyles count="1">
    <cellStyle name="Standa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K3:T21"/>
  <sheetViews>
    <sheetView workbookViewId="0">
      <selection activeCell="R28" sqref="R28"/>
    </sheetView>
  </sheetViews>
  <sheetFormatPr defaultRowHeight="14.4" x14ac:dyDescent="0.3"/>
  <sheetData>
    <row r="3" spans="11:20" ht="15" x14ac:dyDescent="0.25">
      <c r="K3" s="1"/>
      <c r="L3" s="1"/>
      <c r="M3" s="1"/>
      <c r="N3" s="1"/>
      <c r="O3" s="1"/>
      <c r="P3" s="1"/>
      <c r="Q3" s="1"/>
      <c r="R3" s="1"/>
      <c r="S3" s="1"/>
      <c r="T3" s="1"/>
    </row>
    <row r="4" spans="11:20" ht="15" x14ac:dyDescent="0.25">
      <c r="K4" s="1"/>
      <c r="L4" s="1"/>
      <c r="M4" s="1"/>
      <c r="N4" s="1"/>
      <c r="O4" s="1"/>
      <c r="P4" s="1"/>
      <c r="Q4" s="1"/>
      <c r="R4" s="1"/>
      <c r="S4" s="1"/>
      <c r="T4" s="1"/>
    </row>
    <row r="6" spans="11:20" ht="15" x14ac:dyDescent="0.25">
      <c r="K6" s="1"/>
      <c r="L6" s="1"/>
      <c r="M6" s="1"/>
      <c r="N6" s="1"/>
      <c r="O6" s="1"/>
      <c r="P6" s="1"/>
      <c r="Q6" s="1"/>
      <c r="R6" s="1"/>
      <c r="S6" s="1"/>
      <c r="T6" s="1"/>
    </row>
    <row r="7" spans="11:20" ht="15" x14ac:dyDescent="0.25">
      <c r="K7" s="1"/>
      <c r="L7" s="1"/>
      <c r="M7" s="1"/>
      <c r="N7" s="1"/>
      <c r="O7" s="1"/>
      <c r="P7" s="1"/>
      <c r="Q7" s="1"/>
      <c r="R7" s="1"/>
      <c r="S7" s="1"/>
      <c r="T7" s="1"/>
    </row>
    <row r="9" spans="11:20" x14ac:dyDescent="0.3">
      <c r="K9" s="19" t="s">
        <v>0</v>
      </c>
      <c r="L9" s="19"/>
      <c r="M9" s="19"/>
      <c r="N9" s="19"/>
      <c r="O9" s="19"/>
      <c r="P9" s="19"/>
      <c r="Q9" s="19"/>
      <c r="R9" s="19"/>
      <c r="S9" s="19"/>
      <c r="T9" s="19"/>
    </row>
    <row r="10" spans="11:20" x14ac:dyDescent="0.3">
      <c r="K10" s="19"/>
      <c r="L10" s="19"/>
      <c r="M10" s="19"/>
      <c r="N10" s="19"/>
      <c r="O10" s="19"/>
      <c r="P10" s="19"/>
      <c r="Q10" s="19"/>
      <c r="R10" s="19"/>
      <c r="S10" s="19"/>
      <c r="T10" s="19"/>
    </row>
    <row r="12" spans="11:20" x14ac:dyDescent="0.3">
      <c r="K12" s="19" t="s">
        <v>1</v>
      </c>
      <c r="L12" s="19"/>
      <c r="M12" s="19"/>
      <c r="N12" s="19"/>
      <c r="O12" s="19"/>
      <c r="P12" s="19"/>
      <c r="Q12" s="19"/>
      <c r="R12" s="19"/>
      <c r="S12" s="19"/>
      <c r="T12" s="19"/>
    </row>
    <row r="13" spans="11:20" x14ac:dyDescent="0.3">
      <c r="K13" s="19"/>
      <c r="L13" s="19"/>
      <c r="M13" s="19"/>
      <c r="N13" s="19"/>
      <c r="O13" s="19"/>
      <c r="P13" s="19"/>
      <c r="Q13" s="19"/>
      <c r="R13" s="19"/>
      <c r="S13" s="19"/>
      <c r="T13" s="19"/>
    </row>
    <row r="15" spans="11:20" x14ac:dyDescent="0.3">
      <c r="K15" s="19" t="s">
        <v>2</v>
      </c>
      <c r="L15" s="19"/>
      <c r="M15" s="19"/>
      <c r="N15" s="19"/>
      <c r="O15" s="19"/>
      <c r="P15" s="19"/>
      <c r="Q15" s="19"/>
      <c r="R15" s="19"/>
      <c r="S15" s="19"/>
      <c r="T15" s="19"/>
    </row>
    <row r="16" spans="11:20" x14ac:dyDescent="0.3">
      <c r="K16" s="19"/>
      <c r="L16" s="19"/>
      <c r="M16" s="19"/>
      <c r="N16" s="19"/>
      <c r="O16" s="19"/>
      <c r="P16" s="19"/>
      <c r="Q16" s="19"/>
      <c r="R16" s="19"/>
      <c r="S16" s="19"/>
      <c r="T16" s="19"/>
    </row>
    <row r="18" spans="11:20" ht="15" customHeight="1" x14ac:dyDescent="0.3">
      <c r="K18" s="19" t="s">
        <v>3</v>
      </c>
      <c r="L18" s="19"/>
      <c r="M18" s="19"/>
      <c r="N18" s="19"/>
      <c r="O18" s="19"/>
      <c r="P18" s="19"/>
      <c r="Q18" s="19"/>
      <c r="R18" s="19"/>
      <c r="S18" s="19"/>
      <c r="T18" s="19"/>
    </row>
    <row r="19" spans="11:20" x14ac:dyDescent="0.3">
      <c r="K19" s="19"/>
      <c r="L19" s="19"/>
      <c r="M19" s="19"/>
      <c r="N19" s="19"/>
      <c r="O19" s="19"/>
      <c r="P19" s="19"/>
      <c r="Q19" s="19"/>
      <c r="R19" s="19"/>
      <c r="S19" s="19"/>
      <c r="T19" s="19"/>
    </row>
    <row r="20" spans="11:20" x14ac:dyDescent="0.3"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11:20" x14ac:dyDescent="0.3">
      <c r="K21" s="2"/>
      <c r="L21" s="2"/>
      <c r="M21" s="2"/>
      <c r="N21" s="2"/>
      <c r="O21" s="2"/>
      <c r="P21" s="2"/>
      <c r="Q21" s="2"/>
      <c r="R21" s="2"/>
      <c r="S21" s="2"/>
      <c r="T21" s="2"/>
    </row>
  </sheetData>
  <mergeCells count="4">
    <mergeCell ref="K9:T10"/>
    <mergeCell ref="K12:T13"/>
    <mergeCell ref="K15:T16"/>
    <mergeCell ref="K18:T1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7BEA5-8C11-46CC-A996-56A25BB8BE4A}">
  <sheetPr codeName="Blad1"/>
  <dimension ref="A2:S334"/>
  <sheetViews>
    <sheetView workbookViewId="0">
      <selection activeCell="F16" sqref="F16"/>
    </sheetView>
  </sheetViews>
  <sheetFormatPr defaultRowHeight="14.4" x14ac:dyDescent="0.3"/>
  <cols>
    <col min="2" max="2" width="14.77734375" customWidth="1"/>
    <col min="3" max="3" width="18.77734375" customWidth="1"/>
    <col min="4" max="4" width="20.77734375" customWidth="1"/>
    <col min="5" max="5" width="14.77734375" customWidth="1"/>
    <col min="6" max="6" width="25.77734375" customWidth="1"/>
    <col min="8" max="8" width="9" customWidth="1"/>
    <col min="11" max="14" width="11.44140625" customWidth="1"/>
    <col min="16" max="16" width="14.21875" customWidth="1"/>
    <col min="17" max="17" width="22.109375" customWidth="1"/>
    <col min="18" max="18" width="18.6640625" customWidth="1"/>
  </cols>
  <sheetData>
    <row r="2" spans="1:19" x14ac:dyDescent="0.3">
      <c r="F2" t="s">
        <v>20</v>
      </c>
      <c r="G2">
        <f>SUM($G$10:$G$331)+ SUM($G$334:$G$334)</f>
        <v>26</v>
      </c>
      <c r="H2">
        <f>SUM($H$10:$H$331)+ SUM($H$334:$H$334)</f>
        <v>25</v>
      </c>
      <c r="I2">
        <f>SUM($I$10:$I$331)+ SUM($I$334:$I$334)</f>
        <v>10</v>
      </c>
      <c r="J2">
        <f>SUM($J$10:$J$331)+ SUM($J$334:$J$334)</f>
        <v>1</v>
      </c>
      <c r="K2">
        <f>SUM($K$10:$K$331)+ SUM($K$334:$K$334)</f>
        <v>5</v>
      </c>
      <c r="L2">
        <f>SUM($L$10:$L$331)+ SUM($L$334:$L$334)</f>
        <v>5</v>
      </c>
      <c r="M2">
        <f>SUM($M$10:$M$331)+ SUM($M$334:$M$334)</f>
        <v>4</v>
      </c>
      <c r="N2">
        <f>SUM($N$10:$N$331)+ SUM($N$334:$N$334)</f>
        <v>0</v>
      </c>
      <c r="O2">
        <f>SUM($O$10:$O$331)+ SUM($O$334:$O$334)</f>
        <v>4</v>
      </c>
      <c r="P2">
        <f>SUM($P$10:$P$331)+ SUM($P$334:$P$334)</f>
        <v>0</v>
      </c>
      <c r="R2" t="s">
        <v>1239</v>
      </c>
    </row>
    <row r="3" spans="1:19" x14ac:dyDescent="0.3">
      <c r="F3" t="s">
        <v>21</v>
      </c>
      <c r="G3" s="3">
        <f>$G$8*G2</f>
        <v>28.6</v>
      </c>
      <c r="H3" s="3">
        <f>$H$8*H2</f>
        <v>50</v>
      </c>
      <c r="I3" s="3">
        <f>$I$8*I2</f>
        <v>10</v>
      </c>
      <c r="J3" s="3">
        <f>$J$8*J2</f>
        <v>4.75</v>
      </c>
      <c r="K3" s="3">
        <f>$K$8*K2</f>
        <v>10</v>
      </c>
      <c r="L3" s="3">
        <f>$L$8*L2</f>
        <v>15</v>
      </c>
      <c r="M3" s="3">
        <f>$M$8*M2</f>
        <v>16</v>
      </c>
      <c r="N3" s="3">
        <f>$N$8*N2</f>
        <v>0</v>
      </c>
      <c r="O3" s="3">
        <f>$O$8*O2</f>
        <v>2</v>
      </c>
      <c r="P3" s="3">
        <f>$P$8*P2</f>
        <v>0</v>
      </c>
      <c r="R3">
        <f>SUM($E$10:$E$331)</f>
        <v>31</v>
      </c>
    </row>
    <row r="4" spans="1:19" x14ac:dyDescent="0.3">
      <c r="F4" s="3">
        <f>SUM(G3:P3)</f>
        <v>136.35</v>
      </c>
    </row>
    <row r="5" spans="1:19" x14ac:dyDescent="0.3">
      <c r="F5" s="3"/>
    </row>
    <row r="6" spans="1:19" x14ac:dyDescent="0.3">
      <c r="F6" s="3"/>
    </row>
    <row r="7" spans="1:19" x14ac:dyDescent="0.3">
      <c r="R7" s="3"/>
    </row>
    <row r="8" spans="1:19" x14ac:dyDescent="0.3">
      <c r="F8" t="s">
        <v>22</v>
      </c>
      <c r="G8" s="4">
        <v>1.1000000000000001</v>
      </c>
      <c r="H8" s="4">
        <v>2</v>
      </c>
      <c r="I8" s="4">
        <v>1</v>
      </c>
      <c r="J8" s="4">
        <v>4.75</v>
      </c>
      <c r="K8" s="4">
        <v>2</v>
      </c>
      <c r="L8" s="4">
        <v>3</v>
      </c>
      <c r="M8" s="4">
        <v>4</v>
      </c>
      <c r="N8" s="4">
        <v>5</v>
      </c>
      <c r="O8" s="4">
        <v>0.5</v>
      </c>
      <c r="P8" s="4">
        <v>1</v>
      </c>
    </row>
    <row r="9" spans="1:19" ht="15" thickBot="1" x14ac:dyDescent="0.35">
      <c r="A9" s="5" t="s">
        <v>14</v>
      </c>
      <c r="B9" s="6" t="s">
        <v>15</v>
      </c>
      <c r="C9" s="6" t="s">
        <v>16</v>
      </c>
      <c r="D9" s="6" t="s">
        <v>17</v>
      </c>
      <c r="E9" s="6" t="s">
        <v>18</v>
      </c>
      <c r="F9" s="6" t="s">
        <v>19</v>
      </c>
      <c r="G9" s="6" t="s">
        <v>4</v>
      </c>
      <c r="H9" s="6" t="s">
        <v>5</v>
      </c>
      <c r="I9" s="6" t="s">
        <v>6</v>
      </c>
      <c r="J9" s="6" t="s">
        <v>7</v>
      </c>
      <c r="K9" s="6" t="s">
        <v>8</v>
      </c>
      <c r="L9" s="6" t="s">
        <v>9</v>
      </c>
      <c r="M9" s="6" t="s">
        <v>10</v>
      </c>
      <c r="N9" s="6" t="s">
        <v>11</v>
      </c>
      <c r="O9" s="6" t="s">
        <v>12</v>
      </c>
      <c r="P9" s="6" t="s">
        <v>13</v>
      </c>
      <c r="Q9" s="6" t="s">
        <v>23</v>
      </c>
      <c r="R9" s="6" t="s">
        <v>24</v>
      </c>
      <c r="S9" s="6" t="s">
        <v>25</v>
      </c>
    </row>
    <row r="10" spans="1:19" ht="15" thickTop="1" x14ac:dyDescent="0.3">
      <c r="A10" s="16" t="s">
        <v>855</v>
      </c>
      <c r="B10" s="17" t="s">
        <v>856</v>
      </c>
      <c r="C10" s="17"/>
      <c r="D10" s="17" t="s">
        <v>790</v>
      </c>
      <c r="E10" s="17">
        <f xml:space="preserve"> IF($S$227,1,0)</f>
        <v>0</v>
      </c>
      <c r="F10" s="17" t="s">
        <v>857</v>
      </c>
      <c r="G10" s="17">
        <v>1</v>
      </c>
      <c r="H10" s="17">
        <v>0</v>
      </c>
      <c r="I10" s="17">
        <v>0</v>
      </c>
      <c r="J10" s="17">
        <v>0</v>
      </c>
      <c r="K10" s="17">
        <v>1</v>
      </c>
      <c r="L10" s="17">
        <v>1</v>
      </c>
      <c r="M10" s="17">
        <v>2</v>
      </c>
      <c r="N10" s="17">
        <v>0</v>
      </c>
      <c r="O10" s="17">
        <v>0</v>
      </c>
      <c r="P10" s="17">
        <v>0</v>
      </c>
      <c r="Q10" s="18">
        <v>14.1</v>
      </c>
      <c r="R10" s="18">
        <v>0</v>
      </c>
      <c r="S10" s="18">
        <v>14.1</v>
      </c>
    </row>
    <row r="11" spans="1:19" x14ac:dyDescent="0.3">
      <c r="A11" s="10" t="s">
        <v>649</v>
      </c>
      <c r="B11" s="11" t="s">
        <v>650</v>
      </c>
      <c r="C11" s="11"/>
      <c r="D11" s="11" t="s">
        <v>651</v>
      </c>
      <c r="E11" s="11">
        <f xml:space="preserve"> IF($S$173,1,0)</f>
        <v>0</v>
      </c>
      <c r="F11" s="11" t="s">
        <v>652</v>
      </c>
      <c r="G11" s="11">
        <v>0</v>
      </c>
      <c r="H11" s="11">
        <v>4</v>
      </c>
      <c r="I11" s="11">
        <v>0</v>
      </c>
      <c r="J11" s="11">
        <v>0</v>
      </c>
      <c r="K11" s="11">
        <v>0</v>
      </c>
      <c r="L11" s="11">
        <v>1</v>
      </c>
      <c r="M11" s="11">
        <v>0</v>
      </c>
      <c r="N11" s="11">
        <v>0</v>
      </c>
      <c r="O11" s="11">
        <v>0</v>
      </c>
      <c r="P11" s="11">
        <v>0</v>
      </c>
      <c r="Q11" s="12">
        <v>11</v>
      </c>
      <c r="R11" s="12">
        <v>0</v>
      </c>
      <c r="S11" s="12">
        <v>11</v>
      </c>
    </row>
    <row r="12" spans="1:19" x14ac:dyDescent="0.3">
      <c r="A12" s="13" t="s">
        <v>144</v>
      </c>
      <c r="B12" s="14" t="s">
        <v>145</v>
      </c>
      <c r="C12" s="14"/>
      <c r="D12" s="14" t="s">
        <v>146</v>
      </c>
      <c r="E12" s="14">
        <f xml:space="preserve"> IF($S$40,1,0)</f>
        <v>1</v>
      </c>
      <c r="F12" s="14" t="s">
        <v>147</v>
      </c>
      <c r="G12" s="14">
        <v>0</v>
      </c>
      <c r="H12" s="14">
        <v>3</v>
      </c>
      <c r="I12" s="14">
        <v>0</v>
      </c>
      <c r="J12" s="14">
        <v>0</v>
      </c>
      <c r="K12" s="14">
        <v>0</v>
      </c>
      <c r="L12" s="14">
        <v>0</v>
      </c>
      <c r="M12" s="14">
        <v>1</v>
      </c>
      <c r="N12" s="14">
        <v>0</v>
      </c>
      <c r="O12" s="14">
        <v>0</v>
      </c>
      <c r="P12" s="14">
        <v>0</v>
      </c>
      <c r="Q12" s="15">
        <v>10</v>
      </c>
      <c r="R12" s="15">
        <v>0</v>
      </c>
      <c r="S12" s="15">
        <v>10</v>
      </c>
    </row>
    <row r="13" spans="1:19" x14ac:dyDescent="0.3">
      <c r="A13" s="10" t="s">
        <v>180</v>
      </c>
      <c r="B13" s="11" t="s">
        <v>177</v>
      </c>
      <c r="C13" s="11"/>
      <c r="D13" s="11" t="s">
        <v>181</v>
      </c>
      <c r="E13" s="11">
        <f xml:space="preserve"> IF($S$49,1,0)</f>
        <v>0</v>
      </c>
      <c r="F13" s="11" t="s">
        <v>182</v>
      </c>
      <c r="G13" s="11">
        <v>0</v>
      </c>
      <c r="H13" s="11">
        <v>1</v>
      </c>
      <c r="I13" s="11">
        <v>0</v>
      </c>
      <c r="J13" s="11">
        <v>0</v>
      </c>
      <c r="K13" s="11">
        <v>0</v>
      </c>
      <c r="L13" s="11">
        <v>1</v>
      </c>
      <c r="M13" s="11">
        <v>1</v>
      </c>
      <c r="N13" s="11">
        <v>0</v>
      </c>
      <c r="O13" s="11">
        <v>0</v>
      </c>
      <c r="P13" s="11">
        <v>0</v>
      </c>
      <c r="Q13" s="12">
        <v>9</v>
      </c>
      <c r="R13" s="12">
        <v>0</v>
      </c>
      <c r="S13" s="12">
        <v>9</v>
      </c>
    </row>
    <row r="14" spans="1:19" x14ac:dyDescent="0.3">
      <c r="A14" s="13" t="s">
        <v>707</v>
      </c>
      <c r="B14" s="14" t="s">
        <v>708</v>
      </c>
      <c r="C14" s="14"/>
      <c r="D14" s="14" t="s">
        <v>222</v>
      </c>
      <c r="E14" s="14">
        <f xml:space="preserve"> IF($S$188,1,0)</f>
        <v>0</v>
      </c>
      <c r="F14" s="14" t="s">
        <v>709</v>
      </c>
      <c r="G14" s="14">
        <v>4</v>
      </c>
      <c r="H14" s="14">
        <v>0</v>
      </c>
      <c r="I14" s="14">
        <v>0</v>
      </c>
      <c r="J14" s="14">
        <v>0</v>
      </c>
      <c r="K14" s="14">
        <v>2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5">
        <v>8.4</v>
      </c>
      <c r="R14" s="15">
        <v>0</v>
      </c>
      <c r="S14" s="15">
        <v>8.4</v>
      </c>
    </row>
    <row r="15" spans="1:19" x14ac:dyDescent="0.3">
      <c r="A15" s="10" t="s">
        <v>724</v>
      </c>
      <c r="B15" s="11" t="s">
        <v>721</v>
      </c>
      <c r="C15" s="11"/>
      <c r="D15" s="11" t="s">
        <v>725</v>
      </c>
      <c r="E15" s="11">
        <f xml:space="preserve"> IF($S$193,1,0)</f>
        <v>0</v>
      </c>
      <c r="F15" s="11" t="s">
        <v>726</v>
      </c>
      <c r="G15" s="11">
        <v>2</v>
      </c>
      <c r="H15" s="11">
        <v>3</v>
      </c>
      <c r="I15" s="11">
        <v>0</v>
      </c>
      <c r="J15" s="11">
        <v>0</v>
      </c>
      <c r="K15" s="11">
        <v>0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2">
        <v>8.1999999999999993</v>
      </c>
      <c r="R15" s="12">
        <v>0</v>
      </c>
      <c r="S15" s="12">
        <v>8.1999999999999993</v>
      </c>
    </row>
    <row r="16" spans="1:19" x14ac:dyDescent="0.3">
      <c r="A16" s="10" t="s">
        <v>1029</v>
      </c>
      <c r="B16" s="11" t="s">
        <v>1030</v>
      </c>
      <c r="C16" s="11" t="s">
        <v>34</v>
      </c>
      <c r="D16" s="11" t="s">
        <v>1031</v>
      </c>
      <c r="E16" s="11">
        <f xml:space="preserve"> IF($S$273,1,0)</f>
        <v>0</v>
      </c>
      <c r="F16" s="11" t="s">
        <v>1032</v>
      </c>
      <c r="G16" s="11">
        <v>0</v>
      </c>
      <c r="H16" s="11">
        <v>3</v>
      </c>
      <c r="I16" s="11">
        <v>0</v>
      </c>
      <c r="J16" s="11">
        <v>0</v>
      </c>
      <c r="K16" s="11">
        <v>0</v>
      </c>
      <c r="L16" s="11">
        <v>0</v>
      </c>
      <c r="M16" s="11">
        <v>0</v>
      </c>
      <c r="N16" s="11">
        <v>0</v>
      </c>
      <c r="O16" s="11">
        <v>1</v>
      </c>
      <c r="P16" s="11">
        <v>0</v>
      </c>
      <c r="Q16" s="12">
        <v>6.5</v>
      </c>
      <c r="R16" s="12">
        <v>0</v>
      </c>
      <c r="S16" s="12">
        <v>6.5</v>
      </c>
    </row>
    <row r="17" spans="1:19" x14ac:dyDescent="0.3">
      <c r="A17" s="10" t="s">
        <v>785</v>
      </c>
      <c r="B17" s="11" t="s">
        <v>779</v>
      </c>
      <c r="C17" s="11"/>
      <c r="D17" s="11" t="s">
        <v>786</v>
      </c>
      <c r="E17" s="11">
        <f xml:space="preserve"> IF($S$209,1,0)</f>
        <v>0</v>
      </c>
      <c r="F17" s="11" t="s">
        <v>787</v>
      </c>
      <c r="G17" s="11">
        <v>2</v>
      </c>
      <c r="H17" s="11">
        <v>2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2">
        <v>6.2</v>
      </c>
      <c r="R17" s="12">
        <v>0</v>
      </c>
      <c r="S17" s="12">
        <v>6.2</v>
      </c>
    </row>
    <row r="18" spans="1:19" x14ac:dyDescent="0.3">
      <c r="A18" s="13" t="s">
        <v>713</v>
      </c>
      <c r="B18" s="14" t="s">
        <v>708</v>
      </c>
      <c r="C18" s="14"/>
      <c r="D18" s="14" t="s">
        <v>714</v>
      </c>
      <c r="E18" s="14">
        <f xml:space="preserve"> IF($S$190,1,0)</f>
        <v>0</v>
      </c>
      <c r="F18" s="14" t="s">
        <v>715</v>
      </c>
      <c r="G18" s="14">
        <v>1</v>
      </c>
      <c r="H18" s="14">
        <v>1</v>
      </c>
      <c r="I18" s="14">
        <v>0</v>
      </c>
      <c r="J18" s="14">
        <v>0</v>
      </c>
      <c r="K18" s="14">
        <v>0</v>
      </c>
      <c r="L18" s="14">
        <v>1</v>
      </c>
      <c r="M18" s="14">
        <v>0</v>
      </c>
      <c r="N18" s="14">
        <v>0</v>
      </c>
      <c r="O18" s="14">
        <v>0</v>
      </c>
      <c r="P18" s="14">
        <v>0</v>
      </c>
      <c r="Q18" s="15">
        <v>6.1</v>
      </c>
      <c r="R18" s="15">
        <v>0</v>
      </c>
      <c r="S18" s="15">
        <v>6.1</v>
      </c>
    </row>
    <row r="19" spans="1:19" x14ac:dyDescent="0.3">
      <c r="A19" s="13" t="s">
        <v>176</v>
      </c>
      <c r="B19" s="14" t="s">
        <v>177</v>
      </c>
      <c r="C19" s="14"/>
      <c r="D19" s="14" t="s">
        <v>178</v>
      </c>
      <c r="E19" s="14">
        <f xml:space="preserve"> IF($S$48,1,0)</f>
        <v>0</v>
      </c>
      <c r="F19" s="14" t="s">
        <v>179</v>
      </c>
      <c r="G19" s="14">
        <v>4</v>
      </c>
      <c r="H19" s="14">
        <v>0</v>
      </c>
      <c r="I19" s="14">
        <v>1</v>
      </c>
      <c r="J19" s="14">
        <v>0</v>
      </c>
      <c r="K19" s="14">
        <v>0</v>
      </c>
      <c r="L19" s="14">
        <v>0</v>
      </c>
      <c r="M19" s="14">
        <v>0</v>
      </c>
      <c r="N19" s="14">
        <v>0</v>
      </c>
      <c r="O19" s="14">
        <v>0</v>
      </c>
      <c r="P19" s="14">
        <v>0</v>
      </c>
      <c r="Q19" s="15">
        <v>5.4</v>
      </c>
      <c r="R19" s="15">
        <v>0</v>
      </c>
      <c r="S19" s="15">
        <v>5.4</v>
      </c>
    </row>
    <row r="20" spans="1:19" x14ac:dyDescent="0.3">
      <c r="A20" s="10" t="s">
        <v>520</v>
      </c>
      <c r="B20" s="11" t="s">
        <v>517</v>
      </c>
      <c r="C20" s="11"/>
      <c r="D20" s="11" t="s">
        <v>521</v>
      </c>
      <c r="E20" s="11">
        <f xml:space="preserve"> IF($S$139,1,0)</f>
        <v>0</v>
      </c>
      <c r="F20" s="11" t="s">
        <v>522</v>
      </c>
      <c r="G20" s="11">
        <v>0</v>
      </c>
      <c r="H20" s="11">
        <v>0</v>
      </c>
      <c r="I20" s="11">
        <v>0</v>
      </c>
      <c r="J20" s="11">
        <v>1</v>
      </c>
      <c r="K20" s="11">
        <v>0</v>
      </c>
      <c r="L20" s="11">
        <v>0</v>
      </c>
      <c r="M20" s="11">
        <v>0</v>
      </c>
      <c r="N20" s="11">
        <v>0</v>
      </c>
      <c r="O20" s="11">
        <v>0</v>
      </c>
      <c r="P20" s="11">
        <v>0</v>
      </c>
      <c r="Q20" s="12">
        <v>4.75</v>
      </c>
      <c r="R20" s="12">
        <v>0</v>
      </c>
      <c r="S20" s="12">
        <v>4.75</v>
      </c>
    </row>
    <row r="21" spans="1:19" x14ac:dyDescent="0.3">
      <c r="A21" s="13" t="s">
        <v>44</v>
      </c>
      <c r="B21" s="14" t="s">
        <v>45</v>
      </c>
      <c r="C21" s="14"/>
      <c r="D21" s="14" t="s">
        <v>46</v>
      </c>
      <c r="E21" s="14">
        <f xml:space="preserve"> IF($S$14,1,0)</f>
        <v>1</v>
      </c>
      <c r="F21" s="14" t="s">
        <v>47</v>
      </c>
      <c r="G21" s="14">
        <v>0</v>
      </c>
      <c r="H21" s="14">
        <v>2</v>
      </c>
      <c r="I21" s="14">
        <v>0</v>
      </c>
      <c r="J21" s="14">
        <v>0</v>
      </c>
      <c r="K21" s="14">
        <v>0</v>
      </c>
      <c r="L21" s="14">
        <v>0</v>
      </c>
      <c r="M21" s="14">
        <v>0</v>
      </c>
      <c r="N21" s="14">
        <v>0</v>
      </c>
      <c r="O21" s="14">
        <v>0</v>
      </c>
      <c r="P21" s="14">
        <v>0</v>
      </c>
      <c r="Q21" s="15">
        <v>4</v>
      </c>
      <c r="R21" s="15">
        <v>0</v>
      </c>
      <c r="S21" s="15">
        <v>4</v>
      </c>
    </row>
    <row r="22" spans="1:19" x14ac:dyDescent="0.3">
      <c r="A22" s="10" t="s">
        <v>452</v>
      </c>
      <c r="B22" s="11" t="s">
        <v>453</v>
      </c>
      <c r="C22" s="11"/>
      <c r="D22" s="11" t="s">
        <v>454</v>
      </c>
      <c r="E22" s="11">
        <f xml:space="preserve"> IF($S$121,1,0)</f>
        <v>0</v>
      </c>
      <c r="F22" s="11" t="s">
        <v>455</v>
      </c>
      <c r="G22" s="11">
        <v>0</v>
      </c>
      <c r="H22" s="11">
        <v>2</v>
      </c>
      <c r="I22" s="11">
        <v>0</v>
      </c>
      <c r="J22" s="11">
        <v>0</v>
      </c>
      <c r="K22" s="11">
        <v>0</v>
      </c>
      <c r="L22" s="11">
        <v>0</v>
      </c>
      <c r="M22" s="11">
        <v>0</v>
      </c>
      <c r="N22" s="11">
        <v>0</v>
      </c>
      <c r="O22" s="11">
        <v>0</v>
      </c>
      <c r="P22" s="11">
        <v>0</v>
      </c>
      <c r="Q22" s="12">
        <v>4</v>
      </c>
      <c r="R22" s="12">
        <v>0</v>
      </c>
      <c r="S22" s="12">
        <v>4</v>
      </c>
    </row>
    <row r="23" spans="1:19" x14ac:dyDescent="0.3">
      <c r="A23" s="13" t="s">
        <v>538</v>
      </c>
      <c r="B23" s="14" t="s">
        <v>535</v>
      </c>
      <c r="C23" s="14"/>
      <c r="D23" s="14" t="s">
        <v>539</v>
      </c>
      <c r="E23" s="14">
        <f xml:space="preserve"> IF($S$144,1,0)</f>
        <v>0</v>
      </c>
      <c r="F23" s="14" t="s">
        <v>540</v>
      </c>
      <c r="G23" s="14">
        <v>0</v>
      </c>
      <c r="H23" s="14">
        <v>0</v>
      </c>
      <c r="I23" s="14">
        <v>0</v>
      </c>
      <c r="J23" s="14">
        <v>0</v>
      </c>
      <c r="K23" s="14">
        <v>2</v>
      </c>
      <c r="L23" s="14">
        <v>0</v>
      </c>
      <c r="M23" s="14">
        <v>0</v>
      </c>
      <c r="N23" s="14">
        <v>0</v>
      </c>
      <c r="O23" s="14">
        <v>0</v>
      </c>
      <c r="P23" s="14">
        <v>0</v>
      </c>
      <c r="Q23" s="15">
        <v>4</v>
      </c>
      <c r="R23" s="15">
        <v>0</v>
      </c>
      <c r="S23" s="15">
        <v>4</v>
      </c>
    </row>
    <row r="24" spans="1:19" x14ac:dyDescent="0.3">
      <c r="A24" s="10" t="s">
        <v>657</v>
      </c>
      <c r="B24" s="11" t="s">
        <v>658</v>
      </c>
      <c r="C24" s="11"/>
      <c r="D24" s="11" t="s">
        <v>659</v>
      </c>
      <c r="E24" s="11">
        <f xml:space="preserve"> IF($S$175,1,0)</f>
        <v>0</v>
      </c>
      <c r="F24" s="11" t="s">
        <v>660</v>
      </c>
      <c r="G24" s="11">
        <v>0</v>
      </c>
      <c r="H24" s="11">
        <v>2</v>
      </c>
      <c r="I24" s="11">
        <v>0</v>
      </c>
      <c r="J24" s="11">
        <v>0</v>
      </c>
      <c r="K24" s="11">
        <v>0</v>
      </c>
      <c r="L24" s="11">
        <v>0</v>
      </c>
      <c r="M24" s="11">
        <v>0</v>
      </c>
      <c r="N24" s="11">
        <v>0</v>
      </c>
      <c r="O24" s="11">
        <v>0</v>
      </c>
      <c r="P24" s="11">
        <v>0</v>
      </c>
      <c r="Q24" s="12">
        <v>4</v>
      </c>
      <c r="R24" s="12">
        <v>0</v>
      </c>
      <c r="S24" s="12">
        <v>4</v>
      </c>
    </row>
    <row r="25" spans="1:19" x14ac:dyDescent="0.3">
      <c r="A25" s="10" t="s">
        <v>580</v>
      </c>
      <c r="B25" s="11" t="s">
        <v>581</v>
      </c>
      <c r="C25" s="11"/>
      <c r="D25" s="11" t="s">
        <v>582</v>
      </c>
      <c r="E25" s="11">
        <f xml:space="preserve"> IF($S$155,1,0)</f>
        <v>0</v>
      </c>
      <c r="F25" s="11" t="s">
        <v>583</v>
      </c>
      <c r="G25" s="11">
        <v>3</v>
      </c>
      <c r="H25" s="11">
        <v>0</v>
      </c>
      <c r="I25" s="11">
        <v>0</v>
      </c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2">
        <v>3.3000000000000003</v>
      </c>
      <c r="R25" s="12">
        <v>0</v>
      </c>
      <c r="S25" s="12">
        <v>3.3000000000000003</v>
      </c>
    </row>
    <row r="26" spans="1:19" x14ac:dyDescent="0.3">
      <c r="A26" s="13" t="s">
        <v>942</v>
      </c>
      <c r="B26" s="14" t="s">
        <v>943</v>
      </c>
      <c r="C26" s="14"/>
      <c r="D26" s="14" t="s">
        <v>944</v>
      </c>
      <c r="E26" s="14">
        <f xml:space="preserve"> IF($S$250,1,0)</f>
        <v>0</v>
      </c>
      <c r="F26" s="14" t="s">
        <v>945</v>
      </c>
      <c r="G26" s="14">
        <v>1</v>
      </c>
      <c r="H26" s="14">
        <v>1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5">
        <v>3.1</v>
      </c>
      <c r="R26" s="15">
        <v>0</v>
      </c>
      <c r="S26" s="15">
        <v>3.1</v>
      </c>
    </row>
    <row r="27" spans="1:19" x14ac:dyDescent="0.3">
      <c r="A27" s="10" t="s">
        <v>361</v>
      </c>
      <c r="B27" s="11" t="s">
        <v>358</v>
      </c>
      <c r="C27" s="11" t="s">
        <v>34</v>
      </c>
      <c r="D27" s="11" t="s">
        <v>362</v>
      </c>
      <c r="E27" s="11">
        <f xml:space="preserve"> IF($S$97,1,0)</f>
        <v>0</v>
      </c>
      <c r="F27" s="11" t="s">
        <v>363</v>
      </c>
      <c r="G27" s="11">
        <v>0</v>
      </c>
      <c r="H27" s="11">
        <v>0</v>
      </c>
      <c r="I27" s="11">
        <v>0</v>
      </c>
      <c r="J27" s="11">
        <v>0</v>
      </c>
      <c r="K27" s="11">
        <v>0</v>
      </c>
      <c r="L27" s="11">
        <v>1</v>
      </c>
      <c r="M27" s="11">
        <v>0</v>
      </c>
      <c r="N27" s="11">
        <v>0</v>
      </c>
      <c r="O27" s="11">
        <v>0</v>
      </c>
      <c r="P27" s="11">
        <v>0</v>
      </c>
      <c r="Q27" s="12">
        <v>3</v>
      </c>
      <c r="R27" s="12">
        <v>0</v>
      </c>
      <c r="S27" s="12">
        <v>3</v>
      </c>
    </row>
    <row r="28" spans="1:19" x14ac:dyDescent="0.3">
      <c r="A28" s="10" t="s">
        <v>116</v>
      </c>
      <c r="B28" s="11" t="s">
        <v>117</v>
      </c>
      <c r="C28" s="11" t="s">
        <v>34</v>
      </c>
      <c r="D28" s="11" t="s">
        <v>118</v>
      </c>
      <c r="E28" s="11">
        <f xml:space="preserve"> IF($S$33,1,0)</f>
        <v>1</v>
      </c>
      <c r="F28" s="11" t="s">
        <v>119</v>
      </c>
      <c r="G28" s="11">
        <v>2</v>
      </c>
      <c r="H28" s="11">
        <v>0</v>
      </c>
      <c r="I28" s="11">
        <v>0</v>
      </c>
      <c r="J28" s="11">
        <v>0</v>
      </c>
      <c r="K28" s="11">
        <v>0</v>
      </c>
      <c r="L28" s="11">
        <v>0</v>
      </c>
      <c r="M28" s="11">
        <v>0</v>
      </c>
      <c r="N28" s="11">
        <v>0</v>
      </c>
      <c r="O28" s="11">
        <v>0</v>
      </c>
      <c r="P28" s="11">
        <v>0</v>
      </c>
      <c r="Q28" s="12">
        <v>2.2000000000000002</v>
      </c>
      <c r="R28" s="12">
        <v>0</v>
      </c>
      <c r="S28" s="12">
        <v>2.2000000000000002</v>
      </c>
    </row>
    <row r="29" spans="1:19" x14ac:dyDescent="0.3">
      <c r="A29" s="13" t="s">
        <v>152</v>
      </c>
      <c r="B29" s="14" t="s">
        <v>153</v>
      </c>
      <c r="C29" s="14"/>
      <c r="D29" s="14" t="s">
        <v>154</v>
      </c>
      <c r="E29" s="14">
        <f xml:space="preserve"> IF($S$42,1,0)</f>
        <v>0</v>
      </c>
      <c r="F29" s="14" t="s">
        <v>155</v>
      </c>
      <c r="G29" s="14">
        <v>2</v>
      </c>
      <c r="H29" s="14">
        <v>0</v>
      </c>
      <c r="I29" s="14">
        <v>0</v>
      </c>
      <c r="J29" s="14">
        <v>0</v>
      </c>
      <c r="K29" s="14">
        <v>0</v>
      </c>
      <c r="L29" s="14">
        <v>0</v>
      </c>
      <c r="M29" s="14">
        <v>0</v>
      </c>
      <c r="N29" s="14">
        <v>0</v>
      </c>
      <c r="O29" s="14">
        <v>0</v>
      </c>
      <c r="P29" s="14">
        <v>0</v>
      </c>
      <c r="Q29" s="15">
        <v>2.2000000000000002</v>
      </c>
      <c r="R29" s="15">
        <v>0</v>
      </c>
      <c r="S29" s="15">
        <v>2.2000000000000002</v>
      </c>
    </row>
    <row r="30" spans="1:19" x14ac:dyDescent="0.3">
      <c r="A30" s="10" t="s">
        <v>337</v>
      </c>
      <c r="B30" s="11" t="s">
        <v>334</v>
      </c>
      <c r="C30" s="11"/>
      <c r="D30" s="11" t="s">
        <v>338</v>
      </c>
      <c r="E30" s="11">
        <f xml:space="preserve"> IF($S$91,1,0)</f>
        <v>0</v>
      </c>
      <c r="F30" s="11" t="s">
        <v>339</v>
      </c>
      <c r="G30" s="11">
        <v>2</v>
      </c>
      <c r="H30" s="11">
        <v>0</v>
      </c>
      <c r="I30" s="11">
        <v>0</v>
      </c>
      <c r="J30" s="11">
        <v>0</v>
      </c>
      <c r="K30" s="11">
        <v>0</v>
      </c>
      <c r="L30" s="11">
        <v>0</v>
      </c>
      <c r="M30" s="11">
        <v>0</v>
      </c>
      <c r="N30" s="11">
        <v>0</v>
      </c>
      <c r="O30" s="11">
        <v>0</v>
      </c>
      <c r="P30" s="11">
        <v>0</v>
      </c>
      <c r="Q30" s="12">
        <v>2.2000000000000002</v>
      </c>
      <c r="R30" s="12">
        <v>0</v>
      </c>
      <c r="S30" s="12">
        <v>2.2000000000000002</v>
      </c>
    </row>
    <row r="31" spans="1:19" x14ac:dyDescent="0.3">
      <c r="A31" s="13" t="s">
        <v>463</v>
      </c>
      <c r="B31" s="14" t="s">
        <v>457</v>
      </c>
      <c r="C31" s="14" t="s">
        <v>34</v>
      </c>
      <c r="D31" s="14" t="s">
        <v>464</v>
      </c>
      <c r="E31" s="14">
        <f xml:space="preserve"> IF($S$124,1,0)</f>
        <v>0</v>
      </c>
      <c r="F31" s="14" t="s">
        <v>465</v>
      </c>
      <c r="G31" s="14">
        <v>2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5">
        <v>2.2000000000000002</v>
      </c>
      <c r="R31" s="15">
        <v>0</v>
      </c>
      <c r="S31" s="15">
        <v>2.2000000000000002</v>
      </c>
    </row>
    <row r="32" spans="1:19" x14ac:dyDescent="0.3">
      <c r="A32" s="13" t="s">
        <v>120</v>
      </c>
      <c r="B32" s="14" t="s">
        <v>121</v>
      </c>
      <c r="C32" s="14"/>
      <c r="D32" s="14" t="s">
        <v>122</v>
      </c>
      <c r="E32" s="14">
        <f xml:space="preserve"> IF($S$34,1,0)</f>
        <v>1</v>
      </c>
      <c r="F32" s="14" t="s">
        <v>123</v>
      </c>
      <c r="G32" s="14">
        <v>0</v>
      </c>
      <c r="H32" s="14">
        <v>0</v>
      </c>
      <c r="I32" s="14">
        <v>2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5">
        <v>2</v>
      </c>
      <c r="R32" s="15">
        <v>0</v>
      </c>
      <c r="S32" s="15">
        <v>2</v>
      </c>
    </row>
    <row r="33" spans="1:19" x14ac:dyDescent="0.3">
      <c r="A33" s="10" t="s">
        <v>696</v>
      </c>
      <c r="B33" s="11" t="s">
        <v>697</v>
      </c>
      <c r="C33" s="11"/>
      <c r="D33" s="11" t="s">
        <v>698</v>
      </c>
      <c r="E33" s="11">
        <f xml:space="preserve"> IF($S$185,1,0)</f>
        <v>0</v>
      </c>
      <c r="F33" s="11" t="s">
        <v>699</v>
      </c>
      <c r="G33" s="11">
        <v>0</v>
      </c>
      <c r="H33" s="11">
        <v>1</v>
      </c>
      <c r="I33" s="11">
        <v>0</v>
      </c>
      <c r="J33" s="11">
        <v>0</v>
      </c>
      <c r="K33" s="11">
        <v>0</v>
      </c>
      <c r="L33" s="11">
        <v>0</v>
      </c>
      <c r="M33" s="11">
        <v>0</v>
      </c>
      <c r="N33" s="11">
        <v>0</v>
      </c>
      <c r="O33" s="11">
        <v>0</v>
      </c>
      <c r="P33" s="11">
        <v>0</v>
      </c>
      <c r="Q33" s="12">
        <v>2</v>
      </c>
      <c r="R33" s="12">
        <v>0</v>
      </c>
      <c r="S33" s="12">
        <v>2</v>
      </c>
    </row>
    <row r="34" spans="1:19" x14ac:dyDescent="0.3">
      <c r="A34" s="10" t="s">
        <v>1036</v>
      </c>
      <c r="B34" s="11" t="s">
        <v>1037</v>
      </c>
      <c r="C34" s="11"/>
      <c r="D34" s="11" t="s">
        <v>1038</v>
      </c>
      <c r="E34" s="11">
        <f xml:space="preserve"> IF($S$275,1,0)</f>
        <v>0</v>
      </c>
      <c r="F34" s="11" t="s">
        <v>1039</v>
      </c>
      <c r="G34" s="11">
        <v>0</v>
      </c>
      <c r="H34" s="11">
        <v>0</v>
      </c>
      <c r="I34" s="11">
        <v>2</v>
      </c>
      <c r="J34" s="11">
        <v>0</v>
      </c>
      <c r="K34" s="11">
        <v>0</v>
      </c>
      <c r="L34" s="11">
        <v>0</v>
      </c>
      <c r="M34" s="11">
        <v>0</v>
      </c>
      <c r="N34" s="11">
        <v>0</v>
      </c>
      <c r="O34" s="11">
        <v>0</v>
      </c>
      <c r="P34" s="11">
        <v>0</v>
      </c>
      <c r="Q34" s="12">
        <v>2</v>
      </c>
      <c r="R34" s="12">
        <v>0</v>
      </c>
      <c r="S34" s="12">
        <v>2</v>
      </c>
    </row>
    <row r="35" spans="1:19" x14ac:dyDescent="0.3">
      <c r="A35" s="10" t="s">
        <v>1155</v>
      </c>
      <c r="B35" s="11" t="s">
        <v>1156</v>
      </c>
      <c r="C35" s="11"/>
      <c r="D35" s="11" t="s">
        <v>1157</v>
      </c>
      <c r="E35" s="11">
        <f xml:space="preserve"> IF($S$309,1,0)</f>
        <v>0</v>
      </c>
      <c r="F35" s="11" t="s">
        <v>1158</v>
      </c>
      <c r="G35" s="11">
        <v>0</v>
      </c>
      <c r="H35" s="11">
        <v>0</v>
      </c>
      <c r="I35" s="11">
        <v>2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0</v>
      </c>
      <c r="Q35" s="12">
        <v>2</v>
      </c>
      <c r="R35" s="12">
        <v>0</v>
      </c>
      <c r="S35" s="12">
        <v>2</v>
      </c>
    </row>
    <row r="36" spans="1:19" x14ac:dyDescent="0.3">
      <c r="A36" s="13" t="s">
        <v>364</v>
      </c>
      <c r="B36" s="14" t="s">
        <v>358</v>
      </c>
      <c r="C36" s="14"/>
      <c r="D36" s="14" t="s">
        <v>365</v>
      </c>
      <c r="E36" s="14">
        <f xml:space="preserve"> IF($S$98,1,0)</f>
        <v>0</v>
      </c>
      <c r="F36" s="14" t="s">
        <v>366</v>
      </c>
      <c r="G36" s="14">
        <v>0</v>
      </c>
      <c r="H36" s="14">
        <v>0</v>
      </c>
      <c r="I36" s="14">
        <v>1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1</v>
      </c>
      <c r="P36" s="14">
        <v>0</v>
      </c>
      <c r="Q36" s="15">
        <v>1.5</v>
      </c>
      <c r="R36" s="15">
        <v>0</v>
      </c>
      <c r="S36" s="15">
        <v>1.5</v>
      </c>
    </row>
    <row r="37" spans="1:19" x14ac:dyDescent="0.3">
      <c r="A37" s="10" t="s">
        <v>1192</v>
      </c>
      <c r="B37" s="11" t="s">
        <v>1193</v>
      </c>
      <c r="C37" s="11"/>
      <c r="D37" s="11" t="s">
        <v>1194</v>
      </c>
      <c r="E37" s="11">
        <f xml:space="preserve"> IF($S$319,1,0)</f>
        <v>0</v>
      </c>
      <c r="F37" s="11" t="s">
        <v>1195</v>
      </c>
      <c r="G37" s="11">
        <v>0</v>
      </c>
      <c r="H37" s="11">
        <v>0</v>
      </c>
      <c r="I37" s="11">
        <v>1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2">
        <v>1</v>
      </c>
      <c r="R37" s="12">
        <v>0</v>
      </c>
      <c r="S37" s="12">
        <v>1</v>
      </c>
    </row>
    <row r="38" spans="1:19" x14ac:dyDescent="0.3">
      <c r="A38" s="10" t="s">
        <v>1214</v>
      </c>
      <c r="B38" s="11" t="s">
        <v>1215</v>
      </c>
      <c r="C38" s="11"/>
      <c r="D38" s="11" t="s">
        <v>1216</v>
      </c>
      <c r="E38" s="11">
        <f xml:space="preserve"> IF($S$325,1,0)</f>
        <v>0</v>
      </c>
      <c r="F38" s="11" t="s">
        <v>1217</v>
      </c>
      <c r="G38" s="11">
        <v>0</v>
      </c>
      <c r="H38" s="11">
        <v>0</v>
      </c>
      <c r="I38" s="11">
        <v>1</v>
      </c>
      <c r="J38" s="11">
        <v>0</v>
      </c>
      <c r="K38" s="11">
        <v>0</v>
      </c>
      <c r="L38" s="11">
        <v>0</v>
      </c>
      <c r="M38" s="11">
        <v>0</v>
      </c>
      <c r="N38" s="11">
        <v>0</v>
      </c>
      <c r="O38" s="11">
        <v>0</v>
      </c>
      <c r="P38" s="11">
        <v>0</v>
      </c>
      <c r="Q38" s="12">
        <v>1</v>
      </c>
      <c r="R38" s="12">
        <v>0</v>
      </c>
      <c r="S38" s="12">
        <v>1</v>
      </c>
    </row>
    <row r="39" spans="1:19" x14ac:dyDescent="0.3">
      <c r="A39" s="13" t="s">
        <v>401</v>
      </c>
      <c r="B39" s="14" t="s">
        <v>402</v>
      </c>
      <c r="C39" s="14"/>
      <c r="D39" s="14" t="s">
        <v>403</v>
      </c>
      <c r="E39" s="14">
        <f xml:space="preserve"> IF($S$108,1,0)</f>
        <v>0</v>
      </c>
      <c r="F39" s="14" t="s">
        <v>404</v>
      </c>
      <c r="G39" s="14">
        <v>0</v>
      </c>
      <c r="H39" s="14">
        <v>0</v>
      </c>
      <c r="I39" s="14">
        <v>0</v>
      </c>
      <c r="J39" s="14">
        <v>0</v>
      </c>
      <c r="K39" s="14">
        <v>0</v>
      </c>
      <c r="L39" s="14">
        <v>0</v>
      </c>
      <c r="M39" s="14">
        <v>0</v>
      </c>
      <c r="N39" s="14">
        <v>0</v>
      </c>
      <c r="O39" s="14">
        <v>1</v>
      </c>
      <c r="P39" s="14">
        <v>0</v>
      </c>
      <c r="Q39" s="15">
        <v>0.5</v>
      </c>
      <c r="R39" s="15">
        <v>0</v>
      </c>
      <c r="S39" s="15">
        <v>0.5</v>
      </c>
    </row>
    <row r="40" spans="1:19" x14ac:dyDescent="0.3">
      <c r="A40" s="10" t="s">
        <v>938</v>
      </c>
      <c r="B40" s="11" t="s">
        <v>939</v>
      </c>
      <c r="C40" s="11"/>
      <c r="D40" s="11" t="s">
        <v>940</v>
      </c>
      <c r="E40" s="11">
        <f xml:space="preserve"> IF($S$249,1,0)</f>
        <v>0</v>
      </c>
      <c r="F40" s="11" t="s">
        <v>941</v>
      </c>
      <c r="G40" s="11">
        <v>0</v>
      </c>
      <c r="H40" s="11">
        <v>0</v>
      </c>
      <c r="I40" s="11">
        <v>0</v>
      </c>
      <c r="J40" s="11">
        <v>0</v>
      </c>
      <c r="K40" s="11">
        <v>0</v>
      </c>
      <c r="L40" s="11">
        <v>0</v>
      </c>
      <c r="M40" s="11">
        <v>0</v>
      </c>
      <c r="N40" s="11">
        <v>0</v>
      </c>
      <c r="O40" s="11">
        <v>1</v>
      </c>
      <c r="P40" s="11">
        <v>0</v>
      </c>
      <c r="Q40" s="12">
        <v>0.5</v>
      </c>
      <c r="R40" s="12">
        <v>0</v>
      </c>
      <c r="S40" s="12">
        <v>0.5</v>
      </c>
    </row>
    <row r="41" spans="1:19" x14ac:dyDescent="0.3">
      <c r="A41" s="13" t="s">
        <v>28</v>
      </c>
      <c r="B41" s="14" t="s">
        <v>29</v>
      </c>
      <c r="C41" s="14"/>
      <c r="D41" s="14" t="s">
        <v>30</v>
      </c>
      <c r="E41" s="14">
        <f xml:space="preserve"> IF($S$10,1,0)</f>
        <v>1</v>
      </c>
      <c r="F41" s="14" t="s">
        <v>31</v>
      </c>
      <c r="G41" s="14">
        <v>0</v>
      </c>
      <c r="H41" s="14">
        <v>0</v>
      </c>
      <c r="I41" s="14">
        <v>0</v>
      </c>
      <c r="J41" s="14">
        <v>0</v>
      </c>
      <c r="K41" s="14">
        <v>0</v>
      </c>
      <c r="L41" s="14">
        <v>0</v>
      </c>
      <c r="M41" s="14">
        <v>0</v>
      </c>
      <c r="N41" s="14">
        <v>0</v>
      </c>
      <c r="O41" s="14">
        <v>0</v>
      </c>
      <c r="P41" s="14">
        <v>0</v>
      </c>
      <c r="Q41" s="15">
        <v>0</v>
      </c>
      <c r="R41" s="15">
        <v>0</v>
      </c>
      <c r="S41" s="15">
        <v>0</v>
      </c>
    </row>
    <row r="42" spans="1:19" x14ac:dyDescent="0.3">
      <c r="A42" s="10" t="s">
        <v>32</v>
      </c>
      <c r="B42" s="11" t="s">
        <v>33</v>
      </c>
      <c r="C42" s="11" t="s">
        <v>34</v>
      </c>
      <c r="D42" s="11" t="s">
        <v>35</v>
      </c>
      <c r="E42" s="11">
        <f xml:space="preserve"> IF($S$11,1,0)</f>
        <v>1</v>
      </c>
      <c r="F42" s="11" t="s">
        <v>36</v>
      </c>
      <c r="G42" s="11">
        <v>0</v>
      </c>
      <c r="H42" s="11">
        <v>0</v>
      </c>
      <c r="I42" s="11">
        <v>0</v>
      </c>
      <c r="J42" s="11">
        <v>0</v>
      </c>
      <c r="K42" s="11">
        <v>0</v>
      </c>
      <c r="L42" s="11">
        <v>0</v>
      </c>
      <c r="M42" s="11">
        <v>0</v>
      </c>
      <c r="N42" s="11">
        <v>0</v>
      </c>
      <c r="O42" s="11">
        <v>0</v>
      </c>
      <c r="P42" s="11">
        <v>0</v>
      </c>
      <c r="Q42" s="12">
        <v>0</v>
      </c>
      <c r="R42" s="12">
        <v>0</v>
      </c>
      <c r="S42" s="12">
        <v>0</v>
      </c>
    </row>
    <row r="43" spans="1:19" x14ac:dyDescent="0.3">
      <c r="A43" s="13" t="s">
        <v>37</v>
      </c>
      <c r="B43" s="14" t="s">
        <v>38</v>
      </c>
      <c r="C43" s="14"/>
      <c r="D43" s="14" t="s">
        <v>39</v>
      </c>
      <c r="E43" s="14">
        <f xml:space="preserve"> IF($S$12,1,0)</f>
        <v>1</v>
      </c>
      <c r="F43" s="14" t="s">
        <v>40</v>
      </c>
      <c r="G43" s="14">
        <v>0</v>
      </c>
      <c r="H43" s="14">
        <v>0</v>
      </c>
      <c r="I43" s="14">
        <v>0</v>
      </c>
      <c r="J43" s="14">
        <v>0</v>
      </c>
      <c r="K43" s="14">
        <v>0</v>
      </c>
      <c r="L43" s="14">
        <v>0</v>
      </c>
      <c r="M43" s="14">
        <v>0</v>
      </c>
      <c r="N43" s="14">
        <v>0</v>
      </c>
      <c r="O43" s="14">
        <v>0</v>
      </c>
      <c r="P43" s="14">
        <v>0</v>
      </c>
      <c r="Q43" s="15">
        <v>0</v>
      </c>
      <c r="R43" s="15">
        <v>0</v>
      </c>
      <c r="S43" s="15">
        <v>0</v>
      </c>
    </row>
    <row r="44" spans="1:19" x14ac:dyDescent="0.3">
      <c r="A44" s="10" t="s">
        <v>41</v>
      </c>
      <c r="B44" s="11" t="s">
        <v>38</v>
      </c>
      <c r="C44" s="11"/>
      <c r="D44" s="11" t="s">
        <v>42</v>
      </c>
      <c r="E44" s="11">
        <f xml:space="preserve"> IF($S$13,1,0)</f>
        <v>1</v>
      </c>
      <c r="F44" s="11" t="s">
        <v>43</v>
      </c>
      <c r="G44" s="11">
        <v>0</v>
      </c>
      <c r="H44" s="11">
        <v>0</v>
      </c>
      <c r="I44" s="11">
        <v>0</v>
      </c>
      <c r="J44" s="11">
        <v>0</v>
      </c>
      <c r="K44" s="11">
        <v>0</v>
      </c>
      <c r="L44" s="11">
        <v>0</v>
      </c>
      <c r="M44" s="11">
        <v>0</v>
      </c>
      <c r="N44" s="11">
        <v>0</v>
      </c>
      <c r="O44" s="11">
        <v>0</v>
      </c>
      <c r="P44" s="11">
        <v>0</v>
      </c>
      <c r="Q44" s="12">
        <v>0</v>
      </c>
      <c r="R44" s="12">
        <v>0</v>
      </c>
      <c r="S44" s="12">
        <v>0</v>
      </c>
    </row>
    <row r="45" spans="1:19" x14ac:dyDescent="0.3">
      <c r="A45" s="10" t="s">
        <v>48</v>
      </c>
      <c r="B45" s="11" t="s">
        <v>45</v>
      </c>
      <c r="C45" s="11"/>
      <c r="D45" s="11" t="s">
        <v>49</v>
      </c>
      <c r="E45" s="11">
        <f xml:space="preserve"> IF($S$15,1,0)</f>
        <v>1</v>
      </c>
      <c r="F45" s="11" t="s">
        <v>50</v>
      </c>
      <c r="G45" s="11">
        <v>0</v>
      </c>
      <c r="H45" s="11">
        <v>0</v>
      </c>
      <c r="I45" s="11">
        <v>0</v>
      </c>
      <c r="J45" s="11">
        <v>0</v>
      </c>
      <c r="K45" s="11">
        <v>0</v>
      </c>
      <c r="L45" s="11">
        <v>0</v>
      </c>
      <c r="M45" s="11">
        <v>0</v>
      </c>
      <c r="N45" s="11">
        <v>0</v>
      </c>
      <c r="O45" s="11">
        <v>0</v>
      </c>
      <c r="P45" s="11">
        <v>0</v>
      </c>
      <c r="Q45" s="12">
        <v>0</v>
      </c>
      <c r="R45" s="12">
        <v>0</v>
      </c>
      <c r="S45" s="12">
        <v>0</v>
      </c>
    </row>
    <row r="46" spans="1:19" x14ac:dyDescent="0.3">
      <c r="A46" s="13" t="s">
        <v>51</v>
      </c>
      <c r="B46" s="14" t="s">
        <v>52</v>
      </c>
      <c r="C46" s="14"/>
      <c r="D46" s="14" t="s">
        <v>53</v>
      </c>
      <c r="E46" s="14">
        <f xml:space="preserve"> IF($S$16,1,0)</f>
        <v>1</v>
      </c>
      <c r="F46" s="14" t="s">
        <v>54</v>
      </c>
      <c r="G46" s="14">
        <v>0</v>
      </c>
      <c r="H46" s="14">
        <v>0</v>
      </c>
      <c r="I46" s="14">
        <v>0</v>
      </c>
      <c r="J46" s="14">
        <v>0</v>
      </c>
      <c r="K46" s="14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5">
        <v>0</v>
      </c>
      <c r="R46" s="15">
        <v>0</v>
      </c>
      <c r="S46" s="15">
        <v>0</v>
      </c>
    </row>
    <row r="47" spans="1:19" x14ac:dyDescent="0.3">
      <c r="A47" s="10" t="s">
        <v>55</v>
      </c>
      <c r="B47" s="11" t="s">
        <v>56</v>
      </c>
      <c r="C47" s="11"/>
      <c r="D47" s="11" t="s">
        <v>57</v>
      </c>
      <c r="E47" s="11">
        <f xml:space="preserve"> IF($S$17,1,0)</f>
        <v>1</v>
      </c>
      <c r="F47" s="11" t="s">
        <v>58</v>
      </c>
      <c r="G47" s="11">
        <v>0</v>
      </c>
      <c r="H47" s="11">
        <v>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2">
        <v>0</v>
      </c>
      <c r="R47" s="12">
        <v>0</v>
      </c>
      <c r="S47" s="12">
        <v>0</v>
      </c>
    </row>
    <row r="48" spans="1:19" x14ac:dyDescent="0.3">
      <c r="A48" s="13" t="s">
        <v>59</v>
      </c>
      <c r="B48" s="14" t="s">
        <v>60</v>
      </c>
      <c r="C48" s="14"/>
      <c r="D48" s="14" t="s">
        <v>61</v>
      </c>
      <c r="E48" s="14">
        <f xml:space="preserve"> IF($S$18,1,0)</f>
        <v>1</v>
      </c>
      <c r="F48" s="14" t="s">
        <v>62</v>
      </c>
      <c r="G48" s="14">
        <v>0</v>
      </c>
      <c r="H48" s="14">
        <v>0</v>
      </c>
      <c r="I48" s="14">
        <v>0</v>
      </c>
      <c r="J48" s="14">
        <v>0</v>
      </c>
      <c r="K48" s="14">
        <v>0</v>
      </c>
      <c r="L48" s="14">
        <v>0</v>
      </c>
      <c r="M48" s="14">
        <v>0</v>
      </c>
      <c r="N48" s="14">
        <v>0</v>
      </c>
      <c r="O48" s="14">
        <v>0</v>
      </c>
      <c r="P48" s="14">
        <v>0</v>
      </c>
      <c r="Q48" s="15">
        <v>0</v>
      </c>
      <c r="R48" s="15">
        <v>0</v>
      </c>
      <c r="S48" s="15">
        <v>0</v>
      </c>
    </row>
    <row r="49" spans="1:19" x14ac:dyDescent="0.3">
      <c r="A49" s="10" t="s">
        <v>63</v>
      </c>
      <c r="B49" s="11" t="s">
        <v>64</v>
      </c>
      <c r="C49" s="11" t="s">
        <v>65</v>
      </c>
      <c r="D49" s="11" t="s">
        <v>66</v>
      </c>
      <c r="E49" s="11">
        <f xml:space="preserve"> IF($S$19,1,0)</f>
        <v>1</v>
      </c>
      <c r="F49" s="11" t="s">
        <v>67</v>
      </c>
      <c r="G49" s="11">
        <v>0</v>
      </c>
      <c r="H49" s="11">
        <v>0</v>
      </c>
      <c r="I49" s="11">
        <v>0</v>
      </c>
      <c r="J49" s="11">
        <v>0</v>
      </c>
      <c r="K49" s="11">
        <v>0</v>
      </c>
      <c r="L49" s="11">
        <v>0</v>
      </c>
      <c r="M49" s="11">
        <v>0</v>
      </c>
      <c r="N49" s="11">
        <v>0</v>
      </c>
      <c r="O49" s="11">
        <v>0</v>
      </c>
      <c r="P49" s="11">
        <v>0</v>
      </c>
      <c r="Q49" s="12">
        <v>0</v>
      </c>
      <c r="R49" s="12">
        <v>0</v>
      </c>
      <c r="S49" s="12">
        <v>0</v>
      </c>
    </row>
    <row r="50" spans="1:19" x14ac:dyDescent="0.3">
      <c r="A50" s="13" t="s">
        <v>68</v>
      </c>
      <c r="B50" s="14" t="s">
        <v>69</v>
      </c>
      <c r="C50" s="14"/>
      <c r="D50" s="14" t="s">
        <v>70</v>
      </c>
      <c r="E50" s="14">
        <f xml:space="preserve"> IF($S$20,1,0)</f>
        <v>1</v>
      </c>
      <c r="F50" s="14" t="s">
        <v>71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  <c r="M50" s="14">
        <v>0</v>
      </c>
      <c r="N50" s="14">
        <v>0</v>
      </c>
      <c r="O50" s="14">
        <v>0</v>
      </c>
      <c r="P50" s="14">
        <v>0</v>
      </c>
      <c r="Q50" s="15">
        <v>0</v>
      </c>
      <c r="R50" s="15">
        <v>0</v>
      </c>
      <c r="S50" s="15">
        <v>0</v>
      </c>
    </row>
    <row r="51" spans="1:19" x14ac:dyDescent="0.3">
      <c r="A51" s="10" t="s">
        <v>72</v>
      </c>
      <c r="B51" s="11" t="s">
        <v>73</v>
      </c>
      <c r="C51" s="11"/>
      <c r="D51" s="11" t="s">
        <v>74</v>
      </c>
      <c r="E51" s="11">
        <f xml:space="preserve"> IF($S$21,1,0)</f>
        <v>1</v>
      </c>
      <c r="F51" s="11" t="s">
        <v>75</v>
      </c>
      <c r="G51" s="11">
        <v>0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2">
        <v>0</v>
      </c>
      <c r="R51" s="12">
        <v>0</v>
      </c>
      <c r="S51" s="12">
        <v>0</v>
      </c>
    </row>
    <row r="52" spans="1:19" x14ac:dyDescent="0.3">
      <c r="A52" s="13" t="s">
        <v>76</v>
      </c>
      <c r="B52" s="14" t="s">
        <v>77</v>
      </c>
      <c r="C52" s="14"/>
      <c r="D52" s="14" t="s">
        <v>78</v>
      </c>
      <c r="E52" s="14">
        <f xml:space="preserve"> IF($S$22,1,0)</f>
        <v>1</v>
      </c>
      <c r="F52" s="14" t="s">
        <v>79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5">
        <v>0</v>
      </c>
      <c r="R52" s="15">
        <v>0</v>
      </c>
      <c r="S52" s="15">
        <v>0</v>
      </c>
    </row>
    <row r="53" spans="1:19" x14ac:dyDescent="0.3">
      <c r="A53" s="10" t="s">
        <v>80</v>
      </c>
      <c r="B53" s="11" t="s">
        <v>77</v>
      </c>
      <c r="C53" s="11" t="s">
        <v>65</v>
      </c>
      <c r="D53" s="11" t="s">
        <v>81</v>
      </c>
      <c r="E53" s="11">
        <f xml:space="preserve"> IF($S$23,1,0)</f>
        <v>1</v>
      </c>
      <c r="F53" s="11" t="s">
        <v>82</v>
      </c>
      <c r="G53" s="11">
        <v>0</v>
      </c>
      <c r="H53" s="11">
        <v>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2">
        <v>0</v>
      </c>
      <c r="R53" s="12">
        <v>0</v>
      </c>
      <c r="S53" s="12">
        <v>0</v>
      </c>
    </row>
    <row r="54" spans="1:19" x14ac:dyDescent="0.3">
      <c r="A54" s="13" t="s">
        <v>83</v>
      </c>
      <c r="B54" s="14" t="s">
        <v>84</v>
      </c>
      <c r="C54" s="14"/>
      <c r="D54" s="14" t="s">
        <v>81</v>
      </c>
      <c r="E54" s="14">
        <f xml:space="preserve"> IF($S$24,1,0)</f>
        <v>1</v>
      </c>
      <c r="F54" s="14" t="s">
        <v>85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5">
        <v>0</v>
      </c>
      <c r="R54" s="15">
        <v>0</v>
      </c>
      <c r="S54" s="15">
        <v>0</v>
      </c>
    </row>
    <row r="55" spans="1:19" x14ac:dyDescent="0.3">
      <c r="A55" s="10" t="s">
        <v>86</v>
      </c>
      <c r="B55" s="11" t="s">
        <v>87</v>
      </c>
      <c r="C55" s="11"/>
      <c r="D55" s="11" t="s">
        <v>88</v>
      </c>
      <c r="E55" s="11">
        <f xml:space="preserve"> IF($S$25,1,0)</f>
        <v>1</v>
      </c>
      <c r="F55" s="11" t="s">
        <v>89</v>
      </c>
      <c r="G55" s="11">
        <v>0</v>
      </c>
      <c r="H55" s="11">
        <v>0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2">
        <v>0</v>
      </c>
      <c r="R55" s="12">
        <v>0</v>
      </c>
      <c r="S55" s="12">
        <v>0</v>
      </c>
    </row>
    <row r="56" spans="1:19" x14ac:dyDescent="0.3">
      <c r="A56" s="13" t="s">
        <v>90</v>
      </c>
      <c r="B56" s="14" t="s">
        <v>91</v>
      </c>
      <c r="C56" s="14"/>
      <c r="D56" s="14" t="s">
        <v>92</v>
      </c>
      <c r="E56" s="14">
        <f xml:space="preserve"> IF($S$26,1,0)</f>
        <v>1</v>
      </c>
      <c r="F56" s="14" t="s">
        <v>93</v>
      </c>
      <c r="G56" s="14">
        <v>0</v>
      </c>
      <c r="H56" s="14">
        <v>0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5">
        <v>0</v>
      </c>
      <c r="R56" s="15">
        <v>0</v>
      </c>
      <c r="S56" s="15">
        <v>0</v>
      </c>
    </row>
    <row r="57" spans="1:19" x14ac:dyDescent="0.3">
      <c r="A57" s="10" t="s">
        <v>94</v>
      </c>
      <c r="B57" s="11" t="s">
        <v>95</v>
      </c>
      <c r="C57" s="11"/>
      <c r="D57" s="11" t="s">
        <v>96</v>
      </c>
      <c r="E57" s="11">
        <f xml:space="preserve"> IF($S$27,1,0)</f>
        <v>1</v>
      </c>
      <c r="F57" s="11" t="s">
        <v>97</v>
      </c>
      <c r="G57" s="11">
        <v>0</v>
      </c>
      <c r="H57" s="11">
        <v>0</v>
      </c>
      <c r="I57" s="11">
        <v>0</v>
      </c>
      <c r="J57" s="11">
        <v>0</v>
      </c>
      <c r="K57" s="11">
        <v>0</v>
      </c>
      <c r="L57" s="11">
        <v>0</v>
      </c>
      <c r="M57" s="11">
        <v>0</v>
      </c>
      <c r="N57" s="11">
        <v>0</v>
      </c>
      <c r="O57" s="11">
        <v>0</v>
      </c>
      <c r="P57" s="11">
        <v>0</v>
      </c>
      <c r="Q57" s="12">
        <v>0</v>
      </c>
      <c r="R57" s="12">
        <v>0</v>
      </c>
      <c r="S57" s="12">
        <v>0</v>
      </c>
    </row>
    <row r="58" spans="1:19" x14ac:dyDescent="0.3">
      <c r="A58" s="13" t="s">
        <v>98</v>
      </c>
      <c r="B58" s="14" t="s">
        <v>99</v>
      </c>
      <c r="C58" s="14"/>
      <c r="D58" s="14" t="s">
        <v>100</v>
      </c>
      <c r="E58" s="14">
        <f xml:space="preserve"> IF($S$28,1,0)</f>
        <v>1</v>
      </c>
      <c r="F58" s="14" t="s">
        <v>101</v>
      </c>
      <c r="G58" s="14">
        <v>0</v>
      </c>
      <c r="H58" s="14">
        <v>0</v>
      </c>
      <c r="I58" s="14">
        <v>0</v>
      </c>
      <c r="J58" s="14">
        <v>0</v>
      </c>
      <c r="K58" s="14">
        <v>0</v>
      </c>
      <c r="L58" s="14">
        <v>0</v>
      </c>
      <c r="M58" s="14">
        <v>0</v>
      </c>
      <c r="N58" s="14">
        <v>0</v>
      </c>
      <c r="O58" s="14">
        <v>0</v>
      </c>
      <c r="P58" s="14">
        <v>0</v>
      </c>
      <c r="Q58" s="15">
        <v>0</v>
      </c>
      <c r="R58" s="15">
        <v>0</v>
      </c>
      <c r="S58" s="15">
        <v>0</v>
      </c>
    </row>
    <row r="59" spans="1:19" x14ac:dyDescent="0.3">
      <c r="A59" s="10" t="s">
        <v>102</v>
      </c>
      <c r="B59" s="11" t="s">
        <v>103</v>
      </c>
      <c r="C59" s="11"/>
      <c r="D59" s="11" t="s">
        <v>104</v>
      </c>
      <c r="E59" s="11">
        <f xml:space="preserve"> IF($S$29,1,0)</f>
        <v>1</v>
      </c>
      <c r="F59" s="11" t="s">
        <v>105</v>
      </c>
      <c r="G59" s="11">
        <v>0</v>
      </c>
      <c r="H59" s="11">
        <v>0</v>
      </c>
      <c r="I59" s="11">
        <v>0</v>
      </c>
      <c r="J59" s="11">
        <v>0</v>
      </c>
      <c r="K59" s="11">
        <v>0</v>
      </c>
      <c r="L59" s="11">
        <v>0</v>
      </c>
      <c r="M59" s="11">
        <v>0</v>
      </c>
      <c r="N59" s="11">
        <v>0</v>
      </c>
      <c r="O59" s="11">
        <v>0</v>
      </c>
      <c r="P59" s="11">
        <v>0</v>
      </c>
      <c r="Q59" s="12">
        <v>0</v>
      </c>
      <c r="R59" s="12">
        <v>0</v>
      </c>
      <c r="S59" s="12">
        <v>0</v>
      </c>
    </row>
    <row r="60" spans="1:19" x14ac:dyDescent="0.3">
      <c r="A60" s="13" t="s">
        <v>106</v>
      </c>
      <c r="B60" s="14" t="s">
        <v>103</v>
      </c>
      <c r="C60" s="14"/>
      <c r="D60" s="14" t="s">
        <v>107</v>
      </c>
      <c r="E60" s="14">
        <f xml:space="preserve"> IF($S$30,1,0)</f>
        <v>1</v>
      </c>
      <c r="F60" s="14" t="s">
        <v>108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0</v>
      </c>
      <c r="M60" s="14">
        <v>0</v>
      </c>
      <c r="N60" s="14">
        <v>0</v>
      </c>
      <c r="O60" s="14">
        <v>0</v>
      </c>
      <c r="P60" s="14">
        <v>0</v>
      </c>
      <c r="Q60" s="15">
        <v>0</v>
      </c>
      <c r="R60" s="15">
        <v>0</v>
      </c>
      <c r="S60" s="15">
        <v>0</v>
      </c>
    </row>
    <row r="61" spans="1:19" x14ac:dyDescent="0.3">
      <c r="A61" s="10" t="s">
        <v>109</v>
      </c>
      <c r="B61" s="11" t="s">
        <v>103</v>
      </c>
      <c r="C61" s="11"/>
      <c r="D61" s="11" t="s">
        <v>110</v>
      </c>
      <c r="E61" s="11">
        <f xml:space="preserve"> IF($S$31,1,0)</f>
        <v>1</v>
      </c>
      <c r="F61" s="11" t="s">
        <v>111</v>
      </c>
      <c r="G61" s="11">
        <v>0</v>
      </c>
      <c r="H61" s="11">
        <v>0</v>
      </c>
      <c r="I61" s="11">
        <v>0</v>
      </c>
      <c r="J61" s="11">
        <v>0</v>
      </c>
      <c r="K61" s="11">
        <v>0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2">
        <v>0</v>
      </c>
      <c r="R61" s="12">
        <v>0</v>
      </c>
      <c r="S61" s="12">
        <v>0</v>
      </c>
    </row>
    <row r="62" spans="1:19" x14ac:dyDescent="0.3">
      <c r="A62" s="13" t="s">
        <v>112</v>
      </c>
      <c r="B62" s="14" t="s">
        <v>113</v>
      </c>
      <c r="C62" s="14"/>
      <c r="D62" s="14" t="s">
        <v>114</v>
      </c>
      <c r="E62" s="14">
        <f xml:space="preserve"> IF($S$32,1,0)</f>
        <v>1</v>
      </c>
      <c r="F62" s="14" t="s">
        <v>115</v>
      </c>
      <c r="G62" s="14">
        <v>0</v>
      </c>
      <c r="H62" s="14">
        <v>0</v>
      </c>
      <c r="I62" s="14">
        <v>0</v>
      </c>
      <c r="J62" s="14">
        <v>0</v>
      </c>
      <c r="K62" s="14">
        <v>0</v>
      </c>
      <c r="L62" s="14">
        <v>0</v>
      </c>
      <c r="M62" s="14">
        <v>0</v>
      </c>
      <c r="N62" s="14">
        <v>0</v>
      </c>
      <c r="O62" s="14">
        <v>0</v>
      </c>
      <c r="P62" s="14">
        <v>0</v>
      </c>
      <c r="Q62" s="15">
        <v>0</v>
      </c>
      <c r="R62" s="15">
        <v>0</v>
      </c>
      <c r="S62" s="15">
        <v>0</v>
      </c>
    </row>
    <row r="63" spans="1:19" x14ac:dyDescent="0.3">
      <c r="A63" s="10" t="s">
        <v>124</v>
      </c>
      <c r="B63" s="11" t="s">
        <v>125</v>
      </c>
      <c r="C63" s="11"/>
      <c r="D63" s="11" t="s">
        <v>126</v>
      </c>
      <c r="E63" s="11">
        <f xml:space="preserve"> IF($S$35,1,0)</f>
        <v>1</v>
      </c>
      <c r="F63" s="11" t="s">
        <v>127</v>
      </c>
      <c r="G63" s="11">
        <v>0</v>
      </c>
      <c r="H63" s="11">
        <v>0</v>
      </c>
      <c r="I63" s="11">
        <v>0</v>
      </c>
      <c r="J63" s="11">
        <v>0</v>
      </c>
      <c r="K63" s="11">
        <v>0</v>
      </c>
      <c r="L63" s="11">
        <v>0</v>
      </c>
      <c r="M63" s="11">
        <v>0</v>
      </c>
      <c r="N63" s="11">
        <v>0</v>
      </c>
      <c r="O63" s="11">
        <v>0</v>
      </c>
      <c r="P63" s="11">
        <v>0</v>
      </c>
      <c r="Q63" s="12">
        <v>0</v>
      </c>
      <c r="R63" s="12">
        <v>0</v>
      </c>
      <c r="S63" s="12">
        <v>0</v>
      </c>
    </row>
    <row r="64" spans="1:19" x14ac:dyDescent="0.3">
      <c r="A64" s="13" t="s">
        <v>128</v>
      </c>
      <c r="B64" s="14" t="s">
        <v>129</v>
      </c>
      <c r="C64" s="14" t="s">
        <v>34</v>
      </c>
      <c r="D64" s="14" t="s">
        <v>130</v>
      </c>
      <c r="E64" s="14">
        <f xml:space="preserve"> IF($S$36,1,0)</f>
        <v>1</v>
      </c>
      <c r="F64" s="14" t="s">
        <v>131</v>
      </c>
      <c r="G64" s="14">
        <v>0</v>
      </c>
      <c r="H64" s="14">
        <v>0</v>
      </c>
      <c r="I64" s="14">
        <v>0</v>
      </c>
      <c r="J64" s="14">
        <v>0</v>
      </c>
      <c r="K64" s="14">
        <v>0</v>
      </c>
      <c r="L64" s="14">
        <v>0</v>
      </c>
      <c r="M64" s="14">
        <v>0</v>
      </c>
      <c r="N64" s="14">
        <v>0</v>
      </c>
      <c r="O64" s="14">
        <v>0</v>
      </c>
      <c r="P64" s="14">
        <v>0</v>
      </c>
      <c r="Q64" s="15">
        <v>0</v>
      </c>
      <c r="R64" s="15">
        <v>0</v>
      </c>
      <c r="S64" s="15">
        <v>0</v>
      </c>
    </row>
    <row r="65" spans="1:19" x14ac:dyDescent="0.3">
      <c r="A65" s="10" t="s">
        <v>132</v>
      </c>
      <c r="B65" s="11" t="s">
        <v>133</v>
      </c>
      <c r="C65" s="11"/>
      <c r="D65" s="11" t="s">
        <v>134</v>
      </c>
      <c r="E65" s="11">
        <f xml:space="preserve"> IF($S$37,1,0)</f>
        <v>1</v>
      </c>
      <c r="F65" s="11" t="s">
        <v>135</v>
      </c>
      <c r="G65" s="11">
        <v>0</v>
      </c>
      <c r="H65" s="11">
        <v>0</v>
      </c>
      <c r="I65" s="11">
        <v>0</v>
      </c>
      <c r="J65" s="11">
        <v>0</v>
      </c>
      <c r="K65" s="11">
        <v>0</v>
      </c>
      <c r="L65" s="11">
        <v>0</v>
      </c>
      <c r="M65" s="11">
        <v>0</v>
      </c>
      <c r="N65" s="11">
        <v>0</v>
      </c>
      <c r="O65" s="11">
        <v>0</v>
      </c>
      <c r="P65" s="11">
        <v>0</v>
      </c>
      <c r="Q65" s="12">
        <v>0</v>
      </c>
      <c r="R65" s="12">
        <v>0</v>
      </c>
      <c r="S65" s="12">
        <v>0</v>
      </c>
    </row>
    <row r="66" spans="1:19" x14ac:dyDescent="0.3">
      <c r="A66" s="13" t="s">
        <v>136</v>
      </c>
      <c r="B66" s="14" t="s">
        <v>137</v>
      </c>
      <c r="C66" s="14"/>
      <c r="D66" s="14" t="s">
        <v>138</v>
      </c>
      <c r="E66" s="14">
        <f xml:space="preserve"> IF($S$38,1,0)</f>
        <v>1</v>
      </c>
      <c r="F66" s="14" t="s">
        <v>139</v>
      </c>
      <c r="G66" s="14">
        <v>0</v>
      </c>
      <c r="H66" s="14">
        <v>0</v>
      </c>
      <c r="I66" s="14">
        <v>0</v>
      </c>
      <c r="J66" s="14">
        <v>0</v>
      </c>
      <c r="K66" s="14">
        <v>0</v>
      </c>
      <c r="L66" s="14">
        <v>0</v>
      </c>
      <c r="M66" s="14">
        <v>0</v>
      </c>
      <c r="N66" s="14">
        <v>0</v>
      </c>
      <c r="O66" s="14">
        <v>0</v>
      </c>
      <c r="P66" s="14">
        <v>0</v>
      </c>
      <c r="Q66" s="15">
        <v>0</v>
      </c>
      <c r="R66" s="15">
        <v>0</v>
      </c>
      <c r="S66" s="15">
        <v>0</v>
      </c>
    </row>
    <row r="67" spans="1:19" x14ac:dyDescent="0.3">
      <c r="A67" s="10" t="s">
        <v>140</v>
      </c>
      <c r="B67" s="11" t="s">
        <v>141</v>
      </c>
      <c r="C67" s="11"/>
      <c r="D67" s="11" t="s">
        <v>142</v>
      </c>
      <c r="E67" s="11">
        <f xml:space="preserve"> IF($S$39,1,0)</f>
        <v>1</v>
      </c>
      <c r="F67" s="11" t="s">
        <v>143</v>
      </c>
      <c r="G67" s="11">
        <v>0</v>
      </c>
      <c r="H67" s="11">
        <v>0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2">
        <v>0</v>
      </c>
      <c r="R67" s="12">
        <v>0</v>
      </c>
      <c r="S67" s="12">
        <v>0</v>
      </c>
    </row>
    <row r="68" spans="1:19" x14ac:dyDescent="0.3">
      <c r="A68" s="10" t="s">
        <v>148</v>
      </c>
      <c r="B68" s="11" t="s">
        <v>149</v>
      </c>
      <c r="C68" s="11"/>
      <c r="D68" s="11" t="s">
        <v>150</v>
      </c>
      <c r="E68" s="11">
        <f xml:space="preserve"> IF($S$41,1,0)</f>
        <v>0</v>
      </c>
      <c r="F68" s="11" t="s">
        <v>151</v>
      </c>
      <c r="G68" s="11">
        <v>0</v>
      </c>
      <c r="H68" s="11">
        <v>0</v>
      </c>
      <c r="I68" s="11">
        <v>0</v>
      </c>
      <c r="J68" s="11">
        <v>0</v>
      </c>
      <c r="K68" s="11">
        <v>0</v>
      </c>
      <c r="L68" s="11">
        <v>0</v>
      </c>
      <c r="M68" s="11">
        <v>0</v>
      </c>
      <c r="N68" s="11">
        <v>0</v>
      </c>
      <c r="O68" s="11">
        <v>0</v>
      </c>
      <c r="P68" s="11">
        <v>0</v>
      </c>
      <c r="Q68" s="12">
        <v>0</v>
      </c>
      <c r="R68" s="12">
        <v>0</v>
      </c>
      <c r="S68" s="12">
        <v>0</v>
      </c>
    </row>
    <row r="69" spans="1:19" x14ac:dyDescent="0.3">
      <c r="A69" s="10" t="s">
        <v>156</v>
      </c>
      <c r="B69" s="11" t="s">
        <v>157</v>
      </c>
      <c r="C69" s="11" t="s">
        <v>65</v>
      </c>
      <c r="D69" s="11" t="s">
        <v>158</v>
      </c>
      <c r="E69" s="11">
        <f xml:space="preserve"> IF($S$43,1,0)</f>
        <v>0</v>
      </c>
      <c r="F69" s="11" t="s">
        <v>159</v>
      </c>
      <c r="G69" s="11">
        <v>0</v>
      </c>
      <c r="H69" s="11">
        <v>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2">
        <v>0</v>
      </c>
      <c r="R69" s="12">
        <v>0</v>
      </c>
      <c r="S69" s="12">
        <v>0</v>
      </c>
    </row>
    <row r="70" spans="1:19" x14ac:dyDescent="0.3">
      <c r="A70" s="13" t="s">
        <v>160</v>
      </c>
      <c r="B70" s="14" t="s">
        <v>161</v>
      </c>
      <c r="C70" s="14"/>
      <c r="D70" s="14" t="s">
        <v>162</v>
      </c>
      <c r="E70" s="14">
        <f xml:space="preserve"> IF($S$44,1,0)</f>
        <v>0</v>
      </c>
      <c r="F70" s="14" t="s">
        <v>163</v>
      </c>
      <c r="G70" s="14">
        <v>0</v>
      </c>
      <c r="H70" s="14">
        <v>0</v>
      </c>
      <c r="I70" s="14">
        <v>0</v>
      </c>
      <c r="J70" s="14">
        <v>0</v>
      </c>
      <c r="K70" s="14">
        <v>0</v>
      </c>
      <c r="L70" s="14">
        <v>0</v>
      </c>
      <c r="M70" s="14">
        <v>0</v>
      </c>
      <c r="N70" s="14">
        <v>0</v>
      </c>
      <c r="O70" s="14">
        <v>0</v>
      </c>
      <c r="P70" s="14">
        <v>0</v>
      </c>
      <c r="Q70" s="15">
        <v>0</v>
      </c>
      <c r="R70" s="15">
        <v>0</v>
      </c>
      <c r="S70" s="15">
        <v>0</v>
      </c>
    </row>
    <row r="71" spans="1:19" x14ac:dyDescent="0.3">
      <c r="A71" s="10" t="s">
        <v>164</v>
      </c>
      <c r="B71" s="11" t="s">
        <v>165</v>
      </c>
      <c r="C71" s="11"/>
      <c r="D71" s="11" t="s">
        <v>166</v>
      </c>
      <c r="E71" s="11">
        <f xml:space="preserve"> IF($S$45,1,0)</f>
        <v>0</v>
      </c>
      <c r="F71" s="11" t="s">
        <v>167</v>
      </c>
      <c r="G71" s="11">
        <v>0</v>
      </c>
      <c r="H71" s="11">
        <v>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0</v>
      </c>
      <c r="O71" s="11">
        <v>0</v>
      </c>
      <c r="P71" s="11">
        <v>0</v>
      </c>
      <c r="Q71" s="12">
        <v>0</v>
      </c>
      <c r="R71" s="12">
        <v>0</v>
      </c>
      <c r="S71" s="12">
        <v>0</v>
      </c>
    </row>
    <row r="72" spans="1:19" x14ac:dyDescent="0.3">
      <c r="A72" s="13" t="s">
        <v>168</v>
      </c>
      <c r="B72" s="14" t="s">
        <v>169</v>
      </c>
      <c r="C72" s="14" t="s">
        <v>65</v>
      </c>
      <c r="D72" s="14" t="s">
        <v>170</v>
      </c>
      <c r="E72" s="14">
        <f xml:space="preserve"> IF($S$46,1,0)</f>
        <v>0</v>
      </c>
      <c r="F72" s="14" t="s">
        <v>171</v>
      </c>
      <c r="G72" s="14">
        <v>0</v>
      </c>
      <c r="H72" s="14">
        <v>0</v>
      </c>
      <c r="I72" s="14">
        <v>0</v>
      </c>
      <c r="J72" s="14">
        <v>0</v>
      </c>
      <c r="K72" s="14">
        <v>0</v>
      </c>
      <c r="L72" s="14">
        <v>0</v>
      </c>
      <c r="M72" s="14">
        <v>0</v>
      </c>
      <c r="N72" s="14">
        <v>0</v>
      </c>
      <c r="O72" s="14">
        <v>0</v>
      </c>
      <c r="P72" s="14">
        <v>0</v>
      </c>
      <c r="Q72" s="15">
        <v>0</v>
      </c>
      <c r="R72" s="15">
        <v>0</v>
      </c>
      <c r="S72" s="15">
        <v>0</v>
      </c>
    </row>
    <row r="73" spans="1:19" x14ac:dyDescent="0.3">
      <c r="A73" s="10" t="s">
        <v>172</v>
      </c>
      <c r="B73" s="11" t="s">
        <v>173</v>
      </c>
      <c r="C73" s="11"/>
      <c r="D73" s="11" t="s">
        <v>174</v>
      </c>
      <c r="E73" s="11">
        <f xml:space="preserve"> IF($S$47,1,0)</f>
        <v>0</v>
      </c>
      <c r="F73" s="11" t="s">
        <v>175</v>
      </c>
      <c r="G73" s="11">
        <v>0</v>
      </c>
      <c r="H73" s="11">
        <v>0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2">
        <v>0</v>
      </c>
      <c r="R73" s="12">
        <v>0</v>
      </c>
      <c r="S73" s="12">
        <v>0</v>
      </c>
    </row>
    <row r="74" spans="1:19" x14ac:dyDescent="0.3">
      <c r="A74" s="13" t="s">
        <v>183</v>
      </c>
      <c r="B74" s="14" t="s">
        <v>177</v>
      </c>
      <c r="C74" s="14"/>
      <c r="D74" s="14" t="s">
        <v>184</v>
      </c>
      <c r="E74" s="14">
        <f xml:space="preserve"> IF($S$50,1,0)</f>
        <v>0</v>
      </c>
      <c r="F74" s="14" t="s">
        <v>185</v>
      </c>
      <c r="G74" s="14">
        <v>0</v>
      </c>
      <c r="H74" s="14">
        <v>0</v>
      </c>
      <c r="I74" s="14">
        <v>0</v>
      </c>
      <c r="J74" s="14">
        <v>0</v>
      </c>
      <c r="K74" s="14">
        <v>0</v>
      </c>
      <c r="L74" s="14">
        <v>0</v>
      </c>
      <c r="M74" s="14">
        <v>0</v>
      </c>
      <c r="N74" s="14">
        <v>0</v>
      </c>
      <c r="O74" s="14">
        <v>0</v>
      </c>
      <c r="P74" s="14">
        <v>0</v>
      </c>
      <c r="Q74" s="15">
        <v>0</v>
      </c>
      <c r="R74" s="15">
        <v>0</v>
      </c>
      <c r="S74" s="15">
        <v>0</v>
      </c>
    </row>
    <row r="75" spans="1:19" x14ac:dyDescent="0.3">
      <c r="A75" s="10" t="s">
        <v>186</v>
      </c>
      <c r="B75" s="11" t="s">
        <v>177</v>
      </c>
      <c r="C75" s="11"/>
      <c r="D75" s="11" t="s">
        <v>187</v>
      </c>
      <c r="E75" s="11">
        <f xml:space="preserve"> IF($S$51,1,0)</f>
        <v>0</v>
      </c>
      <c r="F75" s="11" t="s">
        <v>188</v>
      </c>
      <c r="G75" s="11">
        <v>0</v>
      </c>
      <c r="H75" s="11">
        <v>0</v>
      </c>
      <c r="I75" s="11">
        <v>0</v>
      </c>
      <c r="J75" s="11">
        <v>0</v>
      </c>
      <c r="K75" s="11">
        <v>0</v>
      </c>
      <c r="L75" s="11">
        <v>0</v>
      </c>
      <c r="M75" s="11">
        <v>0</v>
      </c>
      <c r="N75" s="11">
        <v>0</v>
      </c>
      <c r="O75" s="11">
        <v>0</v>
      </c>
      <c r="P75" s="11">
        <v>0</v>
      </c>
      <c r="Q75" s="12">
        <v>0</v>
      </c>
      <c r="R75" s="12">
        <v>0</v>
      </c>
      <c r="S75" s="12">
        <v>0</v>
      </c>
    </row>
    <row r="76" spans="1:19" x14ac:dyDescent="0.3">
      <c r="A76" s="13" t="s">
        <v>189</v>
      </c>
      <c r="B76" s="14" t="s">
        <v>177</v>
      </c>
      <c r="C76" s="14"/>
      <c r="D76" s="14" t="s">
        <v>190</v>
      </c>
      <c r="E76" s="14">
        <f xml:space="preserve"> IF($S$52,1,0)</f>
        <v>0</v>
      </c>
      <c r="F76" s="14" t="s">
        <v>191</v>
      </c>
      <c r="G76" s="14">
        <v>0</v>
      </c>
      <c r="H76" s="14">
        <v>0</v>
      </c>
      <c r="I76" s="14">
        <v>0</v>
      </c>
      <c r="J76" s="14">
        <v>0</v>
      </c>
      <c r="K76" s="14">
        <v>0</v>
      </c>
      <c r="L76" s="14">
        <v>0</v>
      </c>
      <c r="M76" s="14">
        <v>0</v>
      </c>
      <c r="N76" s="14">
        <v>0</v>
      </c>
      <c r="O76" s="14">
        <v>0</v>
      </c>
      <c r="P76" s="14">
        <v>0</v>
      </c>
      <c r="Q76" s="15">
        <v>0</v>
      </c>
      <c r="R76" s="15">
        <v>0</v>
      </c>
      <c r="S76" s="15">
        <v>0</v>
      </c>
    </row>
    <row r="77" spans="1:19" x14ac:dyDescent="0.3">
      <c r="A77" s="10" t="s">
        <v>192</v>
      </c>
      <c r="B77" s="11" t="s">
        <v>177</v>
      </c>
      <c r="C77" s="11"/>
      <c r="D77" s="11" t="s">
        <v>193</v>
      </c>
      <c r="E77" s="11">
        <f xml:space="preserve"> IF($S$53,1,0)</f>
        <v>0</v>
      </c>
      <c r="F77" s="11" t="s">
        <v>194</v>
      </c>
      <c r="G77" s="11">
        <v>0</v>
      </c>
      <c r="H77" s="11">
        <v>0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2">
        <v>0</v>
      </c>
      <c r="R77" s="12">
        <v>0</v>
      </c>
      <c r="S77" s="12">
        <v>0</v>
      </c>
    </row>
    <row r="78" spans="1:19" x14ac:dyDescent="0.3">
      <c r="A78" s="13" t="s">
        <v>195</v>
      </c>
      <c r="B78" s="14" t="s">
        <v>177</v>
      </c>
      <c r="C78" s="14"/>
      <c r="D78" s="14" t="s">
        <v>196</v>
      </c>
      <c r="E78" s="14">
        <f xml:space="preserve"> IF($S$54,1,0)</f>
        <v>0</v>
      </c>
      <c r="F78" s="14" t="s">
        <v>197</v>
      </c>
      <c r="G78" s="14">
        <v>0</v>
      </c>
      <c r="H78" s="14">
        <v>0</v>
      </c>
      <c r="I78" s="14">
        <v>0</v>
      </c>
      <c r="J78" s="14">
        <v>0</v>
      </c>
      <c r="K78" s="14">
        <v>0</v>
      </c>
      <c r="L78" s="14">
        <v>0</v>
      </c>
      <c r="M78" s="14">
        <v>0</v>
      </c>
      <c r="N78" s="14">
        <v>0</v>
      </c>
      <c r="O78" s="14">
        <v>0</v>
      </c>
      <c r="P78" s="14">
        <v>0</v>
      </c>
      <c r="Q78" s="15">
        <v>0</v>
      </c>
      <c r="R78" s="15">
        <v>0</v>
      </c>
      <c r="S78" s="15">
        <v>0</v>
      </c>
    </row>
    <row r="79" spans="1:19" x14ac:dyDescent="0.3">
      <c r="A79" s="10" t="s">
        <v>198</v>
      </c>
      <c r="B79" s="11" t="s">
        <v>177</v>
      </c>
      <c r="C79" s="11" t="s">
        <v>65</v>
      </c>
      <c r="D79" s="11" t="s">
        <v>199</v>
      </c>
      <c r="E79" s="11">
        <f xml:space="preserve"> IF($S$55,1,0)</f>
        <v>0</v>
      </c>
      <c r="F79" s="11" t="s">
        <v>200</v>
      </c>
      <c r="G79" s="11">
        <v>0</v>
      </c>
      <c r="H79" s="11">
        <v>0</v>
      </c>
      <c r="I79" s="11">
        <v>0</v>
      </c>
      <c r="J79" s="11">
        <v>0</v>
      </c>
      <c r="K79" s="11">
        <v>0</v>
      </c>
      <c r="L79" s="11">
        <v>0</v>
      </c>
      <c r="M79" s="11">
        <v>0</v>
      </c>
      <c r="N79" s="11">
        <v>0</v>
      </c>
      <c r="O79" s="11">
        <v>0</v>
      </c>
      <c r="P79" s="11">
        <v>0</v>
      </c>
      <c r="Q79" s="12">
        <v>0</v>
      </c>
      <c r="R79" s="12">
        <v>0</v>
      </c>
      <c r="S79" s="12">
        <v>0</v>
      </c>
    </row>
    <row r="80" spans="1:19" x14ac:dyDescent="0.3">
      <c r="A80" s="13" t="s">
        <v>201</v>
      </c>
      <c r="B80" s="14" t="s">
        <v>177</v>
      </c>
      <c r="C80" s="14" t="s">
        <v>202</v>
      </c>
      <c r="D80" s="14" t="s">
        <v>203</v>
      </c>
      <c r="E80" s="14">
        <f xml:space="preserve"> IF($S$56,1,0)</f>
        <v>0</v>
      </c>
      <c r="F80" s="14" t="s">
        <v>204</v>
      </c>
      <c r="G80" s="14">
        <v>0</v>
      </c>
      <c r="H80" s="14">
        <v>0</v>
      </c>
      <c r="I80" s="14">
        <v>0</v>
      </c>
      <c r="J80" s="14">
        <v>0</v>
      </c>
      <c r="K80" s="14">
        <v>0</v>
      </c>
      <c r="L80" s="14">
        <v>0</v>
      </c>
      <c r="M80" s="14">
        <v>0</v>
      </c>
      <c r="N80" s="14">
        <v>0</v>
      </c>
      <c r="O80" s="14">
        <v>0</v>
      </c>
      <c r="P80" s="14">
        <v>0</v>
      </c>
      <c r="Q80" s="15">
        <v>0</v>
      </c>
      <c r="R80" s="15">
        <v>0</v>
      </c>
      <c r="S80" s="15">
        <v>0</v>
      </c>
    </row>
    <row r="81" spans="1:19" x14ac:dyDescent="0.3">
      <c r="A81" s="10" t="s">
        <v>205</v>
      </c>
      <c r="B81" s="11" t="s">
        <v>206</v>
      </c>
      <c r="C81" s="11"/>
      <c r="D81" s="11" t="s">
        <v>207</v>
      </c>
      <c r="E81" s="11">
        <f xml:space="preserve"> IF($S$57,1,0)</f>
        <v>0</v>
      </c>
      <c r="F81" s="11" t="s">
        <v>208</v>
      </c>
      <c r="G81" s="11">
        <v>0</v>
      </c>
      <c r="H81" s="11">
        <v>0</v>
      </c>
      <c r="I81" s="11">
        <v>0</v>
      </c>
      <c r="J81" s="11">
        <v>0</v>
      </c>
      <c r="K81" s="11">
        <v>0</v>
      </c>
      <c r="L81" s="11">
        <v>0</v>
      </c>
      <c r="M81" s="11">
        <v>0</v>
      </c>
      <c r="N81" s="11">
        <v>0</v>
      </c>
      <c r="O81" s="11">
        <v>0</v>
      </c>
      <c r="P81" s="11">
        <v>0</v>
      </c>
      <c r="Q81" s="12">
        <v>0</v>
      </c>
      <c r="R81" s="12">
        <v>0</v>
      </c>
      <c r="S81" s="12">
        <v>0</v>
      </c>
    </row>
    <row r="82" spans="1:19" x14ac:dyDescent="0.3">
      <c r="A82" s="13" t="s">
        <v>209</v>
      </c>
      <c r="B82" s="14" t="s">
        <v>210</v>
      </c>
      <c r="C82" s="14"/>
      <c r="D82" s="14" t="s">
        <v>211</v>
      </c>
      <c r="E82" s="14">
        <f xml:space="preserve"> IF($S$58,1,0)</f>
        <v>0</v>
      </c>
      <c r="F82" s="14" t="s">
        <v>212</v>
      </c>
      <c r="G82" s="14">
        <v>0</v>
      </c>
      <c r="H82" s="14">
        <v>0</v>
      </c>
      <c r="I82" s="14">
        <v>0</v>
      </c>
      <c r="J82" s="14">
        <v>0</v>
      </c>
      <c r="K82" s="14">
        <v>0</v>
      </c>
      <c r="L82" s="14">
        <v>0</v>
      </c>
      <c r="M82" s="14">
        <v>0</v>
      </c>
      <c r="N82" s="14">
        <v>0</v>
      </c>
      <c r="O82" s="14">
        <v>0</v>
      </c>
      <c r="P82" s="14">
        <v>0</v>
      </c>
      <c r="Q82" s="15">
        <v>0</v>
      </c>
      <c r="R82" s="15">
        <v>0</v>
      </c>
      <c r="S82" s="15">
        <v>0</v>
      </c>
    </row>
    <row r="83" spans="1:19" x14ac:dyDescent="0.3">
      <c r="A83" s="10" t="s">
        <v>213</v>
      </c>
      <c r="B83" s="11" t="s">
        <v>210</v>
      </c>
      <c r="C83" s="11"/>
      <c r="D83" s="11" t="s">
        <v>214</v>
      </c>
      <c r="E83" s="11">
        <f xml:space="preserve"> IF($S$59,1,0)</f>
        <v>0</v>
      </c>
      <c r="F83" s="11" t="s">
        <v>215</v>
      </c>
      <c r="G83" s="11">
        <v>0</v>
      </c>
      <c r="H83" s="11">
        <v>0</v>
      </c>
      <c r="I83" s="11">
        <v>0</v>
      </c>
      <c r="J83" s="11">
        <v>0</v>
      </c>
      <c r="K83" s="11">
        <v>0</v>
      </c>
      <c r="L83" s="11">
        <v>0</v>
      </c>
      <c r="M83" s="11">
        <v>0</v>
      </c>
      <c r="N83" s="11">
        <v>0</v>
      </c>
      <c r="O83" s="11">
        <v>0</v>
      </c>
      <c r="P83" s="11">
        <v>0</v>
      </c>
      <c r="Q83" s="12">
        <v>0</v>
      </c>
      <c r="R83" s="12">
        <v>0</v>
      </c>
      <c r="S83" s="12">
        <v>0</v>
      </c>
    </row>
    <row r="84" spans="1:19" x14ac:dyDescent="0.3">
      <c r="A84" s="13" t="s">
        <v>216</v>
      </c>
      <c r="B84" s="14" t="s">
        <v>217</v>
      </c>
      <c r="C84" s="14"/>
      <c r="D84" s="14" t="s">
        <v>218</v>
      </c>
      <c r="E84" s="14">
        <f xml:space="preserve"> IF($S$60,1,0)</f>
        <v>0</v>
      </c>
      <c r="F84" s="14" t="s">
        <v>219</v>
      </c>
      <c r="G84" s="14">
        <v>0</v>
      </c>
      <c r="H84" s="14">
        <v>0</v>
      </c>
      <c r="I84" s="14">
        <v>0</v>
      </c>
      <c r="J84" s="14">
        <v>0</v>
      </c>
      <c r="K84" s="14">
        <v>0</v>
      </c>
      <c r="L84" s="14">
        <v>0</v>
      </c>
      <c r="M84" s="14">
        <v>0</v>
      </c>
      <c r="N84" s="14">
        <v>0</v>
      </c>
      <c r="O84" s="14">
        <v>0</v>
      </c>
      <c r="P84" s="14">
        <v>0</v>
      </c>
      <c r="Q84" s="15">
        <v>0</v>
      </c>
      <c r="R84" s="15">
        <v>0</v>
      </c>
      <c r="S84" s="15">
        <v>0</v>
      </c>
    </row>
    <row r="85" spans="1:19" x14ac:dyDescent="0.3">
      <c r="A85" s="10" t="s">
        <v>220</v>
      </c>
      <c r="B85" s="11" t="s">
        <v>221</v>
      </c>
      <c r="C85" s="11" t="s">
        <v>34</v>
      </c>
      <c r="D85" s="11" t="s">
        <v>222</v>
      </c>
      <c r="E85" s="11">
        <f xml:space="preserve"> IF($S$61,1,0)</f>
        <v>0</v>
      </c>
      <c r="F85" s="11" t="s">
        <v>223</v>
      </c>
      <c r="G85" s="11">
        <v>0</v>
      </c>
      <c r="H85" s="11">
        <v>0</v>
      </c>
      <c r="I85" s="11">
        <v>0</v>
      </c>
      <c r="J85" s="11">
        <v>0</v>
      </c>
      <c r="K85" s="11">
        <v>0</v>
      </c>
      <c r="L85" s="11">
        <v>0</v>
      </c>
      <c r="M85" s="11">
        <v>0</v>
      </c>
      <c r="N85" s="11">
        <v>0</v>
      </c>
      <c r="O85" s="11">
        <v>0</v>
      </c>
      <c r="P85" s="11">
        <v>0</v>
      </c>
      <c r="Q85" s="12">
        <v>0</v>
      </c>
      <c r="R85" s="12">
        <v>0</v>
      </c>
      <c r="S85" s="12">
        <v>0</v>
      </c>
    </row>
    <row r="86" spans="1:19" x14ac:dyDescent="0.3">
      <c r="A86" s="13" t="s">
        <v>224</v>
      </c>
      <c r="B86" s="14" t="s">
        <v>225</v>
      </c>
      <c r="C86" s="14"/>
      <c r="D86" s="14" t="s">
        <v>226</v>
      </c>
      <c r="E86" s="14">
        <f xml:space="preserve"> IF($S$62,1,0)</f>
        <v>0</v>
      </c>
      <c r="F86" s="14" t="s">
        <v>227</v>
      </c>
      <c r="G86" s="14">
        <v>0</v>
      </c>
      <c r="H86" s="14">
        <v>0</v>
      </c>
      <c r="I86" s="14">
        <v>0</v>
      </c>
      <c r="J86" s="14">
        <v>0</v>
      </c>
      <c r="K86" s="14">
        <v>0</v>
      </c>
      <c r="L86" s="14">
        <v>0</v>
      </c>
      <c r="M86" s="14">
        <v>0</v>
      </c>
      <c r="N86" s="14">
        <v>0</v>
      </c>
      <c r="O86" s="14">
        <v>0</v>
      </c>
      <c r="P86" s="14">
        <v>0</v>
      </c>
      <c r="Q86" s="15">
        <v>0</v>
      </c>
      <c r="R86" s="15">
        <v>0</v>
      </c>
      <c r="S86" s="15">
        <v>0</v>
      </c>
    </row>
    <row r="87" spans="1:19" x14ac:dyDescent="0.3">
      <c r="A87" s="10" t="s">
        <v>228</v>
      </c>
      <c r="B87" s="11" t="s">
        <v>225</v>
      </c>
      <c r="C87" s="11"/>
      <c r="D87" s="11" t="s">
        <v>229</v>
      </c>
      <c r="E87" s="11">
        <f xml:space="preserve"> IF($S$63,1,0)</f>
        <v>0</v>
      </c>
      <c r="F87" s="11" t="s">
        <v>230</v>
      </c>
      <c r="G87" s="11">
        <v>0</v>
      </c>
      <c r="H87" s="11">
        <v>0</v>
      </c>
      <c r="I87" s="11">
        <v>0</v>
      </c>
      <c r="J87" s="11">
        <v>0</v>
      </c>
      <c r="K87" s="11">
        <v>0</v>
      </c>
      <c r="L87" s="11">
        <v>0</v>
      </c>
      <c r="M87" s="11">
        <v>0</v>
      </c>
      <c r="N87" s="11">
        <v>0</v>
      </c>
      <c r="O87" s="11">
        <v>0</v>
      </c>
      <c r="P87" s="11">
        <v>0</v>
      </c>
      <c r="Q87" s="12">
        <v>0</v>
      </c>
      <c r="R87" s="12">
        <v>0</v>
      </c>
      <c r="S87" s="12">
        <v>0</v>
      </c>
    </row>
    <row r="88" spans="1:19" x14ac:dyDescent="0.3">
      <c r="A88" s="13" t="s">
        <v>231</v>
      </c>
      <c r="B88" s="14" t="s">
        <v>225</v>
      </c>
      <c r="C88" s="14"/>
      <c r="D88" s="14" t="s">
        <v>232</v>
      </c>
      <c r="E88" s="14">
        <f xml:space="preserve"> IF($S$64,1,0)</f>
        <v>0</v>
      </c>
      <c r="F88" s="14" t="s">
        <v>233</v>
      </c>
      <c r="G88" s="14">
        <v>0</v>
      </c>
      <c r="H88" s="14">
        <v>0</v>
      </c>
      <c r="I88" s="14">
        <v>0</v>
      </c>
      <c r="J88" s="14">
        <v>0</v>
      </c>
      <c r="K88" s="14">
        <v>0</v>
      </c>
      <c r="L88" s="14">
        <v>0</v>
      </c>
      <c r="M88" s="14">
        <v>0</v>
      </c>
      <c r="N88" s="14">
        <v>0</v>
      </c>
      <c r="O88" s="14">
        <v>0</v>
      </c>
      <c r="P88" s="14">
        <v>0</v>
      </c>
      <c r="Q88" s="15">
        <v>0</v>
      </c>
      <c r="R88" s="15">
        <v>0</v>
      </c>
      <c r="S88" s="15">
        <v>0</v>
      </c>
    </row>
    <row r="89" spans="1:19" x14ac:dyDescent="0.3">
      <c r="A89" s="10" t="s">
        <v>234</v>
      </c>
      <c r="B89" s="11" t="s">
        <v>235</v>
      </c>
      <c r="C89" s="11"/>
      <c r="D89" s="11" t="s">
        <v>236</v>
      </c>
      <c r="E89" s="11">
        <f xml:space="preserve"> IF($S$65,1,0)</f>
        <v>0</v>
      </c>
      <c r="F89" s="11" t="s">
        <v>237</v>
      </c>
      <c r="G89" s="11">
        <v>0</v>
      </c>
      <c r="H89" s="11">
        <v>0</v>
      </c>
      <c r="I89" s="11">
        <v>0</v>
      </c>
      <c r="J89" s="11">
        <v>0</v>
      </c>
      <c r="K89" s="11">
        <v>0</v>
      </c>
      <c r="L89" s="11">
        <v>0</v>
      </c>
      <c r="M89" s="11">
        <v>0</v>
      </c>
      <c r="N89" s="11">
        <v>0</v>
      </c>
      <c r="O89" s="11">
        <v>0</v>
      </c>
      <c r="P89" s="11">
        <v>0</v>
      </c>
      <c r="Q89" s="12">
        <v>0</v>
      </c>
      <c r="R89" s="12">
        <v>0</v>
      </c>
      <c r="S89" s="12">
        <v>0</v>
      </c>
    </row>
    <row r="90" spans="1:19" x14ac:dyDescent="0.3">
      <c r="A90" s="13" t="s">
        <v>238</v>
      </c>
      <c r="B90" s="14" t="s">
        <v>235</v>
      </c>
      <c r="C90" s="14" t="s">
        <v>34</v>
      </c>
      <c r="D90" s="14" t="s">
        <v>239</v>
      </c>
      <c r="E90" s="14">
        <f xml:space="preserve"> IF($S$66,1,0)</f>
        <v>0</v>
      </c>
      <c r="F90" s="14" t="s">
        <v>240</v>
      </c>
      <c r="G90" s="14">
        <v>0</v>
      </c>
      <c r="H90" s="14">
        <v>0</v>
      </c>
      <c r="I90" s="14">
        <v>0</v>
      </c>
      <c r="J90" s="14">
        <v>0</v>
      </c>
      <c r="K90" s="14">
        <v>0</v>
      </c>
      <c r="L90" s="14">
        <v>0</v>
      </c>
      <c r="M90" s="14">
        <v>0</v>
      </c>
      <c r="N90" s="14">
        <v>0</v>
      </c>
      <c r="O90" s="14">
        <v>0</v>
      </c>
      <c r="P90" s="14">
        <v>0</v>
      </c>
      <c r="Q90" s="15">
        <v>0</v>
      </c>
      <c r="R90" s="15">
        <v>0</v>
      </c>
      <c r="S90" s="15">
        <v>0</v>
      </c>
    </row>
    <row r="91" spans="1:19" x14ac:dyDescent="0.3">
      <c r="A91" s="10" t="s">
        <v>241</v>
      </c>
      <c r="B91" s="11" t="s">
        <v>242</v>
      </c>
      <c r="C91" s="11" t="s">
        <v>243</v>
      </c>
      <c r="D91" s="11" t="s">
        <v>244</v>
      </c>
      <c r="E91" s="11">
        <f xml:space="preserve"> IF($S$67,1,0)</f>
        <v>0</v>
      </c>
      <c r="F91" s="11" t="s">
        <v>245</v>
      </c>
      <c r="G91" s="11">
        <v>0</v>
      </c>
      <c r="H91" s="11">
        <v>0</v>
      </c>
      <c r="I91" s="11">
        <v>0</v>
      </c>
      <c r="J91" s="11">
        <v>0</v>
      </c>
      <c r="K91" s="11">
        <v>0</v>
      </c>
      <c r="L91" s="11">
        <v>0</v>
      </c>
      <c r="M91" s="11">
        <v>0</v>
      </c>
      <c r="N91" s="11">
        <v>0</v>
      </c>
      <c r="O91" s="11">
        <v>0</v>
      </c>
      <c r="P91" s="11">
        <v>0</v>
      </c>
      <c r="Q91" s="12">
        <v>0</v>
      </c>
      <c r="R91" s="12">
        <v>0</v>
      </c>
      <c r="S91" s="12">
        <v>0</v>
      </c>
    </row>
    <row r="92" spans="1:19" x14ac:dyDescent="0.3">
      <c r="A92" s="13" t="s">
        <v>246</v>
      </c>
      <c r="B92" s="14" t="s">
        <v>242</v>
      </c>
      <c r="C92" s="14"/>
      <c r="D92" s="14" t="s">
        <v>247</v>
      </c>
      <c r="E92" s="14">
        <f xml:space="preserve"> IF($S$68,1,0)</f>
        <v>0</v>
      </c>
      <c r="F92" s="14" t="s">
        <v>248</v>
      </c>
      <c r="G92" s="14">
        <v>0</v>
      </c>
      <c r="H92" s="14">
        <v>0</v>
      </c>
      <c r="I92" s="14">
        <v>0</v>
      </c>
      <c r="J92" s="14">
        <v>0</v>
      </c>
      <c r="K92" s="14">
        <v>0</v>
      </c>
      <c r="L92" s="14">
        <v>0</v>
      </c>
      <c r="M92" s="14">
        <v>0</v>
      </c>
      <c r="N92" s="14">
        <v>0</v>
      </c>
      <c r="O92" s="14">
        <v>0</v>
      </c>
      <c r="P92" s="14">
        <v>0</v>
      </c>
      <c r="Q92" s="15">
        <v>0</v>
      </c>
      <c r="R92" s="15">
        <v>0</v>
      </c>
      <c r="S92" s="15">
        <v>0</v>
      </c>
    </row>
    <row r="93" spans="1:19" x14ac:dyDescent="0.3">
      <c r="A93" s="10" t="s">
        <v>249</v>
      </c>
      <c r="B93" s="11" t="s">
        <v>242</v>
      </c>
      <c r="C93" s="11" t="s">
        <v>34</v>
      </c>
      <c r="D93" s="11" t="s">
        <v>250</v>
      </c>
      <c r="E93" s="11">
        <f xml:space="preserve"> IF($S$69,1,0)</f>
        <v>0</v>
      </c>
      <c r="F93" s="11" t="s">
        <v>251</v>
      </c>
      <c r="G93" s="11">
        <v>0</v>
      </c>
      <c r="H93" s="11">
        <v>0</v>
      </c>
      <c r="I93" s="11">
        <v>0</v>
      </c>
      <c r="J93" s="11">
        <v>0</v>
      </c>
      <c r="K93" s="11">
        <v>0</v>
      </c>
      <c r="L93" s="11">
        <v>0</v>
      </c>
      <c r="M93" s="11">
        <v>0</v>
      </c>
      <c r="N93" s="11">
        <v>0</v>
      </c>
      <c r="O93" s="11">
        <v>0</v>
      </c>
      <c r="P93" s="11">
        <v>0</v>
      </c>
      <c r="Q93" s="12">
        <v>0</v>
      </c>
      <c r="R93" s="12">
        <v>0</v>
      </c>
      <c r="S93" s="12">
        <v>0</v>
      </c>
    </row>
    <row r="94" spans="1:19" x14ac:dyDescent="0.3">
      <c r="A94" s="13" t="s">
        <v>252</v>
      </c>
      <c r="B94" s="14" t="s">
        <v>253</v>
      </c>
      <c r="C94" s="14"/>
      <c r="D94" s="14" t="s">
        <v>254</v>
      </c>
      <c r="E94" s="14">
        <f xml:space="preserve"> IF($S$70,1,0)</f>
        <v>0</v>
      </c>
      <c r="F94" s="14" t="s">
        <v>255</v>
      </c>
      <c r="G94" s="14">
        <v>0</v>
      </c>
      <c r="H94" s="14">
        <v>0</v>
      </c>
      <c r="I94" s="14">
        <v>0</v>
      </c>
      <c r="J94" s="14">
        <v>0</v>
      </c>
      <c r="K94" s="14">
        <v>0</v>
      </c>
      <c r="L94" s="14">
        <v>0</v>
      </c>
      <c r="M94" s="14">
        <v>0</v>
      </c>
      <c r="N94" s="14">
        <v>0</v>
      </c>
      <c r="O94" s="14">
        <v>0</v>
      </c>
      <c r="P94" s="14">
        <v>0</v>
      </c>
      <c r="Q94" s="15">
        <v>0</v>
      </c>
      <c r="R94" s="15">
        <v>0</v>
      </c>
      <c r="S94" s="15">
        <v>0</v>
      </c>
    </row>
    <row r="95" spans="1:19" x14ac:dyDescent="0.3">
      <c r="A95" s="10" t="s">
        <v>256</v>
      </c>
      <c r="B95" s="11" t="s">
        <v>257</v>
      </c>
      <c r="C95" s="11"/>
      <c r="D95" s="11" t="s">
        <v>258</v>
      </c>
      <c r="E95" s="11">
        <f xml:space="preserve"> IF($S$71,1,0)</f>
        <v>0</v>
      </c>
      <c r="F95" s="11" t="s">
        <v>259</v>
      </c>
      <c r="G95" s="11">
        <v>0</v>
      </c>
      <c r="H95" s="11">
        <v>0</v>
      </c>
      <c r="I95" s="11">
        <v>0</v>
      </c>
      <c r="J95" s="11">
        <v>0</v>
      </c>
      <c r="K95" s="11">
        <v>0</v>
      </c>
      <c r="L95" s="11">
        <v>0</v>
      </c>
      <c r="M95" s="11">
        <v>0</v>
      </c>
      <c r="N95" s="11">
        <v>0</v>
      </c>
      <c r="O95" s="11">
        <v>0</v>
      </c>
      <c r="P95" s="11">
        <v>0</v>
      </c>
      <c r="Q95" s="12">
        <v>0</v>
      </c>
      <c r="R95" s="12">
        <v>0</v>
      </c>
      <c r="S95" s="12">
        <v>0</v>
      </c>
    </row>
    <row r="96" spans="1:19" x14ac:dyDescent="0.3">
      <c r="A96" s="13" t="s">
        <v>260</v>
      </c>
      <c r="B96" s="14" t="s">
        <v>261</v>
      </c>
      <c r="C96" s="14"/>
      <c r="D96" s="14" t="s">
        <v>262</v>
      </c>
      <c r="E96" s="14">
        <f xml:space="preserve"> IF($S$72,1,0)</f>
        <v>0</v>
      </c>
      <c r="F96" s="14" t="s">
        <v>263</v>
      </c>
      <c r="G96" s="14">
        <v>0</v>
      </c>
      <c r="H96" s="14">
        <v>0</v>
      </c>
      <c r="I96" s="14">
        <v>0</v>
      </c>
      <c r="J96" s="14">
        <v>0</v>
      </c>
      <c r="K96" s="14">
        <v>0</v>
      </c>
      <c r="L96" s="14">
        <v>0</v>
      </c>
      <c r="M96" s="14">
        <v>0</v>
      </c>
      <c r="N96" s="14">
        <v>0</v>
      </c>
      <c r="O96" s="14">
        <v>0</v>
      </c>
      <c r="P96" s="14">
        <v>0</v>
      </c>
      <c r="Q96" s="15">
        <v>0</v>
      </c>
      <c r="R96" s="15">
        <v>0</v>
      </c>
      <c r="S96" s="15">
        <v>0</v>
      </c>
    </row>
    <row r="97" spans="1:19" x14ac:dyDescent="0.3">
      <c r="A97" s="10" t="s">
        <v>264</v>
      </c>
      <c r="B97" s="11" t="s">
        <v>265</v>
      </c>
      <c r="C97" s="11"/>
      <c r="D97" s="11" t="s">
        <v>266</v>
      </c>
      <c r="E97" s="11">
        <f xml:space="preserve"> IF($S$73,1,0)</f>
        <v>0</v>
      </c>
      <c r="F97" s="11" t="s">
        <v>267</v>
      </c>
      <c r="G97" s="11">
        <v>0</v>
      </c>
      <c r="H97" s="11">
        <v>0</v>
      </c>
      <c r="I97" s="11">
        <v>0</v>
      </c>
      <c r="J97" s="11">
        <v>0</v>
      </c>
      <c r="K97" s="11">
        <v>0</v>
      </c>
      <c r="L97" s="11">
        <v>0</v>
      </c>
      <c r="M97" s="11">
        <v>0</v>
      </c>
      <c r="N97" s="11">
        <v>0</v>
      </c>
      <c r="O97" s="11">
        <v>0</v>
      </c>
      <c r="P97" s="11">
        <v>0</v>
      </c>
      <c r="Q97" s="12">
        <v>0</v>
      </c>
      <c r="R97" s="12">
        <v>0</v>
      </c>
      <c r="S97" s="12">
        <v>0</v>
      </c>
    </row>
    <row r="98" spans="1:19" x14ac:dyDescent="0.3">
      <c r="A98" s="13" t="s">
        <v>268</v>
      </c>
      <c r="B98" s="14" t="s">
        <v>269</v>
      </c>
      <c r="C98" s="14"/>
      <c r="D98" s="14" t="s">
        <v>270</v>
      </c>
      <c r="E98" s="14">
        <f xml:space="preserve"> IF($S$74,1,0)</f>
        <v>0</v>
      </c>
      <c r="F98" s="14" t="s">
        <v>271</v>
      </c>
      <c r="G98" s="14">
        <v>0</v>
      </c>
      <c r="H98" s="14">
        <v>0</v>
      </c>
      <c r="I98" s="14">
        <v>0</v>
      </c>
      <c r="J98" s="14">
        <v>0</v>
      </c>
      <c r="K98" s="14">
        <v>0</v>
      </c>
      <c r="L98" s="14">
        <v>0</v>
      </c>
      <c r="M98" s="14">
        <v>0</v>
      </c>
      <c r="N98" s="14">
        <v>0</v>
      </c>
      <c r="O98" s="14">
        <v>0</v>
      </c>
      <c r="P98" s="14">
        <v>0</v>
      </c>
      <c r="Q98" s="15">
        <v>0</v>
      </c>
      <c r="R98" s="15">
        <v>0</v>
      </c>
      <c r="S98" s="15">
        <v>0</v>
      </c>
    </row>
    <row r="99" spans="1:19" x14ac:dyDescent="0.3">
      <c r="A99" s="10" t="s">
        <v>272</v>
      </c>
      <c r="B99" s="11" t="s">
        <v>273</v>
      </c>
      <c r="C99" s="11"/>
      <c r="D99" s="11" t="s">
        <v>274</v>
      </c>
      <c r="E99" s="11">
        <f xml:space="preserve"> IF($S$75,1,0)</f>
        <v>0</v>
      </c>
      <c r="F99" s="11" t="s">
        <v>275</v>
      </c>
      <c r="G99" s="11">
        <v>0</v>
      </c>
      <c r="H99" s="11">
        <v>0</v>
      </c>
      <c r="I99" s="11">
        <v>0</v>
      </c>
      <c r="J99" s="11">
        <v>0</v>
      </c>
      <c r="K99" s="11">
        <v>0</v>
      </c>
      <c r="L99" s="11">
        <v>0</v>
      </c>
      <c r="M99" s="11">
        <v>0</v>
      </c>
      <c r="N99" s="11">
        <v>0</v>
      </c>
      <c r="O99" s="11">
        <v>0</v>
      </c>
      <c r="P99" s="11">
        <v>0</v>
      </c>
      <c r="Q99" s="12">
        <v>0</v>
      </c>
      <c r="R99" s="12">
        <v>0</v>
      </c>
      <c r="S99" s="12">
        <v>0</v>
      </c>
    </row>
    <row r="100" spans="1:19" x14ac:dyDescent="0.3">
      <c r="A100" s="13" t="s">
        <v>276</v>
      </c>
      <c r="B100" s="14" t="s">
        <v>277</v>
      </c>
      <c r="C100" s="14" t="s">
        <v>278</v>
      </c>
      <c r="D100" s="14" t="s">
        <v>279</v>
      </c>
      <c r="E100" s="14">
        <f xml:space="preserve"> IF($S$76,1,0)</f>
        <v>0</v>
      </c>
      <c r="F100" s="14" t="s">
        <v>280</v>
      </c>
      <c r="G100" s="14">
        <v>0</v>
      </c>
      <c r="H100" s="14">
        <v>0</v>
      </c>
      <c r="I100" s="14">
        <v>0</v>
      </c>
      <c r="J100" s="14">
        <v>0</v>
      </c>
      <c r="K100" s="14">
        <v>0</v>
      </c>
      <c r="L100" s="14">
        <v>0</v>
      </c>
      <c r="M100" s="14">
        <v>0</v>
      </c>
      <c r="N100" s="14">
        <v>0</v>
      </c>
      <c r="O100" s="14">
        <v>0</v>
      </c>
      <c r="P100" s="14">
        <v>0</v>
      </c>
      <c r="Q100" s="15">
        <v>0</v>
      </c>
      <c r="R100" s="15">
        <v>0</v>
      </c>
      <c r="S100" s="15">
        <v>0</v>
      </c>
    </row>
    <row r="101" spans="1:19" x14ac:dyDescent="0.3">
      <c r="A101" s="10" t="s">
        <v>281</v>
      </c>
      <c r="B101" s="11" t="s">
        <v>282</v>
      </c>
      <c r="C101" s="11" t="s">
        <v>283</v>
      </c>
      <c r="D101" s="11" t="s">
        <v>284</v>
      </c>
      <c r="E101" s="11">
        <f xml:space="preserve"> IF($S$77,1,0)</f>
        <v>0</v>
      </c>
      <c r="F101" s="11" t="s">
        <v>285</v>
      </c>
      <c r="G101" s="11">
        <v>0</v>
      </c>
      <c r="H101" s="11">
        <v>0</v>
      </c>
      <c r="I101" s="11">
        <v>0</v>
      </c>
      <c r="J101" s="11">
        <v>0</v>
      </c>
      <c r="K101" s="11">
        <v>0</v>
      </c>
      <c r="L101" s="11">
        <v>0</v>
      </c>
      <c r="M101" s="11">
        <v>0</v>
      </c>
      <c r="N101" s="11">
        <v>0</v>
      </c>
      <c r="O101" s="11">
        <v>0</v>
      </c>
      <c r="P101" s="11">
        <v>0</v>
      </c>
      <c r="Q101" s="12">
        <v>0</v>
      </c>
      <c r="R101" s="12">
        <v>0</v>
      </c>
      <c r="S101" s="12">
        <v>0</v>
      </c>
    </row>
    <row r="102" spans="1:19" x14ac:dyDescent="0.3">
      <c r="A102" s="13" t="s">
        <v>286</v>
      </c>
      <c r="B102" s="14" t="s">
        <v>287</v>
      </c>
      <c r="C102" s="14" t="s">
        <v>278</v>
      </c>
      <c r="D102" s="14" t="s">
        <v>288</v>
      </c>
      <c r="E102" s="14">
        <f xml:space="preserve"> IF($S$78,1,0)</f>
        <v>0</v>
      </c>
      <c r="F102" s="14" t="s">
        <v>289</v>
      </c>
      <c r="G102" s="14">
        <v>0</v>
      </c>
      <c r="H102" s="14">
        <v>0</v>
      </c>
      <c r="I102" s="14">
        <v>0</v>
      </c>
      <c r="J102" s="14">
        <v>0</v>
      </c>
      <c r="K102" s="14">
        <v>0</v>
      </c>
      <c r="L102" s="14">
        <v>0</v>
      </c>
      <c r="M102" s="14">
        <v>0</v>
      </c>
      <c r="N102" s="14">
        <v>0</v>
      </c>
      <c r="O102" s="14">
        <v>0</v>
      </c>
      <c r="P102" s="14">
        <v>0</v>
      </c>
      <c r="Q102" s="15">
        <v>0</v>
      </c>
      <c r="R102" s="15">
        <v>0</v>
      </c>
      <c r="S102" s="15">
        <v>0</v>
      </c>
    </row>
    <row r="103" spans="1:19" x14ac:dyDescent="0.3">
      <c r="A103" s="10" t="s">
        <v>290</v>
      </c>
      <c r="B103" s="11" t="s">
        <v>291</v>
      </c>
      <c r="C103" s="11"/>
      <c r="D103" s="11" t="s">
        <v>292</v>
      </c>
      <c r="E103" s="11">
        <f xml:space="preserve"> IF($S$79,1,0)</f>
        <v>0</v>
      </c>
      <c r="F103" s="11" t="s">
        <v>293</v>
      </c>
      <c r="G103" s="11">
        <v>0</v>
      </c>
      <c r="H103" s="11">
        <v>0</v>
      </c>
      <c r="I103" s="11">
        <v>0</v>
      </c>
      <c r="J103" s="11">
        <v>0</v>
      </c>
      <c r="K103" s="11">
        <v>0</v>
      </c>
      <c r="L103" s="11">
        <v>0</v>
      </c>
      <c r="M103" s="11">
        <v>0</v>
      </c>
      <c r="N103" s="11">
        <v>0</v>
      </c>
      <c r="O103" s="11">
        <v>0</v>
      </c>
      <c r="P103" s="11">
        <v>0</v>
      </c>
      <c r="Q103" s="12">
        <v>0</v>
      </c>
      <c r="R103" s="12">
        <v>0</v>
      </c>
      <c r="S103" s="12">
        <v>0</v>
      </c>
    </row>
    <row r="104" spans="1:19" x14ac:dyDescent="0.3">
      <c r="A104" s="13" t="s">
        <v>294</v>
      </c>
      <c r="B104" s="14" t="s">
        <v>295</v>
      </c>
      <c r="C104" s="14"/>
      <c r="D104" s="14" t="s">
        <v>296</v>
      </c>
      <c r="E104" s="14">
        <f xml:space="preserve"> IF($S$80,1,0)</f>
        <v>0</v>
      </c>
      <c r="F104" s="14" t="s">
        <v>297</v>
      </c>
      <c r="G104" s="14">
        <v>0</v>
      </c>
      <c r="H104" s="14">
        <v>0</v>
      </c>
      <c r="I104" s="14">
        <v>0</v>
      </c>
      <c r="J104" s="14">
        <v>0</v>
      </c>
      <c r="K104" s="14">
        <v>0</v>
      </c>
      <c r="L104" s="14">
        <v>0</v>
      </c>
      <c r="M104" s="14">
        <v>0</v>
      </c>
      <c r="N104" s="14">
        <v>0</v>
      </c>
      <c r="O104" s="14">
        <v>0</v>
      </c>
      <c r="P104" s="14">
        <v>0</v>
      </c>
      <c r="Q104" s="15">
        <v>0</v>
      </c>
      <c r="R104" s="15">
        <v>0</v>
      </c>
      <c r="S104" s="15">
        <v>0</v>
      </c>
    </row>
    <row r="105" spans="1:19" x14ac:dyDescent="0.3">
      <c r="A105" s="10" t="s">
        <v>298</v>
      </c>
      <c r="B105" s="11" t="s">
        <v>295</v>
      </c>
      <c r="C105" s="11"/>
      <c r="D105" s="11" t="s">
        <v>299</v>
      </c>
      <c r="E105" s="11">
        <f xml:space="preserve"> IF($S$81,1,0)</f>
        <v>0</v>
      </c>
      <c r="F105" s="11" t="s">
        <v>300</v>
      </c>
      <c r="G105" s="11">
        <v>0</v>
      </c>
      <c r="H105" s="11">
        <v>0</v>
      </c>
      <c r="I105" s="11">
        <v>0</v>
      </c>
      <c r="J105" s="11">
        <v>0</v>
      </c>
      <c r="K105" s="11">
        <v>0</v>
      </c>
      <c r="L105" s="11">
        <v>0</v>
      </c>
      <c r="M105" s="11">
        <v>0</v>
      </c>
      <c r="N105" s="11">
        <v>0</v>
      </c>
      <c r="O105" s="11">
        <v>0</v>
      </c>
      <c r="P105" s="11">
        <v>0</v>
      </c>
      <c r="Q105" s="12">
        <v>0</v>
      </c>
      <c r="R105" s="12">
        <v>0</v>
      </c>
      <c r="S105" s="12">
        <v>0</v>
      </c>
    </row>
    <row r="106" spans="1:19" x14ac:dyDescent="0.3">
      <c r="A106" s="13" t="s">
        <v>301</v>
      </c>
      <c r="B106" s="14" t="s">
        <v>302</v>
      </c>
      <c r="C106" s="14"/>
      <c r="D106" s="14" t="s">
        <v>303</v>
      </c>
      <c r="E106" s="14">
        <f xml:space="preserve"> IF($S$82,1,0)</f>
        <v>0</v>
      </c>
      <c r="F106" s="14" t="s">
        <v>304</v>
      </c>
      <c r="G106" s="14">
        <v>0</v>
      </c>
      <c r="H106" s="14">
        <v>0</v>
      </c>
      <c r="I106" s="14">
        <v>0</v>
      </c>
      <c r="J106" s="14">
        <v>0</v>
      </c>
      <c r="K106" s="14">
        <v>0</v>
      </c>
      <c r="L106" s="14">
        <v>0</v>
      </c>
      <c r="M106" s="14">
        <v>0</v>
      </c>
      <c r="N106" s="14">
        <v>0</v>
      </c>
      <c r="O106" s="14">
        <v>0</v>
      </c>
      <c r="P106" s="14">
        <v>0</v>
      </c>
      <c r="Q106" s="15">
        <v>0</v>
      </c>
      <c r="R106" s="15">
        <v>0</v>
      </c>
      <c r="S106" s="15">
        <v>0</v>
      </c>
    </row>
    <row r="107" spans="1:19" x14ac:dyDescent="0.3">
      <c r="A107" s="10" t="s">
        <v>305</v>
      </c>
      <c r="B107" s="11" t="s">
        <v>306</v>
      </c>
      <c r="C107" s="11"/>
      <c r="D107" s="11" t="s">
        <v>307</v>
      </c>
      <c r="E107" s="11">
        <f xml:space="preserve"> IF($S$83,1,0)</f>
        <v>0</v>
      </c>
      <c r="F107" s="11" t="s">
        <v>308</v>
      </c>
      <c r="G107" s="11">
        <v>0</v>
      </c>
      <c r="H107" s="11">
        <v>0</v>
      </c>
      <c r="I107" s="11">
        <v>0</v>
      </c>
      <c r="J107" s="11">
        <v>0</v>
      </c>
      <c r="K107" s="11">
        <v>0</v>
      </c>
      <c r="L107" s="11">
        <v>0</v>
      </c>
      <c r="M107" s="11">
        <v>0</v>
      </c>
      <c r="N107" s="11">
        <v>0</v>
      </c>
      <c r="O107" s="11">
        <v>0</v>
      </c>
      <c r="P107" s="11">
        <v>0</v>
      </c>
      <c r="Q107" s="12">
        <v>0</v>
      </c>
      <c r="R107" s="12">
        <v>0</v>
      </c>
      <c r="S107" s="12">
        <v>0</v>
      </c>
    </row>
    <row r="108" spans="1:19" x14ac:dyDescent="0.3">
      <c r="A108" s="13" t="s">
        <v>309</v>
      </c>
      <c r="B108" s="14" t="s">
        <v>310</v>
      </c>
      <c r="C108" s="14"/>
      <c r="D108" s="14" t="s">
        <v>311</v>
      </c>
      <c r="E108" s="14">
        <f xml:space="preserve"> IF($S$84,1,0)</f>
        <v>0</v>
      </c>
      <c r="F108" s="14" t="s">
        <v>312</v>
      </c>
      <c r="G108" s="14">
        <v>0</v>
      </c>
      <c r="H108" s="14">
        <v>0</v>
      </c>
      <c r="I108" s="14">
        <v>0</v>
      </c>
      <c r="J108" s="14">
        <v>0</v>
      </c>
      <c r="K108" s="14">
        <v>0</v>
      </c>
      <c r="L108" s="14">
        <v>0</v>
      </c>
      <c r="M108" s="14">
        <v>0</v>
      </c>
      <c r="N108" s="14">
        <v>0</v>
      </c>
      <c r="O108" s="14">
        <v>0</v>
      </c>
      <c r="P108" s="14">
        <v>0</v>
      </c>
      <c r="Q108" s="15">
        <v>0</v>
      </c>
      <c r="R108" s="15">
        <v>0</v>
      </c>
      <c r="S108" s="15">
        <v>0</v>
      </c>
    </row>
    <row r="109" spans="1:19" x14ac:dyDescent="0.3">
      <c r="A109" s="10" t="s">
        <v>313</v>
      </c>
      <c r="B109" s="11" t="s">
        <v>314</v>
      </c>
      <c r="C109" s="11"/>
      <c r="D109" s="11" t="s">
        <v>315</v>
      </c>
      <c r="E109" s="11">
        <f xml:space="preserve"> IF($S$85,1,0)</f>
        <v>0</v>
      </c>
      <c r="F109" s="11" t="s">
        <v>316</v>
      </c>
      <c r="G109" s="11">
        <v>0</v>
      </c>
      <c r="H109" s="11">
        <v>0</v>
      </c>
      <c r="I109" s="11">
        <v>0</v>
      </c>
      <c r="J109" s="11">
        <v>0</v>
      </c>
      <c r="K109" s="11">
        <v>0</v>
      </c>
      <c r="L109" s="11">
        <v>0</v>
      </c>
      <c r="M109" s="11">
        <v>0</v>
      </c>
      <c r="N109" s="11">
        <v>0</v>
      </c>
      <c r="O109" s="11">
        <v>0</v>
      </c>
      <c r="P109" s="11">
        <v>0</v>
      </c>
      <c r="Q109" s="12">
        <v>0</v>
      </c>
      <c r="R109" s="12">
        <v>0</v>
      </c>
      <c r="S109" s="12">
        <v>0</v>
      </c>
    </row>
    <row r="110" spans="1:19" x14ac:dyDescent="0.3">
      <c r="A110" s="13" t="s">
        <v>317</v>
      </c>
      <c r="B110" s="14" t="s">
        <v>318</v>
      </c>
      <c r="C110" s="14"/>
      <c r="D110" s="14" t="s">
        <v>319</v>
      </c>
      <c r="E110" s="14">
        <f xml:space="preserve"> IF($S$86,1,0)</f>
        <v>0</v>
      </c>
      <c r="F110" s="14" t="s">
        <v>320</v>
      </c>
      <c r="G110" s="14">
        <v>0</v>
      </c>
      <c r="H110" s="14">
        <v>0</v>
      </c>
      <c r="I110" s="14">
        <v>0</v>
      </c>
      <c r="J110" s="14">
        <v>0</v>
      </c>
      <c r="K110" s="14">
        <v>0</v>
      </c>
      <c r="L110" s="14">
        <v>0</v>
      </c>
      <c r="M110" s="14">
        <v>0</v>
      </c>
      <c r="N110" s="14">
        <v>0</v>
      </c>
      <c r="O110" s="14">
        <v>0</v>
      </c>
      <c r="P110" s="14">
        <v>0</v>
      </c>
      <c r="Q110" s="15">
        <v>0</v>
      </c>
      <c r="R110" s="15">
        <v>0</v>
      </c>
      <c r="S110" s="15">
        <v>0</v>
      </c>
    </row>
    <row r="111" spans="1:19" x14ac:dyDescent="0.3">
      <c r="A111" s="10" t="s">
        <v>321</v>
      </c>
      <c r="B111" s="11" t="s">
        <v>322</v>
      </c>
      <c r="C111" s="11"/>
      <c r="D111" s="11" t="s">
        <v>323</v>
      </c>
      <c r="E111" s="11">
        <f xml:space="preserve"> IF($S$87,1,0)</f>
        <v>0</v>
      </c>
      <c r="F111" s="11" t="s">
        <v>324</v>
      </c>
      <c r="G111" s="11">
        <v>0</v>
      </c>
      <c r="H111" s="11">
        <v>0</v>
      </c>
      <c r="I111" s="11">
        <v>0</v>
      </c>
      <c r="J111" s="11">
        <v>0</v>
      </c>
      <c r="K111" s="11">
        <v>0</v>
      </c>
      <c r="L111" s="11">
        <v>0</v>
      </c>
      <c r="M111" s="11">
        <v>0</v>
      </c>
      <c r="N111" s="11">
        <v>0</v>
      </c>
      <c r="O111" s="11">
        <v>0</v>
      </c>
      <c r="P111" s="11">
        <v>0</v>
      </c>
      <c r="Q111" s="12">
        <v>0</v>
      </c>
      <c r="R111" s="12">
        <v>0</v>
      </c>
      <c r="S111" s="12">
        <v>0</v>
      </c>
    </row>
    <row r="112" spans="1:19" x14ac:dyDescent="0.3">
      <c r="A112" s="13" t="s">
        <v>325</v>
      </c>
      <c r="B112" s="14" t="s">
        <v>326</v>
      </c>
      <c r="C112" s="14" t="s">
        <v>243</v>
      </c>
      <c r="D112" s="14" t="s">
        <v>327</v>
      </c>
      <c r="E112" s="14">
        <f xml:space="preserve"> IF($S$88,1,0)</f>
        <v>0</v>
      </c>
      <c r="F112" s="14" t="s">
        <v>328</v>
      </c>
      <c r="G112" s="14">
        <v>0</v>
      </c>
      <c r="H112" s="14">
        <v>0</v>
      </c>
      <c r="I112" s="14">
        <v>0</v>
      </c>
      <c r="J112" s="14">
        <v>0</v>
      </c>
      <c r="K112" s="14">
        <v>0</v>
      </c>
      <c r="L112" s="14">
        <v>0</v>
      </c>
      <c r="M112" s="14">
        <v>0</v>
      </c>
      <c r="N112" s="14">
        <v>0</v>
      </c>
      <c r="O112" s="14">
        <v>0</v>
      </c>
      <c r="P112" s="14">
        <v>0</v>
      </c>
      <c r="Q112" s="15">
        <v>0</v>
      </c>
      <c r="R112" s="15">
        <v>0</v>
      </c>
      <c r="S112" s="15">
        <v>0</v>
      </c>
    </row>
    <row r="113" spans="1:19" x14ac:dyDescent="0.3">
      <c r="A113" s="10" t="s">
        <v>329</v>
      </c>
      <c r="B113" s="11" t="s">
        <v>330</v>
      </c>
      <c r="C113" s="11"/>
      <c r="D113" s="11" t="s">
        <v>331</v>
      </c>
      <c r="E113" s="11">
        <f xml:space="preserve"> IF($S$89,1,0)</f>
        <v>0</v>
      </c>
      <c r="F113" s="11" t="s">
        <v>332</v>
      </c>
      <c r="G113" s="11">
        <v>0</v>
      </c>
      <c r="H113" s="11">
        <v>0</v>
      </c>
      <c r="I113" s="11">
        <v>0</v>
      </c>
      <c r="J113" s="11">
        <v>0</v>
      </c>
      <c r="K113" s="11">
        <v>0</v>
      </c>
      <c r="L113" s="11">
        <v>0</v>
      </c>
      <c r="M113" s="11">
        <v>0</v>
      </c>
      <c r="N113" s="11">
        <v>0</v>
      </c>
      <c r="O113" s="11">
        <v>0</v>
      </c>
      <c r="P113" s="11">
        <v>0</v>
      </c>
      <c r="Q113" s="12">
        <v>0</v>
      </c>
      <c r="R113" s="12">
        <v>0</v>
      </c>
      <c r="S113" s="12">
        <v>0</v>
      </c>
    </row>
    <row r="114" spans="1:19" x14ac:dyDescent="0.3">
      <c r="A114" s="13" t="s">
        <v>333</v>
      </c>
      <c r="B114" s="14" t="s">
        <v>334</v>
      </c>
      <c r="C114" s="14"/>
      <c r="D114" s="14" t="s">
        <v>335</v>
      </c>
      <c r="E114" s="14">
        <f xml:space="preserve"> IF($S$90,1,0)</f>
        <v>0</v>
      </c>
      <c r="F114" s="14" t="s">
        <v>336</v>
      </c>
      <c r="G114" s="14">
        <v>0</v>
      </c>
      <c r="H114" s="14">
        <v>0</v>
      </c>
      <c r="I114" s="14">
        <v>0</v>
      </c>
      <c r="J114" s="14">
        <v>0</v>
      </c>
      <c r="K114" s="14">
        <v>0</v>
      </c>
      <c r="L114" s="14">
        <v>0</v>
      </c>
      <c r="M114" s="14">
        <v>0</v>
      </c>
      <c r="N114" s="14">
        <v>0</v>
      </c>
      <c r="O114" s="14">
        <v>0</v>
      </c>
      <c r="P114" s="14">
        <v>0</v>
      </c>
      <c r="Q114" s="15">
        <v>0</v>
      </c>
      <c r="R114" s="15">
        <v>0</v>
      </c>
      <c r="S114" s="15">
        <v>0</v>
      </c>
    </row>
    <row r="115" spans="1:19" x14ac:dyDescent="0.3">
      <c r="A115" s="13" t="s">
        <v>340</v>
      </c>
      <c r="B115" s="14" t="s">
        <v>341</v>
      </c>
      <c r="C115" s="14" t="s">
        <v>342</v>
      </c>
      <c r="D115" s="14" t="s">
        <v>343</v>
      </c>
      <c r="E115" s="14">
        <f xml:space="preserve"> IF($S$92,1,0)</f>
        <v>0</v>
      </c>
      <c r="F115" s="14" t="s">
        <v>344</v>
      </c>
      <c r="G115" s="14">
        <v>0</v>
      </c>
      <c r="H115" s="14">
        <v>0</v>
      </c>
      <c r="I115" s="14">
        <v>0</v>
      </c>
      <c r="J115" s="14">
        <v>0</v>
      </c>
      <c r="K115" s="14">
        <v>0</v>
      </c>
      <c r="L115" s="14">
        <v>0</v>
      </c>
      <c r="M115" s="14">
        <v>0</v>
      </c>
      <c r="N115" s="14">
        <v>0</v>
      </c>
      <c r="O115" s="14">
        <v>0</v>
      </c>
      <c r="P115" s="14">
        <v>0</v>
      </c>
      <c r="Q115" s="15">
        <v>0</v>
      </c>
      <c r="R115" s="15">
        <v>0</v>
      </c>
      <c r="S115" s="15">
        <v>0</v>
      </c>
    </row>
    <row r="116" spans="1:19" x14ac:dyDescent="0.3">
      <c r="A116" s="10" t="s">
        <v>345</v>
      </c>
      <c r="B116" s="11" t="s">
        <v>346</v>
      </c>
      <c r="C116" s="11"/>
      <c r="D116" s="11" t="s">
        <v>347</v>
      </c>
      <c r="E116" s="11">
        <f xml:space="preserve"> IF($S$93,1,0)</f>
        <v>0</v>
      </c>
      <c r="F116" s="11" t="s">
        <v>348</v>
      </c>
      <c r="G116" s="11">
        <v>0</v>
      </c>
      <c r="H116" s="11">
        <v>0</v>
      </c>
      <c r="I116" s="11">
        <v>0</v>
      </c>
      <c r="J116" s="11">
        <v>0</v>
      </c>
      <c r="K116" s="11">
        <v>0</v>
      </c>
      <c r="L116" s="11">
        <v>0</v>
      </c>
      <c r="M116" s="11">
        <v>0</v>
      </c>
      <c r="N116" s="11">
        <v>0</v>
      </c>
      <c r="O116" s="11">
        <v>0</v>
      </c>
      <c r="P116" s="11">
        <v>0</v>
      </c>
      <c r="Q116" s="12">
        <v>0</v>
      </c>
      <c r="R116" s="12">
        <v>0</v>
      </c>
      <c r="S116" s="12">
        <v>0</v>
      </c>
    </row>
    <row r="117" spans="1:19" x14ac:dyDescent="0.3">
      <c r="A117" s="13" t="s">
        <v>349</v>
      </c>
      <c r="B117" s="14" t="s">
        <v>350</v>
      </c>
      <c r="C117" s="14"/>
      <c r="D117" s="14" t="s">
        <v>351</v>
      </c>
      <c r="E117" s="14">
        <f xml:space="preserve"> IF($S$94,1,0)</f>
        <v>0</v>
      </c>
      <c r="F117" s="14" t="s">
        <v>352</v>
      </c>
      <c r="G117" s="14">
        <v>0</v>
      </c>
      <c r="H117" s="14">
        <v>0</v>
      </c>
      <c r="I117" s="14">
        <v>0</v>
      </c>
      <c r="J117" s="14">
        <v>0</v>
      </c>
      <c r="K117" s="14">
        <v>0</v>
      </c>
      <c r="L117" s="14">
        <v>0</v>
      </c>
      <c r="M117" s="14">
        <v>0</v>
      </c>
      <c r="N117" s="14">
        <v>0</v>
      </c>
      <c r="O117" s="14">
        <v>0</v>
      </c>
      <c r="P117" s="14">
        <v>0</v>
      </c>
      <c r="Q117" s="15">
        <v>0</v>
      </c>
      <c r="R117" s="15">
        <v>0</v>
      </c>
      <c r="S117" s="15">
        <v>0</v>
      </c>
    </row>
    <row r="118" spans="1:19" x14ac:dyDescent="0.3">
      <c r="A118" s="10" t="s">
        <v>353</v>
      </c>
      <c r="B118" s="11" t="s">
        <v>354</v>
      </c>
      <c r="C118" s="11"/>
      <c r="D118" s="11" t="s">
        <v>355</v>
      </c>
      <c r="E118" s="11">
        <f xml:space="preserve"> IF($S$95,1,0)</f>
        <v>0</v>
      </c>
      <c r="F118" s="11" t="s">
        <v>356</v>
      </c>
      <c r="G118" s="11">
        <v>0</v>
      </c>
      <c r="H118" s="11">
        <v>0</v>
      </c>
      <c r="I118" s="11">
        <v>0</v>
      </c>
      <c r="J118" s="11">
        <v>0</v>
      </c>
      <c r="K118" s="11">
        <v>0</v>
      </c>
      <c r="L118" s="11">
        <v>0</v>
      </c>
      <c r="M118" s="11">
        <v>0</v>
      </c>
      <c r="N118" s="11">
        <v>0</v>
      </c>
      <c r="O118" s="11">
        <v>0</v>
      </c>
      <c r="P118" s="11">
        <v>0</v>
      </c>
      <c r="Q118" s="12">
        <v>0</v>
      </c>
      <c r="R118" s="12">
        <v>0</v>
      </c>
      <c r="S118" s="12">
        <v>0</v>
      </c>
    </row>
    <row r="119" spans="1:19" x14ac:dyDescent="0.3">
      <c r="A119" s="13" t="s">
        <v>357</v>
      </c>
      <c r="B119" s="14" t="s">
        <v>358</v>
      </c>
      <c r="C119" s="14" t="s">
        <v>34</v>
      </c>
      <c r="D119" s="14" t="s">
        <v>359</v>
      </c>
      <c r="E119" s="14">
        <f xml:space="preserve"> IF($S$96,1,0)</f>
        <v>0</v>
      </c>
      <c r="F119" s="14" t="s">
        <v>360</v>
      </c>
      <c r="G119" s="14">
        <v>0</v>
      </c>
      <c r="H119" s="14">
        <v>0</v>
      </c>
      <c r="I119" s="14">
        <v>0</v>
      </c>
      <c r="J119" s="14">
        <v>0</v>
      </c>
      <c r="K119" s="14">
        <v>0</v>
      </c>
      <c r="L119" s="14">
        <v>0</v>
      </c>
      <c r="M119" s="14">
        <v>0</v>
      </c>
      <c r="N119" s="14">
        <v>0</v>
      </c>
      <c r="O119" s="14">
        <v>0</v>
      </c>
      <c r="P119" s="14">
        <v>0</v>
      </c>
      <c r="Q119" s="15">
        <v>0</v>
      </c>
      <c r="R119" s="15">
        <v>0</v>
      </c>
      <c r="S119" s="15">
        <v>0</v>
      </c>
    </row>
    <row r="120" spans="1:19" x14ac:dyDescent="0.3">
      <c r="A120" s="10" t="s">
        <v>367</v>
      </c>
      <c r="B120" s="11" t="s">
        <v>368</v>
      </c>
      <c r="C120" s="11" t="s">
        <v>34</v>
      </c>
      <c r="D120" s="11" t="s">
        <v>118</v>
      </c>
      <c r="E120" s="11">
        <f xml:space="preserve"> IF($S$99,1,0)</f>
        <v>0</v>
      </c>
      <c r="F120" s="11" t="s">
        <v>369</v>
      </c>
      <c r="G120" s="11">
        <v>0</v>
      </c>
      <c r="H120" s="11">
        <v>0</v>
      </c>
      <c r="I120" s="11">
        <v>0</v>
      </c>
      <c r="J120" s="11">
        <v>0</v>
      </c>
      <c r="K120" s="11">
        <v>0</v>
      </c>
      <c r="L120" s="11">
        <v>0</v>
      </c>
      <c r="M120" s="11">
        <v>0</v>
      </c>
      <c r="N120" s="11">
        <v>0</v>
      </c>
      <c r="O120" s="11">
        <v>0</v>
      </c>
      <c r="P120" s="11">
        <v>0</v>
      </c>
      <c r="Q120" s="12">
        <v>0</v>
      </c>
      <c r="R120" s="12">
        <v>0</v>
      </c>
      <c r="S120" s="12">
        <v>0</v>
      </c>
    </row>
    <row r="121" spans="1:19" x14ac:dyDescent="0.3">
      <c r="A121" s="13" t="s">
        <v>370</v>
      </c>
      <c r="B121" s="14" t="s">
        <v>371</v>
      </c>
      <c r="C121" s="14"/>
      <c r="D121" s="14" t="s">
        <v>372</v>
      </c>
      <c r="E121" s="14">
        <f xml:space="preserve"> IF($S$100,1,0)</f>
        <v>0</v>
      </c>
      <c r="F121" s="14" t="s">
        <v>373</v>
      </c>
      <c r="G121" s="14">
        <v>0</v>
      </c>
      <c r="H121" s="14">
        <v>0</v>
      </c>
      <c r="I121" s="14">
        <v>0</v>
      </c>
      <c r="J121" s="14">
        <v>0</v>
      </c>
      <c r="K121" s="14">
        <v>0</v>
      </c>
      <c r="L121" s="14">
        <v>0</v>
      </c>
      <c r="M121" s="14">
        <v>0</v>
      </c>
      <c r="N121" s="14">
        <v>0</v>
      </c>
      <c r="O121" s="14">
        <v>0</v>
      </c>
      <c r="P121" s="14">
        <v>0</v>
      </c>
      <c r="Q121" s="15">
        <v>0</v>
      </c>
      <c r="R121" s="15">
        <v>0</v>
      </c>
      <c r="S121" s="15">
        <v>0</v>
      </c>
    </row>
    <row r="122" spans="1:19" x14ac:dyDescent="0.3">
      <c r="A122" s="10" t="s">
        <v>374</v>
      </c>
      <c r="B122" s="11" t="s">
        <v>375</v>
      </c>
      <c r="C122" s="11"/>
      <c r="D122" s="11" t="s">
        <v>376</v>
      </c>
      <c r="E122" s="11">
        <f xml:space="preserve"> IF($S$101,1,0)</f>
        <v>0</v>
      </c>
      <c r="F122" s="11" t="s">
        <v>377</v>
      </c>
      <c r="G122" s="11">
        <v>0</v>
      </c>
      <c r="H122" s="11">
        <v>0</v>
      </c>
      <c r="I122" s="11">
        <v>0</v>
      </c>
      <c r="J122" s="11">
        <v>0</v>
      </c>
      <c r="K122" s="11">
        <v>0</v>
      </c>
      <c r="L122" s="11">
        <v>0</v>
      </c>
      <c r="M122" s="11">
        <v>0</v>
      </c>
      <c r="N122" s="11">
        <v>0</v>
      </c>
      <c r="O122" s="11">
        <v>0</v>
      </c>
      <c r="P122" s="11">
        <v>0</v>
      </c>
      <c r="Q122" s="12">
        <v>0</v>
      </c>
      <c r="R122" s="12">
        <v>0</v>
      </c>
      <c r="S122" s="12">
        <v>0</v>
      </c>
    </row>
    <row r="123" spans="1:19" x14ac:dyDescent="0.3">
      <c r="A123" s="13" t="s">
        <v>378</v>
      </c>
      <c r="B123" s="14" t="s">
        <v>379</v>
      </c>
      <c r="C123" s="14"/>
      <c r="D123" s="14" t="s">
        <v>380</v>
      </c>
      <c r="E123" s="14">
        <f xml:space="preserve"> IF($S$102,1,0)</f>
        <v>0</v>
      </c>
      <c r="F123" s="14" t="s">
        <v>381</v>
      </c>
      <c r="G123" s="14">
        <v>0</v>
      </c>
      <c r="H123" s="14">
        <v>0</v>
      </c>
      <c r="I123" s="14">
        <v>0</v>
      </c>
      <c r="J123" s="14">
        <v>0</v>
      </c>
      <c r="K123" s="14">
        <v>0</v>
      </c>
      <c r="L123" s="14">
        <v>0</v>
      </c>
      <c r="M123" s="14">
        <v>0</v>
      </c>
      <c r="N123" s="14">
        <v>0</v>
      </c>
      <c r="O123" s="14">
        <v>0</v>
      </c>
      <c r="P123" s="14">
        <v>0</v>
      </c>
      <c r="Q123" s="15">
        <v>0</v>
      </c>
      <c r="R123" s="15">
        <v>0</v>
      </c>
      <c r="S123" s="15">
        <v>0</v>
      </c>
    </row>
    <row r="124" spans="1:19" x14ac:dyDescent="0.3">
      <c r="A124" s="10" t="s">
        <v>382</v>
      </c>
      <c r="B124" s="11" t="s">
        <v>383</v>
      </c>
      <c r="C124" s="11"/>
      <c r="D124" s="11" t="s">
        <v>384</v>
      </c>
      <c r="E124" s="11">
        <f xml:space="preserve"> IF($S$103,1,0)</f>
        <v>0</v>
      </c>
      <c r="F124" s="11" t="s">
        <v>385</v>
      </c>
      <c r="G124" s="11">
        <v>0</v>
      </c>
      <c r="H124" s="11">
        <v>0</v>
      </c>
      <c r="I124" s="11">
        <v>0</v>
      </c>
      <c r="J124" s="11">
        <v>0</v>
      </c>
      <c r="K124" s="11">
        <v>0</v>
      </c>
      <c r="L124" s="11">
        <v>0</v>
      </c>
      <c r="M124" s="11">
        <v>0</v>
      </c>
      <c r="N124" s="11">
        <v>0</v>
      </c>
      <c r="O124" s="11">
        <v>0</v>
      </c>
      <c r="P124" s="11">
        <v>0</v>
      </c>
      <c r="Q124" s="12">
        <v>0</v>
      </c>
      <c r="R124" s="12">
        <v>0</v>
      </c>
      <c r="S124" s="12">
        <v>0</v>
      </c>
    </row>
    <row r="125" spans="1:19" x14ac:dyDescent="0.3">
      <c r="A125" s="13" t="s">
        <v>386</v>
      </c>
      <c r="B125" s="14" t="s">
        <v>387</v>
      </c>
      <c r="C125" s="14" t="s">
        <v>278</v>
      </c>
      <c r="D125" s="14" t="s">
        <v>388</v>
      </c>
      <c r="E125" s="14">
        <f xml:space="preserve"> IF($S$104,1,0)</f>
        <v>0</v>
      </c>
      <c r="F125" s="14" t="s">
        <v>389</v>
      </c>
      <c r="G125" s="14">
        <v>0</v>
      </c>
      <c r="H125" s="14">
        <v>0</v>
      </c>
      <c r="I125" s="14">
        <v>0</v>
      </c>
      <c r="J125" s="14">
        <v>0</v>
      </c>
      <c r="K125" s="14">
        <v>0</v>
      </c>
      <c r="L125" s="14">
        <v>0</v>
      </c>
      <c r="M125" s="14">
        <v>0</v>
      </c>
      <c r="N125" s="14">
        <v>0</v>
      </c>
      <c r="O125" s="14">
        <v>0</v>
      </c>
      <c r="P125" s="14">
        <v>0</v>
      </c>
      <c r="Q125" s="15">
        <v>0</v>
      </c>
      <c r="R125" s="15">
        <v>0</v>
      </c>
      <c r="S125" s="15">
        <v>0</v>
      </c>
    </row>
    <row r="126" spans="1:19" x14ac:dyDescent="0.3">
      <c r="A126" s="10" t="s">
        <v>390</v>
      </c>
      <c r="B126" s="11" t="s">
        <v>387</v>
      </c>
      <c r="C126" s="11" t="s">
        <v>34</v>
      </c>
      <c r="D126" s="11" t="s">
        <v>391</v>
      </c>
      <c r="E126" s="11">
        <f xml:space="preserve"> IF($S$105,1,0)</f>
        <v>0</v>
      </c>
      <c r="F126" s="11" t="s">
        <v>392</v>
      </c>
      <c r="G126" s="11">
        <v>0</v>
      </c>
      <c r="H126" s="11">
        <v>0</v>
      </c>
      <c r="I126" s="11">
        <v>0</v>
      </c>
      <c r="J126" s="11">
        <v>0</v>
      </c>
      <c r="K126" s="11">
        <v>0</v>
      </c>
      <c r="L126" s="11">
        <v>0</v>
      </c>
      <c r="M126" s="11">
        <v>0</v>
      </c>
      <c r="N126" s="11">
        <v>0</v>
      </c>
      <c r="O126" s="11">
        <v>0</v>
      </c>
      <c r="P126" s="11">
        <v>0</v>
      </c>
      <c r="Q126" s="12">
        <v>0</v>
      </c>
      <c r="R126" s="12">
        <v>0</v>
      </c>
      <c r="S126" s="12">
        <v>0</v>
      </c>
    </row>
    <row r="127" spans="1:19" x14ac:dyDescent="0.3">
      <c r="A127" s="13" t="s">
        <v>393</v>
      </c>
      <c r="B127" s="14" t="s">
        <v>394</v>
      </c>
      <c r="C127" s="14"/>
      <c r="D127" s="14" t="s">
        <v>395</v>
      </c>
      <c r="E127" s="14">
        <f xml:space="preserve"> IF($S$106,1,0)</f>
        <v>0</v>
      </c>
      <c r="F127" s="14" t="s">
        <v>396</v>
      </c>
      <c r="G127" s="14">
        <v>0</v>
      </c>
      <c r="H127" s="14">
        <v>0</v>
      </c>
      <c r="I127" s="14">
        <v>0</v>
      </c>
      <c r="J127" s="14">
        <v>0</v>
      </c>
      <c r="K127" s="14">
        <v>0</v>
      </c>
      <c r="L127" s="14">
        <v>0</v>
      </c>
      <c r="M127" s="14">
        <v>0</v>
      </c>
      <c r="N127" s="14">
        <v>0</v>
      </c>
      <c r="O127" s="14">
        <v>0</v>
      </c>
      <c r="P127" s="14">
        <v>0</v>
      </c>
      <c r="Q127" s="15">
        <v>0</v>
      </c>
      <c r="R127" s="15">
        <v>0</v>
      </c>
      <c r="S127" s="15">
        <v>0</v>
      </c>
    </row>
    <row r="128" spans="1:19" x14ac:dyDescent="0.3">
      <c r="A128" s="10" t="s">
        <v>397</v>
      </c>
      <c r="B128" s="11" t="s">
        <v>398</v>
      </c>
      <c r="C128" s="11" t="s">
        <v>243</v>
      </c>
      <c r="D128" s="11" t="s">
        <v>399</v>
      </c>
      <c r="E128" s="11">
        <f xml:space="preserve"> IF($S$107,1,0)</f>
        <v>0</v>
      </c>
      <c r="F128" s="11" t="s">
        <v>400</v>
      </c>
      <c r="G128" s="11">
        <v>0</v>
      </c>
      <c r="H128" s="11">
        <v>0</v>
      </c>
      <c r="I128" s="11">
        <v>0</v>
      </c>
      <c r="J128" s="11">
        <v>0</v>
      </c>
      <c r="K128" s="11">
        <v>0</v>
      </c>
      <c r="L128" s="11">
        <v>0</v>
      </c>
      <c r="M128" s="11">
        <v>0</v>
      </c>
      <c r="N128" s="11">
        <v>0</v>
      </c>
      <c r="O128" s="11">
        <v>0</v>
      </c>
      <c r="P128" s="11">
        <v>0</v>
      </c>
      <c r="Q128" s="12">
        <v>0</v>
      </c>
      <c r="R128" s="12">
        <v>0</v>
      </c>
      <c r="S128" s="12">
        <v>0</v>
      </c>
    </row>
    <row r="129" spans="1:19" x14ac:dyDescent="0.3">
      <c r="A129" s="10" t="s">
        <v>405</v>
      </c>
      <c r="B129" s="11" t="s">
        <v>406</v>
      </c>
      <c r="C129" s="11"/>
      <c r="D129" s="11" t="s">
        <v>407</v>
      </c>
      <c r="E129" s="11">
        <f xml:space="preserve"> IF($S$109,1,0)</f>
        <v>0</v>
      </c>
      <c r="F129" s="11" t="s">
        <v>408</v>
      </c>
      <c r="G129" s="11">
        <v>0</v>
      </c>
      <c r="H129" s="11">
        <v>0</v>
      </c>
      <c r="I129" s="11">
        <v>0</v>
      </c>
      <c r="J129" s="11">
        <v>0</v>
      </c>
      <c r="K129" s="11">
        <v>0</v>
      </c>
      <c r="L129" s="11">
        <v>0</v>
      </c>
      <c r="M129" s="11">
        <v>0</v>
      </c>
      <c r="N129" s="11">
        <v>0</v>
      </c>
      <c r="O129" s="11">
        <v>0</v>
      </c>
      <c r="P129" s="11">
        <v>0</v>
      </c>
      <c r="Q129" s="12">
        <v>0</v>
      </c>
      <c r="R129" s="12">
        <v>0</v>
      </c>
      <c r="S129" s="12">
        <v>0</v>
      </c>
    </row>
    <row r="130" spans="1:19" x14ac:dyDescent="0.3">
      <c r="A130" s="13" t="s">
        <v>409</v>
      </c>
      <c r="B130" s="14" t="s">
        <v>410</v>
      </c>
      <c r="C130" s="14"/>
      <c r="D130" s="14" t="s">
        <v>411</v>
      </c>
      <c r="E130" s="14">
        <f xml:space="preserve"> IF($S$110,1,0)</f>
        <v>0</v>
      </c>
      <c r="F130" s="14" t="s">
        <v>412</v>
      </c>
      <c r="G130" s="14">
        <v>0</v>
      </c>
      <c r="H130" s="14">
        <v>0</v>
      </c>
      <c r="I130" s="14">
        <v>0</v>
      </c>
      <c r="J130" s="14">
        <v>0</v>
      </c>
      <c r="K130" s="14">
        <v>0</v>
      </c>
      <c r="L130" s="14">
        <v>0</v>
      </c>
      <c r="M130" s="14">
        <v>0</v>
      </c>
      <c r="N130" s="14">
        <v>0</v>
      </c>
      <c r="O130" s="14">
        <v>0</v>
      </c>
      <c r="P130" s="14">
        <v>0</v>
      </c>
      <c r="Q130" s="15">
        <v>0</v>
      </c>
      <c r="R130" s="15">
        <v>0</v>
      </c>
      <c r="S130" s="15">
        <v>0</v>
      </c>
    </row>
    <row r="131" spans="1:19" x14ac:dyDescent="0.3">
      <c r="A131" s="10" t="s">
        <v>413</v>
      </c>
      <c r="B131" s="11" t="s">
        <v>414</v>
      </c>
      <c r="C131" s="11"/>
      <c r="D131" s="11" t="s">
        <v>415</v>
      </c>
      <c r="E131" s="11">
        <f xml:space="preserve"> IF($S$111,1,0)</f>
        <v>0</v>
      </c>
      <c r="F131" s="11" t="s">
        <v>416</v>
      </c>
      <c r="G131" s="11">
        <v>0</v>
      </c>
      <c r="H131" s="11">
        <v>0</v>
      </c>
      <c r="I131" s="11">
        <v>0</v>
      </c>
      <c r="J131" s="11">
        <v>0</v>
      </c>
      <c r="K131" s="11">
        <v>0</v>
      </c>
      <c r="L131" s="11">
        <v>0</v>
      </c>
      <c r="M131" s="11">
        <v>0</v>
      </c>
      <c r="N131" s="11">
        <v>0</v>
      </c>
      <c r="O131" s="11">
        <v>0</v>
      </c>
      <c r="P131" s="11">
        <v>0</v>
      </c>
      <c r="Q131" s="12">
        <v>0</v>
      </c>
      <c r="R131" s="12">
        <v>0</v>
      </c>
      <c r="S131" s="12">
        <v>0</v>
      </c>
    </row>
    <row r="132" spans="1:19" x14ac:dyDescent="0.3">
      <c r="A132" s="13" t="s">
        <v>417</v>
      </c>
      <c r="B132" s="14" t="s">
        <v>418</v>
      </c>
      <c r="C132" s="14"/>
      <c r="D132" s="14" t="s">
        <v>419</v>
      </c>
      <c r="E132" s="14">
        <f xml:space="preserve"> IF($S$112,1,0)</f>
        <v>0</v>
      </c>
      <c r="F132" s="14" t="s">
        <v>420</v>
      </c>
      <c r="G132" s="14">
        <v>0</v>
      </c>
      <c r="H132" s="14">
        <v>0</v>
      </c>
      <c r="I132" s="14">
        <v>0</v>
      </c>
      <c r="J132" s="14">
        <v>0</v>
      </c>
      <c r="K132" s="14">
        <v>0</v>
      </c>
      <c r="L132" s="14">
        <v>0</v>
      </c>
      <c r="M132" s="14">
        <v>0</v>
      </c>
      <c r="N132" s="14">
        <v>0</v>
      </c>
      <c r="O132" s="14">
        <v>0</v>
      </c>
      <c r="P132" s="14">
        <v>0</v>
      </c>
      <c r="Q132" s="15">
        <v>0</v>
      </c>
      <c r="R132" s="15">
        <v>0</v>
      </c>
      <c r="S132" s="15">
        <v>0</v>
      </c>
    </row>
    <row r="133" spans="1:19" x14ac:dyDescent="0.3">
      <c r="A133" s="10" t="s">
        <v>421</v>
      </c>
      <c r="B133" s="11" t="s">
        <v>422</v>
      </c>
      <c r="C133" s="11"/>
      <c r="D133" s="11" t="s">
        <v>423</v>
      </c>
      <c r="E133" s="11">
        <f xml:space="preserve"> IF($S$113,1,0)</f>
        <v>0</v>
      </c>
      <c r="F133" s="11" t="s">
        <v>424</v>
      </c>
      <c r="G133" s="11">
        <v>0</v>
      </c>
      <c r="H133" s="11">
        <v>0</v>
      </c>
      <c r="I133" s="11">
        <v>0</v>
      </c>
      <c r="J133" s="11">
        <v>0</v>
      </c>
      <c r="K133" s="11">
        <v>0</v>
      </c>
      <c r="L133" s="11">
        <v>0</v>
      </c>
      <c r="M133" s="11">
        <v>0</v>
      </c>
      <c r="N133" s="11">
        <v>0</v>
      </c>
      <c r="O133" s="11">
        <v>0</v>
      </c>
      <c r="P133" s="11">
        <v>0</v>
      </c>
      <c r="Q133" s="12">
        <v>0</v>
      </c>
      <c r="R133" s="12">
        <v>0</v>
      </c>
      <c r="S133" s="12">
        <v>0</v>
      </c>
    </row>
    <row r="134" spans="1:19" x14ac:dyDescent="0.3">
      <c r="A134" s="13" t="s">
        <v>425</v>
      </c>
      <c r="B134" s="14" t="s">
        <v>426</v>
      </c>
      <c r="C134" s="14" t="s">
        <v>34</v>
      </c>
      <c r="D134" s="14" t="s">
        <v>427</v>
      </c>
      <c r="E134" s="14">
        <f xml:space="preserve"> IF($S$114,1,0)</f>
        <v>0</v>
      </c>
      <c r="F134" s="14" t="s">
        <v>428</v>
      </c>
      <c r="G134" s="14">
        <v>0</v>
      </c>
      <c r="H134" s="14">
        <v>0</v>
      </c>
      <c r="I134" s="14">
        <v>0</v>
      </c>
      <c r="J134" s="14">
        <v>0</v>
      </c>
      <c r="K134" s="14">
        <v>0</v>
      </c>
      <c r="L134" s="14">
        <v>0</v>
      </c>
      <c r="M134" s="14">
        <v>0</v>
      </c>
      <c r="N134" s="14">
        <v>0</v>
      </c>
      <c r="O134" s="14">
        <v>0</v>
      </c>
      <c r="P134" s="14">
        <v>0</v>
      </c>
      <c r="Q134" s="15">
        <v>0</v>
      </c>
      <c r="R134" s="15">
        <v>0</v>
      </c>
      <c r="S134" s="15">
        <v>0</v>
      </c>
    </row>
    <row r="135" spans="1:19" x14ac:dyDescent="0.3">
      <c r="A135" s="10" t="s">
        <v>429</v>
      </c>
      <c r="B135" s="11" t="s">
        <v>430</v>
      </c>
      <c r="C135" s="11"/>
      <c r="D135" s="11" t="s">
        <v>431</v>
      </c>
      <c r="E135" s="11">
        <f xml:space="preserve"> IF($S$115,1,0)</f>
        <v>0</v>
      </c>
      <c r="F135" s="11" t="s">
        <v>432</v>
      </c>
      <c r="G135" s="11">
        <v>0</v>
      </c>
      <c r="H135" s="11">
        <v>0</v>
      </c>
      <c r="I135" s="11">
        <v>0</v>
      </c>
      <c r="J135" s="11">
        <v>0</v>
      </c>
      <c r="K135" s="11">
        <v>0</v>
      </c>
      <c r="L135" s="11">
        <v>0</v>
      </c>
      <c r="M135" s="11">
        <v>0</v>
      </c>
      <c r="N135" s="11">
        <v>0</v>
      </c>
      <c r="O135" s="11">
        <v>0</v>
      </c>
      <c r="P135" s="11">
        <v>0</v>
      </c>
      <c r="Q135" s="12">
        <v>0</v>
      </c>
      <c r="R135" s="12">
        <v>0</v>
      </c>
      <c r="S135" s="12">
        <v>0</v>
      </c>
    </row>
    <row r="136" spans="1:19" x14ac:dyDescent="0.3">
      <c r="A136" s="13" t="s">
        <v>433</v>
      </c>
      <c r="B136" s="14" t="s">
        <v>434</v>
      </c>
      <c r="C136" s="14" t="s">
        <v>202</v>
      </c>
      <c r="D136" s="14" t="s">
        <v>435</v>
      </c>
      <c r="E136" s="14">
        <f xml:space="preserve"> IF($S$116,1,0)</f>
        <v>0</v>
      </c>
      <c r="F136" s="14" t="s">
        <v>436</v>
      </c>
      <c r="G136" s="14">
        <v>0</v>
      </c>
      <c r="H136" s="14">
        <v>0</v>
      </c>
      <c r="I136" s="14">
        <v>0</v>
      </c>
      <c r="J136" s="14">
        <v>0</v>
      </c>
      <c r="K136" s="14">
        <v>0</v>
      </c>
      <c r="L136" s="14">
        <v>0</v>
      </c>
      <c r="M136" s="14">
        <v>0</v>
      </c>
      <c r="N136" s="14">
        <v>0</v>
      </c>
      <c r="O136" s="14">
        <v>0</v>
      </c>
      <c r="P136" s="14">
        <v>0</v>
      </c>
      <c r="Q136" s="15">
        <v>0</v>
      </c>
      <c r="R136" s="15">
        <v>0</v>
      </c>
      <c r="S136" s="15">
        <v>0</v>
      </c>
    </row>
    <row r="137" spans="1:19" x14ac:dyDescent="0.3">
      <c r="A137" s="10" t="s">
        <v>437</v>
      </c>
      <c r="B137" s="11" t="s">
        <v>434</v>
      </c>
      <c r="C137" s="11"/>
      <c r="D137" s="11" t="s">
        <v>438</v>
      </c>
      <c r="E137" s="11">
        <f xml:space="preserve"> IF($S$117,1,0)</f>
        <v>0</v>
      </c>
      <c r="F137" s="11" t="s">
        <v>439</v>
      </c>
      <c r="G137" s="11">
        <v>0</v>
      </c>
      <c r="H137" s="11">
        <v>0</v>
      </c>
      <c r="I137" s="11">
        <v>0</v>
      </c>
      <c r="J137" s="11">
        <v>0</v>
      </c>
      <c r="K137" s="11">
        <v>0</v>
      </c>
      <c r="L137" s="11">
        <v>0</v>
      </c>
      <c r="M137" s="11">
        <v>0</v>
      </c>
      <c r="N137" s="11">
        <v>0</v>
      </c>
      <c r="O137" s="11">
        <v>0</v>
      </c>
      <c r="P137" s="11">
        <v>0</v>
      </c>
      <c r="Q137" s="12">
        <v>0</v>
      </c>
      <c r="R137" s="12">
        <v>0</v>
      </c>
      <c r="S137" s="12">
        <v>0</v>
      </c>
    </row>
    <row r="138" spans="1:19" x14ac:dyDescent="0.3">
      <c r="A138" s="13" t="s">
        <v>440</v>
      </c>
      <c r="B138" s="14" t="s">
        <v>441</v>
      </c>
      <c r="C138" s="14" t="s">
        <v>202</v>
      </c>
      <c r="D138" s="14" t="s">
        <v>442</v>
      </c>
      <c r="E138" s="14">
        <f xml:space="preserve"> IF($S$118,1,0)</f>
        <v>0</v>
      </c>
      <c r="F138" s="14" t="s">
        <v>443</v>
      </c>
      <c r="G138" s="14">
        <v>0</v>
      </c>
      <c r="H138" s="14">
        <v>0</v>
      </c>
      <c r="I138" s="14">
        <v>0</v>
      </c>
      <c r="J138" s="14">
        <v>0</v>
      </c>
      <c r="K138" s="14">
        <v>0</v>
      </c>
      <c r="L138" s="14">
        <v>0</v>
      </c>
      <c r="M138" s="14">
        <v>0</v>
      </c>
      <c r="N138" s="14">
        <v>0</v>
      </c>
      <c r="O138" s="14">
        <v>0</v>
      </c>
      <c r="P138" s="14">
        <v>0</v>
      </c>
      <c r="Q138" s="15">
        <v>0</v>
      </c>
      <c r="R138" s="15">
        <v>0</v>
      </c>
      <c r="S138" s="15">
        <v>0</v>
      </c>
    </row>
    <row r="139" spans="1:19" x14ac:dyDescent="0.3">
      <c r="A139" s="10" t="s">
        <v>444</v>
      </c>
      <c r="B139" s="11" t="s">
        <v>445</v>
      </c>
      <c r="C139" s="11"/>
      <c r="D139" s="11" t="s">
        <v>446</v>
      </c>
      <c r="E139" s="11">
        <f xml:space="preserve"> IF($S$119,1,0)</f>
        <v>0</v>
      </c>
      <c r="F139" s="11" t="s">
        <v>447</v>
      </c>
      <c r="G139" s="11">
        <v>0</v>
      </c>
      <c r="H139" s="11">
        <v>0</v>
      </c>
      <c r="I139" s="11">
        <v>0</v>
      </c>
      <c r="J139" s="11">
        <v>0</v>
      </c>
      <c r="K139" s="11">
        <v>0</v>
      </c>
      <c r="L139" s="11">
        <v>0</v>
      </c>
      <c r="M139" s="11">
        <v>0</v>
      </c>
      <c r="N139" s="11">
        <v>0</v>
      </c>
      <c r="O139" s="11">
        <v>0</v>
      </c>
      <c r="P139" s="11">
        <v>0</v>
      </c>
      <c r="Q139" s="12">
        <v>0</v>
      </c>
      <c r="R139" s="12">
        <v>0</v>
      </c>
      <c r="S139" s="12">
        <v>0</v>
      </c>
    </row>
    <row r="140" spans="1:19" x14ac:dyDescent="0.3">
      <c r="A140" s="13" t="s">
        <v>448</v>
      </c>
      <c r="B140" s="14" t="s">
        <v>449</v>
      </c>
      <c r="C140" s="14"/>
      <c r="D140" s="14" t="s">
        <v>450</v>
      </c>
      <c r="E140" s="14">
        <f xml:space="preserve"> IF($S$120,1,0)</f>
        <v>0</v>
      </c>
      <c r="F140" s="14" t="s">
        <v>451</v>
      </c>
      <c r="G140" s="14">
        <v>0</v>
      </c>
      <c r="H140" s="14">
        <v>0</v>
      </c>
      <c r="I140" s="14">
        <v>0</v>
      </c>
      <c r="J140" s="14">
        <v>0</v>
      </c>
      <c r="K140" s="14">
        <v>0</v>
      </c>
      <c r="L140" s="14">
        <v>0</v>
      </c>
      <c r="M140" s="14">
        <v>0</v>
      </c>
      <c r="N140" s="14">
        <v>0</v>
      </c>
      <c r="O140" s="14">
        <v>0</v>
      </c>
      <c r="P140" s="14">
        <v>0</v>
      </c>
      <c r="Q140" s="15">
        <v>0</v>
      </c>
      <c r="R140" s="15">
        <v>0</v>
      </c>
      <c r="S140" s="15">
        <v>0</v>
      </c>
    </row>
    <row r="141" spans="1:19" x14ac:dyDescent="0.3">
      <c r="A141" s="13" t="s">
        <v>456</v>
      </c>
      <c r="B141" s="14" t="s">
        <v>457</v>
      </c>
      <c r="C141" s="14"/>
      <c r="D141" s="14" t="s">
        <v>458</v>
      </c>
      <c r="E141" s="14">
        <f xml:space="preserve"> IF($S$122,1,0)</f>
        <v>0</v>
      </c>
      <c r="F141" s="14" t="s">
        <v>459</v>
      </c>
      <c r="G141" s="14">
        <v>0</v>
      </c>
      <c r="H141" s="14">
        <v>0</v>
      </c>
      <c r="I141" s="14">
        <v>0</v>
      </c>
      <c r="J141" s="14">
        <v>0</v>
      </c>
      <c r="K141" s="14">
        <v>0</v>
      </c>
      <c r="L141" s="14">
        <v>0</v>
      </c>
      <c r="M141" s="14">
        <v>0</v>
      </c>
      <c r="N141" s="14">
        <v>0</v>
      </c>
      <c r="O141" s="14">
        <v>0</v>
      </c>
      <c r="P141" s="14">
        <v>0</v>
      </c>
      <c r="Q141" s="15">
        <v>0</v>
      </c>
      <c r="R141" s="15">
        <v>0</v>
      </c>
      <c r="S141" s="15">
        <v>0</v>
      </c>
    </row>
    <row r="142" spans="1:19" x14ac:dyDescent="0.3">
      <c r="A142" s="10" t="s">
        <v>460</v>
      </c>
      <c r="B142" s="11" t="s">
        <v>457</v>
      </c>
      <c r="C142" s="11"/>
      <c r="D142" s="11" t="s">
        <v>461</v>
      </c>
      <c r="E142" s="11">
        <f xml:space="preserve"> IF($S$123,1,0)</f>
        <v>0</v>
      </c>
      <c r="F142" s="11" t="s">
        <v>462</v>
      </c>
      <c r="G142" s="11">
        <v>0</v>
      </c>
      <c r="H142" s="11">
        <v>0</v>
      </c>
      <c r="I142" s="11">
        <v>0</v>
      </c>
      <c r="J142" s="11">
        <v>0</v>
      </c>
      <c r="K142" s="11">
        <v>0</v>
      </c>
      <c r="L142" s="11">
        <v>0</v>
      </c>
      <c r="M142" s="11">
        <v>0</v>
      </c>
      <c r="N142" s="11">
        <v>0</v>
      </c>
      <c r="O142" s="11">
        <v>0</v>
      </c>
      <c r="P142" s="11">
        <v>0</v>
      </c>
      <c r="Q142" s="12">
        <v>0</v>
      </c>
      <c r="R142" s="12">
        <v>0</v>
      </c>
      <c r="S142" s="12">
        <v>0</v>
      </c>
    </row>
    <row r="143" spans="1:19" x14ac:dyDescent="0.3">
      <c r="A143" s="10" t="s">
        <v>466</v>
      </c>
      <c r="B143" s="11" t="s">
        <v>457</v>
      </c>
      <c r="C143" s="11"/>
      <c r="D143" s="11" t="s">
        <v>467</v>
      </c>
      <c r="E143" s="11">
        <f xml:space="preserve"> IF($S$125,1,0)</f>
        <v>0</v>
      </c>
      <c r="F143" s="11" t="s">
        <v>468</v>
      </c>
      <c r="G143" s="11">
        <v>0</v>
      </c>
      <c r="H143" s="11">
        <v>0</v>
      </c>
      <c r="I143" s="11">
        <v>0</v>
      </c>
      <c r="J143" s="11">
        <v>0</v>
      </c>
      <c r="K143" s="11">
        <v>0</v>
      </c>
      <c r="L143" s="11">
        <v>0</v>
      </c>
      <c r="M143" s="11">
        <v>0</v>
      </c>
      <c r="N143" s="11">
        <v>0</v>
      </c>
      <c r="O143" s="11">
        <v>0</v>
      </c>
      <c r="P143" s="11">
        <v>0</v>
      </c>
      <c r="Q143" s="12">
        <v>0</v>
      </c>
      <c r="R143" s="12">
        <v>0</v>
      </c>
      <c r="S143" s="12">
        <v>0</v>
      </c>
    </row>
    <row r="144" spans="1:19" x14ac:dyDescent="0.3">
      <c r="A144" s="13" t="s">
        <v>469</v>
      </c>
      <c r="B144" s="14" t="s">
        <v>470</v>
      </c>
      <c r="C144" s="14"/>
      <c r="D144" s="14" t="s">
        <v>471</v>
      </c>
      <c r="E144" s="14">
        <f xml:space="preserve"> IF($S$126,1,0)</f>
        <v>0</v>
      </c>
      <c r="F144" s="14" t="s">
        <v>472</v>
      </c>
      <c r="G144" s="14">
        <v>0</v>
      </c>
      <c r="H144" s="14">
        <v>0</v>
      </c>
      <c r="I144" s="14">
        <v>0</v>
      </c>
      <c r="J144" s="14">
        <v>0</v>
      </c>
      <c r="K144" s="14">
        <v>0</v>
      </c>
      <c r="L144" s="14">
        <v>0</v>
      </c>
      <c r="M144" s="14">
        <v>0</v>
      </c>
      <c r="N144" s="14">
        <v>0</v>
      </c>
      <c r="O144" s="14">
        <v>0</v>
      </c>
      <c r="P144" s="14">
        <v>0</v>
      </c>
      <c r="Q144" s="15">
        <v>0</v>
      </c>
      <c r="R144" s="15">
        <v>0</v>
      </c>
      <c r="S144" s="15">
        <v>0</v>
      </c>
    </row>
    <row r="145" spans="1:19" x14ac:dyDescent="0.3">
      <c r="A145" s="10" t="s">
        <v>473</v>
      </c>
      <c r="B145" s="11" t="s">
        <v>474</v>
      </c>
      <c r="C145" s="11"/>
      <c r="D145" s="11" t="s">
        <v>475</v>
      </c>
      <c r="E145" s="11">
        <f xml:space="preserve"> IF($S$127,1,0)</f>
        <v>0</v>
      </c>
      <c r="F145" s="11" t="s">
        <v>476</v>
      </c>
      <c r="G145" s="11">
        <v>0</v>
      </c>
      <c r="H145" s="11">
        <v>0</v>
      </c>
      <c r="I145" s="11">
        <v>0</v>
      </c>
      <c r="J145" s="11">
        <v>0</v>
      </c>
      <c r="K145" s="11">
        <v>0</v>
      </c>
      <c r="L145" s="11">
        <v>0</v>
      </c>
      <c r="M145" s="11">
        <v>0</v>
      </c>
      <c r="N145" s="11">
        <v>0</v>
      </c>
      <c r="O145" s="11">
        <v>0</v>
      </c>
      <c r="P145" s="11">
        <v>0</v>
      </c>
      <c r="Q145" s="12">
        <v>0</v>
      </c>
      <c r="R145" s="12">
        <v>0</v>
      </c>
      <c r="S145" s="12">
        <v>0</v>
      </c>
    </row>
    <row r="146" spans="1:19" x14ac:dyDescent="0.3">
      <c r="A146" s="13" t="s">
        <v>477</v>
      </c>
      <c r="B146" s="14" t="s">
        <v>478</v>
      </c>
      <c r="C146" s="14"/>
      <c r="D146" s="14" t="s">
        <v>479</v>
      </c>
      <c r="E146" s="14">
        <f xml:space="preserve"> IF($S$128,1,0)</f>
        <v>0</v>
      </c>
      <c r="F146" s="14" t="s">
        <v>480</v>
      </c>
      <c r="G146" s="14">
        <v>0</v>
      </c>
      <c r="H146" s="14">
        <v>0</v>
      </c>
      <c r="I146" s="14">
        <v>0</v>
      </c>
      <c r="J146" s="14">
        <v>0</v>
      </c>
      <c r="K146" s="14">
        <v>0</v>
      </c>
      <c r="L146" s="14">
        <v>0</v>
      </c>
      <c r="M146" s="14">
        <v>0</v>
      </c>
      <c r="N146" s="14">
        <v>0</v>
      </c>
      <c r="O146" s="14">
        <v>0</v>
      </c>
      <c r="P146" s="14">
        <v>0</v>
      </c>
      <c r="Q146" s="15">
        <v>0</v>
      </c>
      <c r="R146" s="15">
        <v>0</v>
      </c>
      <c r="S146" s="15">
        <v>0</v>
      </c>
    </row>
    <row r="147" spans="1:19" x14ac:dyDescent="0.3">
      <c r="A147" s="10" t="s">
        <v>481</v>
      </c>
      <c r="B147" s="11" t="s">
        <v>482</v>
      </c>
      <c r="C147" s="11"/>
      <c r="D147" s="11" t="s">
        <v>483</v>
      </c>
      <c r="E147" s="11">
        <f xml:space="preserve"> IF($S$129,1,0)</f>
        <v>0</v>
      </c>
      <c r="F147" s="11" t="s">
        <v>484</v>
      </c>
      <c r="G147" s="11">
        <v>0</v>
      </c>
      <c r="H147" s="11">
        <v>0</v>
      </c>
      <c r="I147" s="11">
        <v>0</v>
      </c>
      <c r="J147" s="11">
        <v>0</v>
      </c>
      <c r="K147" s="11">
        <v>0</v>
      </c>
      <c r="L147" s="11">
        <v>0</v>
      </c>
      <c r="M147" s="11">
        <v>0</v>
      </c>
      <c r="N147" s="11">
        <v>0</v>
      </c>
      <c r="O147" s="11">
        <v>0</v>
      </c>
      <c r="P147" s="11">
        <v>0</v>
      </c>
      <c r="Q147" s="12">
        <v>0</v>
      </c>
      <c r="R147" s="12">
        <v>0</v>
      </c>
      <c r="S147" s="12">
        <v>0</v>
      </c>
    </row>
    <row r="148" spans="1:19" x14ac:dyDescent="0.3">
      <c r="A148" s="13" t="s">
        <v>485</v>
      </c>
      <c r="B148" s="14" t="s">
        <v>486</v>
      </c>
      <c r="C148" s="14"/>
      <c r="D148" s="14" t="s">
        <v>487</v>
      </c>
      <c r="E148" s="14">
        <f xml:space="preserve"> IF($S$130,1,0)</f>
        <v>0</v>
      </c>
      <c r="F148" s="14" t="s">
        <v>488</v>
      </c>
      <c r="G148" s="14">
        <v>0</v>
      </c>
      <c r="H148" s="14">
        <v>0</v>
      </c>
      <c r="I148" s="14">
        <v>0</v>
      </c>
      <c r="J148" s="14">
        <v>0</v>
      </c>
      <c r="K148" s="14">
        <v>0</v>
      </c>
      <c r="L148" s="14">
        <v>0</v>
      </c>
      <c r="M148" s="14">
        <v>0</v>
      </c>
      <c r="N148" s="14">
        <v>0</v>
      </c>
      <c r="O148" s="14">
        <v>0</v>
      </c>
      <c r="P148" s="14">
        <v>0</v>
      </c>
      <c r="Q148" s="15">
        <v>0</v>
      </c>
      <c r="R148" s="15">
        <v>0</v>
      </c>
      <c r="S148" s="15">
        <v>0</v>
      </c>
    </row>
    <row r="149" spans="1:19" x14ac:dyDescent="0.3">
      <c r="A149" s="10" t="s">
        <v>489</v>
      </c>
      <c r="B149" s="11" t="s">
        <v>490</v>
      </c>
      <c r="C149" s="11"/>
      <c r="D149" s="11" t="s">
        <v>491</v>
      </c>
      <c r="E149" s="11">
        <f xml:space="preserve"> IF($S$131,1,0)</f>
        <v>0</v>
      </c>
      <c r="F149" s="11" t="s">
        <v>492</v>
      </c>
      <c r="G149" s="11">
        <v>0</v>
      </c>
      <c r="H149" s="11">
        <v>0</v>
      </c>
      <c r="I149" s="11">
        <v>0</v>
      </c>
      <c r="J149" s="11">
        <v>0</v>
      </c>
      <c r="K149" s="11">
        <v>0</v>
      </c>
      <c r="L149" s="11">
        <v>0</v>
      </c>
      <c r="M149" s="11">
        <v>0</v>
      </c>
      <c r="N149" s="11">
        <v>0</v>
      </c>
      <c r="O149" s="11">
        <v>0</v>
      </c>
      <c r="P149" s="11">
        <v>0</v>
      </c>
      <c r="Q149" s="12">
        <v>0</v>
      </c>
      <c r="R149" s="12">
        <v>0</v>
      </c>
      <c r="S149" s="12">
        <v>0</v>
      </c>
    </row>
    <row r="150" spans="1:19" x14ac:dyDescent="0.3">
      <c r="A150" s="13" t="s">
        <v>493</v>
      </c>
      <c r="B150" s="14" t="s">
        <v>494</v>
      </c>
      <c r="C150" s="14" t="s">
        <v>34</v>
      </c>
      <c r="D150" s="14" t="s">
        <v>495</v>
      </c>
      <c r="E150" s="14">
        <f xml:space="preserve"> IF($S$132,1,0)</f>
        <v>0</v>
      </c>
      <c r="F150" s="14" t="s">
        <v>496</v>
      </c>
      <c r="G150" s="14">
        <v>0</v>
      </c>
      <c r="H150" s="14">
        <v>0</v>
      </c>
      <c r="I150" s="14">
        <v>0</v>
      </c>
      <c r="J150" s="14">
        <v>0</v>
      </c>
      <c r="K150" s="14">
        <v>0</v>
      </c>
      <c r="L150" s="14">
        <v>0</v>
      </c>
      <c r="M150" s="14">
        <v>0</v>
      </c>
      <c r="N150" s="14">
        <v>0</v>
      </c>
      <c r="O150" s="14">
        <v>0</v>
      </c>
      <c r="P150" s="14">
        <v>0</v>
      </c>
      <c r="Q150" s="15">
        <v>0</v>
      </c>
      <c r="R150" s="15">
        <v>0</v>
      </c>
      <c r="S150" s="15">
        <v>0</v>
      </c>
    </row>
    <row r="151" spans="1:19" x14ac:dyDescent="0.3">
      <c r="A151" s="10" t="s">
        <v>497</v>
      </c>
      <c r="B151" s="11" t="s">
        <v>498</v>
      </c>
      <c r="C151" s="11"/>
      <c r="D151" s="11" t="s">
        <v>499</v>
      </c>
      <c r="E151" s="11">
        <f xml:space="preserve"> IF($S$133,1,0)</f>
        <v>0</v>
      </c>
      <c r="F151" s="11" t="s">
        <v>500</v>
      </c>
      <c r="G151" s="11">
        <v>0</v>
      </c>
      <c r="H151" s="11">
        <v>0</v>
      </c>
      <c r="I151" s="11">
        <v>0</v>
      </c>
      <c r="J151" s="11">
        <v>0</v>
      </c>
      <c r="K151" s="11">
        <v>0</v>
      </c>
      <c r="L151" s="11">
        <v>0</v>
      </c>
      <c r="M151" s="11">
        <v>0</v>
      </c>
      <c r="N151" s="11">
        <v>0</v>
      </c>
      <c r="O151" s="11">
        <v>0</v>
      </c>
      <c r="P151" s="11">
        <v>0</v>
      </c>
      <c r="Q151" s="12">
        <v>0</v>
      </c>
      <c r="R151" s="12">
        <v>0</v>
      </c>
      <c r="S151" s="12">
        <v>0</v>
      </c>
    </row>
    <row r="152" spans="1:19" x14ac:dyDescent="0.3">
      <c r="A152" s="13" t="s">
        <v>501</v>
      </c>
      <c r="B152" s="14" t="s">
        <v>502</v>
      </c>
      <c r="C152" s="14" t="s">
        <v>34</v>
      </c>
      <c r="D152" s="14" t="s">
        <v>503</v>
      </c>
      <c r="E152" s="14">
        <f xml:space="preserve"> IF($S$134,1,0)</f>
        <v>0</v>
      </c>
      <c r="F152" s="14" t="s">
        <v>504</v>
      </c>
      <c r="G152" s="14">
        <v>0</v>
      </c>
      <c r="H152" s="14">
        <v>0</v>
      </c>
      <c r="I152" s="14">
        <v>0</v>
      </c>
      <c r="J152" s="14">
        <v>0</v>
      </c>
      <c r="K152" s="14">
        <v>0</v>
      </c>
      <c r="L152" s="14">
        <v>0</v>
      </c>
      <c r="M152" s="14">
        <v>0</v>
      </c>
      <c r="N152" s="14">
        <v>0</v>
      </c>
      <c r="O152" s="14">
        <v>0</v>
      </c>
      <c r="P152" s="14">
        <v>0</v>
      </c>
      <c r="Q152" s="15">
        <v>0</v>
      </c>
      <c r="R152" s="15">
        <v>0</v>
      </c>
      <c r="S152" s="15">
        <v>0</v>
      </c>
    </row>
    <row r="153" spans="1:19" x14ac:dyDescent="0.3">
      <c r="A153" s="10" t="s">
        <v>505</v>
      </c>
      <c r="B153" s="11" t="s">
        <v>502</v>
      </c>
      <c r="C153" s="11"/>
      <c r="D153" s="11" t="s">
        <v>232</v>
      </c>
      <c r="E153" s="11">
        <f xml:space="preserve"> IF($S$135,1,0)</f>
        <v>0</v>
      </c>
      <c r="F153" s="11" t="s">
        <v>506</v>
      </c>
      <c r="G153" s="11">
        <v>0</v>
      </c>
      <c r="H153" s="11">
        <v>0</v>
      </c>
      <c r="I153" s="11">
        <v>0</v>
      </c>
      <c r="J153" s="11">
        <v>0</v>
      </c>
      <c r="K153" s="11">
        <v>0</v>
      </c>
      <c r="L153" s="11">
        <v>0</v>
      </c>
      <c r="M153" s="11">
        <v>0</v>
      </c>
      <c r="N153" s="11">
        <v>0</v>
      </c>
      <c r="O153" s="11">
        <v>0</v>
      </c>
      <c r="P153" s="11">
        <v>0</v>
      </c>
      <c r="Q153" s="12">
        <v>0</v>
      </c>
      <c r="R153" s="12">
        <v>0</v>
      </c>
      <c r="S153" s="12">
        <v>0</v>
      </c>
    </row>
    <row r="154" spans="1:19" x14ac:dyDescent="0.3">
      <c r="A154" s="13" t="s">
        <v>507</v>
      </c>
      <c r="B154" s="14" t="s">
        <v>508</v>
      </c>
      <c r="C154" s="14" t="s">
        <v>65</v>
      </c>
      <c r="D154" s="14" t="s">
        <v>509</v>
      </c>
      <c r="E154" s="14">
        <f xml:space="preserve"> IF($S$136,1,0)</f>
        <v>0</v>
      </c>
      <c r="F154" s="14" t="s">
        <v>510</v>
      </c>
      <c r="G154" s="14">
        <v>0</v>
      </c>
      <c r="H154" s="14">
        <v>0</v>
      </c>
      <c r="I154" s="14">
        <v>0</v>
      </c>
      <c r="J154" s="14">
        <v>0</v>
      </c>
      <c r="K154" s="14">
        <v>0</v>
      </c>
      <c r="L154" s="14">
        <v>0</v>
      </c>
      <c r="M154" s="14">
        <v>0</v>
      </c>
      <c r="N154" s="14">
        <v>0</v>
      </c>
      <c r="O154" s="14">
        <v>0</v>
      </c>
      <c r="P154" s="14">
        <v>0</v>
      </c>
      <c r="Q154" s="15">
        <v>0</v>
      </c>
      <c r="R154" s="15">
        <v>0</v>
      </c>
      <c r="S154" s="15">
        <v>0</v>
      </c>
    </row>
    <row r="155" spans="1:19" x14ac:dyDescent="0.3">
      <c r="A155" s="10" t="s">
        <v>511</v>
      </c>
      <c r="B155" s="11" t="s">
        <v>512</v>
      </c>
      <c r="C155" s="11" t="s">
        <v>513</v>
      </c>
      <c r="D155" s="11" t="s">
        <v>514</v>
      </c>
      <c r="E155" s="11">
        <f xml:space="preserve"> IF($S$137,1,0)</f>
        <v>0</v>
      </c>
      <c r="F155" s="11" t="s">
        <v>515</v>
      </c>
      <c r="G155" s="11">
        <v>0</v>
      </c>
      <c r="H155" s="11">
        <v>0</v>
      </c>
      <c r="I155" s="11">
        <v>0</v>
      </c>
      <c r="J155" s="11">
        <v>0</v>
      </c>
      <c r="K155" s="11">
        <v>0</v>
      </c>
      <c r="L155" s="11">
        <v>0</v>
      </c>
      <c r="M155" s="11">
        <v>0</v>
      </c>
      <c r="N155" s="11">
        <v>0</v>
      </c>
      <c r="O155" s="11">
        <v>0</v>
      </c>
      <c r="P155" s="11">
        <v>0</v>
      </c>
      <c r="Q155" s="12">
        <v>0</v>
      </c>
      <c r="R155" s="12">
        <v>0</v>
      </c>
      <c r="S155" s="12">
        <v>0</v>
      </c>
    </row>
    <row r="156" spans="1:19" x14ac:dyDescent="0.3">
      <c r="A156" s="13" t="s">
        <v>516</v>
      </c>
      <c r="B156" s="14" t="s">
        <v>517</v>
      </c>
      <c r="C156" s="14" t="s">
        <v>65</v>
      </c>
      <c r="D156" s="14" t="s">
        <v>518</v>
      </c>
      <c r="E156" s="14">
        <f xml:space="preserve"> IF($S$138,1,0)</f>
        <v>0</v>
      </c>
      <c r="F156" s="14" t="s">
        <v>519</v>
      </c>
      <c r="G156" s="14">
        <v>0</v>
      </c>
      <c r="H156" s="14">
        <v>0</v>
      </c>
      <c r="I156" s="14">
        <v>0</v>
      </c>
      <c r="J156" s="14">
        <v>0</v>
      </c>
      <c r="K156" s="14">
        <v>0</v>
      </c>
      <c r="L156" s="14">
        <v>0</v>
      </c>
      <c r="M156" s="14">
        <v>0</v>
      </c>
      <c r="N156" s="14">
        <v>0</v>
      </c>
      <c r="O156" s="14">
        <v>0</v>
      </c>
      <c r="P156" s="14">
        <v>0</v>
      </c>
      <c r="Q156" s="15">
        <v>0</v>
      </c>
      <c r="R156" s="15">
        <v>0</v>
      </c>
      <c r="S156" s="15">
        <v>0</v>
      </c>
    </row>
    <row r="157" spans="1:19" x14ac:dyDescent="0.3">
      <c r="A157" s="13" t="s">
        <v>523</v>
      </c>
      <c r="B157" s="14" t="s">
        <v>524</v>
      </c>
      <c r="C157" s="14" t="s">
        <v>65</v>
      </c>
      <c r="D157" s="14" t="s">
        <v>327</v>
      </c>
      <c r="E157" s="14">
        <f xml:space="preserve"> IF($S$140,1,0)</f>
        <v>0</v>
      </c>
      <c r="F157" s="14" t="s">
        <v>525</v>
      </c>
      <c r="G157" s="14">
        <v>0</v>
      </c>
      <c r="H157" s="14">
        <v>0</v>
      </c>
      <c r="I157" s="14">
        <v>0</v>
      </c>
      <c r="J157" s="14">
        <v>0</v>
      </c>
      <c r="K157" s="14">
        <v>0</v>
      </c>
      <c r="L157" s="14">
        <v>0</v>
      </c>
      <c r="M157" s="14">
        <v>0</v>
      </c>
      <c r="N157" s="14">
        <v>0</v>
      </c>
      <c r="O157" s="14">
        <v>0</v>
      </c>
      <c r="P157" s="14">
        <v>0</v>
      </c>
      <c r="Q157" s="15">
        <v>0</v>
      </c>
      <c r="R157" s="15">
        <v>0</v>
      </c>
      <c r="S157" s="15">
        <v>0</v>
      </c>
    </row>
    <row r="158" spans="1:19" x14ac:dyDescent="0.3">
      <c r="A158" s="10" t="s">
        <v>526</v>
      </c>
      <c r="B158" s="11" t="s">
        <v>527</v>
      </c>
      <c r="C158" s="11"/>
      <c r="D158" s="11" t="s">
        <v>528</v>
      </c>
      <c r="E158" s="11">
        <f xml:space="preserve"> IF($S$141,1,0)</f>
        <v>0</v>
      </c>
      <c r="F158" s="11" t="s">
        <v>529</v>
      </c>
      <c r="G158" s="11">
        <v>0</v>
      </c>
      <c r="H158" s="11">
        <v>0</v>
      </c>
      <c r="I158" s="11">
        <v>0</v>
      </c>
      <c r="J158" s="11">
        <v>0</v>
      </c>
      <c r="K158" s="11">
        <v>0</v>
      </c>
      <c r="L158" s="11">
        <v>0</v>
      </c>
      <c r="M158" s="11">
        <v>0</v>
      </c>
      <c r="N158" s="11">
        <v>0</v>
      </c>
      <c r="O158" s="11">
        <v>0</v>
      </c>
      <c r="P158" s="11">
        <v>0</v>
      </c>
      <c r="Q158" s="12">
        <v>0</v>
      </c>
      <c r="R158" s="12">
        <v>0</v>
      </c>
      <c r="S158" s="12">
        <v>0</v>
      </c>
    </row>
    <row r="159" spans="1:19" x14ac:dyDescent="0.3">
      <c r="A159" s="13" t="s">
        <v>530</v>
      </c>
      <c r="B159" s="14" t="s">
        <v>531</v>
      </c>
      <c r="C159" s="14"/>
      <c r="D159" s="14" t="s">
        <v>532</v>
      </c>
      <c r="E159" s="14">
        <f xml:space="preserve"> IF($S$142,1,0)</f>
        <v>0</v>
      </c>
      <c r="F159" s="14" t="s">
        <v>533</v>
      </c>
      <c r="G159" s="14">
        <v>0</v>
      </c>
      <c r="H159" s="14">
        <v>0</v>
      </c>
      <c r="I159" s="14">
        <v>0</v>
      </c>
      <c r="J159" s="14">
        <v>0</v>
      </c>
      <c r="K159" s="14">
        <v>0</v>
      </c>
      <c r="L159" s="14">
        <v>0</v>
      </c>
      <c r="M159" s="14">
        <v>0</v>
      </c>
      <c r="N159" s="14">
        <v>0</v>
      </c>
      <c r="O159" s="14">
        <v>0</v>
      </c>
      <c r="P159" s="14">
        <v>0</v>
      </c>
      <c r="Q159" s="15">
        <v>0</v>
      </c>
      <c r="R159" s="15">
        <v>0</v>
      </c>
      <c r="S159" s="15">
        <v>0</v>
      </c>
    </row>
    <row r="160" spans="1:19" x14ac:dyDescent="0.3">
      <c r="A160" s="10" t="s">
        <v>534</v>
      </c>
      <c r="B160" s="11" t="s">
        <v>535</v>
      </c>
      <c r="C160" s="11"/>
      <c r="D160" s="11" t="s">
        <v>536</v>
      </c>
      <c r="E160" s="11">
        <f xml:space="preserve"> IF($S$143,1,0)</f>
        <v>0</v>
      </c>
      <c r="F160" s="11" t="s">
        <v>537</v>
      </c>
      <c r="G160" s="11">
        <v>0</v>
      </c>
      <c r="H160" s="11">
        <v>0</v>
      </c>
      <c r="I160" s="11">
        <v>0</v>
      </c>
      <c r="J160" s="11">
        <v>0</v>
      </c>
      <c r="K160" s="11">
        <v>0</v>
      </c>
      <c r="L160" s="11">
        <v>0</v>
      </c>
      <c r="M160" s="11">
        <v>0</v>
      </c>
      <c r="N160" s="11">
        <v>0</v>
      </c>
      <c r="O160" s="11">
        <v>0</v>
      </c>
      <c r="P160" s="11">
        <v>0</v>
      </c>
      <c r="Q160" s="12">
        <v>0</v>
      </c>
      <c r="R160" s="12">
        <v>0</v>
      </c>
      <c r="S160" s="12">
        <v>0</v>
      </c>
    </row>
    <row r="161" spans="1:19" x14ac:dyDescent="0.3">
      <c r="A161" s="10" t="s">
        <v>541</v>
      </c>
      <c r="B161" s="11" t="s">
        <v>542</v>
      </c>
      <c r="C161" s="11"/>
      <c r="D161" s="11" t="s">
        <v>543</v>
      </c>
      <c r="E161" s="11">
        <f xml:space="preserve"> IF($S$145,1,0)</f>
        <v>0</v>
      </c>
      <c r="F161" s="11" t="s">
        <v>544</v>
      </c>
      <c r="G161" s="11">
        <v>0</v>
      </c>
      <c r="H161" s="11">
        <v>0</v>
      </c>
      <c r="I161" s="11">
        <v>0</v>
      </c>
      <c r="J161" s="11">
        <v>0</v>
      </c>
      <c r="K161" s="11">
        <v>0</v>
      </c>
      <c r="L161" s="11">
        <v>0</v>
      </c>
      <c r="M161" s="11">
        <v>0</v>
      </c>
      <c r="N161" s="11">
        <v>0</v>
      </c>
      <c r="O161" s="11">
        <v>0</v>
      </c>
      <c r="P161" s="11">
        <v>0</v>
      </c>
      <c r="Q161" s="12">
        <v>0</v>
      </c>
      <c r="R161" s="12">
        <v>0</v>
      </c>
      <c r="S161" s="12">
        <v>0</v>
      </c>
    </row>
    <row r="162" spans="1:19" x14ac:dyDescent="0.3">
      <c r="A162" s="13" t="s">
        <v>545</v>
      </c>
      <c r="B162" s="14" t="s">
        <v>546</v>
      </c>
      <c r="C162" s="14"/>
      <c r="D162" s="14" t="s">
        <v>547</v>
      </c>
      <c r="E162" s="14">
        <f xml:space="preserve"> IF($S$146,1,0)</f>
        <v>0</v>
      </c>
      <c r="F162" s="14" t="s">
        <v>548</v>
      </c>
      <c r="G162" s="14">
        <v>0</v>
      </c>
      <c r="H162" s="14">
        <v>0</v>
      </c>
      <c r="I162" s="14">
        <v>0</v>
      </c>
      <c r="J162" s="14">
        <v>0</v>
      </c>
      <c r="K162" s="14">
        <v>0</v>
      </c>
      <c r="L162" s="14">
        <v>0</v>
      </c>
      <c r="M162" s="14">
        <v>0</v>
      </c>
      <c r="N162" s="14">
        <v>0</v>
      </c>
      <c r="O162" s="14">
        <v>0</v>
      </c>
      <c r="P162" s="14">
        <v>0</v>
      </c>
      <c r="Q162" s="15">
        <v>0</v>
      </c>
      <c r="R162" s="15">
        <v>0</v>
      </c>
      <c r="S162" s="15">
        <v>0</v>
      </c>
    </row>
    <row r="163" spans="1:19" x14ac:dyDescent="0.3">
      <c r="A163" s="10" t="s">
        <v>549</v>
      </c>
      <c r="B163" s="11" t="s">
        <v>550</v>
      </c>
      <c r="C163" s="11" t="s">
        <v>34</v>
      </c>
      <c r="D163" s="11" t="s">
        <v>551</v>
      </c>
      <c r="E163" s="11">
        <f xml:space="preserve"> IF($S$147,1,0)</f>
        <v>0</v>
      </c>
      <c r="F163" s="11" t="s">
        <v>552</v>
      </c>
      <c r="G163" s="11">
        <v>0</v>
      </c>
      <c r="H163" s="11">
        <v>0</v>
      </c>
      <c r="I163" s="11">
        <v>0</v>
      </c>
      <c r="J163" s="11">
        <v>0</v>
      </c>
      <c r="K163" s="11">
        <v>0</v>
      </c>
      <c r="L163" s="11">
        <v>0</v>
      </c>
      <c r="M163" s="11">
        <v>0</v>
      </c>
      <c r="N163" s="11">
        <v>0</v>
      </c>
      <c r="O163" s="11">
        <v>0</v>
      </c>
      <c r="P163" s="11">
        <v>0</v>
      </c>
      <c r="Q163" s="12">
        <v>0</v>
      </c>
      <c r="R163" s="12">
        <v>0</v>
      </c>
      <c r="S163" s="12">
        <v>0</v>
      </c>
    </row>
    <row r="164" spans="1:19" x14ac:dyDescent="0.3">
      <c r="A164" s="13" t="s">
        <v>553</v>
      </c>
      <c r="B164" s="14" t="s">
        <v>554</v>
      </c>
      <c r="C164" s="14"/>
      <c r="D164" s="14" t="s">
        <v>555</v>
      </c>
      <c r="E164" s="14">
        <f xml:space="preserve"> IF($S$148,1,0)</f>
        <v>0</v>
      </c>
      <c r="F164" s="14" t="s">
        <v>556</v>
      </c>
      <c r="G164" s="14">
        <v>0</v>
      </c>
      <c r="H164" s="14">
        <v>0</v>
      </c>
      <c r="I164" s="14">
        <v>0</v>
      </c>
      <c r="J164" s="14">
        <v>0</v>
      </c>
      <c r="K164" s="14">
        <v>0</v>
      </c>
      <c r="L164" s="14">
        <v>0</v>
      </c>
      <c r="M164" s="14">
        <v>0</v>
      </c>
      <c r="N164" s="14">
        <v>0</v>
      </c>
      <c r="O164" s="14">
        <v>0</v>
      </c>
      <c r="P164" s="14">
        <v>0</v>
      </c>
      <c r="Q164" s="15">
        <v>0</v>
      </c>
      <c r="R164" s="15">
        <v>0</v>
      </c>
      <c r="S164" s="15">
        <v>0</v>
      </c>
    </row>
    <row r="165" spans="1:19" x14ac:dyDescent="0.3">
      <c r="A165" s="10" t="s">
        <v>557</v>
      </c>
      <c r="B165" s="11" t="s">
        <v>554</v>
      </c>
      <c r="C165" s="11"/>
      <c r="D165" s="11" t="s">
        <v>558</v>
      </c>
      <c r="E165" s="11">
        <f xml:space="preserve"> IF($S$149,1,0)</f>
        <v>0</v>
      </c>
      <c r="F165" s="11" t="s">
        <v>559</v>
      </c>
      <c r="G165" s="11">
        <v>0</v>
      </c>
      <c r="H165" s="11">
        <v>0</v>
      </c>
      <c r="I165" s="11">
        <v>0</v>
      </c>
      <c r="J165" s="11">
        <v>0</v>
      </c>
      <c r="K165" s="11">
        <v>0</v>
      </c>
      <c r="L165" s="11">
        <v>0</v>
      </c>
      <c r="M165" s="11">
        <v>0</v>
      </c>
      <c r="N165" s="11">
        <v>0</v>
      </c>
      <c r="O165" s="11">
        <v>0</v>
      </c>
      <c r="P165" s="11">
        <v>0</v>
      </c>
      <c r="Q165" s="12">
        <v>0</v>
      </c>
      <c r="R165" s="12">
        <v>0</v>
      </c>
      <c r="S165" s="12">
        <v>0</v>
      </c>
    </row>
    <row r="166" spans="1:19" x14ac:dyDescent="0.3">
      <c r="A166" s="13" t="s">
        <v>560</v>
      </c>
      <c r="B166" s="14" t="s">
        <v>561</v>
      </c>
      <c r="C166" s="14"/>
      <c r="D166" s="14" t="s">
        <v>562</v>
      </c>
      <c r="E166" s="14">
        <f xml:space="preserve"> IF($S$150,1,0)</f>
        <v>0</v>
      </c>
      <c r="F166" s="14" t="s">
        <v>563</v>
      </c>
      <c r="G166" s="14">
        <v>0</v>
      </c>
      <c r="H166" s="14">
        <v>0</v>
      </c>
      <c r="I166" s="14">
        <v>0</v>
      </c>
      <c r="J166" s="14">
        <v>0</v>
      </c>
      <c r="K166" s="14">
        <v>0</v>
      </c>
      <c r="L166" s="14">
        <v>0</v>
      </c>
      <c r="M166" s="14">
        <v>0</v>
      </c>
      <c r="N166" s="14">
        <v>0</v>
      </c>
      <c r="O166" s="14">
        <v>0</v>
      </c>
      <c r="P166" s="14">
        <v>0</v>
      </c>
      <c r="Q166" s="15">
        <v>0</v>
      </c>
      <c r="R166" s="15">
        <v>0</v>
      </c>
      <c r="S166" s="15">
        <v>0</v>
      </c>
    </row>
    <row r="167" spans="1:19" x14ac:dyDescent="0.3">
      <c r="A167" s="10" t="s">
        <v>564</v>
      </c>
      <c r="B167" s="11" t="s">
        <v>565</v>
      </c>
      <c r="C167" s="11"/>
      <c r="D167" s="11" t="s">
        <v>566</v>
      </c>
      <c r="E167" s="11">
        <f xml:space="preserve"> IF($S$151,1,0)</f>
        <v>0</v>
      </c>
      <c r="F167" s="11" t="s">
        <v>567</v>
      </c>
      <c r="G167" s="11">
        <v>0</v>
      </c>
      <c r="H167" s="11">
        <v>0</v>
      </c>
      <c r="I167" s="11">
        <v>0</v>
      </c>
      <c r="J167" s="11">
        <v>0</v>
      </c>
      <c r="K167" s="11">
        <v>0</v>
      </c>
      <c r="L167" s="11">
        <v>0</v>
      </c>
      <c r="M167" s="11">
        <v>0</v>
      </c>
      <c r="N167" s="11">
        <v>0</v>
      </c>
      <c r="O167" s="11">
        <v>0</v>
      </c>
      <c r="P167" s="11">
        <v>0</v>
      </c>
      <c r="Q167" s="12">
        <v>0</v>
      </c>
      <c r="R167" s="12">
        <v>0</v>
      </c>
      <c r="S167" s="12">
        <v>0</v>
      </c>
    </row>
    <row r="168" spans="1:19" x14ac:dyDescent="0.3">
      <c r="A168" s="13" t="s">
        <v>568</v>
      </c>
      <c r="B168" s="14" t="s">
        <v>569</v>
      </c>
      <c r="C168" s="14"/>
      <c r="D168" s="14" t="s">
        <v>570</v>
      </c>
      <c r="E168" s="14">
        <f xml:space="preserve"> IF($S$152,1,0)</f>
        <v>0</v>
      </c>
      <c r="F168" s="14" t="s">
        <v>571</v>
      </c>
      <c r="G168" s="14">
        <v>0</v>
      </c>
      <c r="H168" s="14">
        <v>0</v>
      </c>
      <c r="I168" s="14">
        <v>0</v>
      </c>
      <c r="J168" s="14">
        <v>0</v>
      </c>
      <c r="K168" s="14">
        <v>0</v>
      </c>
      <c r="L168" s="14">
        <v>0</v>
      </c>
      <c r="M168" s="14">
        <v>0</v>
      </c>
      <c r="N168" s="14">
        <v>0</v>
      </c>
      <c r="O168" s="14">
        <v>0</v>
      </c>
      <c r="P168" s="14">
        <v>0</v>
      </c>
      <c r="Q168" s="15">
        <v>0</v>
      </c>
      <c r="R168" s="15">
        <v>0</v>
      </c>
      <c r="S168" s="15">
        <v>0</v>
      </c>
    </row>
    <row r="169" spans="1:19" x14ac:dyDescent="0.3">
      <c r="A169" s="10" t="s">
        <v>572</v>
      </c>
      <c r="B169" s="11" t="s">
        <v>573</v>
      </c>
      <c r="C169" s="11" t="s">
        <v>34</v>
      </c>
      <c r="D169" s="11" t="s">
        <v>574</v>
      </c>
      <c r="E169" s="11">
        <f xml:space="preserve"> IF($S$153,1,0)</f>
        <v>0</v>
      </c>
      <c r="F169" s="11" t="s">
        <v>575</v>
      </c>
      <c r="G169" s="11">
        <v>0</v>
      </c>
      <c r="H169" s="11">
        <v>0</v>
      </c>
      <c r="I169" s="11">
        <v>0</v>
      </c>
      <c r="J169" s="11">
        <v>0</v>
      </c>
      <c r="K169" s="11">
        <v>0</v>
      </c>
      <c r="L169" s="11">
        <v>0</v>
      </c>
      <c r="M169" s="11">
        <v>0</v>
      </c>
      <c r="N169" s="11">
        <v>0</v>
      </c>
      <c r="O169" s="11">
        <v>0</v>
      </c>
      <c r="P169" s="11">
        <v>0</v>
      </c>
      <c r="Q169" s="12">
        <v>0</v>
      </c>
      <c r="R169" s="12">
        <v>0</v>
      </c>
      <c r="S169" s="12">
        <v>0</v>
      </c>
    </row>
    <row r="170" spans="1:19" x14ac:dyDescent="0.3">
      <c r="A170" s="13" t="s">
        <v>576</v>
      </c>
      <c r="B170" s="14" t="s">
        <v>577</v>
      </c>
      <c r="C170" s="14"/>
      <c r="D170" s="14" t="s">
        <v>578</v>
      </c>
      <c r="E170" s="14">
        <f xml:space="preserve"> IF($S$154,1,0)</f>
        <v>0</v>
      </c>
      <c r="F170" s="14" t="s">
        <v>579</v>
      </c>
      <c r="G170" s="14">
        <v>0</v>
      </c>
      <c r="H170" s="14">
        <v>0</v>
      </c>
      <c r="I170" s="14">
        <v>0</v>
      </c>
      <c r="J170" s="14">
        <v>0</v>
      </c>
      <c r="K170" s="14">
        <v>0</v>
      </c>
      <c r="L170" s="14">
        <v>0</v>
      </c>
      <c r="M170" s="14">
        <v>0</v>
      </c>
      <c r="N170" s="14">
        <v>0</v>
      </c>
      <c r="O170" s="14">
        <v>0</v>
      </c>
      <c r="P170" s="14">
        <v>0</v>
      </c>
      <c r="Q170" s="15">
        <v>0</v>
      </c>
      <c r="R170" s="15">
        <v>0</v>
      </c>
      <c r="S170" s="15">
        <v>0</v>
      </c>
    </row>
    <row r="171" spans="1:19" x14ac:dyDescent="0.3">
      <c r="A171" s="13" t="s">
        <v>584</v>
      </c>
      <c r="B171" s="14" t="s">
        <v>585</v>
      </c>
      <c r="C171" s="14"/>
      <c r="D171" s="14" t="s">
        <v>586</v>
      </c>
      <c r="E171" s="14">
        <f xml:space="preserve"> IF($S$156,1,0)</f>
        <v>0</v>
      </c>
      <c r="F171" s="14" t="s">
        <v>587</v>
      </c>
      <c r="G171" s="14">
        <v>0</v>
      </c>
      <c r="H171" s="14">
        <v>0</v>
      </c>
      <c r="I171" s="14">
        <v>0</v>
      </c>
      <c r="J171" s="14">
        <v>0</v>
      </c>
      <c r="K171" s="14">
        <v>0</v>
      </c>
      <c r="L171" s="14">
        <v>0</v>
      </c>
      <c r="M171" s="14">
        <v>0</v>
      </c>
      <c r="N171" s="14">
        <v>0</v>
      </c>
      <c r="O171" s="14">
        <v>0</v>
      </c>
      <c r="P171" s="14">
        <v>0</v>
      </c>
      <c r="Q171" s="15">
        <v>0</v>
      </c>
      <c r="R171" s="15">
        <v>0</v>
      </c>
      <c r="S171" s="15">
        <v>0</v>
      </c>
    </row>
    <row r="172" spans="1:19" x14ac:dyDescent="0.3">
      <c r="A172" s="10" t="s">
        <v>588</v>
      </c>
      <c r="B172" s="11" t="s">
        <v>589</v>
      </c>
      <c r="C172" s="11"/>
      <c r="D172" s="11" t="s">
        <v>590</v>
      </c>
      <c r="E172" s="11">
        <f xml:space="preserve"> IF($S$157,1,0)</f>
        <v>0</v>
      </c>
      <c r="F172" s="11" t="s">
        <v>591</v>
      </c>
      <c r="G172" s="11">
        <v>0</v>
      </c>
      <c r="H172" s="11">
        <v>0</v>
      </c>
      <c r="I172" s="11">
        <v>0</v>
      </c>
      <c r="J172" s="11">
        <v>0</v>
      </c>
      <c r="K172" s="11">
        <v>0</v>
      </c>
      <c r="L172" s="11">
        <v>0</v>
      </c>
      <c r="M172" s="11">
        <v>0</v>
      </c>
      <c r="N172" s="11">
        <v>0</v>
      </c>
      <c r="O172" s="11">
        <v>0</v>
      </c>
      <c r="P172" s="11">
        <v>0</v>
      </c>
      <c r="Q172" s="12">
        <v>0</v>
      </c>
      <c r="R172" s="12">
        <v>0</v>
      </c>
      <c r="S172" s="12">
        <v>0</v>
      </c>
    </row>
    <row r="173" spans="1:19" x14ac:dyDescent="0.3">
      <c r="A173" s="13" t="s">
        <v>592</v>
      </c>
      <c r="B173" s="14" t="s">
        <v>593</v>
      </c>
      <c r="C173" s="14"/>
      <c r="D173" s="14" t="s">
        <v>594</v>
      </c>
      <c r="E173" s="14">
        <f xml:space="preserve"> IF($S$158,1,0)</f>
        <v>0</v>
      </c>
      <c r="F173" s="14" t="s">
        <v>595</v>
      </c>
      <c r="G173" s="14">
        <v>0</v>
      </c>
      <c r="H173" s="14">
        <v>0</v>
      </c>
      <c r="I173" s="14">
        <v>0</v>
      </c>
      <c r="J173" s="14">
        <v>0</v>
      </c>
      <c r="K173" s="14">
        <v>0</v>
      </c>
      <c r="L173" s="14">
        <v>0</v>
      </c>
      <c r="M173" s="14">
        <v>0</v>
      </c>
      <c r="N173" s="14">
        <v>0</v>
      </c>
      <c r="O173" s="14">
        <v>0</v>
      </c>
      <c r="P173" s="14">
        <v>0</v>
      </c>
      <c r="Q173" s="15">
        <v>0</v>
      </c>
      <c r="R173" s="15">
        <v>0</v>
      </c>
      <c r="S173" s="15">
        <v>0</v>
      </c>
    </row>
    <row r="174" spans="1:19" x14ac:dyDescent="0.3">
      <c r="A174" s="10" t="s">
        <v>596</v>
      </c>
      <c r="B174" s="11" t="s">
        <v>597</v>
      </c>
      <c r="C174" s="11"/>
      <c r="D174" s="11" t="s">
        <v>598</v>
      </c>
      <c r="E174" s="11">
        <f xml:space="preserve"> IF($S$159,1,0)</f>
        <v>0</v>
      </c>
      <c r="F174" s="11" t="s">
        <v>599</v>
      </c>
      <c r="G174" s="11">
        <v>0</v>
      </c>
      <c r="H174" s="11">
        <v>0</v>
      </c>
      <c r="I174" s="11">
        <v>0</v>
      </c>
      <c r="J174" s="11">
        <v>0</v>
      </c>
      <c r="K174" s="11">
        <v>0</v>
      </c>
      <c r="L174" s="11">
        <v>0</v>
      </c>
      <c r="M174" s="11">
        <v>0</v>
      </c>
      <c r="N174" s="11">
        <v>0</v>
      </c>
      <c r="O174" s="11">
        <v>0</v>
      </c>
      <c r="P174" s="11">
        <v>0</v>
      </c>
      <c r="Q174" s="12">
        <v>0</v>
      </c>
      <c r="R174" s="12">
        <v>0</v>
      </c>
      <c r="S174" s="12">
        <v>0</v>
      </c>
    </row>
    <row r="175" spans="1:19" x14ac:dyDescent="0.3">
      <c r="A175" s="13" t="s">
        <v>600</v>
      </c>
      <c r="B175" s="14" t="s">
        <v>601</v>
      </c>
      <c r="C175" s="14"/>
      <c r="D175" s="14" t="s">
        <v>70</v>
      </c>
      <c r="E175" s="14">
        <f xml:space="preserve"> IF($S$160,1,0)</f>
        <v>0</v>
      </c>
      <c r="F175" s="14" t="s">
        <v>602</v>
      </c>
      <c r="G175" s="14">
        <v>0</v>
      </c>
      <c r="H175" s="14">
        <v>0</v>
      </c>
      <c r="I175" s="14">
        <v>0</v>
      </c>
      <c r="J175" s="14">
        <v>0</v>
      </c>
      <c r="K175" s="14">
        <v>0</v>
      </c>
      <c r="L175" s="14">
        <v>0</v>
      </c>
      <c r="M175" s="14">
        <v>0</v>
      </c>
      <c r="N175" s="14">
        <v>0</v>
      </c>
      <c r="O175" s="14">
        <v>0</v>
      </c>
      <c r="P175" s="14">
        <v>0</v>
      </c>
      <c r="Q175" s="15">
        <v>0</v>
      </c>
      <c r="R175" s="15">
        <v>0</v>
      </c>
      <c r="S175" s="15">
        <v>0</v>
      </c>
    </row>
    <row r="176" spans="1:19" x14ac:dyDescent="0.3">
      <c r="A176" s="10" t="s">
        <v>603</v>
      </c>
      <c r="B176" s="11" t="s">
        <v>604</v>
      </c>
      <c r="C176" s="11"/>
      <c r="D176" s="11" t="s">
        <v>605</v>
      </c>
      <c r="E176" s="11">
        <f xml:space="preserve"> IF($S$161,1,0)</f>
        <v>0</v>
      </c>
      <c r="F176" s="11" t="s">
        <v>606</v>
      </c>
      <c r="G176" s="11">
        <v>0</v>
      </c>
      <c r="H176" s="11">
        <v>0</v>
      </c>
      <c r="I176" s="11">
        <v>0</v>
      </c>
      <c r="J176" s="11">
        <v>0</v>
      </c>
      <c r="K176" s="11">
        <v>0</v>
      </c>
      <c r="L176" s="11">
        <v>0</v>
      </c>
      <c r="M176" s="11">
        <v>0</v>
      </c>
      <c r="N176" s="11">
        <v>0</v>
      </c>
      <c r="O176" s="11">
        <v>0</v>
      </c>
      <c r="P176" s="11">
        <v>0</v>
      </c>
      <c r="Q176" s="12">
        <v>0</v>
      </c>
      <c r="R176" s="12">
        <v>0</v>
      </c>
      <c r="S176" s="12">
        <v>0</v>
      </c>
    </row>
    <row r="177" spans="1:19" x14ac:dyDescent="0.3">
      <c r="A177" s="13" t="s">
        <v>607</v>
      </c>
      <c r="B177" s="14" t="s">
        <v>608</v>
      </c>
      <c r="C177" s="14"/>
      <c r="D177" s="14" t="s">
        <v>609</v>
      </c>
      <c r="E177" s="14">
        <f xml:space="preserve"> IF($S$162,1,0)</f>
        <v>0</v>
      </c>
      <c r="F177" s="14" t="s">
        <v>610</v>
      </c>
      <c r="G177" s="14">
        <v>0</v>
      </c>
      <c r="H177" s="14">
        <v>0</v>
      </c>
      <c r="I177" s="14">
        <v>0</v>
      </c>
      <c r="J177" s="14">
        <v>0</v>
      </c>
      <c r="K177" s="14">
        <v>0</v>
      </c>
      <c r="L177" s="14">
        <v>0</v>
      </c>
      <c r="M177" s="14">
        <v>0</v>
      </c>
      <c r="N177" s="14">
        <v>0</v>
      </c>
      <c r="O177" s="14">
        <v>0</v>
      </c>
      <c r="P177" s="14">
        <v>0</v>
      </c>
      <c r="Q177" s="15">
        <v>0</v>
      </c>
      <c r="R177" s="15">
        <v>0</v>
      </c>
      <c r="S177" s="15">
        <v>0</v>
      </c>
    </row>
    <row r="178" spans="1:19" x14ac:dyDescent="0.3">
      <c r="A178" s="10" t="s">
        <v>611</v>
      </c>
      <c r="B178" s="11" t="s">
        <v>612</v>
      </c>
      <c r="C178" s="11"/>
      <c r="D178" s="11" t="s">
        <v>613</v>
      </c>
      <c r="E178" s="11">
        <f xml:space="preserve"> IF($S$163,1,0)</f>
        <v>0</v>
      </c>
      <c r="F178" s="11" t="s">
        <v>614</v>
      </c>
      <c r="G178" s="11">
        <v>0</v>
      </c>
      <c r="H178" s="11">
        <v>0</v>
      </c>
      <c r="I178" s="11">
        <v>0</v>
      </c>
      <c r="J178" s="11">
        <v>0</v>
      </c>
      <c r="K178" s="11">
        <v>0</v>
      </c>
      <c r="L178" s="11">
        <v>0</v>
      </c>
      <c r="M178" s="11">
        <v>0</v>
      </c>
      <c r="N178" s="11">
        <v>0</v>
      </c>
      <c r="O178" s="11">
        <v>0</v>
      </c>
      <c r="P178" s="11">
        <v>0</v>
      </c>
      <c r="Q178" s="12">
        <v>0</v>
      </c>
      <c r="R178" s="12">
        <v>0</v>
      </c>
      <c r="S178" s="12">
        <v>0</v>
      </c>
    </row>
    <row r="179" spans="1:19" x14ac:dyDescent="0.3">
      <c r="A179" s="13" t="s">
        <v>615</v>
      </c>
      <c r="B179" s="14" t="s">
        <v>616</v>
      </c>
      <c r="C179" s="14"/>
      <c r="D179" s="14" t="s">
        <v>617</v>
      </c>
      <c r="E179" s="14">
        <f xml:space="preserve"> IF($S$164,1,0)</f>
        <v>0</v>
      </c>
      <c r="F179" s="14" t="s">
        <v>618</v>
      </c>
      <c r="G179" s="14">
        <v>0</v>
      </c>
      <c r="H179" s="14">
        <v>0</v>
      </c>
      <c r="I179" s="14">
        <v>0</v>
      </c>
      <c r="J179" s="14">
        <v>0</v>
      </c>
      <c r="K179" s="14">
        <v>0</v>
      </c>
      <c r="L179" s="14">
        <v>0</v>
      </c>
      <c r="M179" s="14">
        <v>0</v>
      </c>
      <c r="N179" s="14">
        <v>0</v>
      </c>
      <c r="O179" s="14">
        <v>0</v>
      </c>
      <c r="P179" s="14">
        <v>0</v>
      </c>
      <c r="Q179" s="15">
        <v>0</v>
      </c>
      <c r="R179" s="15">
        <v>0</v>
      </c>
      <c r="S179" s="15">
        <v>0</v>
      </c>
    </row>
    <row r="180" spans="1:19" x14ac:dyDescent="0.3">
      <c r="A180" s="10" t="s">
        <v>619</v>
      </c>
      <c r="B180" s="11" t="s">
        <v>620</v>
      </c>
      <c r="C180" s="11" t="s">
        <v>34</v>
      </c>
      <c r="D180" s="11" t="s">
        <v>621</v>
      </c>
      <c r="E180" s="11">
        <f xml:space="preserve"> IF($S$165,1,0)</f>
        <v>0</v>
      </c>
      <c r="F180" s="11" t="s">
        <v>622</v>
      </c>
      <c r="G180" s="11">
        <v>0</v>
      </c>
      <c r="H180" s="11">
        <v>0</v>
      </c>
      <c r="I180" s="11">
        <v>0</v>
      </c>
      <c r="J180" s="11">
        <v>0</v>
      </c>
      <c r="K180" s="11">
        <v>0</v>
      </c>
      <c r="L180" s="11">
        <v>0</v>
      </c>
      <c r="M180" s="11">
        <v>0</v>
      </c>
      <c r="N180" s="11">
        <v>0</v>
      </c>
      <c r="O180" s="11">
        <v>0</v>
      </c>
      <c r="P180" s="11">
        <v>0</v>
      </c>
      <c r="Q180" s="12">
        <v>0</v>
      </c>
      <c r="R180" s="12">
        <v>0</v>
      </c>
      <c r="S180" s="12">
        <v>0</v>
      </c>
    </row>
    <row r="181" spans="1:19" x14ac:dyDescent="0.3">
      <c r="A181" s="13" t="s">
        <v>623</v>
      </c>
      <c r="B181" s="14" t="s">
        <v>624</v>
      </c>
      <c r="C181" s="14"/>
      <c r="D181" s="14" t="s">
        <v>625</v>
      </c>
      <c r="E181" s="14">
        <f xml:space="preserve"> IF($S$166,1,0)</f>
        <v>0</v>
      </c>
      <c r="F181" s="14" t="s">
        <v>626</v>
      </c>
      <c r="G181" s="14">
        <v>0</v>
      </c>
      <c r="H181" s="14">
        <v>0</v>
      </c>
      <c r="I181" s="14">
        <v>0</v>
      </c>
      <c r="J181" s="14">
        <v>0</v>
      </c>
      <c r="K181" s="14">
        <v>0</v>
      </c>
      <c r="L181" s="14">
        <v>0</v>
      </c>
      <c r="M181" s="14">
        <v>0</v>
      </c>
      <c r="N181" s="14">
        <v>0</v>
      </c>
      <c r="O181" s="14">
        <v>0</v>
      </c>
      <c r="P181" s="14">
        <v>0</v>
      </c>
      <c r="Q181" s="15">
        <v>0</v>
      </c>
      <c r="R181" s="15">
        <v>0</v>
      </c>
      <c r="S181" s="15">
        <v>0</v>
      </c>
    </row>
    <row r="182" spans="1:19" x14ac:dyDescent="0.3">
      <c r="A182" s="10" t="s">
        <v>627</v>
      </c>
      <c r="B182" s="11" t="s">
        <v>624</v>
      </c>
      <c r="C182" s="11"/>
      <c r="D182" s="11" t="s">
        <v>628</v>
      </c>
      <c r="E182" s="11">
        <f xml:space="preserve"> IF($S$167,1,0)</f>
        <v>0</v>
      </c>
      <c r="F182" s="11" t="s">
        <v>629</v>
      </c>
      <c r="G182" s="11">
        <v>0</v>
      </c>
      <c r="H182" s="11">
        <v>0</v>
      </c>
      <c r="I182" s="11">
        <v>0</v>
      </c>
      <c r="J182" s="11">
        <v>0</v>
      </c>
      <c r="K182" s="11">
        <v>0</v>
      </c>
      <c r="L182" s="11">
        <v>0</v>
      </c>
      <c r="M182" s="11">
        <v>0</v>
      </c>
      <c r="N182" s="11">
        <v>0</v>
      </c>
      <c r="O182" s="11">
        <v>0</v>
      </c>
      <c r="P182" s="11">
        <v>0</v>
      </c>
      <c r="Q182" s="12">
        <v>0</v>
      </c>
      <c r="R182" s="12">
        <v>0</v>
      </c>
      <c r="S182" s="12">
        <v>0</v>
      </c>
    </row>
    <row r="183" spans="1:19" x14ac:dyDescent="0.3">
      <c r="A183" s="13" t="s">
        <v>630</v>
      </c>
      <c r="B183" s="14" t="s">
        <v>631</v>
      </c>
      <c r="C183" s="14"/>
      <c r="D183" s="14" t="s">
        <v>632</v>
      </c>
      <c r="E183" s="14">
        <f xml:space="preserve"> IF($S$168,1,0)</f>
        <v>0</v>
      </c>
      <c r="F183" s="14" t="s">
        <v>633</v>
      </c>
      <c r="G183" s="14">
        <v>0</v>
      </c>
      <c r="H183" s="14">
        <v>0</v>
      </c>
      <c r="I183" s="14">
        <v>0</v>
      </c>
      <c r="J183" s="14">
        <v>0</v>
      </c>
      <c r="K183" s="14">
        <v>0</v>
      </c>
      <c r="L183" s="14">
        <v>0</v>
      </c>
      <c r="M183" s="14">
        <v>0</v>
      </c>
      <c r="N183" s="14">
        <v>0</v>
      </c>
      <c r="O183" s="14">
        <v>0</v>
      </c>
      <c r="P183" s="14">
        <v>0</v>
      </c>
      <c r="Q183" s="15">
        <v>0</v>
      </c>
      <c r="R183" s="15">
        <v>0</v>
      </c>
      <c r="S183" s="15">
        <v>0</v>
      </c>
    </row>
    <row r="184" spans="1:19" x14ac:dyDescent="0.3">
      <c r="A184" s="10" t="s">
        <v>634</v>
      </c>
      <c r="B184" s="11" t="s">
        <v>635</v>
      </c>
      <c r="C184" s="11"/>
      <c r="D184" s="11" t="s">
        <v>636</v>
      </c>
      <c r="E184" s="11">
        <f xml:space="preserve"> IF($S$169,1,0)</f>
        <v>0</v>
      </c>
      <c r="F184" s="11" t="s">
        <v>637</v>
      </c>
      <c r="G184" s="11">
        <v>0</v>
      </c>
      <c r="H184" s="11">
        <v>0</v>
      </c>
      <c r="I184" s="11">
        <v>0</v>
      </c>
      <c r="J184" s="11">
        <v>0</v>
      </c>
      <c r="K184" s="11">
        <v>0</v>
      </c>
      <c r="L184" s="11">
        <v>0</v>
      </c>
      <c r="M184" s="11">
        <v>0</v>
      </c>
      <c r="N184" s="11">
        <v>0</v>
      </c>
      <c r="O184" s="11">
        <v>0</v>
      </c>
      <c r="P184" s="11">
        <v>0</v>
      </c>
      <c r="Q184" s="12">
        <v>0</v>
      </c>
      <c r="R184" s="12">
        <v>0</v>
      </c>
      <c r="S184" s="12">
        <v>0</v>
      </c>
    </row>
    <row r="185" spans="1:19" x14ac:dyDescent="0.3">
      <c r="A185" s="13" t="s">
        <v>638</v>
      </c>
      <c r="B185" s="14" t="s">
        <v>639</v>
      </c>
      <c r="C185" s="14"/>
      <c r="D185" s="14" t="s">
        <v>274</v>
      </c>
      <c r="E185" s="14">
        <f xml:space="preserve"> IF($S$170,1,0)</f>
        <v>0</v>
      </c>
      <c r="F185" s="14" t="s">
        <v>640</v>
      </c>
      <c r="G185" s="14">
        <v>0</v>
      </c>
      <c r="H185" s="14">
        <v>0</v>
      </c>
      <c r="I185" s="14">
        <v>0</v>
      </c>
      <c r="J185" s="14">
        <v>0</v>
      </c>
      <c r="K185" s="14">
        <v>0</v>
      </c>
      <c r="L185" s="14">
        <v>0</v>
      </c>
      <c r="M185" s="14">
        <v>0</v>
      </c>
      <c r="N185" s="14">
        <v>0</v>
      </c>
      <c r="O185" s="14">
        <v>0</v>
      </c>
      <c r="P185" s="14">
        <v>0</v>
      </c>
      <c r="Q185" s="15">
        <v>0</v>
      </c>
      <c r="R185" s="15">
        <v>0</v>
      </c>
      <c r="S185" s="15">
        <v>0</v>
      </c>
    </row>
    <row r="186" spans="1:19" x14ac:dyDescent="0.3">
      <c r="A186" s="10" t="s">
        <v>641</v>
      </c>
      <c r="B186" s="11" t="s">
        <v>642</v>
      </c>
      <c r="C186" s="11"/>
      <c r="D186" s="11" t="s">
        <v>643</v>
      </c>
      <c r="E186" s="11">
        <f xml:space="preserve"> IF($S$171,1,0)</f>
        <v>0</v>
      </c>
      <c r="F186" s="11" t="s">
        <v>644</v>
      </c>
      <c r="G186" s="11">
        <v>0</v>
      </c>
      <c r="H186" s="11">
        <v>0</v>
      </c>
      <c r="I186" s="11">
        <v>0</v>
      </c>
      <c r="J186" s="11">
        <v>0</v>
      </c>
      <c r="K186" s="11">
        <v>0</v>
      </c>
      <c r="L186" s="11">
        <v>0</v>
      </c>
      <c r="M186" s="11">
        <v>0</v>
      </c>
      <c r="N186" s="11">
        <v>0</v>
      </c>
      <c r="O186" s="11">
        <v>0</v>
      </c>
      <c r="P186" s="11">
        <v>0</v>
      </c>
      <c r="Q186" s="12">
        <v>0</v>
      </c>
      <c r="R186" s="12">
        <v>0</v>
      </c>
      <c r="S186" s="12">
        <v>0</v>
      </c>
    </row>
    <row r="187" spans="1:19" x14ac:dyDescent="0.3">
      <c r="A187" s="13" t="s">
        <v>645</v>
      </c>
      <c r="B187" s="14" t="s">
        <v>646</v>
      </c>
      <c r="C187" s="14"/>
      <c r="D187" s="14" t="s">
        <v>647</v>
      </c>
      <c r="E187" s="14">
        <f xml:space="preserve"> IF($S$172,1,0)</f>
        <v>0</v>
      </c>
      <c r="F187" s="14" t="s">
        <v>648</v>
      </c>
      <c r="G187" s="14">
        <v>0</v>
      </c>
      <c r="H187" s="14">
        <v>0</v>
      </c>
      <c r="I187" s="14">
        <v>0</v>
      </c>
      <c r="J187" s="14">
        <v>0</v>
      </c>
      <c r="K187" s="14">
        <v>0</v>
      </c>
      <c r="L187" s="14">
        <v>0</v>
      </c>
      <c r="M187" s="14">
        <v>0</v>
      </c>
      <c r="N187" s="14">
        <v>0</v>
      </c>
      <c r="O187" s="14">
        <v>0</v>
      </c>
      <c r="P187" s="14">
        <v>0</v>
      </c>
      <c r="Q187" s="15">
        <v>0</v>
      </c>
      <c r="R187" s="15">
        <v>0</v>
      </c>
      <c r="S187" s="15">
        <v>0</v>
      </c>
    </row>
    <row r="188" spans="1:19" x14ac:dyDescent="0.3">
      <c r="A188" s="13" t="s">
        <v>653</v>
      </c>
      <c r="B188" s="14" t="s">
        <v>654</v>
      </c>
      <c r="C188" s="14"/>
      <c r="D188" s="14" t="s">
        <v>655</v>
      </c>
      <c r="E188" s="14">
        <f xml:space="preserve"> IF($S$174,1,0)</f>
        <v>0</v>
      </c>
      <c r="F188" s="14" t="s">
        <v>656</v>
      </c>
      <c r="G188" s="14">
        <v>0</v>
      </c>
      <c r="H188" s="14">
        <v>0</v>
      </c>
      <c r="I188" s="14">
        <v>0</v>
      </c>
      <c r="J188" s="14">
        <v>0</v>
      </c>
      <c r="K188" s="14">
        <v>0</v>
      </c>
      <c r="L188" s="14">
        <v>0</v>
      </c>
      <c r="M188" s="14">
        <v>0</v>
      </c>
      <c r="N188" s="14">
        <v>0</v>
      </c>
      <c r="O188" s="14">
        <v>0</v>
      </c>
      <c r="P188" s="14">
        <v>0</v>
      </c>
      <c r="Q188" s="15">
        <v>0</v>
      </c>
      <c r="R188" s="15">
        <v>0</v>
      </c>
      <c r="S188" s="15">
        <v>0</v>
      </c>
    </row>
    <row r="189" spans="1:19" x14ac:dyDescent="0.3">
      <c r="A189" s="13" t="s">
        <v>661</v>
      </c>
      <c r="B189" s="14" t="s">
        <v>658</v>
      </c>
      <c r="C189" s="14" t="s">
        <v>202</v>
      </c>
      <c r="D189" s="14" t="s">
        <v>662</v>
      </c>
      <c r="E189" s="14">
        <f xml:space="preserve"> IF($S$176,1,0)</f>
        <v>0</v>
      </c>
      <c r="F189" s="14" t="s">
        <v>663</v>
      </c>
      <c r="G189" s="14">
        <v>0</v>
      </c>
      <c r="H189" s="14">
        <v>0</v>
      </c>
      <c r="I189" s="14">
        <v>0</v>
      </c>
      <c r="J189" s="14">
        <v>0</v>
      </c>
      <c r="K189" s="14">
        <v>0</v>
      </c>
      <c r="L189" s="14">
        <v>0</v>
      </c>
      <c r="M189" s="14">
        <v>0</v>
      </c>
      <c r="N189" s="14">
        <v>0</v>
      </c>
      <c r="O189" s="14">
        <v>0</v>
      </c>
      <c r="P189" s="14">
        <v>0</v>
      </c>
      <c r="Q189" s="15">
        <v>0</v>
      </c>
      <c r="R189" s="15">
        <v>0</v>
      </c>
      <c r="S189" s="15">
        <v>0</v>
      </c>
    </row>
    <row r="190" spans="1:19" x14ac:dyDescent="0.3">
      <c r="A190" s="10" t="s">
        <v>664</v>
      </c>
      <c r="B190" s="11" t="s">
        <v>665</v>
      </c>
      <c r="C190" s="11"/>
      <c r="D190" s="11" t="s">
        <v>666</v>
      </c>
      <c r="E190" s="11">
        <f xml:space="preserve"> IF($S$177,1,0)</f>
        <v>0</v>
      </c>
      <c r="F190" s="11" t="s">
        <v>667</v>
      </c>
      <c r="G190" s="11">
        <v>0</v>
      </c>
      <c r="H190" s="11">
        <v>0</v>
      </c>
      <c r="I190" s="11">
        <v>0</v>
      </c>
      <c r="J190" s="11">
        <v>0</v>
      </c>
      <c r="K190" s="11">
        <v>0</v>
      </c>
      <c r="L190" s="11">
        <v>0</v>
      </c>
      <c r="M190" s="11">
        <v>0</v>
      </c>
      <c r="N190" s="11">
        <v>0</v>
      </c>
      <c r="O190" s="11">
        <v>0</v>
      </c>
      <c r="P190" s="11">
        <v>0</v>
      </c>
      <c r="Q190" s="12">
        <v>0</v>
      </c>
      <c r="R190" s="12">
        <v>0</v>
      </c>
      <c r="S190" s="12">
        <v>0</v>
      </c>
    </row>
    <row r="191" spans="1:19" x14ac:dyDescent="0.3">
      <c r="A191" s="13" t="s">
        <v>668</v>
      </c>
      <c r="B191" s="14" t="s">
        <v>669</v>
      </c>
      <c r="C191" s="14"/>
      <c r="D191" s="14" t="s">
        <v>670</v>
      </c>
      <c r="E191" s="14">
        <f xml:space="preserve"> IF($S$178,1,0)</f>
        <v>0</v>
      </c>
      <c r="F191" s="14" t="s">
        <v>671</v>
      </c>
      <c r="G191" s="14">
        <v>0</v>
      </c>
      <c r="H191" s="14">
        <v>0</v>
      </c>
      <c r="I191" s="14">
        <v>0</v>
      </c>
      <c r="J191" s="14">
        <v>0</v>
      </c>
      <c r="K191" s="14">
        <v>0</v>
      </c>
      <c r="L191" s="14">
        <v>0</v>
      </c>
      <c r="M191" s="14">
        <v>0</v>
      </c>
      <c r="N191" s="14">
        <v>0</v>
      </c>
      <c r="O191" s="14">
        <v>0</v>
      </c>
      <c r="P191" s="14">
        <v>0</v>
      </c>
      <c r="Q191" s="15">
        <v>0</v>
      </c>
      <c r="R191" s="15">
        <v>0</v>
      </c>
      <c r="S191" s="15">
        <v>0</v>
      </c>
    </row>
    <row r="192" spans="1:19" x14ac:dyDescent="0.3">
      <c r="A192" s="10" t="s">
        <v>672</v>
      </c>
      <c r="B192" s="11" t="s">
        <v>673</v>
      </c>
      <c r="C192" s="11"/>
      <c r="D192" s="11" t="s">
        <v>674</v>
      </c>
      <c r="E192" s="11">
        <f xml:space="preserve"> IF($S$179,1,0)</f>
        <v>0</v>
      </c>
      <c r="F192" s="11" t="s">
        <v>675</v>
      </c>
      <c r="G192" s="11">
        <v>0</v>
      </c>
      <c r="H192" s="11">
        <v>0</v>
      </c>
      <c r="I192" s="11">
        <v>0</v>
      </c>
      <c r="J192" s="11">
        <v>0</v>
      </c>
      <c r="K192" s="11">
        <v>0</v>
      </c>
      <c r="L192" s="11">
        <v>0</v>
      </c>
      <c r="M192" s="11">
        <v>0</v>
      </c>
      <c r="N192" s="11">
        <v>0</v>
      </c>
      <c r="O192" s="11">
        <v>0</v>
      </c>
      <c r="P192" s="11">
        <v>0</v>
      </c>
      <c r="Q192" s="12">
        <v>0</v>
      </c>
      <c r="R192" s="12">
        <v>0</v>
      </c>
      <c r="S192" s="12">
        <v>0</v>
      </c>
    </row>
    <row r="193" spans="1:19" x14ac:dyDescent="0.3">
      <c r="A193" s="13" t="s">
        <v>676</v>
      </c>
      <c r="B193" s="14" t="s">
        <v>677</v>
      </c>
      <c r="C193" s="14"/>
      <c r="D193" s="14" t="s">
        <v>678</v>
      </c>
      <c r="E193" s="14">
        <f xml:space="preserve"> IF($S$180,1,0)</f>
        <v>0</v>
      </c>
      <c r="F193" s="14" t="s">
        <v>679</v>
      </c>
      <c r="G193" s="14">
        <v>0</v>
      </c>
      <c r="H193" s="14">
        <v>0</v>
      </c>
      <c r="I193" s="14">
        <v>0</v>
      </c>
      <c r="J193" s="14">
        <v>0</v>
      </c>
      <c r="K193" s="14">
        <v>0</v>
      </c>
      <c r="L193" s="14">
        <v>0</v>
      </c>
      <c r="M193" s="14">
        <v>0</v>
      </c>
      <c r="N193" s="14">
        <v>0</v>
      </c>
      <c r="O193" s="14">
        <v>0</v>
      </c>
      <c r="P193" s="14">
        <v>0</v>
      </c>
      <c r="Q193" s="15">
        <v>0</v>
      </c>
      <c r="R193" s="15">
        <v>0</v>
      </c>
      <c r="S193" s="15">
        <v>0</v>
      </c>
    </row>
    <row r="194" spans="1:19" x14ac:dyDescent="0.3">
      <c r="A194" s="10" t="s">
        <v>680</v>
      </c>
      <c r="B194" s="11" t="s">
        <v>681</v>
      </c>
      <c r="C194" s="11"/>
      <c r="D194" s="11" t="s">
        <v>682</v>
      </c>
      <c r="E194" s="11">
        <f xml:space="preserve"> IF($S$181,1,0)</f>
        <v>0</v>
      </c>
      <c r="F194" s="11" t="s">
        <v>683</v>
      </c>
      <c r="G194" s="11">
        <v>0</v>
      </c>
      <c r="H194" s="11">
        <v>0</v>
      </c>
      <c r="I194" s="11">
        <v>0</v>
      </c>
      <c r="J194" s="11">
        <v>0</v>
      </c>
      <c r="K194" s="11">
        <v>0</v>
      </c>
      <c r="L194" s="11">
        <v>0</v>
      </c>
      <c r="M194" s="11">
        <v>0</v>
      </c>
      <c r="N194" s="11">
        <v>0</v>
      </c>
      <c r="O194" s="11">
        <v>0</v>
      </c>
      <c r="P194" s="11">
        <v>0</v>
      </c>
      <c r="Q194" s="12">
        <v>0</v>
      </c>
      <c r="R194" s="12">
        <v>0</v>
      </c>
      <c r="S194" s="12">
        <v>0</v>
      </c>
    </row>
    <row r="195" spans="1:19" x14ac:dyDescent="0.3">
      <c r="A195" s="13" t="s">
        <v>684</v>
      </c>
      <c r="B195" s="14" t="s">
        <v>685</v>
      </c>
      <c r="C195" s="14"/>
      <c r="D195" s="14" t="s">
        <v>686</v>
      </c>
      <c r="E195" s="14">
        <f xml:space="preserve"> IF($S$182,1,0)</f>
        <v>0</v>
      </c>
      <c r="F195" s="14" t="s">
        <v>687</v>
      </c>
      <c r="G195" s="14">
        <v>0</v>
      </c>
      <c r="H195" s="14">
        <v>0</v>
      </c>
      <c r="I195" s="14">
        <v>0</v>
      </c>
      <c r="J195" s="14">
        <v>0</v>
      </c>
      <c r="K195" s="14">
        <v>0</v>
      </c>
      <c r="L195" s="14">
        <v>0</v>
      </c>
      <c r="M195" s="14">
        <v>0</v>
      </c>
      <c r="N195" s="14">
        <v>0</v>
      </c>
      <c r="O195" s="14">
        <v>0</v>
      </c>
      <c r="P195" s="14">
        <v>0</v>
      </c>
      <c r="Q195" s="15">
        <v>0</v>
      </c>
      <c r="R195" s="15">
        <v>0</v>
      </c>
      <c r="S195" s="15">
        <v>0</v>
      </c>
    </row>
    <row r="196" spans="1:19" x14ac:dyDescent="0.3">
      <c r="A196" s="10" t="s">
        <v>688</v>
      </c>
      <c r="B196" s="11" t="s">
        <v>689</v>
      </c>
      <c r="C196" s="11"/>
      <c r="D196" s="11" t="s">
        <v>690</v>
      </c>
      <c r="E196" s="11">
        <f xml:space="preserve"> IF($S$183,1,0)</f>
        <v>0</v>
      </c>
      <c r="F196" s="11" t="s">
        <v>691</v>
      </c>
      <c r="G196" s="11">
        <v>0</v>
      </c>
      <c r="H196" s="11">
        <v>0</v>
      </c>
      <c r="I196" s="11">
        <v>0</v>
      </c>
      <c r="J196" s="11">
        <v>0</v>
      </c>
      <c r="K196" s="11">
        <v>0</v>
      </c>
      <c r="L196" s="11">
        <v>0</v>
      </c>
      <c r="M196" s="11">
        <v>0</v>
      </c>
      <c r="N196" s="11">
        <v>0</v>
      </c>
      <c r="O196" s="11">
        <v>0</v>
      </c>
      <c r="P196" s="11">
        <v>0</v>
      </c>
      <c r="Q196" s="12">
        <v>0</v>
      </c>
      <c r="R196" s="12">
        <v>0</v>
      </c>
      <c r="S196" s="12">
        <v>0</v>
      </c>
    </row>
    <row r="197" spans="1:19" x14ac:dyDescent="0.3">
      <c r="A197" s="13" t="s">
        <v>692</v>
      </c>
      <c r="B197" s="14" t="s">
        <v>693</v>
      </c>
      <c r="C197" s="14" t="s">
        <v>65</v>
      </c>
      <c r="D197" s="14" t="s">
        <v>694</v>
      </c>
      <c r="E197" s="14">
        <f xml:space="preserve"> IF($S$184,1,0)</f>
        <v>0</v>
      </c>
      <c r="F197" s="14" t="s">
        <v>695</v>
      </c>
      <c r="G197" s="14">
        <v>0</v>
      </c>
      <c r="H197" s="14">
        <v>0</v>
      </c>
      <c r="I197" s="14">
        <v>0</v>
      </c>
      <c r="J197" s="14">
        <v>0</v>
      </c>
      <c r="K197" s="14">
        <v>0</v>
      </c>
      <c r="L197" s="14">
        <v>0</v>
      </c>
      <c r="M197" s="14">
        <v>0</v>
      </c>
      <c r="N197" s="14">
        <v>0</v>
      </c>
      <c r="O197" s="14">
        <v>0</v>
      </c>
      <c r="P197" s="14">
        <v>0</v>
      </c>
      <c r="Q197" s="15">
        <v>0</v>
      </c>
      <c r="R197" s="15">
        <v>0</v>
      </c>
      <c r="S197" s="15">
        <v>0</v>
      </c>
    </row>
    <row r="198" spans="1:19" x14ac:dyDescent="0.3">
      <c r="A198" s="13" t="s">
        <v>700</v>
      </c>
      <c r="B198" s="14" t="s">
        <v>697</v>
      </c>
      <c r="C198" s="14"/>
      <c r="D198" s="14" t="s">
        <v>701</v>
      </c>
      <c r="E198" s="14">
        <f xml:space="preserve"> IF($S$186,1,0)</f>
        <v>0</v>
      </c>
      <c r="F198" s="14" t="s">
        <v>702</v>
      </c>
      <c r="G198" s="14">
        <v>0</v>
      </c>
      <c r="H198" s="14">
        <v>0</v>
      </c>
      <c r="I198" s="14">
        <v>0</v>
      </c>
      <c r="J198" s="14">
        <v>0</v>
      </c>
      <c r="K198" s="14">
        <v>0</v>
      </c>
      <c r="L198" s="14">
        <v>0</v>
      </c>
      <c r="M198" s="14">
        <v>0</v>
      </c>
      <c r="N198" s="14">
        <v>0</v>
      </c>
      <c r="O198" s="14">
        <v>0</v>
      </c>
      <c r="P198" s="14">
        <v>0</v>
      </c>
      <c r="Q198" s="15">
        <v>0</v>
      </c>
      <c r="R198" s="15">
        <v>0</v>
      </c>
      <c r="S198" s="15">
        <v>0</v>
      </c>
    </row>
    <row r="199" spans="1:19" x14ac:dyDescent="0.3">
      <c r="A199" s="10" t="s">
        <v>703</v>
      </c>
      <c r="B199" s="11" t="s">
        <v>704</v>
      </c>
      <c r="C199" s="11"/>
      <c r="D199" s="11" t="s">
        <v>705</v>
      </c>
      <c r="E199" s="11">
        <f xml:space="preserve"> IF($S$187,1,0)</f>
        <v>0</v>
      </c>
      <c r="F199" s="11" t="s">
        <v>706</v>
      </c>
      <c r="G199" s="11">
        <v>0</v>
      </c>
      <c r="H199" s="11">
        <v>0</v>
      </c>
      <c r="I199" s="11">
        <v>0</v>
      </c>
      <c r="J199" s="11">
        <v>0</v>
      </c>
      <c r="K199" s="11">
        <v>0</v>
      </c>
      <c r="L199" s="11">
        <v>0</v>
      </c>
      <c r="M199" s="11">
        <v>0</v>
      </c>
      <c r="N199" s="11">
        <v>0</v>
      </c>
      <c r="O199" s="11">
        <v>0</v>
      </c>
      <c r="P199" s="11">
        <v>0</v>
      </c>
      <c r="Q199" s="12">
        <v>0</v>
      </c>
      <c r="R199" s="12">
        <v>0</v>
      </c>
      <c r="S199" s="12">
        <v>0</v>
      </c>
    </row>
    <row r="200" spans="1:19" x14ac:dyDescent="0.3">
      <c r="A200" s="10" t="s">
        <v>710</v>
      </c>
      <c r="B200" s="11" t="s">
        <v>708</v>
      </c>
      <c r="C200" s="11"/>
      <c r="D200" s="11" t="s">
        <v>711</v>
      </c>
      <c r="E200" s="11">
        <f xml:space="preserve"> IF($S$189,1,0)</f>
        <v>0</v>
      </c>
      <c r="F200" s="11" t="s">
        <v>712</v>
      </c>
      <c r="G200" s="11">
        <v>0</v>
      </c>
      <c r="H200" s="11">
        <v>0</v>
      </c>
      <c r="I200" s="11">
        <v>0</v>
      </c>
      <c r="J200" s="11">
        <v>0</v>
      </c>
      <c r="K200" s="11">
        <v>0</v>
      </c>
      <c r="L200" s="11">
        <v>0</v>
      </c>
      <c r="M200" s="11">
        <v>0</v>
      </c>
      <c r="N200" s="11">
        <v>0</v>
      </c>
      <c r="O200" s="11">
        <v>0</v>
      </c>
      <c r="P200" s="11">
        <v>0</v>
      </c>
      <c r="Q200" s="12">
        <v>0</v>
      </c>
      <c r="R200" s="12">
        <v>0</v>
      </c>
      <c r="S200" s="12">
        <v>0</v>
      </c>
    </row>
    <row r="201" spans="1:19" x14ac:dyDescent="0.3">
      <c r="A201" s="10" t="s">
        <v>716</v>
      </c>
      <c r="B201" s="11" t="s">
        <v>717</v>
      </c>
      <c r="C201" s="11"/>
      <c r="D201" s="11" t="s">
        <v>718</v>
      </c>
      <c r="E201" s="11">
        <f xml:space="preserve"> IF($S$191,1,0)</f>
        <v>0</v>
      </c>
      <c r="F201" s="11" t="s">
        <v>719</v>
      </c>
      <c r="G201" s="11">
        <v>0</v>
      </c>
      <c r="H201" s="11">
        <v>0</v>
      </c>
      <c r="I201" s="11">
        <v>0</v>
      </c>
      <c r="J201" s="11">
        <v>0</v>
      </c>
      <c r="K201" s="11">
        <v>0</v>
      </c>
      <c r="L201" s="11">
        <v>0</v>
      </c>
      <c r="M201" s="11">
        <v>0</v>
      </c>
      <c r="N201" s="11">
        <v>0</v>
      </c>
      <c r="O201" s="11">
        <v>0</v>
      </c>
      <c r="P201" s="11">
        <v>0</v>
      </c>
      <c r="Q201" s="12">
        <v>0</v>
      </c>
      <c r="R201" s="12">
        <v>0</v>
      </c>
      <c r="S201" s="12">
        <v>0</v>
      </c>
    </row>
    <row r="202" spans="1:19" x14ac:dyDescent="0.3">
      <c r="A202" s="13" t="s">
        <v>720</v>
      </c>
      <c r="B202" s="14" t="s">
        <v>721</v>
      </c>
      <c r="C202" s="14"/>
      <c r="D202" s="14" t="s">
        <v>722</v>
      </c>
      <c r="E202" s="14">
        <f xml:space="preserve"> IF($S$192,1,0)</f>
        <v>0</v>
      </c>
      <c r="F202" s="14" t="s">
        <v>723</v>
      </c>
      <c r="G202" s="14">
        <v>0</v>
      </c>
      <c r="H202" s="14">
        <v>0</v>
      </c>
      <c r="I202" s="14">
        <v>0</v>
      </c>
      <c r="J202" s="14">
        <v>0</v>
      </c>
      <c r="K202" s="14">
        <v>0</v>
      </c>
      <c r="L202" s="14">
        <v>0</v>
      </c>
      <c r="M202" s="14">
        <v>0</v>
      </c>
      <c r="N202" s="14">
        <v>0</v>
      </c>
      <c r="O202" s="14">
        <v>0</v>
      </c>
      <c r="P202" s="14">
        <v>0</v>
      </c>
      <c r="Q202" s="15">
        <v>0</v>
      </c>
      <c r="R202" s="15">
        <v>0</v>
      </c>
      <c r="S202" s="15">
        <v>0</v>
      </c>
    </row>
    <row r="203" spans="1:19" x14ac:dyDescent="0.3">
      <c r="A203" s="13" t="s">
        <v>727</v>
      </c>
      <c r="B203" s="14" t="s">
        <v>728</v>
      </c>
      <c r="C203" s="14"/>
      <c r="D203" s="14" t="s">
        <v>729</v>
      </c>
      <c r="E203" s="14">
        <f xml:space="preserve"> IF($S$194,1,0)</f>
        <v>0</v>
      </c>
      <c r="F203" s="14" t="s">
        <v>730</v>
      </c>
      <c r="G203" s="14">
        <v>0</v>
      </c>
      <c r="H203" s="14">
        <v>0</v>
      </c>
      <c r="I203" s="14">
        <v>0</v>
      </c>
      <c r="J203" s="14">
        <v>0</v>
      </c>
      <c r="K203" s="14">
        <v>0</v>
      </c>
      <c r="L203" s="14">
        <v>0</v>
      </c>
      <c r="M203" s="14">
        <v>0</v>
      </c>
      <c r="N203" s="14">
        <v>0</v>
      </c>
      <c r="O203" s="14">
        <v>0</v>
      </c>
      <c r="P203" s="14">
        <v>0</v>
      </c>
      <c r="Q203" s="15">
        <v>0</v>
      </c>
      <c r="R203" s="15">
        <v>0</v>
      </c>
      <c r="S203" s="15">
        <v>0</v>
      </c>
    </row>
    <row r="204" spans="1:19" x14ac:dyDescent="0.3">
      <c r="A204" s="10" t="s">
        <v>731</v>
      </c>
      <c r="B204" s="11" t="s">
        <v>732</v>
      </c>
      <c r="C204" s="11"/>
      <c r="D204" s="11" t="s">
        <v>733</v>
      </c>
      <c r="E204" s="11">
        <f xml:space="preserve"> IF($S$195,1,0)</f>
        <v>0</v>
      </c>
      <c r="F204" s="11" t="s">
        <v>734</v>
      </c>
      <c r="G204" s="11">
        <v>0</v>
      </c>
      <c r="H204" s="11">
        <v>0</v>
      </c>
      <c r="I204" s="11">
        <v>0</v>
      </c>
      <c r="J204" s="11">
        <v>0</v>
      </c>
      <c r="K204" s="11">
        <v>0</v>
      </c>
      <c r="L204" s="11">
        <v>0</v>
      </c>
      <c r="M204" s="11">
        <v>0</v>
      </c>
      <c r="N204" s="11">
        <v>0</v>
      </c>
      <c r="O204" s="11">
        <v>0</v>
      </c>
      <c r="P204" s="11">
        <v>0</v>
      </c>
      <c r="Q204" s="12">
        <v>0</v>
      </c>
      <c r="R204" s="12">
        <v>0</v>
      </c>
      <c r="S204" s="12">
        <v>0</v>
      </c>
    </row>
    <row r="205" spans="1:19" x14ac:dyDescent="0.3">
      <c r="A205" s="13" t="s">
        <v>735</v>
      </c>
      <c r="B205" s="14" t="s">
        <v>736</v>
      </c>
      <c r="C205" s="14"/>
      <c r="D205" s="14" t="s">
        <v>737</v>
      </c>
      <c r="E205" s="14">
        <f xml:space="preserve"> IF($S$196,1,0)</f>
        <v>0</v>
      </c>
      <c r="F205" s="14" t="s">
        <v>738</v>
      </c>
      <c r="G205" s="14">
        <v>0</v>
      </c>
      <c r="H205" s="14">
        <v>0</v>
      </c>
      <c r="I205" s="14">
        <v>0</v>
      </c>
      <c r="J205" s="14">
        <v>0</v>
      </c>
      <c r="K205" s="14">
        <v>0</v>
      </c>
      <c r="L205" s="14">
        <v>0</v>
      </c>
      <c r="M205" s="14">
        <v>0</v>
      </c>
      <c r="N205" s="14">
        <v>0</v>
      </c>
      <c r="O205" s="14">
        <v>0</v>
      </c>
      <c r="P205" s="14">
        <v>0</v>
      </c>
      <c r="Q205" s="15">
        <v>0</v>
      </c>
      <c r="R205" s="15">
        <v>0</v>
      </c>
      <c r="S205" s="15">
        <v>0</v>
      </c>
    </row>
    <row r="206" spans="1:19" x14ac:dyDescent="0.3">
      <c r="A206" s="10" t="s">
        <v>739</v>
      </c>
      <c r="B206" s="11" t="s">
        <v>740</v>
      </c>
      <c r="C206" s="11" t="s">
        <v>65</v>
      </c>
      <c r="D206" s="11" t="s">
        <v>239</v>
      </c>
      <c r="E206" s="11">
        <f xml:space="preserve"> IF($S$197,1,0)</f>
        <v>0</v>
      </c>
      <c r="F206" s="11" t="s">
        <v>741</v>
      </c>
      <c r="G206" s="11">
        <v>0</v>
      </c>
      <c r="H206" s="11">
        <v>0</v>
      </c>
      <c r="I206" s="11">
        <v>0</v>
      </c>
      <c r="J206" s="11">
        <v>0</v>
      </c>
      <c r="K206" s="11">
        <v>0</v>
      </c>
      <c r="L206" s="11">
        <v>0</v>
      </c>
      <c r="M206" s="11">
        <v>0</v>
      </c>
      <c r="N206" s="11">
        <v>0</v>
      </c>
      <c r="O206" s="11">
        <v>0</v>
      </c>
      <c r="P206" s="11">
        <v>0</v>
      </c>
      <c r="Q206" s="12">
        <v>0</v>
      </c>
      <c r="R206" s="12">
        <v>0</v>
      </c>
      <c r="S206" s="12">
        <v>0</v>
      </c>
    </row>
    <row r="207" spans="1:19" x14ac:dyDescent="0.3">
      <c r="A207" s="13" t="s">
        <v>742</v>
      </c>
      <c r="B207" s="14" t="s">
        <v>743</v>
      </c>
      <c r="C207" s="14"/>
      <c r="D207" s="14" t="s">
        <v>744</v>
      </c>
      <c r="E207" s="14">
        <f xml:space="preserve"> IF($S$198,1,0)</f>
        <v>0</v>
      </c>
      <c r="F207" s="14" t="s">
        <v>745</v>
      </c>
      <c r="G207" s="14">
        <v>0</v>
      </c>
      <c r="H207" s="14">
        <v>0</v>
      </c>
      <c r="I207" s="14">
        <v>0</v>
      </c>
      <c r="J207" s="14">
        <v>0</v>
      </c>
      <c r="K207" s="14">
        <v>0</v>
      </c>
      <c r="L207" s="14">
        <v>0</v>
      </c>
      <c r="M207" s="14">
        <v>0</v>
      </c>
      <c r="N207" s="14">
        <v>0</v>
      </c>
      <c r="O207" s="14">
        <v>0</v>
      </c>
      <c r="P207" s="14">
        <v>0</v>
      </c>
      <c r="Q207" s="15">
        <v>0</v>
      </c>
      <c r="R207" s="15">
        <v>0</v>
      </c>
      <c r="S207" s="15">
        <v>0</v>
      </c>
    </row>
    <row r="208" spans="1:19" x14ac:dyDescent="0.3">
      <c r="A208" s="10" t="s">
        <v>746</v>
      </c>
      <c r="B208" s="11" t="s">
        <v>747</v>
      </c>
      <c r="C208" s="11"/>
      <c r="D208" s="11" t="s">
        <v>748</v>
      </c>
      <c r="E208" s="11">
        <f xml:space="preserve"> IF($S$199,1,0)</f>
        <v>0</v>
      </c>
      <c r="F208" s="11" t="s">
        <v>749</v>
      </c>
      <c r="G208" s="11">
        <v>0</v>
      </c>
      <c r="H208" s="11">
        <v>0</v>
      </c>
      <c r="I208" s="11">
        <v>0</v>
      </c>
      <c r="J208" s="11">
        <v>0</v>
      </c>
      <c r="K208" s="11">
        <v>0</v>
      </c>
      <c r="L208" s="11">
        <v>0</v>
      </c>
      <c r="M208" s="11">
        <v>0</v>
      </c>
      <c r="N208" s="11">
        <v>0</v>
      </c>
      <c r="O208" s="11">
        <v>0</v>
      </c>
      <c r="P208" s="11">
        <v>0</v>
      </c>
      <c r="Q208" s="12">
        <v>0</v>
      </c>
      <c r="R208" s="12">
        <v>0</v>
      </c>
      <c r="S208" s="12">
        <v>0</v>
      </c>
    </row>
    <row r="209" spans="1:19" x14ac:dyDescent="0.3">
      <c r="A209" s="13" t="s">
        <v>750</v>
      </c>
      <c r="B209" s="14" t="s">
        <v>751</v>
      </c>
      <c r="C209" s="14"/>
      <c r="D209" s="14" t="s">
        <v>752</v>
      </c>
      <c r="E209" s="14">
        <f xml:space="preserve"> IF($S$200,1,0)</f>
        <v>0</v>
      </c>
      <c r="F209" s="14" t="s">
        <v>753</v>
      </c>
      <c r="G209" s="14">
        <v>0</v>
      </c>
      <c r="H209" s="14">
        <v>0</v>
      </c>
      <c r="I209" s="14">
        <v>0</v>
      </c>
      <c r="J209" s="14">
        <v>0</v>
      </c>
      <c r="K209" s="14">
        <v>0</v>
      </c>
      <c r="L209" s="14">
        <v>0</v>
      </c>
      <c r="M209" s="14">
        <v>0</v>
      </c>
      <c r="N209" s="14">
        <v>0</v>
      </c>
      <c r="O209" s="14">
        <v>0</v>
      </c>
      <c r="P209" s="14">
        <v>0</v>
      </c>
      <c r="Q209" s="15">
        <v>0</v>
      </c>
      <c r="R209" s="15">
        <v>0</v>
      </c>
      <c r="S209" s="15">
        <v>0</v>
      </c>
    </row>
    <row r="210" spans="1:19" x14ac:dyDescent="0.3">
      <c r="A210" s="10" t="s">
        <v>754</v>
      </c>
      <c r="B210" s="11" t="s">
        <v>755</v>
      </c>
      <c r="C210" s="11"/>
      <c r="D210" s="11" t="s">
        <v>756</v>
      </c>
      <c r="E210" s="11">
        <f xml:space="preserve"> IF($S$201,1,0)</f>
        <v>0</v>
      </c>
      <c r="F210" s="11" t="s">
        <v>757</v>
      </c>
      <c r="G210" s="11">
        <v>0</v>
      </c>
      <c r="H210" s="11">
        <v>0</v>
      </c>
      <c r="I210" s="11">
        <v>0</v>
      </c>
      <c r="J210" s="11">
        <v>0</v>
      </c>
      <c r="K210" s="11">
        <v>0</v>
      </c>
      <c r="L210" s="11">
        <v>0</v>
      </c>
      <c r="M210" s="11">
        <v>0</v>
      </c>
      <c r="N210" s="11">
        <v>0</v>
      </c>
      <c r="O210" s="11">
        <v>0</v>
      </c>
      <c r="P210" s="11">
        <v>0</v>
      </c>
      <c r="Q210" s="12">
        <v>0</v>
      </c>
      <c r="R210" s="12">
        <v>0</v>
      </c>
      <c r="S210" s="12">
        <v>0</v>
      </c>
    </row>
    <row r="211" spans="1:19" x14ac:dyDescent="0.3">
      <c r="A211" s="13" t="s">
        <v>758</v>
      </c>
      <c r="B211" s="14" t="s">
        <v>759</v>
      </c>
      <c r="C211" s="14"/>
      <c r="D211" s="14" t="s">
        <v>760</v>
      </c>
      <c r="E211" s="14">
        <f xml:space="preserve"> IF($S$202,1,0)</f>
        <v>0</v>
      </c>
      <c r="F211" s="14" t="s">
        <v>761</v>
      </c>
      <c r="G211" s="14">
        <v>0</v>
      </c>
      <c r="H211" s="14">
        <v>0</v>
      </c>
      <c r="I211" s="14">
        <v>0</v>
      </c>
      <c r="J211" s="14">
        <v>0</v>
      </c>
      <c r="K211" s="14">
        <v>0</v>
      </c>
      <c r="L211" s="14">
        <v>0</v>
      </c>
      <c r="M211" s="14">
        <v>0</v>
      </c>
      <c r="N211" s="14">
        <v>0</v>
      </c>
      <c r="O211" s="14">
        <v>0</v>
      </c>
      <c r="P211" s="14">
        <v>0</v>
      </c>
      <c r="Q211" s="15">
        <v>0</v>
      </c>
      <c r="R211" s="15">
        <v>0</v>
      </c>
      <c r="S211" s="15">
        <v>0</v>
      </c>
    </row>
    <row r="212" spans="1:19" x14ac:dyDescent="0.3">
      <c r="A212" s="10" t="s">
        <v>762</v>
      </c>
      <c r="B212" s="11" t="s">
        <v>763</v>
      </c>
      <c r="C212" s="11"/>
      <c r="D212" s="11" t="s">
        <v>764</v>
      </c>
      <c r="E212" s="11">
        <f xml:space="preserve"> IF($S$203,1,0)</f>
        <v>0</v>
      </c>
      <c r="F212" s="11" t="s">
        <v>765</v>
      </c>
      <c r="G212" s="11">
        <v>0</v>
      </c>
      <c r="H212" s="11">
        <v>0</v>
      </c>
      <c r="I212" s="11">
        <v>0</v>
      </c>
      <c r="J212" s="11">
        <v>0</v>
      </c>
      <c r="K212" s="11">
        <v>0</v>
      </c>
      <c r="L212" s="11">
        <v>0</v>
      </c>
      <c r="M212" s="11">
        <v>0</v>
      </c>
      <c r="N212" s="11">
        <v>0</v>
      </c>
      <c r="O212" s="11">
        <v>0</v>
      </c>
      <c r="P212" s="11">
        <v>0</v>
      </c>
      <c r="Q212" s="12">
        <v>0</v>
      </c>
      <c r="R212" s="12">
        <v>0</v>
      </c>
      <c r="S212" s="12">
        <v>0</v>
      </c>
    </row>
    <row r="213" spans="1:19" x14ac:dyDescent="0.3">
      <c r="A213" s="13" t="s">
        <v>766</v>
      </c>
      <c r="B213" s="14" t="s">
        <v>767</v>
      </c>
      <c r="C213" s="14"/>
      <c r="D213" s="14" t="s">
        <v>768</v>
      </c>
      <c r="E213" s="14">
        <f xml:space="preserve"> IF($S$204,1,0)</f>
        <v>0</v>
      </c>
      <c r="F213" s="14" t="s">
        <v>769</v>
      </c>
      <c r="G213" s="14">
        <v>0</v>
      </c>
      <c r="H213" s="14">
        <v>0</v>
      </c>
      <c r="I213" s="14">
        <v>0</v>
      </c>
      <c r="J213" s="14">
        <v>0</v>
      </c>
      <c r="K213" s="14">
        <v>0</v>
      </c>
      <c r="L213" s="14">
        <v>0</v>
      </c>
      <c r="M213" s="14">
        <v>0</v>
      </c>
      <c r="N213" s="14">
        <v>0</v>
      </c>
      <c r="O213" s="14">
        <v>0</v>
      </c>
      <c r="P213" s="14">
        <v>0</v>
      </c>
      <c r="Q213" s="15">
        <v>0</v>
      </c>
      <c r="R213" s="15">
        <v>0</v>
      </c>
      <c r="S213" s="15">
        <v>0</v>
      </c>
    </row>
    <row r="214" spans="1:19" x14ac:dyDescent="0.3">
      <c r="A214" s="10" t="s">
        <v>770</v>
      </c>
      <c r="B214" s="11" t="s">
        <v>771</v>
      </c>
      <c r="C214" s="11"/>
      <c r="D214" s="11" t="s">
        <v>772</v>
      </c>
      <c r="E214" s="11">
        <f xml:space="preserve"> IF($S$205,1,0)</f>
        <v>0</v>
      </c>
      <c r="F214" s="11" t="s">
        <v>773</v>
      </c>
      <c r="G214" s="11">
        <v>0</v>
      </c>
      <c r="H214" s="11">
        <v>0</v>
      </c>
      <c r="I214" s="11">
        <v>0</v>
      </c>
      <c r="J214" s="11">
        <v>0</v>
      </c>
      <c r="K214" s="11">
        <v>0</v>
      </c>
      <c r="L214" s="11">
        <v>0</v>
      </c>
      <c r="M214" s="11">
        <v>0</v>
      </c>
      <c r="N214" s="11">
        <v>0</v>
      </c>
      <c r="O214" s="11">
        <v>0</v>
      </c>
      <c r="P214" s="11">
        <v>0</v>
      </c>
      <c r="Q214" s="12">
        <v>0</v>
      </c>
      <c r="R214" s="12">
        <v>0</v>
      </c>
      <c r="S214" s="12">
        <v>0</v>
      </c>
    </row>
    <row r="215" spans="1:19" x14ac:dyDescent="0.3">
      <c r="A215" s="13" t="s">
        <v>774</v>
      </c>
      <c r="B215" s="14" t="s">
        <v>775</v>
      </c>
      <c r="C215" s="14"/>
      <c r="D215" s="14" t="s">
        <v>776</v>
      </c>
      <c r="E215" s="14">
        <f xml:space="preserve"> IF($S$206,1,0)</f>
        <v>0</v>
      </c>
      <c r="F215" s="14" t="s">
        <v>777</v>
      </c>
      <c r="G215" s="14">
        <v>0</v>
      </c>
      <c r="H215" s="14">
        <v>0</v>
      </c>
      <c r="I215" s="14">
        <v>0</v>
      </c>
      <c r="J215" s="14">
        <v>0</v>
      </c>
      <c r="K215" s="14">
        <v>0</v>
      </c>
      <c r="L215" s="14">
        <v>0</v>
      </c>
      <c r="M215" s="14">
        <v>0</v>
      </c>
      <c r="N215" s="14">
        <v>0</v>
      </c>
      <c r="O215" s="14">
        <v>0</v>
      </c>
      <c r="P215" s="14">
        <v>0</v>
      </c>
      <c r="Q215" s="15">
        <v>0</v>
      </c>
      <c r="R215" s="15">
        <v>0</v>
      </c>
      <c r="S215" s="15">
        <v>0</v>
      </c>
    </row>
    <row r="216" spans="1:19" x14ac:dyDescent="0.3">
      <c r="A216" s="10" t="s">
        <v>778</v>
      </c>
      <c r="B216" s="11" t="s">
        <v>779</v>
      </c>
      <c r="C216" s="11"/>
      <c r="D216" s="11" t="s">
        <v>780</v>
      </c>
      <c r="E216" s="11">
        <f xml:space="preserve"> IF($S$207,1,0)</f>
        <v>0</v>
      </c>
      <c r="F216" s="11" t="s">
        <v>781</v>
      </c>
      <c r="G216" s="11">
        <v>0</v>
      </c>
      <c r="H216" s="11">
        <v>0</v>
      </c>
      <c r="I216" s="11">
        <v>0</v>
      </c>
      <c r="J216" s="11">
        <v>0</v>
      </c>
      <c r="K216" s="11">
        <v>0</v>
      </c>
      <c r="L216" s="11">
        <v>0</v>
      </c>
      <c r="M216" s="11">
        <v>0</v>
      </c>
      <c r="N216" s="11">
        <v>0</v>
      </c>
      <c r="O216" s="11">
        <v>0</v>
      </c>
      <c r="P216" s="11">
        <v>0</v>
      </c>
      <c r="Q216" s="12">
        <v>0</v>
      </c>
      <c r="R216" s="12">
        <v>0</v>
      </c>
      <c r="S216" s="12">
        <v>0</v>
      </c>
    </row>
    <row r="217" spans="1:19" x14ac:dyDescent="0.3">
      <c r="A217" s="13" t="s">
        <v>782</v>
      </c>
      <c r="B217" s="14" t="s">
        <v>779</v>
      </c>
      <c r="C217" s="14"/>
      <c r="D217" s="14" t="s">
        <v>783</v>
      </c>
      <c r="E217" s="14">
        <f xml:space="preserve"> IF($S$208,1,0)</f>
        <v>0</v>
      </c>
      <c r="F217" s="14" t="s">
        <v>784</v>
      </c>
      <c r="G217" s="14">
        <v>0</v>
      </c>
      <c r="H217" s="14">
        <v>0</v>
      </c>
      <c r="I217" s="14">
        <v>0</v>
      </c>
      <c r="J217" s="14">
        <v>0</v>
      </c>
      <c r="K217" s="14">
        <v>0</v>
      </c>
      <c r="L217" s="14">
        <v>0</v>
      </c>
      <c r="M217" s="14">
        <v>0</v>
      </c>
      <c r="N217" s="14">
        <v>0</v>
      </c>
      <c r="O217" s="14">
        <v>0</v>
      </c>
      <c r="P217" s="14">
        <v>0</v>
      </c>
      <c r="Q217" s="15">
        <v>0</v>
      </c>
      <c r="R217" s="15">
        <v>0</v>
      </c>
      <c r="S217" s="15">
        <v>0</v>
      </c>
    </row>
    <row r="218" spans="1:19" x14ac:dyDescent="0.3">
      <c r="A218" s="13" t="s">
        <v>788</v>
      </c>
      <c r="B218" s="14" t="s">
        <v>789</v>
      </c>
      <c r="C218" s="14"/>
      <c r="D218" s="14" t="s">
        <v>790</v>
      </c>
      <c r="E218" s="14">
        <f xml:space="preserve"> IF($S$210,1,0)</f>
        <v>0</v>
      </c>
      <c r="F218" s="14" t="s">
        <v>791</v>
      </c>
      <c r="G218" s="14">
        <v>0</v>
      </c>
      <c r="H218" s="14">
        <v>0</v>
      </c>
      <c r="I218" s="14">
        <v>0</v>
      </c>
      <c r="J218" s="14">
        <v>0</v>
      </c>
      <c r="K218" s="14">
        <v>0</v>
      </c>
      <c r="L218" s="14">
        <v>0</v>
      </c>
      <c r="M218" s="14">
        <v>0</v>
      </c>
      <c r="N218" s="14">
        <v>0</v>
      </c>
      <c r="O218" s="14">
        <v>0</v>
      </c>
      <c r="P218" s="14">
        <v>0</v>
      </c>
      <c r="Q218" s="15">
        <v>0</v>
      </c>
      <c r="R218" s="15">
        <v>0</v>
      </c>
      <c r="S218" s="15">
        <v>0</v>
      </c>
    </row>
    <row r="219" spans="1:19" x14ac:dyDescent="0.3">
      <c r="A219" s="10" t="s">
        <v>792</v>
      </c>
      <c r="B219" s="11" t="s">
        <v>793</v>
      </c>
      <c r="C219" s="11"/>
      <c r="D219" s="11" t="s">
        <v>794</v>
      </c>
      <c r="E219" s="11">
        <f xml:space="preserve"> IF($S$211,1,0)</f>
        <v>0</v>
      </c>
      <c r="F219" s="11" t="s">
        <v>795</v>
      </c>
      <c r="G219" s="11">
        <v>0</v>
      </c>
      <c r="H219" s="11">
        <v>0</v>
      </c>
      <c r="I219" s="11">
        <v>0</v>
      </c>
      <c r="J219" s="11">
        <v>0</v>
      </c>
      <c r="K219" s="11">
        <v>0</v>
      </c>
      <c r="L219" s="11">
        <v>0</v>
      </c>
      <c r="M219" s="11">
        <v>0</v>
      </c>
      <c r="N219" s="11">
        <v>0</v>
      </c>
      <c r="O219" s="11">
        <v>0</v>
      </c>
      <c r="P219" s="11">
        <v>0</v>
      </c>
      <c r="Q219" s="12">
        <v>0</v>
      </c>
      <c r="R219" s="12">
        <v>0</v>
      </c>
      <c r="S219" s="12">
        <v>0</v>
      </c>
    </row>
    <row r="220" spans="1:19" x14ac:dyDescent="0.3">
      <c r="A220" s="13" t="s">
        <v>796</v>
      </c>
      <c r="B220" s="14" t="s">
        <v>797</v>
      </c>
      <c r="C220" s="14"/>
      <c r="D220" s="14" t="s">
        <v>798</v>
      </c>
      <c r="E220" s="14">
        <f xml:space="preserve"> IF($S$212,1,0)</f>
        <v>0</v>
      </c>
      <c r="F220" s="14" t="s">
        <v>799</v>
      </c>
      <c r="G220" s="14">
        <v>0</v>
      </c>
      <c r="H220" s="14">
        <v>0</v>
      </c>
      <c r="I220" s="14">
        <v>0</v>
      </c>
      <c r="J220" s="14">
        <v>0</v>
      </c>
      <c r="K220" s="14">
        <v>0</v>
      </c>
      <c r="L220" s="14">
        <v>0</v>
      </c>
      <c r="M220" s="14">
        <v>0</v>
      </c>
      <c r="N220" s="14">
        <v>0</v>
      </c>
      <c r="O220" s="14">
        <v>0</v>
      </c>
      <c r="P220" s="14">
        <v>0</v>
      </c>
      <c r="Q220" s="15">
        <v>0</v>
      </c>
      <c r="R220" s="15">
        <v>0</v>
      </c>
      <c r="S220" s="15">
        <v>0</v>
      </c>
    </row>
    <row r="221" spans="1:19" x14ac:dyDescent="0.3">
      <c r="A221" s="10" t="s">
        <v>800</v>
      </c>
      <c r="B221" s="11" t="s">
        <v>797</v>
      </c>
      <c r="C221" s="11" t="s">
        <v>34</v>
      </c>
      <c r="D221" s="11" t="s">
        <v>801</v>
      </c>
      <c r="E221" s="11">
        <f xml:space="preserve"> IF($S$213,1,0)</f>
        <v>0</v>
      </c>
      <c r="F221" s="11" t="s">
        <v>802</v>
      </c>
      <c r="G221" s="11">
        <v>0</v>
      </c>
      <c r="H221" s="11">
        <v>0</v>
      </c>
      <c r="I221" s="11">
        <v>0</v>
      </c>
      <c r="J221" s="11">
        <v>0</v>
      </c>
      <c r="K221" s="11">
        <v>0</v>
      </c>
      <c r="L221" s="11">
        <v>0</v>
      </c>
      <c r="M221" s="11">
        <v>0</v>
      </c>
      <c r="N221" s="11">
        <v>0</v>
      </c>
      <c r="O221" s="11">
        <v>0</v>
      </c>
      <c r="P221" s="11">
        <v>0</v>
      </c>
      <c r="Q221" s="12">
        <v>0</v>
      </c>
      <c r="R221" s="12">
        <v>0</v>
      </c>
      <c r="S221" s="12">
        <v>0</v>
      </c>
    </row>
    <row r="222" spans="1:19" x14ac:dyDescent="0.3">
      <c r="A222" s="13" t="s">
        <v>803</v>
      </c>
      <c r="B222" s="14" t="s">
        <v>804</v>
      </c>
      <c r="C222" s="14" t="s">
        <v>34</v>
      </c>
      <c r="D222" s="14" t="s">
        <v>805</v>
      </c>
      <c r="E222" s="14">
        <f xml:space="preserve"> IF($S$214,1,0)</f>
        <v>0</v>
      </c>
      <c r="F222" s="14" t="s">
        <v>806</v>
      </c>
      <c r="G222" s="14">
        <v>0</v>
      </c>
      <c r="H222" s="14">
        <v>0</v>
      </c>
      <c r="I222" s="14">
        <v>0</v>
      </c>
      <c r="J222" s="14">
        <v>0</v>
      </c>
      <c r="K222" s="14">
        <v>0</v>
      </c>
      <c r="L222" s="14">
        <v>0</v>
      </c>
      <c r="M222" s="14">
        <v>0</v>
      </c>
      <c r="N222" s="14">
        <v>0</v>
      </c>
      <c r="O222" s="14">
        <v>0</v>
      </c>
      <c r="P222" s="14">
        <v>0</v>
      </c>
      <c r="Q222" s="15">
        <v>0</v>
      </c>
      <c r="R222" s="15">
        <v>0</v>
      </c>
      <c r="S222" s="15">
        <v>0</v>
      </c>
    </row>
    <row r="223" spans="1:19" x14ac:dyDescent="0.3">
      <c r="A223" s="10" t="s">
        <v>807</v>
      </c>
      <c r="B223" s="11" t="s">
        <v>808</v>
      </c>
      <c r="C223" s="11"/>
      <c r="D223" s="11" t="s">
        <v>809</v>
      </c>
      <c r="E223" s="11">
        <f xml:space="preserve"> IF($S$215,1,0)</f>
        <v>0</v>
      </c>
      <c r="F223" s="11" t="s">
        <v>810</v>
      </c>
      <c r="G223" s="11">
        <v>0</v>
      </c>
      <c r="H223" s="11">
        <v>0</v>
      </c>
      <c r="I223" s="11">
        <v>0</v>
      </c>
      <c r="J223" s="11">
        <v>0</v>
      </c>
      <c r="K223" s="11">
        <v>0</v>
      </c>
      <c r="L223" s="11">
        <v>0</v>
      </c>
      <c r="M223" s="11">
        <v>0</v>
      </c>
      <c r="N223" s="11">
        <v>0</v>
      </c>
      <c r="O223" s="11">
        <v>0</v>
      </c>
      <c r="P223" s="11">
        <v>0</v>
      </c>
      <c r="Q223" s="12">
        <v>0</v>
      </c>
      <c r="R223" s="12">
        <v>0</v>
      </c>
      <c r="S223" s="12">
        <v>0</v>
      </c>
    </row>
    <row r="224" spans="1:19" x14ac:dyDescent="0.3">
      <c r="A224" s="13" t="s">
        <v>811</v>
      </c>
      <c r="B224" s="14" t="s">
        <v>812</v>
      </c>
      <c r="C224" s="14"/>
      <c r="D224" s="14" t="s">
        <v>813</v>
      </c>
      <c r="E224" s="14">
        <f xml:space="preserve"> IF($S$216,1,0)</f>
        <v>0</v>
      </c>
      <c r="F224" s="14" t="s">
        <v>814</v>
      </c>
      <c r="G224" s="14">
        <v>0</v>
      </c>
      <c r="H224" s="14">
        <v>0</v>
      </c>
      <c r="I224" s="14">
        <v>0</v>
      </c>
      <c r="J224" s="14">
        <v>0</v>
      </c>
      <c r="K224" s="14">
        <v>0</v>
      </c>
      <c r="L224" s="14">
        <v>0</v>
      </c>
      <c r="M224" s="14">
        <v>0</v>
      </c>
      <c r="N224" s="14">
        <v>0</v>
      </c>
      <c r="O224" s="14">
        <v>0</v>
      </c>
      <c r="P224" s="14">
        <v>0</v>
      </c>
      <c r="Q224" s="15">
        <v>0</v>
      </c>
      <c r="R224" s="15">
        <v>0</v>
      </c>
      <c r="S224" s="15">
        <v>0</v>
      </c>
    </row>
    <row r="225" spans="1:19" x14ac:dyDescent="0.3">
      <c r="A225" s="10" t="s">
        <v>815</v>
      </c>
      <c r="B225" s="11" t="s">
        <v>816</v>
      </c>
      <c r="C225" s="11"/>
      <c r="D225" s="11" t="s">
        <v>817</v>
      </c>
      <c r="E225" s="11">
        <f xml:space="preserve"> IF($S$217,1,0)</f>
        <v>0</v>
      </c>
      <c r="F225" s="11" t="s">
        <v>818</v>
      </c>
      <c r="G225" s="11">
        <v>0</v>
      </c>
      <c r="H225" s="11">
        <v>0</v>
      </c>
      <c r="I225" s="11">
        <v>0</v>
      </c>
      <c r="J225" s="11">
        <v>0</v>
      </c>
      <c r="K225" s="11">
        <v>0</v>
      </c>
      <c r="L225" s="11">
        <v>0</v>
      </c>
      <c r="M225" s="11">
        <v>0</v>
      </c>
      <c r="N225" s="11">
        <v>0</v>
      </c>
      <c r="O225" s="11">
        <v>0</v>
      </c>
      <c r="P225" s="11">
        <v>0</v>
      </c>
      <c r="Q225" s="12">
        <v>0</v>
      </c>
      <c r="R225" s="12">
        <v>0</v>
      </c>
      <c r="S225" s="12">
        <v>0</v>
      </c>
    </row>
    <row r="226" spans="1:19" x14ac:dyDescent="0.3">
      <c r="A226" s="13" t="s">
        <v>819</v>
      </c>
      <c r="B226" s="14" t="s">
        <v>820</v>
      </c>
      <c r="C226" s="14"/>
      <c r="D226" s="14" t="s">
        <v>821</v>
      </c>
      <c r="E226" s="14">
        <f xml:space="preserve"> IF($S$218,1,0)</f>
        <v>0</v>
      </c>
      <c r="F226" s="14" t="s">
        <v>822</v>
      </c>
      <c r="G226" s="14">
        <v>0</v>
      </c>
      <c r="H226" s="14">
        <v>0</v>
      </c>
      <c r="I226" s="14">
        <v>0</v>
      </c>
      <c r="J226" s="14">
        <v>0</v>
      </c>
      <c r="K226" s="14">
        <v>0</v>
      </c>
      <c r="L226" s="14">
        <v>0</v>
      </c>
      <c r="M226" s="14">
        <v>0</v>
      </c>
      <c r="N226" s="14">
        <v>0</v>
      </c>
      <c r="O226" s="14">
        <v>0</v>
      </c>
      <c r="P226" s="14">
        <v>0</v>
      </c>
      <c r="Q226" s="15">
        <v>0</v>
      </c>
      <c r="R226" s="15">
        <v>0</v>
      </c>
      <c r="S226" s="15">
        <v>0</v>
      </c>
    </row>
    <row r="227" spans="1:19" x14ac:dyDescent="0.3">
      <c r="A227" s="10" t="s">
        <v>823</v>
      </c>
      <c r="B227" s="11" t="s">
        <v>824</v>
      </c>
      <c r="C227" s="11"/>
      <c r="D227" s="11" t="s">
        <v>825</v>
      </c>
      <c r="E227" s="11">
        <f xml:space="preserve"> IF($S$219,1,0)</f>
        <v>0</v>
      </c>
      <c r="F227" s="11" t="s">
        <v>826</v>
      </c>
      <c r="G227" s="11">
        <v>0</v>
      </c>
      <c r="H227" s="11">
        <v>0</v>
      </c>
      <c r="I227" s="11">
        <v>0</v>
      </c>
      <c r="J227" s="11">
        <v>0</v>
      </c>
      <c r="K227" s="11">
        <v>0</v>
      </c>
      <c r="L227" s="11">
        <v>0</v>
      </c>
      <c r="M227" s="11">
        <v>0</v>
      </c>
      <c r="N227" s="11">
        <v>0</v>
      </c>
      <c r="O227" s="11">
        <v>0</v>
      </c>
      <c r="P227" s="11">
        <v>0</v>
      </c>
      <c r="Q227" s="12">
        <v>0</v>
      </c>
      <c r="R227" s="12">
        <v>0</v>
      </c>
      <c r="S227" s="12">
        <v>0</v>
      </c>
    </row>
    <row r="228" spans="1:19" x14ac:dyDescent="0.3">
      <c r="A228" s="13" t="s">
        <v>827</v>
      </c>
      <c r="B228" s="14" t="s">
        <v>828</v>
      </c>
      <c r="C228" s="14"/>
      <c r="D228" s="14" t="s">
        <v>829</v>
      </c>
      <c r="E228" s="14">
        <f xml:space="preserve"> IF($S$220,1,0)</f>
        <v>0</v>
      </c>
      <c r="F228" s="14" t="s">
        <v>830</v>
      </c>
      <c r="G228" s="14">
        <v>0</v>
      </c>
      <c r="H228" s="14">
        <v>0</v>
      </c>
      <c r="I228" s="14">
        <v>0</v>
      </c>
      <c r="J228" s="14">
        <v>0</v>
      </c>
      <c r="K228" s="14">
        <v>0</v>
      </c>
      <c r="L228" s="14">
        <v>0</v>
      </c>
      <c r="M228" s="14">
        <v>0</v>
      </c>
      <c r="N228" s="14">
        <v>0</v>
      </c>
      <c r="O228" s="14">
        <v>0</v>
      </c>
      <c r="P228" s="14">
        <v>0</v>
      </c>
      <c r="Q228" s="15">
        <v>0</v>
      </c>
      <c r="R228" s="15">
        <v>0</v>
      </c>
      <c r="S228" s="15">
        <v>0</v>
      </c>
    </row>
    <row r="229" spans="1:19" x14ac:dyDescent="0.3">
      <c r="A229" s="10" t="s">
        <v>831</v>
      </c>
      <c r="B229" s="11" t="s">
        <v>832</v>
      </c>
      <c r="C229" s="11"/>
      <c r="D229" s="11" t="s">
        <v>833</v>
      </c>
      <c r="E229" s="11">
        <f xml:space="preserve"> IF($S$221,1,0)</f>
        <v>0</v>
      </c>
      <c r="F229" s="11" t="s">
        <v>834</v>
      </c>
      <c r="G229" s="11">
        <v>0</v>
      </c>
      <c r="H229" s="11">
        <v>0</v>
      </c>
      <c r="I229" s="11">
        <v>0</v>
      </c>
      <c r="J229" s="11">
        <v>0</v>
      </c>
      <c r="K229" s="11">
        <v>0</v>
      </c>
      <c r="L229" s="11">
        <v>0</v>
      </c>
      <c r="M229" s="11">
        <v>0</v>
      </c>
      <c r="N229" s="11">
        <v>0</v>
      </c>
      <c r="O229" s="11">
        <v>0</v>
      </c>
      <c r="P229" s="11">
        <v>0</v>
      </c>
      <c r="Q229" s="12">
        <v>0</v>
      </c>
      <c r="R229" s="12">
        <v>0</v>
      </c>
      <c r="S229" s="12">
        <v>0</v>
      </c>
    </row>
    <row r="230" spans="1:19" x14ac:dyDescent="0.3">
      <c r="A230" s="13" t="s">
        <v>835</v>
      </c>
      <c r="B230" s="14" t="s">
        <v>836</v>
      </c>
      <c r="C230" s="14"/>
      <c r="D230" s="14" t="s">
        <v>837</v>
      </c>
      <c r="E230" s="14">
        <f xml:space="preserve"> IF($S$222,1,0)</f>
        <v>0</v>
      </c>
      <c r="F230" s="14" t="s">
        <v>838</v>
      </c>
      <c r="G230" s="14">
        <v>0</v>
      </c>
      <c r="H230" s="14">
        <v>0</v>
      </c>
      <c r="I230" s="14">
        <v>0</v>
      </c>
      <c r="J230" s="14">
        <v>0</v>
      </c>
      <c r="K230" s="14">
        <v>0</v>
      </c>
      <c r="L230" s="14">
        <v>0</v>
      </c>
      <c r="M230" s="14">
        <v>0</v>
      </c>
      <c r="N230" s="14">
        <v>0</v>
      </c>
      <c r="O230" s="14">
        <v>0</v>
      </c>
      <c r="P230" s="14">
        <v>0</v>
      </c>
      <c r="Q230" s="15">
        <v>0</v>
      </c>
      <c r="R230" s="15">
        <v>0</v>
      </c>
      <c r="S230" s="15">
        <v>0</v>
      </c>
    </row>
    <row r="231" spans="1:19" x14ac:dyDescent="0.3">
      <c r="A231" s="10" t="s">
        <v>839</v>
      </c>
      <c r="B231" s="11" t="s">
        <v>840</v>
      </c>
      <c r="C231" s="11"/>
      <c r="D231" s="11" t="s">
        <v>841</v>
      </c>
      <c r="E231" s="11">
        <f xml:space="preserve"> IF($S$223,1,0)</f>
        <v>0</v>
      </c>
      <c r="F231" s="11" t="s">
        <v>842</v>
      </c>
      <c r="G231" s="11">
        <v>0</v>
      </c>
      <c r="H231" s="11">
        <v>0</v>
      </c>
      <c r="I231" s="11">
        <v>0</v>
      </c>
      <c r="J231" s="11">
        <v>0</v>
      </c>
      <c r="K231" s="11">
        <v>0</v>
      </c>
      <c r="L231" s="11">
        <v>0</v>
      </c>
      <c r="M231" s="11">
        <v>0</v>
      </c>
      <c r="N231" s="11">
        <v>0</v>
      </c>
      <c r="O231" s="11">
        <v>0</v>
      </c>
      <c r="P231" s="11">
        <v>0</v>
      </c>
      <c r="Q231" s="12">
        <v>0</v>
      </c>
      <c r="R231" s="12">
        <v>0</v>
      </c>
      <c r="S231" s="12">
        <v>0</v>
      </c>
    </row>
    <row r="232" spans="1:19" x14ac:dyDescent="0.3">
      <c r="A232" s="13" t="s">
        <v>843</v>
      </c>
      <c r="B232" s="14" t="s">
        <v>844</v>
      </c>
      <c r="C232" s="14"/>
      <c r="D232" s="14" t="s">
        <v>845</v>
      </c>
      <c r="E232" s="14">
        <f xml:space="preserve"> IF($S$224,1,0)</f>
        <v>0</v>
      </c>
      <c r="F232" s="14" t="s">
        <v>846</v>
      </c>
      <c r="G232" s="14">
        <v>0</v>
      </c>
      <c r="H232" s="14">
        <v>0</v>
      </c>
      <c r="I232" s="14">
        <v>0</v>
      </c>
      <c r="J232" s="14">
        <v>0</v>
      </c>
      <c r="K232" s="14">
        <v>0</v>
      </c>
      <c r="L232" s="14">
        <v>0</v>
      </c>
      <c r="M232" s="14">
        <v>0</v>
      </c>
      <c r="N232" s="14">
        <v>0</v>
      </c>
      <c r="O232" s="14">
        <v>0</v>
      </c>
      <c r="P232" s="14">
        <v>0</v>
      </c>
      <c r="Q232" s="15">
        <v>0</v>
      </c>
      <c r="R232" s="15">
        <v>0</v>
      </c>
      <c r="S232" s="15">
        <v>0</v>
      </c>
    </row>
    <row r="233" spans="1:19" x14ac:dyDescent="0.3">
      <c r="A233" s="10" t="s">
        <v>847</v>
      </c>
      <c r="B233" s="11" t="s">
        <v>848</v>
      </c>
      <c r="C233" s="11" t="s">
        <v>202</v>
      </c>
      <c r="D233" s="11" t="s">
        <v>849</v>
      </c>
      <c r="E233" s="11">
        <f xml:space="preserve"> IF($S$225,1,0)</f>
        <v>0</v>
      </c>
      <c r="F233" s="11" t="s">
        <v>850</v>
      </c>
      <c r="G233" s="11">
        <v>0</v>
      </c>
      <c r="H233" s="11">
        <v>0</v>
      </c>
      <c r="I233" s="11">
        <v>0</v>
      </c>
      <c r="J233" s="11">
        <v>0</v>
      </c>
      <c r="K233" s="11">
        <v>0</v>
      </c>
      <c r="L233" s="11">
        <v>0</v>
      </c>
      <c r="M233" s="11">
        <v>0</v>
      </c>
      <c r="N233" s="11">
        <v>0</v>
      </c>
      <c r="O233" s="11">
        <v>0</v>
      </c>
      <c r="P233" s="11">
        <v>0</v>
      </c>
      <c r="Q233" s="12">
        <v>0</v>
      </c>
      <c r="R233" s="12">
        <v>0</v>
      </c>
      <c r="S233" s="12">
        <v>0</v>
      </c>
    </row>
    <row r="234" spans="1:19" x14ac:dyDescent="0.3">
      <c r="A234" s="13" t="s">
        <v>851</v>
      </c>
      <c r="B234" s="14" t="s">
        <v>852</v>
      </c>
      <c r="C234" s="14"/>
      <c r="D234" s="14" t="s">
        <v>853</v>
      </c>
      <c r="E234" s="14">
        <f xml:space="preserve"> IF($S$226,1,0)</f>
        <v>0</v>
      </c>
      <c r="F234" s="14" t="s">
        <v>854</v>
      </c>
      <c r="G234" s="14">
        <v>0</v>
      </c>
      <c r="H234" s="14">
        <v>0</v>
      </c>
      <c r="I234" s="14">
        <v>0</v>
      </c>
      <c r="J234" s="14">
        <v>0</v>
      </c>
      <c r="K234" s="14">
        <v>0</v>
      </c>
      <c r="L234" s="14">
        <v>0</v>
      </c>
      <c r="M234" s="14">
        <v>0</v>
      </c>
      <c r="N234" s="14">
        <v>0</v>
      </c>
      <c r="O234" s="14">
        <v>0</v>
      </c>
      <c r="P234" s="14">
        <v>0</v>
      </c>
      <c r="Q234" s="15">
        <v>0</v>
      </c>
      <c r="R234" s="15">
        <v>0</v>
      </c>
      <c r="S234" s="15">
        <v>0</v>
      </c>
    </row>
    <row r="235" spans="1:19" x14ac:dyDescent="0.3">
      <c r="A235" s="13" t="s">
        <v>858</v>
      </c>
      <c r="B235" s="14" t="s">
        <v>859</v>
      </c>
      <c r="C235" s="14"/>
      <c r="D235" s="14" t="s">
        <v>860</v>
      </c>
      <c r="E235" s="14">
        <f xml:space="preserve"> IF($S$228,1,0)</f>
        <v>0</v>
      </c>
      <c r="F235" s="14" t="s">
        <v>861</v>
      </c>
      <c r="G235" s="14">
        <v>0</v>
      </c>
      <c r="H235" s="14">
        <v>0</v>
      </c>
      <c r="I235" s="14">
        <v>0</v>
      </c>
      <c r="J235" s="14">
        <v>0</v>
      </c>
      <c r="K235" s="14">
        <v>0</v>
      </c>
      <c r="L235" s="14">
        <v>0</v>
      </c>
      <c r="M235" s="14">
        <v>0</v>
      </c>
      <c r="N235" s="14">
        <v>0</v>
      </c>
      <c r="O235" s="14">
        <v>0</v>
      </c>
      <c r="P235" s="14">
        <v>0</v>
      </c>
      <c r="Q235" s="15">
        <v>0</v>
      </c>
      <c r="R235" s="15">
        <v>0</v>
      </c>
      <c r="S235" s="15">
        <v>0</v>
      </c>
    </row>
    <row r="236" spans="1:19" x14ac:dyDescent="0.3">
      <c r="A236" s="10" t="s">
        <v>862</v>
      </c>
      <c r="B236" s="11" t="s">
        <v>863</v>
      </c>
      <c r="C236" s="11"/>
      <c r="D236" s="11" t="s">
        <v>864</v>
      </c>
      <c r="E236" s="11">
        <f xml:space="preserve"> IF($S$229,1,0)</f>
        <v>0</v>
      </c>
      <c r="F236" s="11" t="s">
        <v>865</v>
      </c>
      <c r="G236" s="11">
        <v>0</v>
      </c>
      <c r="H236" s="11">
        <v>0</v>
      </c>
      <c r="I236" s="11">
        <v>0</v>
      </c>
      <c r="J236" s="11">
        <v>0</v>
      </c>
      <c r="K236" s="11">
        <v>0</v>
      </c>
      <c r="L236" s="11">
        <v>0</v>
      </c>
      <c r="M236" s="11">
        <v>0</v>
      </c>
      <c r="N236" s="11">
        <v>0</v>
      </c>
      <c r="O236" s="11">
        <v>0</v>
      </c>
      <c r="P236" s="11">
        <v>0</v>
      </c>
      <c r="Q236" s="12">
        <v>0</v>
      </c>
      <c r="R236" s="12">
        <v>0</v>
      </c>
      <c r="S236" s="12">
        <v>0</v>
      </c>
    </row>
    <row r="237" spans="1:19" x14ac:dyDescent="0.3">
      <c r="A237" s="13" t="s">
        <v>866</v>
      </c>
      <c r="B237" s="14" t="s">
        <v>867</v>
      </c>
      <c r="C237" s="14"/>
      <c r="D237" s="14" t="s">
        <v>868</v>
      </c>
      <c r="E237" s="14">
        <f xml:space="preserve"> IF($S$230,1,0)</f>
        <v>0</v>
      </c>
      <c r="F237" s="14" t="s">
        <v>869</v>
      </c>
      <c r="G237" s="14">
        <v>0</v>
      </c>
      <c r="H237" s="14">
        <v>0</v>
      </c>
      <c r="I237" s="14">
        <v>0</v>
      </c>
      <c r="J237" s="14">
        <v>0</v>
      </c>
      <c r="K237" s="14">
        <v>0</v>
      </c>
      <c r="L237" s="14">
        <v>0</v>
      </c>
      <c r="M237" s="14">
        <v>0</v>
      </c>
      <c r="N237" s="14">
        <v>0</v>
      </c>
      <c r="O237" s="14">
        <v>0</v>
      </c>
      <c r="P237" s="14">
        <v>0</v>
      </c>
      <c r="Q237" s="15">
        <v>0</v>
      </c>
      <c r="R237" s="15">
        <v>0</v>
      </c>
      <c r="S237" s="15">
        <v>0</v>
      </c>
    </row>
    <row r="238" spans="1:19" x14ac:dyDescent="0.3">
      <c r="A238" s="10" t="s">
        <v>870</v>
      </c>
      <c r="B238" s="11" t="s">
        <v>871</v>
      </c>
      <c r="C238" s="11" t="s">
        <v>243</v>
      </c>
      <c r="D238" s="11" t="s">
        <v>399</v>
      </c>
      <c r="E238" s="11">
        <f xml:space="preserve"> IF($S$231,1,0)</f>
        <v>0</v>
      </c>
      <c r="F238" s="11" t="s">
        <v>872</v>
      </c>
      <c r="G238" s="11">
        <v>0</v>
      </c>
      <c r="H238" s="11">
        <v>0</v>
      </c>
      <c r="I238" s="11">
        <v>0</v>
      </c>
      <c r="J238" s="11">
        <v>0</v>
      </c>
      <c r="K238" s="11">
        <v>0</v>
      </c>
      <c r="L238" s="11">
        <v>0</v>
      </c>
      <c r="M238" s="11">
        <v>0</v>
      </c>
      <c r="N238" s="11">
        <v>0</v>
      </c>
      <c r="O238" s="11">
        <v>0</v>
      </c>
      <c r="P238" s="11">
        <v>0</v>
      </c>
      <c r="Q238" s="12">
        <v>0</v>
      </c>
      <c r="R238" s="12">
        <v>0</v>
      </c>
      <c r="S238" s="12">
        <v>0</v>
      </c>
    </row>
    <row r="239" spans="1:19" x14ac:dyDescent="0.3">
      <c r="A239" s="13" t="s">
        <v>873</v>
      </c>
      <c r="B239" s="14" t="s">
        <v>874</v>
      </c>
      <c r="C239" s="14"/>
      <c r="D239" s="14" t="s">
        <v>875</v>
      </c>
      <c r="E239" s="14">
        <f xml:space="preserve"> IF($S$232,1,0)</f>
        <v>0</v>
      </c>
      <c r="F239" s="14" t="s">
        <v>876</v>
      </c>
      <c r="G239" s="14">
        <v>0</v>
      </c>
      <c r="H239" s="14">
        <v>0</v>
      </c>
      <c r="I239" s="14">
        <v>0</v>
      </c>
      <c r="J239" s="14">
        <v>0</v>
      </c>
      <c r="K239" s="14">
        <v>0</v>
      </c>
      <c r="L239" s="14">
        <v>0</v>
      </c>
      <c r="M239" s="14">
        <v>0</v>
      </c>
      <c r="N239" s="14">
        <v>0</v>
      </c>
      <c r="O239" s="14">
        <v>0</v>
      </c>
      <c r="P239" s="14">
        <v>0</v>
      </c>
      <c r="Q239" s="15">
        <v>0</v>
      </c>
      <c r="R239" s="15">
        <v>0</v>
      </c>
      <c r="S239" s="15">
        <v>0</v>
      </c>
    </row>
    <row r="240" spans="1:19" x14ac:dyDescent="0.3">
      <c r="A240" s="10" t="s">
        <v>877</v>
      </c>
      <c r="B240" s="11" t="s">
        <v>878</v>
      </c>
      <c r="C240" s="11"/>
      <c r="D240" s="11" t="s">
        <v>879</v>
      </c>
      <c r="E240" s="11">
        <f xml:space="preserve"> IF($S$233,1,0)</f>
        <v>0</v>
      </c>
      <c r="F240" s="11" t="s">
        <v>880</v>
      </c>
      <c r="G240" s="11">
        <v>0</v>
      </c>
      <c r="H240" s="11">
        <v>0</v>
      </c>
      <c r="I240" s="11">
        <v>0</v>
      </c>
      <c r="J240" s="11">
        <v>0</v>
      </c>
      <c r="K240" s="11">
        <v>0</v>
      </c>
      <c r="L240" s="11">
        <v>0</v>
      </c>
      <c r="M240" s="11">
        <v>0</v>
      </c>
      <c r="N240" s="11">
        <v>0</v>
      </c>
      <c r="O240" s="11">
        <v>0</v>
      </c>
      <c r="P240" s="11">
        <v>0</v>
      </c>
      <c r="Q240" s="12">
        <v>0</v>
      </c>
      <c r="R240" s="12">
        <v>0</v>
      </c>
      <c r="S240" s="12">
        <v>0</v>
      </c>
    </row>
    <row r="241" spans="1:19" x14ac:dyDescent="0.3">
      <c r="A241" s="13" t="s">
        <v>881</v>
      </c>
      <c r="B241" s="14" t="s">
        <v>882</v>
      </c>
      <c r="C241" s="14"/>
      <c r="D241" s="14" t="s">
        <v>883</v>
      </c>
      <c r="E241" s="14">
        <f xml:space="preserve"> IF($S$234,1,0)</f>
        <v>0</v>
      </c>
      <c r="F241" s="14" t="s">
        <v>884</v>
      </c>
      <c r="G241" s="14">
        <v>0</v>
      </c>
      <c r="H241" s="14">
        <v>0</v>
      </c>
      <c r="I241" s="14">
        <v>0</v>
      </c>
      <c r="J241" s="14">
        <v>0</v>
      </c>
      <c r="K241" s="14">
        <v>0</v>
      </c>
      <c r="L241" s="14">
        <v>0</v>
      </c>
      <c r="M241" s="14">
        <v>0</v>
      </c>
      <c r="N241" s="14">
        <v>0</v>
      </c>
      <c r="O241" s="14">
        <v>0</v>
      </c>
      <c r="P241" s="14">
        <v>0</v>
      </c>
      <c r="Q241" s="15">
        <v>0</v>
      </c>
      <c r="R241" s="15">
        <v>0</v>
      </c>
      <c r="S241" s="15">
        <v>0</v>
      </c>
    </row>
    <row r="242" spans="1:19" x14ac:dyDescent="0.3">
      <c r="A242" s="10" t="s">
        <v>885</v>
      </c>
      <c r="B242" s="11" t="s">
        <v>886</v>
      </c>
      <c r="C242" s="11" t="s">
        <v>887</v>
      </c>
      <c r="D242" s="11" t="s">
        <v>888</v>
      </c>
      <c r="E242" s="11">
        <f xml:space="preserve"> IF($S$235,1,0)</f>
        <v>0</v>
      </c>
      <c r="F242" s="11" t="s">
        <v>889</v>
      </c>
      <c r="G242" s="11">
        <v>0</v>
      </c>
      <c r="H242" s="11">
        <v>0</v>
      </c>
      <c r="I242" s="11">
        <v>0</v>
      </c>
      <c r="J242" s="11">
        <v>0</v>
      </c>
      <c r="K242" s="11">
        <v>0</v>
      </c>
      <c r="L242" s="11">
        <v>0</v>
      </c>
      <c r="M242" s="11">
        <v>0</v>
      </c>
      <c r="N242" s="11">
        <v>0</v>
      </c>
      <c r="O242" s="11">
        <v>0</v>
      </c>
      <c r="P242" s="11">
        <v>0</v>
      </c>
      <c r="Q242" s="12">
        <v>0</v>
      </c>
      <c r="R242" s="12">
        <v>0</v>
      </c>
      <c r="S242" s="12">
        <v>0</v>
      </c>
    </row>
    <row r="243" spans="1:19" x14ac:dyDescent="0.3">
      <c r="A243" s="13" t="s">
        <v>890</v>
      </c>
      <c r="B243" s="14" t="s">
        <v>886</v>
      </c>
      <c r="C243" s="14"/>
      <c r="D243" s="14" t="s">
        <v>891</v>
      </c>
      <c r="E243" s="14">
        <f xml:space="preserve"> IF($S$236,1,0)</f>
        <v>0</v>
      </c>
      <c r="F243" s="14" t="s">
        <v>892</v>
      </c>
      <c r="G243" s="14">
        <v>0</v>
      </c>
      <c r="H243" s="14">
        <v>0</v>
      </c>
      <c r="I243" s="14">
        <v>0</v>
      </c>
      <c r="J243" s="14">
        <v>0</v>
      </c>
      <c r="K243" s="14">
        <v>0</v>
      </c>
      <c r="L243" s="14">
        <v>0</v>
      </c>
      <c r="M243" s="14">
        <v>0</v>
      </c>
      <c r="N243" s="14">
        <v>0</v>
      </c>
      <c r="O243" s="14">
        <v>0</v>
      </c>
      <c r="P243" s="14">
        <v>0</v>
      </c>
      <c r="Q243" s="15">
        <v>0</v>
      </c>
      <c r="R243" s="15">
        <v>0</v>
      </c>
      <c r="S243" s="15">
        <v>0</v>
      </c>
    </row>
    <row r="244" spans="1:19" x14ac:dyDescent="0.3">
      <c r="A244" s="10" t="s">
        <v>893</v>
      </c>
      <c r="B244" s="11" t="s">
        <v>894</v>
      </c>
      <c r="C244" s="11"/>
      <c r="D244" s="11" t="s">
        <v>895</v>
      </c>
      <c r="E244" s="11">
        <f xml:space="preserve"> IF($S$237,1,0)</f>
        <v>0</v>
      </c>
      <c r="F244" s="11" t="s">
        <v>896</v>
      </c>
      <c r="G244" s="11">
        <v>0</v>
      </c>
      <c r="H244" s="11">
        <v>0</v>
      </c>
      <c r="I244" s="11">
        <v>0</v>
      </c>
      <c r="J244" s="11">
        <v>0</v>
      </c>
      <c r="K244" s="11">
        <v>0</v>
      </c>
      <c r="L244" s="11">
        <v>0</v>
      </c>
      <c r="M244" s="11">
        <v>0</v>
      </c>
      <c r="N244" s="11">
        <v>0</v>
      </c>
      <c r="O244" s="11">
        <v>0</v>
      </c>
      <c r="P244" s="11">
        <v>0</v>
      </c>
      <c r="Q244" s="12">
        <v>0</v>
      </c>
      <c r="R244" s="12">
        <v>0</v>
      </c>
      <c r="S244" s="12">
        <v>0</v>
      </c>
    </row>
    <row r="245" spans="1:19" x14ac:dyDescent="0.3">
      <c r="A245" s="13" t="s">
        <v>897</v>
      </c>
      <c r="B245" s="14" t="s">
        <v>898</v>
      </c>
      <c r="C245" s="14"/>
      <c r="D245" s="14" t="s">
        <v>899</v>
      </c>
      <c r="E245" s="14">
        <f xml:space="preserve"> IF($S$238,1,0)</f>
        <v>0</v>
      </c>
      <c r="F245" s="14" t="s">
        <v>900</v>
      </c>
      <c r="G245" s="14">
        <v>0</v>
      </c>
      <c r="H245" s="14">
        <v>0</v>
      </c>
      <c r="I245" s="14">
        <v>0</v>
      </c>
      <c r="J245" s="14">
        <v>0</v>
      </c>
      <c r="K245" s="14">
        <v>0</v>
      </c>
      <c r="L245" s="14">
        <v>0</v>
      </c>
      <c r="M245" s="14">
        <v>0</v>
      </c>
      <c r="N245" s="14">
        <v>0</v>
      </c>
      <c r="O245" s="14">
        <v>0</v>
      </c>
      <c r="P245" s="14">
        <v>0</v>
      </c>
      <c r="Q245" s="15">
        <v>0</v>
      </c>
      <c r="R245" s="15">
        <v>0</v>
      </c>
      <c r="S245" s="15">
        <v>0</v>
      </c>
    </row>
    <row r="246" spans="1:19" x14ac:dyDescent="0.3">
      <c r="A246" s="10" t="s">
        <v>901</v>
      </c>
      <c r="B246" s="11" t="s">
        <v>902</v>
      </c>
      <c r="C246" s="11"/>
      <c r="D246" s="11" t="s">
        <v>903</v>
      </c>
      <c r="E246" s="11">
        <f xml:space="preserve"> IF($S$239,1,0)</f>
        <v>0</v>
      </c>
      <c r="F246" s="11" t="s">
        <v>904</v>
      </c>
      <c r="G246" s="11">
        <v>0</v>
      </c>
      <c r="H246" s="11">
        <v>0</v>
      </c>
      <c r="I246" s="11">
        <v>0</v>
      </c>
      <c r="J246" s="11">
        <v>0</v>
      </c>
      <c r="K246" s="11">
        <v>0</v>
      </c>
      <c r="L246" s="11">
        <v>0</v>
      </c>
      <c r="M246" s="11">
        <v>0</v>
      </c>
      <c r="N246" s="11">
        <v>0</v>
      </c>
      <c r="O246" s="11">
        <v>0</v>
      </c>
      <c r="P246" s="11">
        <v>0</v>
      </c>
      <c r="Q246" s="12">
        <v>0</v>
      </c>
      <c r="R246" s="12">
        <v>0</v>
      </c>
      <c r="S246" s="12">
        <v>0</v>
      </c>
    </row>
    <row r="247" spans="1:19" x14ac:dyDescent="0.3">
      <c r="A247" s="13" t="s">
        <v>905</v>
      </c>
      <c r="B247" s="14" t="s">
        <v>906</v>
      </c>
      <c r="C247" s="14" t="s">
        <v>283</v>
      </c>
      <c r="D247" s="14" t="s">
        <v>296</v>
      </c>
      <c r="E247" s="14">
        <f xml:space="preserve"> IF($S$240,1,0)</f>
        <v>0</v>
      </c>
      <c r="F247" s="14" t="s">
        <v>907</v>
      </c>
      <c r="G247" s="14">
        <v>0</v>
      </c>
      <c r="H247" s="14">
        <v>0</v>
      </c>
      <c r="I247" s="14">
        <v>0</v>
      </c>
      <c r="J247" s="14">
        <v>0</v>
      </c>
      <c r="K247" s="14">
        <v>0</v>
      </c>
      <c r="L247" s="14">
        <v>0</v>
      </c>
      <c r="M247" s="14">
        <v>0</v>
      </c>
      <c r="N247" s="14">
        <v>0</v>
      </c>
      <c r="O247" s="14">
        <v>0</v>
      </c>
      <c r="P247" s="14">
        <v>0</v>
      </c>
      <c r="Q247" s="15">
        <v>0</v>
      </c>
      <c r="R247" s="15">
        <v>0</v>
      </c>
      <c r="S247" s="15">
        <v>0</v>
      </c>
    </row>
    <row r="248" spans="1:19" x14ac:dyDescent="0.3">
      <c r="A248" s="10" t="s">
        <v>908</v>
      </c>
      <c r="B248" s="11" t="s">
        <v>909</v>
      </c>
      <c r="C248" s="11"/>
      <c r="D248" s="11" t="s">
        <v>910</v>
      </c>
      <c r="E248" s="11">
        <f xml:space="preserve"> IF($S$241,1,0)</f>
        <v>0</v>
      </c>
      <c r="F248" s="11" t="s">
        <v>911</v>
      </c>
      <c r="G248" s="11">
        <v>0</v>
      </c>
      <c r="H248" s="11">
        <v>0</v>
      </c>
      <c r="I248" s="11">
        <v>0</v>
      </c>
      <c r="J248" s="11">
        <v>0</v>
      </c>
      <c r="K248" s="11">
        <v>0</v>
      </c>
      <c r="L248" s="11">
        <v>0</v>
      </c>
      <c r="M248" s="11">
        <v>0</v>
      </c>
      <c r="N248" s="11">
        <v>0</v>
      </c>
      <c r="O248" s="11">
        <v>0</v>
      </c>
      <c r="P248" s="11">
        <v>0</v>
      </c>
      <c r="Q248" s="12">
        <v>0</v>
      </c>
      <c r="R248" s="12">
        <v>0</v>
      </c>
      <c r="S248" s="12">
        <v>0</v>
      </c>
    </row>
    <row r="249" spans="1:19" x14ac:dyDescent="0.3">
      <c r="A249" s="13" t="s">
        <v>912</v>
      </c>
      <c r="B249" s="14" t="s">
        <v>913</v>
      </c>
      <c r="C249" s="14" t="s">
        <v>65</v>
      </c>
      <c r="D249" s="14" t="s">
        <v>914</v>
      </c>
      <c r="E249" s="14">
        <f xml:space="preserve"> IF($S$242,1,0)</f>
        <v>0</v>
      </c>
      <c r="F249" s="14" t="s">
        <v>915</v>
      </c>
      <c r="G249" s="14">
        <v>0</v>
      </c>
      <c r="H249" s="14">
        <v>0</v>
      </c>
      <c r="I249" s="14">
        <v>0</v>
      </c>
      <c r="J249" s="14">
        <v>0</v>
      </c>
      <c r="K249" s="14">
        <v>0</v>
      </c>
      <c r="L249" s="14">
        <v>0</v>
      </c>
      <c r="M249" s="14">
        <v>0</v>
      </c>
      <c r="N249" s="14">
        <v>0</v>
      </c>
      <c r="O249" s="14">
        <v>0</v>
      </c>
      <c r="P249" s="14">
        <v>0</v>
      </c>
      <c r="Q249" s="15">
        <v>0</v>
      </c>
      <c r="R249" s="15">
        <v>0</v>
      </c>
      <c r="S249" s="15">
        <v>0</v>
      </c>
    </row>
    <row r="250" spans="1:19" x14ac:dyDescent="0.3">
      <c r="A250" s="10" t="s">
        <v>916</v>
      </c>
      <c r="B250" s="11" t="s">
        <v>917</v>
      </c>
      <c r="C250" s="11"/>
      <c r="D250" s="11" t="s">
        <v>918</v>
      </c>
      <c r="E250" s="11">
        <f xml:space="preserve"> IF($S$243,1,0)</f>
        <v>0</v>
      </c>
      <c r="F250" s="11" t="s">
        <v>919</v>
      </c>
      <c r="G250" s="11">
        <v>0</v>
      </c>
      <c r="H250" s="11">
        <v>0</v>
      </c>
      <c r="I250" s="11">
        <v>0</v>
      </c>
      <c r="J250" s="11">
        <v>0</v>
      </c>
      <c r="K250" s="11">
        <v>0</v>
      </c>
      <c r="L250" s="11">
        <v>0</v>
      </c>
      <c r="M250" s="11">
        <v>0</v>
      </c>
      <c r="N250" s="11">
        <v>0</v>
      </c>
      <c r="O250" s="11">
        <v>0</v>
      </c>
      <c r="P250" s="11">
        <v>0</v>
      </c>
      <c r="Q250" s="12">
        <v>0</v>
      </c>
      <c r="R250" s="12">
        <v>0</v>
      </c>
      <c r="S250" s="12">
        <v>0</v>
      </c>
    </row>
    <row r="251" spans="1:19" x14ac:dyDescent="0.3">
      <c r="A251" s="13" t="s">
        <v>920</v>
      </c>
      <c r="B251" s="14" t="s">
        <v>917</v>
      </c>
      <c r="C251" s="14"/>
      <c r="D251" s="14" t="s">
        <v>921</v>
      </c>
      <c r="E251" s="14">
        <f xml:space="preserve"> IF($S$244,1,0)</f>
        <v>0</v>
      </c>
      <c r="F251" s="14" t="s">
        <v>922</v>
      </c>
      <c r="G251" s="14">
        <v>0</v>
      </c>
      <c r="H251" s="14">
        <v>0</v>
      </c>
      <c r="I251" s="14">
        <v>0</v>
      </c>
      <c r="J251" s="14">
        <v>0</v>
      </c>
      <c r="K251" s="14">
        <v>0</v>
      </c>
      <c r="L251" s="14">
        <v>0</v>
      </c>
      <c r="M251" s="14">
        <v>0</v>
      </c>
      <c r="N251" s="14">
        <v>0</v>
      </c>
      <c r="O251" s="14">
        <v>0</v>
      </c>
      <c r="P251" s="14">
        <v>0</v>
      </c>
      <c r="Q251" s="15">
        <v>0</v>
      </c>
      <c r="R251" s="15">
        <v>0</v>
      </c>
      <c r="S251" s="15">
        <v>0</v>
      </c>
    </row>
    <row r="252" spans="1:19" x14ac:dyDescent="0.3">
      <c r="A252" s="10" t="s">
        <v>923</v>
      </c>
      <c r="B252" s="11" t="s">
        <v>917</v>
      </c>
      <c r="C252" s="11" t="s">
        <v>34</v>
      </c>
      <c r="D252" s="11" t="s">
        <v>924</v>
      </c>
      <c r="E252" s="11">
        <f xml:space="preserve"> IF($S$245,1,0)</f>
        <v>0</v>
      </c>
      <c r="F252" s="11" t="s">
        <v>925</v>
      </c>
      <c r="G252" s="11">
        <v>0</v>
      </c>
      <c r="H252" s="11">
        <v>0</v>
      </c>
      <c r="I252" s="11">
        <v>0</v>
      </c>
      <c r="J252" s="11">
        <v>0</v>
      </c>
      <c r="K252" s="11">
        <v>0</v>
      </c>
      <c r="L252" s="11">
        <v>0</v>
      </c>
      <c r="M252" s="11">
        <v>0</v>
      </c>
      <c r="N252" s="11">
        <v>0</v>
      </c>
      <c r="O252" s="11">
        <v>0</v>
      </c>
      <c r="P252" s="11">
        <v>0</v>
      </c>
      <c r="Q252" s="12">
        <v>0</v>
      </c>
      <c r="R252" s="12">
        <v>0</v>
      </c>
      <c r="S252" s="12">
        <v>0</v>
      </c>
    </row>
    <row r="253" spans="1:19" x14ac:dyDescent="0.3">
      <c r="A253" s="13" t="s">
        <v>926</v>
      </c>
      <c r="B253" s="14" t="s">
        <v>927</v>
      </c>
      <c r="C253" s="14"/>
      <c r="D253" s="14" t="s">
        <v>928</v>
      </c>
      <c r="E253" s="14">
        <f xml:space="preserve"> IF($S$246,1,0)</f>
        <v>0</v>
      </c>
      <c r="F253" s="14" t="s">
        <v>929</v>
      </c>
      <c r="G253" s="14">
        <v>0</v>
      </c>
      <c r="H253" s="14">
        <v>0</v>
      </c>
      <c r="I253" s="14">
        <v>0</v>
      </c>
      <c r="J253" s="14">
        <v>0</v>
      </c>
      <c r="K253" s="14">
        <v>0</v>
      </c>
      <c r="L253" s="14">
        <v>0</v>
      </c>
      <c r="M253" s="14">
        <v>0</v>
      </c>
      <c r="N253" s="14">
        <v>0</v>
      </c>
      <c r="O253" s="14">
        <v>0</v>
      </c>
      <c r="P253" s="14">
        <v>0</v>
      </c>
      <c r="Q253" s="15">
        <v>0</v>
      </c>
      <c r="R253" s="15">
        <v>0</v>
      </c>
      <c r="S253" s="15">
        <v>0</v>
      </c>
    </row>
    <row r="254" spans="1:19" x14ac:dyDescent="0.3">
      <c r="A254" s="10" t="s">
        <v>930</v>
      </c>
      <c r="B254" s="11" t="s">
        <v>931</v>
      </c>
      <c r="C254" s="11"/>
      <c r="D254" s="11" t="s">
        <v>932</v>
      </c>
      <c r="E254" s="11">
        <f xml:space="preserve"> IF($S$247,1,0)</f>
        <v>0</v>
      </c>
      <c r="F254" s="11" t="s">
        <v>933</v>
      </c>
      <c r="G254" s="11">
        <v>0</v>
      </c>
      <c r="H254" s="11">
        <v>0</v>
      </c>
      <c r="I254" s="11">
        <v>0</v>
      </c>
      <c r="J254" s="11">
        <v>0</v>
      </c>
      <c r="K254" s="11">
        <v>0</v>
      </c>
      <c r="L254" s="11">
        <v>0</v>
      </c>
      <c r="M254" s="11">
        <v>0</v>
      </c>
      <c r="N254" s="11">
        <v>0</v>
      </c>
      <c r="O254" s="11">
        <v>0</v>
      </c>
      <c r="P254" s="11">
        <v>0</v>
      </c>
      <c r="Q254" s="12">
        <v>0</v>
      </c>
      <c r="R254" s="12">
        <v>0</v>
      </c>
      <c r="S254" s="12">
        <v>0</v>
      </c>
    </row>
    <row r="255" spans="1:19" x14ac:dyDescent="0.3">
      <c r="A255" s="13" t="s">
        <v>934</v>
      </c>
      <c r="B255" s="14" t="s">
        <v>935</v>
      </c>
      <c r="C255" s="14"/>
      <c r="D255" s="14" t="s">
        <v>936</v>
      </c>
      <c r="E255" s="14">
        <f xml:space="preserve"> IF($S$248,1,0)</f>
        <v>0</v>
      </c>
      <c r="F255" s="14" t="s">
        <v>937</v>
      </c>
      <c r="G255" s="14">
        <v>0</v>
      </c>
      <c r="H255" s="14">
        <v>0</v>
      </c>
      <c r="I255" s="14">
        <v>0</v>
      </c>
      <c r="J255" s="14">
        <v>0</v>
      </c>
      <c r="K255" s="14">
        <v>0</v>
      </c>
      <c r="L255" s="14">
        <v>0</v>
      </c>
      <c r="M255" s="14">
        <v>0</v>
      </c>
      <c r="N255" s="14">
        <v>0</v>
      </c>
      <c r="O255" s="14">
        <v>0</v>
      </c>
      <c r="P255" s="14">
        <v>0</v>
      </c>
      <c r="Q255" s="15">
        <v>0</v>
      </c>
      <c r="R255" s="15">
        <v>0</v>
      </c>
      <c r="S255" s="15">
        <v>0</v>
      </c>
    </row>
    <row r="256" spans="1:19" x14ac:dyDescent="0.3">
      <c r="A256" s="10" t="s">
        <v>946</v>
      </c>
      <c r="B256" s="11" t="s">
        <v>947</v>
      </c>
      <c r="C256" s="11"/>
      <c r="D256" s="11" t="s">
        <v>948</v>
      </c>
      <c r="E256" s="11">
        <f xml:space="preserve"> IF($S$251,1,0)</f>
        <v>0</v>
      </c>
      <c r="F256" s="11" t="s">
        <v>949</v>
      </c>
      <c r="G256" s="11">
        <v>0</v>
      </c>
      <c r="H256" s="11">
        <v>0</v>
      </c>
      <c r="I256" s="11">
        <v>0</v>
      </c>
      <c r="J256" s="11">
        <v>0</v>
      </c>
      <c r="K256" s="11">
        <v>0</v>
      </c>
      <c r="L256" s="11">
        <v>0</v>
      </c>
      <c r="M256" s="11">
        <v>0</v>
      </c>
      <c r="N256" s="11">
        <v>0</v>
      </c>
      <c r="O256" s="11">
        <v>0</v>
      </c>
      <c r="P256" s="11">
        <v>0</v>
      </c>
      <c r="Q256" s="12">
        <v>0</v>
      </c>
      <c r="R256" s="12">
        <v>0</v>
      </c>
      <c r="S256" s="12">
        <v>0</v>
      </c>
    </row>
    <row r="257" spans="1:19" x14ac:dyDescent="0.3">
      <c r="A257" s="13" t="s">
        <v>950</v>
      </c>
      <c r="B257" s="14" t="s">
        <v>951</v>
      </c>
      <c r="C257" s="14" t="s">
        <v>34</v>
      </c>
      <c r="D257" s="14" t="s">
        <v>118</v>
      </c>
      <c r="E257" s="14">
        <f xml:space="preserve"> IF($S$252,1,0)</f>
        <v>0</v>
      </c>
      <c r="F257" s="14" t="s">
        <v>952</v>
      </c>
      <c r="G257" s="14">
        <v>0</v>
      </c>
      <c r="H257" s="14">
        <v>0</v>
      </c>
      <c r="I257" s="14">
        <v>0</v>
      </c>
      <c r="J257" s="14">
        <v>0</v>
      </c>
      <c r="K257" s="14">
        <v>0</v>
      </c>
      <c r="L257" s="14">
        <v>0</v>
      </c>
      <c r="M257" s="14">
        <v>0</v>
      </c>
      <c r="N257" s="14">
        <v>0</v>
      </c>
      <c r="O257" s="14">
        <v>0</v>
      </c>
      <c r="P257" s="14">
        <v>0</v>
      </c>
      <c r="Q257" s="15">
        <v>0</v>
      </c>
      <c r="R257" s="15">
        <v>0</v>
      </c>
      <c r="S257" s="15">
        <v>0</v>
      </c>
    </row>
    <row r="258" spans="1:19" x14ac:dyDescent="0.3">
      <c r="A258" s="10" t="s">
        <v>953</v>
      </c>
      <c r="B258" s="11" t="s">
        <v>954</v>
      </c>
      <c r="C258" s="11"/>
      <c r="D258" s="11" t="s">
        <v>955</v>
      </c>
      <c r="E258" s="11">
        <f xml:space="preserve"> IF($S$253,1,0)</f>
        <v>0</v>
      </c>
      <c r="F258" s="11" t="s">
        <v>956</v>
      </c>
      <c r="G258" s="11">
        <v>0</v>
      </c>
      <c r="H258" s="11">
        <v>0</v>
      </c>
      <c r="I258" s="11">
        <v>0</v>
      </c>
      <c r="J258" s="11">
        <v>0</v>
      </c>
      <c r="K258" s="11">
        <v>0</v>
      </c>
      <c r="L258" s="11">
        <v>0</v>
      </c>
      <c r="M258" s="11">
        <v>0</v>
      </c>
      <c r="N258" s="11">
        <v>0</v>
      </c>
      <c r="O258" s="11">
        <v>0</v>
      </c>
      <c r="P258" s="11">
        <v>0</v>
      </c>
      <c r="Q258" s="12">
        <v>0</v>
      </c>
      <c r="R258" s="12">
        <v>0</v>
      </c>
      <c r="S258" s="12">
        <v>0</v>
      </c>
    </row>
    <row r="259" spans="1:19" x14ac:dyDescent="0.3">
      <c r="A259" s="13" t="s">
        <v>957</v>
      </c>
      <c r="B259" s="14" t="s">
        <v>958</v>
      </c>
      <c r="C259" s="14" t="s">
        <v>65</v>
      </c>
      <c r="D259" s="14" t="s">
        <v>959</v>
      </c>
      <c r="E259" s="14">
        <f xml:space="preserve"> IF($S$254,1,0)</f>
        <v>0</v>
      </c>
      <c r="F259" s="14" t="s">
        <v>960</v>
      </c>
      <c r="G259" s="14">
        <v>0</v>
      </c>
      <c r="H259" s="14">
        <v>0</v>
      </c>
      <c r="I259" s="14">
        <v>0</v>
      </c>
      <c r="J259" s="14">
        <v>0</v>
      </c>
      <c r="K259" s="14">
        <v>0</v>
      </c>
      <c r="L259" s="14">
        <v>0</v>
      </c>
      <c r="M259" s="14">
        <v>0</v>
      </c>
      <c r="N259" s="14">
        <v>0</v>
      </c>
      <c r="O259" s="14">
        <v>0</v>
      </c>
      <c r="P259" s="14">
        <v>0</v>
      </c>
      <c r="Q259" s="15">
        <v>0</v>
      </c>
      <c r="R259" s="15">
        <v>0</v>
      </c>
      <c r="S259" s="15">
        <v>0</v>
      </c>
    </row>
    <row r="260" spans="1:19" x14ac:dyDescent="0.3">
      <c r="A260" s="10" t="s">
        <v>961</v>
      </c>
      <c r="B260" s="11" t="s">
        <v>962</v>
      </c>
      <c r="C260" s="11" t="s">
        <v>202</v>
      </c>
      <c r="D260" s="11" t="s">
        <v>963</v>
      </c>
      <c r="E260" s="11">
        <f xml:space="preserve"> IF($S$255,1,0)</f>
        <v>0</v>
      </c>
      <c r="F260" s="11" t="s">
        <v>964</v>
      </c>
      <c r="G260" s="11">
        <v>0</v>
      </c>
      <c r="H260" s="11">
        <v>0</v>
      </c>
      <c r="I260" s="11">
        <v>0</v>
      </c>
      <c r="J260" s="11">
        <v>0</v>
      </c>
      <c r="K260" s="11">
        <v>0</v>
      </c>
      <c r="L260" s="11">
        <v>0</v>
      </c>
      <c r="M260" s="11">
        <v>0</v>
      </c>
      <c r="N260" s="11">
        <v>0</v>
      </c>
      <c r="O260" s="11">
        <v>0</v>
      </c>
      <c r="P260" s="11">
        <v>0</v>
      </c>
      <c r="Q260" s="12">
        <v>0</v>
      </c>
      <c r="R260" s="12">
        <v>0</v>
      </c>
      <c r="S260" s="12">
        <v>0</v>
      </c>
    </row>
    <row r="261" spans="1:19" x14ac:dyDescent="0.3">
      <c r="A261" s="13" t="s">
        <v>965</v>
      </c>
      <c r="B261" s="14" t="s">
        <v>966</v>
      </c>
      <c r="C261" s="14"/>
      <c r="D261" s="14" t="s">
        <v>609</v>
      </c>
      <c r="E261" s="14">
        <f xml:space="preserve"> IF($S$256,1,0)</f>
        <v>0</v>
      </c>
      <c r="F261" s="14" t="s">
        <v>967</v>
      </c>
      <c r="G261" s="14">
        <v>0</v>
      </c>
      <c r="H261" s="14">
        <v>0</v>
      </c>
      <c r="I261" s="14">
        <v>0</v>
      </c>
      <c r="J261" s="14">
        <v>0</v>
      </c>
      <c r="K261" s="14">
        <v>0</v>
      </c>
      <c r="L261" s="14">
        <v>0</v>
      </c>
      <c r="M261" s="14">
        <v>0</v>
      </c>
      <c r="N261" s="14">
        <v>0</v>
      </c>
      <c r="O261" s="14">
        <v>0</v>
      </c>
      <c r="P261" s="14">
        <v>0</v>
      </c>
      <c r="Q261" s="15">
        <v>0</v>
      </c>
      <c r="R261" s="15">
        <v>0</v>
      </c>
      <c r="S261" s="15">
        <v>0</v>
      </c>
    </row>
    <row r="262" spans="1:19" x14ac:dyDescent="0.3">
      <c r="A262" s="10" t="s">
        <v>968</v>
      </c>
      <c r="B262" s="11" t="s">
        <v>969</v>
      </c>
      <c r="C262" s="11"/>
      <c r="D262" s="11" t="s">
        <v>970</v>
      </c>
      <c r="E262" s="11">
        <f xml:space="preserve"> IF($S$257,1,0)</f>
        <v>0</v>
      </c>
      <c r="F262" s="11" t="s">
        <v>971</v>
      </c>
      <c r="G262" s="11">
        <v>0</v>
      </c>
      <c r="H262" s="11">
        <v>0</v>
      </c>
      <c r="I262" s="11">
        <v>0</v>
      </c>
      <c r="J262" s="11">
        <v>0</v>
      </c>
      <c r="K262" s="11">
        <v>0</v>
      </c>
      <c r="L262" s="11">
        <v>0</v>
      </c>
      <c r="M262" s="11">
        <v>0</v>
      </c>
      <c r="N262" s="11">
        <v>0</v>
      </c>
      <c r="O262" s="11">
        <v>0</v>
      </c>
      <c r="P262" s="11">
        <v>0</v>
      </c>
      <c r="Q262" s="12">
        <v>0</v>
      </c>
      <c r="R262" s="12">
        <v>0</v>
      </c>
      <c r="S262" s="12">
        <v>0</v>
      </c>
    </row>
    <row r="263" spans="1:19" x14ac:dyDescent="0.3">
      <c r="A263" s="13" t="s">
        <v>972</v>
      </c>
      <c r="B263" s="14" t="s">
        <v>973</v>
      </c>
      <c r="C263" s="14"/>
      <c r="D263" s="14" t="s">
        <v>974</v>
      </c>
      <c r="E263" s="14">
        <f xml:space="preserve"> IF($S$258,1,0)</f>
        <v>0</v>
      </c>
      <c r="F263" s="14" t="s">
        <v>975</v>
      </c>
      <c r="G263" s="14">
        <v>0</v>
      </c>
      <c r="H263" s="14">
        <v>0</v>
      </c>
      <c r="I263" s="14">
        <v>0</v>
      </c>
      <c r="J263" s="14">
        <v>0</v>
      </c>
      <c r="K263" s="14">
        <v>0</v>
      </c>
      <c r="L263" s="14">
        <v>0</v>
      </c>
      <c r="M263" s="14">
        <v>0</v>
      </c>
      <c r="N263" s="14">
        <v>0</v>
      </c>
      <c r="O263" s="14">
        <v>0</v>
      </c>
      <c r="P263" s="14">
        <v>0</v>
      </c>
      <c r="Q263" s="15">
        <v>0</v>
      </c>
      <c r="R263" s="15">
        <v>0</v>
      </c>
      <c r="S263" s="15">
        <v>0</v>
      </c>
    </row>
    <row r="264" spans="1:19" x14ac:dyDescent="0.3">
      <c r="A264" s="10" t="s">
        <v>976</v>
      </c>
      <c r="B264" s="11" t="s">
        <v>977</v>
      </c>
      <c r="C264" s="11"/>
      <c r="D264" s="11" t="s">
        <v>978</v>
      </c>
      <c r="E264" s="11">
        <f xml:space="preserve"> IF($S$259,1,0)</f>
        <v>0</v>
      </c>
      <c r="F264" s="11" t="s">
        <v>979</v>
      </c>
      <c r="G264" s="11">
        <v>0</v>
      </c>
      <c r="H264" s="11">
        <v>0</v>
      </c>
      <c r="I264" s="11">
        <v>0</v>
      </c>
      <c r="J264" s="11">
        <v>0</v>
      </c>
      <c r="K264" s="11">
        <v>0</v>
      </c>
      <c r="L264" s="11">
        <v>0</v>
      </c>
      <c r="M264" s="11">
        <v>0</v>
      </c>
      <c r="N264" s="11">
        <v>0</v>
      </c>
      <c r="O264" s="11">
        <v>0</v>
      </c>
      <c r="P264" s="11">
        <v>0</v>
      </c>
      <c r="Q264" s="12">
        <v>0</v>
      </c>
      <c r="R264" s="12">
        <v>0</v>
      </c>
      <c r="S264" s="12">
        <v>0</v>
      </c>
    </row>
    <row r="265" spans="1:19" x14ac:dyDescent="0.3">
      <c r="A265" s="13" t="s">
        <v>980</v>
      </c>
      <c r="B265" s="14" t="s">
        <v>981</v>
      </c>
      <c r="C265" s="14" t="s">
        <v>34</v>
      </c>
      <c r="D265" s="14" t="s">
        <v>982</v>
      </c>
      <c r="E265" s="14">
        <f xml:space="preserve"> IF($S$260,1,0)</f>
        <v>0</v>
      </c>
      <c r="F265" s="14" t="s">
        <v>983</v>
      </c>
      <c r="G265" s="14">
        <v>0</v>
      </c>
      <c r="H265" s="14">
        <v>0</v>
      </c>
      <c r="I265" s="14">
        <v>0</v>
      </c>
      <c r="J265" s="14">
        <v>0</v>
      </c>
      <c r="K265" s="14">
        <v>0</v>
      </c>
      <c r="L265" s="14">
        <v>0</v>
      </c>
      <c r="M265" s="14">
        <v>0</v>
      </c>
      <c r="N265" s="14">
        <v>0</v>
      </c>
      <c r="O265" s="14">
        <v>0</v>
      </c>
      <c r="P265" s="14">
        <v>0</v>
      </c>
      <c r="Q265" s="15">
        <v>0</v>
      </c>
      <c r="R265" s="15">
        <v>0</v>
      </c>
      <c r="S265" s="15">
        <v>0</v>
      </c>
    </row>
    <row r="266" spans="1:19" x14ac:dyDescent="0.3">
      <c r="A266" s="10" t="s">
        <v>984</v>
      </c>
      <c r="B266" s="11" t="s">
        <v>985</v>
      </c>
      <c r="C266" s="11" t="s">
        <v>202</v>
      </c>
      <c r="D266" s="11" t="s">
        <v>986</v>
      </c>
      <c r="E266" s="11">
        <f xml:space="preserve"> IF($S$261,1,0)</f>
        <v>0</v>
      </c>
      <c r="F266" s="11" t="s">
        <v>987</v>
      </c>
      <c r="G266" s="11">
        <v>0</v>
      </c>
      <c r="H266" s="11">
        <v>0</v>
      </c>
      <c r="I266" s="11">
        <v>0</v>
      </c>
      <c r="J266" s="11">
        <v>0</v>
      </c>
      <c r="K266" s="11">
        <v>0</v>
      </c>
      <c r="L266" s="11">
        <v>0</v>
      </c>
      <c r="M266" s="11">
        <v>0</v>
      </c>
      <c r="N266" s="11">
        <v>0</v>
      </c>
      <c r="O266" s="11">
        <v>0</v>
      </c>
      <c r="P266" s="11">
        <v>0</v>
      </c>
      <c r="Q266" s="12">
        <v>0</v>
      </c>
      <c r="R266" s="12">
        <v>0</v>
      </c>
      <c r="S266" s="12">
        <v>0</v>
      </c>
    </row>
    <row r="267" spans="1:19" x14ac:dyDescent="0.3">
      <c r="A267" s="13" t="s">
        <v>988</v>
      </c>
      <c r="B267" s="14" t="s">
        <v>989</v>
      </c>
      <c r="C267" s="14" t="s">
        <v>887</v>
      </c>
      <c r="D267" s="14" t="s">
        <v>990</v>
      </c>
      <c r="E267" s="14">
        <f xml:space="preserve"> IF($S$262,1,0)</f>
        <v>0</v>
      </c>
      <c r="F267" s="14" t="s">
        <v>991</v>
      </c>
      <c r="G267" s="14">
        <v>0</v>
      </c>
      <c r="H267" s="14">
        <v>0</v>
      </c>
      <c r="I267" s="14">
        <v>0</v>
      </c>
      <c r="J267" s="14">
        <v>0</v>
      </c>
      <c r="K267" s="14">
        <v>0</v>
      </c>
      <c r="L267" s="14">
        <v>0</v>
      </c>
      <c r="M267" s="14">
        <v>0</v>
      </c>
      <c r="N267" s="14">
        <v>0</v>
      </c>
      <c r="O267" s="14">
        <v>0</v>
      </c>
      <c r="P267" s="14">
        <v>0</v>
      </c>
      <c r="Q267" s="15">
        <v>0</v>
      </c>
      <c r="R267" s="15">
        <v>0</v>
      </c>
      <c r="S267" s="15">
        <v>0</v>
      </c>
    </row>
    <row r="268" spans="1:19" x14ac:dyDescent="0.3">
      <c r="A268" s="10" t="s">
        <v>992</v>
      </c>
      <c r="B268" s="11" t="s">
        <v>343</v>
      </c>
      <c r="C268" s="11"/>
      <c r="D268" s="11" t="s">
        <v>993</v>
      </c>
      <c r="E268" s="11">
        <f xml:space="preserve"> IF($S$263,1,0)</f>
        <v>0</v>
      </c>
      <c r="F268" s="11" t="s">
        <v>994</v>
      </c>
      <c r="G268" s="11">
        <v>0</v>
      </c>
      <c r="H268" s="11">
        <v>0</v>
      </c>
      <c r="I268" s="11">
        <v>0</v>
      </c>
      <c r="J268" s="11">
        <v>0</v>
      </c>
      <c r="K268" s="11">
        <v>0</v>
      </c>
      <c r="L268" s="11">
        <v>0</v>
      </c>
      <c r="M268" s="11">
        <v>0</v>
      </c>
      <c r="N268" s="11">
        <v>0</v>
      </c>
      <c r="O268" s="11">
        <v>0</v>
      </c>
      <c r="P268" s="11">
        <v>0</v>
      </c>
      <c r="Q268" s="12">
        <v>0</v>
      </c>
      <c r="R268" s="12">
        <v>0</v>
      </c>
      <c r="S268" s="12">
        <v>0</v>
      </c>
    </row>
    <row r="269" spans="1:19" x14ac:dyDescent="0.3">
      <c r="A269" s="13" t="s">
        <v>995</v>
      </c>
      <c r="B269" s="14" t="s">
        <v>996</v>
      </c>
      <c r="C269" s="14"/>
      <c r="D269" s="14" t="s">
        <v>997</v>
      </c>
      <c r="E269" s="14">
        <f xml:space="preserve"> IF($S$264,1,0)</f>
        <v>0</v>
      </c>
      <c r="F269" s="14" t="s">
        <v>998</v>
      </c>
      <c r="G269" s="14">
        <v>0</v>
      </c>
      <c r="H269" s="14">
        <v>0</v>
      </c>
      <c r="I269" s="14">
        <v>0</v>
      </c>
      <c r="J269" s="14">
        <v>0</v>
      </c>
      <c r="K269" s="14">
        <v>0</v>
      </c>
      <c r="L269" s="14">
        <v>0</v>
      </c>
      <c r="M269" s="14">
        <v>0</v>
      </c>
      <c r="N269" s="14">
        <v>0</v>
      </c>
      <c r="O269" s="14">
        <v>0</v>
      </c>
      <c r="P269" s="14">
        <v>0</v>
      </c>
      <c r="Q269" s="15">
        <v>0</v>
      </c>
      <c r="R269" s="15">
        <v>0</v>
      </c>
      <c r="S269" s="15">
        <v>0</v>
      </c>
    </row>
    <row r="270" spans="1:19" x14ac:dyDescent="0.3">
      <c r="A270" s="10" t="s">
        <v>999</v>
      </c>
      <c r="B270" s="11" t="s">
        <v>1000</v>
      </c>
      <c r="C270" s="11" t="s">
        <v>202</v>
      </c>
      <c r="D270" s="11" t="s">
        <v>1001</v>
      </c>
      <c r="E270" s="11">
        <f xml:space="preserve"> IF($S$265,1,0)</f>
        <v>0</v>
      </c>
      <c r="F270" s="11" t="s">
        <v>1002</v>
      </c>
      <c r="G270" s="11">
        <v>0</v>
      </c>
      <c r="H270" s="11">
        <v>0</v>
      </c>
      <c r="I270" s="11">
        <v>0</v>
      </c>
      <c r="J270" s="11">
        <v>0</v>
      </c>
      <c r="K270" s="11">
        <v>0</v>
      </c>
      <c r="L270" s="11">
        <v>0</v>
      </c>
      <c r="M270" s="11">
        <v>0</v>
      </c>
      <c r="N270" s="11">
        <v>0</v>
      </c>
      <c r="O270" s="11">
        <v>0</v>
      </c>
      <c r="P270" s="11">
        <v>0</v>
      </c>
      <c r="Q270" s="12">
        <v>0</v>
      </c>
      <c r="R270" s="12">
        <v>0</v>
      </c>
      <c r="S270" s="12">
        <v>0</v>
      </c>
    </row>
    <row r="271" spans="1:19" x14ac:dyDescent="0.3">
      <c r="A271" s="13" t="s">
        <v>1003</v>
      </c>
      <c r="B271" s="14" t="s">
        <v>1004</v>
      </c>
      <c r="C271" s="14"/>
      <c r="D271" s="14" t="s">
        <v>1005</v>
      </c>
      <c r="E271" s="14">
        <f xml:space="preserve"> IF($S$266,1,0)</f>
        <v>0</v>
      </c>
      <c r="F271" s="14" t="s">
        <v>1006</v>
      </c>
      <c r="G271" s="14">
        <v>0</v>
      </c>
      <c r="H271" s="14">
        <v>0</v>
      </c>
      <c r="I271" s="14">
        <v>0</v>
      </c>
      <c r="J271" s="14">
        <v>0</v>
      </c>
      <c r="K271" s="14">
        <v>0</v>
      </c>
      <c r="L271" s="14">
        <v>0</v>
      </c>
      <c r="M271" s="14">
        <v>0</v>
      </c>
      <c r="N271" s="14">
        <v>0</v>
      </c>
      <c r="O271" s="14">
        <v>0</v>
      </c>
      <c r="P271" s="14">
        <v>0</v>
      </c>
      <c r="Q271" s="15">
        <v>0</v>
      </c>
      <c r="R271" s="15">
        <v>0</v>
      </c>
      <c r="S271" s="15">
        <v>0</v>
      </c>
    </row>
    <row r="272" spans="1:19" x14ac:dyDescent="0.3">
      <c r="A272" s="10" t="s">
        <v>1007</v>
      </c>
      <c r="B272" s="11" t="s">
        <v>1004</v>
      </c>
      <c r="C272" s="11"/>
      <c r="D272" s="11" t="s">
        <v>1008</v>
      </c>
      <c r="E272" s="11">
        <f xml:space="preserve"> IF($S$267,1,0)</f>
        <v>0</v>
      </c>
      <c r="F272" s="11" t="s">
        <v>1009</v>
      </c>
      <c r="G272" s="11">
        <v>0</v>
      </c>
      <c r="H272" s="11">
        <v>0</v>
      </c>
      <c r="I272" s="11">
        <v>0</v>
      </c>
      <c r="J272" s="11">
        <v>0</v>
      </c>
      <c r="K272" s="11">
        <v>0</v>
      </c>
      <c r="L272" s="11">
        <v>0</v>
      </c>
      <c r="M272" s="11">
        <v>0</v>
      </c>
      <c r="N272" s="11">
        <v>0</v>
      </c>
      <c r="O272" s="11">
        <v>0</v>
      </c>
      <c r="P272" s="11">
        <v>0</v>
      </c>
      <c r="Q272" s="12">
        <v>0</v>
      </c>
      <c r="R272" s="12">
        <v>0</v>
      </c>
      <c r="S272" s="12">
        <v>0</v>
      </c>
    </row>
    <row r="273" spans="1:19" x14ac:dyDescent="0.3">
      <c r="A273" s="13" t="s">
        <v>1010</v>
      </c>
      <c r="B273" s="14" t="s">
        <v>1011</v>
      </c>
      <c r="C273" s="14"/>
      <c r="D273" s="14" t="s">
        <v>1012</v>
      </c>
      <c r="E273" s="14">
        <f xml:space="preserve"> IF($S$268,1,0)</f>
        <v>0</v>
      </c>
      <c r="F273" s="14" t="s">
        <v>1013</v>
      </c>
      <c r="G273" s="14">
        <v>0</v>
      </c>
      <c r="H273" s="14">
        <v>0</v>
      </c>
      <c r="I273" s="14">
        <v>0</v>
      </c>
      <c r="J273" s="14">
        <v>0</v>
      </c>
      <c r="K273" s="14">
        <v>0</v>
      </c>
      <c r="L273" s="14">
        <v>0</v>
      </c>
      <c r="M273" s="14">
        <v>0</v>
      </c>
      <c r="N273" s="14">
        <v>0</v>
      </c>
      <c r="O273" s="14">
        <v>0</v>
      </c>
      <c r="P273" s="14">
        <v>0</v>
      </c>
      <c r="Q273" s="15">
        <v>0</v>
      </c>
      <c r="R273" s="15">
        <v>0</v>
      </c>
      <c r="S273" s="15">
        <v>0</v>
      </c>
    </row>
    <row r="274" spans="1:19" x14ac:dyDescent="0.3">
      <c r="A274" s="10" t="s">
        <v>1014</v>
      </c>
      <c r="B274" s="11" t="s">
        <v>1015</v>
      </c>
      <c r="C274" s="11"/>
      <c r="D274" s="11" t="s">
        <v>1016</v>
      </c>
      <c r="E274" s="11">
        <f xml:space="preserve"> IF($S$269,1,0)</f>
        <v>0</v>
      </c>
      <c r="F274" s="11" t="s">
        <v>1017</v>
      </c>
      <c r="G274" s="11">
        <v>0</v>
      </c>
      <c r="H274" s="11">
        <v>0</v>
      </c>
      <c r="I274" s="11">
        <v>0</v>
      </c>
      <c r="J274" s="11">
        <v>0</v>
      </c>
      <c r="K274" s="11">
        <v>0</v>
      </c>
      <c r="L274" s="11">
        <v>0</v>
      </c>
      <c r="M274" s="11">
        <v>0</v>
      </c>
      <c r="N274" s="11">
        <v>0</v>
      </c>
      <c r="O274" s="11">
        <v>0</v>
      </c>
      <c r="P274" s="11">
        <v>0</v>
      </c>
      <c r="Q274" s="12">
        <v>0</v>
      </c>
      <c r="R274" s="12">
        <v>0</v>
      </c>
      <c r="S274" s="12">
        <v>0</v>
      </c>
    </row>
    <row r="275" spans="1:19" x14ac:dyDescent="0.3">
      <c r="A275" s="13" t="s">
        <v>1018</v>
      </c>
      <c r="B275" s="14" t="s">
        <v>1015</v>
      </c>
      <c r="C275" s="14"/>
      <c r="D275" s="14" t="s">
        <v>1019</v>
      </c>
      <c r="E275" s="14">
        <f xml:space="preserve"> IF($S$270,1,0)</f>
        <v>0</v>
      </c>
      <c r="F275" s="14" t="s">
        <v>1020</v>
      </c>
      <c r="G275" s="14">
        <v>0</v>
      </c>
      <c r="H275" s="14">
        <v>0</v>
      </c>
      <c r="I275" s="14">
        <v>0</v>
      </c>
      <c r="J275" s="14">
        <v>0</v>
      </c>
      <c r="K275" s="14">
        <v>0</v>
      </c>
      <c r="L275" s="14">
        <v>0</v>
      </c>
      <c r="M275" s="14">
        <v>0</v>
      </c>
      <c r="N275" s="14">
        <v>0</v>
      </c>
      <c r="O275" s="14">
        <v>0</v>
      </c>
      <c r="P275" s="14">
        <v>0</v>
      </c>
      <c r="Q275" s="15">
        <v>0</v>
      </c>
      <c r="R275" s="15">
        <v>0</v>
      </c>
      <c r="S275" s="15">
        <v>0</v>
      </c>
    </row>
    <row r="276" spans="1:19" x14ac:dyDescent="0.3">
      <c r="A276" s="10" t="s">
        <v>1021</v>
      </c>
      <c r="B276" s="11" t="s">
        <v>1022</v>
      </c>
      <c r="C276" s="11" t="s">
        <v>283</v>
      </c>
      <c r="D276" s="11" t="s">
        <v>1023</v>
      </c>
      <c r="E276" s="11">
        <f xml:space="preserve"> IF($S$271,1,0)</f>
        <v>0</v>
      </c>
      <c r="F276" s="11" t="s">
        <v>1024</v>
      </c>
      <c r="G276" s="11">
        <v>0</v>
      </c>
      <c r="H276" s="11">
        <v>0</v>
      </c>
      <c r="I276" s="11">
        <v>0</v>
      </c>
      <c r="J276" s="11">
        <v>0</v>
      </c>
      <c r="K276" s="11">
        <v>0</v>
      </c>
      <c r="L276" s="11">
        <v>0</v>
      </c>
      <c r="M276" s="11">
        <v>0</v>
      </c>
      <c r="N276" s="11">
        <v>0</v>
      </c>
      <c r="O276" s="11">
        <v>0</v>
      </c>
      <c r="P276" s="11">
        <v>0</v>
      </c>
      <c r="Q276" s="12">
        <v>0</v>
      </c>
      <c r="R276" s="12">
        <v>0</v>
      </c>
      <c r="S276" s="12">
        <v>0</v>
      </c>
    </row>
    <row r="277" spans="1:19" x14ac:dyDescent="0.3">
      <c r="A277" s="13" t="s">
        <v>1025</v>
      </c>
      <c r="B277" s="14" t="s">
        <v>1026</v>
      </c>
      <c r="C277" s="14"/>
      <c r="D277" s="14" t="s">
        <v>1027</v>
      </c>
      <c r="E277" s="14">
        <f xml:space="preserve"> IF($S$272,1,0)</f>
        <v>0</v>
      </c>
      <c r="F277" s="14" t="s">
        <v>1028</v>
      </c>
      <c r="G277" s="14">
        <v>0</v>
      </c>
      <c r="H277" s="14">
        <v>0</v>
      </c>
      <c r="I277" s="14">
        <v>0</v>
      </c>
      <c r="J277" s="14">
        <v>0</v>
      </c>
      <c r="K277" s="14">
        <v>0</v>
      </c>
      <c r="L277" s="14">
        <v>0</v>
      </c>
      <c r="M277" s="14">
        <v>0</v>
      </c>
      <c r="N277" s="14">
        <v>0</v>
      </c>
      <c r="O277" s="14">
        <v>0</v>
      </c>
      <c r="P277" s="14">
        <v>0</v>
      </c>
      <c r="Q277" s="15">
        <v>0</v>
      </c>
      <c r="R277" s="15">
        <v>0</v>
      </c>
      <c r="S277" s="15">
        <v>0</v>
      </c>
    </row>
    <row r="278" spans="1:19" x14ac:dyDescent="0.3">
      <c r="A278" s="13" t="s">
        <v>1033</v>
      </c>
      <c r="B278" s="14" t="s">
        <v>1030</v>
      </c>
      <c r="C278" s="14"/>
      <c r="D278" s="14" t="s">
        <v>1034</v>
      </c>
      <c r="E278" s="14">
        <f xml:space="preserve"> IF($S$274,1,0)</f>
        <v>0</v>
      </c>
      <c r="F278" s="14" t="s">
        <v>1035</v>
      </c>
      <c r="G278" s="14">
        <v>0</v>
      </c>
      <c r="H278" s="14">
        <v>0</v>
      </c>
      <c r="I278" s="14">
        <v>0</v>
      </c>
      <c r="J278" s="14">
        <v>0</v>
      </c>
      <c r="K278" s="14">
        <v>0</v>
      </c>
      <c r="L278" s="14">
        <v>0</v>
      </c>
      <c r="M278" s="14">
        <v>0</v>
      </c>
      <c r="N278" s="14">
        <v>0</v>
      </c>
      <c r="O278" s="14">
        <v>0</v>
      </c>
      <c r="P278" s="14">
        <v>0</v>
      </c>
      <c r="Q278" s="15">
        <v>0</v>
      </c>
      <c r="R278" s="15">
        <v>0</v>
      </c>
      <c r="S278" s="15">
        <v>0</v>
      </c>
    </row>
    <row r="279" spans="1:19" x14ac:dyDescent="0.3">
      <c r="A279" s="13" t="s">
        <v>1040</v>
      </c>
      <c r="B279" s="14" t="s">
        <v>1037</v>
      </c>
      <c r="C279" s="14" t="s">
        <v>202</v>
      </c>
      <c r="D279" s="14" t="s">
        <v>1041</v>
      </c>
      <c r="E279" s="14">
        <f xml:space="preserve"> IF($S$276,1,0)</f>
        <v>0</v>
      </c>
      <c r="F279" s="14" t="s">
        <v>1042</v>
      </c>
      <c r="G279" s="14">
        <v>0</v>
      </c>
      <c r="H279" s="14">
        <v>0</v>
      </c>
      <c r="I279" s="14">
        <v>0</v>
      </c>
      <c r="J279" s="14">
        <v>0</v>
      </c>
      <c r="K279" s="14">
        <v>0</v>
      </c>
      <c r="L279" s="14">
        <v>0</v>
      </c>
      <c r="M279" s="14">
        <v>0</v>
      </c>
      <c r="N279" s="14">
        <v>0</v>
      </c>
      <c r="O279" s="14">
        <v>0</v>
      </c>
      <c r="P279" s="14">
        <v>0</v>
      </c>
      <c r="Q279" s="15">
        <v>0</v>
      </c>
      <c r="R279" s="15">
        <v>0</v>
      </c>
      <c r="S279" s="15">
        <v>0</v>
      </c>
    </row>
    <row r="280" spans="1:19" x14ac:dyDescent="0.3">
      <c r="A280" s="10" t="s">
        <v>1043</v>
      </c>
      <c r="B280" s="11" t="s">
        <v>1044</v>
      </c>
      <c r="C280" s="11"/>
      <c r="D280" s="11" t="s">
        <v>1045</v>
      </c>
      <c r="E280" s="11">
        <f xml:space="preserve"> IF($S$277,1,0)</f>
        <v>0</v>
      </c>
      <c r="F280" s="11" t="s">
        <v>1046</v>
      </c>
      <c r="G280" s="11">
        <v>0</v>
      </c>
      <c r="H280" s="11">
        <v>0</v>
      </c>
      <c r="I280" s="11">
        <v>0</v>
      </c>
      <c r="J280" s="11">
        <v>0</v>
      </c>
      <c r="K280" s="11">
        <v>0</v>
      </c>
      <c r="L280" s="11">
        <v>0</v>
      </c>
      <c r="M280" s="11">
        <v>0</v>
      </c>
      <c r="N280" s="11">
        <v>0</v>
      </c>
      <c r="O280" s="11">
        <v>0</v>
      </c>
      <c r="P280" s="11">
        <v>0</v>
      </c>
      <c r="Q280" s="12">
        <v>0</v>
      </c>
      <c r="R280" s="12">
        <v>0</v>
      </c>
      <c r="S280" s="12">
        <v>0</v>
      </c>
    </row>
    <row r="281" spans="1:19" x14ac:dyDescent="0.3">
      <c r="A281" s="13" t="s">
        <v>1047</v>
      </c>
      <c r="B281" s="14" t="s">
        <v>1048</v>
      </c>
      <c r="C281" s="14"/>
      <c r="D281" s="14" t="s">
        <v>1049</v>
      </c>
      <c r="E281" s="14">
        <f xml:space="preserve"> IF($S$278,1,0)</f>
        <v>0</v>
      </c>
      <c r="F281" s="14" t="s">
        <v>1050</v>
      </c>
      <c r="G281" s="14">
        <v>0</v>
      </c>
      <c r="H281" s="14">
        <v>0</v>
      </c>
      <c r="I281" s="14">
        <v>0</v>
      </c>
      <c r="J281" s="14">
        <v>0</v>
      </c>
      <c r="K281" s="14">
        <v>0</v>
      </c>
      <c r="L281" s="14">
        <v>0</v>
      </c>
      <c r="M281" s="14">
        <v>0</v>
      </c>
      <c r="N281" s="14">
        <v>0</v>
      </c>
      <c r="O281" s="14">
        <v>0</v>
      </c>
      <c r="P281" s="14">
        <v>0</v>
      </c>
      <c r="Q281" s="15">
        <v>0</v>
      </c>
      <c r="R281" s="15">
        <v>0</v>
      </c>
      <c r="S281" s="15">
        <v>0</v>
      </c>
    </row>
    <row r="282" spans="1:19" x14ac:dyDescent="0.3">
      <c r="A282" s="10" t="s">
        <v>1051</v>
      </c>
      <c r="B282" s="11" t="s">
        <v>1052</v>
      </c>
      <c r="C282" s="11" t="s">
        <v>34</v>
      </c>
      <c r="D282" s="11" t="s">
        <v>1053</v>
      </c>
      <c r="E282" s="11">
        <f xml:space="preserve"> IF($S$279,1,0)</f>
        <v>0</v>
      </c>
      <c r="F282" s="11" t="s">
        <v>1054</v>
      </c>
      <c r="G282" s="11">
        <v>0</v>
      </c>
      <c r="H282" s="11">
        <v>0</v>
      </c>
      <c r="I282" s="11">
        <v>0</v>
      </c>
      <c r="J282" s="11">
        <v>0</v>
      </c>
      <c r="K282" s="11">
        <v>0</v>
      </c>
      <c r="L282" s="11">
        <v>0</v>
      </c>
      <c r="M282" s="11">
        <v>0</v>
      </c>
      <c r="N282" s="11">
        <v>0</v>
      </c>
      <c r="O282" s="11">
        <v>0</v>
      </c>
      <c r="P282" s="11">
        <v>0</v>
      </c>
      <c r="Q282" s="12">
        <v>0</v>
      </c>
      <c r="R282" s="12">
        <v>0</v>
      </c>
      <c r="S282" s="12">
        <v>0</v>
      </c>
    </row>
    <row r="283" spans="1:19" x14ac:dyDescent="0.3">
      <c r="A283" s="13" t="s">
        <v>1055</v>
      </c>
      <c r="B283" s="14" t="s">
        <v>1056</v>
      </c>
      <c r="C283" s="14" t="s">
        <v>243</v>
      </c>
      <c r="D283" s="14" t="s">
        <v>1057</v>
      </c>
      <c r="E283" s="14">
        <f xml:space="preserve"> IF($S$280,1,0)</f>
        <v>0</v>
      </c>
      <c r="F283" s="14" t="s">
        <v>1058</v>
      </c>
      <c r="G283" s="14">
        <v>0</v>
      </c>
      <c r="H283" s="14">
        <v>0</v>
      </c>
      <c r="I283" s="14">
        <v>0</v>
      </c>
      <c r="J283" s="14">
        <v>0</v>
      </c>
      <c r="K283" s="14">
        <v>0</v>
      </c>
      <c r="L283" s="14">
        <v>0</v>
      </c>
      <c r="M283" s="14">
        <v>0</v>
      </c>
      <c r="N283" s="14">
        <v>0</v>
      </c>
      <c r="O283" s="14">
        <v>0</v>
      </c>
      <c r="P283" s="14">
        <v>0</v>
      </c>
      <c r="Q283" s="15">
        <v>0</v>
      </c>
      <c r="R283" s="15">
        <v>0</v>
      </c>
      <c r="S283" s="15">
        <v>0</v>
      </c>
    </row>
    <row r="284" spans="1:19" x14ac:dyDescent="0.3">
      <c r="A284" s="10" t="s">
        <v>1059</v>
      </c>
      <c r="B284" s="11" t="s">
        <v>1056</v>
      </c>
      <c r="C284" s="11" t="s">
        <v>278</v>
      </c>
      <c r="D284" s="11" t="s">
        <v>1060</v>
      </c>
      <c r="E284" s="11">
        <f xml:space="preserve"> IF($S$281,1,0)</f>
        <v>0</v>
      </c>
      <c r="F284" s="11" t="s">
        <v>1061</v>
      </c>
      <c r="G284" s="11">
        <v>0</v>
      </c>
      <c r="H284" s="11">
        <v>0</v>
      </c>
      <c r="I284" s="11">
        <v>0</v>
      </c>
      <c r="J284" s="11">
        <v>0</v>
      </c>
      <c r="K284" s="11">
        <v>0</v>
      </c>
      <c r="L284" s="11">
        <v>0</v>
      </c>
      <c r="M284" s="11">
        <v>0</v>
      </c>
      <c r="N284" s="11">
        <v>0</v>
      </c>
      <c r="O284" s="11">
        <v>0</v>
      </c>
      <c r="P284" s="11">
        <v>0</v>
      </c>
      <c r="Q284" s="12">
        <v>0</v>
      </c>
      <c r="R284" s="12">
        <v>0</v>
      </c>
      <c r="S284" s="12">
        <v>0</v>
      </c>
    </row>
    <row r="285" spans="1:19" x14ac:dyDescent="0.3">
      <c r="A285" s="13" t="s">
        <v>1062</v>
      </c>
      <c r="B285" s="14" t="s">
        <v>1063</v>
      </c>
      <c r="C285" s="14"/>
      <c r="D285" s="14" t="s">
        <v>1064</v>
      </c>
      <c r="E285" s="14">
        <f xml:space="preserve"> IF($S$282,1,0)</f>
        <v>0</v>
      </c>
      <c r="F285" s="14" t="s">
        <v>1065</v>
      </c>
      <c r="G285" s="14">
        <v>0</v>
      </c>
      <c r="H285" s="14">
        <v>0</v>
      </c>
      <c r="I285" s="14">
        <v>0</v>
      </c>
      <c r="J285" s="14">
        <v>0</v>
      </c>
      <c r="K285" s="14">
        <v>0</v>
      </c>
      <c r="L285" s="14">
        <v>0</v>
      </c>
      <c r="M285" s="14">
        <v>0</v>
      </c>
      <c r="N285" s="14">
        <v>0</v>
      </c>
      <c r="O285" s="14">
        <v>0</v>
      </c>
      <c r="P285" s="14">
        <v>0</v>
      </c>
      <c r="Q285" s="15">
        <v>0</v>
      </c>
      <c r="R285" s="15">
        <v>0</v>
      </c>
      <c r="S285" s="15">
        <v>0</v>
      </c>
    </row>
    <row r="286" spans="1:19" x14ac:dyDescent="0.3">
      <c r="A286" s="10" t="s">
        <v>1066</v>
      </c>
      <c r="B286" s="11" t="s">
        <v>1067</v>
      </c>
      <c r="C286" s="11" t="s">
        <v>202</v>
      </c>
      <c r="D286" s="11" t="s">
        <v>1068</v>
      </c>
      <c r="E286" s="11">
        <f xml:space="preserve"> IF($S$283,1,0)</f>
        <v>0</v>
      </c>
      <c r="F286" s="11" t="s">
        <v>1069</v>
      </c>
      <c r="G286" s="11">
        <v>0</v>
      </c>
      <c r="H286" s="11">
        <v>0</v>
      </c>
      <c r="I286" s="11">
        <v>0</v>
      </c>
      <c r="J286" s="11">
        <v>0</v>
      </c>
      <c r="K286" s="11">
        <v>0</v>
      </c>
      <c r="L286" s="11">
        <v>0</v>
      </c>
      <c r="M286" s="11">
        <v>0</v>
      </c>
      <c r="N286" s="11">
        <v>0</v>
      </c>
      <c r="O286" s="11">
        <v>0</v>
      </c>
      <c r="P286" s="11">
        <v>0</v>
      </c>
      <c r="Q286" s="12">
        <v>0</v>
      </c>
      <c r="R286" s="12">
        <v>0</v>
      </c>
      <c r="S286" s="12">
        <v>0</v>
      </c>
    </row>
    <row r="287" spans="1:19" x14ac:dyDescent="0.3">
      <c r="A287" s="13" t="s">
        <v>1070</v>
      </c>
      <c r="B287" s="14" t="s">
        <v>1071</v>
      </c>
      <c r="C287" s="14"/>
      <c r="D287" s="14" t="s">
        <v>1072</v>
      </c>
      <c r="E287" s="14">
        <f xml:space="preserve"> IF($S$284,1,0)</f>
        <v>0</v>
      </c>
      <c r="F287" s="14" t="s">
        <v>1073</v>
      </c>
      <c r="G287" s="14">
        <v>0</v>
      </c>
      <c r="H287" s="14">
        <v>0</v>
      </c>
      <c r="I287" s="14">
        <v>0</v>
      </c>
      <c r="J287" s="14">
        <v>0</v>
      </c>
      <c r="K287" s="14">
        <v>0</v>
      </c>
      <c r="L287" s="14">
        <v>0</v>
      </c>
      <c r="M287" s="14">
        <v>0</v>
      </c>
      <c r="N287" s="14">
        <v>0</v>
      </c>
      <c r="O287" s="14">
        <v>0</v>
      </c>
      <c r="P287" s="14">
        <v>0</v>
      </c>
      <c r="Q287" s="15">
        <v>0</v>
      </c>
      <c r="R287" s="15">
        <v>0</v>
      </c>
      <c r="S287" s="15">
        <v>0</v>
      </c>
    </row>
    <row r="288" spans="1:19" x14ac:dyDescent="0.3">
      <c r="A288" s="10" t="s">
        <v>1074</v>
      </c>
      <c r="B288" s="11" t="s">
        <v>1071</v>
      </c>
      <c r="C288" s="11"/>
      <c r="D288" s="11" t="s">
        <v>1075</v>
      </c>
      <c r="E288" s="11">
        <f xml:space="preserve"> IF($S$285,1,0)</f>
        <v>0</v>
      </c>
      <c r="F288" s="11" t="s">
        <v>1076</v>
      </c>
      <c r="G288" s="11">
        <v>0</v>
      </c>
      <c r="H288" s="11">
        <v>0</v>
      </c>
      <c r="I288" s="11">
        <v>0</v>
      </c>
      <c r="J288" s="11">
        <v>0</v>
      </c>
      <c r="K288" s="11">
        <v>0</v>
      </c>
      <c r="L288" s="11">
        <v>0</v>
      </c>
      <c r="M288" s="11">
        <v>0</v>
      </c>
      <c r="N288" s="11">
        <v>0</v>
      </c>
      <c r="O288" s="11">
        <v>0</v>
      </c>
      <c r="P288" s="11">
        <v>0</v>
      </c>
      <c r="Q288" s="12">
        <v>0</v>
      </c>
      <c r="R288" s="12">
        <v>0</v>
      </c>
      <c r="S288" s="12">
        <v>0</v>
      </c>
    </row>
    <row r="289" spans="1:19" x14ac:dyDescent="0.3">
      <c r="A289" s="13" t="s">
        <v>1077</v>
      </c>
      <c r="B289" s="14" t="s">
        <v>1078</v>
      </c>
      <c r="C289" s="14"/>
      <c r="D289" s="14" t="s">
        <v>1079</v>
      </c>
      <c r="E289" s="14">
        <f xml:space="preserve"> IF($S$286,1,0)</f>
        <v>0</v>
      </c>
      <c r="F289" s="14" t="s">
        <v>1080</v>
      </c>
      <c r="G289" s="14">
        <v>0</v>
      </c>
      <c r="H289" s="14">
        <v>0</v>
      </c>
      <c r="I289" s="14">
        <v>0</v>
      </c>
      <c r="J289" s="14">
        <v>0</v>
      </c>
      <c r="K289" s="14">
        <v>0</v>
      </c>
      <c r="L289" s="14">
        <v>0</v>
      </c>
      <c r="M289" s="14">
        <v>0</v>
      </c>
      <c r="N289" s="14">
        <v>0</v>
      </c>
      <c r="O289" s="14">
        <v>0</v>
      </c>
      <c r="P289" s="14">
        <v>0</v>
      </c>
      <c r="Q289" s="15">
        <v>0</v>
      </c>
      <c r="R289" s="15">
        <v>0</v>
      </c>
      <c r="S289" s="15">
        <v>0</v>
      </c>
    </row>
    <row r="290" spans="1:19" x14ac:dyDescent="0.3">
      <c r="A290" s="10" t="s">
        <v>1081</v>
      </c>
      <c r="B290" s="11" t="s">
        <v>1082</v>
      </c>
      <c r="C290" s="11"/>
      <c r="D290" s="11" t="s">
        <v>1083</v>
      </c>
      <c r="E290" s="11">
        <f xml:space="preserve"> IF($S$287,1,0)</f>
        <v>0</v>
      </c>
      <c r="F290" s="11" t="s">
        <v>1084</v>
      </c>
      <c r="G290" s="11">
        <v>0</v>
      </c>
      <c r="H290" s="11">
        <v>0</v>
      </c>
      <c r="I290" s="11">
        <v>0</v>
      </c>
      <c r="J290" s="11">
        <v>0</v>
      </c>
      <c r="K290" s="11">
        <v>0</v>
      </c>
      <c r="L290" s="11">
        <v>0</v>
      </c>
      <c r="M290" s="11">
        <v>0</v>
      </c>
      <c r="N290" s="11">
        <v>0</v>
      </c>
      <c r="O290" s="11">
        <v>0</v>
      </c>
      <c r="P290" s="11">
        <v>0</v>
      </c>
      <c r="Q290" s="12">
        <v>0</v>
      </c>
      <c r="R290" s="12">
        <v>0</v>
      </c>
      <c r="S290" s="12">
        <v>0</v>
      </c>
    </row>
    <row r="291" spans="1:19" x14ac:dyDescent="0.3">
      <c r="A291" s="13" t="s">
        <v>1085</v>
      </c>
      <c r="B291" s="14" t="s">
        <v>1082</v>
      </c>
      <c r="C291" s="14"/>
      <c r="D291" s="14" t="s">
        <v>1086</v>
      </c>
      <c r="E291" s="14">
        <f xml:space="preserve"> IF($S$288,1,0)</f>
        <v>0</v>
      </c>
      <c r="F291" s="14" t="s">
        <v>1087</v>
      </c>
      <c r="G291" s="14">
        <v>0</v>
      </c>
      <c r="H291" s="14">
        <v>0</v>
      </c>
      <c r="I291" s="14">
        <v>0</v>
      </c>
      <c r="J291" s="14">
        <v>0</v>
      </c>
      <c r="K291" s="14">
        <v>0</v>
      </c>
      <c r="L291" s="14">
        <v>0</v>
      </c>
      <c r="M291" s="14">
        <v>0</v>
      </c>
      <c r="N291" s="14">
        <v>0</v>
      </c>
      <c r="O291" s="14">
        <v>0</v>
      </c>
      <c r="P291" s="14">
        <v>0</v>
      </c>
      <c r="Q291" s="15">
        <v>0</v>
      </c>
      <c r="R291" s="15">
        <v>0</v>
      </c>
      <c r="S291" s="15">
        <v>0</v>
      </c>
    </row>
    <row r="292" spans="1:19" x14ac:dyDescent="0.3">
      <c r="A292" s="10" t="s">
        <v>1088</v>
      </c>
      <c r="B292" s="11" t="s">
        <v>1082</v>
      </c>
      <c r="C292" s="11" t="s">
        <v>65</v>
      </c>
      <c r="D292" s="11" t="s">
        <v>1089</v>
      </c>
      <c r="E292" s="11">
        <f xml:space="preserve"> IF($S$289,1,0)</f>
        <v>0</v>
      </c>
      <c r="F292" s="11" t="s">
        <v>1090</v>
      </c>
      <c r="G292" s="11">
        <v>0</v>
      </c>
      <c r="H292" s="11">
        <v>0</v>
      </c>
      <c r="I292" s="11">
        <v>0</v>
      </c>
      <c r="J292" s="11">
        <v>0</v>
      </c>
      <c r="K292" s="11">
        <v>0</v>
      </c>
      <c r="L292" s="11">
        <v>0</v>
      </c>
      <c r="M292" s="11">
        <v>0</v>
      </c>
      <c r="N292" s="11">
        <v>0</v>
      </c>
      <c r="O292" s="11">
        <v>0</v>
      </c>
      <c r="P292" s="11">
        <v>0</v>
      </c>
      <c r="Q292" s="12">
        <v>0</v>
      </c>
      <c r="R292" s="12">
        <v>0</v>
      </c>
      <c r="S292" s="12">
        <v>0</v>
      </c>
    </row>
    <row r="293" spans="1:19" x14ac:dyDescent="0.3">
      <c r="A293" s="13" t="s">
        <v>1091</v>
      </c>
      <c r="B293" s="14" t="s">
        <v>1082</v>
      </c>
      <c r="C293" s="14"/>
      <c r="D293" s="14" t="s">
        <v>1092</v>
      </c>
      <c r="E293" s="14">
        <f xml:space="preserve"> IF($S$290,1,0)</f>
        <v>0</v>
      </c>
      <c r="F293" s="14" t="s">
        <v>1093</v>
      </c>
      <c r="G293" s="14">
        <v>0</v>
      </c>
      <c r="H293" s="14">
        <v>0</v>
      </c>
      <c r="I293" s="14">
        <v>0</v>
      </c>
      <c r="J293" s="14">
        <v>0</v>
      </c>
      <c r="K293" s="14">
        <v>0</v>
      </c>
      <c r="L293" s="14">
        <v>0</v>
      </c>
      <c r="M293" s="14">
        <v>0</v>
      </c>
      <c r="N293" s="14">
        <v>0</v>
      </c>
      <c r="O293" s="14">
        <v>0</v>
      </c>
      <c r="P293" s="14">
        <v>0</v>
      </c>
      <c r="Q293" s="15">
        <v>0</v>
      </c>
      <c r="R293" s="15">
        <v>0</v>
      </c>
      <c r="S293" s="15">
        <v>0</v>
      </c>
    </row>
    <row r="294" spans="1:19" x14ac:dyDescent="0.3">
      <c r="A294" s="10" t="s">
        <v>1094</v>
      </c>
      <c r="B294" s="11" t="s">
        <v>1095</v>
      </c>
      <c r="C294" s="11" t="s">
        <v>34</v>
      </c>
      <c r="D294" s="11" t="s">
        <v>1096</v>
      </c>
      <c r="E294" s="11">
        <f xml:space="preserve"> IF($S$291,1,0)</f>
        <v>0</v>
      </c>
      <c r="F294" s="11" t="s">
        <v>1097</v>
      </c>
      <c r="G294" s="11">
        <v>0</v>
      </c>
      <c r="H294" s="11">
        <v>0</v>
      </c>
      <c r="I294" s="11">
        <v>0</v>
      </c>
      <c r="J294" s="11">
        <v>0</v>
      </c>
      <c r="K294" s="11">
        <v>0</v>
      </c>
      <c r="L294" s="11">
        <v>0</v>
      </c>
      <c r="M294" s="11">
        <v>0</v>
      </c>
      <c r="N294" s="11">
        <v>0</v>
      </c>
      <c r="O294" s="11">
        <v>0</v>
      </c>
      <c r="P294" s="11">
        <v>0</v>
      </c>
      <c r="Q294" s="12">
        <v>0</v>
      </c>
      <c r="R294" s="12">
        <v>0</v>
      </c>
      <c r="S294" s="12">
        <v>0</v>
      </c>
    </row>
    <row r="295" spans="1:19" x14ac:dyDescent="0.3">
      <c r="A295" s="13" t="s">
        <v>1098</v>
      </c>
      <c r="B295" s="14" t="s">
        <v>1099</v>
      </c>
      <c r="C295" s="14"/>
      <c r="D295" s="14" t="s">
        <v>1100</v>
      </c>
      <c r="E295" s="14">
        <f xml:space="preserve"> IF($S$292,1,0)</f>
        <v>0</v>
      </c>
      <c r="F295" s="14" t="s">
        <v>1101</v>
      </c>
      <c r="G295" s="14">
        <v>0</v>
      </c>
      <c r="H295" s="14">
        <v>0</v>
      </c>
      <c r="I295" s="14">
        <v>0</v>
      </c>
      <c r="J295" s="14">
        <v>0</v>
      </c>
      <c r="K295" s="14">
        <v>0</v>
      </c>
      <c r="L295" s="14">
        <v>0</v>
      </c>
      <c r="M295" s="14">
        <v>0</v>
      </c>
      <c r="N295" s="14">
        <v>0</v>
      </c>
      <c r="O295" s="14">
        <v>0</v>
      </c>
      <c r="P295" s="14">
        <v>0</v>
      </c>
      <c r="Q295" s="15">
        <v>0</v>
      </c>
      <c r="R295" s="15">
        <v>0</v>
      </c>
      <c r="S295" s="15">
        <v>0</v>
      </c>
    </row>
    <row r="296" spans="1:19" x14ac:dyDescent="0.3">
      <c r="A296" s="10" t="s">
        <v>1102</v>
      </c>
      <c r="B296" s="11" t="s">
        <v>1103</v>
      </c>
      <c r="C296" s="11"/>
      <c r="D296" s="11" t="s">
        <v>1104</v>
      </c>
      <c r="E296" s="11">
        <f xml:space="preserve"> IF($S$293,1,0)</f>
        <v>0</v>
      </c>
      <c r="F296" s="11" t="s">
        <v>1105</v>
      </c>
      <c r="G296" s="11">
        <v>0</v>
      </c>
      <c r="H296" s="11">
        <v>0</v>
      </c>
      <c r="I296" s="11">
        <v>0</v>
      </c>
      <c r="J296" s="11">
        <v>0</v>
      </c>
      <c r="K296" s="11">
        <v>0</v>
      </c>
      <c r="L296" s="11">
        <v>0</v>
      </c>
      <c r="M296" s="11">
        <v>0</v>
      </c>
      <c r="N296" s="11">
        <v>0</v>
      </c>
      <c r="O296" s="11">
        <v>0</v>
      </c>
      <c r="P296" s="11">
        <v>0</v>
      </c>
      <c r="Q296" s="12">
        <v>0</v>
      </c>
      <c r="R296" s="12">
        <v>0</v>
      </c>
      <c r="S296" s="12">
        <v>0</v>
      </c>
    </row>
    <row r="297" spans="1:19" x14ac:dyDescent="0.3">
      <c r="A297" s="13" t="s">
        <v>1106</v>
      </c>
      <c r="B297" s="14" t="s">
        <v>1107</v>
      </c>
      <c r="C297" s="14"/>
      <c r="D297" s="14" t="s">
        <v>1107</v>
      </c>
      <c r="E297" s="14">
        <f xml:space="preserve"> IF($S$294,1,0)</f>
        <v>0</v>
      </c>
      <c r="F297" s="14" t="s">
        <v>1108</v>
      </c>
      <c r="G297" s="14">
        <v>0</v>
      </c>
      <c r="H297" s="14">
        <v>0</v>
      </c>
      <c r="I297" s="14">
        <v>0</v>
      </c>
      <c r="J297" s="14">
        <v>0</v>
      </c>
      <c r="K297" s="14">
        <v>0</v>
      </c>
      <c r="L297" s="14">
        <v>0</v>
      </c>
      <c r="M297" s="14">
        <v>0</v>
      </c>
      <c r="N297" s="14">
        <v>0</v>
      </c>
      <c r="O297" s="14">
        <v>0</v>
      </c>
      <c r="P297" s="14">
        <v>0</v>
      </c>
      <c r="Q297" s="15">
        <v>0</v>
      </c>
      <c r="R297" s="15">
        <v>0</v>
      </c>
      <c r="S297" s="15">
        <v>0</v>
      </c>
    </row>
    <row r="298" spans="1:19" x14ac:dyDescent="0.3">
      <c r="A298" s="10" t="s">
        <v>1109</v>
      </c>
      <c r="B298" s="11" t="s">
        <v>1110</v>
      </c>
      <c r="C298" s="11" t="s">
        <v>34</v>
      </c>
      <c r="D298" s="11" t="s">
        <v>1111</v>
      </c>
      <c r="E298" s="11">
        <f xml:space="preserve"> IF($S$295,1,0)</f>
        <v>0</v>
      </c>
      <c r="F298" s="11" t="s">
        <v>1112</v>
      </c>
      <c r="G298" s="11">
        <v>0</v>
      </c>
      <c r="H298" s="11">
        <v>0</v>
      </c>
      <c r="I298" s="11">
        <v>0</v>
      </c>
      <c r="J298" s="11">
        <v>0</v>
      </c>
      <c r="K298" s="11">
        <v>0</v>
      </c>
      <c r="L298" s="11">
        <v>0</v>
      </c>
      <c r="M298" s="11">
        <v>0</v>
      </c>
      <c r="N298" s="11">
        <v>0</v>
      </c>
      <c r="O298" s="11">
        <v>0</v>
      </c>
      <c r="P298" s="11">
        <v>0</v>
      </c>
      <c r="Q298" s="12">
        <v>0</v>
      </c>
      <c r="R298" s="12">
        <v>0</v>
      </c>
      <c r="S298" s="12">
        <v>0</v>
      </c>
    </row>
    <row r="299" spans="1:19" x14ac:dyDescent="0.3">
      <c r="A299" s="13" t="s">
        <v>1113</v>
      </c>
      <c r="B299" s="14" t="s">
        <v>1114</v>
      </c>
      <c r="C299" s="14" t="s">
        <v>34</v>
      </c>
      <c r="D299" s="14" t="s">
        <v>239</v>
      </c>
      <c r="E299" s="14">
        <f xml:space="preserve"> IF($S$296,1,0)</f>
        <v>0</v>
      </c>
      <c r="F299" s="14" t="s">
        <v>1115</v>
      </c>
      <c r="G299" s="14">
        <v>0</v>
      </c>
      <c r="H299" s="14">
        <v>0</v>
      </c>
      <c r="I299" s="14">
        <v>0</v>
      </c>
      <c r="J299" s="14">
        <v>0</v>
      </c>
      <c r="K299" s="14">
        <v>0</v>
      </c>
      <c r="L299" s="14">
        <v>0</v>
      </c>
      <c r="M299" s="14">
        <v>0</v>
      </c>
      <c r="N299" s="14">
        <v>0</v>
      </c>
      <c r="O299" s="14">
        <v>0</v>
      </c>
      <c r="P299" s="14">
        <v>0</v>
      </c>
      <c r="Q299" s="15">
        <v>0</v>
      </c>
      <c r="R299" s="15">
        <v>0</v>
      </c>
      <c r="S299" s="15">
        <v>0</v>
      </c>
    </row>
    <row r="300" spans="1:19" x14ac:dyDescent="0.3">
      <c r="A300" s="10" t="s">
        <v>1116</v>
      </c>
      <c r="B300" s="11" t="s">
        <v>1117</v>
      </c>
      <c r="C300" s="11"/>
      <c r="D300" s="11" t="s">
        <v>1118</v>
      </c>
      <c r="E300" s="11">
        <f xml:space="preserve"> IF($S$297,1,0)</f>
        <v>0</v>
      </c>
      <c r="F300" s="11" t="s">
        <v>1119</v>
      </c>
      <c r="G300" s="11">
        <v>0</v>
      </c>
      <c r="H300" s="11">
        <v>0</v>
      </c>
      <c r="I300" s="11">
        <v>0</v>
      </c>
      <c r="J300" s="11">
        <v>0</v>
      </c>
      <c r="K300" s="11">
        <v>0</v>
      </c>
      <c r="L300" s="11">
        <v>0</v>
      </c>
      <c r="M300" s="11">
        <v>0</v>
      </c>
      <c r="N300" s="11">
        <v>0</v>
      </c>
      <c r="O300" s="11">
        <v>0</v>
      </c>
      <c r="P300" s="11">
        <v>0</v>
      </c>
      <c r="Q300" s="12">
        <v>0</v>
      </c>
      <c r="R300" s="12">
        <v>0</v>
      </c>
      <c r="S300" s="12">
        <v>0</v>
      </c>
    </row>
    <row r="301" spans="1:19" x14ac:dyDescent="0.3">
      <c r="A301" s="13" t="s">
        <v>1120</v>
      </c>
      <c r="B301" s="14" t="s">
        <v>1117</v>
      </c>
      <c r="C301" s="14"/>
      <c r="D301" s="14" t="s">
        <v>1121</v>
      </c>
      <c r="E301" s="14">
        <f xml:space="preserve"> IF($S$298,1,0)</f>
        <v>0</v>
      </c>
      <c r="F301" s="14" t="s">
        <v>1122</v>
      </c>
      <c r="G301" s="14">
        <v>0</v>
      </c>
      <c r="H301" s="14">
        <v>0</v>
      </c>
      <c r="I301" s="14">
        <v>0</v>
      </c>
      <c r="J301" s="14">
        <v>0</v>
      </c>
      <c r="K301" s="14">
        <v>0</v>
      </c>
      <c r="L301" s="14">
        <v>0</v>
      </c>
      <c r="M301" s="14">
        <v>0</v>
      </c>
      <c r="N301" s="14">
        <v>0</v>
      </c>
      <c r="O301" s="14">
        <v>0</v>
      </c>
      <c r="P301" s="14">
        <v>0</v>
      </c>
      <c r="Q301" s="15">
        <v>0</v>
      </c>
      <c r="R301" s="15">
        <v>0</v>
      </c>
      <c r="S301" s="15">
        <v>0</v>
      </c>
    </row>
    <row r="302" spans="1:19" x14ac:dyDescent="0.3">
      <c r="A302" s="10" t="s">
        <v>1123</v>
      </c>
      <c r="B302" s="11" t="s">
        <v>1117</v>
      </c>
      <c r="C302" s="11"/>
      <c r="D302" s="11" t="s">
        <v>1124</v>
      </c>
      <c r="E302" s="11">
        <f xml:space="preserve"> IF($S$299,1,0)</f>
        <v>0</v>
      </c>
      <c r="F302" s="11" t="s">
        <v>1125</v>
      </c>
      <c r="G302" s="11">
        <v>0</v>
      </c>
      <c r="H302" s="11">
        <v>0</v>
      </c>
      <c r="I302" s="11">
        <v>0</v>
      </c>
      <c r="J302" s="11">
        <v>0</v>
      </c>
      <c r="K302" s="11">
        <v>0</v>
      </c>
      <c r="L302" s="11">
        <v>0</v>
      </c>
      <c r="M302" s="11">
        <v>0</v>
      </c>
      <c r="N302" s="11">
        <v>0</v>
      </c>
      <c r="O302" s="11">
        <v>0</v>
      </c>
      <c r="P302" s="11">
        <v>0</v>
      </c>
      <c r="Q302" s="12">
        <v>0</v>
      </c>
      <c r="R302" s="12">
        <v>0</v>
      </c>
      <c r="S302" s="12">
        <v>0</v>
      </c>
    </row>
    <row r="303" spans="1:19" x14ac:dyDescent="0.3">
      <c r="A303" s="13" t="s">
        <v>1126</v>
      </c>
      <c r="B303" s="14" t="s">
        <v>1117</v>
      </c>
      <c r="C303" s="14"/>
      <c r="D303" s="14" t="s">
        <v>1127</v>
      </c>
      <c r="E303" s="14">
        <f xml:space="preserve"> IF($S$300,1,0)</f>
        <v>0</v>
      </c>
      <c r="F303" s="14" t="s">
        <v>1128</v>
      </c>
      <c r="G303" s="14">
        <v>0</v>
      </c>
      <c r="H303" s="14">
        <v>0</v>
      </c>
      <c r="I303" s="14">
        <v>0</v>
      </c>
      <c r="J303" s="14">
        <v>0</v>
      </c>
      <c r="K303" s="14">
        <v>0</v>
      </c>
      <c r="L303" s="14">
        <v>0</v>
      </c>
      <c r="M303" s="14">
        <v>0</v>
      </c>
      <c r="N303" s="14">
        <v>0</v>
      </c>
      <c r="O303" s="14">
        <v>0</v>
      </c>
      <c r="P303" s="14">
        <v>0</v>
      </c>
      <c r="Q303" s="15">
        <v>0</v>
      </c>
      <c r="R303" s="15">
        <v>0</v>
      </c>
      <c r="S303" s="15">
        <v>0</v>
      </c>
    </row>
    <row r="304" spans="1:19" x14ac:dyDescent="0.3">
      <c r="A304" s="10" t="s">
        <v>1129</v>
      </c>
      <c r="B304" s="11" t="s">
        <v>1130</v>
      </c>
      <c r="C304" s="11" t="s">
        <v>34</v>
      </c>
      <c r="D304" s="11" t="s">
        <v>1131</v>
      </c>
      <c r="E304" s="11">
        <f xml:space="preserve"> IF($S$301,1,0)</f>
        <v>0</v>
      </c>
      <c r="F304" s="11" t="s">
        <v>1132</v>
      </c>
      <c r="G304" s="11">
        <v>0</v>
      </c>
      <c r="H304" s="11">
        <v>0</v>
      </c>
      <c r="I304" s="11">
        <v>0</v>
      </c>
      <c r="J304" s="11">
        <v>0</v>
      </c>
      <c r="K304" s="11">
        <v>0</v>
      </c>
      <c r="L304" s="11">
        <v>0</v>
      </c>
      <c r="M304" s="11">
        <v>0</v>
      </c>
      <c r="N304" s="11">
        <v>0</v>
      </c>
      <c r="O304" s="11">
        <v>0</v>
      </c>
      <c r="P304" s="11">
        <v>0</v>
      </c>
      <c r="Q304" s="12">
        <v>0</v>
      </c>
      <c r="R304" s="12">
        <v>0</v>
      </c>
      <c r="S304" s="12">
        <v>0</v>
      </c>
    </row>
    <row r="305" spans="1:19" x14ac:dyDescent="0.3">
      <c r="A305" s="13" t="s">
        <v>1133</v>
      </c>
      <c r="B305" s="14" t="s">
        <v>1134</v>
      </c>
      <c r="C305" s="14"/>
      <c r="D305" s="14" t="s">
        <v>1135</v>
      </c>
      <c r="E305" s="14">
        <f xml:space="preserve"> IF($S$302,1,0)</f>
        <v>0</v>
      </c>
      <c r="F305" s="14" t="s">
        <v>1136</v>
      </c>
      <c r="G305" s="14">
        <v>0</v>
      </c>
      <c r="H305" s="14">
        <v>0</v>
      </c>
      <c r="I305" s="14">
        <v>0</v>
      </c>
      <c r="J305" s="14">
        <v>0</v>
      </c>
      <c r="K305" s="14">
        <v>0</v>
      </c>
      <c r="L305" s="14">
        <v>0</v>
      </c>
      <c r="M305" s="14">
        <v>0</v>
      </c>
      <c r="N305" s="14">
        <v>0</v>
      </c>
      <c r="O305" s="14">
        <v>0</v>
      </c>
      <c r="P305" s="14">
        <v>0</v>
      </c>
      <c r="Q305" s="15">
        <v>0</v>
      </c>
      <c r="R305" s="15">
        <v>0</v>
      </c>
      <c r="S305" s="15">
        <v>0</v>
      </c>
    </row>
    <row r="306" spans="1:19" x14ac:dyDescent="0.3">
      <c r="A306" s="10" t="s">
        <v>1137</v>
      </c>
      <c r="B306" s="11" t="s">
        <v>1138</v>
      </c>
      <c r="C306" s="11"/>
      <c r="D306" s="11" t="s">
        <v>1139</v>
      </c>
      <c r="E306" s="11">
        <f xml:space="preserve"> IF($S$303,1,0)</f>
        <v>0</v>
      </c>
      <c r="F306" s="11" t="s">
        <v>1140</v>
      </c>
      <c r="G306" s="11">
        <v>0</v>
      </c>
      <c r="H306" s="11">
        <v>0</v>
      </c>
      <c r="I306" s="11">
        <v>0</v>
      </c>
      <c r="J306" s="11">
        <v>0</v>
      </c>
      <c r="K306" s="11">
        <v>0</v>
      </c>
      <c r="L306" s="11">
        <v>0</v>
      </c>
      <c r="M306" s="11">
        <v>0</v>
      </c>
      <c r="N306" s="11">
        <v>0</v>
      </c>
      <c r="O306" s="11">
        <v>0</v>
      </c>
      <c r="P306" s="11">
        <v>0</v>
      </c>
      <c r="Q306" s="12">
        <v>0</v>
      </c>
      <c r="R306" s="12">
        <v>0</v>
      </c>
      <c r="S306" s="12">
        <v>0</v>
      </c>
    </row>
    <row r="307" spans="1:19" x14ac:dyDescent="0.3">
      <c r="A307" s="13" t="s">
        <v>1141</v>
      </c>
      <c r="B307" s="14" t="s">
        <v>1142</v>
      </c>
      <c r="C307" s="14" t="s">
        <v>202</v>
      </c>
      <c r="D307" s="14" t="s">
        <v>442</v>
      </c>
      <c r="E307" s="14">
        <f xml:space="preserve"> IF($S$304,1,0)</f>
        <v>0</v>
      </c>
      <c r="F307" s="14" t="s">
        <v>1143</v>
      </c>
      <c r="G307" s="14">
        <v>0</v>
      </c>
      <c r="H307" s="14">
        <v>0</v>
      </c>
      <c r="I307" s="14">
        <v>0</v>
      </c>
      <c r="J307" s="14">
        <v>0</v>
      </c>
      <c r="K307" s="14">
        <v>0</v>
      </c>
      <c r="L307" s="14">
        <v>0</v>
      </c>
      <c r="M307" s="14">
        <v>0</v>
      </c>
      <c r="N307" s="14">
        <v>0</v>
      </c>
      <c r="O307" s="14">
        <v>0</v>
      </c>
      <c r="P307" s="14">
        <v>0</v>
      </c>
      <c r="Q307" s="15">
        <v>0</v>
      </c>
      <c r="R307" s="15">
        <v>0</v>
      </c>
      <c r="S307" s="15">
        <v>0</v>
      </c>
    </row>
    <row r="308" spans="1:19" x14ac:dyDescent="0.3">
      <c r="A308" s="10" t="s">
        <v>1144</v>
      </c>
      <c r="B308" s="11" t="s">
        <v>1142</v>
      </c>
      <c r="C308" s="11"/>
      <c r="D308" s="11" t="s">
        <v>1145</v>
      </c>
      <c r="E308" s="11">
        <f xml:space="preserve"> IF($S$305,1,0)</f>
        <v>0</v>
      </c>
      <c r="F308" s="11" t="s">
        <v>1146</v>
      </c>
      <c r="G308" s="11">
        <v>0</v>
      </c>
      <c r="H308" s="11">
        <v>0</v>
      </c>
      <c r="I308" s="11">
        <v>0</v>
      </c>
      <c r="J308" s="11">
        <v>0</v>
      </c>
      <c r="K308" s="11">
        <v>0</v>
      </c>
      <c r="L308" s="11">
        <v>0</v>
      </c>
      <c r="M308" s="11">
        <v>0</v>
      </c>
      <c r="N308" s="11">
        <v>0</v>
      </c>
      <c r="O308" s="11">
        <v>0</v>
      </c>
      <c r="P308" s="11">
        <v>0</v>
      </c>
      <c r="Q308" s="12">
        <v>0</v>
      </c>
      <c r="R308" s="12">
        <v>0</v>
      </c>
      <c r="S308" s="12">
        <v>0</v>
      </c>
    </row>
    <row r="309" spans="1:19" x14ac:dyDescent="0.3">
      <c r="A309" s="13" t="s">
        <v>1147</v>
      </c>
      <c r="B309" s="14" t="s">
        <v>1142</v>
      </c>
      <c r="C309" s="14"/>
      <c r="D309" s="14" t="s">
        <v>138</v>
      </c>
      <c r="E309" s="14">
        <f xml:space="preserve"> IF($S$306,1,0)</f>
        <v>0</v>
      </c>
      <c r="F309" s="14" t="s">
        <v>1148</v>
      </c>
      <c r="G309" s="14">
        <v>0</v>
      </c>
      <c r="H309" s="14">
        <v>0</v>
      </c>
      <c r="I309" s="14">
        <v>0</v>
      </c>
      <c r="J309" s="14">
        <v>0</v>
      </c>
      <c r="K309" s="14">
        <v>0</v>
      </c>
      <c r="L309" s="14">
        <v>0</v>
      </c>
      <c r="M309" s="14">
        <v>0</v>
      </c>
      <c r="N309" s="14">
        <v>0</v>
      </c>
      <c r="O309" s="14">
        <v>0</v>
      </c>
      <c r="P309" s="14">
        <v>0</v>
      </c>
      <c r="Q309" s="15">
        <v>0</v>
      </c>
      <c r="R309" s="15">
        <v>0</v>
      </c>
      <c r="S309" s="15">
        <v>0</v>
      </c>
    </row>
    <row r="310" spans="1:19" x14ac:dyDescent="0.3">
      <c r="A310" s="10" t="s">
        <v>1149</v>
      </c>
      <c r="B310" s="11" t="s">
        <v>1142</v>
      </c>
      <c r="C310" s="11"/>
      <c r="D310" s="11" t="s">
        <v>1150</v>
      </c>
      <c r="E310" s="11">
        <f xml:space="preserve"> IF($S$307,1,0)</f>
        <v>0</v>
      </c>
      <c r="F310" s="11" t="s">
        <v>1151</v>
      </c>
      <c r="G310" s="11">
        <v>0</v>
      </c>
      <c r="H310" s="11">
        <v>0</v>
      </c>
      <c r="I310" s="11">
        <v>0</v>
      </c>
      <c r="J310" s="11">
        <v>0</v>
      </c>
      <c r="K310" s="11">
        <v>0</v>
      </c>
      <c r="L310" s="11">
        <v>0</v>
      </c>
      <c r="M310" s="11">
        <v>0</v>
      </c>
      <c r="N310" s="11">
        <v>0</v>
      </c>
      <c r="O310" s="11">
        <v>0</v>
      </c>
      <c r="P310" s="11">
        <v>0</v>
      </c>
      <c r="Q310" s="12">
        <v>0</v>
      </c>
      <c r="R310" s="12">
        <v>0</v>
      </c>
      <c r="S310" s="12">
        <v>0</v>
      </c>
    </row>
    <row r="311" spans="1:19" x14ac:dyDescent="0.3">
      <c r="A311" s="13" t="s">
        <v>1152</v>
      </c>
      <c r="B311" s="14" t="s">
        <v>1142</v>
      </c>
      <c r="C311" s="14"/>
      <c r="D311" s="14" t="s">
        <v>1153</v>
      </c>
      <c r="E311" s="14">
        <f xml:space="preserve"> IF($S$308,1,0)</f>
        <v>0</v>
      </c>
      <c r="F311" s="14" t="s">
        <v>1154</v>
      </c>
      <c r="G311" s="14">
        <v>0</v>
      </c>
      <c r="H311" s="14">
        <v>0</v>
      </c>
      <c r="I311" s="14">
        <v>0</v>
      </c>
      <c r="J311" s="14">
        <v>0</v>
      </c>
      <c r="K311" s="14">
        <v>0</v>
      </c>
      <c r="L311" s="14">
        <v>0</v>
      </c>
      <c r="M311" s="14">
        <v>0</v>
      </c>
      <c r="N311" s="14">
        <v>0</v>
      </c>
      <c r="O311" s="14">
        <v>0</v>
      </c>
      <c r="P311" s="14">
        <v>0</v>
      </c>
      <c r="Q311" s="15">
        <v>0</v>
      </c>
      <c r="R311" s="15">
        <v>0</v>
      </c>
      <c r="S311" s="15">
        <v>0</v>
      </c>
    </row>
    <row r="312" spans="1:19" x14ac:dyDescent="0.3">
      <c r="A312" s="13" t="s">
        <v>1159</v>
      </c>
      <c r="B312" s="14" t="s">
        <v>1160</v>
      </c>
      <c r="C312" s="14"/>
      <c r="D312" s="14" t="s">
        <v>1161</v>
      </c>
      <c r="E312" s="14">
        <f xml:space="preserve"> IF($S$310,1,0)</f>
        <v>0</v>
      </c>
      <c r="F312" s="14" t="s">
        <v>1162</v>
      </c>
      <c r="G312" s="14">
        <v>0</v>
      </c>
      <c r="H312" s="14">
        <v>0</v>
      </c>
      <c r="I312" s="14">
        <v>0</v>
      </c>
      <c r="J312" s="14">
        <v>0</v>
      </c>
      <c r="K312" s="14">
        <v>0</v>
      </c>
      <c r="L312" s="14">
        <v>0</v>
      </c>
      <c r="M312" s="14">
        <v>0</v>
      </c>
      <c r="N312" s="14">
        <v>0</v>
      </c>
      <c r="O312" s="14">
        <v>0</v>
      </c>
      <c r="P312" s="14">
        <v>0</v>
      </c>
      <c r="Q312" s="15">
        <v>0</v>
      </c>
      <c r="R312" s="15">
        <v>0</v>
      </c>
      <c r="S312" s="15">
        <v>0</v>
      </c>
    </row>
    <row r="313" spans="1:19" x14ac:dyDescent="0.3">
      <c r="A313" s="10" t="s">
        <v>1163</v>
      </c>
      <c r="B313" s="11" t="s">
        <v>1160</v>
      </c>
      <c r="C313" s="11"/>
      <c r="D313" s="11" t="s">
        <v>1164</v>
      </c>
      <c r="E313" s="11">
        <f xml:space="preserve"> IF($S$311,1,0)</f>
        <v>0</v>
      </c>
      <c r="F313" s="11" t="s">
        <v>1165</v>
      </c>
      <c r="G313" s="11">
        <v>0</v>
      </c>
      <c r="H313" s="11">
        <v>0</v>
      </c>
      <c r="I313" s="11">
        <v>0</v>
      </c>
      <c r="J313" s="11">
        <v>0</v>
      </c>
      <c r="K313" s="11">
        <v>0</v>
      </c>
      <c r="L313" s="11">
        <v>0</v>
      </c>
      <c r="M313" s="11">
        <v>0</v>
      </c>
      <c r="N313" s="11">
        <v>0</v>
      </c>
      <c r="O313" s="11">
        <v>0</v>
      </c>
      <c r="P313" s="11">
        <v>0</v>
      </c>
      <c r="Q313" s="12">
        <v>0</v>
      </c>
      <c r="R313" s="12">
        <v>0</v>
      </c>
      <c r="S313" s="12">
        <v>0</v>
      </c>
    </row>
    <row r="314" spans="1:19" x14ac:dyDescent="0.3">
      <c r="A314" s="13" t="s">
        <v>1166</v>
      </c>
      <c r="B314" s="14" t="s">
        <v>1160</v>
      </c>
      <c r="C314" s="14" t="s">
        <v>243</v>
      </c>
      <c r="D314" s="14" t="s">
        <v>1167</v>
      </c>
      <c r="E314" s="14">
        <f xml:space="preserve"> IF($S$312,1,0)</f>
        <v>0</v>
      </c>
      <c r="F314" s="14" t="s">
        <v>1168</v>
      </c>
      <c r="G314" s="14">
        <v>0</v>
      </c>
      <c r="H314" s="14">
        <v>0</v>
      </c>
      <c r="I314" s="14">
        <v>0</v>
      </c>
      <c r="J314" s="14">
        <v>0</v>
      </c>
      <c r="K314" s="14">
        <v>0</v>
      </c>
      <c r="L314" s="14">
        <v>0</v>
      </c>
      <c r="M314" s="14">
        <v>0</v>
      </c>
      <c r="N314" s="14">
        <v>0</v>
      </c>
      <c r="O314" s="14">
        <v>0</v>
      </c>
      <c r="P314" s="14">
        <v>0</v>
      </c>
      <c r="Q314" s="15">
        <v>0</v>
      </c>
      <c r="R314" s="15">
        <v>0</v>
      </c>
      <c r="S314" s="15">
        <v>0</v>
      </c>
    </row>
    <row r="315" spans="1:19" x14ac:dyDescent="0.3">
      <c r="A315" s="10" t="s">
        <v>1169</v>
      </c>
      <c r="B315" s="11" t="s">
        <v>1170</v>
      </c>
      <c r="C315" s="11"/>
      <c r="D315" s="11" t="s">
        <v>1171</v>
      </c>
      <c r="E315" s="11">
        <f xml:space="preserve"> IF($S$313,1,0)</f>
        <v>0</v>
      </c>
      <c r="F315" s="11" t="s">
        <v>1172</v>
      </c>
      <c r="G315" s="11">
        <v>0</v>
      </c>
      <c r="H315" s="11">
        <v>0</v>
      </c>
      <c r="I315" s="11">
        <v>0</v>
      </c>
      <c r="J315" s="11">
        <v>0</v>
      </c>
      <c r="K315" s="11">
        <v>0</v>
      </c>
      <c r="L315" s="11">
        <v>0</v>
      </c>
      <c r="M315" s="11">
        <v>0</v>
      </c>
      <c r="N315" s="11">
        <v>0</v>
      </c>
      <c r="O315" s="11">
        <v>0</v>
      </c>
      <c r="P315" s="11">
        <v>0</v>
      </c>
      <c r="Q315" s="12">
        <v>0</v>
      </c>
      <c r="R315" s="12">
        <v>0</v>
      </c>
      <c r="S315" s="12">
        <v>0</v>
      </c>
    </row>
    <row r="316" spans="1:19" x14ac:dyDescent="0.3">
      <c r="A316" s="13" t="s">
        <v>1173</v>
      </c>
      <c r="B316" s="14" t="s">
        <v>1174</v>
      </c>
      <c r="C316" s="14"/>
      <c r="D316" s="14" t="s">
        <v>1175</v>
      </c>
      <c r="E316" s="14">
        <f xml:space="preserve"> IF($S$314,1,0)</f>
        <v>0</v>
      </c>
      <c r="F316" s="14" t="s">
        <v>1176</v>
      </c>
      <c r="G316" s="14">
        <v>0</v>
      </c>
      <c r="H316" s="14">
        <v>0</v>
      </c>
      <c r="I316" s="14">
        <v>0</v>
      </c>
      <c r="J316" s="14">
        <v>0</v>
      </c>
      <c r="K316" s="14">
        <v>0</v>
      </c>
      <c r="L316" s="14">
        <v>0</v>
      </c>
      <c r="M316" s="14">
        <v>0</v>
      </c>
      <c r="N316" s="14">
        <v>0</v>
      </c>
      <c r="O316" s="14">
        <v>0</v>
      </c>
      <c r="P316" s="14">
        <v>0</v>
      </c>
      <c r="Q316" s="15">
        <v>0</v>
      </c>
      <c r="R316" s="15">
        <v>0</v>
      </c>
      <c r="S316" s="15">
        <v>0</v>
      </c>
    </row>
    <row r="317" spans="1:19" x14ac:dyDescent="0.3">
      <c r="A317" s="10" t="s">
        <v>1177</v>
      </c>
      <c r="B317" s="11" t="s">
        <v>1174</v>
      </c>
      <c r="C317" s="11" t="s">
        <v>65</v>
      </c>
      <c r="D317" s="11" t="s">
        <v>1178</v>
      </c>
      <c r="E317" s="11">
        <f xml:space="preserve"> IF($S$315,1,0)</f>
        <v>0</v>
      </c>
      <c r="F317" s="11" t="s">
        <v>1179</v>
      </c>
      <c r="G317" s="11">
        <v>0</v>
      </c>
      <c r="H317" s="11">
        <v>0</v>
      </c>
      <c r="I317" s="11">
        <v>0</v>
      </c>
      <c r="J317" s="11">
        <v>0</v>
      </c>
      <c r="K317" s="11">
        <v>0</v>
      </c>
      <c r="L317" s="11">
        <v>0</v>
      </c>
      <c r="M317" s="11">
        <v>0</v>
      </c>
      <c r="N317" s="11">
        <v>0</v>
      </c>
      <c r="O317" s="11">
        <v>0</v>
      </c>
      <c r="P317" s="11">
        <v>0</v>
      </c>
      <c r="Q317" s="12">
        <v>0</v>
      </c>
      <c r="R317" s="12">
        <v>0</v>
      </c>
      <c r="S317" s="12">
        <v>0</v>
      </c>
    </row>
    <row r="318" spans="1:19" x14ac:dyDescent="0.3">
      <c r="A318" s="13" t="s">
        <v>1180</v>
      </c>
      <c r="B318" s="14" t="s">
        <v>1181</v>
      </c>
      <c r="C318" s="14"/>
      <c r="D318" s="14" t="s">
        <v>1182</v>
      </c>
      <c r="E318" s="14">
        <f xml:space="preserve"> IF($S$316,1,0)</f>
        <v>0</v>
      </c>
      <c r="F318" s="14" t="s">
        <v>1183</v>
      </c>
      <c r="G318" s="14">
        <v>0</v>
      </c>
      <c r="H318" s="14">
        <v>0</v>
      </c>
      <c r="I318" s="14">
        <v>0</v>
      </c>
      <c r="J318" s="14">
        <v>0</v>
      </c>
      <c r="K318" s="14">
        <v>0</v>
      </c>
      <c r="L318" s="14">
        <v>0</v>
      </c>
      <c r="M318" s="14">
        <v>0</v>
      </c>
      <c r="N318" s="14">
        <v>0</v>
      </c>
      <c r="O318" s="14">
        <v>0</v>
      </c>
      <c r="P318" s="14">
        <v>0</v>
      </c>
      <c r="Q318" s="15">
        <v>0</v>
      </c>
      <c r="R318" s="15">
        <v>0</v>
      </c>
      <c r="S318" s="15">
        <v>0</v>
      </c>
    </row>
    <row r="319" spans="1:19" x14ac:dyDescent="0.3">
      <c r="A319" s="10" t="s">
        <v>1184</v>
      </c>
      <c r="B319" s="11" t="s">
        <v>1185</v>
      </c>
      <c r="C319" s="11" t="s">
        <v>65</v>
      </c>
      <c r="D319" s="11" t="s">
        <v>1186</v>
      </c>
      <c r="E319" s="11">
        <f xml:space="preserve"> IF($S$317,1,0)</f>
        <v>0</v>
      </c>
      <c r="F319" s="11" t="s">
        <v>1187</v>
      </c>
      <c r="G319" s="11">
        <v>0</v>
      </c>
      <c r="H319" s="11">
        <v>0</v>
      </c>
      <c r="I319" s="11">
        <v>0</v>
      </c>
      <c r="J319" s="11">
        <v>0</v>
      </c>
      <c r="K319" s="11">
        <v>0</v>
      </c>
      <c r="L319" s="11">
        <v>0</v>
      </c>
      <c r="M319" s="11">
        <v>0</v>
      </c>
      <c r="N319" s="11">
        <v>0</v>
      </c>
      <c r="O319" s="11">
        <v>0</v>
      </c>
      <c r="P319" s="11">
        <v>0</v>
      </c>
      <c r="Q319" s="12">
        <v>0</v>
      </c>
      <c r="R319" s="12">
        <v>0</v>
      </c>
      <c r="S319" s="12">
        <v>0</v>
      </c>
    </row>
    <row r="320" spans="1:19" x14ac:dyDescent="0.3">
      <c r="A320" s="13" t="s">
        <v>1188</v>
      </c>
      <c r="B320" s="14" t="s">
        <v>1189</v>
      </c>
      <c r="C320" s="14"/>
      <c r="D320" s="14" t="s">
        <v>1190</v>
      </c>
      <c r="E320" s="14">
        <f xml:space="preserve"> IF($S$318,1,0)</f>
        <v>0</v>
      </c>
      <c r="F320" s="14" t="s">
        <v>1191</v>
      </c>
      <c r="G320" s="14">
        <v>0</v>
      </c>
      <c r="H320" s="14">
        <v>0</v>
      </c>
      <c r="I320" s="14">
        <v>0</v>
      </c>
      <c r="J320" s="14">
        <v>0</v>
      </c>
      <c r="K320" s="14">
        <v>0</v>
      </c>
      <c r="L320" s="14">
        <v>0</v>
      </c>
      <c r="M320" s="14">
        <v>0</v>
      </c>
      <c r="N320" s="14">
        <v>0</v>
      </c>
      <c r="O320" s="14">
        <v>0</v>
      </c>
      <c r="P320" s="14">
        <v>0</v>
      </c>
      <c r="Q320" s="15">
        <v>0</v>
      </c>
      <c r="R320" s="15">
        <v>0</v>
      </c>
      <c r="S320" s="15">
        <v>0</v>
      </c>
    </row>
    <row r="321" spans="1:19" x14ac:dyDescent="0.3">
      <c r="A321" s="13" t="s">
        <v>1196</v>
      </c>
      <c r="B321" s="14" t="s">
        <v>1197</v>
      </c>
      <c r="C321" s="14"/>
      <c r="D321" s="14" t="s">
        <v>1198</v>
      </c>
      <c r="E321" s="14">
        <f xml:space="preserve"> IF($S$320,1,0)</f>
        <v>0</v>
      </c>
      <c r="F321" s="14" t="s">
        <v>1199</v>
      </c>
      <c r="G321" s="14">
        <v>0</v>
      </c>
      <c r="H321" s="14">
        <v>0</v>
      </c>
      <c r="I321" s="14">
        <v>0</v>
      </c>
      <c r="J321" s="14">
        <v>0</v>
      </c>
      <c r="K321" s="14">
        <v>0</v>
      </c>
      <c r="L321" s="14">
        <v>0</v>
      </c>
      <c r="M321" s="14">
        <v>0</v>
      </c>
      <c r="N321" s="14">
        <v>0</v>
      </c>
      <c r="O321" s="14">
        <v>0</v>
      </c>
      <c r="P321" s="14">
        <v>0</v>
      </c>
      <c r="Q321" s="15">
        <v>0</v>
      </c>
      <c r="R321" s="15">
        <v>0</v>
      </c>
      <c r="S321" s="15">
        <v>0</v>
      </c>
    </row>
    <row r="322" spans="1:19" x14ac:dyDescent="0.3">
      <c r="A322" s="10" t="s">
        <v>1200</v>
      </c>
      <c r="B322" s="11" t="s">
        <v>1201</v>
      </c>
      <c r="C322" s="11"/>
      <c r="D322" s="11" t="s">
        <v>1202</v>
      </c>
      <c r="E322" s="11">
        <f xml:space="preserve"> IF($S$321,1,0)</f>
        <v>0</v>
      </c>
      <c r="F322" s="11" t="s">
        <v>1203</v>
      </c>
      <c r="G322" s="11">
        <v>0</v>
      </c>
      <c r="H322" s="11">
        <v>0</v>
      </c>
      <c r="I322" s="11">
        <v>0</v>
      </c>
      <c r="J322" s="11">
        <v>0</v>
      </c>
      <c r="K322" s="11">
        <v>0</v>
      </c>
      <c r="L322" s="11">
        <v>0</v>
      </c>
      <c r="M322" s="11">
        <v>0</v>
      </c>
      <c r="N322" s="11">
        <v>0</v>
      </c>
      <c r="O322" s="11">
        <v>0</v>
      </c>
      <c r="P322" s="11">
        <v>0</v>
      </c>
      <c r="Q322" s="12">
        <v>0</v>
      </c>
      <c r="R322" s="12">
        <v>0</v>
      </c>
      <c r="S322" s="12">
        <v>0</v>
      </c>
    </row>
    <row r="323" spans="1:19" x14ac:dyDescent="0.3">
      <c r="A323" s="13" t="s">
        <v>1204</v>
      </c>
      <c r="B323" s="14" t="s">
        <v>1205</v>
      </c>
      <c r="C323" s="14"/>
      <c r="D323" s="14" t="s">
        <v>1206</v>
      </c>
      <c r="E323" s="14">
        <f xml:space="preserve"> IF($S$322,1,0)</f>
        <v>0</v>
      </c>
      <c r="F323" s="14" t="s">
        <v>1207</v>
      </c>
      <c r="G323" s="14">
        <v>0</v>
      </c>
      <c r="H323" s="14">
        <v>0</v>
      </c>
      <c r="I323" s="14">
        <v>0</v>
      </c>
      <c r="J323" s="14">
        <v>0</v>
      </c>
      <c r="K323" s="14">
        <v>0</v>
      </c>
      <c r="L323" s="14">
        <v>0</v>
      </c>
      <c r="M323" s="14">
        <v>0</v>
      </c>
      <c r="N323" s="14">
        <v>0</v>
      </c>
      <c r="O323" s="14">
        <v>0</v>
      </c>
      <c r="P323" s="14">
        <v>0</v>
      </c>
      <c r="Q323" s="15">
        <v>0</v>
      </c>
      <c r="R323" s="15">
        <v>0</v>
      </c>
      <c r="S323" s="15">
        <v>0</v>
      </c>
    </row>
    <row r="324" spans="1:19" x14ac:dyDescent="0.3">
      <c r="A324" s="10" t="s">
        <v>1208</v>
      </c>
      <c r="B324" s="11" t="s">
        <v>1205</v>
      </c>
      <c r="C324" s="11"/>
      <c r="D324" s="11" t="s">
        <v>1209</v>
      </c>
      <c r="E324" s="11">
        <f xml:space="preserve"> IF($S$323,1,0)</f>
        <v>0</v>
      </c>
      <c r="F324" s="11" t="s">
        <v>1210</v>
      </c>
      <c r="G324" s="11">
        <v>0</v>
      </c>
      <c r="H324" s="11">
        <v>0</v>
      </c>
      <c r="I324" s="11">
        <v>0</v>
      </c>
      <c r="J324" s="11">
        <v>0</v>
      </c>
      <c r="K324" s="11">
        <v>0</v>
      </c>
      <c r="L324" s="11">
        <v>0</v>
      </c>
      <c r="M324" s="11">
        <v>0</v>
      </c>
      <c r="N324" s="11">
        <v>0</v>
      </c>
      <c r="O324" s="11">
        <v>0</v>
      </c>
      <c r="P324" s="11">
        <v>0</v>
      </c>
      <c r="Q324" s="12">
        <v>0</v>
      </c>
      <c r="R324" s="12">
        <v>0</v>
      </c>
      <c r="S324" s="12">
        <v>0</v>
      </c>
    </row>
    <row r="325" spans="1:19" x14ac:dyDescent="0.3">
      <c r="A325" s="13" t="s">
        <v>1211</v>
      </c>
      <c r="B325" s="14" t="s">
        <v>1212</v>
      </c>
      <c r="C325" s="14"/>
      <c r="D325" s="14" t="s">
        <v>670</v>
      </c>
      <c r="E325" s="14">
        <f xml:space="preserve"> IF($S$324,1,0)</f>
        <v>0</v>
      </c>
      <c r="F325" s="14" t="s">
        <v>1213</v>
      </c>
      <c r="G325" s="14">
        <v>0</v>
      </c>
      <c r="H325" s="14">
        <v>0</v>
      </c>
      <c r="I325" s="14">
        <v>0</v>
      </c>
      <c r="J325" s="14">
        <v>0</v>
      </c>
      <c r="K325" s="14">
        <v>0</v>
      </c>
      <c r="L325" s="14">
        <v>0</v>
      </c>
      <c r="M325" s="14">
        <v>0</v>
      </c>
      <c r="N325" s="14">
        <v>0</v>
      </c>
      <c r="O325" s="14">
        <v>0</v>
      </c>
      <c r="P325" s="14">
        <v>0</v>
      </c>
      <c r="Q325" s="15">
        <v>0</v>
      </c>
      <c r="R325" s="15">
        <v>0</v>
      </c>
      <c r="S325" s="15">
        <v>0</v>
      </c>
    </row>
    <row r="326" spans="1:19" x14ac:dyDescent="0.3">
      <c r="A326" s="13" t="s">
        <v>1218</v>
      </c>
      <c r="B326" s="14" t="s">
        <v>1219</v>
      </c>
      <c r="C326" s="14" t="s">
        <v>202</v>
      </c>
      <c r="D326" s="14" t="s">
        <v>1068</v>
      </c>
      <c r="E326" s="14">
        <f xml:space="preserve"> IF($S$326,1,0)</f>
        <v>0</v>
      </c>
      <c r="F326" s="14" t="s">
        <v>1220</v>
      </c>
      <c r="G326" s="14">
        <v>0</v>
      </c>
      <c r="H326" s="14">
        <v>0</v>
      </c>
      <c r="I326" s="14">
        <v>0</v>
      </c>
      <c r="J326" s="14">
        <v>0</v>
      </c>
      <c r="K326" s="14">
        <v>0</v>
      </c>
      <c r="L326" s="14">
        <v>0</v>
      </c>
      <c r="M326" s="14">
        <v>0</v>
      </c>
      <c r="N326" s="14">
        <v>0</v>
      </c>
      <c r="O326" s="14">
        <v>0</v>
      </c>
      <c r="P326" s="14">
        <v>0</v>
      </c>
      <c r="Q326" s="15">
        <v>0</v>
      </c>
      <c r="R326" s="15">
        <v>0</v>
      </c>
      <c r="S326" s="15">
        <v>0</v>
      </c>
    </row>
    <row r="327" spans="1:19" x14ac:dyDescent="0.3">
      <c r="A327" s="10" t="s">
        <v>1221</v>
      </c>
      <c r="B327" s="11" t="s">
        <v>1222</v>
      </c>
      <c r="C327" s="11"/>
      <c r="D327" s="11" t="s">
        <v>1223</v>
      </c>
      <c r="E327" s="11">
        <f xml:space="preserve"> IF($S$327,1,0)</f>
        <v>0</v>
      </c>
      <c r="F327" s="11" t="s">
        <v>1224</v>
      </c>
      <c r="G327" s="11">
        <v>0</v>
      </c>
      <c r="H327" s="11">
        <v>0</v>
      </c>
      <c r="I327" s="11">
        <v>0</v>
      </c>
      <c r="J327" s="11">
        <v>0</v>
      </c>
      <c r="K327" s="11">
        <v>0</v>
      </c>
      <c r="L327" s="11">
        <v>0</v>
      </c>
      <c r="M327" s="11">
        <v>0</v>
      </c>
      <c r="N327" s="11">
        <v>0</v>
      </c>
      <c r="O327" s="11">
        <v>0</v>
      </c>
      <c r="P327" s="11">
        <v>0</v>
      </c>
      <c r="Q327" s="12">
        <v>0</v>
      </c>
      <c r="R327" s="12">
        <v>0</v>
      </c>
      <c r="S327" s="12">
        <v>0</v>
      </c>
    </row>
    <row r="328" spans="1:19" x14ac:dyDescent="0.3">
      <c r="A328" s="13" t="s">
        <v>1225</v>
      </c>
      <c r="B328" s="14" t="s">
        <v>1226</v>
      </c>
      <c r="C328" s="14" t="s">
        <v>34</v>
      </c>
      <c r="D328" s="14" t="s">
        <v>1227</v>
      </c>
      <c r="E328" s="14">
        <f xml:space="preserve"> IF($S$328,1,0)</f>
        <v>0</v>
      </c>
      <c r="F328" s="14" t="s">
        <v>1228</v>
      </c>
      <c r="G328" s="14">
        <v>0</v>
      </c>
      <c r="H328" s="14">
        <v>0</v>
      </c>
      <c r="I328" s="14">
        <v>0</v>
      </c>
      <c r="J328" s="14">
        <v>0</v>
      </c>
      <c r="K328" s="14">
        <v>0</v>
      </c>
      <c r="L328" s="14">
        <v>0</v>
      </c>
      <c r="M328" s="14">
        <v>0</v>
      </c>
      <c r="N328" s="14">
        <v>0</v>
      </c>
      <c r="O328" s="14">
        <v>0</v>
      </c>
      <c r="P328" s="14">
        <v>0</v>
      </c>
      <c r="Q328" s="15">
        <v>0</v>
      </c>
      <c r="R328" s="15">
        <v>0</v>
      </c>
      <c r="S328" s="15">
        <v>0</v>
      </c>
    </row>
    <row r="329" spans="1:19" x14ac:dyDescent="0.3">
      <c r="A329" s="10" t="s">
        <v>1229</v>
      </c>
      <c r="B329" s="11" t="s">
        <v>1230</v>
      </c>
      <c r="C329" s="11"/>
      <c r="D329" s="11" t="s">
        <v>1231</v>
      </c>
      <c r="E329" s="11">
        <f xml:space="preserve"> IF($S$329,1,0)</f>
        <v>0</v>
      </c>
      <c r="F329" s="11" t="s">
        <v>1232</v>
      </c>
      <c r="G329" s="11">
        <v>0</v>
      </c>
      <c r="H329" s="11">
        <v>0</v>
      </c>
      <c r="I329" s="11">
        <v>0</v>
      </c>
      <c r="J329" s="11">
        <v>0</v>
      </c>
      <c r="K329" s="11">
        <v>0</v>
      </c>
      <c r="L329" s="11">
        <v>0</v>
      </c>
      <c r="M329" s="11">
        <v>0</v>
      </c>
      <c r="N329" s="11">
        <v>0</v>
      </c>
      <c r="O329" s="11">
        <v>0</v>
      </c>
      <c r="P329" s="11">
        <v>0</v>
      </c>
      <c r="Q329" s="12">
        <v>0</v>
      </c>
      <c r="R329" s="12">
        <v>0</v>
      </c>
      <c r="S329" s="12">
        <v>0</v>
      </c>
    </row>
    <row r="330" spans="1:19" x14ac:dyDescent="0.3">
      <c r="A330" s="13" t="s">
        <v>1233</v>
      </c>
      <c r="B330" s="14" t="s">
        <v>1230</v>
      </c>
      <c r="C330" s="14"/>
      <c r="D330" s="14" t="s">
        <v>1234</v>
      </c>
      <c r="E330" s="14">
        <f xml:space="preserve"> IF($S$330,1,0)</f>
        <v>0</v>
      </c>
      <c r="F330" s="14" t="s">
        <v>1235</v>
      </c>
      <c r="G330" s="14">
        <v>0</v>
      </c>
      <c r="H330" s="14">
        <v>0</v>
      </c>
      <c r="I330" s="14">
        <v>0</v>
      </c>
      <c r="J330" s="14">
        <v>0</v>
      </c>
      <c r="K330" s="14">
        <v>0</v>
      </c>
      <c r="L330" s="14">
        <v>0</v>
      </c>
      <c r="M330" s="14">
        <v>0</v>
      </c>
      <c r="N330" s="14">
        <v>0</v>
      </c>
      <c r="O330" s="14">
        <v>0</v>
      </c>
      <c r="P330" s="14">
        <v>0</v>
      </c>
      <c r="Q330" s="15">
        <v>0</v>
      </c>
      <c r="R330" s="15">
        <v>0</v>
      </c>
      <c r="S330" s="15">
        <v>0</v>
      </c>
    </row>
    <row r="331" spans="1:19" x14ac:dyDescent="0.3">
      <c r="A331" s="10" t="s">
        <v>1236</v>
      </c>
      <c r="B331" s="11" t="s">
        <v>1237</v>
      </c>
      <c r="C331" s="11"/>
      <c r="D331" s="11" t="s">
        <v>1237</v>
      </c>
      <c r="E331" s="11">
        <f xml:space="preserve"> IF($S$331,1,0)</f>
        <v>0</v>
      </c>
      <c r="F331" s="11" t="s">
        <v>1238</v>
      </c>
      <c r="G331" s="11">
        <v>0</v>
      </c>
      <c r="H331" s="11">
        <v>0</v>
      </c>
      <c r="I331" s="11">
        <v>0</v>
      </c>
      <c r="J331" s="11">
        <v>0</v>
      </c>
      <c r="K331" s="11">
        <v>0</v>
      </c>
      <c r="L331" s="11">
        <v>0</v>
      </c>
      <c r="M331" s="11">
        <v>0</v>
      </c>
      <c r="N331" s="11">
        <v>0</v>
      </c>
      <c r="O331" s="11">
        <v>0</v>
      </c>
      <c r="P331" s="11">
        <v>0</v>
      </c>
      <c r="Q331" s="12">
        <v>0</v>
      </c>
      <c r="R331" s="12">
        <v>0</v>
      </c>
      <c r="S331" s="12">
        <v>0</v>
      </c>
    </row>
    <row r="333" spans="1:19" ht="15" thickBot="1" x14ac:dyDescent="0.35">
      <c r="E333" s="5" t="s">
        <v>18</v>
      </c>
      <c r="F333" s="6" t="s">
        <v>19</v>
      </c>
      <c r="G333" s="6" t="s">
        <v>4</v>
      </c>
      <c r="H333" s="6" t="s">
        <v>5</v>
      </c>
      <c r="I333" s="6" t="s">
        <v>6</v>
      </c>
      <c r="J333" s="6" t="s">
        <v>7</v>
      </c>
      <c r="K333" s="6" t="s">
        <v>8</v>
      </c>
      <c r="L333" s="6" t="s">
        <v>9</v>
      </c>
      <c r="M333" s="6" t="s">
        <v>10</v>
      </c>
      <c r="N333" s="6" t="s">
        <v>11</v>
      </c>
      <c r="O333" s="6" t="s">
        <v>12</v>
      </c>
      <c r="P333" s="6" t="s">
        <v>13</v>
      </c>
      <c r="Q333" s="6" t="s">
        <v>23</v>
      </c>
      <c r="R333" s="6" t="s">
        <v>26</v>
      </c>
      <c r="S333" s="6" t="s">
        <v>25</v>
      </c>
    </row>
    <row r="334" spans="1:19" ht="15" thickTop="1" x14ac:dyDescent="0.3">
      <c r="E334" s="7">
        <f xml:space="preserve"> IF($S$334,1,0)</f>
        <v>0</v>
      </c>
      <c r="F334" s="8" t="s">
        <v>27</v>
      </c>
      <c r="G334" s="8">
        <v>0</v>
      </c>
      <c r="H334" s="8">
        <v>0</v>
      </c>
      <c r="I334" s="8">
        <v>0</v>
      </c>
      <c r="J334" s="8">
        <v>0</v>
      </c>
      <c r="K334" s="8">
        <v>0</v>
      </c>
      <c r="L334" s="8">
        <v>0</v>
      </c>
      <c r="M334" s="8">
        <v>0</v>
      </c>
      <c r="N334" s="8">
        <v>0</v>
      </c>
      <c r="O334" s="8">
        <v>0</v>
      </c>
      <c r="P334" s="8">
        <v>0</v>
      </c>
      <c r="Q334" s="9">
        <f>$G$334*$G$8+$H$334*$H$8+$I$334*$I$8+$J$334*$J$8+$K$334*$K$8+$L$334*$L$8+$M$334*$M$8+$N$334*$N$8+$O$334*$O$8+$P$334*$P$8</f>
        <v>0</v>
      </c>
      <c r="R334" s="9">
        <f>$S$334/2</f>
        <v>0</v>
      </c>
      <c r="S334" s="9">
        <f>$G$334*$G$8+$H$334*$H$8+$I$334*$I$8+$J$334*$J$8+$K$334*$K$8+$L$334*$L$8+$M$334*$M$8+$N$334*$N$8+$O$334*$O$8+$P$334*$P$8</f>
        <v>0</v>
      </c>
    </row>
  </sheetData>
  <sortState ref="A10:S331">
    <sortCondition descending="1" ref="Q1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23CFD-F729-4C1B-A9E8-0705AA36C293}">
  <sheetPr codeName="Blad2"/>
  <dimension ref="A2:S335"/>
  <sheetViews>
    <sheetView workbookViewId="0">
      <selection activeCell="S139" sqref="S139"/>
    </sheetView>
  </sheetViews>
  <sheetFormatPr defaultRowHeight="14.4" x14ac:dyDescent="0.3"/>
  <cols>
    <col min="2" max="2" width="14.77734375" customWidth="1"/>
    <col min="3" max="3" width="18.77734375" customWidth="1"/>
    <col min="4" max="4" width="20.77734375" customWidth="1"/>
    <col min="5" max="5" width="14.77734375" customWidth="1"/>
    <col min="6" max="6" width="25.77734375" customWidth="1"/>
    <col min="8" max="8" width="9" customWidth="1"/>
    <col min="11" max="14" width="11.44140625" customWidth="1"/>
    <col min="16" max="16" width="9.5546875" customWidth="1"/>
    <col min="17" max="17" width="22.109375" customWidth="1"/>
    <col min="18" max="18" width="18.6640625" customWidth="1"/>
  </cols>
  <sheetData>
    <row r="2" spans="1:19" x14ac:dyDescent="0.3">
      <c r="F2" t="s">
        <v>20</v>
      </c>
      <c r="G2">
        <f>SUM($G$10:$G$332)+ SUM($G$335:$G$335)</f>
        <v>213</v>
      </c>
      <c r="H2">
        <f>SUM($H$10:$H$332)+ SUM($H$335:$H$335)</f>
        <v>51</v>
      </c>
      <c r="I2">
        <f>SUM($I$10:$I$332)+ SUM($I$335:$I$335)</f>
        <v>9</v>
      </c>
      <c r="J2">
        <f>SUM($J$10:$J$332)+ SUM($J$335:$J$335)</f>
        <v>0</v>
      </c>
      <c r="K2">
        <f>SUM($K$10:$K$332)+ SUM($K$335:$K$335)</f>
        <v>11</v>
      </c>
      <c r="L2">
        <f>SUM($L$10:$L$332)+ SUM($L$335:$L$335)</f>
        <v>44</v>
      </c>
      <c r="M2">
        <f>SUM($M$10:$M$332)+ SUM($M$335:$M$335)</f>
        <v>12</v>
      </c>
      <c r="N2">
        <f>SUM($N$10:$N$332)+ SUM($N$335:$N$335)</f>
        <v>1</v>
      </c>
      <c r="O2">
        <f>SUM($O$10:$O$332)+ SUM($O$335:$O$335)</f>
        <v>0</v>
      </c>
      <c r="P2">
        <f>SUM($P$10:$P$332)+ SUM($P$335:$P$335)</f>
        <v>16</v>
      </c>
      <c r="R2" t="s">
        <v>1239</v>
      </c>
    </row>
    <row r="3" spans="1:19" x14ac:dyDescent="0.3">
      <c r="F3" t="s">
        <v>21</v>
      </c>
      <c r="G3" s="3">
        <f>$G$8*G2</f>
        <v>234.3</v>
      </c>
      <c r="H3" s="3">
        <f>$H$8*H2</f>
        <v>102</v>
      </c>
      <c r="I3" s="3">
        <f>$I$8*I2</f>
        <v>9</v>
      </c>
      <c r="J3" s="3">
        <f>$J$8*J2</f>
        <v>0</v>
      </c>
      <c r="K3" s="3">
        <f>$K$8*K2</f>
        <v>22</v>
      </c>
      <c r="L3" s="3">
        <f>$L$8*L2</f>
        <v>132</v>
      </c>
      <c r="M3" s="3">
        <f>$M$8*M2</f>
        <v>48</v>
      </c>
      <c r="N3" s="3">
        <f>$N$8*N2</f>
        <v>5</v>
      </c>
      <c r="O3" s="3">
        <f>$O$8*O2</f>
        <v>0</v>
      </c>
      <c r="P3" s="3">
        <f>$P$8*P2</f>
        <v>48</v>
      </c>
      <c r="R3">
        <f>SUM($E$10:$E$332)</f>
        <v>73</v>
      </c>
    </row>
    <row r="4" spans="1:19" x14ac:dyDescent="0.3">
      <c r="F4" s="3">
        <f>SUM(G3:P3)</f>
        <v>600.29999999999995</v>
      </c>
    </row>
    <row r="5" spans="1:19" x14ac:dyDescent="0.3">
      <c r="F5" s="3">
        <f>SUM(Q10:Q332)</f>
        <v>600.30000000000018</v>
      </c>
    </row>
    <row r="6" spans="1:19" x14ac:dyDescent="0.3">
      <c r="F6" s="3">
        <f>SUM(S10:S332)</f>
        <v>600.30000000000018</v>
      </c>
    </row>
    <row r="8" spans="1:19" x14ac:dyDescent="0.3">
      <c r="F8" t="s">
        <v>22</v>
      </c>
      <c r="G8" s="4">
        <v>1.1000000000000001</v>
      </c>
      <c r="H8" s="4">
        <v>2</v>
      </c>
      <c r="I8" s="4">
        <v>1</v>
      </c>
      <c r="J8" s="4">
        <v>4.75</v>
      </c>
      <c r="K8" s="4">
        <v>2</v>
      </c>
      <c r="L8" s="4">
        <v>3</v>
      </c>
      <c r="M8" s="4">
        <v>4</v>
      </c>
      <c r="N8" s="4">
        <v>5</v>
      </c>
      <c r="O8" s="4">
        <v>0.5</v>
      </c>
      <c r="P8" s="4">
        <v>3</v>
      </c>
    </row>
    <row r="9" spans="1:19" ht="15" thickBot="1" x14ac:dyDescent="0.35">
      <c r="A9" s="5" t="s">
        <v>14</v>
      </c>
      <c r="B9" s="6" t="s">
        <v>15</v>
      </c>
      <c r="C9" s="6" t="s">
        <v>16</v>
      </c>
      <c r="D9" s="6" t="s">
        <v>17</v>
      </c>
      <c r="E9" s="6" t="s">
        <v>18</v>
      </c>
      <c r="F9" s="6" t="s">
        <v>19</v>
      </c>
      <c r="G9" s="6" t="s">
        <v>4</v>
      </c>
      <c r="H9" s="6" t="s">
        <v>5</v>
      </c>
      <c r="I9" s="6" t="s">
        <v>6</v>
      </c>
      <c r="J9" s="6" t="s">
        <v>7</v>
      </c>
      <c r="K9" s="6" t="s">
        <v>8</v>
      </c>
      <c r="L9" s="6" t="s">
        <v>9</v>
      </c>
      <c r="M9" s="6" t="s">
        <v>10</v>
      </c>
      <c r="N9" s="6" t="s">
        <v>11</v>
      </c>
      <c r="O9" s="6" t="s">
        <v>12</v>
      </c>
      <c r="P9" s="6" t="s">
        <v>1240</v>
      </c>
      <c r="Q9" s="6" t="s">
        <v>23</v>
      </c>
      <c r="R9" s="6" t="s">
        <v>24</v>
      </c>
      <c r="S9" s="6" t="s">
        <v>25</v>
      </c>
    </row>
    <row r="10" spans="1:19" ht="15" thickTop="1" x14ac:dyDescent="0.3">
      <c r="A10" s="16" t="s">
        <v>172</v>
      </c>
      <c r="B10" s="17" t="s">
        <v>173</v>
      </c>
      <c r="C10" s="17"/>
      <c r="D10" s="17" t="s">
        <v>174</v>
      </c>
      <c r="E10" s="17">
        <f xml:space="preserve"> IF($S$47,1,0)</f>
        <v>0</v>
      </c>
      <c r="F10" s="17" t="s">
        <v>175</v>
      </c>
      <c r="G10" s="17">
        <v>2</v>
      </c>
      <c r="H10" s="17">
        <v>0</v>
      </c>
      <c r="I10" s="17">
        <v>0</v>
      </c>
      <c r="J10" s="17">
        <v>0</v>
      </c>
      <c r="K10" s="17">
        <v>0</v>
      </c>
      <c r="L10" s="17">
        <v>0</v>
      </c>
      <c r="M10" s="17">
        <v>0</v>
      </c>
      <c r="N10" s="17">
        <v>0</v>
      </c>
      <c r="O10" s="17">
        <v>0</v>
      </c>
      <c r="P10" s="17">
        <v>0</v>
      </c>
      <c r="Q10" s="18">
        <v>2.2000000000000002</v>
      </c>
      <c r="R10" s="18">
        <v>0</v>
      </c>
      <c r="S10" s="18">
        <v>2.2000000000000002</v>
      </c>
    </row>
    <row r="11" spans="1:19" x14ac:dyDescent="0.3">
      <c r="A11" s="13" t="s">
        <v>815</v>
      </c>
      <c r="B11" s="14" t="s">
        <v>816</v>
      </c>
      <c r="C11" s="14"/>
      <c r="D11" s="14" t="s">
        <v>817</v>
      </c>
      <c r="E11" s="14">
        <f xml:space="preserve"> IF($S$218,1,0)</f>
        <v>0</v>
      </c>
      <c r="F11" s="14" t="s">
        <v>818</v>
      </c>
      <c r="G11" s="14">
        <v>0</v>
      </c>
      <c r="H11" s="14">
        <v>0</v>
      </c>
      <c r="I11" s="14">
        <v>0</v>
      </c>
      <c r="J11" s="14">
        <v>0</v>
      </c>
      <c r="K11" s="14">
        <v>0</v>
      </c>
      <c r="L11" s="14">
        <v>0</v>
      </c>
      <c r="M11" s="14">
        <v>0</v>
      </c>
      <c r="N11" s="14">
        <v>0</v>
      </c>
      <c r="O11" s="14">
        <v>0</v>
      </c>
      <c r="P11" s="14">
        <v>0</v>
      </c>
      <c r="Q11" s="15">
        <v>0</v>
      </c>
      <c r="R11" s="15">
        <v>0</v>
      </c>
      <c r="S11" s="15">
        <v>0</v>
      </c>
    </row>
    <row r="12" spans="1:19" x14ac:dyDescent="0.3">
      <c r="A12" s="13" t="s">
        <v>930</v>
      </c>
      <c r="B12" s="14" t="s">
        <v>931</v>
      </c>
      <c r="C12" s="14"/>
      <c r="D12" s="14" t="s">
        <v>932</v>
      </c>
      <c r="E12" s="14">
        <f xml:space="preserve"> IF($S$248,1,0)</f>
        <v>0</v>
      </c>
      <c r="F12" s="14" t="s">
        <v>933</v>
      </c>
      <c r="G12" s="14">
        <v>0</v>
      </c>
      <c r="H12" s="14">
        <v>0</v>
      </c>
      <c r="I12" s="14">
        <v>0</v>
      </c>
      <c r="J12" s="14">
        <v>0</v>
      </c>
      <c r="K12" s="14">
        <v>0</v>
      </c>
      <c r="L12" s="14">
        <v>0</v>
      </c>
      <c r="M12" s="14">
        <v>0</v>
      </c>
      <c r="N12" s="14">
        <v>0</v>
      </c>
      <c r="O12" s="14">
        <v>0</v>
      </c>
      <c r="P12" s="14">
        <v>0</v>
      </c>
      <c r="Q12" s="15">
        <v>0</v>
      </c>
      <c r="R12" s="15">
        <v>0</v>
      </c>
      <c r="S12" s="15">
        <v>0</v>
      </c>
    </row>
    <row r="13" spans="1:19" x14ac:dyDescent="0.3">
      <c r="A13" s="10" t="s">
        <v>234</v>
      </c>
      <c r="B13" s="11" t="s">
        <v>235</v>
      </c>
      <c r="C13" s="11"/>
      <c r="D13" s="11" t="s">
        <v>236</v>
      </c>
      <c r="E13" s="11">
        <f xml:space="preserve"> IF($S$65,1,0)</f>
        <v>0</v>
      </c>
      <c r="F13" s="11" t="s">
        <v>237</v>
      </c>
      <c r="G13" s="11">
        <v>0</v>
      </c>
      <c r="H13" s="11">
        <v>0</v>
      </c>
      <c r="I13" s="11">
        <v>0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2">
        <v>0</v>
      </c>
      <c r="R13" s="12">
        <v>0</v>
      </c>
      <c r="S13" s="12">
        <v>0</v>
      </c>
    </row>
    <row r="14" spans="1:19" x14ac:dyDescent="0.3">
      <c r="A14" s="10" t="s">
        <v>433</v>
      </c>
      <c r="B14" s="11" t="s">
        <v>434</v>
      </c>
      <c r="C14" s="11" t="s">
        <v>202</v>
      </c>
      <c r="D14" s="11" t="s">
        <v>435</v>
      </c>
      <c r="E14" s="11">
        <f xml:space="preserve"> IF($S$117,1,0)</f>
        <v>0</v>
      </c>
      <c r="F14" s="11" t="s">
        <v>436</v>
      </c>
      <c r="G14" s="11">
        <v>0</v>
      </c>
      <c r="H14" s="11">
        <v>0</v>
      </c>
      <c r="I14" s="11">
        <v>0</v>
      </c>
      <c r="J14" s="11">
        <v>0</v>
      </c>
      <c r="K14" s="11">
        <v>0</v>
      </c>
      <c r="L14" s="11">
        <v>0</v>
      </c>
      <c r="M14" s="11">
        <v>0</v>
      </c>
      <c r="N14" s="11">
        <v>0</v>
      </c>
      <c r="O14" s="11">
        <v>0</v>
      </c>
      <c r="P14" s="11">
        <v>0</v>
      </c>
      <c r="Q14" s="12">
        <v>0</v>
      </c>
      <c r="R14" s="12">
        <v>0</v>
      </c>
      <c r="S14" s="12">
        <v>0</v>
      </c>
    </row>
    <row r="15" spans="1:19" x14ac:dyDescent="0.3">
      <c r="A15" s="10" t="s">
        <v>905</v>
      </c>
      <c r="B15" s="11" t="s">
        <v>906</v>
      </c>
      <c r="C15" s="11" t="s">
        <v>283</v>
      </c>
      <c r="D15" s="11" t="s">
        <v>296</v>
      </c>
      <c r="E15" s="11">
        <f xml:space="preserve"> IF($S$241,1,0)</f>
        <v>0</v>
      </c>
      <c r="F15" s="11" t="s">
        <v>907</v>
      </c>
      <c r="G15" s="11">
        <v>0</v>
      </c>
      <c r="H15" s="11">
        <v>0</v>
      </c>
      <c r="I15" s="11">
        <v>0</v>
      </c>
      <c r="J15" s="11">
        <v>0</v>
      </c>
      <c r="K15" s="11">
        <v>0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2">
        <v>0</v>
      </c>
      <c r="R15" s="12">
        <v>0</v>
      </c>
      <c r="S15" s="12">
        <v>0</v>
      </c>
    </row>
    <row r="16" spans="1:19" x14ac:dyDescent="0.3">
      <c r="A16" s="13" t="s">
        <v>634</v>
      </c>
      <c r="B16" s="14" t="s">
        <v>635</v>
      </c>
      <c r="C16" s="14"/>
      <c r="D16" s="14" t="s">
        <v>636</v>
      </c>
      <c r="E16" s="14">
        <f xml:space="preserve"> IF($S$170,1,0)</f>
        <v>0</v>
      </c>
      <c r="F16" s="14" t="s">
        <v>637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4">
        <v>0</v>
      </c>
      <c r="O16" s="14">
        <v>0</v>
      </c>
      <c r="P16" s="14">
        <v>0</v>
      </c>
      <c r="Q16" s="15">
        <v>0</v>
      </c>
      <c r="R16" s="15">
        <v>0</v>
      </c>
      <c r="S16" s="15">
        <v>0</v>
      </c>
    </row>
    <row r="17" spans="1:19" x14ac:dyDescent="0.3">
      <c r="A17" s="10" t="s">
        <v>1010</v>
      </c>
      <c r="B17" s="11" t="s">
        <v>1011</v>
      </c>
      <c r="C17" s="11"/>
      <c r="D17" s="11" t="s">
        <v>1012</v>
      </c>
      <c r="E17" s="11">
        <f xml:space="preserve"> IF($S$269,1,0)</f>
        <v>0</v>
      </c>
      <c r="F17" s="11" t="s">
        <v>1013</v>
      </c>
      <c r="G17" s="11">
        <v>0</v>
      </c>
      <c r="H17" s="11">
        <v>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2">
        <v>0</v>
      </c>
      <c r="R17" s="12">
        <v>0</v>
      </c>
      <c r="S17" s="12">
        <v>0</v>
      </c>
    </row>
    <row r="18" spans="1:19" x14ac:dyDescent="0.3">
      <c r="A18" s="13" t="s">
        <v>286</v>
      </c>
      <c r="B18" s="14" t="s">
        <v>287</v>
      </c>
      <c r="C18" s="14" t="s">
        <v>278</v>
      </c>
      <c r="D18" s="14" t="s">
        <v>288</v>
      </c>
      <c r="E18" s="14">
        <f xml:space="preserve"> IF($S$78,1,0)</f>
        <v>0</v>
      </c>
      <c r="F18" s="14" t="s">
        <v>289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5">
        <v>0</v>
      </c>
      <c r="R18" s="15">
        <v>0</v>
      </c>
      <c r="S18" s="15">
        <v>0</v>
      </c>
    </row>
    <row r="19" spans="1:19" x14ac:dyDescent="0.3">
      <c r="A19" s="10" t="s">
        <v>337</v>
      </c>
      <c r="B19" s="11" t="s">
        <v>334</v>
      </c>
      <c r="C19" s="11"/>
      <c r="D19" s="11" t="s">
        <v>338</v>
      </c>
      <c r="E19" s="11">
        <f xml:space="preserve"> IF($S$91,1,0)</f>
        <v>1</v>
      </c>
      <c r="F19" s="11" t="s">
        <v>339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2">
        <v>0</v>
      </c>
      <c r="R19" s="12">
        <v>0</v>
      </c>
      <c r="S19" s="12">
        <v>0</v>
      </c>
    </row>
    <row r="20" spans="1:19" x14ac:dyDescent="0.3">
      <c r="A20" s="10" t="s">
        <v>102</v>
      </c>
      <c r="B20" s="11" t="s">
        <v>103</v>
      </c>
      <c r="C20" s="11"/>
      <c r="D20" s="11" t="s">
        <v>104</v>
      </c>
      <c r="E20" s="11">
        <f xml:space="preserve"> IF($S$29,1,0)</f>
        <v>1</v>
      </c>
      <c r="F20" s="11" t="s">
        <v>105</v>
      </c>
      <c r="G20" s="11">
        <v>8</v>
      </c>
      <c r="H20" s="11">
        <v>0</v>
      </c>
      <c r="I20" s="11">
        <v>0</v>
      </c>
      <c r="J20" s="11">
        <v>0</v>
      </c>
      <c r="K20" s="11">
        <v>0</v>
      </c>
      <c r="L20" s="11">
        <v>0</v>
      </c>
      <c r="M20" s="11">
        <v>0</v>
      </c>
      <c r="N20" s="11">
        <v>0</v>
      </c>
      <c r="O20" s="11">
        <v>0</v>
      </c>
      <c r="P20" s="11">
        <v>0</v>
      </c>
      <c r="Q20" s="12">
        <v>8.8000000000000007</v>
      </c>
      <c r="R20" s="12">
        <v>0</v>
      </c>
      <c r="S20" s="12">
        <v>8.8000000000000007</v>
      </c>
    </row>
    <row r="21" spans="1:19" x14ac:dyDescent="0.3">
      <c r="A21" s="13" t="s">
        <v>1123</v>
      </c>
      <c r="B21" s="14" t="s">
        <v>1117</v>
      </c>
      <c r="C21" s="14"/>
      <c r="D21" s="14" t="s">
        <v>1124</v>
      </c>
      <c r="E21" s="14">
        <f xml:space="preserve"> IF($S$300,1,0)</f>
        <v>1</v>
      </c>
      <c r="F21" s="14" t="s">
        <v>1125</v>
      </c>
      <c r="G21" s="14">
        <v>0</v>
      </c>
      <c r="H21" s="14">
        <v>0</v>
      </c>
      <c r="I21" s="14">
        <v>0</v>
      </c>
      <c r="J21" s="14">
        <v>0</v>
      </c>
      <c r="K21" s="14">
        <v>0</v>
      </c>
      <c r="L21" s="14">
        <v>0</v>
      </c>
      <c r="M21" s="14">
        <v>0</v>
      </c>
      <c r="N21" s="14">
        <v>0</v>
      </c>
      <c r="O21" s="14">
        <v>0</v>
      </c>
      <c r="P21" s="14">
        <v>0</v>
      </c>
      <c r="Q21" s="15">
        <v>0</v>
      </c>
      <c r="R21" s="15">
        <v>0</v>
      </c>
      <c r="S21" s="15">
        <v>0</v>
      </c>
    </row>
    <row r="22" spans="1:19" x14ac:dyDescent="0.3">
      <c r="A22" s="10" t="s">
        <v>148</v>
      </c>
      <c r="B22" s="11" t="s">
        <v>149</v>
      </c>
      <c r="C22" s="11"/>
      <c r="D22" s="11" t="s">
        <v>150</v>
      </c>
      <c r="E22" s="11">
        <f xml:space="preserve"> IF($S$41,1,0)</f>
        <v>0</v>
      </c>
      <c r="F22" s="11" t="s">
        <v>151</v>
      </c>
      <c r="G22" s="11">
        <v>0</v>
      </c>
      <c r="H22" s="11">
        <v>0</v>
      </c>
      <c r="I22" s="11">
        <v>0</v>
      </c>
      <c r="J22" s="11">
        <v>0</v>
      </c>
      <c r="K22" s="11">
        <v>0</v>
      </c>
      <c r="L22" s="11">
        <v>0</v>
      </c>
      <c r="M22" s="11">
        <v>0</v>
      </c>
      <c r="N22" s="11">
        <v>0</v>
      </c>
      <c r="O22" s="11">
        <v>0</v>
      </c>
      <c r="P22" s="11">
        <v>0</v>
      </c>
      <c r="Q22" s="12">
        <v>0</v>
      </c>
      <c r="R22" s="12">
        <v>0</v>
      </c>
      <c r="S22" s="12">
        <v>0</v>
      </c>
    </row>
    <row r="23" spans="1:19" x14ac:dyDescent="0.3">
      <c r="A23" s="13" t="s">
        <v>317</v>
      </c>
      <c r="B23" s="14" t="s">
        <v>318</v>
      </c>
      <c r="C23" s="14"/>
      <c r="D23" s="14" t="s">
        <v>319</v>
      </c>
      <c r="E23" s="14">
        <f xml:space="preserve"> IF($S$86,1,0)</f>
        <v>1</v>
      </c>
      <c r="F23" s="14" t="s">
        <v>320</v>
      </c>
      <c r="G23" s="14">
        <v>0</v>
      </c>
      <c r="H23" s="14">
        <v>0</v>
      </c>
      <c r="I23" s="14">
        <v>0</v>
      </c>
      <c r="J23" s="14">
        <v>0</v>
      </c>
      <c r="K23" s="14">
        <v>0</v>
      </c>
      <c r="L23" s="14">
        <v>0</v>
      </c>
      <c r="M23" s="14">
        <v>0</v>
      </c>
      <c r="N23" s="14">
        <v>0</v>
      </c>
      <c r="O23" s="14">
        <v>0</v>
      </c>
      <c r="P23" s="14">
        <v>0</v>
      </c>
      <c r="Q23" s="15">
        <v>0</v>
      </c>
      <c r="R23" s="15">
        <v>0</v>
      </c>
      <c r="S23" s="15">
        <v>0</v>
      </c>
    </row>
    <row r="24" spans="1:19" x14ac:dyDescent="0.3">
      <c r="A24" s="13" t="s">
        <v>870</v>
      </c>
      <c r="B24" s="14" t="s">
        <v>871</v>
      </c>
      <c r="C24" s="14" t="s">
        <v>243</v>
      </c>
      <c r="D24" s="14" t="s">
        <v>399</v>
      </c>
      <c r="E24" s="14">
        <f xml:space="preserve"> IF($S$232,1,0)</f>
        <v>0</v>
      </c>
      <c r="F24" s="14" t="s">
        <v>872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5">
        <v>0</v>
      </c>
      <c r="R24" s="15">
        <v>0</v>
      </c>
      <c r="S24" s="15">
        <v>0</v>
      </c>
    </row>
    <row r="25" spans="1:19" x14ac:dyDescent="0.3">
      <c r="A25" s="13" t="s">
        <v>1036</v>
      </c>
      <c r="B25" s="14" t="s">
        <v>1037</v>
      </c>
      <c r="C25" s="14"/>
      <c r="D25" s="14" t="s">
        <v>1038</v>
      </c>
      <c r="E25" s="14">
        <f xml:space="preserve"> IF($S$276,1,0)</f>
        <v>0</v>
      </c>
      <c r="F25" s="14" t="s">
        <v>1039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  <c r="M25" s="14">
        <v>0</v>
      </c>
      <c r="N25" s="14">
        <v>0</v>
      </c>
      <c r="O25" s="14">
        <v>0</v>
      </c>
      <c r="P25" s="14">
        <v>0</v>
      </c>
      <c r="Q25" s="15">
        <v>0</v>
      </c>
      <c r="R25" s="15">
        <v>0</v>
      </c>
      <c r="S25" s="15">
        <v>0</v>
      </c>
    </row>
    <row r="26" spans="1:19" x14ac:dyDescent="0.3">
      <c r="A26" s="10" t="s">
        <v>353</v>
      </c>
      <c r="B26" s="11" t="s">
        <v>354</v>
      </c>
      <c r="C26" s="11"/>
      <c r="D26" s="11" t="s">
        <v>355</v>
      </c>
      <c r="E26" s="11">
        <f xml:space="preserve"> IF($S$95,1,0)</f>
        <v>0</v>
      </c>
      <c r="F26" s="11" t="s">
        <v>356</v>
      </c>
      <c r="G26" s="11">
        <v>0</v>
      </c>
      <c r="H26" s="11">
        <v>0</v>
      </c>
      <c r="I26" s="11">
        <v>0</v>
      </c>
      <c r="J26" s="11">
        <v>0</v>
      </c>
      <c r="K26" s="11">
        <v>0</v>
      </c>
      <c r="L26" s="11">
        <v>0</v>
      </c>
      <c r="M26" s="11">
        <v>0</v>
      </c>
      <c r="N26" s="11">
        <v>0</v>
      </c>
      <c r="O26" s="11">
        <v>0</v>
      </c>
      <c r="P26" s="11">
        <v>0</v>
      </c>
      <c r="Q26" s="12">
        <v>0</v>
      </c>
      <c r="R26" s="12">
        <v>0</v>
      </c>
      <c r="S26" s="12">
        <v>0</v>
      </c>
    </row>
    <row r="27" spans="1:19" x14ac:dyDescent="0.3">
      <c r="A27" s="10" t="s">
        <v>132</v>
      </c>
      <c r="B27" s="11" t="s">
        <v>133</v>
      </c>
      <c r="C27" s="11"/>
      <c r="D27" s="11" t="s">
        <v>134</v>
      </c>
      <c r="E27" s="11">
        <f xml:space="preserve"> IF($S$37,1,0)</f>
        <v>0</v>
      </c>
      <c r="F27" s="11" t="s">
        <v>135</v>
      </c>
      <c r="G27" s="11">
        <v>0</v>
      </c>
      <c r="H27" s="11">
        <v>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2">
        <v>0</v>
      </c>
      <c r="R27" s="12">
        <v>0</v>
      </c>
      <c r="S27" s="12">
        <v>0</v>
      </c>
    </row>
    <row r="28" spans="1:19" x14ac:dyDescent="0.3">
      <c r="A28" s="10" t="s">
        <v>220</v>
      </c>
      <c r="B28" s="11" t="s">
        <v>221</v>
      </c>
      <c r="C28" s="11" t="s">
        <v>34</v>
      </c>
      <c r="D28" s="11" t="s">
        <v>222</v>
      </c>
      <c r="E28" s="11">
        <f xml:space="preserve"> IF($S$61,1,0)</f>
        <v>1</v>
      </c>
      <c r="F28" s="11" t="s">
        <v>223</v>
      </c>
      <c r="G28" s="11">
        <v>0</v>
      </c>
      <c r="H28" s="11">
        <v>0</v>
      </c>
      <c r="I28" s="11">
        <v>0</v>
      </c>
      <c r="J28" s="11">
        <v>0</v>
      </c>
      <c r="K28" s="11">
        <v>0</v>
      </c>
      <c r="L28" s="11">
        <v>0</v>
      </c>
      <c r="M28" s="11">
        <v>0</v>
      </c>
      <c r="N28" s="11">
        <v>0</v>
      </c>
      <c r="O28" s="11">
        <v>0</v>
      </c>
      <c r="P28" s="11">
        <v>0</v>
      </c>
      <c r="Q28" s="12">
        <v>0</v>
      </c>
      <c r="R28" s="12">
        <v>0</v>
      </c>
      <c r="S28" s="12">
        <v>0</v>
      </c>
    </row>
    <row r="29" spans="1:19" x14ac:dyDescent="0.3">
      <c r="A29" s="13" t="s">
        <v>855</v>
      </c>
      <c r="B29" s="14" t="s">
        <v>856</v>
      </c>
      <c r="C29" s="14"/>
      <c r="D29" s="14" t="s">
        <v>790</v>
      </c>
      <c r="E29" s="14">
        <f xml:space="preserve"> IF($S$228,1,0)</f>
        <v>0</v>
      </c>
      <c r="F29" s="14" t="s">
        <v>857</v>
      </c>
      <c r="G29" s="14">
        <v>0</v>
      </c>
      <c r="H29" s="14">
        <v>0</v>
      </c>
      <c r="I29" s="14">
        <v>0</v>
      </c>
      <c r="J29" s="14">
        <v>0</v>
      </c>
      <c r="K29" s="14">
        <v>0</v>
      </c>
      <c r="L29" s="14">
        <v>2</v>
      </c>
      <c r="M29" s="14">
        <v>0</v>
      </c>
      <c r="N29" s="14">
        <v>0</v>
      </c>
      <c r="O29" s="14">
        <v>0</v>
      </c>
      <c r="P29" s="14">
        <v>0</v>
      </c>
      <c r="Q29" s="15">
        <v>6</v>
      </c>
      <c r="R29" s="15">
        <v>0</v>
      </c>
      <c r="S29" s="15">
        <v>6</v>
      </c>
    </row>
    <row r="30" spans="1:19" x14ac:dyDescent="0.3">
      <c r="A30" s="10" t="s">
        <v>576</v>
      </c>
      <c r="B30" s="11" t="s">
        <v>577</v>
      </c>
      <c r="C30" s="11"/>
      <c r="D30" s="11" t="s">
        <v>578</v>
      </c>
      <c r="E30" s="11">
        <f xml:space="preserve"> IF($S$155,1,0)</f>
        <v>0</v>
      </c>
      <c r="F30" s="11" t="s">
        <v>579</v>
      </c>
      <c r="G30" s="11">
        <v>0</v>
      </c>
      <c r="H30" s="11">
        <v>0</v>
      </c>
      <c r="I30" s="11">
        <v>0</v>
      </c>
      <c r="J30" s="11">
        <v>0</v>
      </c>
      <c r="K30" s="11">
        <v>0</v>
      </c>
      <c r="L30" s="11">
        <v>0</v>
      </c>
      <c r="M30" s="11">
        <v>0</v>
      </c>
      <c r="N30" s="11">
        <v>0</v>
      </c>
      <c r="O30" s="11">
        <v>0</v>
      </c>
      <c r="P30" s="11">
        <v>0</v>
      </c>
      <c r="Q30" s="12">
        <v>0</v>
      </c>
      <c r="R30" s="12">
        <v>0</v>
      </c>
      <c r="S30" s="12">
        <v>0</v>
      </c>
    </row>
    <row r="31" spans="1:19" x14ac:dyDescent="0.3">
      <c r="A31" s="10" t="s">
        <v>811</v>
      </c>
      <c r="B31" s="11" t="s">
        <v>812</v>
      </c>
      <c r="C31" s="11"/>
      <c r="D31" s="11" t="s">
        <v>813</v>
      </c>
      <c r="E31" s="11">
        <f xml:space="preserve"> IF($S$217,1,0)</f>
        <v>0</v>
      </c>
      <c r="F31" s="11" t="s">
        <v>814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2">
        <v>0</v>
      </c>
      <c r="R31" s="12">
        <v>0</v>
      </c>
      <c r="S31" s="12">
        <v>0</v>
      </c>
    </row>
    <row r="32" spans="1:19" x14ac:dyDescent="0.3">
      <c r="A32" s="13" t="s">
        <v>378</v>
      </c>
      <c r="B32" s="14" t="s">
        <v>379</v>
      </c>
      <c r="C32" s="14"/>
      <c r="D32" s="14" t="s">
        <v>380</v>
      </c>
      <c r="E32" s="14">
        <f xml:space="preserve"> IF($S$102,1,0)</f>
        <v>0</v>
      </c>
      <c r="F32" s="14" t="s">
        <v>381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5">
        <v>0</v>
      </c>
      <c r="R32" s="15">
        <v>0</v>
      </c>
      <c r="S32" s="15">
        <v>0</v>
      </c>
    </row>
    <row r="33" spans="1:19" x14ac:dyDescent="0.3">
      <c r="A33" s="13" t="s">
        <v>710</v>
      </c>
      <c r="B33" s="14" t="s">
        <v>708</v>
      </c>
      <c r="C33" s="14"/>
      <c r="D33" s="14" t="s">
        <v>711</v>
      </c>
      <c r="E33" s="14">
        <f xml:space="preserve"> IF($S$190,1,0)</f>
        <v>0</v>
      </c>
      <c r="F33" s="14" t="s">
        <v>712</v>
      </c>
      <c r="G33" s="14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5">
        <v>0</v>
      </c>
      <c r="R33" s="15">
        <v>0</v>
      </c>
      <c r="S33" s="15">
        <v>0</v>
      </c>
    </row>
    <row r="34" spans="1:19" x14ac:dyDescent="0.3">
      <c r="A34" s="13" t="s">
        <v>268</v>
      </c>
      <c r="B34" s="14" t="s">
        <v>269</v>
      </c>
      <c r="C34" s="14"/>
      <c r="D34" s="14" t="s">
        <v>270</v>
      </c>
      <c r="E34" s="14">
        <f xml:space="preserve"> IF($S$74,1,0)</f>
        <v>0</v>
      </c>
      <c r="F34" s="14" t="s">
        <v>271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5">
        <v>0</v>
      </c>
      <c r="R34" s="15">
        <v>0</v>
      </c>
      <c r="S34" s="15">
        <v>0</v>
      </c>
    </row>
    <row r="35" spans="1:19" x14ac:dyDescent="0.3">
      <c r="A35" s="13" t="s">
        <v>201</v>
      </c>
      <c r="B35" s="14" t="s">
        <v>177</v>
      </c>
      <c r="C35" s="14" t="s">
        <v>202</v>
      </c>
      <c r="D35" s="14" t="s">
        <v>203</v>
      </c>
      <c r="E35" s="14">
        <f xml:space="preserve"> IF($S$56,1,0)</f>
        <v>0</v>
      </c>
      <c r="F35" s="14" t="s">
        <v>204</v>
      </c>
      <c r="G35" s="14">
        <v>5</v>
      </c>
      <c r="H35" s="14">
        <v>0</v>
      </c>
      <c r="I35" s="14">
        <v>0</v>
      </c>
      <c r="J35" s="14">
        <v>0</v>
      </c>
      <c r="K35" s="14">
        <v>0</v>
      </c>
      <c r="L35" s="14">
        <v>2</v>
      </c>
      <c r="M35" s="14">
        <v>0</v>
      </c>
      <c r="N35" s="14">
        <v>0</v>
      </c>
      <c r="O35" s="14">
        <v>0</v>
      </c>
      <c r="P35" s="14">
        <v>0</v>
      </c>
      <c r="Q35" s="15">
        <v>11.5</v>
      </c>
      <c r="R35" s="15">
        <v>0</v>
      </c>
      <c r="S35" s="15">
        <v>11.5</v>
      </c>
    </row>
    <row r="36" spans="1:19" x14ac:dyDescent="0.3">
      <c r="A36" s="10" t="s">
        <v>156</v>
      </c>
      <c r="B36" s="11" t="s">
        <v>157</v>
      </c>
      <c r="C36" s="11" t="s">
        <v>65</v>
      </c>
      <c r="D36" s="11" t="s">
        <v>158</v>
      </c>
      <c r="E36" s="11">
        <f xml:space="preserve"> IF($S$43,1,0)</f>
        <v>1</v>
      </c>
      <c r="F36" s="11" t="s">
        <v>159</v>
      </c>
      <c r="G36" s="11">
        <v>0</v>
      </c>
      <c r="H36" s="11">
        <v>0</v>
      </c>
      <c r="I36" s="11">
        <v>0</v>
      </c>
      <c r="J36" s="11">
        <v>0</v>
      </c>
      <c r="K36" s="11">
        <v>0</v>
      </c>
      <c r="L36" s="11">
        <v>0</v>
      </c>
      <c r="M36" s="11">
        <v>0</v>
      </c>
      <c r="N36" s="11">
        <v>0</v>
      </c>
      <c r="O36" s="11">
        <v>0</v>
      </c>
      <c r="P36" s="11">
        <v>0</v>
      </c>
      <c r="Q36" s="12">
        <v>0</v>
      </c>
      <c r="R36" s="12">
        <v>0</v>
      </c>
      <c r="S36" s="12">
        <v>0</v>
      </c>
    </row>
    <row r="37" spans="1:19" x14ac:dyDescent="0.3">
      <c r="A37" s="10" t="s">
        <v>592</v>
      </c>
      <c r="B37" s="11" t="s">
        <v>593</v>
      </c>
      <c r="C37" s="11"/>
      <c r="D37" s="11" t="s">
        <v>594</v>
      </c>
      <c r="E37" s="11">
        <f xml:space="preserve"> IF($S$159,1,0)</f>
        <v>0</v>
      </c>
      <c r="F37" s="11" t="s">
        <v>595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2">
        <v>0</v>
      </c>
      <c r="R37" s="12">
        <v>0</v>
      </c>
      <c r="S37" s="12">
        <v>0</v>
      </c>
    </row>
    <row r="38" spans="1:19" x14ac:dyDescent="0.3">
      <c r="A38" s="10" t="s">
        <v>1180</v>
      </c>
      <c r="B38" s="11" t="s">
        <v>1181</v>
      </c>
      <c r="C38" s="11"/>
      <c r="D38" s="11" t="s">
        <v>1182</v>
      </c>
      <c r="E38" s="11">
        <f xml:space="preserve"> IF($S$317,1,0)</f>
        <v>0</v>
      </c>
      <c r="F38" s="11" t="s">
        <v>1183</v>
      </c>
      <c r="G38" s="11">
        <v>0</v>
      </c>
      <c r="H38" s="11">
        <v>0</v>
      </c>
      <c r="I38" s="11">
        <v>0</v>
      </c>
      <c r="J38" s="11">
        <v>0</v>
      </c>
      <c r="K38" s="11">
        <v>0</v>
      </c>
      <c r="L38" s="11">
        <v>0</v>
      </c>
      <c r="M38" s="11">
        <v>0</v>
      </c>
      <c r="N38" s="11">
        <v>0</v>
      </c>
      <c r="O38" s="11">
        <v>0</v>
      </c>
      <c r="P38" s="11">
        <v>0</v>
      </c>
      <c r="Q38" s="12">
        <v>0</v>
      </c>
      <c r="R38" s="12">
        <v>0</v>
      </c>
      <c r="S38" s="12">
        <v>0</v>
      </c>
    </row>
    <row r="39" spans="1:19" x14ac:dyDescent="0.3">
      <c r="A39" s="10" t="s">
        <v>684</v>
      </c>
      <c r="B39" s="11" t="s">
        <v>685</v>
      </c>
      <c r="C39" s="11"/>
      <c r="D39" s="11" t="s">
        <v>686</v>
      </c>
      <c r="E39" s="11">
        <f xml:space="preserve"> IF($S$183,1,0)</f>
        <v>0</v>
      </c>
      <c r="F39" s="11" t="s">
        <v>687</v>
      </c>
      <c r="G39" s="11">
        <v>0</v>
      </c>
      <c r="H39" s="11">
        <v>0</v>
      </c>
      <c r="I39" s="11">
        <v>0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2">
        <v>0</v>
      </c>
      <c r="R39" s="12">
        <v>0</v>
      </c>
      <c r="S39" s="12">
        <v>0</v>
      </c>
    </row>
    <row r="40" spans="1:19" x14ac:dyDescent="0.3">
      <c r="A40" s="13" t="s">
        <v>1137</v>
      </c>
      <c r="B40" s="14" t="s">
        <v>1138</v>
      </c>
      <c r="C40" s="14"/>
      <c r="D40" s="14" t="s">
        <v>1139</v>
      </c>
      <c r="E40" s="14">
        <f xml:space="preserve"> IF($S$304,1,0)</f>
        <v>0</v>
      </c>
      <c r="F40" s="14" t="s">
        <v>1140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5">
        <v>0</v>
      </c>
      <c r="R40" s="15">
        <v>0</v>
      </c>
      <c r="S40" s="15">
        <v>0</v>
      </c>
    </row>
    <row r="41" spans="1:19" x14ac:dyDescent="0.3">
      <c r="A41" s="10" t="s">
        <v>192</v>
      </c>
      <c r="B41" s="11" t="s">
        <v>177</v>
      </c>
      <c r="C41" s="11"/>
      <c r="D41" s="11" t="s">
        <v>193</v>
      </c>
      <c r="E41" s="11">
        <f xml:space="preserve"> IF($S$53,1,0)</f>
        <v>0</v>
      </c>
      <c r="F41" s="11" t="s">
        <v>194</v>
      </c>
      <c r="G41" s="11">
        <v>0</v>
      </c>
      <c r="H41" s="11">
        <v>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2">
        <v>0</v>
      </c>
      <c r="R41" s="12">
        <v>0</v>
      </c>
      <c r="S41" s="12">
        <v>0</v>
      </c>
    </row>
    <row r="42" spans="1:19" x14ac:dyDescent="0.3">
      <c r="A42" s="10" t="s">
        <v>676</v>
      </c>
      <c r="B42" s="11" t="s">
        <v>677</v>
      </c>
      <c r="C42" s="11"/>
      <c r="D42" s="11" t="s">
        <v>678</v>
      </c>
      <c r="E42" s="11">
        <f xml:space="preserve"> IF($S$181,1,0)</f>
        <v>0</v>
      </c>
      <c r="F42" s="11" t="s">
        <v>679</v>
      </c>
      <c r="G42" s="11">
        <v>0</v>
      </c>
      <c r="H42" s="11">
        <v>0</v>
      </c>
      <c r="I42" s="11">
        <v>0</v>
      </c>
      <c r="J42" s="11">
        <v>0</v>
      </c>
      <c r="K42" s="11">
        <v>0</v>
      </c>
      <c r="L42" s="11">
        <v>0</v>
      </c>
      <c r="M42" s="11">
        <v>0</v>
      </c>
      <c r="N42" s="11">
        <v>0</v>
      </c>
      <c r="O42" s="11">
        <v>0</v>
      </c>
      <c r="P42" s="11">
        <v>0</v>
      </c>
      <c r="Q42" s="12">
        <v>0</v>
      </c>
      <c r="R42" s="12">
        <v>0</v>
      </c>
      <c r="S42" s="12">
        <v>0</v>
      </c>
    </row>
    <row r="43" spans="1:19" x14ac:dyDescent="0.3">
      <c r="A43" s="10" t="s">
        <v>1091</v>
      </c>
      <c r="B43" s="11" t="s">
        <v>1082</v>
      </c>
      <c r="C43" s="11"/>
      <c r="D43" s="11" t="s">
        <v>1092</v>
      </c>
      <c r="E43" s="11">
        <f xml:space="preserve"> IF($S$291,1,0)</f>
        <v>0</v>
      </c>
      <c r="F43" s="11" t="s">
        <v>1093</v>
      </c>
      <c r="G43" s="11">
        <v>0</v>
      </c>
      <c r="H43" s="11">
        <v>0</v>
      </c>
      <c r="I43" s="11">
        <v>0</v>
      </c>
      <c r="J43" s="11">
        <v>0</v>
      </c>
      <c r="K43" s="11">
        <v>0</v>
      </c>
      <c r="L43" s="11">
        <v>1</v>
      </c>
      <c r="M43" s="11">
        <v>0</v>
      </c>
      <c r="N43" s="11">
        <v>0</v>
      </c>
      <c r="O43" s="11">
        <v>0</v>
      </c>
      <c r="P43" s="11">
        <v>0</v>
      </c>
      <c r="Q43" s="12">
        <v>3</v>
      </c>
      <c r="R43" s="12">
        <v>0</v>
      </c>
      <c r="S43" s="12">
        <v>3</v>
      </c>
    </row>
    <row r="44" spans="1:19" x14ac:dyDescent="0.3">
      <c r="A44" s="13" t="s">
        <v>1214</v>
      </c>
      <c r="B44" s="14" t="s">
        <v>1215</v>
      </c>
      <c r="C44" s="14"/>
      <c r="D44" s="14" t="s">
        <v>1216</v>
      </c>
      <c r="E44" s="14">
        <f xml:space="preserve"> IF($S$326,1,0)</f>
        <v>0</v>
      </c>
      <c r="F44" s="14" t="s">
        <v>1217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1</v>
      </c>
      <c r="N44" s="14">
        <v>0</v>
      </c>
      <c r="O44" s="14">
        <v>0</v>
      </c>
      <c r="P44" s="14">
        <v>0</v>
      </c>
      <c r="Q44" s="15">
        <v>4</v>
      </c>
      <c r="R44" s="15">
        <v>0</v>
      </c>
      <c r="S44" s="15">
        <v>4</v>
      </c>
    </row>
    <row r="45" spans="1:19" x14ac:dyDescent="0.3">
      <c r="A45" s="10" t="s">
        <v>501</v>
      </c>
      <c r="B45" s="11" t="s">
        <v>502</v>
      </c>
      <c r="C45" s="11" t="s">
        <v>34</v>
      </c>
      <c r="D45" s="11" t="s">
        <v>503</v>
      </c>
      <c r="E45" s="11">
        <f xml:space="preserve"> IF($S$135,1,0)</f>
        <v>0</v>
      </c>
      <c r="F45" s="11" t="s">
        <v>504</v>
      </c>
      <c r="G45" s="11">
        <v>11</v>
      </c>
      <c r="H45" s="11">
        <v>0</v>
      </c>
      <c r="I45" s="11">
        <v>0</v>
      </c>
      <c r="J45" s="11">
        <v>0</v>
      </c>
      <c r="K45" s="11">
        <v>0</v>
      </c>
      <c r="L45" s="11">
        <v>0</v>
      </c>
      <c r="M45" s="11">
        <v>0</v>
      </c>
      <c r="N45" s="11">
        <v>0</v>
      </c>
      <c r="O45" s="11">
        <v>0</v>
      </c>
      <c r="P45" s="11">
        <v>0</v>
      </c>
      <c r="Q45" s="12">
        <v>12.100000000000001</v>
      </c>
      <c r="R45" s="12">
        <v>0</v>
      </c>
      <c r="S45" s="12">
        <v>12.100000000000001</v>
      </c>
    </row>
    <row r="46" spans="1:19" x14ac:dyDescent="0.3">
      <c r="A46" s="10" t="s">
        <v>456</v>
      </c>
      <c r="B46" s="11" t="s">
        <v>457</v>
      </c>
      <c r="C46" s="11"/>
      <c r="D46" s="11" t="s">
        <v>458</v>
      </c>
      <c r="E46" s="11">
        <f xml:space="preserve"> IF($S$123,1,0)</f>
        <v>0</v>
      </c>
      <c r="F46" s="11" t="s">
        <v>459</v>
      </c>
      <c r="G46" s="11">
        <v>0</v>
      </c>
      <c r="H46" s="11">
        <v>0</v>
      </c>
      <c r="I46" s="11">
        <v>0</v>
      </c>
      <c r="J46" s="11">
        <v>0</v>
      </c>
      <c r="K46" s="11">
        <v>0</v>
      </c>
      <c r="L46" s="11">
        <v>0</v>
      </c>
      <c r="M46" s="11">
        <v>0</v>
      </c>
      <c r="N46" s="11">
        <v>0</v>
      </c>
      <c r="O46" s="11">
        <v>0</v>
      </c>
      <c r="P46" s="11">
        <v>0</v>
      </c>
      <c r="Q46" s="12">
        <v>0</v>
      </c>
      <c r="R46" s="12">
        <v>0</v>
      </c>
      <c r="S46" s="12">
        <v>0</v>
      </c>
    </row>
    <row r="47" spans="1:19" x14ac:dyDescent="0.3">
      <c r="A47" s="10" t="s">
        <v>1085</v>
      </c>
      <c r="B47" s="11" t="s">
        <v>1082</v>
      </c>
      <c r="C47" s="11"/>
      <c r="D47" s="11" t="s">
        <v>1086</v>
      </c>
      <c r="E47" s="11">
        <f xml:space="preserve"> IF($S$289,1,0)</f>
        <v>0</v>
      </c>
      <c r="F47" s="11" t="s">
        <v>1087</v>
      </c>
      <c r="G47" s="11">
        <v>0</v>
      </c>
      <c r="H47" s="11">
        <v>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2">
        <v>0</v>
      </c>
      <c r="R47" s="12">
        <v>0</v>
      </c>
      <c r="S47" s="12">
        <v>0</v>
      </c>
    </row>
    <row r="48" spans="1:19" x14ac:dyDescent="0.3">
      <c r="A48" s="10" t="s">
        <v>264</v>
      </c>
      <c r="B48" s="11" t="s">
        <v>265</v>
      </c>
      <c r="C48" s="11"/>
      <c r="D48" s="11" t="s">
        <v>266</v>
      </c>
      <c r="E48" s="11">
        <f xml:space="preserve"> IF($S$73,1,0)</f>
        <v>0</v>
      </c>
      <c r="F48" s="11" t="s">
        <v>267</v>
      </c>
      <c r="G48" s="11">
        <v>0</v>
      </c>
      <c r="H48" s="11">
        <v>0</v>
      </c>
      <c r="I48" s="11">
        <v>0</v>
      </c>
      <c r="J48" s="11">
        <v>0</v>
      </c>
      <c r="K48" s="11">
        <v>0</v>
      </c>
      <c r="L48" s="11">
        <v>0</v>
      </c>
      <c r="M48" s="11">
        <v>0</v>
      </c>
      <c r="N48" s="11">
        <v>0</v>
      </c>
      <c r="O48" s="11">
        <v>0</v>
      </c>
      <c r="P48" s="11">
        <v>0</v>
      </c>
      <c r="Q48" s="12">
        <v>0</v>
      </c>
      <c r="R48" s="12">
        <v>0</v>
      </c>
      <c r="S48" s="12">
        <v>0</v>
      </c>
    </row>
    <row r="49" spans="1:19" x14ac:dyDescent="0.3">
      <c r="A49" s="13" t="s">
        <v>1059</v>
      </c>
      <c r="B49" s="14" t="s">
        <v>1056</v>
      </c>
      <c r="C49" s="14" t="s">
        <v>278</v>
      </c>
      <c r="D49" s="14" t="s">
        <v>1060</v>
      </c>
      <c r="E49" s="14">
        <f xml:space="preserve"> IF($S$282,1,0)</f>
        <v>0</v>
      </c>
      <c r="F49" s="14" t="s">
        <v>1061</v>
      </c>
      <c r="G49" s="14">
        <v>0</v>
      </c>
      <c r="H49" s="14">
        <v>0</v>
      </c>
      <c r="I49" s="14">
        <v>0</v>
      </c>
      <c r="J49" s="14">
        <v>0</v>
      </c>
      <c r="K49" s="14">
        <v>0</v>
      </c>
      <c r="L49" s="14">
        <v>0</v>
      </c>
      <c r="M49" s="14">
        <v>0</v>
      </c>
      <c r="N49" s="14">
        <v>0</v>
      </c>
      <c r="O49" s="14">
        <v>0</v>
      </c>
      <c r="P49" s="14">
        <v>0</v>
      </c>
      <c r="Q49" s="15">
        <v>0</v>
      </c>
      <c r="R49" s="15">
        <v>0</v>
      </c>
      <c r="S49" s="15">
        <v>0</v>
      </c>
    </row>
    <row r="50" spans="1:19" x14ac:dyDescent="0.3">
      <c r="A50" s="10" t="s">
        <v>638</v>
      </c>
      <c r="B50" s="11" t="s">
        <v>639</v>
      </c>
      <c r="C50" s="11"/>
      <c r="D50" s="11" t="s">
        <v>274</v>
      </c>
      <c r="E50" s="11">
        <f xml:space="preserve"> IF($S$171,1,0)</f>
        <v>0</v>
      </c>
      <c r="F50" s="11" t="s">
        <v>640</v>
      </c>
      <c r="G50" s="11">
        <v>0</v>
      </c>
      <c r="H50" s="11">
        <v>0</v>
      </c>
      <c r="I50" s="11">
        <v>0</v>
      </c>
      <c r="J50" s="11">
        <v>0</v>
      </c>
      <c r="K50" s="11">
        <v>0</v>
      </c>
      <c r="L50" s="11">
        <v>0</v>
      </c>
      <c r="M50" s="11">
        <v>0</v>
      </c>
      <c r="N50" s="11">
        <v>0</v>
      </c>
      <c r="O50" s="11">
        <v>0</v>
      </c>
      <c r="P50" s="11">
        <v>0</v>
      </c>
      <c r="Q50" s="12">
        <v>0</v>
      </c>
      <c r="R50" s="12">
        <v>0</v>
      </c>
      <c r="S50" s="12">
        <v>0</v>
      </c>
    </row>
    <row r="51" spans="1:19" x14ac:dyDescent="0.3">
      <c r="A51" s="10" t="s">
        <v>803</v>
      </c>
      <c r="B51" s="11" t="s">
        <v>804</v>
      </c>
      <c r="C51" s="11" t="s">
        <v>34</v>
      </c>
      <c r="D51" s="11" t="s">
        <v>805</v>
      </c>
      <c r="E51" s="11">
        <f xml:space="preserve"> IF($S$215,1,0)</f>
        <v>0</v>
      </c>
      <c r="F51" s="11" t="s">
        <v>806</v>
      </c>
      <c r="G51" s="11">
        <v>0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2">
        <v>0</v>
      </c>
      <c r="R51" s="12">
        <v>0</v>
      </c>
      <c r="S51" s="12">
        <v>0</v>
      </c>
    </row>
    <row r="52" spans="1:19" x14ac:dyDescent="0.3">
      <c r="A52" s="10" t="s">
        <v>965</v>
      </c>
      <c r="B52" s="11" t="s">
        <v>966</v>
      </c>
      <c r="C52" s="11"/>
      <c r="D52" s="11" t="s">
        <v>609</v>
      </c>
      <c r="E52" s="11">
        <f xml:space="preserve"> IF($S$257,1,0)</f>
        <v>0</v>
      </c>
      <c r="F52" s="11" t="s">
        <v>967</v>
      </c>
      <c r="G52" s="11">
        <v>0</v>
      </c>
      <c r="H52" s="11">
        <v>0</v>
      </c>
      <c r="I52" s="11">
        <v>0</v>
      </c>
      <c r="J52" s="11">
        <v>0</v>
      </c>
      <c r="K52" s="11">
        <v>0</v>
      </c>
      <c r="L52" s="11">
        <v>0</v>
      </c>
      <c r="M52" s="11">
        <v>0</v>
      </c>
      <c r="N52" s="11">
        <v>0</v>
      </c>
      <c r="O52" s="11">
        <v>0</v>
      </c>
      <c r="P52" s="11">
        <v>0</v>
      </c>
      <c r="Q52" s="12">
        <v>0</v>
      </c>
      <c r="R52" s="12">
        <v>0</v>
      </c>
      <c r="S52" s="12">
        <v>0</v>
      </c>
    </row>
    <row r="53" spans="1:19" x14ac:dyDescent="0.3">
      <c r="A53" s="10" t="s">
        <v>213</v>
      </c>
      <c r="B53" s="11" t="s">
        <v>210</v>
      </c>
      <c r="C53" s="11"/>
      <c r="D53" s="11" t="s">
        <v>214</v>
      </c>
      <c r="E53" s="11">
        <f xml:space="preserve"> IF($S$59,1,0)</f>
        <v>0</v>
      </c>
      <c r="F53" s="11" t="s">
        <v>215</v>
      </c>
      <c r="G53" s="11">
        <v>0</v>
      </c>
      <c r="H53" s="11">
        <v>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2">
        <v>0</v>
      </c>
      <c r="R53" s="12">
        <v>0</v>
      </c>
      <c r="S53" s="12">
        <v>0</v>
      </c>
    </row>
    <row r="54" spans="1:19" x14ac:dyDescent="0.3">
      <c r="A54" s="13" t="s">
        <v>1007</v>
      </c>
      <c r="B54" s="14" t="s">
        <v>1004</v>
      </c>
      <c r="C54" s="14"/>
      <c r="D54" s="14" t="s">
        <v>1008</v>
      </c>
      <c r="E54" s="14">
        <f xml:space="preserve"> IF($S$268,1,0)</f>
        <v>1</v>
      </c>
      <c r="F54" s="14" t="s">
        <v>1009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5">
        <v>0</v>
      </c>
      <c r="R54" s="15">
        <v>0</v>
      </c>
      <c r="S54" s="15">
        <v>0</v>
      </c>
    </row>
    <row r="55" spans="1:19" x14ac:dyDescent="0.3">
      <c r="A55" s="10" t="s">
        <v>1120</v>
      </c>
      <c r="B55" s="11" t="s">
        <v>1117</v>
      </c>
      <c r="C55" s="11"/>
      <c r="D55" s="11" t="s">
        <v>1121</v>
      </c>
      <c r="E55" s="11">
        <f xml:space="preserve"> IF($S$299,1,0)</f>
        <v>1</v>
      </c>
      <c r="F55" s="11" t="s">
        <v>1122</v>
      </c>
      <c r="G55" s="11">
        <v>0</v>
      </c>
      <c r="H55" s="11">
        <v>0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2">
        <v>0</v>
      </c>
      <c r="R55" s="12">
        <v>0</v>
      </c>
      <c r="S55" s="12">
        <v>0</v>
      </c>
    </row>
    <row r="56" spans="1:19" x14ac:dyDescent="0.3">
      <c r="A56" s="13" t="s">
        <v>489</v>
      </c>
      <c r="B56" s="14" t="s">
        <v>490</v>
      </c>
      <c r="C56" s="14"/>
      <c r="D56" s="14" t="s">
        <v>491</v>
      </c>
      <c r="E56" s="14">
        <f xml:space="preserve"> IF($S$132,1,0)</f>
        <v>0</v>
      </c>
      <c r="F56" s="14" t="s">
        <v>492</v>
      </c>
      <c r="G56" s="14">
        <v>0</v>
      </c>
      <c r="H56" s="14">
        <v>0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5">
        <v>0</v>
      </c>
      <c r="R56" s="15">
        <v>0</v>
      </c>
      <c r="S56" s="15">
        <v>0</v>
      </c>
    </row>
    <row r="57" spans="1:19" x14ac:dyDescent="0.3">
      <c r="A57" s="10" t="s">
        <v>440</v>
      </c>
      <c r="B57" s="11" t="s">
        <v>441</v>
      </c>
      <c r="C57" s="11" t="s">
        <v>202</v>
      </c>
      <c r="D57" s="11" t="s">
        <v>442</v>
      </c>
      <c r="E57" s="11">
        <f xml:space="preserve"> IF($S$119,1,0)</f>
        <v>0</v>
      </c>
      <c r="F57" s="11" t="s">
        <v>443</v>
      </c>
      <c r="G57" s="11">
        <v>0</v>
      </c>
      <c r="H57" s="11">
        <v>0</v>
      </c>
      <c r="I57" s="11">
        <v>0</v>
      </c>
      <c r="J57" s="11">
        <v>0</v>
      </c>
      <c r="K57" s="11">
        <v>0</v>
      </c>
      <c r="L57" s="11">
        <v>0</v>
      </c>
      <c r="M57" s="11">
        <v>0</v>
      </c>
      <c r="N57" s="11">
        <v>0</v>
      </c>
      <c r="O57" s="11">
        <v>0</v>
      </c>
      <c r="P57" s="11">
        <v>0</v>
      </c>
      <c r="Q57" s="12">
        <v>0</v>
      </c>
      <c r="R57" s="12">
        <v>0</v>
      </c>
      <c r="S57" s="12">
        <v>0</v>
      </c>
    </row>
    <row r="58" spans="1:19" x14ac:dyDescent="0.3">
      <c r="A58" s="10" t="s">
        <v>866</v>
      </c>
      <c r="B58" s="11" t="s">
        <v>867</v>
      </c>
      <c r="C58" s="11"/>
      <c r="D58" s="11" t="s">
        <v>868</v>
      </c>
      <c r="E58" s="11">
        <f xml:space="preserve"> IF($S$231,1,0)</f>
        <v>0</v>
      </c>
      <c r="F58" s="11" t="s">
        <v>869</v>
      </c>
      <c r="G58" s="11">
        <v>0</v>
      </c>
      <c r="H58" s="11">
        <v>0</v>
      </c>
      <c r="I58" s="11">
        <v>0</v>
      </c>
      <c r="J58" s="11">
        <v>0</v>
      </c>
      <c r="K58" s="11">
        <v>0</v>
      </c>
      <c r="L58" s="11">
        <v>0</v>
      </c>
      <c r="M58" s="11">
        <v>0</v>
      </c>
      <c r="N58" s="11">
        <v>0</v>
      </c>
      <c r="O58" s="11">
        <v>0</v>
      </c>
      <c r="P58" s="11">
        <v>0</v>
      </c>
      <c r="Q58" s="12">
        <v>0</v>
      </c>
      <c r="R58" s="12">
        <v>0</v>
      </c>
      <c r="S58" s="12">
        <v>0</v>
      </c>
    </row>
    <row r="59" spans="1:19" x14ac:dyDescent="0.3">
      <c r="A59" s="13" t="s">
        <v>238</v>
      </c>
      <c r="B59" s="14" t="s">
        <v>235</v>
      </c>
      <c r="C59" s="14" t="s">
        <v>34</v>
      </c>
      <c r="D59" s="14" t="s">
        <v>239</v>
      </c>
      <c r="E59" s="14">
        <f xml:space="preserve"> IF($S$66,1,0)</f>
        <v>0</v>
      </c>
      <c r="F59" s="14" t="s">
        <v>240</v>
      </c>
      <c r="G59" s="14">
        <v>0</v>
      </c>
      <c r="H59" s="14">
        <v>0</v>
      </c>
      <c r="I59" s="14">
        <v>0</v>
      </c>
      <c r="J59" s="14">
        <v>0</v>
      </c>
      <c r="K59" s="14">
        <v>0</v>
      </c>
      <c r="L59" s="14">
        <v>0</v>
      </c>
      <c r="M59" s="14">
        <v>0</v>
      </c>
      <c r="N59" s="14">
        <v>0</v>
      </c>
      <c r="O59" s="14">
        <v>0</v>
      </c>
      <c r="P59" s="14">
        <v>0</v>
      </c>
      <c r="Q59" s="15">
        <v>0</v>
      </c>
      <c r="R59" s="15">
        <v>0</v>
      </c>
      <c r="S59" s="15">
        <v>0</v>
      </c>
    </row>
    <row r="60" spans="1:19" x14ac:dyDescent="0.3">
      <c r="A60" s="13" t="s">
        <v>1014</v>
      </c>
      <c r="B60" s="14" t="s">
        <v>1015</v>
      </c>
      <c r="C60" s="14"/>
      <c r="D60" s="14" t="s">
        <v>1016</v>
      </c>
      <c r="E60" s="14">
        <f xml:space="preserve"> IF($S$270,1,0)</f>
        <v>1</v>
      </c>
      <c r="F60" s="14" t="s">
        <v>1017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0</v>
      </c>
      <c r="M60" s="14">
        <v>0</v>
      </c>
      <c r="N60" s="14">
        <v>0</v>
      </c>
      <c r="O60" s="14">
        <v>0</v>
      </c>
      <c r="P60" s="14">
        <v>0</v>
      </c>
      <c r="Q60" s="15">
        <v>0</v>
      </c>
      <c r="R60" s="15">
        <v>0</v>
      </c>
      <c r="S60" s="15">
        <v>0</v>
      </c>
    </row>
    <row r="61" spans="1:19" x14ac:dyDescent="0.3">
      <c r="A61" s="13" t="s">
        <v>1155</v>
      </c>
      <c r="B61" s="14" t="s">
        <v>1156</v>
      </c>
      <c r="C61" s="14"/>
      <c r="D61" s="14" t="s">
        <v>1157</v>
      </c>
      <c r="E61" s="14">
        <f xml:space="preserve"> IF($S$310,1,0)</f>
        <v>0</v>
      </c>
      <c r="F61" s="14" t="s">
        <v>1158</v>
      </c>
      <c r="G61" s="14">
        <v>0</v>
      </c>
      <c r="H61" s="14">
        <v>4</v>
      </c>
      <c r="I61" s="14">
        <v>0</v>
      </c>
      <c r="J61" s="14">
        <v>0</v>
      </c>
      <c r="K61" s="14">
        <v>0</v>
      </c>
      <c r="L61" s="14">
        <v>0</v>
      </c>
      <c r="M61" s="14">
        <v>0</v>
      </c>
      <c r="N61" s="14">
        <v>0</v>
      </c>
      <c r="O61" s="14">
        <v>0</v>
      </c>
      <c r="P61" s="14">
        <v>1</v>
      </c>
      <c r="Q61" s="15">
        <v>11</v>
      </c>
      <c r="R61" s="15">
        <v>0</v>
      </c>
      <c r="S61" s="15">
        <v>11</v>
      </c>
    </row>
    <row r="62" spans="1:19" x14ac:dyDescent="0.3">
      <c r="A62" s="10" t="s">
        <v>553</v>
      </c>
      <c r="B62" s="11" t="s">
        <v>554</v>
      </c>
      <c r="C62" s="11"/>
      <c r="D62" s="11" t="s">
        <v>555</v>
      </c>
      <c r="E62" s="11">
        <f xml:space="preserve"> IF($S$149,1,0)</f>
        <v>0</v>
      </c>
      <c r="F62" s="11" t="s">
        <v>556</v>
      </c>
      <c r="G62" s="11">
        <v>0</v>
      </c>
      <c r="H62" s="11">
        <v>0</v>
      </c>
      <c r="I62" s="11">
        <v>0</v>
      </c>
      <c r="J62" s="11">
        <v>0</v>
      </c>
      <c r="K62" s="11">
        <v>0</v>
      </c>
      <c r="L62" s="11">
        <v>0</v>
      </c>
      <c r="M62" s="11">
        <v>0</v>
      </c>
      <c r="N62" s="11">
        <v>0</v>
      </c>
      <c r="O62" s="11">
        <v>0</v>
      </c>
      <c r="P62" s="11">
        <v>0</v>
      </c>
      <c r="Q62" s="12">
        <v>0</v>
      </c>
      <c r="R62" s="12">
        <v>0</v>
      </c>
      <c r="S62" s="12">
        <v>0</v>
      </c>
    </row>
    <row r="63" spans="1:19" x14ac:dyDescent="0.3">
      <c r="A63" s="13" t="s">
        <v>762</v>
      </c>
      <c r="B63" s="14" t="s">
        <v>763</v>
      </c>
      <c r="C63" s="14"/>
      <c r="D63" s="14" t="s">
        <v>764</v>
      </c>
      <c r="E63" s="14">
        <f xml:space="preserve"> IF($S$204,1,0)</f>
        <v>1</v>
      </c>
      <c r="F63" s="14" t="s">
        <v>765</v>
      </c>
      <c r="G63" s="14">
        <v>0</v>
      </c>
      <c r="H63" s="14">
        <v>0</v>
      </c>
      <c r="I63" s="14">
        <v>0</v>
      </c>
      <c r="J63" s="14">
        <v>0</v>
      </c>
      <c r="K63" s="14">
        <v>0</v>
      </c>
      <c r="L63" s="14">
        <v>0</v>
      </c>
      <c r="M63" s="14">
        <v>0</v>
      </c>
      <c r="N63" s="14">
        <v>0</v>
      </c>
      <c r="O63" s="14">
        <v>0</v>
      </c>
      <c r="P63" s="14">
        <v>0</v>
      </c>
      <c r="Q63" s="15">
        <v>0</v>
      </c>
      <c r="R63" s="15">
        <v>0</v>
      </c>
      <c r="S63" s="15">
        <v>0</v>
      </c>
    </row>
    <row r="64" spans="1:19" x14ac:dyDescent="0.3">
      <c r="A64" s="10" t="s">
        <v>41</v>
      </c>
      <c r="B64" s="11" t="s">
        <v>38</v>
      </c>
      <c r="C64" s="11"/>
      <c r="D64" s="11" t="s">
        <v>42</v>
      </c>
      <c r="E64" s="11">
        <f xml:space="preserve"> IF($S$13,1,0)</f>
        <v>0</v>
      </c>
      <c r="F64" s="11" t="s">
        <v>43</v>
      </c>
      <c r="G64" s="11">
        <v>0</v>
      </c>
      <c r="H64" s="11">
        <v>0</v>
      </c>
      <c r="I64" s="11">
        <v>0</v>
      </c>
      <c r="J64" s="11">
        <v>0</v>
      </c>
      <c r="K64" s="11">
        <v>0</v>
      </c>
      <c r="L64" s="11">
        <v>0</v>
      </c>
      <c r="M64" s="11">
        <v>0</v>
      </c>
      <c r="N64" s="11">
        <v>0</v>
      </c>
      <c r="O64" s="11">
        <v>0</v>
      </c>
      <c r="P64" s="11">
        <v>0</v>
      </c>
      <c r="Q64" s="12">
        <v>0</v>
      </c>
      <c r="R64" s="12">
        <v>0</v>
      </c>
      <c r="S64" s="12">
        <v>0</v>
      </c>
    </row>
    <row r="65" spans="1:19" x14ac:dyDescent="0.3">
      <c r="A65" s="13" t="s">
        <v>588</v>
      </c>
      <c r="B65" s="14" t="s">
        <v>589</v>
      </c>
      <c r="C65" s="14"/>
      <c r="D65" s="14" t="s">
        <v>590</v>
      </c>
      <c r="E65" s="14">
        <f xml:space="preserve"> IF($S$158,1,0)</f>
        <v>1</v>
      </c>
      <c r="F65" s="14" t="s">
        <v>591</v>
      </c>
      <c r="G65" s="14">
        <v>0</v>
      </c>
      <c r="H65" s="14">
        <v>0</v>
      </c>
      <c r="I65" s="14">
        <v>0</v>
      </c>
      <c r="J65" s="14">
        <v>0</v>
      </c>
      <c r="K65" s="14">
        <v>0</v>
      </c>
      <c r="L65" s="14">
        <v>0</v>
      </c>
      <c r="M65" s="14">
        <v>0</v>
      </c>
      <c r="N65" s="14">
        <v>0</v>
      </c>
      <c r="O65" s="14">
        <v>0</v>
      </c>
      <c r="P65" s="14">
        <v>0</v>
      </c>
      <c r="Q65" s="15">
        <v>0</v>
      </c>
      <c r="R65" s="15">
        <v>0</v>
      </c>
      <c r="S65" s="15">
        <v>0</v>
      </c>
    </row>
    <row r="66" spans="1:19" x14ac:dyDescent="0.3">
      <c r="A66" s="10" t="s">
        <v>920</v>
      </c>
      <c r="B66" s="11" t="s">
        <v>917</v>
      </c>
      <c r="C66" s="11"/>
      <c r="D66" s="11" t="s">
        <v>921</v>
      </c>
      <c r="E66" s="11">
        <f xml:space="preserve"> IF($S$245,1,0)</f>
        <v>1</v>
      </c>
      <c r="F66" s="11" t="s">
        <v>922</v>
      </c>
      <c r="G66" s="11">
        <v>0</v>
      </c>
      <c r="H66" s="11">
        <v>0</v>
      </c>
      <c r="I66" s="11">
        <v>0</v>
      </c>
      <c r="J66" s="11">
        <v>0</v>
      </c>
      <c r="K66" s="11">
        <v>0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2">
        <v>0</v>
      </c>
      <c r="R66" s="12">
        <v>0</v>
      </c>
      <c r="S66" s="12">
        <v>0</v>
      </c>
    </row>
    <row r="67" spans="1:19" x14ac:dyDescent="0.3">
      <c r="A67" s="10" t="s">
        <v>298</v>
      </c>
      <c r="B67" s="11" t="s">
        <v>295</v>
      </c>
      <c r="C67" s="11"/>
      <c r="D67" s="11" t="s">
        <v>299</v>
      </c>
      <c r="E67" s="11">
        <f xml:space="preserve"> IF($S$81,1,0)</f>
        <v>0</v>
      </c>
      <c r="F67" s="11" t="s">
        <v>300</v>
      </c>
      <c r="G67" s="11">
        <v>0</v>
      </c>
      <c r="H67" s="11">
        <v>0</v>
      </c>
      <c r="I67" s="11">
        <v>0</v>
      </c>
      <c r="J67" s="11">
        <v>0</v>
      </c>
      <c r="K67" s="11">
        <v>5</v>
      </c>
      <c r="L67" s="11">
        <v>5</v>
      </c>
      <c r="M67" s="11">
        <v>0</v>
      </c>
      <c r="N67" s="11">
        <v>0</v>
      </c>
      <c r="O67" s="11">
        <v>0</v>
      </c>
      <c r="P67" s="11">
        <v>0</v>
      </c>
      <c r="Q67" s="12">
        <v>25</v>
      </c>
      <c r="R67" s="12">
        <v>0</v>
      </c>
      <c r="S67" s="12">
        <v>25</v>
      </c>
    </row>
    <row r="68" spans="1:19" x14ac:dyDescent="0.3">
      <c r="A68" s="10" t="s">
        <v>180</v>
      </c>
      <c r="B68" s="11" t="s">
        <v>177</v>
      </c>
      <c r="C68" s="11"/>
      <c r="D68" s="11" t="s">
        <v>181</v>
      </c>
      <c r="E68" s="11">
        <f xml:space="preserve"> IF($S$49,1,0)</f>
        <v>0</v>
      </c>
      <c r="F68" s="11" t="s">
        <v>182</v>
      </c>
      <c r="G68" s="11">
        <v>0</v>
      </c>
      <c r="H68" s="11">
        <v>6</v>
      </c>
      <c r="I68" s="11">
        <v>0</v>
      </c>
      <c r="J68" s="11">
        <v>0</v>
      </c>
      <c r="K68" s="11">
        <v>0</v>
      </c>
      <c r="L68" s="11">
        <v>4</v>
      </c>
      <c r="M68" s="11">
        <v>0</v>
      </c>
      <c r="N68" s="11">
        <v>0</v>
      </c>
      <c r="O68" s="11">
        <v>0</v>
      </c>
      <c r="P68" s="11">
        <v>0</v>
      </c>
      <c r="Q68" s="12">
        <v>24</v>
      </c>
      <c r="R68" s="12">
        <v>0</v>
      </c>
      <c r="S68" s="12">
        <v>24</v>
      </c>
    </row>
    <row r="69" spans="1:19" x14ac:dyDescent="0.3">
      <c r="A69" s="13" t="s">
        <v>731</v>
      </c>
      <c r="B69" s="14" t="s">
        <v>732</v>
      </c>
      <c r="C69" s="14"/>
      <c r="D69" s="14" t="s">
        <v>733</v>
      </c>
      <c r="E69" s="14">
        <f xml:space="preserve"> IF($S$196,1,0)</f>
        <v>0</v>
      </c>
      <c r="F69" s="14" t="s">
        <v>734</v>
      </c>
      <c r="G69" s="14">
        <v>0</v>
      </c>
      <c r="H69" s="14">
        <v>0</v>
      </c>
      <c r="I69" s="14">
        <v>0</v>
      </c>
      <c r="J69" s="14">
        <v>0</v>
      </c>
      <c r="K69" s="14">
        <v>0</v>
      </c>
      <c r="L69" s="14">
        <v>0</v>
      </c>
      <c r="M69" s="14">
        <v>0</v>
      </c>
      <c r="N69" s="14">
        <v>0</v>
      </c>
      <c r="O69" s="14">
        <v>0</v>
      </c>
      <c r="P69" s="14">
        <v>0</v>
      </c>
      <c r="Q69" s="15">
        <v>0</v>
      </c>
      <c r="R69" s="15">
        <v>0</v>
      </c>
      <c r="S69" s="15">
        <v>0</v>
      </c>
    </row>
    <row r="70" spans="1:19" x14ac:dyDescent="0.3">
      <c r="A70" s="13" t="s">
        <v>90</v>
      </c>
      <c r="B70" s="14" t="s">
        <v>91</v>
      </c>
      <c r="C70" s="14"/>
      <c r="D70" s="14" t="s">
        <v>92</v>
      </c>
      <c r="E70" s="14">
        <f xml:space="preserve"> IF($S$26,1,0)</f>
        <v>0</v>
      </c>
      <c r="F70" s="14" t="s">
        <v>93</v>
      </c>
      <c r="G70" s="14">
        <v>0</v>
      </c>
      <c r="H70" s="14">
        <v>0</v>
      </c>
      <c r="I70" s="14">
        <v>0</v>
      </c>
      <c r="J70" s="14">
        <v>0</v>
      </c>
      <c r="K70" s="14">
        <v>0</v>
      </c>
      <c r="L70" s="14">
        <v>0</v>
      </c>
      <c r="M70" s="14">
        <v>0</v>
      </c>
      <c r="N70" s="14">
        <v>0</v>
      </c>
      <c r="O70" s="14">
        <v>0</v>
      </c>
      <c r="P70" s="14">
        <v>0</v>
      </c>
      <c r="Q70" s="15">
        <v>0</v>
      </c>
      <c r="R70" s="15">
        <v>0</v>
      </c>
      <c r="S70" s="15">
        <v>0</v>
      </c>
    </row>
    <row r="71" spans="1:19" x14ac:dyDescent="0.3">
      <c r="A71" s="13" t="s">
        <v>831</v>
      </c>
      <c r="B71" s="14" t="s">
        <v>832</v>
      </c>
      <c r="C71" s="14"/>
      <c r="D71" s="14" t="s">
        <v>833</v>
      </c>
      <c r="E71" s="14">
        <f xml:space="preserve"> IF($S$222,1,0)</f>
        <v>0</v>
      </c>
      <c r="F71" s="14" t="s">
        <v>834</v>
      </c>
      <c r="G71" s="14">
        <v>0</v>
      </c>
      <c r="H71" s="14">
        <v>0</v>
      </c>
      <c r="I71" s="14">
        <v>0</v>
      </c>
      <c r="J71" s="14">
        <v>0</v>
      </c>
      <c r="K71" s="14">
        <v>0</v>
      </c>
      <c r="L71" s="14">
        <v>1</v>
      </c>
      <c r="M71" s="14">
        <v>1</v>
      </c>
      <c r="N71" s="14">
        <v>0</v>
      </c>
      <c r="O71" s="14">
        <v>0</v>
      </c>
      <c r="P71" s="14">
        <v>0</v>
      </c>
      <c r="Q71" s="15">
        <v>7</v>
      </c>
      <c r="R71" s="15">
        <v>0</v>
      </c>
      <c r="S71" s="15">
        <v>7</v>
      </c>
    </row>
    <row r="72" spans="1:19" x14ac:dyDescent="0.3">
      <c r="A72" s="13" t="s">
        <v>452</v>
      </c>
      <c r="B72" s="14" t="s">
        <v>453</v>
      </c>
      <c r="C72" s="14"/>
      <c r="D72" s="14" t="s">
        <v>454</v>
      </c>
      <c r="E72" s="14">
        <f xml:space="preserve"> IF($S$122,1,0)</f>
        <v>0</v>
      </c>
      <c r="F72" s="14" t="s">
        <v>455</v>
      </c>
      <c r="G72" s="14">
        <v>6</v>
      </c>
      <c r="H72" s="14">
        <v>0</v>
      </c>
      <c r="I72" s="14">
        <v>0</v>
      </c>
      <c r="J72" s="14">
        <v>0</v>
      </c>
      <c r="K72" s="14">
        <v>0</v>
      </c>
      <c r="L72" s="14">
        <v>0</v>
      </c>
      <c r="M72" s="14">
        <v>0</v>
      </c>
      <c r="N72" s="14">
        <v>0</v>
      </c>
      <c r="O72" s="14">
        <v>0</v>
      </c>
      <c r="P72" s="14">
        <v>0</v>
      </c>
      <c r="Q72" s="15">
        <v>6.6000000000000005</v>
      </c>
      <c r="R72" s="15">
        <v>0</v>
      </c>
      <c r="S72" s="15">
        <v>6.6000000000000005</v>
      </c>
    </row>
    <row r="73" spans="1:19" x14ac:dyDescent="0.3">
      <c r="A73" s="10" t="s">
        <v>950</v>
      </c>
      <c r="B73" s="11" t="s">
        <v>951</v>
      </c>
      <c r="C73" s="11" t="s">
        <v>34</v>
      </c>
      <c r="D73" s="11" t="s">
        <v>118</v>
      </c>
      <c r="E73" s="11">
        <f xml:space="preserve"> IF($S$253,1,0)</f>
        <v>0</v>
      </c>
      <c r="F73" s="11" t="s">
        <v>952</v>
      </c>
      <c r="G73" s="11">
        <v>0</v>
      </c>
      <c r="H73" s="11">
        <v>0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2">
        <v>0</v>
      </c>
      <c r="R73" s="12">
        <v>0</v>
      </c>
      <c r="S73" s="12">
        <v>0</v>
      </c>
    </row>
    <row r="74" spans="1:19" x14ac:dyDescent="0.3">
      <c r="A74" s="13" t="s">
        <v>976</v>
      </c>
      <c r="B74" s="14" t="s">
        <v>977</v>
      </c>
      <c r="C74" s="14"/>
      <c r="D74" s="14" t="s">
        <v>978</v>
      </c>
      <c r="E74" s="14">
        <f xml:space="preserve"> IF($S$260,1,0)</f>
        <v>0</v>
      </c>
      <c r="F74" s="14" t="s">
        <v>979</v>
      </c>
      <c r="G74" s="14">
        <v>0</v>
      </c>
      <c r="H74" s="14">
        <v>0</v>
      </c>
      <c r="I74" s="14">
        <v>0</v>
      </c>
      <c r="J74" s="14">
        <v>0</v>
      </c>
      <c r="K74" s="14">
        <v>0</v>
      </c>
      <c r="L74" s="14">
        <v>0</v>
      </c>
      <c r="M74" s="14">
        <v>0</v>
      </c>
      <c r="N74" s="14">
        <v>0</v>
      </c>
      <c r="O74" s="14">
        <v>0</v>
      </c>
      <c r="P74" s="14">
        <v>0</v>
      </c>
      <c r="Q74" s="15">
        <v>0</v>
      </c>
      <c r="R74" s="15">
        <v>0</v>
      </c>
      <c r="S74" s="15">
        <v>0</v>
      </c>
    </row>
    <row r="75" spans="1:19" x14ac:dyDescent="0.3">
      <c r="A75" s="10" t="s">
        <v>796</v>
      </c>
      <c r="B75" s="11" t="s">
        <v>797</v>
      </c>
      <c r="C75" s="11"/>
      <c r="D75" s="11" t="s">
        <v>798</v>
      </c>
      <c r="E75" s="11">
        <f xml:space="preserve"> IF($S$213,1,0)</f>
        <v>0</v>
      </c>
      <c r="F75" s="11" t="s">
        <v>799</v>
      </c>
      <c r="G75" s="11">
        <v>0</v>
      </c>
      <c r="H75" s="11">
        <v>0</v>
      </c>
      <c r="I75" s="11">
        <v>0</v>
      </c>
      <c r="J75" s="11">
        <v>0</v>
      </c>
      <c r="K75" s="11">
        <v>0</v>
      </c>
      <c r="L75" s="11">
        <v>0</v>
      </c>
      <c r="M75" s="11">
        <v>0</v>
      </c>
      <c r="N75" s="11">
        <v>0</v>
      </c>
      <c r="O75" s="11">
        <v>0</v>
      </c>
      <c r="P75" s="11">
        <v>0</v>
      </c>
      <c r="Q75" s="12">
        <v>0</v>
      </c>
      <c r="R75" s="12">
        <v>0</v>
      </c>
      <c r="S75" s="12">
        <v>0</v>
      </c>
    </row>
    <row r="76" spans="1:19" x14ac:dyDescent="0.3">
      <c r="A76" s="10" t="s">
        <v>241</v>
      </c>
      <c r="B76" s="11" t="s">
        <v>242</v>
      </c>
      <c r="C76" s="11" t="s">
        <v>243</v>
      </c>
      <c r="D76" s="11" t="s">
        <v>244</v>
      </c>
      <c r="E76" s="11">
        <f xml:space="preserve"> IF($S$67,1,0)</f>
        <v>1</v>
      </c>
      <c r="F76" s="11" t="s">
        <v>245</v>
      </c>
      <c r="G76" s="11">
        <v>0</v>
      </c>
      <c r="H76" s="11">
        <v>0</v>
      </c>
      <c r="I76" s="11">
        <v>0</v>
      </c>
      <c r="J76" s="11">
        <v>0</v>
      </c>
      <c r="K76" s="11">
        <v>0</v>
      </c>
      <c r="L76" s="11">
        <v>0</v>
      </c>
      <c r="M76" s="11">
        <v>0</v>
      </c>
      <c r="N76" s="11">
        <v>0</v>
      </c>
      <c r="O76" s="11">
        <v>0</v>
      </c>
      <c r="P76" s="11">
        <v>0</v>
      </c>
      <c r="Q76" s="12">
        <v>0</v>
      </c>
      <c r="R76" s="12">
        <v>0</v>
      </c>
      <c r="S76" s="12">
        <v>0</v>
      </c>
    </row>
    <row r="77" spans="1:19" x14ac:dyDescent="0.3">
      <c r="A77" s="10" t="s">
        <v>80</v>
      </c>
      <c r="B77" s="11" t="s">
        <v>77</v>
      </c>
      <c r="C77" s="11" t="s">
        <v>65</v>
      </c>
      <c r="D77" s="11" t="s">
        <v>81</v>
      </c>
      <c r="E77" s="11">
        <f xml:space="preserve"> IF($S$23,1,0)</f>
        <v>0</v>
      </c>
      <c r="F77" s="11" t="s">
        <v>82</v>
      </c>
      <c r="G77" s="11">
        <v>0</v>
      </c>
      <c r="H77" s="11">
        <v>0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2">
        <v>0</v>
      </c>
      <c r="R77" s="12">
        <v>0</v>
      </c>
      <c r="S77" s="12">
        <v>0</v>
      </c>
    </row>
    <row r="78" spans="1:19" x14ac:dyDescent="0.3">
      <c r="A78" s="13" t="s">
        <v>1149</v>
      </c>
      <c r="B78" s="14" t="s">
        <v>1142</v>
      </c>
      <c r="C78" s="14"/>
      <c r="D78" s="14" t="s">
        <v>1150</v>
      </c>
      <c r="E78" s="14">
        <f xml:space="preserve"> IF($S$308,1,0)</f>
        <v>0</v>
      </c>
      <c r="F78" s="14" t="s">
        <v>1151</v>
      </c>
      <c r="G78" s="14">
        <v>0</v>
      </c>
      <c r="H78" s="14">
        <v>0</v>
      </c>
      <c r="I78" s="14">
        <v>0</v>
      </c>
      <c r="J78" s="14">
        <v>0</v>
      </c>
      <c r="K78" s="14">
        <v>0</v>
      </c>
      <c r="L78" s="14">
        <v>0</v>
      </c>
      <c r="M78" s="14">
        <v>0</v>
      </c>
      <c r="N78" s="14">
        <v>0</v>
      </c>
      <c r="O78" s="14">
        <v>0</v>
      </c>
      <c r="P78" s="14">
        <v>0</v>
      </c>
      <c r="Q78" s="15">
        <v>0</v>
      </c>
      <c r="R78" s="15">
        <v>0</v>
      </c>
      <c r="S78" s="15">
        <v>0</v>
      </c>
    </row>
    <row r="79" spans="1:19" x14ac:dyDescent="0.3">
      <c r="A79" s="13" t="s">
        <v>1088</v>
      </c>
      <c r="B79" s="14" t="s">
        <v>1082</v>
      </c>
      <c r="C79" s="14" t="s">
        <v>65</v>
      </c>
      <c r="D79" s="14" t="s">
        <v>1089</v>
      </c>
      <c r="E79" s="14">
        <f xml:space="preserve"> IF($S$290,1,0)</f>
        <v>1</v>
      </c>
      <c r="F79" s="14" t="s">
        <v>1090</v>
      </c>
      <c r="G79" s="14">
        <v>0</v>
      </c>
      <c r="H79" s="14">
        <v>0</v>
      </c>
      <c r="I79" s="14">
        <v>0</v>
      </c>
      <c r="J79" s="14">
        <v>0</v>
      </c>
      <c r="K79" s="14">
        <v>0</v>
      </c>
      <c r="L79" s="14">
        <v>0</v>
      </c>
      <c r="M79" s="14">
        <v>0</v>
      </c>
      <c r="N79" s="14">
        <v>0</v>
      </c>
      <c r="O79" s="14">
        <v>0</v>
      </c>
      <c r="P79" s="14">
        <v>0</v>
      </c>
      <c r="Q79" s="15">
        <v>0</v>
      </c>
      <c r="R79" s="15">
        <v>0</v>
      </c>
      <c r="S79" s="15">
        <v>0</v>
      </c>
    </row>
    <row r="80" spans="1:19" x14ac:dyDescent="0.3">
      <c r="A80" s="13" t="s">
        <v>999</v>
      </c>
      <c r="B80" s="14" t="s">
        <v>1000</v>
      </c>
      <c r="C80" s="14" t="s">
        <v>202</v>
      </c>
      <c r="D80" s="14" t="s">
        <v>1001</v>
      </c>
      <c r="E80" s="14">
        <f xml:space="preserve"> IF($S$266,1,0)</f>
        <v>0</v>
      </c>
      <c r="F80" s="14" t="s">
        <v>1002</v>
      </c>
      <c r="G80" s="14">
        <v>0</v>
      </c>
      <c r="H80" s="14">
        <v>0</v>
      </c>
      <c r="I80" s="14">
        <v>0</v>
      </c>
      <c r="J80" s="14">
        <v>0</v>
      </c>
      <c r="K80" s="14">
        <v>0</v>
      </c>
      <c r="L80" s="14">
        <v>0</v>
      </c>
      <c r="M80" s="14">
        <v>0</v>
      </c>
      <c r="N80" s="14">
        <v>0</v>
      </c>
      <c r="O80" s="14">
        <v>0</v>
      </c>
      <c r="P80" s="14">
        <v>0</v>
      </c>
      <c r="Q80" s="15">
        <v>0</v>
      </c>
      <c r="R80" s="15">
        <v>0</v>
      </c>
      <c r="S80" s="15">
        <v>0</v>
      </c>
    </row>
    <row r="81" spans="1:19" x14ac:dyDescent="0.3">
      <c r="A81" s="10" t="s">
        <v>507</v>
      </c>
      <c r="B81" s="11" t="s">
        <v>508</v>
      </c>
      <c r="C81" s="11" t="s">
        <v>65</v>
      </c>
      <c r="D81" s="11" t="s">
        <v>509</v>
      </c>
      <c r="E81" s="11">
        <f xml:space="preserve"> IF($S$137,1,0)</f>
        <v>1</v>
      </c>
      <c r="F81" s="11" t="s">
        <v>510</v>
      </c>
      <c r="G81" s="11">
        <v>0</v>
      </c>
      <c r="H81" s="11">
        <v>0</v>
      </c>
      <c r="I81" s="11">
        <v>0</v>
      </c>
      <c r="J81" s="11">
        <v>0</v>
      </c>
      <c r="K81" s="11">
        <v>0</v>
      </c>
      <c r="L81" s="11">
        <v>0</v>
      </c>
      <c r="M81" s="11">
        <v>0</v>
      </c>
      <c r="N81" s="11">
        <v>0</v>
      </c>
      <c r="O81" s="11">
        <v>0</v>
      </c>
      <c r="P81" s="11">
        <v>0</v>
      </c>
      <c r="Q81" s="12">
        <v>0</v>
      </c>
      <c r="R81" s="12">
        <v>0</v>
      </c>
      <c r="S81" s="12">
        <v>0</v>
      </c>
    </row>
    <row r="82" spans="1:19" x14ac:dyDescent="0.3">
      <c r="A82" s="13" t="s">
        <v>473</v>
      </c>
      <c r="B82" s="14" t="s">
        <v>474</v>
      </c>
      <c r="C82" s="14"/>
      <c r="D82" s="14" t="s">
        <v>475</v>
      </c>
      <c r="E82" s="14">
        <f xml:space="preserve"> IF($S$128,1,0)</f>
        <v>0</v>
      </c>
      <c r="F82" s="14" t="s">
        <v>476</v>
      </c>
      <c r="G82" s="14">
        <v>0</v>
      </c>
      <c r="H82" s="14">
        <v>0</v>
      </c>
      <c r="I82" s="14">
        <v>0</v>
      </c>
      <c r="J82" s="14">
        <v>0</v>
      </c>
      <c r="K82" s="14">
        <v>0</v>
      </c>
      <c r="L82" s="14">
        <v>0</v>
      </c>
      <c r="M82" s="14">
        <v>0</v>
      </c>
      <c r="N82" s="14">
        <v>0</v>
      </c>
      <c r="O82" s="14">
        <v>0</v>
      </c>
      <c r="P82" s="14">
        <v>0</v>
      </c>
      <c r="Q82" s="15">
        <v>0</v>
      </c>
      <c r="R82" s="15">
        <v>0</v>
      </c>
      <c r="S82" s="15">
        <v>0</v>
      </c>
    </row>
    <row r="83" spans="1:19" x14ac:dyDescent="0.3">
      <c r="A83" s="10" t="s">
        <v>1055</v>
      </c>
      <c r="B83" s="11" t="s">
        <v>1056</v>
      </c>
      <c r="C83" s="11" t="s">
        <v>243</v>
      </c>
      <c r="D83" s="11" t="s">
        <v>1057</v>
      </c>
      <c r="E83" s="11">
        <f xml:space="preserve"> IF($S$281,1,0)</f>
        <v>0</v>
      </c>
      <c r="F83" s="11" t="s">
        <v>1058</v>
      </c>
      <c r="G83" s="11">
        <v>0</v>
      </c>
      <c r="H83" s="11">
        <v>0</v>
      </c>
      <c r="I83" s="11">
        <v>0</v>
      </c>
      <c r="J83" s="11">
        <v>0</v>
      </c>
      <c r="K83" s="11">
        <v>0</v>
      </c>
      <c r="L83" s="11">
        <v>0</v>
      </c>
      <c r="M83" s="11">
        <v>0</v>
      </c>
      <c r="N83" s="11">
        <v>0</v>
      </c>
      <c r="O83" s="11">
        <v>0</v>
      </c>
      <c r="P83" s="11">
        <v>0</v>
      </c>
      <c r="Q83" s="12">
        <v>0</v>
      </c>
      <c r="R83" s="12">
        <v>0</v>
      </c>
      <c r="S83" s="12">
        <v>0</v>
      </c>
    </row>
    <row r="84" spans="1:19" x14ac:dyDescent="0.3">
      <c r="A84" s="13" t="s">
        <v>746</v>
      </c>
      <c r="B84" s="14" t="s">
        <v>747</v>
      </c>
      <c r="C84" s="14"/>
      <c r="D84" s="14" t="s">
        <v>748</v>
      </c>
      <c r="E84" s="14">
        <f xml:space="preserve"> IF($S$200,1,0)</f>
        <v>0</v>
      </c>
      <c r="F84" s="14" t="s">
        <v>749</v>
      </c>
      <c r="G84" s="14">
        <v>0</v>
      </c>
      <c r="H84" s="14">
        <v>0</v>
      </c>
      <c r="I84" s="14">
        <v>0</v>
      </c>
      <c r="J84" s="14">
        <v>0</v>
      </c>
      <c r="K84" s="14">
        <v>0</v>
      </c>
      <c r="L84" s="14">
        <v>0</v>
      </c>
      <c r="M84" s="14">
        <v>0</v>
      </c>
      <c r="N84" s="14">
        <v>0</v>
      </c>
      <c r="O84" s="14">
        <v>0</v>
      </c>
      <c r="P84" s="14">
        <v>0</v>
      </c>
      <c r="Q84" s="15">
        <v>0</v>
      </c>
      <c r="R84" s="15">
        <v>0</v>
      </c>
      <c r="S84" s="15">
        <v>0</v>
      </c>
    </row>
    <row r="85" spans="1:19" x14ac:dyDescent="0.3">
      <c r="A85" s="10" t="s">
        <v>321</v>
      </c>
      <c r="B85" s="11" t="s">
        <v>322</v>
      </c>
      <c r="C85" s="11"/>
      <c r="D85" s="11" t="s">
        <v>323</v>
      </c>
      <c r="E85" s="11">
        <f xml:space="preserve"> IF($S$87,1,0)</f>
        <v>0</v>
      </c>
      <c r="F85" s="11" t="s">
        <v>324</v>
      </c>
      <c r="G85" s="11">
        <v>0</v>
      </c>
      <c r="H85" s="11">
        <v>0</v>
      </c>
      <c r="I85" s="11">
        <v>0</v>
      </c>
      <c r="J85" s="11">
        <v>0</v>
      </c>
      <c r="K85" s="11">
        <v>0</v>
      </c>
      <c r="L85" s="11">
        <v>0</v>
      </c>
      <c r="M85" s="11">
        <v>0</v>
      </c>
      <c r="N85" s="11">
        <v>0</v>
      </c>
      <c r="O85" s="11">
        <v>0</v>
      </c>
      <c r="P85" s="11">
        <v>0</v>
      </c>
      <c r="Q85" s="12">
        <v>0</v>
      </c>
      <c r="R85" s="12">
        <v>0</v>
      </c>
      <c r="S85" s="12">
        <v>0</v>
      </c>
    </row>
    <row r="86" spans="1:19" x14ac:dyDescent="0.3">
      <c r="A86" s="10" t="s">
        <v>995</v>
      </c>
      <c r="B86" s="11" t="s">
        <v>996</v>
      </c>
      <c r="C86" s="11"/>
      <c r="D86" s="11" t="s">
        <v>997</v>
      </c>
      <c r="E86" s="11">
        <f xml:space="preserve"> IF($S$265,1,0)</f>
        <v>1</v>
      </c>
      <c r="F86" s="11" t="s">
        <v>998</v>
      </c>
      <c r="G86" s="11">
        <v>2</v>
      </c>
      <c r="H86" s="11">
        <v>0</v>
      </c>
      <c r="I86" s="11">
        <v>0</v>
      </c>
      <c r="J86" s="11">
        <v>0</v>
      </c>
      <c r="K86" s="11">
        <v>0</v>
      </c>
      <c r="L86" s="11">
        <v>2</v>
      </c>
      <c r="M86" s="11">
        <v>2</v>
      </c>
      <c r="N86" s="11">
        <v>0</v>
      </c>
      <c r="O86" s="11">
        <v>0</v>
      </c>
      <c r="P86" s="11">
        <v>1</v>
      </c>
      <c r="Q86" s="12">
        <v>19.2</v>
      </c>
      <c r="R86" s="12">
        <v>0</v>
      </c>
      <c r="S86" s="12">
        <v>19.2</v>
      </c>
    </row>
    <row r="87" spans="1:19" x14ac:dyDescent="0.3">
      <c r="A87" s="13" t="s">
        <v>716</v>
      </c>
      <c r="B87" s="14" t="s">
        <v>717</v>
      </c>
      <c r="C87" s="14"/>
      <c r="D87" s="14" t="s">
        <v>718</v>
      </c>
      <c r="E87" s="14">
        <f xml:space="preserve"> IF($S$192,1,0)</f>
        <v>0</v>
      </c>
      <c r="F87" s="14" t="s">
        <v>719</v>
      </c>
      <c r="G87" s="14">
        <v>0</v>
      </c>
      <c r="H87" s="14">
        <v>0</v>
      </c>
      <c r="I87" s="14">
        <v>0</v>
      </c>
      <c r="J87" s="14">
        <v>0</v>
      </c>
      <c r="K87" s="14">
        <v>0</v>
      </c>
      <c r="L87" s="14">
        <v>0</v>
      </c>
      <c r="M87" s="14">
        <v>0</v>
      </c>
      <c r="N87" s="14">
        <v>0</v>
      </c>
      <c r="O87" s="14">
        <v>0</v>
      </c>
      <c r="P87" s="14">
        <v>0</v>
      </c>
      <c r="Q87" s="15">
        <v>0</v>
      </c>
      <c r="R87" s="15">
        <v>0</v>
      </c>
      <c r="S87" s="15">
        <v>0</v>
      </c>
    </row>
    <row r="88" spans="1:19" x14ac:dyDescent="0.3">
      <c r="A88" s="13" t="s">
        <v>1144</v>
      </c>
      <c r="B88" s="14" t="s">
        <v>1142</v>
      </c>
      <c r="C88" s="14"/>
      <c r="D88" s="14" t="s">
        <v>1145</v>
      </c>
      <c r="E88" s="14">
        <f xml:space="preserve"> IF($S$306,1,0)</f>
        <v>1</v>
      </c>
      <c r="F88" s="14" t="s">
        <v>1146</v>
      </c>
      <c r="G88" s="14">
        <v>6</v>
      </c>
      <c r="H88" s="14">
        <v>0</v>
      </c>
      <c r="I88" s="14">
        <v>0</v>
      </c>
      <c r="J88" s="14">
        <v>0</v>
      </c>
      <c r="K88" s="14">
        <v>0</v>
      </c>
      <c r="L88" s="14">
        <v>2</v>
      </c>
      <c r="M88" s="14">
        <v>0</v>
      </c>
      <c r="N88" s="14">
        <v>0</v>
      </c>
      <c r="O88" s="14">
        <v>0</v>
      </c>
      <c r="P88" s="14">
        <v>1</v>
      </c>
      <c r="Q88" s="15">
        <v>15.600000000000001</v>
      </c>
      <c r="R88" s="15">
        <v>0</v>
      </c>
      <c r="S88" s="15">
        <v>15.600000000000001</v>
      </c>
    </row>
    <row r="89" spans="1:19" x14ac:dyDescent="0.3">
      <c r="A89" s="13" t="s">
        <v>425</v>
      </c>
      <c r="B89" s="14" t="s">
        <v>426</v>
      </c>
      <c r="C89" s="14" t="s">
        <v>34</v>
      </c>
      <c r="D89" s="14" t="s">
        <v>427</v>
      </c>
      <c r="E89" s="14">
        <f xml:space="preserve"> IF($S$114,1,0)</f>
        <v>1</v>
      </c>
      <c r="F89" s="14" t="s">
        <v>428</v>
      </c>
      <c r="G89" s="14">
        <v>0</v>
      </c>
      <c r="H89" s="14">
        <v>0</v>
      </c>
      <c r="I89" s="14">
        <v>0</v>
      </c>
      <c r="J89" s="14">
        <v>0</v>
      </c>
      <c r="K89" s="14">
        <v>0</v>
      </c>
      <c r="L89" s="14">
        <v>0</v>
      </c>
      <c r="M89" s="14">
        <v>0</v>
      </c>
      <c r="N89" s="14">
        <v>0</v>
      </c>
      <c r="O89" s="14">
        <v>0</v>
      </c>
      <c r="P89" s="14">
        <v>0</v>
      </c>
      <c r="Q89" s="15">
        <v>0</v>
      </c>
      <c r="R89" s="15">
        <v>0</v>
      </c>
      <c r="S89" s="15">
        <v>0</v>
      </c>
    </row>
    <row r="90" spans="1:19" x14ac:dyDescent="0.3">
      <c r="A90" s="13" t="s">
        <v>580</v>
      </c>
      <c r="B90" s="14" t="s">
        <v>581</v>
      </c>
      <c r="C90" s="14"/>
      <c r="D90" s="14" t="s">
        <v>582</v>
      </c>
      <c r="E90" s="14">
        <f xml:space="preserve"> IF($S$156,1,0)</f>
        <v>0</v>
      </c>
      <c r="F90" s="14" t="s">
        <v>583</v>
      </c>
      <c r="G90" s="14">
        <v>0</v>
      </c>
      <c r="H90" s="14">
        <v>3</v>
      </c>
      <c r="I90" s="14">
        <v>0</v>
      </c>
      <c r="J90" s="14">
        <v>0</v>
      </c>
      <c r="K90" s="14">
        <v>1</v>
      </c>
      <c r="L90" s="14">
        <v>1</v>
      </c>
      <c r="M90" s="14">
        <v>0</v>
      </c>
      <c r="N90" s="14">
        <v>0</v>
      </c>
      <c r="O90" s="14">
        <v>0</v>
      </c>
      <c r="P90" s="14">
        <v>1</v>
      </c>
      <c r="Q90" s="15">
        <v>14</v>
      </c>
      <c r="R90" s="15">
        <v>0</v>
      </c>
      <c r="S90" s="15">
        <v>14</v>
      </c>
    </row>
    <row r="91" spans="1:19" x14ac:dyDescent="0.3">
      <c r="A91" s="10" t="s">
        <v>272</v>
      </c>
      <c r="B91" s="11" t="s">
        <v>273</v>
      </c>
      <c r="C91" s="11"/>
      <c r="D91" s="11" t="s">
        <v>274</v>
      </c>
      <c r="E91" s="11">
        <f xml:space="preserve"> IF($S$75,1,0)</f>
        <v>0</v>
      </c>
      <c r="F91" s="11" t="s">
        <v>275</v>
      </c>
      <c r="G91" s="11">
        <v>0</v>
      </c>
      <c r="H91" s="11">
        <v>9</v>
      </c>
      <c r="I91" s="11">
        <v>0</v>
      </c>
      <c r="J91" s="11">
        <v>0</v>
      </c>
      <c r="K91" s="11">
        <v>0</v>
      </c>
      <c r="L91" s="11">
        <v>1</v>
      </c>
      <c r="M91" s="11">
        <v>0</v>
      </c>
      <c r="N91" s="11">
        <v>0</v>
      </c>
      <c r="O91" s="11">
        <v>0</v>
      </c>
      <c r="P91" s="11">
        <v>0</v>
      </c>
      <c r="Q91" s="12">
        <v>21</v>
      </c>
      <c r="R91" s="12">
        <v>0</v>
      </c>
      <c r="S91" s="12">
        <v>21</v>
      </c>
    </row>
    <row r="92" spans="1:19" x14ac:dyDescent="0.3">
      <c r="A92" s="13" t="s">
        <v>466</v>
      </c>
      <c r="B92" s="14" t="s">
        <v>457</v>
      </c>
      <c r="C92" s="14"/>
      <c r="D92" s="14" t="s">
        <v>467</v>
      </c>
      <c r="E92" s="14">
        <f xml:space="preserve"> IF($S$126,1,0)</f>
        <v>1</v>
      </c>
      <c r="F92" s="14" t="s">
        <v>468</v>
      </c>
      <c r="G92" s="14">
        <v>2</v>
      </c>
      <c r="H92" s="14">
        <v>0</v>
      </c>
      <c r="I92" s="14">
        <v>0</v>
      </c>
      <c r="J92" s="14">
        <v>0</v>
      </c>
      <c r="K92" s="14">
        <v>0</v>
      </c>
      <c r="L92" s="14">
        <v>0</v>
      </c>
      <c r="M92" s="14">
        <v>0</v>
      </c>
      <c r="N92" s="14">
        <v>0</v>
      </c>
      <c r="O92" s="14">
        <v>0</v>
      </c>
      <c r="P92" s="14">
        <v>0</v>
      </c>
      <c r="Q92" s="15">
        <v>2.2000000000000002</v>
      </c>
      <c r="R92" s="15">
        <v>0</v>
      </c>
      <c r="S92" s="15">
        <v>2.2000000000000002</v>
      </c>
    </row>
    <row r="93" spans="1:19" x14ac:dyDescent="0.3">
      <c r="A93" s="10" t="s">
        <v>942</v>
      </c>
      <c r="B93" s="11" t="s">
        <v>943</v>
      </c>
      <c r="C93" s="11"/>
      <c r="D93" s="11" t="s">
        <v>944</v>
      </c>
      <c r="E93" s="11">
        <f xml:space="preserve"> IF($S$251,1,0)</f>
        <v>0</v>
      </c>
      <c r="F93" s="11" t="s">
        <v>945</v>
      </c>
      <c r="G93" s="11">
        <v>0</v>
      </c>
      <c r="H93" s="11">
        <v>0</v>
      </c>
      <c r="I93" s="11">
        <v>0</v>
      </c>
      <c r="J93" s="11">
        <v>0</v>
      </c>
      <c r="K93" s="11">
        <v>0</v>
      </c>
      <c r="L93" s="11">
        <v>0</v>
      </c>
      <c r="M93" s="11">
        <v>0</v>
      </c>
      <c r="N93" s="11">
        <v>0</v>
      </c>
      <c r="O93" s="11">
        <v>0</v>
      </c>
      <c r="P93" s="11">
        <v>0</v>
      </c>
      <c r="Q93" s="12">
        <v>0</v>
      </c>
      <c r="R93" s="12">
        <v>0</v>
      </c>
      <c r="S93" s="12">
        <v>0</v>
      </c>
    </row>
    <row r="94" spans="1:19" x14ac:dyDescent="0.3">
      <c r="A94" s="13" t="s">
        <v>44</v>
      </c>
      <c r="B94" s="14" t="s">
        <v>45</v>
      </c>
      <c r="C94" s="14"/>
      <c r="D94" s="14" t="s">
        <v>46</v>
      </c>
      <c r="E94" s="14">
        <f xml:space="preserve"> IF($S$14,1,0)</f>
        <v>0</v>
      </c>
      <c r="F94" s="14" t="s">
        <v>47</v>
      </c>
      <c r="G94" s="14">
        <v>0</v>
      </c>
      <c r="H94" s="14">
        <v>0</v>
      </c>
      <c r="I94" s="14">
        <v>0</v>
      </c>
      <c r="J94" s="14">
        <v>0</v>
      </c>
      <c r="K94" s="14">
        <v>0</v>
      </c>
      <c r="L94" s="14">
        <v>0</v>
      </c>
      <c r="M94" s="14">
        <v>0</v>
      </c>
      <c r="N94" s="14">
        <v>0</v>
      </c>
      <c r="O94" s="14">
        <v>0</v>
      </c>
      <c r="P94" s="14">
        <v>0</v>
      </c>
      <c r="Q94" s="15">
        <v>0</v>
      </c>
      <c r="R94" s="15">
        <v>0</v>
      </c>
      <c r="S94" s="15">
        <v>0</v>
      </c>
    </row>
    <row r="95" spans="1:19" x14ac:dyDescent="0.3">
      <c r="A95" s="13" t="s">
        <v>340</v>
      </c>
      <c r="B95" s="14" t="s">
        <v>341</v>
      </c>
      <c r="C95" s="14" t="s">
        <v>342</v>
      </c>
      <c r="D95" s="14" t="s">
        <v>343</v>
      </c>
      <c r="E95" s="14">
        <f xml:space="preserve"> IF($S$92,1,0)</f>
        <v>1</v>
      </c>
      <c r="F95" s="14" t="s">
        <v>344</v>
      </c>
      <c r="G95" s="14">
        <v>0</v>
      </c>
      <c r="H95" s="14">
        <v>0</v>
      </c>
      <c r="I95" s="14">
        <v>0</v>
      </c>
      <c r="J95" s="14">
        <v>0</v>
      </c>
      <c r="K95" s="14">
        <v>0</v>
      </c>
      <c r="L95" s="14">
        <v>0</v>
      </c>
      <c r="M95" s="14">
        <v>0</v>
      </c>
      <c r="N95" s="14">
        <v>0</v>
      </c>
      <c r="O95" s="14">
        <v>0</v>
      </c>
      <c r="P95" s="14">
        <v>0</v>
      </c>
      <c r="Q95" s="15">
        <v>0</v>
      </c>
      <c r="R95" s="15">
        <v>0</v>
      </c>
      <c r="S95" s="15">
        <v>0</v>
      </c>
    </row>
    <row r="96" spans="1:19" x14ac:dyDescent="0.3">
      <c r="A96" s="10" t="s">
        <v>545</v>
      </c>
      <c r="B96" s="11" t="s">
        <v>546</v>
      </c>
      <c r="C96" s="11"/>
      <c r="D96" s="11" t="s">
        <v>547</v>
      </c>
      <c r="E96" s="11">
        <f xml:space="preserve"> IF($S$147,1,0)</f>
        <v>0</v>
      </c>
      <c r="F96" s="11" t="s">
        <v>548</v>
      </c>
      <c r="G96" s="11">
        <v>0</v>
      </c>
      <c r="H96" s="11">
        <v>0</v>
      </c>
      <c r="I96" s="11">
        <v>0</v>
      </c>
      <c r="J96" s="11">
        <v>0</v>
      </c>
      <c r="K96" s="11">
        <v>0</v>
      </c>
      <c r="L96" s="11">
        <v>0</v>
      </c>
      <c r="M96" s="11">
        <v>0</v>
      </c>
      <c r="N96" s="11">
        <v>0</v>
      </c>
      <c r="O96" s="11">
        <v>0</v>
      </c>
      <c r="P96" s="11">
        <v>0</v>
      </c>
      <c r="Q96" s="12">
        <v>0</v>
      </c>
      <c r="R96" s="12">
        <v>0</v>
      </c>
      <c r="S96" s="12">
        <v>0</v>
      </c>
    </row>
    <row r="97" spans="1:19" x14ac:dyDescent="0.3">
      <c r="A97" s="10" t="s">
        <v>912</v>
      </c>
      <c r="B97" s="11" t="s">
        <v>913</v>
      </c>
      <c r="C97" s="11" t="s">
        <v>65</v>
      </c>
      <c r="D97" s="11" t="s">
        <v>914</v>
      </c>
      <c r="E97" s="11">
        <f xml:space="preserve"> IF($S$243,1,0)</f>
        <v>1</v>
      </c>
      <c r="F97" s="11" t="s">
        <v>915</v>
      </c>
      <c r="G97" s="11">
        <v>0</v>
      </c>
      <c r="H97" s="11">
        <v>0</v>
      </c>
      <c r="I97" s="11">
        <v>0</v>
      </c>
      <c r="J97" s="11">
        <v>0</v>
      </c>
      <c r="K97" s="11">
        <v>0</v>
      </c>
      <c r="L97" s="11">
        <v>0</v>
      </c>
      <c r="M97" s="11">
        <v>0</v>
      </c>
      <c r="N97" s="11">
        <v>0</v>
      </c>
      <c r="O97" s="11">
        <v>0</v>
      </c>
      <c r="P97" s="11">
        <v>0</v>
      </c>
      <c r="Q97" s="12">
        <v>0</v>
      </c>
      <c r="R97" s="12">
        <v>0</v>
      </c>
      <c r="S97" s="12">
        <v>0</v>
      </c>
    </row>
    <row r="98" spans="1:19" x14ac:dyDescent="0.3">
      <c r="A98" s="13" t="s">
        <v>1129</v>
      </c>
      <c r="B98" s="14" t="s">
        <v>1130</v>
      </c>
      <c r="C98" s="14" t="s">
        <v>34</v>
      </c>
      <c r="D98" s="14" t="s">
        <v>1131</v>
      </c>
      <c r="E98" s="14">
        <f xml:space="preserve"> IF($S$302,1,0)</f>
        <v>0</v>
      </c>
      <c r="F98" s="14" t="s">
        <v>1132</v>
      </c>
      <c r="G98" s="14">
        <v>0</v>
      </c>
      <c r="H98" s="14">
        <v>0</v>
      </c>
      <c r="I98" s="14">
        <v>0</v>
      </c>
      <c r="J98" s="14">
        <v>0</v>
      </c>
      <c r="K98" s="14">
        <v>0</v>
      </c>
      <c r="L98" s="14">
        <v>0</v>
      </c>
      <c r="M98" s="14">
        <v>0</v>
      </c>
      <c r="N98" s="14">
        <v>0</v>
      </c>
      <c r="O98" s="14">
        <v>0</v>
      </c>
      <c r="P98" s="14">
        <v>0</v>
      </c>
      <c r="Q98" s="15">
        <v>0</v>
      </c>
      <c r="R98" s="15">
        <v>0</v>
      </c>
      <c r="S98" s="15">
        <v>0</v>
      </c>
    </row>
    <row r="99" spans="1:19" x14ac:dyDescent="0.3">
      <c r="A99" s="10" t="s">
        <v>109</v>
      </c>
      <c r="B99" s="11" t="s">
        <v>103</v>
      </c>
      <c r="C99" s="11"/>
      <c r="D99" s="11" t="s">
        <v>110</v>
      </c>
      <c r="E99" s="11">
        <f xml:space="preserve"> IF($S$31,1,0)</f>
        <v>0</v>
      </c>
      <c r="F99" s="11" t="s">
        <v>111</v>
      </c>
      <c r="G99" s="11">
        <v>0</v>
      </c>
      <c r="H99" s="11">
        <v>0</v>
      </c>
      <c r="I99" s="11">
        <v>0</v>
      </c>
      <c r="J99" s="11">
        <v>0</v>
      </c>
      <c r="K99" s="11">
        <v>0</v>
      </c>
      <c r="L99" s="11">
        <v>0</v>
      </c>
      <c r="M99" s="11">
        <v>0</v>
      </c>
      <c r="N99" s="11">
        <v>0</v>
      </c>
      <c r="O99" s="11">
        <v>0</v>
      </c>
      <c r="P99" s="11">
        <v>0</v>
      </c>
      <c r="Q99" s="12">
        <v>0</v>
      </c>
      <c r="R99" s="12">
        <v>0</v>
      </c>
      <c r="S99" s="12">
        <v>0</v>
      </c>
    </row>
    <row r="100" spans="1:19" x14ac:dyDescent="0.3">
      <c r="A100" s="13" t="s">
        <v>444</v>
      </c>
      <c r="B100" s="14" t="s">
        <v>445</v>
      </c>
      <c r="C100" s="14"/>
      <c r="D100" s="14" t="s">
        <v>446</v>
      </c>
      <c r="E100" s="14">
        <f xml:space="preserve"> IF($S$120,1,0)</f>
        <v>0</v>
      </c>
      <c r="F100" s="14" t="s">
        <v>447</v>
      </c>
      <c r="G100" s="14">
        <v>0</v>
      </c>
      <c r="H100" s="14">
        <v>0</v>
      </c>
      <c r="I100" s="14">
        <v>0</v>
      </c>
      <c r="J100" s="14">
        <v>0</v>
      </c>
      <c r="K100" s="14">
        <v>0</v>
      </c>
      <c r="L100" s="14">
        <v>0</v>
      </c>
      <c r="M100" s="14">
        <v>0</v>
      </c>
      <c r="N100" s="14">
        <v>0</v>
      </c>
      <c r="O100" s="14">
        <v>0</v>
      </c>
      <c r="P100" s="14">
        <v>0</v>
      </c>
      <c r="Q100" s="15">
        <v>0</v>
      </c>
      <c r="R100" s="15">
        <v>0</v>
      </c>
      <c r="S100" s="15">
        <v>0</v>
      </c>
    </row>
    <row r="101" spans="1:19" x14ac:dyDescent="0.3">
      <c r="A101" s="10" t="s">
        <v>516</v>
      </c>
      <c r="B101" s="11" t="s">
        <v>517</v>
      </c>
      <c r="C101" s="11" t="s">
        <v>65</v>
      </c>
      <c r="D101" s="11" t="s">
        <v>518</v>
      </c>
      <c r="E101" s="11">
        <f xml:space="preserve"> IF($S$139,1,0)</f>
        <v>1</v>
      </c>
      <c r="F101" s="11" t="s">
        <v>519</v>
      </c>
      <c r="G101" s="11">
        <v>3</v>
      </c>
      <c r="H101" s="11">
        <v>0</v>
      </c>
      <c r="I101" s="11">
        <v>3</v>
      </c>
      <c r="J101" s="11">
        <v>0</v>
      </c>
      <c r="K101" s="11">
        <v>0</v>
      </c>
      <c r="L101" s="11">
        <v>0</v>
      </c>
      <c r="M101" s="11">
        <v>0</v>
      </c>
      <c r="N101" s="11">
        <v>0</v>
      </c>
      <c r="O101" s="11">
        <v>0</v>
      </c>
      <c r="P101" s="11">
        <v>0</v>
      </c>
      <c r="Q101" s="12">
        <v>6.3</v>
      </c>
      <c r="R101" s="12">
        <v>0</v>
      </c>
      <c r="S101" s="12">
        <v>6.3</v>
      </c>
    </row>
    <row r="102" spans="1:19" x14ac:dyDescent="0.3">
      <c r="A102" s="10" t="s">
        <v>1173</v>
      </c>
      <c r="B102" s="11" t="s">
        <v>1174</v>
      </c>
      <c r="C102" s="11"/>
      <c r="D102" s="11" t="s">
        <v>1175</v>
      </c>
      <c r="E102" s="11">
        <f xml:space="preserve"> IF($S$315,1,0)</f>
        <v>0</v>
      </c>
      <c r="F102" s="11" t="s">
        <v>1176</v>
      </c>
      <c r="G102" s="11">
        <v>0</v>
      </c>
      <c r="H102" s="11">
        <v>0</v>
      </c>
      <c r="I102" s="11">
        <v>0</v>
      </c>
      <c r="J102" s="11">
        <v>0</v>
      </c>
      <c r="K102" s="11">
        <v>0</v>
      </c>
      <c r="L102" s="11">
        <v>0</v>
      </c>
      <c r="M102" s="11">
        <v>0</v>
      </c>
      <c r="N102" s="11">
        <v>0</v>
      </c>
      <c r="O102" s="11">
        <v>0</v>
      </c>
      <c r="P102" s="11">
        <v>0</v>
      </c>
      <c r="Q102" s="12">
        <v>0</v>
      </c>
      <c r="R102" s="12">
        <v>0</v>
      </c>
      <c r="S102" s="12">
        <v>0</v>
      </c>
    </row>
    <row r="103" spans="1:19" x14ac:dyDescent="0.3">
      <c r="A103" s="10" t="s">
        <v>897</v>
      </c>
      <c r="B103" s="11" t="s">
        <v>898</v>
      </c>
      <c r="C103" s="11"/>
      <c r="D103" s="11" t="s">
        <v>899</v>
      </c>
      <c r="E103" s="11">
        <f xml:space="preserve"> IF($S$239,1,0)</f>
        <v>1</v>
      </c>
      <c r="F103" s="11" t="s">
        <v>900</v>
      </c>
      <c r="G103" s="11">
        <v>0</v>
      </c>
      <c r="H103" s="11">
        <v>0</v>
      </c>
      <c r="I103" s="11">
        <v>0</v>
      </c>
      <c r="J103" s="11">
        <v>0</v>
      </c>
      <c r="K103" s="11">
        <v>0</v>
      </c>
      <c r="L103" s="11">
        <v>0</v>
      </c>
      <c r="M103" s="11">
        <v>0</v>
      </c>
      <c r="N103" s="11">
        <v>0</v>
      </c>
      <c r="O103" s="11">
        <v>0</v>
      </c>
      <c r="P103" s="11">
        <v>0</v>
      </c>
      <c r="Q103" s="12">
        <v>0</v>
      </c>
      <c r="R103" s="12">
        <v>0</v>
      </c>
      <c r="S103" s="12">
        <v>0</v>
      </c>
    </row>
    <row r="104" spans="1:19" x14ac:dyDescent="0.3">
      <c r="A104" s="10" t="s">
        <v>873</v>
      </c>
      <c r="B104" s="11" t="s">
        <v>874</v>
      </c>
      <c r="C104" s="11"/>
      <c r="D104" s="11" t="s">
        <v>875</v>
      </c>
      <c r="E104" s="11">
        <f xml:space="preserve"> IF($S$233,1,0)</f>
        <v>0</v>
      </c>
      <c r="F104" s="11" t="s">
        <v>876</v>
      </c>
      <c r="G104" s="11">
        <v>0</v>
      </c>
      <c r="H104" s="11">
        <v>0</v>
      </c>
      <c r="I104" s="11">
        <v>0</v>
      </c>
      <c r="J104" s="11">
        <v>0</v>
      </c>
      <c r="K104" s="11">
        <v>0</v>
      </c>
      <c r="L104" s="11">
        <v>0</v>
      </c>
      <c r="M104" s="11">
        <v>0</v>
      </c>
      <c r="N104" s="11">
        <v>0</v>
      </c>
      <c r="O104" s="11">
        <v>0</v>
      </c>
      <c r="P104" s="11">
        <v>0</v>
      </c>
      <c r="Q104" s="12">
        <v>0</v>
      </c>
      <c r="R104" s="12">
        <v>0</v>
      </c>
      <c r="S104" s="12">
        <v>0</v>
      </c>
    </row>
    <row r="105" spans="1:19" x14ac:dyDescent="0.3">
      <c r="A105" s="13" t="s">
        <v>619</v>
      </c>
      <c r="B105" s="14" t="s">
        <v>620</v>
      </c>
      <c r="C105" s="14" t="s">
        <v>34</v>
      </c>
      <c r="D105" s="14" t="s">
        <v>621</v>
      </c>
      <c r="E105" s="14">
        <f xml:space="preserve"> IF($S$166,1,0)</f>
        <v>0</v>
      </c>
      <c r="F105" s="14" t="s">
        <v>622</v>
      </c>
      <c r="G105" s="14">
        <v>0</v>
      </c>
      <c r="H105" s="14">
        <v>0</v>
      </c>
      <c r="I105" s="14">
        <v>0</v>
      </c>
      <c r="J105" s="14">
        <v>0</v>
      </c>
      <c r="K105" s="14">
        <v>0</v>
      </c>
      <c r="L105" s="14">
        <v>0</v>
      </c>
      <c r="M105" s="14">
        <v>0</v>
      </c>
      <c r="N105" s="14">
        <v>0</v>
      </c>
      <c r="O105" s="14">
        <v>0</v>
      </c>
      <c r="P105" s="14">
        <v>0</v>
      </c>
      <c r="Q105" s="15">
        <v>0</v>
      </c>
      <c r="R105" s="15">
        <v>0</v>
      </c>
      <c r="S105" s="15">
        <v>0</v>
      </c>
    </row>
    <row r="106" spans="1:19" x14ac:dyDescent="0.3">
      <c r="A106" s="13" t="s">
        <v>961</v>
      </c>
      <c r="B106" s="14" t="s">
        <v>962</v>
      </c>
      <c r="C106" s="14" t="s">
        <v>202</v>
      </c>
      <c r="D106" s="14" t="s">
        <v>963</v>
      </c>
      <c r="E106" s="14">
        <f xml:space="preserve"> IF($S$256,1,0)</f>
        <v>0</v>
      </c>
      <c r="F106" s="14" t="s">
        <v>964</v>
      </c>
      <c r="G106" s="14">
        <v>0</v>
      </c>
      <c r="H106" s="14">
        <v>0</v>
      </c>
      <c r="I106" s="14">
        <v>0</v>
      </c>
      <c r="J106" s="14">
        <v>0</v>
      </c>
      <c r="K106" s="14">
        <v>0</v>
      </c>
      <c r="L106" s="14">
        <v>0</v>
      </c>
      <c r="M106" s="14">
        <v>0</v>
      </c>
      <c r="N106" s="14">
        <v>0</v>
      </c>
      <c r="O106" s="14">
        <v>0</v>
      </c>
      <c r="P106" s="14">
        <v>0</v>
      </c>
      <c r="Q106" s="15">
        <v>0</v>
      </c>
      <c r="R106" s="15">
        <v>0</v>
      </c>
      <c r="S106" s="15">
        <v>0</v>
      </c>
    </row>
    <row r="107" spans="1:19" x14ac:dyDescent="0.3">
      <c r="A107" s="13" t="s">
        <v>224</v>
      </c>
      <c r="B107" s="14" t="s">
        <v>225</v>
      </c>
      <c r="C107" s="14"/>
      <c r="D107" s="14" t="s">
        <v>226</v>
      </c>
      <c r="E107" s="14">
        <f xml:space="preserve"> IF($S$62,1,0)</f>
        <v>0</v>
      </c>
      <c r="F107" s="14" t="s">
        <v>227</v>
      </c>
      <c r="G107" s="14">
        <v>0</v>
      </c>
      <c r="H107" s="14">
        <v>0</v>
      </c>
      <c r="I107" s="14">
        <v>0</v>
      </c>
      <c r="J107" s="14">
        <v>0</v>
      </c>
      <c r="K107" s="14">
        <v>0</v>
      </c>
      <c r="L107" s="14">
        <v>0</v>
      </c>
      <c r="M107" s="14">
        <v>0</v>
      </c>
      <c r="N107" s="14">
        <v>0</v>
      </c>
      <c r="O107" s="14">
        <v>0</v>
      </c>
      <c r="P107" s="14">
        <v>0</v>
      </c>
      <c r="Q107" s="15">
        <v>0</v>
      </c>
      <c r="R107" s="15">
        <v>0</v>
      </c>
      <c r="S107" s="15">
        <v>0</v>
      </c>
    </row>
    <row r="108" spans="1:19" x14ac:dyDescent="0.3">
      <c r="A108" s="10" t="s">
        <v>758</v>
      </c>
      <c r="B108" s="11" t="s">
        <v>759</v>
      </c>
      <c r="C108" s="11"/>
      <c r="D108" s="11" t="s">
        <v>760</v>
      </c>
      <c r="E108" s="11">
        <f xml:space="preserve"> IF($S$203,1,0)</f>
        <v>0</v>
      </c>
      <c r="F108" s="11" t="s">
        <v>761</v>
      </c>
      <c r="G108" s="11">
        <v>0</v>
      </c>
      <c r="H108" s="11">
        <v>0</v>
      </c>
      <c r="I108" s="11">
        <v>0</v>
      </c>
      <c r="J108" s="11">
        <v>0</v>
      </c>
      <c r="K108" s="11">
        <v>0</v>
      </c>
      <c r="L108" s="11">
        <v>0</v>
      </c>
      <c r="M108" s="11">
        <v>0</v>
      </c>
      <c r="N108" s="11">
        <v>0</v>
      </c>
      <c r="O108" s="11">
        <v>0</v>
      </c>
      <c r="P108" s="11">
        <v>0</v>
      </c>
      <c r="Q108" s="12">
        <v>0</v>
      </c>
      <c r="R108" s="12">
        <v>0</v>
      </c>
      <c r="S108" s="12">
        <v>0</v>
      </c>
    </row>
    <row r="109" spans="1:19" x14ac:dyDescent="0.3">
      <c r="A109" s="10" t="s">
        <v>735</v>
      </c>
      <c r="B109" s="11" t="s">
        <v>736</v>
      </c>
      <c r="C109" s="11"/>
      <c r="D109" s="11" t="s">
        <v>737</v>
      </c>
      <c r="E109" s="11">
        <f xml:space="preserve"> IF($S$197,1,0)</f>
        <v>0</v>
      </c>
      <c r="F109" s="11" t="s">
        <v>738</v>
      </c>
      <c r="G109" s="11">
        <v>0</v>
      </c>
      <c r="H109" s="11">
        <v>0</v>
      </c>
      <c r="I109" s="11">
        <v>0</v>
      </c>
      <c r="J109" s="11">
        <v>0</v>
      </c>
      <c r="K109" s="11">
        <v>0</v>
      </c>
      <c r="L109" s="11">
        <v>0</v>
      </c>
      <c r="M109" s="11">
        <v>0</v>
      </c>
      <c r="N109" s="11">
        <v>0</v>
      </c>
      <c r="O109" s="11">
        <v>0</v>
      </c>
      <c r="P109" s="11">
        <v>0</v>
      </c>
      <c r="Q109" s="12">
        <v>0</v>
      </c>
      <c r="R109" s="12">
        <v>0</v>
      </c>
      <c r="S109" s="12">
        <v>0</v>
      </c>
    </row>
    <row r="110" spans="1:19" x14ac:dyDescent="0.3">
      <c r="A110" s="13" t="s">
        <v>176</v>
      </c>
      <c r="B110" s="14" t="s">
        <v>177</v>
      </c>
      <c r="C110" s="14"/>
      <c r="D110" s="14" t="s">
        <v>178</v>
      </c>
      <c r="E110" s="14">
        <f xml:space="preserve"> IF($S$48,1,0)</f>
        <v>0</v>
      </c>
      <c r="F110" s="14" t="s">
        <v>179</v>
      </c>
      <c r="G110" s="14">
        <v>0</v>
      </c>
      <c r="H110" s="14">
        <v>0</v>
      </c>
      <c r="I110" s="14">
        <v>0</v>
      </c>
      <c r="J110" s="14">
        <v>0</v>
      </c>
      <c r="K110" s="14">
        <v>0</v>
      </c>
      <c r="L110" s="14">
        <v>0</v>
      </c>
      <c r="M110" s="14">
        <v>0</v>
      </c>
      <c r="N110" s="14">
        <v>0</v>
      </c>
      <c r="O110" s="14">
        <v>0</v>
      </c>
      <c r="P110" s="14">
        <v>0</v>
      </c>
      <c r="Q110" s="15">
        <v>0</v>
      </c>
      <c r="R110" s="15">
        <v>0</v>
      </c>
      <c r="S110" s="15">
        <v>0</v>
      </c>
    </row>
    <row r="111" spans="1:19" x14ac:dyDescent="0.3">
      <c r="A111" s="13" t="s">
        <v>1192</v>
      </c>
      <c r="B111" s="14" t="s">
        <v>1193</v>
      </c>
      <c r="C111" s="14"/>
      <c r="D111" s="14" t="s">
        <v>1194</v>
      </c>
      <c r="E111" s="14">
        <f xml:space="preserve"> IF($S$320,1,0)</f>
        <v>1</v>
      </c>
      <c r="F111" s="14" t="s">
        <v>1195</v>
      </c>
      <c r="G111" s="14">
        <v>2</v>
      </c>
      <c r="H111" s="14">
        <v>3</v>
      </c>
      <c r="I111" s="14">
        <v>0</v>
      </c>
      <c r="J111" s="14">
        <v>0</v>
      </c>
      <c r="K111" s="14">
        <v>0</v>
      </c>
      <c r="L111" s="14">
        <v>0</v>
      </c>
      <c r="M111" s="14">
        <v>0</v>
      </c>
      <c r="N111" s="14">
        <v>0</v>
      </c>
      <c r="O111" s="14">
        <v>0</v>
      </c>
      <c r="P111" s="14">
        <v>0</v>
      </c>
      <c r="Q111" s="15">
        <v>8.1999999999999993</v>
      </c>
      <c r="R111" s="15">
        <v>0</v>
      </c>
      <c r="S111" s="15">
        <v>8.1999999999999993</v>
      </c>
    </row>
    <row r="112" spans="1:19" x14ac:dyDescent="0.3">
      <c r="A112" s="10" t="s">
        <v>713</v>
      </c>
      <c r="B112" s="11" t="s">
        <v>708</v>
      </c>
      <c r="C112" s="11"/>
      <c r="D112" s="11" t="s">
        <v>714</v>
      </c>
      <c r="E112" s="11">
        <f xml:space="preserve"> IF($S$191,1,0)</f>
        <v>1</v>
      </c>
      <c r="F112" s="11" t="s">
        <v>715</v>
      </c>
      <c r="G112" s="11">
        <v>3</v>
      </c>
      <c r="H112" s="11">
        <v>0</v>
      </c>
      <c r="I112" s="11">
        <v>0</v>
      </c>
      <c r="J112" s="11">
        <v>0</v>
      </c>
      <c r="K112" s="11">
        <v>0</v>
      </c>
      <c r="L112" s="11">
        <v>2</v>
      </c>
      <c r="M112" s="11">
        <v>0</v>
      </c>
      <c r="N112" s="11">
        <v>0</v>
      </c>
      <c r="O112" s="11">
        <v>0</v>
      </c>
      <c r="P112" s="11">
        <v>1</v>
      </c>
      <c r="Q112" s="12">
        <v>12.3</v>
      </c>
      <c r="R112" s="12">
        <v>0</v>
      </c>
      <c r="S112" s="12">
        <v>12.3</v>
      </c>
    </row>
    <row r="113" spans="1:19" x14ac:dyDescent="0.3">
      <c r="A113" s="13" t="s">
        <v>301</v>
      </c>
      <c r="B113" s="14" t="s">
        <v>302</v>
      </c>
      <c r="C113" s="14"/>
      <c r="D113" s="14" t="s">
        <v>303</v>
      </c>
      <c r="E113" s="14">
        <f xml:space="preserve"> IF($S$82,1,0)</f>
        <v>0</v>
      </c>
      <c r="F113" s="14" t="s">
        <v>304</v>
      </c>
      <c r="G113" s="14">
        <v>0</v>
      </c>
      <c r="H113" s="14">
        <v>0</v>
      </c>
      <c r="I113" s="14">
        <v>0</v>
      </c>
      <c r="J113" s="14">
        <v>0</v>
      </c>
      <c r="K113" s="14">
        <v>0</v>
      </c>
      <c r="L113" s="14">
        <v>0</v>
      </c>
      <c r="M113" s="14">
        <v>0</v>
      </c>
      <c r="N113" s="14">
        <v>0</v>
      </c>
      <c r="O113" s="14">
        <v>0</v>
      </c>
      <c r="P113" s="14">
        <v>0</v>
      </c>
      <c r="Q113" s="15">
        <v>0</v>
      </c>
      <c r="R113" s="15">
        <v>0</v>
      </c>
      <c r="S113" s="15">
        <v>0</v>
      </c>
    </row>
    <row r="114" spans="1:19" x14ac:dyDescent="0.3">
      <c r="A114" s="10" t="s">
        <v>1188</v>
      </c>
      <c r="B114" s="11" t="s">
        <v>1189</v>
      </c>
      <c r="C114" s="11"/>
      <c r="D114" s="11" t="s">
        <v>1190</v>
      </c>
      <c r="E114" s="11">
        <f xml:space="preserve"> IF($S$319,1,0)</f>
        <v>0</v>
      </c>
      <c r="F114" s="11" t="s">
        <v>1191</v>
      </c>
      <c r="G114" s="11">
        <v>0</v>
      </c>
      <c r="H114" s="11">
        <v>0</v>
      </c>
      <c r="I114" s="11">
        <v>0</v>
      </c>
      <c r="J114" s="11">
        <v>0</v>
      </c>
      <c r="K114" s="11">
        <v>0</v>
      </c>
      <c r="L114" s="11">
        <v>0</v>
      </c>
      <c r="M114" s="11">
        <v>0</v>
      </c>
      <c r="N114" s="11">
        <v>0</v>
      </c>
      <c r="O114" s="11">
        <v>0</v>
      </c>
      <c r="P114" s="11">
        <v>1</v>
      </c>
      <c r="Q114" s="12">
        <v>3</v>
      </c>
      <c r="R114" s="12">
        <v>0</v>
      </c>
      <c r="S114" s="12">
        <v>3</v>
      </c>
    </row>
    <row r="115" spans="1:19" x14ac:dyDescent="0.3">
      <c r="A115" s="13" t="s">
        <v>657</v>
      </c>
      <c r="B115" s="14" t="s">
        <v>658</v>
      </c>
      <c r="C115" s="14"/>
      <c r="D115" s="14" t="s">
        <v>659</v>
      </c>
      <c r="E115" s="14">
        <f xml:space="preserve"> IF($S$176,1,0)</f>
        <v>1</v>
      </c>
      <c r="F115" s="14" t="s">
        <v>660</v>
      </c>
      <c r="G115" s="14">
        <v>0</v>
      </c>
      <c r="H115" s="14">
        <v>0</v>
      </c>
      <c r="I115" s="14">
        <v>0</v>
      </c>
      <c r="J115" s="14">
        <v>0</v>
      </c>
      <c r="K115" s="14">
        <v>0</v>
      </c>
      <c r="L115" s="14">
        <v>0</v>
      </c>
      <c r="M115" s="14">
        <v>0</v>
      </c>
      <c r="N115" s="14">
        <v>0</v>
      </c>
      <c r="O115" s="14">
        <v>0</v>
      </c>
      <c r="P115" s="14">
        <v>0</v>
      </c>
      <c r="Q115" s="15">
        <v>0</v>
      </c>
      <c r="R115" s="15">
        <v>0</v>
      </c>
      <c r="S115" s="15">
        <v>0</v>
      </c>
    </row>
    <row r="116" spans="1:19" x14ac:dyDescent="0.3">
      <c r="A116" s="13" t="s">
        <v>1102</v>
      </c>
      <c r="B116" s="14" t="s">
        <v>1103</v>
      </c>
      <c r="C116" s="14"/>
      <c r="D116" s="14" t="s">
        <v>1104</v>
      </c>
      <c r="E116" s="14">
        <f xml:space="preserve"> IF($S$294,1,0)</f>
        <v>1</v>
      </c>
      <c r="F116" s="14" t="s">
        <v>1105</v>
      </c>
      <c r="G116" s="14">
        <v>0</v>
      </c>
      <c r="H116" s="14">
        <v>0</v>
      </c>
      <c r="I116" s="14">
        <v>0</v>
      </c>
      <c r="J116" s="14">
        <v>0</v>
      </c>
      <c r="K116" s="14">
        <v>0</v>
      </c>
      <c r="L116" s="14">
        <v>0</v>
      </c>
      <c r="M116" s="14">
        <v>0</v>
      </c>
      <c r="N116" s="14">
        <v>0</v>
      </c>
      <c r="O116" s="14">
        <v>0</v>
      </c>
      <c r="P116" s="14">
        <v>0</v>
      </c>
      <c r="Q116" s="15">
        <v>0</v>
      </c>
      <c r="R116" s="15">
        <v>0</v>
      </c>
      <c r="S116" s="15">
        <v>0</v>
      </c>
    </row>
    <row r="117" spans="1:19" x14ac:dyDescent="0.3">
      <c r="A117" s="13" t="s">
        <v>839</v>
      </c>
      <c r="B117" s="14" t="s">
        <v>840</v>
      </c>
      <c r="C117" s="14"/>
      <c r="D117" s="14" t="s">
        <v>841</v>
      </c>
      <c r="E117" s="14">
        <f xml:space="preserve"> IF($S$224,1,0)</f>
        <v>0</v>
      </c>
      <c r="F117" s="14" t="s">
        <v>842</v>
      </c>
      <c r="G117" s="14">
        <v>0</v>
      </c>
      <c r="H117" s="14">
        <v>0</v>
      </c>
      <c r="I117" s="14">
        <v>0</v>
      </c>
      <c r="J117" s="14">
        <v>0</v>
      </c>
      <c r="K117" s="14">
        <v>0</v>
      </c>
      <c r="L117" s="14">
        <v>0</v>
      </c>
      <c r="M117" s="14">
        <v>0</v>
      </c>
      <c r="N117" s="14">
        <v>0</v>
      </c>
      <c r="O117" s="14">
        <v>0</v>
      </c>
      <c r="P117" s="14">
        <v>0</v>
      </c>
      <c r="Q117" s="15">
        <v>0</v>
      </c>
      <c r="R117" s="15">
        <v>0</v>
      </c>
      <c r="S117" s="15">
        <v>0</v>
      </c>
    </row>
    <row r="118" spans="1:19" x14ac:dyDescent="0.3">
      <c r="A118" s="10" t="s">
        <v>413</v>
      </c>
      <c r="B118" s="11" t="s">
        <v>414</v>
      </c>
      <c r="C118" s="11"/>
      <c r="D118" s="11" t="s">
        <v>415</v>
      </c>
      <c r="E118" s="11">
        <f xml:space="preserve"> IF($S$111,1,0)</f>
        <v>1</v>
      </c>
      <c r="F118" s="11" t="s">
        <v>416</v>
      </c>
      <c r="G118" s="11">
        <v>0</v>
      </c>
      <c r="H118" s="11">
        <v>0</v>
      </c>
      <c r="I118" s="11">
        <v>0</v>
      </c>
      <c r="J118" s="11">
        <v>0</v>
      </c>
      <c r="K118" s="11">
        <v>0</v>
      </c>
      <c r="L118" s="11">
        <v>0</v>
      </c>
      <c r="M118" s="11">
        <v>0</v>
      </c>
      <c r="N118" s="11">
        <v>0</v>
      </c>
      <c r="O118" s="11">
        <v>0</v>
      </c>
      <c r="P118" s="11">
        <v>0</v>
      </c>
      <c r="Q118" s="12">
        <v>0</v>
      </c>
      <c r="R118" s="12">
        <v>0</v>
      </c>
      <c r="S118" s="12">
        <v>0</v>
      </c>
    </row>
    <row r="119" spans="1:19" x14ac:dyDescent="0.3">
      <c r="A119" s="10" t="s">
        <v>523</v>
      </c>
      <c r="B119" s="11" t="s">
        <v>524</v>
      </c>
      <c r="C119" s="11" t="s">
        <v>65</v>
      </c>
      <c r="D119" s="11" t="s">
        <v>327</v>
      </c>
      <c r="E119" s="11">
        <f xml:space="preserve"> IF($S$141,1,0)</f>
        <v>1</v>
      </c>
      <c r="F119" s="11" t="s">
        <v>525</v>
      </c>
      <c r="G119" s="11">
        <v>0</v>
      </c>
      <c r="H119" s="11">
        <v>0</v>
      </c>
      <c r="I119" s="11">
        <v>0</v>
      </c>
      <c r="J119" s="11">
        <v>0</v>
      </c>
      <c r="K119" s="11">
        <v>0</v>
      </c>
      <c r="L119" s="11">
        <v>0</v>
      </c>
      <c r="M119" s="11">
        <v>0</v>
      </c>
      <c r="N119" s="11">
        <v>0</v>
      </c>
      <c r="O119" s="11">
        <v>0</v>
      </c>
      <c r="P119" s="11">
        <v>0</v>
      </c>
      <c r="Q119" s="12">
        <v>0</v>
      </c>
      <c r="R119" s="12">
        <v>0</v>
      </c>
      <c r="S119" s="12">
        <v>0</v>
      </c>
    </row>
    <row r="120" spans="1:19" x14ac:dyDescent="0.3">
      <c r="A120" s="10" t="s">
        <v>86</v>
      </c>
      <c r="B120" s="11" t="s">
        <v>87</v>
      </c>
      <c r="C120" s="11"/>
      <c r="D120" s="11" t="s">
        <v>88</v>
      </c>
      <c r="E120" s="11">
        <f xml:space="preserve"> IF($S$25,1,0)</f>
        <v>0</v>
      </c>
      <c r="F120" s="11" t="s">
        <v>89</v>
      </c>
      <c r="G120" s="11">
        <v>0</v>
      </c>
      <c r="H120" s="11">
        <v>0</v>
      </c>
      <c r="I120" s="11">
        <v>0</v>
      </c>
      <c r="J120" s="11">
        <v>0</v>
      </c>
      <c r="K120" s="11">
        <v>0</v>
      </c>
      <c r="L120" s="11">
        <v>0</v>
      </c>
      <c r="M120" s="11">
        <v>0</v>
      </c>
      <c r="N120" s="11">
        <v>0</v>
      </c>
      <c r="O120" s="11">
        <v>0</v>
      </c>
      <c r="P120" s="11">
        <v>0</v>
      </c>
      <c r="Q120" s="12">
        <v>0</v>
      </c>
      <c r="R120" s="12">
        <v>0</v>
      </c>
      <c r="S120" s="12">
        <v>0</v>
      </c>
    </row>
    <row r="121" spans="1:19" x14ac:dyDescent="0.3">
      <c r="A121" s="13" t="s">
        <v>778</v>
      </c>
      <c r="B121" s="14" t="s">
        <v>779</v>
      </c>
      <c r="C121" s="14"/>
      <c r="D121" s="14" t="s">
        <v>780</v>
      </c>
      <c r="E121" s="14">
        <f xml:space="preserve"> IF($S$208,1,0)</f>
        <v>0</v>
      </c>
      <c r="F121" s="14" t="s">
        <v>781</v>
      </c>
      <c r="G121" s="14">
        <v>0</v>
      </c>
      <c r="H121" s="14">
        <v>0</v>
      </c>
      <c r="I121" s="14">
        <v>0</v>
      </c>
      <c r="J121" s="14">
        <v>0</v>
      </c>
      <c r="K121" s="14">
        <v>0</v>
      </c>
      <c r="L121" s="14">
        <v>0</v>
      </c>
      <c r="M121" s="14">
        <v>0</v>
      </c>
      <c r="N121" s="14">
        <v>0</v>
      </c>
      <c r="O121" s="14">
        <v>0</v>
      </c>
      <c r="P121" s="14">
        <v>0</v>
      </c>
      <c r="Q121" s="15">
        <v>0</v>
      </c>
      <c r="R121" s="15">
        <v>0</v>
      </c>
      <c r="S121" s="15">
        <v>0</v>
      </c>
    </row>
    <row r="122" spans="1:19" x14ac:dyDescent="0.3">
      <c r="A122" s="10" t="s">
        <v>827</v>
      </c>
      <c r="B122" s="11" t="s">
        <v>828</v>
      </c>
      <c r="C122" s="11"/>
      <c r="D122" s="11" t="s">
        <v>829</v>
      </c>
      <c r="E122" s="11">
        <f xml:space="preserve"> IF($S$221,1,0)</f>
        <v>1</v>
      </c>
      <c r="F122" s="11" t="s">
        <v>830</v>
      </c>
      <c r="G122" s="11">
        <v>0</v>
      </c>
      <c r="H122" s="11">
        <v>0</v>
      </c>
      <c r="I122" s="11">
        <v>0</v>
      </c>
      <c r="J122" s="11">
        <v>0</v>
      </c>
      <c r="K122" s="11">
        <v>0</v>
      </c>
      <c r="L122" s="11">
        <v>0</v>
      </c>
      <c r="M122" s="11">
        <v>0</v>
      </c>
      <c r="N122" s="11">
        <v>0</v>
      </c>
      <c r="O122" s="11">
        <v>0</v>
      </c>
      <c r="P122" s="11">
        <v>0</v>
      </c>
      <c r="Q122" s="12">
        <v>0</v>
      </c>
      <c r="R122" s="12">
        <v>0</v>
      </c>
      <c r="S122" s="12">
        <v>0</v>
      </c>
    </row>
    <row r="123" spans="1:19" x14ac:dyDescent="0.3">
      <c r="A123" s="13" t="s">
        <v>333</v>
      </c>
      <c r="B123" s="14" t="s">
        <v>334</v>
      </c>
      <c r="C123" s="14"/>
      <c r="D123" s="14" t="s">
        <v>335</v>
      </c>
      <c r="E123" s="14">
        <f xml:space="preserve"> IF($S$90,1,0)</f>
        <v>1</v>
      </c>
      <c r="F123" s="14" t="s">
        <v>336</v>
      </c>
      <c r="G123" s="14">
        <v>0</v>
      </c>
      <c r="H123" s="14">
        <v>0</v>
      </c>
      <c r="I123" s="14">
        <v>0</v>
      </c>
      <c r="J123" s="14">
        <v>0</v>
      </c>
      <c r="K123" s="14">
        <v>0</v>
      </c>
      <c r="L123" s="14">
        <v>0</v>
      </c>
      <c r="M123" s="14">
        <v>0</v>
      </c>
      <c r="N123" s="14">
        <v>0</v>
      </c>
      <c r="O123" s="14">
        <v>0</v>
      </c>
      <c r="P123" s="14">
        <v>0</v>
      </c>
      <c r="Q123" s="15">
        <v>0</v>
      </c>
      <c r="R123" s="15">
        <v>0</v>
      </c>
      <c r="S123" s="15">
        <v>0</v>
      </c>
    </row>
    <row r="124" spans="1:19" x14ac:dyDescent="0.3">
      <c r="A124" s="13" t="s">
        <v>120</v>
      </c>
      <c r="B124" s="14" t="s">
        <v>121</v>
      </c>
      <c r="C124" s="14"/>
      <c r="D124" s="14" t="s">
        <v>122</v>
      </c>
      <c r="E124" s="14">
        <f xml:space="preserve"> IF($S$34,1,0)</f>
        <v>0</v>
      </c>
      <c r="F124" s="14" t="s">
        <v>123</v>
      </c>
      <c r="G124" s="14">
        <v>0</v>
      </c>
      <c r="H124" s="14">
        <v>0</v>
      </c>
      <c r="I124" s="14">
        <v>0</v>
      </c>
      <c r="J124" s="14">
        <v>0</v>
      </c>
      <c r="K124" s="14">
        <v>0</v>
      </c>
      <c r="L124" s="14">
        <v>0</v>
      </c>
      <c r="M124" s="14">
        <v>0</v>
      </c>
      <c r="N124" s="14">
        <v>0</v>
      </c>
      <c r="O124" s="14">
        <v>0</v>
      </c>
      <c r="P124" s="14">
        <v>0</v>
      </c>
      <c r="Q124" s="15">
        <v>0</v>
      </c>
      <c r="R124" s="15">
        <v>0</v>
      </c>
      <c r="S124" s="15">
        <v>0</v>
      </c>
    </row>
    <row r="125" spans="1:19" x14ac:dyDescent="0.3">
      <c r="A125" s="13" t="s">
        <v>703</v>
      </c>
      <c r="B125" s="14" t="s">
        <v>704</v>
      </c>
      <c r="C125" s="14"/>
      <c r="D125" s="14" t="s">
        <v>705</v>
      </c>
      <c r="E125" s="14">
        <f xml:space="preserve"> IF($S$188,1,0)</f>
        <v>1</v>
      </c>
      <c r="F125" s="14" t="s">
        <v>706</v>
      </c>
      <c r="G125" s="14">
        <v>0</v>
      </c>
      <c r="H125" s="14">
        <v>0</v>
      </c>
      <c r="I125" s="14">
        <v>0</v>
      </c>
      <c r="J125" s="14">
        <v>0</v>
      </c>
      <c r="K125" s="14">
        <v>0</v>
      </c>
      <c r="L125" s="14">
        <v>0</v>
      </c>
      <c r="M125" s="14">
        <v>0</v>
      </c>
      <c r="N125" s="14">
        <v>0</v>
      </c>
      <c r="O125" s="14">
        <v>0</v>
      </c>
      <c r="P125" s="14">
        <v>0</v>
      </c>
      <c r="Q125" s="15">
        <v>0</v>
      </c>
      <c r="R125" s="15">
        <v>0</v>
      </c>
      <c r="S125" s="15">
        <v>0</v>
      </c>
    </row>
    <row r="126" spans="1:19" x14ac:dyDescent="0.3">
      <c r="A126" s="10" t="s">
        <v>361</v>
      </c>
      <c r="B126" s="11" t="s">
        <v>358</v>
      </c>
      <c r="C126" s="11" t="s">
        <v>34</v>
      </c>
      <c r="D126" s="11" t="s">
        <v>362</v>
      </c>
      <c r="E126" s="11">
        <f xml:space="preserve"> IF($S$97,1,0)</f>
        <v>0</v>
      </c>
      <c r="F126" s="11" t="s">
        <v>363</v>
      </c>
      <c r="G126" s="11">
        <v>0</v>
      </c>
      <c r="H126" s="11">
        <v>2</v>
      </c>
      <c r="I126" s="11">
        <v>0</v>
      </c>
      <c r="J126" s="11">
        <v>0</v>
      </c>
      <c r="K126" s="11">
        <v>0</v>
      </c>
      <c r="L126" s="11">
        <v>2</v>
      </c>
      <c r="M126" s="11">
        <v>0</v>
      </c>
      <c r="N126" s="11">
        <v>0</v>
      </c>
      <c r="O126" s="11">
        <v>0</v>
      </c>
      <c r="P126" s="11">
        <v>0</v>
      </c>
      <c r="Q126" s="12">
        <v>10</v>
      </c>
      <c r="R126" s="12">
        <v>0</v>
      </c>
      <c r="S126" s="12">
        <v>10</v>
      </c>
    </row>
    <row r="127" spans="1:19" x14ac:dyDescent="0.3">
      <c r="A127" s="13" t="s">
        <v>325</v>
      </c>
      <c r="B127" s="14" t="s">
        <v>326</v>
      </c>
      <c r="C127" s="14" t="s">
        <v>243</v>
      </c>
      <c r="D127" s="14" t="s">
        <v>327</v>
      </c>
      <c r="E127" s="14">
        <f xml:space="preserve"> IF($S$88,1,0)</f>
        <v>1</v>
      </c>
      <c r="F127" s="14" t="s">
        <v>328</v>
      </c>
      <c r="G127" s="14">
        <v>0</v>
      </c>
      <c r="H127" s="14">
        <v>0</v>
      </c>
      <c r="I127" s="14">
        <v>0</v>
      </c>
      <c r="J127" s="14">
        <v>0</v>
      </c>
      <c r="K127" s="14">
        <v>0</v>
      </c>
      <c r="L127" s="14">
        <v>0</v>
      </c>
      <c r="M127" s="14">
        <v>0</v>
      </c>
      <c r="N127" s="14">
        <v>0</v>
      </c>
      <c r="O127" s="14">
        <v>0</v>
      </c>
      <c r="P127" s="14">
        <v>0</v>
      </c>
      <c r="Q127" s="15">
        <v>0</v>
      </c>
      <c r="R127" s="15">
        <v>0</v>
      </c>
      <c r="S127" s="15">
        <v>0</v>
      </c>
    </row>
    <row r="128" spans="1:19" x14ac:dyDescent="0.3">
      <c r="A128" s="13" t="s">
        <v>497</v>
      </c>
      <c r="B128" s="14" t="s">
        <v>498</v>
      </c>
      <c r="C128" s="14"/>
      <c r="D128" s="14" t="s">
        <v>499</v>
      </c>
      <c r="E128" s="14">
        <f xml:space="preserve"> IF($S$134,1,0)</f>
        <v>0</v>
      </c>
      <c r="F128" s="14" t="s">
        <v>500</v>
      </c>
      <c r="G128" s="14">
        <v>0</v>
      </c>
      <c r="H128" s="14">
        <v>0</v>
      </c>
      <c r="I128" s="14">
        <v>0</v>
      </c>
      <c r="J128" s="14">
        <v>0</v>
      </c>
      <c r="K128" s="14">
        <v>0</v>
      </c>
      <c r="L128" s="14">
        <v>0</v>
      </c>
      <c r="M128" s="14">
        <v>0</v>
      </c>
      <c r="N128" s="14">
        <v>0</v>
      </c>
      <c r="O128" s="14">
        <v>0</v>
      </c>
      <c r="P128" s="14">
        <v>0</v>
      </c>
      <c r="Q128" s="15">
        <v>0</v>
      </c>
      <c r="R128" s="15">
        <v>0</v>
      </c>
      <c r="S128" s="15">
        <v>0</v>
      </c>
    </row>
    <row r="129" spans="1:19" x14ac:dyDescent="0.3">
      <c r="A129" s="13" t="s">
        <v>128</v>
      </c>
      <c r="B129" s="14" t="s">
        <v>129</v>
      </c>
      <c r="C129" s="14" t="s">
        <v>34</v>
      </c>
      <c r="D129" s="14" t="s">
        <v>130</v>
      </c>
      <c r="E129" s="14">
        <f xml:space="preserve"> IF($S$36,1,0)</f>
        <v>0</v>
      </c>
      <c r="F129" s="14" t="s">
        <v>131</v>
      </c>
      <c r="G129" s="14">
        <v>0</v>
      </c>
      <c r="H129" s="14">
        <v>0</v>
      </c>
      <c r="I129" s="14">
        <v>0</v>
      </c>
      <c r="J129" s="14">
        <v>0</v>
      </c>
      <c r="K129" s="14">
        <v>0</v>
      </c>
      <c r="L129" s="14">
        <v>0</v>
      </c>
      <c r="M129" s="14">
        <v>0</v>
      </c>
      <c r="N129" s="14">
        <v>0</v>
      </c>
      <c r="O129" s="14">
        <v>0</v>
      </c>
      <c r="P129" s="14">
        <v>0</v>
      </c>
      <c r="Q129" s="15">
        <v>0</v>
      </c>
      <c r="R129" s="15">
        <v>0</v>
      </c>
      <c r="S129" s="15">
        <v>0</v>
      </c>
    </row>
    <row r="130" spans="1:19" x14ac:dyDescent="0.3">
      <c r="A130" s="10" t="s">
        <v>198</v>
      </c>
      <c r="B130" s="11" t="s">
        <v>177</v>
      </c>
      <c r="C130" s="11" t="s">
        <v>65</v>
      </c>
      <c r="D130" s="11" t="s">
        <v>199</v>
      </c>
      <c r="E130" s="11">
        <f xml:space="preserve"> IF($S$55,1,0)</f>
        <v>0</v>
      </c>
      <c r="F130" s="11" t="s">
        <v>200</v>
      </c>
      <c r="G130" s="11">
        <v>0</v>
      </c>
      <c r="H130" s="11">
        <v>0</v>
      </c>
      <c r="I130" s="11">
        <v>0</v>
      </c>
      <c r="J130" s="11">
        <v>0</v>
      </c>
      <c r="K130" s="11">
        <v>0</v>
      </c>
      <c r="L130" s="11">
        <v>0</v>
      </c>
      <c r="M130" s="11">
        <v>0</v>
      </c>
      <c r="N130" s="11">
        <v>0</v>
      </c>
      <c r="O130" s="11">
        <v>0</v>
      </c>
      <c r="P130" s="11">
        <v>0</v>
      </c>
      <c r="Q130" s="12">
        <v>0</v>
      </c>
      <c r="R130" s="12">
        <v>0</v>
      </c>
      <c r="S130" s="12">
        <v>0</v>
      </c>
    </row>
    <row r="131" spans="1:19" x14ac:dyDescent="0.3">
      <c r="A131" s="13" t="s">
        <v>409</v>
      </c>
      <c r="B131" s="14" t="s">
        <v>410</v>
      </c>
      <c r="C131" s="14"/>
      <c r="D131" s="14" t="s">
        <v>411</v>
      </c>
      <c r="E131" s="14">
        <f xml:space="preserve"> IF($S$110,1,0)</f>
        <v>0</v>
      </c>
      <c r="F131" s="14" t="s">
        <v>412</v>
      </c>
      <c r="G131" s="14">
        <v>0</v>
      </c>
      <c r="H131" s="14">
        <v>0</v>
      </c>
      <c r="I131" s="14">
        <v>0</v>
      </c>
      <c r="J131" s="14">
        <v>0</v>
      </c>
      <c r="K131" s="14">
        <v>0</v>
      </c>
      <c r="L131" s="14">
        <v>0</v>
      </c>
      <c r="M131" s="14">
        <v>0</v>
      </c>
      <c r="N131" s="14">
        <v>0</v>
      </c>
      <c r="O131" s="14">
        <v>0</v>
      </c>
      <c r="P131" s="14">
        <v>0</v>
      </c>
      <c r="Q131" s="15">
        <v>0</v>
      </c>
      <c r="R131" s="15">
        <v>0</v>
      </c>
      <c r="S131" s="15">
        <v>0</v>
      </c>
    </row>
    <row r="132" spans="1:19" x14ac:dyDescent="0.3">
      <c r="A132" s="13" t="s">
        <v>231</v>
      </c>
      <c r="B132" s="14" t="s">
        <v>225</v>
      </c>
      <c r="C132" s="14"/>
      <c r="D132" s="14" t="s">
        <v>232</v>
      </c>
      <c r="E132" s="14">
        <f xml:space="preserve"> IF($S$64,1,0)</f>
        <v>0</v>
      </c>
      <c r="F132" s="14" t="s">
        <v>233</v>
      </c>
      <c r="G132" s="14">
        <v>0</v>
      </c>
      <c r="H132" s="14">
        <v>0</v>
      </c>
      <c r="I132" s="14">
        <v>0</v>
      </c>
      <c r="J132" s="14">
        <v>0</v>
      </c>
      <c r="K132" s="14">
        <v>0</v>
      </c>
      <c r="L132" s="14">
        <v>0</v>
      </c>
      <c r="M132" s="14">
        <v>0</v>
      </c>
      <c r="N132" s="14">
        <v>0</v>
      </c>
      <c r="O132" s="14">
        <v>0</v>
      </c>
      <c r="P132" s="14">
        <v>0</v>
      </c>
      <c r="Q132" s="15">
        <v>0</v>
      </c>
      <c r="R132" s="15">
        <v>0</v>
      </c>
      <c r="S132" s="15">
        <v>0</v>
      </c>
    </row>
    <row r="133" spans="1:19" x14ac:dyDescent="0.3">
      <c r="A133" s="10" t="s">
        <v>1133</v>
      </c>
      <c r="B133" s="11" t="s">
        <v>1134</v>
      </c>
      <c r="C133" s="11"/>
      <c r="D133" s="11" t="s">
        <v>1135</v>
      </c>
      <c r="E133" s="11">
        <f xml:space="preserve"> IF($S$303,1,0)</f>
        <v>0</v>
      </c>
      <c r="F133" s="11" t="s">
        <v>1136</v>
      </c>
      <c r="G133" s="11">
        <v>0</v>
      </c>
      <c r="H133" s="11">
        <v>0</v>
      </c>
      <c r="I133" s="11">
        <v>0</v>
      </c>
      <c r="J133" s="11">
        <v>0</v>
      </c>
      <c r="K133" s="11">
        <v>0</v>
      </c>
      <c r="L133" s="11">
        <v>0</v>
      </c>
      <c r="M133" s="11">
        <v>0</v>
      </c>
      <c r="N133" s="11">
        <v>0</v>
      </c>
      <c r="O133" s="11">
        <v>0</v>
      </c>
      <c r="P133" s="11">
        <v>0</v>
      </c>
      <c r="Q133" s="12">
        <v>0</v>
      </c>
      <c r="R133" s="12">
        <v>0</v>
      </c>
      <c r="S133" s="12">
        <v>0</v>
      </c>
    </row>
    <row r="134" spans="1:19" x14ac:dyDescent="0.3">
      <c r="A134" s="10" t="s">
        <v>972</v>
      </c>
      <c r="B134" s="11" t="s">
        <v>973</v>
      </c>
      <c r="C134" s="11"/>
      <c r="D134" s="11" t="s">
        <v>974</v>
      </c>
      <c r="E134" s="11">
        <f xml:space="preserve"> IF($S$259,1,0)</f>
        <v>1</v>
      </c>
      <c r="F134" s="11" t="s">
        <v>975</v>
      </c>
      <c r="G134" s="11">
        <v>0</v>
      </c>
      <c r="H134" s="11">
        <v>0</v>
      </c>
      <c r="I134" s="11">
        <v>0</v>
      </c>
      <c r="J134" s="11">
        <v>0</v>
      </c>
      <c r="K134" s="11">
        <v>0</v>
      </c>
      <c r="L134" s="11">
        <v>0</v>
      </c>
      <c r="M134" s="11">
        <v>0</v>
      </c>
      <c r="N134" s="11">
        <v>0</v>
      </c>
      <c r="O134" s="11">
        <v>0</v>
      </c>
      <c r="P134" s="11">
        <v>0</v>
      </c>
      <c r="Q134" s="12">
        <v>0</v>
      </c>
      <c r="R134" s="12">
        <v>0</v>
      </c>
      <c r="S134" s="12">
        <v>0</v>
      </c>
    </row>
    <row r="135" spans="1:19" x14ac:dyDescent="0.3">
      <c r="A135" s="13" t="s">
        <v>189</v>
      </c>
      <c r="B135" s="14" t="s">
        <v>177</v>
      </c>
      <c r="C135" s="14"/>
      <c r="D135" s="14" t="s">
        <v>190</v>
      </c>
      <c r="E135" s="14">
        <f xml:space="preserve"> IF($S$52,1,0)</f>
        <v>0</v>
      </c>
      <c r="F135" s="14" t="s">
        <v>191</v>
      </c>
      <c r="G135" s="14">
        <v>0</v>
      </c>
      <c r="H135" s="14">
        <v>0</v>
      </c>
      <c r="I135" s="14">
        <v>0</v>
      </c>
      <c r="J135" s="14">
        <v>0</v>
      </c>
      <c r="K135" s="14">
        <v>0</v>
      </c>
      <c r="L135" s="14">
        <v>0</v>
      </c>
      <c r="M135" s="14">
        <v>0</v>
      </c>
      <c r="N135" s="14">
        <v>0</v>
      </c>
      <c r="O135" s="14">
        <v>0</v>
      </c>
      <c r="P135" s="14">
        <v>0</v>
      </c>
      <c r="Q135" s="15">
        <v>0</v>
      </c>
      <c r="R135" s="15">
        <v>0</v>
      </c>
      <c r="S135" s="15">
        <v>0</v>
      </c>
    </row>
    <row r="136" spans="1:19" x14ac:dyDescent="0.3">
      <c r="A136" s="10" t="s">
        <v>934</v>
      </c>
      <c r="B136" s="11" t="s">
        <v>935</v>
      </c>
      <c r="C136" s="11"/>
      <c r="D136" s="11" t="s">
        <v>936</v>
      </c>
      <c r="E136" s="11">
        <f xml:space="preserve"> IF($S$249,1,0)</f>
        <v>0</v>
      </c>
      <c r="F136" s="11" t="s">
        <v>937</v>
      </c>
      <c r="G136" s="11">
        <v>0</v>
      </c>
      <c r="H136" s="11">
        <v>0</v>
      </c>
      <c r="I136" s="11">
        <v>0</v>
      </c>
      <c r="J136" s="11">
        <v>0</v>
      </c>
      <c r="K136" s="11">
        <v>0</v>
      </c>
      <c r="L136" s="11">
        <v>0</v>
      </c>
      <c r="M136" s="11">
        <v>0</v>
      </c>
      <c r="N136" s="11">
        <v>0</v>
      </c>
      <c r="O136" s="11">
        <v>0</v>
      </c>
      <c r="P136" s="11">
        <v>0</v>
      </c>
      <c r="Q136" s="12">
        <v>0</v>
      </c>
      <c r="R136" s="12">
        <v>0</v>
      </c>
      <c r="S136" s="12">
        <v>0</v>
      </c>
    </row>
    <row r="137" spans="1:19" x14ac:dyDescent="0.3">
      <c r="A137" s="13" t="s">
        <v>785</v>
      </c>
      <c r="B137" s="14" t="s">
        <v>779</v>
      </c>
      <c r="C137" s="14"/>
      <c r="D137" s="14" t="s">
        <v>786</v>
      </c>
      <c r="E137" s="14">
        <f xml:space="preserve"> IF($S$210,1,0)</f>
        <v>0</v>
      </c>
      <c r="F137" s="14" t="s">
        <v>787</v>
      </c>
      <c r="G137" s="14">
        <v>1</v>
      </c>
      <c r="H137" s="14">
        <v>0</v>
      </c>
      <c r="I137" s="14">
        <v>0</v>
      </c>
      <c r="J137" s="14">
        <v>0</v>
      </c>
      <c r="K137" s="14">
        <v>1</v>
      </c>
      <c r="L137" s="14">
        <v>1</v>
      </c>
      <c r="M137" s="14">
        <v>0</v>
      </c>
      <c r="N137" s="14">
        <v>0</v>
      </c>
      <c r="O137" s="14">
        <v>0</v>
      </c>
      <c r="P137" s="14">
        <v>0</v>
      </c>
      <c r="Q137" s="15">
        <v>6.1</v>
      </c>
      <c r="R137" s="15">
        <v>0</v>
      </c>
      <c r="S137" s="15">
        <v>6.1</v>
      </c>
    </row>
    <row r="138" spans="1:19" x14ac:dyDescent="0.3">
      <c r="A138" s="13" t="s">
        <v>1163</v>
      </c>
      <c r="B138" s="14" t="s">
        <v>1160</v>
      </c>
      <c r="C138" s="14"/>
      <c r="D138" s="14" t="s">
        <v>1164</v>
      </c>
      <c r="E138" s="14">
        <f xml:space="preserve"> IF($S$312,1,0)</f>
        <v>0</v>
      </c>
      <c r="F138" s="14" t="s">
        <v>1165</v>
      </c>
      <c r="G138" s="14">
        <v>0</v>
      </c>
      <c r="H138" s="14">
        <v>0</v>
      </c>
      <c r="I138" s="14">
        <v>0</v>
      </c>
      <c r="J138" s="14">
        <v>0</v>
      </c>
      <c r="K138" s="14">
        <v>0</v>
      </c>
      <c r="L138" s="14">
        <v>0</v>
      </c>
      <c r="M138" s="14">
        <v>0</v>
      </c>
      <c r="N138" s="14">
        <v>0</v>
      </c>
      <c r="O138" s="14">
        <v>0</v>
      </c>
      <c r="P138" s="14">
        <v>0</v>
      </c>
      <c r="Q138" s="15">
        <v>0</v>
      </c>
      <c r="R138" s="15">
        <v>0</v>
      </c>
      <c r="S138" s="15">
        <v>0</v>
      </c>
    </row>
    <row r="139" spans="1:19" x14ac:dyDescent="0.3">
      <c r="A139" s="13" t="s">
        <v>520</v>
      </c>
      <c r="B139" s="14" t="s">
        <v>517</v>
      </c>
      <c r="C139" s="14"/>
      <c r="D139" s="14" t="s">
        <v>521</v>
      </c>
      <c r="E139" s="14">
        <f xml:space="preserve"> IF($S$140,1,0)</f>
        <v>0</v>
      </c>
      <c r="F139" s="14" t="s">
        <v>522</v>
      </c>
      <c r="G139" s="14">
        <v>0</v>
      </c>
      <c r="H139" s="14">
        <v>0</v>
      </c>
      <c r="I139" s="14">
        <v>0</v>
      </c>
      <c r="J139" s="14">
        <v>0</v>
      </c>
      <c r="K139" s="14">
        <v>0</v>
      </c>
      <c r="L139" s="14">
        <v>2</v>
      </c>
      <c r="M139" s="14">
        <v>0</v>
      </c>
      <c r="N139" s="14">
        <v>0</v>
      </c>
      <c r="O139" s="14">
        <v>0</v>
      </c>
      <c r="P139" s="14">
        <v>1</v>
      </c>
      <c r="Q139" s="15">
        <v>9</v>
      </c>
      <c r="R139" s="15">
        <v>0</v>
      </c>
      <c r="S139" s="15">
        <v>9</v>
      </c>
    </row>
    <row r="140" spans="1:19" x14ac:dyDescent="0.3">
      <c r="A140" s="10" t="s">
        <v>63</v>
      </c>
      <c r="B140" s="11" t="s">
        <v>64</v>
      </c>
      <c r="C140" s="11" t="s">
        <v>65</v>
      </c>
      <c r="D140" s="11" t="s">
        <v>66</v>
      </c>
      <c r="E140" s="11">
        <f xml:space="preserve"> IF($S$19,1,0)</f>
        <v>0</v>
      </c>
      <c r="F140" s="11" t="s">
        <v>67</v>
      </c>
      <c r="G140" s="11">
        <v>0</v>
      </c>
      <c r="H140" s="11">
        <v>0</v>
      </c>
      <c r="I140" s="11">
        <v>0</v>
      </c>
      <c r="J140" s="11">
        <v>0</v>
      </c>
      <c r="K140" s="11">
        <v>0</v>
      </c>
      <c r="L140" s="11">
        <v>0</v>
      </c>
      <c r="M140" s="11">
        <v>0</v>
      </c>
      <c r="N140" s="11">
        <v>0</v>
      </c>
      <c r="O140" s="11">
        <v>0</v>
      </c>
      <c r="P140" s="11">
        <v>0</v>
      </c>
      <c r="Q140" s="12">
        <v>0</v>
      </c>
      <c r="R140" s="12">
        <v>0</v>
      </c>
      <c r="S140" s="12">
        <v>0</v>
      </c>
    </row>
    <row r="141" spans="1:19" x14ac:dyDescent="0.3">
      <c r="A141" s="13" t="s">
        <v>672</v>
      </c>
      <c r="B141" s="14" t="s">
        <v>673</v>
      </c>
      <c r="C141" s="14"/>
      <c r="D141" s="14" t="s">
        <v>674</v>
      </c>
      <c r="E141" s="14">
        <f xml:space="preserve"> IF($S$180,1,0)</f>
        <v>0</v>
      </c>
      <c r="F141" s="14" t="s">
        <v>675</v>
      </c>
      <c r="G141" s="14">
        <v>3</v>
      </c>
      <c r="H141" s="14">
        <v>0</v>
      </c>
      <c r="I141" s="14">
        <v>0</v>
      </c>
      <c r="J141" s="14">
        <v>0</v>
      </c>
      <c r="K141" s="14">
        <v>0</v>
      </c>
      <c r="L141" s="14">
        <v>0</v>
      </c>
      <c r="M141" s="14">
        <v>0</v>
      </c>
      <c r="N141" s="14">
        <v>0</v>
      </c>
      <c r="O141" s="14">
        <v>0</v>
      </c>
      <c r="P141" s="14">
        <v>0</v>
      </c>
      <c r="Q141" s="15">
        <v>3.3000000000000003</v>
      </c>
      <c r="R141" s="15">
        <v>0</v>
      </c>
      <c r="S141" s="15">
        <v>3.3000000000000003</v>
      </c>
    </row>
    <row r="142" spans="1:19" x14ac:dyDescent="0.3">
      <c r="A142" s="13" t="s">
        <v>364</v>
      </c>
      <c r="B142" s="14" t="s">
        <v>358</v>
      </c>
      <c r="C142" s="14"/>
      <c r="D142" s="14" t="s">
        <v>365</v>
      </c>
      <c r="E142" s="14">
        <f xml:space="preserve"> IF($S$98,1,0)</f>
        <v>0</v>
      </c>
      <c r="F142" s="14" t="s">
        <v>366</v>
      </c>
      <c r="G142" s="14">
        <v>0</v>
      </c>
      <c r="H142" s="14">
        <v>4</v>
      </c>
      <c r="I142" s="14">
        <v>0</v>
      </c>
      <c r="J142" s="14">
        <v>0</v>
      </c>
      <c r="K142" s="14">
        <v>2</v>
      </c>
      <c r="L142" s="14">
        <v>0</v>
      </c>
      <c r="M142" s="14">
        <v>0</v>
      </c>
      <c r="N142" s="14">
        <v>0</v>
      </c>
      <c r="O142" s="14">
        <v>0</v>
      </c>
      <c r="P142" s="14">
        <v>0</v>
      </c>
      <c r="Q142" s="15">
        <v>12</v>
      </c>
      <c r="R142" s="15">
        <v>0</v>
      </c>
      <c r="S142" s="15">
        <v>12</v>
      </c>
    </row>
    <row r="143" spans="1:19" x14ac:dyDescent="0.3">
      <c r="A143" s="13" t="s">
        <v>1221</v>
      </c>
      <c r="B143" s="14" t="s">
        <v>1222</v>
      </c>
      <c r="C143" s="14"/>
      <c r="D143" s="14" t="s">
        <v>1223</v>
      </c>
      <c r="E143" s="14">
        <f xml:space="preserve"> IF($S$328,1,0)</f>
        <v>0</v>
      </c>
      <c r="F143" s="14" t="s">
        <v>1224</v>
      </c>
      <c r="G143" s="14">
        <v>0</v>
      </c>
      <c r="H143" s="14">
        <v>0</v>
      </c>
      <c r="I143" s="14">
        <v>0</v>
      </c>
      <c r="J143" s="14">
        <v>0</v>
      </c>
      <c r="K143" s="14">
        <v>0</v>
      </c>
      <c r="L143" s="14">
        <v>0</v>
      </c>
      <c r="M143" s="14">
        <v>0</v>
      </c>
      <c r="N143" s="14">
        <v>0</v>
      </c>
      <c r="O143" s="14">
        <v>0</v>
      </c>
      <c r="P143" s="14">
        <v>0</v>
      </c>
      <c r="Q143" s="15">
        <v>0</v>
      </c>
      <c r="R143" s="15">
        <v>0</v>
      </c>
      <c r="S143" s="15">
        <v>0</v>
      </c>
    </row>
    <row r="144" spans="1:19" x14ac:dyDescent="0.3">
      <c r="A144" s="13" t="s">
        <v>847</v>
      </c>
      <c r="B144" s="14" t="s">
        <v>848</v>
      </c>
      <c r="C144" s="14" t="s">
        <v>202</v>
      </c>
      <c r="D144" s="14" t="s">
        <v>849</v>
      </c>
      <c r="E144" s="14">
        <f xml:space="preserve"> IF($S$226,1,0)</f>
        <v>0</v>
      </c>
      <c r="F144" s="14" t="s">
        <v>850</v>
      </c>
      <c r="G144" s="14">
        <v>0</v>
      </c>
      <c r="H144" s="14">
        <v>0</v>
      </c>
      <c r="I144" s="14">
        <v>0</v>
      </c>
      <c r="J144" s="14">
        <v>0</v>
      </c>
      <c r="K144" s="14">
        <v>0</v>
      </c>
      <c r="L144" s="14">
        <v>0</v>
      </c>
      <c r="M144" s="14">
        <v>0</v>
      </c>
      <c r="N144" s="14">
        <v>0</v>
      </c>
      <c r="O144" s="14">
        <v>0</v>
      </c>
      <c r="P144" s="14">
        <v>0</v>
      </c>
      <c r="Q144" s="15">
        <v>0</v>
      </c>
      <c r="R144" s="15">
        <v>0</v>
      </c>
      <c r="S144" s="15">
        <v>0</v>
      </c>
    </row>
    <row r="145" spans="1:19" x14ac:dyDescent="0.3">
      <c r="A145" s="13" t="s">
        <v>800</v>
      </c>
      <c r="B145" s="14" t="s">
        <v>797</v>
      </c>
      <c r="C145" s="14" t="s">
        <v>34</v>
      </c>
      <c r="D145" s="14" t="s">
        <v>801</v>
      </c>
      <c r="E145" s="14">
        <f xml:space="preserve"> IF($S$214,1,0)</f>
        <v>0</v>
      </c>
      <c r="F145" s="14" t="s">
        <v>802</v>
      </c>
      <c r="G145" s="14">
        <v>0</v>
      </c>
      <c r="H145" s="14">
        <v>0</v>
      </c>
      <c r="I145" s="14">
        <v>0</v>
      </c>
      <c r="J145" s="14">
        <v>0</v>
      </c>
      <c r="K145" s="14">
        <v>0</v>
      </c>
      <c r="L145" s="14">
        <v>0</v>
      </c>
      <c r="M145" s="14">
        <v>0</v>
      </c>
      <c r="N145" s="14">
        <v>0</v>
      </c>
      <c r="O145" s="14">
        <v>0</v>
      </c>
      <c r="P145" s="14">
        <v>0</v>
      </c>
      <c r="Q145" s="15">
        <v>0</v>
      </c>
      <c r="R145" s="15">
        <v>0</v>
      </c>
      <c r="S145" s="15">
        <v>0</v>
      </c>
    </row>
    <row r="146" spans="1:19" x14ac:dyDescent="0.3">
      <c r="A146" s="10" t="s">
        <v>382</v>
      </c>
      <c r="B146" s="11" t="s">
        <v>383</v>
      </c>
      <c r="C146" s="11"/>
      <c r="D146" s="11" t="s">
        <v>384</v>
      </c>
      <c r="E146" s="11">
        <f xml:space="preserve"> IF($S$103,1,0)</f>
        <v>0</v>
      </c>
      <c r="F146" s="11" t="s">
        <v>385</v>
      </c>
      <c r="G146" s="11">
        <v>0</v>
      </c>
      <c r="H146" s="11">
        <v>0</v>
      </c>
      <c r="I146" s="11">
        <v>0</v>
      </c>
      <c r="J146" s="11">
        <v>0</v>
      </c>
      <c r="K146" s="11">
        <v>0</v>
      </c>
      <c r="L146" s="11">
        <v>0</v>
      </c>
      <c r="M146" s="11">
        <v>0</v>
      </c>
      <c r="N146" s="11">
        <v>0</v>
      </c>
      <c r="O146" s="11">
        <v>0</v>
      </c>
      <c r="P146" s="11">
        <v>0</v>
      </c>
      <c r="Q146" s="12">
        <v>0</v>
      </c>
      <c r="R146" s="12">
        <v>0</v>
      </c>
      <c r="S146" s="12">
        <v>0</v>
      </c>
    </row>
    <row r="147" spans="1:19" x14ac:dyDescent="0.3">
      <c r="A147" s="13" t="s">
        <v>1200</v>
      </c>
      <c r="B147" s="14" t="s">
        <v>1201</v>
      </c>
      <c r="C147" s="14"/>
      <c r="D147" s="14" t="s">
        <v>1202</v>
      </c>
      <c r="E147" s="14">
        <f xml:space="preserve"> IF($S$322,1,0)</f>
        <v>1</v>
      </c>
      <c r="F147" s="14" t="s">
        <v>1203</v>
      </c>
      <c r="G147" s="14">
        <v>0</v>
      </c>
      <c r="H147" s="14">
        <v>0</v>
      </c>
      <c r="I147" s="14">
        <v>0</v>
      </c>
      <c r="J147" s="14">
        <v>0</v>
      </c>
      <c r="K147" s="14">
        <v>0</v>
      </c>
      <c r="L147" s="14">
        <v>0</v>
      </c>
      <c r="M147" s="14">
        <v>0</v>
      </c>
      <c r="N147" s="14">
        <v>0</v>
      </c>
      <c r="O147" s="14">
        <v>0</v>
      </c>
      <c r="P147" s="14">
        <v>0</v>
      </c>
      <c r="Q147" s="15">
        <v>0</v>
      </c>
      <c r="R147" s="15">
        <v>0</v>
      </c>
      <c r="S147" s="15">
        <v>0</v>
      </c>
    </row>
    <row r="148" spans="1:19" x14ac:dyDescent="0.3">
      <c r="A148" s="13" t="s">
        <v>680</v>
      </c>
      <c r="B148" s="14" t="s">
        <v>681</v>
      </c>
      <c r="C148" s="14"/>
      <c r="D148" s="14" t="s">
        <v>682</v>
      </c>
      <c r="E148" s="14">
        <f xml:space="preserve"> IF($S$182,1,0)</f>
        <v>0</v>
      </c>
      <c r="F148" s="14" t="s">
        <v>683</v>
      </c>
      <c r="G148" s="14">
        <v>0</v>
      </c>
      <c r="H148" s="14">
        <v>0</v>
      </c>
      <c r="I148" s="14">
        <v>0</v>
      </c>
      <c r="J148" s="14">
        <v>0</v>
      </c>
      <c r="K148" s="14">
        <v>0</v>
      </c>
      <c r="L148" s="14">
        <v>0</v>
      </c>
      <c r="M148" s="14">
        <v>0</v>
      </c>
      <c r="N148" s="14">
        <v>0</v>
      </c>
      <c r="O148" s="14">
        <v>0</v>
      </c>
      <c r="P148" s="14">
        <v>0</v>
      </c>
      <c r="Q148" s="15">
        <v>0</v>
      </c>
      <c r="R148" s="15">
        <v>0</v>
      </c>
      <c r="S148" s="15">
        <v>0</v>
      </c>
    </row>
    <row r="149" spans="1:19" x14ac:dyDescent="0.3">
      <c r="A149" s="13" t="s">
        <v>1177</v>
      </c>
      <c r="B149" s="14" t="s">
        <v>1174</v>
      </c>
      <c r="C149" s="14" t="s">
        <v>65</v>
      </c>
      <c r="D149" s="14" t="s">
        <v>1178</v>
      </c>
      <c r="E149" s="14">
        <f xml:space="preserve"> IF($S$316,1,0)</f>
        <v>0</v>
      </c>
      <c r="F149" s="14" t="s">
        <v>1179</v>
      </c>
      <c r="G149" s="14">
        <v>0</v>
      </c>
      <c r="H149" s="14">
        <v>0</v>
      </c>
      <c r="I149" s="14">
        <v>0</v>
      </c>
      <c r="J149" s="14">
        <v>0</v>
      </c>
      <c r="K149" s="14">
        <v>0</v>
      </c>
      <c r="L149" s="14">
        <v>0</v>
      </c>
      <c r="M149" s="14">
        <v>0</v>
      </c>
      <c r="N149" s="14">
        <v>0</v>
      </c>
      <c r="O149" s="14">
        <v>0</v>
      </c>
      <c r="P149" s="14">
        <v>0</v>
      </c>
      <c r="Q149" s="15">
        <v>0</v>
      </c>
      <c r="R149" s="15">
        <v>0</v>
      </c>
      <c r="S149" s="15">
        <v>0</v>
      </c>
    </row>
    <row r="150" spans="1:19" x14ac:dyDescent="0.3">
      <c r="A150" s="13" t="s">
        <v>401</v>
      </c>
      <c r="B150" s="14" t="s">
        <v>402</v>
      </c>
      <c r="C150" s="14"/>
      <c r="D150" s="14" t="s">
        <v>403</v>
      </c>
      <c r="E150" s="14">
        <f xml:space="preserve"> IF($S$108,1,0)</f>
        <v>0</v>
      </c>
      <c r="F150" s="14" t="s">
        <v>404</v>
      </c>
      <c r="G150" s="14">
        <v>0</v>
      </c>
      <c r="H150" s="14">
        <v>0</v>
      </c>
      <c r="I150" s="14">
        <v>1</v>
      </c>
      <c r="J150" s="14">
        <v>0</v>
      </c>
      <c r="K150" s="14">
        <v>0</v>
      </c>
      <c r="L150" s="14">
        <v>0</v>
      </c>
      <c r="M150" s="14">
        <v>0</v>
      </c>
      <c r="N150" s="14">
        <v>0</v>
      </c>
      <c r="O150" s="14">
        <v>0</v>
      </c>
      <c r="P150" s="14">
        <v>0</v>
      </c>
      <c r="Q150" s="15">
        <v>1</v>
      </c>
      <c r="R150" s="15">
        <v>0</v>
      </c>
      <c r="S150" s="15">
        <v>1</v>
      </c>
    </row>
    <row r="151" spans="1:19" x14ac:dyDescent="0.3">
      <c r="A151" s="13" t="s">
        <v>649</v>
      </c>
      <c r="B151" s="14" t="s">
        <v>650</v>
      </c>
      <c r="C151" s="14"/>
      <c r="D151" s="14" t="s">
        <v>651</v>
      </c>
      <c r="E151" s="14">
        <f xml:space="preserve"> IF($S$174,1,0)</f>
        <v>0</v>
      </c>
      <c r="F151" s="14" t="s">
        <v>652</v>
      </c>
      <c r="G151" s="14">
        <v>0</v>
      </c>
      <c r="H151" s="14">
        <v>0</v>
      </c>
      <c r="I151" s="14">
        <v>0</v>
      </c>
      <c r="J151" s="14">
        <v>0</v>
      </c>
      <c r="K151" s="14">
        <v>0</v>
      </c>
      <c r="L151" s="14">
        <v>0</v>
      </c>
      <c r="M151" s="14">
        <v>0</v>
      </c>
      <c r="N151" s="14">
        <v>0</v>
      </c>
      <c r="O151" s="14">
        <v>0</v>
      </c>
      <c r="P151" s="14">
        <v>0</v>
      </c>
      <c r="Q151" s="15">
        <v>0</v>
      </c>
      <c r="R151" s="15">
        <v>0</v>
      </c>
      <c r="S151" s="15">
        <v>0</v>
      </c>
    </row>
    <row r="152" spans="1:19" x14ac:dyDescent="0.3">
      <c r="A152" s="10" t="s">
        <v>1098</v>
      </c>
      <c r="B152" s="11" t="s">
        <v>1099</v>
      </c>
      <c r="C152" s="11"/>
      <c r="D152" s="11" t="s">
        <v>1100</v>
      </c>
      <c r="E152" s="11">
        <f xml:space="preserve"> IF($S$293,1,0)</f>
        <v>0</v>
      </c>
      <c r="F152" s="11" t="s">
        <v>1101</v>
      </c>
      <c r="G152" s="11">
        <v>0</v>
      </c>
      <c r="H152" s="11">
        <v>0</v>
      </c>
      <c r="I152" s="11">
        <v>0</v>
      </c>
      <c r="J152" s="11">
        <v>0</v>
      </c>
      <c r="K152" s="11">
        <v>0</v>
      </c>
      <c r="L152" s="11">
        <v>0</v>
      </c>
      <c r="M152" s="11">
        <v>0</v>
      </c>
      <c r="N152" s="11">
        <v>0</v>
      </c>
      <c r="O152" s="11">
        <v>0</v>
      </c>
      <c r="P152" s="11">
        <v>0</v>
      </c>
      <c r="Q152" s="12">
        <v>0</v>
      </c>
      <c r="R152" s="12">
        <v>0</v>
      </c>
      <c r="S152" s="12">
        <v>0</v>
      </c>
    </row>
    <row r="153" spans="1:19" x14ac:dyDescent="0.3">
      <c r="A153" s="13" t="s">
        <v>1169</v>
      </c>
      <c r="B153" s="14" t="s">
        <v>1170</v>
      </c>
      <c r="C153" s="14"/>
      <c r="D153" s="14" t="s">
        <v>1171</v>
      </c>
      <c r="E153" s="14">
        <f xml:space="preserve"> IF($S$314,1,0)</f>
        <v>0</v>
      </c>
      <c r="F153" s="14" t="s">
        <v>1172</v>
      </c>
      <c r="G153" s="14">
        <v>0</v>
      </c>
      <c r="H153" s="14">
        <v>0</v>
      </c>
      <c r="I153" s="14">
        <v>0</v>
      </c>
      <c r="J153" s="14">
        <v>0</v>
      </c>
      <c r="K153" s="14">
        <v>0</v>
      </c>
      <c r="L153" s="14">
        <v>0</v>
      </c>
      <c r="M153" s="14">
        <v>0</v>
      </c>
      <c r="N153" s="14">
        <v>0</v>
      </c>
      <c r="O153" s="14">
        <v>0</v>
      </c>
      <c r="P153" s="14">
        <v>0</v>
      </c>
      <c r="Q153" s="15">
        <v>0</v>
      </c>
      <c r="R153" s="15">
        <v>0</v>
      </c>
      <c r="S153" s="15">
        <v>0</v>
      </c>
    </row>
    <row r="154" spans="1:19" x14ac:dyDescent="0.3">
      <c r="A154" s="10" t="s">
        <v>397</v>
      </c>
      <c r="B154" s="11" t="s">
        <v>398</v>
      </c>
      <c r="C154" s="11" t="s">
        <v>243</v>
      </c>
      <c r="D154" s="11" t="s">
        <v>399</v>
      </c>
      <c r="E154" s="11">
        <f xml:space="preserve"> IF($S$107,1,0)</f>
        <v>0</v>
      </c>
      <c r="F154" s="11" t="s">
        <v>400</v>
      </c>
      <c r="G154" s="11">
        <v>0</v>
      </c>
      <c r="H154" s="11">
        <v>3</v>
      </c>
      <c r="I154" s="11">
        <v>0</v>
      </c>
      <c r="J154" s="11">
        <v>0</v>
      </c>
      <c r="K154" s="11">
        <v>1</v>
      </c>
      <c r="L154" s="11">
        <v>0</v>
      </c>
      <c r="M154" s="11">
        <v>0</v>
      </c>
      <c r="N154" s="11">
        <v>0</v>
      </c>
      <c r="O154" s="11">
        <v>0</v>
      </c>
      <c r="P154" s="11">
        <v>0</v>
      </c>
      <c r="Q154" s="12">
        <v>8</v>
      </c>
      <c r="R154" s="12">
        <v>0</v>
      </c>
      <c r="S154" s="12">
        <v>8</v>
      </c>
    </row>
    <row r="155" spans="1:19" x14ac:dyDescent="0.3">
      <c r="A155" s="13" t="s">
        <v>739</v>
      </c>
      <c r="B155" s="14" t="s">
        <v>740</v>
      </c>
      <c r="C155" s="14" t="s">
        <v>65</v>
      </c>
      <c r="D155" s="14" t="s">
        <v>239</v>
      </c>
      <c r="E155" s="14">
        <f xml:space="preserve"> IF($S$198,1,0)</f>
        <v>0</v>
      </c>
      <c r="F155" s="14" t="s">
        <v>741</v>
      </c>
      <c r="G155" s="14">
        <v>0</v>
      </c>
      <c r="H155" s="14">
        <v>0</v>
      </c>
      <c r="I155" s="14">
        <v>0</v>
      </c>
      <c r="J155" s="14">
        <v>0</v>
      </c>
      <c r="K155" s="14">
        <v>0</v>
      </c>
      <c r="L155" s="14">
        <v>0</v>
      </c>
      <c r="M155" s="14">
        <v>0</v>
      </c>
      <c r="N155" s="14">
        <v>0</v>
      </c>
      <c r="O155" s="14">
        <v>0</v>
      </c>
      <c r="P155" s="14">
        <v>0</v>
      </c>
      <c r="Q155" s="15">
        <v>0</v>
      </c>
      <c r="R155" s="15">
        <v>0</v>
      </c>
      <c r="S155" s="15">
        <v>0</v>
      </c>
    </row>
    <row r="156" spans="1:19" x14ac:dyDescent="0.3">
      <c r="A156" s="10" t="s">
        <v>782</v>
      </c>
      <c r="B156" s="11" t="s">
        <v>779</v>
      </c>
      <c r="C156" s="11"/>
      <c r="D156" s="11" t="s">
        <v>783</v>
      </c>
      <c r="E156" s="11">
        <f xml:space="preserve"> IF($S$209,1,0)</f>
        <v>0</v>
      </c>
      <c r="F156" s="11" t="s">
        <v>784</v>
      </c>
      <c r="G156" s="11">
        <v>0</v>
      </c>
      <c r="H156" s="11">
        <v>0</v>
      </c>
      <c r="I156" s="11">
        <v>0</v>
      </c>
      <c r="J156" s="11">
        <v>0</v>
      </c>
      <c r="K156" s="11">
        <v>0</v>
      </c>
      <c r="L156" s="11">
        <v>0</v>
      </c>
      <c r="M156" s="11">
        <v>0</v>
      </c>
      <c r="N156" s="11">
        <v>0</v>
      </c>
      <c r="O156" s="11">
        <v>0</v>
      </c>
      <c r="P156" s="11">
        <v>0</v>
      </c>
      <c r="Q156" s="12">
        <v>0</v>
      </c>
      <c r="R156" s="12">
        <v>0</v>
      </c>
      <c r="S156" s="12">
        <v>0</v>
      </c>
    </row>
    <row r="157" spans="1:19" x14ac:dyDescent="0.3">
      <c r="A157" s="13" t="s">
        <v>938</v>
      </c>
      <c r="B157" s="14" t="s">
        <v>939</v>
      </c>
      <c r="C157" s="14"/>
      <c r="D157" s="14" t="s">
        <v>940</v>
      </c>
      <c r="E157" s="14">
        <f xml:space="preserve"> IF($S$250,1,0)</f>
        <v>0</v>
      </c>
      <c r="F157" s="14" t="s">
        <v>941</v>
      </c>
      <c r="G157" s="14">
        <v>2</v>
      </c>
      <c r="H157" s="14">
        <v>0</v>
      </c>
      <c r="I157" s="14">
        <v>1</v>
      </c>
      <c r="J157" s="14">
        <v>0</v>
      </c>
      <c r="K157" s="14">
        <v>0</v>
      </c>
      <c r="L157" s="14">
        <v>0</v>
      </c>
      <c r="M157" s="14">
        <v>2</v>
      </c>
      <c r="N157" s="14">
        <v>0</v>
      </c>
      <c r="O157" s="14">
        <v>0</v>
      </c>
      <c r="P157" s="14">
        <v>2</v>
      </c>
      <c r="Q157" s="15">
        <v>17.2</v>
      </c>
      <c r="R157" s="15">
        <v>0</v>
      </c>
      <c r="S157" s="15">
        <v>17.2</v>
      </c>
    </row>
    <row r="158" spans="1:19" x14ac:dyDescent="0.3">
      <c r="A158" s="13" t="s">
        <v>564</v>
      </c>
      <c r="B158" s="14" t="s">
        <v>565</v>
      </c>
      <c r="C158" s="14"/>
      <c r="D158" s="14" t="s">
        <v>566</v>
      </c>
      <c r="E158" s="14">
        <f xml:space="preserve"> IF($S$152,1,0)</f>
        <v>0</v>
      </c>
      <c r="F158" s="14" t="s">
        <v>567</v>
      </c>
      <c r="G158" s="14">
        <v>0</v>
      </c>
      <c r="H158" s="14">
        <v>0</v>
      </c>
      <c r="I158" s="14">
        <v>0</v>
      </c>
      <c r="J158" s="14">
        <v>0</v>
      </c>
      <c r="K158" s="14">
        <v>0</v>
      </c>
      <c r="L158" s="14">
        <v>1</v>
      </c>
      <c r="M158" s="14">
        <v>0</v>
      </c>
      <c r="N158" s="14">
        <v>0</v>
      </c>
      <c r="O158" s="14">
        <v>0</v>
      </c>
      <c r="P158" s="14">
        <v>0</v>
      </c>
      <c r="Q158" s="15">
        <v>3</v>
      </c>
      <c r="R158" s="15">
        <v>0</v>
      </c>
      <c r="S158" s="15">
        <v>3</v>
      </c>
    </row>
    <row r="159" spans="1:19" x14ac:dyDescent="0.3">
      <c r="A159" s="10" t="s">
        <v>1113</v>
      </c>
      <c r="B159" s="11" t="s">
        <v>1114</v>
      </c>
      <c r="C159" s="11" t="s">
        <v>34</v>
      </c>
      <c r="D159" s="11" t="s">
        <v>239</v>
      </c>
      <c r="E159" s="11">
        <f xml:space="preserve"> IF($S$297,1,0)</f>
        <v>1</v>
      </c>
      <c r="F159" s="11" t="s">
        <v>1115</v>
      </c>
      <c r="G159" s="11">
        <v>0</v>
      </c>
      <c r="H159" s="11">
        <v>0</v>
      </c>
      <c r="I159" s="11">
        <v>0</v>
      </c>
      <c r="J159" s="11">
        <v>0</v>
      </c>
      <c r="K159" s="11">
        <v>0</v>
      </c>
      <c r="L159" s="11">
        <v>0</v>
      </c>
      <c r="M159" s="11">
        <v>0</v>
      </c>
      <c r="N159" s="11">
        <v>0</v>
      </c>
      <c r="O159" s="11">
        <v>0</v>
      </c>
      <c r="P159" s="11">
        <v>0</v>
      </c>
      <c r="Q159" s="12">
        <v>0</v>
      </c>
      <c r="R159" s="12">
        <v>0</v>
      </c>
      <c r="S159" s="12">
        <v>0</v>
      </c>
    </row>
    <row r="160" spans="1:19" x14ac:dyDescent="0.3">
      <c r="A160" s="10" t="s">
        <v>429</v>
      </c>
      <c r="B160" s="11" t="s">
        <v>430</v>
      </c>
      <c r="C160" s="11"/>
      <c r="D160" s="11" t="s">
        <v>431</v>
      </c>
      <c r="E160" s="11">
        <f xml:space="preserve"> IF($S$115,1,0)</f>
        <v>0</v>
      </c>
      <c r="F160" s="11" t="s">
        <v>432</v>
      </c>
      <c r="G160" s="11">
        <v>0</v>
      </c>
      <c r="H160" s="11">
        <v>0</v>
      </c>
      <c r="I160" s="11">
        <v>0</v>
      </c>
      <c r="J160" s="11">
        <v>0</v>
      </c>
      <c r="K160" s="11">
        <v>0</v>
      </c>
      <c r="L160" s="11">
        <v>0</v>
      </c>
      <c r="M160" s="11">
        <v>0</v>
      </c>
      <c r="N160" s="11">
        <v>0</v>
      </c>
      <c r="O160" s="11">
        <v>0</v>
      </c>
      <c r="P160" s="11">
        <v>0</v>
      </c>
      <c r="Q160" s="12">
        <v>0</v>
      </c>
      <c r="R160" s="12">
        <v>0</v>
      </c>
      <c r="S160" s="12">
        <v>0</v>
      </c>
    </row>
    <row r="161" spans="1:19" x14ac:dyDescent="0.3">
      <c r="A161" s="10" t="s">
        <v>957</v>
      </c>
      <c r="B161" s="11" t="s">
        <v>958</v>
      </c>
      <c r="C161" s="11" t="s">
        <v>65</v>
      </c>
      <c r="D161" s="11" t="s">
        <v>959</v>
      </c>
      <c r="E161" s="11">
        <f xml:space="preserve"> IF($S$255,1,0)</f>
        <v>0</v>
      </c>
      <c r="F161" s="11" t="s">
        <v>960</v>
      </c>
      <c r="G161" s="11">
        <v>0</v>
      </c>
      <c r="H161" s="11">
        <v>0</v>
      </c>
      <c r="I161" s="11">
        <v>0</v>
      </c>
      <c r="J161" s="11">
        <v>0</v>
      </c>
      <c r="K161" s="11">
        <v>0</v>
      </c>
      <c r="L161" s="11">
        <v>0</v>
      </c>
      <c r="M161" s="11">
        <v>0</v>
      </c>
      <c r="N161" s="11">
        <v>0</v>
      </c>
      <c r="O161" s="11">
        <v>0</v>
      </c>
      <c r="P161" s="11">
        <v>0</v>
      </c>
      <c r="Q161" s="12">
        <v>0</v>
      </c>
      <c r="R161" s="12">
        <v>0</v>
      </c>
      <c r="S161" s="12">
        <v>0</v>
      </c>
    </row>
    <row r="162" spans="1:19" x14ac:dyDescent="0.3">
      <c r="A162" s="13" t="s">
        <v>1116</v>
      </c>
      <c r="B162" s="14" t="s">
        <v>1117</v>
      </c>
      <c r="C162" s="14"/>
      <c r="D162" s="14" t="s">
        <v>1118</v>
      </c>
      <c r="E162" s="14">
        <f xml:space="preserve"> IF($S$298,1,0)</f>
        <v>0</v>
      </c>
      <c r="F162" s="14" t="s">
        <v>1119</v>
      </c>
      <c r="G162" s="14">
        <v>0</v>
      </c>
      <c r="H162" s="14">
        <v>0</v>
      </c>
      <c r="I162" s="14">
        <v>0</v>
      </c>
      <c r="J162" s="14">
        <v>0</v>
      </c>
      <c r="K162" s="14">
        <v>0</v>
      </c>
      <c r="L162" s="14">
        <v>0</v>
      </c>
      <c r="M162" s="14">
        <v>0</v>
      </c>
      <c r="N162" s="14">
        <v>0</v>
      </c>
      <c r="O162" s="14">
        <v>0</v>
      </c>
      <c r="P162" s="14">
        <v>0</v>
      </c>
      <c r="Q162" s="15">
        <v>0</v>
      </c>
      <c r="R162" s="15">
        <v>0</v>
      </c>
      <c r="S162" s="15">
        <v>0</v>
      </c>
    </row>
    <row r="163" spans="1:19" x14ac:dyDescent="0.3">
      <c r="A163" s="13" t="s">
        <v>51</v>
      </c>
      <c r="B163" s="14" t="s">
        <v>52</v>
      </c>
      <c r="C163" s="14"/>
      <c r="D163" s="14" t="s">
        <v>53</v>
      </c>
      <c r="E163" s="14">
        <f xml:space="preserve"> IF($S$16,1,0)</f>
        <v>0</v>
      </c>
      <c r="F163" s="14" t="s">
        <v>54</v>
      </c>
      <c r="G163" s="14">
        <v>0</v>
      </c>
      <c r="H163" s="14">
        <v>0</v>
      </c>
      <c r="I163" s="14">
        <v>0</v>
      </c>
      <c r="J163" s="14">
        <v>0</v>
      </c>
      <c r="K163" s="14">
        <v>0</v>
      </c>
      <c r="L163" s="14">
        <v>0</v>
      </c>
      <c r="M163" s="14">
        <v>0</v>
      </c>
      <c r="N163" s="14">
        <v>0</v>
      </c>
      <c r="O163" s="14">
        <v>0</v>
      </c>
      <c r="P163" s="14">
        <v>0</v>
      </c>
      <c r="Q163" s="15">
        <v>0</v>
      </c>
      <c r="R163" s="15">
        <v>0</v>
      </c>
      <c r="S163" s="15">
        <v>0</v>
      </c>
    </row>
    <row r="164" spans="1:19" x14ac:dyDescent="0.3">
      <c r="A164" s="13" t="s">
        <v>28</v>
      </c>
      <c r="B164" s="14" t="s">
        <v>29</v>
      </c>
      <c r="C164" s="14"/>
      <c r="D164" s="14" t="s">
        <v>30</v>
      </c>
      <c r="E164" s="14">
        <f xml:space="preserve"> IF($S$10,1,0)</f>
        <v>1</v>
      </c>
      <c r="F164" s="14" t="s">
        <v>31</v>
      </c>
      <c r="G164" s="14">
        <v>0</v>
      </c>
      <c r="H164" s="14">
        <v>0</v>
      </c>
      <c r="I164" s="14">
        <v>0</v>
      </c>
      <c r="J164" s="14">
        <v>0</v>
      </c>
      <c r="K164" s="14">
        <v>0</v>
      </c>
      <c r="L164" s="14">
        <v>0</v>
      </c>
      <c r="M164" s="14">
        <v>0</v>
      </c>
      <c r="N164" s="14">
        <v>0</v>
      </c>
      <c r="O164" s="14">
        <v>0</v>
      </c>
      <c r="P164" s="14">
        <v>0</v>
      </c>
      <c r="Q164" s="15">
        <v>0</v>
      </c>
      <c r="R164" s="15">
        <v>0</v>
      </c>
      <c r="S164" s="15">
        <v>0</v>
      </c>
    </row>
    <row r="165" spans="1:19" x14ac:dyDescent="0.3">
      <c r="A165" s="10" t="s">
        <v>843</v>
      </c>
      <c r="B165" s="11" t="s">
        <v>844</v>
      </c>
      <c r="C165" s="11"/>
      <c r="D165" s="11" t="s">
        <v>845</v>
      </c>
      <c r="E165" s="11">
        <f xml:space="preserve"> IF($S$225,1,0)</f>
        <v>0</v>
      </c>
      <c r="F165" s="11" t="s">
        <v>846</v>
      </c>
      <c r="G165" s="11">
        <v>0</v>
      </c>
      <c r="H165" s="11">
        <v>0</v>
      </c>
      <c r="I165" s="11">
        <v>0</v>
      </c>
      <c r="J165" s="11">
        <v>0</v>
      </c>
      <c r="K165" s="11">
        <v>0</v>
      </c>
      <c r="L165" s="11">
        <v>0</v>
      </c>
      <c r="M165" s="11">
        <v>0</v>
      </c>
      <c r="N165" s="11">
        <v>0</v>
      </c>
      <c r="O165" s="11">
        <v>0</v>
      </c>
      <c r="P165" s="11">
        <v>0</v>
      </c>
      <c r="Q165" s="12">
        <v>0</v>
      </c>
      <c r="R165" s="12">
        <v>0</v>
      </c>
      <c r="S165" s="12">
        <v>0</v>
      </c>
    </row>
    <row r="166" spans="1:19" x14ac:dyDescent="0.3">
      <c r="A166" s="13" t="s">
        <v>37</v>
      </c>
      <c r="B166" s="14" t="s">
        <v>38</v>
      </c>
      <c r="C166" s="14"/>
      <c r="D166" s="14" t="s">
        <v>39</v>
      </c>
      <c r="E166" s="14">
        <f xml:space="preserve"> IF($S$12,1,0)</f>
        <v>0</v>
      </c>
      <c r="F166" s="14" t="s">
        <v>40</v>
      </c>
      <c r="G166" s="14">
        <v>0</v>
      </c>
      <c r="H166" s="14">
        <v>0</v>
      </c>
      <c r="I166" s="14">
        <v>0</v>
      </c>
      <c r="J166" s="14">
        <v>0</v>
      </c>
      <c r="K166" s="14">
        <v>0</v>
      </c>
      <c r="L166" s="14">
        <v>0</v>
      </c>
      <c r="M166" s="14">
        <v>0</v>
      </c>
      <c r="N166" s="14">
        <v>0</v>
      </c>
      <c r="O166" s="14">
        <v>0</v>
      </c>
      <c r="P166" s="14">
        <v>0</v>
      </c>
      <c r="Q166" s="15">
        <v>0</v>
      </c>
      <c r="R166" s="15">
        <v>0</v>
      </c>
      <c r="S166" s="15">
        <v>0</v>
      </c>
    </row>
    <row r="167" spans="1:19" x14ac:dyDescent="0.3">
      <c r="A167" s="10" t="s">
        <v>661</v>
      </c>
      <c r="B167" s="11" t="s">
        <v>658</v>
      </c>
      <c r="C167" s="11" t="s">
        <v>202</v>
      </c>
      <c r="D167" s="11" t="s">
        <v>662</v>
      </c>
      <c r="E167" s="11">
        <f xml:space="preserve"> IF($S$177,1,0)</f>
        <v>0</v>
      </c>
      <c r="F167" s="11" t="s">
        <v>663</v>
      </c>
      <c r="G167" s="11">
        <v>0</v>
      </c>
      <c r="H167" s="11">
        <v>0</v>
      </c>
      <c r="I167" s="11">
        <v>0</v>
      </c>
      <c r="J167" s="11">
        <v>0</v>
      </c>
      <c r="K167" s="11">
        <v>0</v>
      </c>
      <c r="L167" s="11">
        <v>0</v>
      </c>
      <c r="M167" s="11">
        <v>0</v>
      </c>
      <c r="N167" s="11">
        <v>0</v>
      </c>
      <c r="O167" s="11">
        <v>0</v>
      </c>
      <c r="P167" s="11">
        <v>0</v>
      </c>
      <c r="Q167" s="12">
        <v>0</v>
      </c>
      <c r="R167" s="12">
        <v>0</v>
      </c>
      <c r="S167" s="12">
        <v>0</v>
      </c>
    </row>
    <row r="168" spans="1:19" x14ac:dyDescent="0.3">
      <c r="A168" s="10" t="s">
        <v>390</v>
      </c>
      <c r="B168" s="11" t="s">
        <v>387</v>
      </c>
      <c r="C168" s="11" t="s">
        <v>34</v>
      </c>
      <c r="D168" s="11" t="s">
        <v>391</v>
      </c>
      <c r="E168" s="11">
        <f xml:space="preserve"> IF($S$105,1,0)</f>
        <v>0</v>
      </c>
      <c r="F168" s="11" t="s">
        <v>392</v>
      </c>
      <c r="G168" s="11">
        <v>0</v>
      </c>
      <c r="H168" s="11">
        <v>0</v>
      </c>
      <c r="I168" s="11">
        <v>0</v>
      </c>
      <c r="J168" s="11">
        <v>0</v>
      </c>
      <c r="K168" s="11">
        <v>0</v>
      </c>
      <c r="L168" s="11">
        <v>0</v>
      </c>
      <c r="M168" s="11">
        <v>0</v>
      </c>
      <c r="N168" s="11">
        <v>0</v>
      </c>
      <c r="O168" s="11">
        <v>0</v>
      </c>
      <c r="P168" s="11">
        <v>0</v>
      </c>
      <c r="Q168" s="12">
        <v>0</v>
      </c>
      <c r="R168" s="12">
        <v>0</v>
      </c>
      <c r="S168" s="12">
        <v>0</v>
      </c>
    </row>
    <row r="169" spans="1:19" x14ac:dyDescent="0.3">
      <c r="A169" s="10" t="s">
        <v>980</v>
      </c>
      <c r="B169" s="11" t="s">
        <v>981</v>
      </c>
      <c r="C169" s="11" t="s">
        <v>34</v>
      </c>
      <c r="D169" s="11" t="s">
        <v>982</v>
      </c>
      <c r="E169" s="11">
        <f xml:space="preserve"> IF($S$261,1,0)</f>
        <v>1</v>
      </c>
      <c r="F169" s="11" t="s">
        <v>983</v>
      </c>
      <c r="G169" s="11">
        <v>0</v>
      </c>
      <c r="H169" s="11">
        <v>0</v>
      </c>
      <c r="I169" s="11">
        <v>0</v>
      </c>
      <c r="J169" s="11">
        <v>0</v>
      </c>
      <c r="K169" s="11">
        <v>0</v>
      </c>
      <c r="L169" s="11">
        <v>0</v>
      </c>
      <c r="M169" s="11">
        <v>0</v>
      </c>
      <c r="N169" s="11">
        <v>0</v>
      </c>
      <c r="O169" s="11">
        <v>0</v>
      </c>
      <c r="P169" s="11">
        <v>0</v>
      </c>
      <c r="Q169" s="12">
        <v>0</v>
      </c>
      <c r="R169" s="12">
        <v>0</v>
      </c>
      <c r="S169" s="12">
        <v>0</v>
      </c>
    </row>
    <row r="170" spans="1:19" x14ac:dyDescent="0.3">
      <c r="A170" s="10" t="s">
        <v>55</v>
      </c>
      <c r="B170" s="11" t="s">
        <v>56</v>
      </c>
      <c r="C170" s="11"/>
      <c r="D170" s="11" t="s">
        <v>57</v>
      </c>
      <c r="E170" s="11">
        <f xml:space="preserve"> IF($S$17,1,0)</f>
        <v>0</v>
      </c>
      <c r="F170" s="11" t="s">
        <v>58</v>
      </c>
      <c r="G170" s="11">
        <v>0</v>
      </c>
      <c r="H170" s="11">
        <v>0</v>
      </c>
      <c r="I170" s="11">
        <v>0</v>
      </c>
      <c r="J170" s="11">
        <v>0</v>
      </c>
      <c r="K170" s="11">
        <v>0</v>
      </c>
      <c r="L170" s="11">
        <v>0</v>
      </c>
      <c r="M170" s="11">
        <v>0</v>
      </c>
      <c r="N170" s="11">
        <v>0</v>
      </c>
      <c r="O170" s="11">
        <v>0</v>
      </c>
      <c r="P170" s="11">
        <v>0</v>
      </c>
      <c r="Q170" s="12">
        <v>0</v>
      </c>
      <c r="R170" s="12">
        <v>0</v>
      </c>
      <c r="S170" s="12">
        <v>0</v>
      </c>
    </row>
    <row r="171" spans="1:19" x14ac:dyDescent="0.3">
      <c r="A171" s="13" t="s">
        <v>572</v>
      </c>
      <c r="B171" s="14" t="s">
        <v>573</v>
      </c>
      <c r="C171" s="14" t="s">
        <v>34</v>
      </c>
      <c r="D171" s="14" t="s">
        <v>574</v>
      </c>
      <c r="E171" s="14">
        <f xml:space="preserve"> IF($S$154,1,0)</f>
        <v>1</v>
      </c>
      <c r="F171" s="14" t="s">
        <v>575</v>
      </c>
      <c r="G171" s="14">
        <v>0</v>
      </c>
      <c r="H171" s="14">
        <v>0</v>
      </c>
      <c r="I171" s="14">
        <v>0</v>
      </c>
      <c r="J171" s="14">
        <v>0</v>
      </c>
      <c r="K171" s="14">
        <v>0</v>
      </c>
      <c r="L171" s="14">
        <v>0</v>
      </c>
      <c r="M171" s="14">
        <v>0</v>
      </c>
      <c r="N171" s="14">
        <v>0</v>
      </c>
      <c r="O171" s="14">
        <v>0</v>
      </c>
      <c r="P171" s="14">
        <v>0</v>
      </c>
      <c r="Q171" s="15">
        <v>0</v>
      </c>
      <c r="R171" s="15">
        <v>0</v>
      </c>
      <c r="S171" s="15">
        <v>0</v>
      </c>
    </row>
    <row r="172" spans="1:19" x14ac:dyDescent="0.3">
      <c r="A172" s="13" t="s">
        <v>195</v>
      </c>
      <c r="B172" s="14" t="s">
        <v>177</v>
      </c>
      <c r="C172" s="14"/>
      <c r="D172" s="14" t="s">
        <v>196</v>
      </c>
      <c r="E172" s="14">
        <f xml:space="preserve"> IF($S$54,1,0)</f>
        <v>0</v>
      </c>
      <c r="F172" s="14" t="s">
        <v>197</v>
      </c>
      <c r="G172" s="14">
        <v>0</v>
      </c>
      <c r="H172" s="14">
        <v>0</v>
      </c>
      <c r="I172" s="14">
        <v>0</v>
      </c>
      <c r="J172" s="14">
        <v>0</v>
      </c>
      <c r="K172" s="14">
        <v>0</v>
      </c>
      <c r="L172" s="14">
        <v>0</v>
      </c>
      <c r="M172" s="14">
        <v>0</v>
      </c>
      <c r="N172" s="14">
        <v>0</v>
      </c>
      <c r="O172" s="14">
        <v>0</v>
      </c>
      <c r="P172" s="14">
        <v>0</v>
      </c>
      <c r="Q172" s="15">
        <v>0</v>
      </c>
      <c r="R172" s="15">
        <v>0</v>
      </c>
      <c r="S172" s="15">
        <v>0</v>
      </c>
    </row>
    <row r="173" spans="1:19" x14ac:dyDescent="0.3">
      <c r="A173" s="10" t="s">
        <v>1218</v>
      </c>
      <c r="B173" s="11" t="s">
        <v>1219</v>
      </c>
      <c r="C173" s="11" t="s">
        <v>202</v>
      </c>
      <c r="D173" s="11" t="s">
        <v>1068</v>
      </c>
      <c r="E173" s="11">
        <f xml:space="preserve"> IF($S$327,1,0)</f>
        <v>0</v>
      </c>
      <c r="F173" s="11" t="s">
        <v>1220</v>
      </c>
      <c r="G173" s="11">
        <v>0</v>
      </c>
      <c r="H173" s="11">
        <v>0</v>
      </c>
      <c r="I173" s="11">
        <v>0</v>
      </c>
      <c r="J173" s="11">
        <v>0</v>
      </c>
      <c r="K173" s="11">
        <v>0</v>
      </c>
      <c r="L173" s="11">
        <v>0</v>
      </c>
      <c r="M173" s="11">
        <v>0</v>
      </c>
      <c r="N173" s="11">
        <v>0</v>
      </c>
      <c r="O173" s="11">
        <v>0</v>
      </c>
      <c r="P173" s="11">
        <v>0</v>
      </c>
      <c r="Q173" s="12">
        <v>0</v>
      </c>
      <c r="R173" s="12">
        <v>0</v>
      </c>
      <c r="S173" s="12">
        <v>0</v>
      </c>
    </row>
    <row r="174" spans="1:19" x14ac:dyDescent="0.3">
      <c r="A174" s="13" t="s">
        <v>168</v>
      </c>
      <c r="B174" s="14" t="s">
        <v>169</v>
      </c>
      <c r="C174" s="14" t="s">
        <v>65</v>
      </c>
      <c r="D174" s="14" t="s">
        <v>170</v>
      </c>
      <c r="E174" s="14">
        <f xml:space="preserve"> IF($S$46,1,0)</f>
        <v>0</v>
      </c>
      <c r="F174" s="14" t="s">
        <v>171</v>
      </c>
      <c r="G174" s="14">
        <v>0</v>
      </c>
      <c r="H174" s="14">
        <v>0</v>
      </c>
      <c r="I174" s="14">
        <v>0</v>
      </c>
      <c r="J174" s="14">
        <v>0</v>
      </c>
      <c r="K174" s="14">
        <v>0</v>
      </c>
      <c r="L174" s="14">
        <v>0</v>
      </c>
      <c r="M174" s="14">
        <v>0</v>
      </c>
      <c r="N174" s="14">
        <v>0</v>
      </c>
      <c r="O174" s="14">
        <v>0</v>
      </c>
      <c r="P174" s="14">
        <v>0</v>
      </c>
      <c r="Q174" s="15">
        <v>0</v>
      </c>
      <c r="R174" s="15">
        <v>0</v>
      </c>
      <c r="S174" s="15">
        <v>0</v>
      </c>
    </row>
    <row r="175" spans="1:19" x14ac:dyDescent="0.3">
      <c r="A175" s="10" t="s">
        <v>742</v>
      </c>
      <c r="B175" s="11" t="s">
        <v>743</v>
      </c>
      <c r="C175" s="11"/>
      <c r="D175" s="11" t="s">
        <v>744</v>
      </c>
      <c r="E175" s="11">
        <f xml:space="preserve"> IF($S$199,1,0)</f>
        <v>0</v>
      </c>
      <c r="F175" s="11" t="s">
        <v>745</v>
      </c>
      <c r="G175" s="11">
        <v>0</v>
      </c>
      <c r="H175" s="11">
        <v>0</v>
      </c>
      <c r="I175" s="11">
        <v>0</v>
      </c>
      <c r="J175" s="11">
        <v>0</v>
      </c>
      <c r="K175" s="11">
        <v>0</v>
      </c>
      <c r="L175" s="11">
        <v>0</v>
      </c>
      <c r="M175" s="11">
        <v>0</v>
      </c>
      <c r="N175" s="11">
        <v>0</v>
      </c>
      <c r="O175" s="11">
        <v>0</v>
      </c>
      <c r="P175" s="11">
        <v>0</v>
      </c>
      <c r="Q175" s="12">
        <v>0</v>
      </c>
      <c r="R175" s="12">
        <v>0</v>
      </c>
      <c r="S175" s="12">
        <v>0</v>
      </c>
    </row>
    <row r="176" spans="1:19" x14ac:dyDescent="0.3">
      <c r="A176" s="13" t="s">
        <v>792</v>
      </c>
      <c r="B176" s="14" t="s">
        <v>793</v>
      </c>
      <c r="C176" s="14"/>
      <c r="D176" s="14" t="s">
        <v>794</v>
      </c>
      <c r="E176" s="14">
        <f xml:space="preserve"> IF($S$212,1,0)</f>
        <v>0</v>
      </c>
      <c r="F176" s="14" t="s">
        <v>795</v>
      </c>
      <c r="G176" s="14">
        <v>0</v>
      </c>
      <c r="H176" s="14">
        <v>0</v>
      </c>
      <c r="I176" s="14">
        <v>0</v>
      </c>
      <c r="J176" s="14">
        <v>0</v>
      </c>
      <c r="K176" s="14">
        <v>0</v>
      </c>
      <c r="L176" s="14">
        <v>0</v>
      </c>
      <c r="M176" s="14">
        <v>0</v>
      </c>
      <c r="N176" s="14">
        <v>0</v>
      </c>
      <c r="O176" s="14">
        <v>0</v>
      </c>
      <c r="P176" s="14">
        <v>1</v>
      </c>
      <c r="Q176" s="15">
        <v>3</v>
      </c>
      <c r="R176" s="15">
        <v>0</v>
      </c>
      <c r="S176" s="15">
        <v>3</v>
      </c>
    </row>
    <row r="177" spans="1:19" x14ac:dyDescent="0.3">
      <c r="A177" s="10" t="s">
        <v>538</v>
      </c>
      <c r="B177" s="11" t="s">
        <v>535</v>
      </c>
      <c r="C177" s="11"/>
      <c r="D177" s="11" t="s">
        <v>539</v>
      </c>
      <c r="E177" s="11">
        <f xml:space="preserve"> IF($S$145,1,0)</f>
        <v>0</v>
      </c>
      <c r="F177" s="11" t="s">
        <v>540</v>
      </c>
      <c r="G177" s="11">
        <v>0</v>
      </c>
      <c r="H177" s="11">
        <v>0</v>
      </c>
      <c r="I177" s="11">
        <v>0</v>
      </c>
      <c r="J177" s="11">
        <v>0</v>
      </c>
      <c r="K177" s="11">
        <v>0</v>
      </c>
      <c r="L177" s="11">
        <v>0</v>
      </c>
      <c r="M177" s="11">
        <v>0</v>
      </c>
      <c r="N177" s="11">
        <v>0</v>
      </c>
      <c r="O177" s="11">
        <v>0</v>
      </c>
      <c r="P177" s="11">
        <v>0</v>
      </c>
      <c r="Q177" s="12">
        <v>0</v>
      </c>
      <c r="R177" s="12">
        <v>0</v>
      </c>
      <c r="S177" s="12">
        <v>0</v>
      </c>
    </row>
    <row r="178" spans="1:19" x14ac:dyDescent="0.3">
      <c r="A178" s="13" t="s">
        <v>1081</v>
      </c>
      <c r="B178" s="14" t="s">
        <v>1082</v>
      </c>
      <c r="C178" s="14"/>
      <c r="D178" s="14" t="s">
        <v>1083</v>
      </c>
      <c r="E178" s="14">
        <f xml:space="preserve"> IF($S$288,1,0)</f>
        <v>0</v>
      </c>
      <c r="F178" s="14" t="s">
        <v>1084</v>
      </c>
      <c r="G178" s="14">
        <v>0</v>
      </c>
      <c r="H178" s="14">
        <v>0</v>
      </c>
      <c r="I178" s="14">
        <v>0</v>
      </c>
      <c r="J178" s="14">
        <v>0</v>
      </c>
      <c r="K178" s="14">
        <v>0</v>
      </c>
      <c r="L178" s="14">
        <v>0</v>
      </c>
      <c r="M178" s="14">
        <v>0</v>
      </c>
      <c r="N178" s="14">
        <v>0</v>
      </c>
      <c r="O178" s="14">
        <v>0</v>
      </c>
      <c r="P178" s="14">
        <v>0</v>
      </c>
      <c r="Q178" s="15">
        <v>0</v>
      </c>
      <c r="R178" s="15">
        <v>0</v>
      </c>
      <c r="S178" s="15">
        <v>0</v>
      </c>
    </row>
    <row r="179" spans="1:19" x14ac:dyDescent="0.3">
      <c r="A179" s="10" t="s">
        <v>1159</v>
      </c>
      <c r="B179" s="11" t="s">
        <v>1160</v>
      </c>
      <c r="C179" s="11"/>
      <c r="D179" s="11" t="s">
        <v>1161</v>
      </c>
      <c r="E179" s="11">
        <f xml:space="preserve"> IF($S$311,1,0)</f>
        <v>0</v>
      </c>
      <c r="F179" s="11" t="s">
        <v>1162</v>
      </c>
      <c r="G179" s="11">
        <v>0</v>
      </c>
      <c r="H179" s="11">
        <v>0</v>
      </c>
      <c r="I179" s="11">
        <v>0</v>
      </c>
      <c r="J179" s="11">
        <v>0</v>
      </c>
      <c r="K179" s="11">
        <v>0</v>
      </c>
      <c r="L179" s="11">
        <v>0</v>
      </c>
      <c r="M179" s="11">
        <v>0</v>
      </c>
      <c r="N179" s="11">
        <v>0</v>
      </c>
      <c r="O179" s="11">
        <v>0</v>
      </c>
      <c r="P179" s="11">
        <v>0</v>
      </c>
      <c r="Q179" s="12">
        <v>0</v>
      </c>
      <c r="R179" s="12">
        <v>0</v>
      </c>
      <c r="S179" s="12">
        <v>0</v>
      </c>
    </row>
    <row r="180" spans="1:19" x14ac:dyDescent="0.3">
      <c r="A180" s="10" t="s">
        <v>228</v>
      </c>
      <c r="B180" s="11" t="s">
        <v>225</v>
      </c>
      <c r="C180" s="11"/>
      <c r="D180" s="11" t="s">
        <v>229</v>
      </c>
      <c r="E180" s="11">
        <f xml:space="preserve"> IF($S$63,1,0)</f>
        <v>0</v>
      </c>
      <c r="F180" s="11" t="s">
        <v>230</v>
      </c>
      <c r="G180" s="11">
        <v>0</v>
      </c>
      <c r="H180" s="11">
        <v>0</v>
      </c>
      <c r="I180" s="11">
        <v>0</v>
      </c>
      <c r="J180" s="11">
        <v>0</v>
      </c>
      <c r="K180" s="11">
        <v>0</v>
      </c>
      <c r="L180" s="11">
        <v>0</v>
      </c>
      <c r="M180" s="11">
        <v>0</v>
      </c>
      <c r="N180" s="11">
        <v>0</v>
      </c>
      <c r="O180" s="11">
        <v>0</v>
      </c>
      <c r="P180" s="11">
        <v>0</v>
      </c>
      <c r="Q180" s="12">
        <v>0</v>
      </c>
      <c r="R180" s="12">
        <v>0</v>
      </c>
      <c r="S180" s="12">
        <v>0</v>
      </c>
    </row>
    <row r="181" spans="1:19" x14ac:dyDescent="0.3">
      <c r="A181" s="10" t="s">
        <v>72</v>
      </c>
      <c r="B181" s="11" t="s">
        <v>73</v>
      </c>
      <c r="C181" s="11"/>
      <c r="D181" s="11" t="s">
        <v>74</v>
      </c>
      <c r="E181" s="11">
        <f xml:space="preserve"> IF($S$21,1,0)</f>
        <v>0</v>
      </c>
      <c r="F181" s="11" t="s">
        <v>75</v>
      </c>
      <c r="G181" s="11">
        <v>0</v>
      </c>
      <c r="H181" s="11">
        <v>0</v>
      </c>
      <c r="I181" s="11">
        <v>0</v>
      </c>
      <c r="J181" s="11">
        <v>0</v>
      </c>
      <c r="K181" s="11">
        <v>0</v>
      </c>
      <c r="L181" s="11">
        <v>0</v>
      </c>
      <c r="M181" s="11">
        <v>0</v>
      </c>
      <c r="N181" s="11">
        <v>0</v>
      </c>
      <c r="O181" s="11">
        <v>0</v>
      </c>
      <c r="P181" s="11">
        <v>0</v>
      </c>
      <c r="Q181" s="12">
        <v>0</v>
      </c>
      <c r="R181" s="12">
        <v>0</v>
      </c>
      <c r="S181" s="12">
        <v>0</v>
      </c>
    </row>
    <row r="182" spans="1:19" x14ac:dyDescent="0.3">
      <c r="A182" s="13" t="s">
        <v>688</v>
      </c>
      <c r="B182" s="14" t="s">
        <v>689</v>
      </c>
      <c r="C182" s="14"/>
      <c r="D182" s="14" t="s">
        <v>690</v>
      </c>
      <c r="E182" s="14">
        <f xml:space="preserve"> IF($S$184,1,0)</f>
        <v>0</v>
      </c>
      <c r="F182" s="14" t="s">
        <v>691</v>
      </c>
      <c r="G182" s="14">
        <v>0</v>
      </c>
      <c r="H182" s="14">
        <v>0</v>
      </c>
      <c r="I182" s="14">
        <v>0</v>
      </c>
      <c r="J182" s="14">
        <v>0</v>
      </c>
      <c r="K182" s="14">
        <v>0</v>
      </c>
      <c r="L182" s="14">
        <v>0</v>
      </c>
      <c r="M182" s="14">
        <v>0</v>
      </c>
      <c r="N182" s="14">
        <v>0</v>
      </c>
      <c r="O182" s="14">
        <v>0</v>
      </c>
      <c r="P182" s="14">
        <v>0</v>
      </c>
      <c r="Q182" s="15">
        <v>0</v>
      </c>
      <c r="R182" s="15">
        <v>0</v>
      </c>
      <c r="S182" s="15">
        <v>0</v>
      </c>
    </row>
    <row r="183" spans="1:19" x14ac:dyDescent="0.3">
      <c r="A183" s="13" t="s">
        <v>992</v>
      </c>
      <c r="B183" s="14" t="s">
        <v>343</v>
      </c>
      <c r="C183" s="14"/>
      <c r="D183" s="14" t="s">
        <v>993</v>
      </c>
      <c r="E183" s="14">
        <f xml:space="preserve"> IF($S$264,1,0)</f>
        <v>0</v>
      </c>
      <c r="F183" s="14" t="s">
        <v>994</v>
      </c>
      <c r="G183" s="14">
        <v>0</v>
      </c>
      <c r="H183" s="14">
        <v>0</v>
      </c>
      <c r="I183" s="14">
        <v>0</v>
      </c>
      <c r="J183" s="14">
        <v>0</v>
      </c>
      <c r="K183" s="14">
        <v>0</v>
      </c>
      <c r="L183" s="14">
        <v>0</v>
      </c>
      <c r="M183" s="14">
        <v>0</v>
      </c>
      <c r="N183" s="14">
        <v>0</v>
      </c>
      <c r="O183" s="14">
        <v>0</v>
      </c>
      <c r="P183" s="14">
        <v>0</v>
      </c>
      <c r="Q183" s="15">
        <v>0</v>
      </c>
      <c r="R183" s="15">
        <v>0</v>
      </c>
      <c r="S183" s="15">
        <v>0</v>
      </c>
    </row>
    <row r="184" spans="1:19" x14ac:dyDescent="0.3">
      <c r="A184" s="10" t="s">
        <v>477</v>
      </c>
      <c r="B184" s="11" t="s">
        <v>478</v>
      </c>
      <c r="C184" s="11"/>
      <c r="D184" s="11" t="s">
        <v>479</v>
      </c>
      <c r="E184" s="11">
        <f xml:space="preserve"> IF($S$129,1,0)</f>
        <v>0</v>
      </c>
      <c r="F184" s="11" t="s">
        <v>480</v>
      </c>
      <c r="G184" s="11">
        <v>0</v>
      </c>
      <c r="H184" s="11">
        <v>0</v>
      </c>
      <c r="I184" s="11">
        <v>0</v>
      </c>
      <c r="J184" s="11">
        <v>0</v>
      </c>
      <c r="K184" s="11">
        <v>0</v>
      </c>
      <c r="L184" s="11">
        <v>0</v>
      </c>
      <c r="M184" s="11">
        <v>0</v>
      </c>
      <c r="N184" s="11">
        <v>0</v>
      </c>
      <c r="O184" s="11">
        <v>0</v>
      </c>
      <c r="P184" s="11">
        <v>0</v>
      </c>
      <c r="Q184" s="12">
        <v>0</v>
      </c>
      <c r="R184" s="12">
        <v>0</v>
      </c>
      <c r="S184" s="12">
        <v>0</v>
      </c>
    </row>
    <row r="185" spans="1:19" x14ac:dyDescent="0.3">
      <c r="A185" s="10" t="s">
        <v>448</v>
      </c>
      <c r="B185" s="11" t="s">
        <v>449</v>
      </c>
      <c r="C185" s="11"/>
      <c r="D185" s="11" t="s">
        <v>450</v>
      </c>
      <c r="E185" s="11">
        <f xml:space="preserve"> IF($S$121,1,0)</f>
        <v>0</v>
      </c>
      <c r="F185" s="11" t="s">
        <v>451</v>
      </c>
      <c r="G185" s="11">
        <v>0</v>
      </c>
      <c r="H185" s="11">
        <v>0</v>
      </c>
      <c r="I185" s="11">
        <v>0</v>
      </c>
      <c r="J185" s="11">
        <v>0</v>
      </c>
      <c r="K185" s="11">
        <v>0</v>
      </c>
      <c r="L185" s="11">
        <v>0</v>
      </c>
      <c r="M185" s="11">
        <v>0</v>
      </c>
      <c r="N185" s="11">
        <v>0</v>
      </c>
      <c r="O185" s="11">
        <v>0</v>
      </c>
      <c r="P185" s="11">
        <v>0</v>
      </c>
      <c r="Q185" s="12">
        <v>0</v>
      </c>
      <c r="R185" s="12">
        <v>0</v>
      </c>
      <c r="S185" s="12">
        <v>0</v>
      </c>
    </row>
    <row r="186" spans="1:19" x14ac:dyDescent="0.3">
      <c r="A186" s="10" t="s">
        <v>1211</v>
      </c>
      <c r="B186" s="11" t="s">
        <v>1212</v>
      </c>
      <c r="C186" s="11"/>
      <c r="D186" s="11" t="s">
        <v>670</v>
      </c>
      <c r="E186" s="11">
        <f xml:space="preserve"> IF($S$325,1,0)</f>
        <v>1</v>
      </c>
      <c r="F186" s="11" t="s">
        <v>1213</v>
      </c>
      <c r="G186" s="11">
        <v>11</v>
      </c>
      <c r="H186" s="11">
        <v>3</v>
      </c>
      <c r="I186" s="11">
        <v>0</v>
      </c>
      <c r="J186" s="11">
        <v>0</v>
      </c>
      <c r="K186" s="11">
        <v>0</v>
      </c>
      <c r="L186" s="11">
        <v>1</v>
      </c>
      <c r="M186" s="11">
        <v>0</v>
      </c>
      <c r="N186" s="11">
        <v>0</v>
      </c>
      <c r="O186" s="11">
        <v>0</v>
      </c>
      <c r="P186" s="11">
        <v>0</v>
      </c>
      <c r="Q186" s="12">
        <v>21.1</v>
      </c>
      <c r="R186" s="12">
        <v>0</v>
      </c>
      <c r="S186" s="12">
        <v>21.1</v>
      </c>
    </row>
    <row r="187" spans="1:19" x14ac:dyDescent="0.3">
      <c r="A187" s="10" t="s">
        <v>707</v>
      </c>
      <c r="B187" s="11" t="s">
        <v>708</v>
      </c>
      <c r="C187" s="11"/>
      <c r="D187" s="11" t="s">
        <v>222</v>
      </c>
      <c r="E187" s="11">
        <f xml:space="preserve"> IF($S$189,1,0)</f>
        <v>0</v>
      </c>
      <c r="F187" s="11" t="s">
        <v>709</v>
      </c>
      <c r="G187" s="11">
        <v>2</v>
      </c>
      <c r="H187" s="11">
        <v>2</v>
      </c>
      <c r="I187" s="11">
        <v>0</v>
      </c>
      <c r="J187" s="11">
        <v>0</v>
      </c>
      <c r="K187" s="11">
        <v>0</v>
      </c>
      <c r="L187" s="11">
        <v>0</v>
      </c>
      <c r="M187" s="11">
        <v>0</v>
      </c>
      <c r="N187" s="11">
        <v>0</v>
      </c>
      <c r="O187" s="11">
        <v>0</v>
      </c>
      <c r="P187" s="11">
        <v>0</v>
      </c>
      <c r="Q187" s="12">
        <v>6.2</v>
      </c>
      <c r="R187" s="12">
        <v>0</v>
      </c>
      <c r="S187" s="12">
        <v>6.2</v>
      </c>
    </row>
    <row r="188" spans="1:19" x14ac:dyDescent="0.3">
      <c r="A188" s="10" t="s">
        <v>858</v>
      </c>
      <c r="B188" s="11" t="s">
        <v>859</v>
      </c>
      <c r="C188" s="11"/>
      <c r="D188" s="11" t="s">
        <v>860</v>
      </c>
      <c r="E188" s="11">
        <f xml:space="preserve"> IF($S$229,1,0)</f>
        <v>0</v>
      </c>
      <c r="F188" s="11" t="s">
        <v>861</v>
      </c>
      <c r="G188" s="11">
        <v>1</v>
      </c>
      <c r="H188" s="11">
        <v>0</v>
      </c>
      <c r="I188" s="11">
        <v>0</v>
      </c>
      <c r="J188" s="11">
        <v>0</v>
      </c>
      <c r="K188" s="11">
        <v>0</v>
      </c>
      <c r="L188" s="11">
        <v>0</v>
      </c>
      <c r="M188" s="11">
        <v>0</v>
      </c>
      <c r="N188" s="11">
        <v>0</v>
      </c>
      <c r="O188" s="11">
        <v>0</v>
      </c>
      <c r="P188" s="11">
        <v>0</v>
      </c>
      <c r="Q188" s="12">
        <v>1.1000000000000001</v>
      </c>
      <c r="R188" s="12">
        <v>0</v>
      </c>
      <c r="S188" s="12">
        <v>1.1000000000000001</v>
      </c>
    </row>
    <row r="189" spans="1:19" x14ac:dyDescent="0.3">
      <c r="A189" s="10" t="s">
        <v>345</v>
      </c>
      <c r="B189" s="11" t="s">
        <v>346</v>
      </c>
      <c r="C189" s="11"/>
      <c r="D189" s="11" t="s">
        <v>347</v>
      </c>
      <c r="E189" s="11">
        <f xml:space="preserve"> IF($S$93,1,0)</f>
        <v>0</v>
      </c>
      <c r="F189" s="11" t="s">
        <v>348</v>
      </c>
      <c r="G189" s="11">
        <v>0</v>
      </c>
      <c r="H189" s="11">
        <v>0</v>
      </c>
      <c r="I189" s="11">
        <v>0</v>
      </c>
      <c r="J189" s="11">
        <v>0</v>
      </c>
      <c r="K189" s="11">
        <v>0</v>
      </c>
      <c r="L189" s="11">
        <v>0</v>
      </c>
      <c r="M189" s="11">
        <v>0</v>
      </c>
      <c r="N189" s="11">
        <v>0</v>
      </c>
      <c r="O189" s="11">
        <v>0</v>
      </c>
      <c r="P189" s="11">
        <v>0</v>
      </c>
      <c r="Q189" s="12">
        <v>0</v>
      </c>
      <c r="R189" s="12">
        <v>0</v>
      </c>
      <c r="S189" s="12">
        <v>0</v>
      </c>
    </row>
    <row r="190" spans="1:19" x14ac:dyDescent="0.3">
      <c r="A190" s="13" t="s">
        <v>1184</v>
      </c>
      <c r="B190" s="14" t="s">
        <v>1185</v>
      </c>
      <c r="C190" s="14" t="s">
        <v>65</v>
      </c>
      <c r="D190" s="14" t="s">
        <v>1186</v>
      </c>
      <c r="E190" s="14">
        <f xml:space="preserve"> IF($S$318,1,0)</f>
        <v>1</v>
      </c>
      <c r="F190" s="14" t="s">
        <v>1187</v>
      </c>
      <c r="G190" s="14">
        <v>0</v>
      </c>
      <c r="H190" s="14">
        <v>0</v>
      </c>
      <c r="I190" s="14">
        <v>0</v>
      </c>
      <c r="J190" s="14">
        <v>0</v>
      </c>
      <c r="K190" s="14">
        <v>0</v>
      </c>
      <c r="L190" s="14">
        <v>0</v>
      </c>
      <c r="M190" s="14">
        <v>0</v>
      </c>
      <c r="N190" s="14">
        <v>0</v>
      </c>
      <c r="O190" s="14">
        <v>0</v>
      </c>
      <c r="P190" s="14">
        <v>0</v>
      </c>
      <c r="Q190" s="15">
        <v>0</v>
      </c>
      <c r="R190" s="15">
        <v>0</v>
      </c>
      <c r="S190" s="15">
        <v>0</v>
      </c>
    </row>
    <row r="191" spans="1:19" x14ac:dyDescent="0.3">
      <c r="A191" s="13" t="s">
        <v>549</v>
      </c>
      <c r="B191" s="14" t="s">
        <v>550</v>
      </c>
      <c r="C191" s="14" t="s">
        <v>34</v>
      </c>
      <c r="D191" s="14" t="s">
        <v>551</v>
      </c>
      <c r="E191" s="14">
        <f xml:space="preserve"> IF($S$148,1,0)</f>
        <v>0</v>
      </c>
      <c r="F191" s="14" t="s">
        <v>552</v>
      </c>
      <c r="G191" s="14">
        <v>4</v>
      </c>
      <c r="H191" s="14">
        <v>0</v>
      </c>
      <c r="I191" s="14">
        <v>0</v>
      </c>
      <c r="J191" s="14">
        <v>0</v>
      </c>
      <c r="K191" s="14">
        <v>0</v>
      </c>
      <c r="L191" s="14">
        <v>0</v>
      </c>
      <c r="M191" s="14">
        <v>0</v>
      </c>
      <c r="N191" s="14">
        <v>0</v>
      </c>
      <c r="O191" s="14">
        <v>0</v>
      </c>
      <c r="P191" s="14">
        <v>0</v>
      </c>
      <c r="Q191" s="15">
        <v>4.4000000000000004</v>
      </c>
      <c r="R191" s="15">
        <v>0</v>
      </c>
      <c r="S191" s="15">
        <v>4.4000000000000004</v>
      </c>
    </row>
    <row r="192" spans="1:19" x14ac:dyDescent="0.3">
      <c r="A192" s="10" t="s">
        <v>727</v>
      </c>
      <c r="B192" s="11" t="s">
        <v>728</v>
      </c>
      <c r="C192" s="11"/>
      <c r="D192" s="11" t="s">
        <v>729</v>
      </c>
      <c r="E192" s="11">
        <f xml:space="preserve"> IF($S$195,1,0)</f>
        <v>1</v>
      </c>
      <c r="F192" s="11" t="s">
        <v>730</v>
      </c>
      <c r="G192" s="11">
        <v>0</v>
      </c>
      <c r="H192" s="11">
        <v>0</v>
      </c>
      <c r="I192" s="11">
        <v>0</v>
      </c>
      <c r="J192" s="11">
        <v>0</v>
      </c>
      <c r="K192" s="11">
        <v>0</v>
      </c>
      <c r="L192" s="11">
        <v>0</v>
      </c>
      <c r="M192" s="11">
        <v>0</v>
      </c>
      <c r="N192" s="11">
        <v>0</v>
      </c>
      <c r="O192" s="11">
        <v>0</v>
      </c>
      <c r="P192" s="11">
        <v>0</v>
      </c>
      <c r="Q192" s="12">
        <v>0</v>
      </c>
      <c r="R192" s="12">
        <v>0</v>
      </c>
      <c r="S192" s="12">
        <v>0</v>
      </c>
    </row>
    <row r="193" spans="1:19" x14ac:dyDescent="0.3">
      <c r="A193" s="10" t="s">
        <v>463</v>
      </c>
      <c r="B193" s="11" t="s">
        <v>457</v>
      </c>
      <c r="C193" s="11" t="s">
        <v>34</v>
      </c>
      <c r="D193" s="11" t="s">
        <v>464</v>
      </c>
      <c r="E193" s="11">
        <f xml:space="preserve"> IF($S$125,1,0)</f>
        <v>0</v>
      </c>
      <c r="F193" s="11" t="s">
        <v>465</v>
      </c>
      <c r="G193" s="11">
        <v>0</v>
      </c>
      <c r="H193" s="11">
        <v>0</v>
      </c>
      <c r="I193" s="11">
        <v>0</v>
      </c>
      <c r="J193" s="11">
        <v>0</v>
      </c>
      <c r="K193" s="11">
        <v>0</v>
      </c>
      <c r="L193" s="11">
        <v>1</v>
      </c>
      <c r="M193" s="11">
        <v>1</v>
      </c>
      <c r="N193" s="11">
        <v>0</v>
      </c>
      <c r="O193" s="11">
        <v>0</v>
      </c>
      <c r="P193" s="11">
        <v>0</v>
      </c>
      <c r="Q193" s="12">
        <v>7</v>
      </c>
      <c r="R193" s="12">
        <v>0</v>
      </c>
      <c r="S193" s="12">
        <v>7</v>
      </c>
    </row>
    <row r="194" spans="1:19" x14ac:dyDescent="0.3">
      <c r="A194" s="13" t="s">
        <v>260</v>
      </c>
      <c r="B194" s="14" t="s">
        <v>261</v>
      </c>
      <c r="C194" s="14"/>
      <c r="D194" s="14" t="s">
        <v>262</v>
      </c>
      <c r="E194" s="14">
        <f xml:space="preserve"> IF($S$72,1,0)</f>
        <v>1</v>
      </c>
      <c r="F194" s="14" t="s">
        <v>263</v>
      </c>
      <c r="G194" s="14">
        <v>0</v>
      </c>
      <c r="H194" s="14">
        <v>0</v>
      </c>
      <c r="I194" s="14">
        <v>0</v>
      </c>
      <c r="J194" s="14">
        <v>0</v>
      </c>
      <c r="K194" s="14">
        <v>0</v>
      </c>
      <c r="L194" s="14">
        <v>0</v>
      </c>
      <c r="M194" s="14">
        <v>0</v>
      </c>
      <c r="N194" s="14">
        <v>0</v>
      </c>
      <c r="O194" s="14">
        <v>0</v>
      </c>
      <c r="P194" s="14">
        <v>0</v>
      </c>
      <c r="Q194" s="15">
        <v>0</v>
      </c>
      <c r="R194" s="15">
        <v>0</v>
      </c>
      <c r="S194" s="15">
        <v>0</v>
      </c>
    </row>
    <row r="195" spans="1:19" x14ac:dyDescent="0.3">
      <c r="A195" s="13" t="s">
        <v>724</v>
      </c>
      <c r="B195" s="14" t="s">
        <v>721</v>
      </c>
      <c r="C195" s="14"/>
      <c r="D195" s="14" t="s">
        <v>725</v>
      </c>
      <c r="E195" s="14">
        <f xml:space="preserve"> IF($S$194,1,0)</f>
        <v>0</v>
      </c>
      <c r="F195" s="14" t="s">
        <v>726</v>
      </c>
      <c r="G195" s="14">
        <v>2</v>
      </c>
      <c r="H195" s="14">
        <v>4</v>
      </c>
      <c r="I195" s="14">
        <v>0</v>
      </c>
      <c r="J195" s="14">
        <v>0</v>
      </c>
      <c r="K195" s="14">
        <v>0</v>
      </c>
      <c r="L195" s="14">
        <v>0</v>
      </c>
      <c r="M195" s="14">
        <v>0</v>
      </c>
      <c r="N195" s="14">
        <v>0</v>
      </c>
      <c r="O195" s="14">
        <v>0</v>
      </c>
      <c r="P195" s="14">
        <v>1</v>
      </c>
      <c r="Q195" s="15">
        <v>13.2</v>
      </c>
      <c r="R195" s="15">
        <v>0</v>
      </c>
      <c r="S195" s="15">
        <v>13.2</v>
      </c>
    </row>
    <row r="196" spans="1:19" x14ac:dyDescent="0.3">
      <c r="A196" s="10" t="s">
        <v>249</v>
      </c>
      <c r="B196" s="11" t="s">
        <v>242</v>
      </c>
      <c r="C196" s="11" t="s">
        <v>34</v>
      </c>
      <c r="D196" s="11" t="s">
        <v>250</v>
      </c>
      <c r="E196" s="11">
        <f xml:space="preserve"> IF($S$69,1,0)</f>
        <v>0</v>
      </c>
      <c r="F196" s="11" t="s">
        <v>251</v>
      </c>
      <c r="G196" s="11">
        <v>0</v>
      </c>
      <c r="H196" s="11">
        <v>0</v>
      </c>
      <c r="I196" s="11">
        <v>0</v>
      </c>
      <c r="J196" s="11">
        <v>0</v>
      </c>
      <c r="K196" s="11">
        <v>0</v>
      </c>
      <c r="L196" s="11">
        <v>0</v>
      </c>
      <c r="M196" s="11">
        <v>0</v>
      </c>
      <c r="N196" s="11">
        <v>0</v>
      </c>
      <c r="O196" s="11">
        <v>0</v>
      </c>
      <c r="P196" s="11">
        <v>0</v>
      </c>
      <c r="Q196" s="12">
        <v>0</v>
      </c>
      <c r="R196" s="12">
        <v>0</v>
      </c>
      <c r="S196" s="12">
        <v>0</v>
      </c>
    </row>
    <row r="197" spans="1:19" x14ac:dyDescent="0.3">
      <c r="A197" s="10" t="s">
        <v>421</v>
      </c>
      <c r="B197" s="11" t="s">
        <v>422</v>
      </c>
      <c r="C197" s="11"/>
      <c r="D197" s="11" t="s">
        <v>423</v>
      </c>
      <c r="E197" s="11">
        <f xml:space="preserve"> IF($S$113,1,0)</f>
        <v>0</v>
      </c>
      <c r="F197" s="11" t="s">
        <v>424</v>
      </c>
      <c r="G197" s="11">
        <v>0</v>
      </c>
      <c r="H197" s="11">
        <v>0</v>
      </c>
      <c r="I197" s="11">
        <v>0</v>
      </c>
      <c r="J197" s="11">
        <v>0</v>
      </c>
      <c r="K197" s="11">
        <v>0</v>
      </c>
      <c r="L197" s="11">
        <v>0</v>
      </c>
      <c r="M197" s="11">
        <v>0</v>
      </c>
      <c r="N197" s="11">
        <v>0</v>
      </c>
      <c r="O197" s="11">
        <v>0</v>
      </c>
      <c r="P197" s="11">
        <v>0</v>
      </c>
      <c r="Q197" s="12">
        <v>0</v>
      </c>
      <c r="R197" s="12">
        <v>0</v>
      </c>
      <c r="S197" s="12">
        <v>0</v>
      </c>
    </row>
    <row r="198" spans="1:19" x14ac:dyDescent="0.3">
      <c r="A198" s="10" t="s">
        <v>607</v>
      </c>
      <c r="B198" s="11" t="s">
        <v>608</v>
      </c>
      <c r="C198" s="11"/>
      <c r="D198" s="11" t="s">
        <v>609</v>
      </c>
      <c r="E198" s="11">
        <f xml:space="preserve"> IF($S$163,1,0)</f>
        <v>0</v>
      </c>
      <c r="F198" s="11" t="s">
        <v>610</v>
      </c>
      <c r="G198" s="11">
        <v>0</v>
      </c>
      <c r="H198" s="11">
        <v>0</v>
      </c>
      <c r="I198" s="11">
        <v>0</v>
      </c>
      <c r="J198" s="11">
        <v>0</v>
      </c>
      <c r="K198" s="11">
        <v>0</v>
      </c>
      <c r="L198" s="11">
        <v>0</v>
      </c>
      <c r="M198" s="11">
        <v>0</v>
      </c>
      <c r="N198" s="11">
        <v>0</v>
      </c>
      <c r="O198" s="11">
        <v>0</v>
      </c>
      <c r="P198" s="11">
        <v>0</v>
      </c>
      <c r="Q198" s="12">
        <v>0</v>
      </c>
      <c r="R198" s="12">
        <v>0</v>
      </c>
      <c r="S198" s="12">
        <v>0</v>
      </c>
    </row>
    <row r="199" spans="1:19" x14ac:dyDescent="0.3">
      <c r="A199" s="13" t="s">
        <v>557</v>
      </c>
      <c r="B199" s="14" t="s">
        <v>554</v>
      </c>
      <c r="C199" s="14"/>
      <c r="D199" s="14" t="s">
        <v>558</v>
      </c>
      <c r="E199" s="14">
        <f xml:space="preserve"> IF($S$150,1,0)</f>
        <v>1</v>
      </c>
      <c r="F199" s="14" t="s">
        <v>559</v>
      </c>
      <c r="G199" s="14">
        <v>0</v>
      </c>
      <c r="H199" s="14">
        <v>0</v>
      </c>
      <c r="I199" s="14">
        <v>0</v>
      </c>
      <c r="J199" s="14">
        <v>0</v>
      </c>
      <c r="K199" s="14">
        <v>0</v>
      </c>
      <c r="L199" s="14">
        <v>0</v>
      </c>
      <c r="M199" s="14">
        <v>0</v>
      </c>
      <c r="N199" s="14">
        <v>0</v>
      </c>
      <c r="O199" s="14">
        <v>0</v>
      </c>
      <c r="P199" s="14">
        <v>0</v>
      </c>
      <c r="Q199" s="15">
        <v>0</v>
      </c>
      <c r="R199" s="15">
        <v>0</v>
      </c>
      <c r="S199" s="15">
        <v>0</v>
      </c>
    </row>
    <row r="200" spans="1:19" x14ac:dyDescent="0.3">
      <c r="A200" s="10" t="s">
        <v>48</v>
      </c>
      <c r="B200" s="11" t="s">
        <v>45</v>
      </c>
      <c r="C200" s="11"/>
      <c r="D200" s="11" t="s">
        <v>49</v>
      </c>
      <c r="E200" s="11">
        <f xml:space="preserve"> IF($S$15,1,0)</f>
        <v>0</v>
      </c>
      <c r="F200" s="11" t="s">
        <v>50</v>
      </c>
      <c r="G200" s="11">
        <v>0</v>
      </c>
      <c r="H200" s="11">
        <v>0</v>
      </c>
      <c r="I200" s="11">
        <v>0</v>
      </c>
      <c r="J200" s="11">
        <v>0</v>
      </c>
      <c r="K200" s="11">
        <v>0</v>
      </c>
      <c r="L200" s="11">
        <v>0</v>
      </c>
      <c r="M200" s="11">
        <v>0</v>
      </c>
      <c r="N200" s="11">
        <v>0</v>
      </c>
      <c r="O200" s="11">
        <v>0</v>
      </c>
      <c r="P200" s="11">
        <v>0</v>
      </c>
      <c r="Q200" s="12">
        <v>0</v>
      </c>
      <c r="R200" s="12">
        <v>0</v>
      </c>
      <c r="S200" s="12">
        <v>0</v>
      </c>
    </row>
    <row r="201" spans="1:19" x14ac:dyDescent="0.3">
      <c r="A201" s="13" t="s">
        <v>1066</v>
      </c>
      <c r="B201" s="14" t="s">
        <v>1067</v>
      </c>
      <c r="C201" s="14" t="s">
        <v>202</v>
      </c>
      <c r="D201" s="14" t="s">
        <v>1068</v>
      </c>
      <c r="E201" s="14">
        <f xml:space="preserve"> IF($S$284,1,0)</f>
        <v>0</v>
      </c>
      <c r="F201" s="14" t="s">
        <v>1069</v>
      </c>
      <c r="G201" s="14">
        <v>0</v>
      </c>
      <c r="H201" s="14">
        <v>0</v>
      </c>
      <c r="I201" s="14">
        <v>0</v>
      </c>
      <c r="J201" s="14">
        <v>0</v>
      </c>
      <c r="K201" s="14">
        <v>0</v>
      </c>
      <c r="L201" s="14">
        <v>0</v>
      </c>
      <c r="M201" s="14">
        <v>0</v>
      </c>
      <c r="N201" s="14">
        <v>0</v>
      </c>
      <c r="O201" s="14">
        <v>0</v>
      </c>
      <c r="P201" s="14">
        <v>0</v>
      </c>
      <c r="Q201" s="15">
        <v>0</v>
      </c>
      <c r="R201" s="15">
        <v>0</v>
      </c>
      <c r="S201" s="15">
        <v>0</v>
      </c>
    </row>
    <row r="202" spans="1:19" x14ac:dyDescent="0.3">
      <c r="A202" s="10" t="s">
        <v>205</v>
      </c>
      <c r="B202" s="11" t="s">
        <v>206</v>
      </c>
      <c r="C202" s="11"/>
      <c r="D202" s="11" t="s">
        <v>207</v>
      </c>
      <c r="E202" s="11">
        <f xml:space="preserve"> IF($S$57,1,0)</f>
        <v>0</v>
      </c>
      <c r="F202" s="11" t="s">
        <v>208</v>
      </c>
      <c r="G202" s="11">
        <v>0</v>
      </c>
      <c r="H202" s="11">
        <v>0</v>
      </c>
      <c r="I202" s="11">
        <v>0</v>
      </c>
      <c r="J202" s="11">
        <v>0</v>
      </c>
      <c r="K202" s="11">
        <v>0</v>
      </c>
      <c r="L202" s="11">
        <v>0</v>
      </c>
      <c r="M202" s="11">
        <v>0</v>
      </c>
      <c r="N202" s="11">
        <v>0</v>
      </c>
      <c r="O202" s="11">
        <v>0</v>
      </c>
      <c r="P202" s="11">
        <v>0</v>
      </c>
      <c r="Q202" s="12">
        <v>0</v>
      </c>
      <c r="R202" s="12">
        <v>0</v>
      </c>
      <c r="S202" s="12">
        <v>0</v>
      </c>
    </row>
    <row r="203" spans="1:19" x14ac:dyDescent="0.3">
      <c r="A203" s="10" t="s">
        <v>560</v>
      </c>
      <c r="B203" s="11" t="s">
        <v>561</v>
      </c>
      <c r="C203" s="11"/>
      <c r="D203" s="11" t="s">
        <v>562</v>
      </c>
      <c r="E203" s="11">
        <f xml:space="preserve"> IF($S$151,1,0)</f>
        <v>0</v>
      </c>
      <c r="F203" s="11" t="s">
        <v>563</v>
      </c>
      <c r="G203" s="11">
        <v>0</v>
      </c>
      <c r="H203" s="11">
        <v>0</v>
      </c>
      <c r="I203" s="11">
        <v>0</v>
      </c>
      <c r="J203" s="11">
        <v>0</v>
      </c>
      <c r="K203" s="11">
        <v>0</v>
      </c>
      <c r="L203" s="11">
        <v>0</v>
      </c>
      <c r="M203" s="11">
        <v>0</v>
      </c>
      <c r="N203" s="11">
        <v>0</v>
      </c>
      <c r="O203" s="11">
        <v>0</v>
      </c>
      <c r="P203" s="11">
        <v>0</v>
      </c>
      <c r="Q203" s="12">
        <v>0</v>
      </c>
      <c r="R203" s="12">
        <v>0</v>
      </c>
      <c r="S203" s="12">
        <v>0</v>
      </c>
    </row>
    <row r="204" spans="1:19" x14ac:dyDescent="0.3">
      <c r="A204" s="13" t="s">
        <v>209</v>
      </c>
      <c r="B204" s="14" t="s">
        <v>210</v>
      </c>
      <c r="C204" s="14"/>
      <c r="D204" s="14" t="s">
        <v>211</v>
      </c>
      <c r="E204" s="14">
        <f xml:space="preserve"> IF($S$58,1,0)</f>
        <v>0</v>
      </c>
      <c r="F204" s="14" t="s">
        <v>212</v>
      </c>
      <c r="G204" s="14">
        <v>4</v>
      </c>
      <c r="H204" s="14">
        <v>0</v>
      </c>
      <c r="I204" s="14">
        <v>0</v>
      </c>
      <c r="J204" s="14">
        <v>0</v>
      </c>
      <c r="K204" s="14">
        <v>0</v>
      </c>
      <c r="L204" s="14">
        <v>0</v>
      </c>
      <c r="M204" s="14">
        <v>0</v>
      </c>
      <c r="N204" s="14">
        <v>0</v>
      </c>
      <c r="O204" s="14">
        <v>0</v>
      </c>
      <c r="P204" s="14">
        <v>0</v>
      </c>
      <c r="Q204" s="15">
        <v>4.4000000000000004</v>
      </c>
      <c r="R204" s="15">
        <v>0</v>
      </c>
      <c r="S204" s="15">
        <v>4.4000000000000004</v>
      </c>
    </row>
    <row r="205" spans="1:19" x14ac:dyDescent="0.3">
      <c r="A205" s="10" t="s">
        <v>1225</v>
      </c>
      <c r="B205" s="11" t="s">
        <v>1226</v>
      </c>
      <c r="C205" s="11" t="s">
        <v>34</v>
      </c>
      <c r="D205" s="11" t="s">
        <v>1227</v>
      </c>
      <c r="E205" s="11">
        <f xml:space="preserve"> IF($S$329,1,0)</f>
        <v>0</v>
      </c>
      <c r="F205" s="11" t="s">
        <v>1228</v>
      </c>
      <c r="G205" s="11">
        <v>0</v>
      </c>
      <c r="H205" s="11">
        <v>0</v>
      </c>
      <c r="I205" s="11">
        <v>0</v>
      </c>
      <c r="J205" s="11">
        <v>0</v>
      </c>
      <c r="K205" s="11">
        <v>0</v>
      </c>
      <c r="L205" s="11">
        <v>0</v>
      </c>
      <c r="M205" s="11">
        <v>0</v>
      </c>
      <c r="N205" s="11">
        <v>0</v>
      </c>
      <c r="O205" s="11">
        <v>0</v>
      </c>
      <c r="P205" s="11">
        <v>0</v>
      </c>
      <c r="Q205" s="12">
        <v>0</v>
      </c>
      <c r="R205" s="12">
        <v>0</v>
      </c>
      <c r="S205" s="12">
        <v>0</v>
      </c>
    </row>
    <row r="206" spans="1:19" x14ac:dyDescent="0.3">
      <c r="A206" s="10" t="s">
        <v>600</v>
      </c>
      <c r="B206" s="11" t="s">
        <v>601</v>
      </c>
      <c r="C206" s="11"/>
      <c r="D206" s="11" t="s">
        <v>70</v>
      </c>
      <c r="E206" s="11">
        <f xml:space="preserve"> IF($S$161,1,0)</f>
        <v>0</v>
      </c>
      <c r="F206" s="11" t="s">
        <v>602</v>
      </c>
      <c r="G206" s="11">
        <v>0</v>
      </c>
      <c r="H206" s="11">
        <v>0</v>
      </c>
      <c r="I206" s="11">
        <v>0</v>
      </c>
      <c r="J206" s="11">
        <v>0</v>
      </c>
      <c r="K206" s="11">
        <v>0</v>
      </c>
      <c r="L206" s="11">
        <v>0</v>
      </c>
      <c r="M206" s="11">
        <v>0</v>
      </c>
      <c r="N206" s="11">
        <v>0</v>
      </c>
      <c r="O206" s="11">
        <v>0</v>
      </c>
      <c r="P206" s="11">
        <v>0</v>
      </c>
      <c r="Q206" s="12">
        <v>0</v>
      </c>
      <c r="R206" s="12">
        <v>0</v>
      </c>
      <c r="S206" s="12">
        <v>0</v>
      </c>
    </row>
    <row r="207" spans="1:19" x14ac:dyDescent="0.3">
      <c r="A207" s="10" t="s">
        <v>493</v>
      </c>
      <c r="B207" s="11" t="s">
        <v>494</v>
      </c>
      <c r="C207" s="11" t="s">
        <v>34</v>
      </c>
      <c r="D207" s="11" t="s">
        <v>495</v>
      </c>
      <c r="E207" s="11">
        <f xml:space="preserve"> IF($S$133,1,0)</f>
        <v>0</v>
      </c>
      <c r="F207" s="11" t="s">
        <v>496</v>
      </c>
      <c r="G207" s="11">
        <v>0</v>
      </c>
      <c r="H207" s="11">
        <v>0</v>
      </c>
      <c r="I207" s="11">
        <v>0</v>
      </c>
      <c r="J207" s="11">
        <v>0</v>
      </c>
      <c r="K207" s="11">
        <v>0</v>
      </c>
      <c r="L207" s="11">
        <v>0</v>
      </c>
      <c r="M207" s="11">
        <v>0</v>
      </c>
      <c r="N207" s="11">
        <v>0</v>
      </c>
      <c r="O207" s="11">
        <v>0</v>
      </c>
      <c r="P207" s="11">
        <v>0</v>
      </c>
      <c r="Q207" s="12">
        <v>0</v>
      </c>
      <c r="R207" s="12">
        <v>0</v>
      </c>
      <c r="S207" s="12">
        <v>0</v>
      </c>
    </row>
    <row r="208" spans="1:19" x14ac:dyDescent="0.3">
      <c r="A208" s="10" t="s">
        <v>1196</v>
      </c>
      <c r="B208" s="11" t="s">
        <v>1197</v>
      </c>
      <c r="C208" s="11"/>
      <c r="D208" s="11" t="s">
        <v>1198</v>
      </c>
      <c r="E208" s="11">
        <f xml:space="preserve"> IF($S$321,1,0)</f>
        <v>0</v>
      </c>
      <c r="F208" s="11" t="s">
        <v>1199</v>
      </c>
      <c r="G208" s="11">
        <v>0</v>
      </c>
      <c r="H208" s="11">
        <v>0</v>
      </c>
      <c r="I208" s="11">
        <v>0</v>
      </c>
      <c r="J208" s="11">
        <v>0</v>
      </c>
      <c r="K208" s="11">
        <v>0</v>
      </c>
      <c r="L208" s="11">
        <v>0</v>
      </c>
      <c r="M208" s="11">
        <v>0</v>
      </c>
      <c r="N208" s="11">
        <v>0</v>
      </c>
      <c r="O208" s="11">
        <v>0</v>
      </c>
      <c r="P208" s="11">
        <v>0</v>
      </c>
      <c r="Q208" s="12">
        <v>0</v>
      </c>
      <c r="R208" s="12">
        <v>0</v>
      </c>
      <c r="S208" s="12">
        <v>0</v>
      </c>
    </row>
    <row r="209" spans="1:19" x14ac:dyDescent="0.3">
      <c r="A209" s="10" t="s">
        <v>124</v>
      </c>
      <c r="B209" s="11" t="s">
        <v>125</v>
      </c>
      <c r="C209" s="11"/>
      <c r="D209" s="11" t="s">
        <v>126</v>
      </c>
      <c r="E209" s="11">
        <f xml:space="preserve"> IF($S$35,1,0)</f>
        <v>1</v>
      </c>
      <c r="F209" s="11" t="s">
        <v>127</v>
      </c>
      <c r="G209" s="11">
        <v>0</v>
      </c>
      <c r="H209" s="11">
        <v>0</v>
      </c>
      <c r="I209" s="11">
        <v>0</v>
      </c>
      <c r="J209" s="11">
        <v>0</v>
      </c>
      <c r="K209" s="11">
        <v>0</v>
      </c>
      <c r="L209" s="11">
        <v>0</v>
      </c>
      <c r="M209" s="11">
        <v>0</v>
      </c>
      <c r="N209" s="11">
        <v>0</v>
      </c>
      <c r="O209" s="11">
        <v>0</v>
      </c>
      <c r="P209" s="11">
        <v>0</v>
      </c>
      <c r="Q209" s="12">
        <v>0</v>
      </c>
      <c r="R209" s="12">
        <v>0</v>
      </c>
      <c r="S209" s="12">
        <v>0</v>
      </c>
    </row>
    <row r="210" spans="1:19" x14ac:dyDescent="0.3">
      <c r="A210" s="13" t="s">
        <v>754</v>
      </c>
      <c r="B210" s="14" t="s">
        <v>755</v>
      </c>
      <c r="C210" s="14"/>
      <c r="D210" s="14" t="s">
        <v>756</v>
      </c>
      <c r="E210" s="14">
        <f xml:space="preserve"> IF($S$202,1,0)</f>
        <v>0</v>
      </c>
      <c r="F210" s="14" t="s">
        <v>757</v>
      </c>
      <c r="G210" s="14">
        <v>0</v>
      </c>
      <c r="H210" s="14">
        <v>0</v>
      </c>
      <c r="I210" s="14">
        <v>0</v>
      </c>
      <c r="J210" s="14">
        <v>0</v>
      </c>
      <c r="K210" s="14">
        <v>0</v>
      </c>
      <c r="L210" s="14">
        <v>0</v>
      </c>
      <c r="M210" s="14">
        <v>0</v>
      </c>
      <c r="N210" s="14">
        <v>0</v>
      </c>
      <c r="O210" s="14">
        <v>0</v>
      </c>
      <c r="P210" s="14">
        <v>0</v>
      </c>
      <c r="Q210" s="15">
        <v>0</v>
      </c>
      <c r="R210" s="15">
        <v>0</v>
      </c>
      <c r="S210" s="15">
        <v>0</v>
      </c>
    </row>
    <row r="211" spans="1:19" x14ac:dyDescent="0.3">
      <c r="A211" s="13" t="s">
        <v>106</v>
      </c>
      <c r="B211" s="14" t="s">
        <v>103</v>
      </c>
      <c r="C211" s="14"/>
      <c r="D211" s="14" t="s">
        <v>107</v>
      </c>
      <c r="E211" s="14">
        <f xml:space="preserve"> IF($S$30,1,0)</f>
        <v>0</v>
      </c>
      <c r="F211" s="14" t="s">
        <v>108</v>
      </c>
      <c r="G211" s="14">
        <v>0</v>
      </c>
      <c r="H211" s="14">
        <v>0</v>
      </c>
      <c r="I211" s="14">
        <v>0</v>
      </c>
      <c r="J211" s="14">
        <v>0</v>
      </c>
      <c r="K211" s="14">
        <v>0</v>
      </c>
      <c r="L211" s="14">
        <v>0</v>
      </c>
      <c r="M211" s="14">
        <v>0</v>
      </c>
      <c r="N211" s="14">
        <v>0</v>
      </c>
      <c r="O211" s="14">
        <v>0</v>
      </c>
      <c r="P211" s="14">
        <v>0</v>
      </c>
      <c r="Q211" s="15">
        <v>0</v>
      </c>
      <c r="R211" s="15">
        <v>0</v>
      </c>
      <c r="S211" s="15">
        <v>0</v>
      </c>
    </row>
    <row r="212" spans="1:19" x14ac:dyDescent="0.3">
      <c r="A212" s="13" t="s">
        <v>144</v>
      </c>
      <c r="B212" s="14" t="s">
        <v>145</v>
      </c>
      <c r="C212" s="14"/>
      <c r="D212" s="14" t="s">
        <v>146</v>
      </c>
      <c r="E212" s="14">
        <f xml:space="preserve"> IF($S$40,1,0)</f>
        <v>0</v>
      </c>
      <c r="F212" s="14" t="s">
        <v>147</v>
      </c>
      <c r="G212" s="14">
        <v>0</v>
      </c>
      <c r="H212" s="14">
        <v>0</v>
      </c>
      <c r="I212" s="14">
        <v>0</v>
      </c>
      <c r="J212" s="14">
        <v>0</v>
      </c>
      <c r="K212" s="14">
        <v>0</v>
      </c>
      <c r="L212" s="14">
        <v>0</v>
      </c>
      <c r="M212" s="14">
        <v>0</v>
      </c>
      <c r="N212" s="14">
        <v>0</v>
      </c>
      <c r="O212" s="14">
        <v>0</v>
      </c>
      <c r="P212" s="14">
        <v>0</v>
      </c>
      <c r="Q212" s="15">
        <v>0</v>
      </c>
      <c r="R212" s="15">
        <v>0</v>
      </c>
      <c r="S212" s="15">
        <v>0</v>
      </c>
    </row>
    <row r="213" spans="1:19" x14ac:dyDescent="0.3">
      <c r="A213" s="13" t="s">
        <v>481</v>
      </c>
      <c r="B213" s="14" t="s">
        <v>482</v>
      </c>
      <c r="C213" s="14"/>
      <c r="D213" s="14" t="s">
        <v>483</v>
      </c>
      <c r="E213" s="14">
        <f xml:space="preserve"> IF($S$130,1,0)</f>
        <v>0</v>
      </c>
      <c r="F213" s="14" t="s">
        <v>484</v>
      </c>
      <c r="G213" s="14">
        <v>0</v>
      </c>
      <c r="H213" s="14">
        <v>0</v>
      </c>
      <c r="I213" s="14">
        <v>0</v>
      </c>
      <c r="J213" s="14">
        <v>0</v>
      </c>
      <c r="K213" s="14">
        <v>0</v>
      </c>
      <c r="L213" s="14">
        <v>0</v>
      </c>
      <c r="M213" s="14">
        <v>0</v>
      </c>
      <c r="N213" s="14">
        <v>0</v>
      </c>
      <c r="O213" s="14">
        <v>0</v>
      </c>
      <c r="P213" s="14">
        <v>0</v>
      </c>
      <c r="Q213" s="15">
        <v>0</v>
      </c>
      <c r="R213" s="15">
        <v>0</v>
      </c>
      <c r="S213" s="15">
        <v>0</v>
      </c>
    </row>
    <row r="214" spans="1:19" x14ac:dyDescent="0.3">
      <c r="A214" s="10" t="s">
        <v>1152</v>
      </c>
      <c r="B214" s="11" t="s">
        <v>1142</v>
      </c>
      <c r="C214" s="11"/>
      <c r="D214" s="11" t="s">
        <v>1153</v>
      </c>
      <c r="E214" s="11">
        <f xml:space="preserve"> IF($S$309,1,0)</f>
        <v>0</v>
      </c>
      <c r="F214" s="11" t="s">
        <v>1154</v>
      </c>
      <c r="G214" s="11">
        <v>0</v>
      </c>
      <c r="H214" s="11">
        <v>0</v>
      </c>
      <c r="I214" s="11">
        <v>0</v>
      </c>
      <c r="J214" s="11">
        <v>0</v>
      </c>
      <c r="K214" s="11">
        <v>0</v>
      </c>
      <c r="L214" s="11">
        <v>0</v>
      </c>
      <c r="M214" s="11">
        <v>0</v>
      </c>
      <c r="N214" s="11">
        <v>0</v>
      </c>
      <c r="O214" s="11">
        <v>0</v>
      </c>
      <c r="P214" s="11">
        <v>0</v>
      </c>
      <c r="Q214" s="12">
        <v>0</v>
      </c>
      <c r="R214" s="12">
        <v>0</v>
      </c>
      <c r="S214" s="12">
        <v>0</v>
      </c>
    </row>
    <row r="215" spans="1:19" x14ac:dyDescent="0.3">
      <c r="A215" s="13" t="s">
        <v>696</v>
      </c>
      <c r="B215" s="14" t="s">
        <v>697</v>
      </c>
      <c r="C215" s="14"/>
      <c r="D215" s="14" t="s">
        <v>698</v>
      </c>
      <c r="E215" s="14">
        <f xml:space="preserve"> IF($S$186,1,0)</f>
        <v>1</v>
      </c>
      <c r="F215" s="14" t="s">
        <v>699</v>
      </c>
      <c r="G215" s="14">
        <v>0</v>
      </c>
      <c r="H215" s="14">
        <v>0</v>
      </c>
      <c r="I215" s="14">
        <v>0</v>
      </c>
      <c r="J215" s="14">
        <v>0</v>
      </c>
      <c r="K215" s="14">
        <v>0</v>
      </c>
      <c r="L215" s="14">
        <v>0</v>
      </c>
      <c r="M215" s="14">
        <v>0</v>
      </c>
      <c r="N215" s="14">
        <v>0</v>
      </c>
      <c r="O215" s="14">
        <v>0</v>
      </c>
      <c r="P215" s="14">
        <v>0</v>
      </c>
      <c r="Q215" s="15">
        <v>0</v>
      </c>
      <c r="R215" s="15">
        <v>0</v>
      </c>
      <c r="S215" s="15">
        <v>0</v>
      </c>
    </row>
    <row r="216" spans="1:19" x14ac:dyDescent="0.3">
      <c r="A216" s="13" t="s">
        <v>1029</v>
      </c>
      <c r="B216" s="14" t="s">
        <v>1030</v>
      </c>
      <c r="C216" s="14" t="s">
        <v>34</v>
      </c>
      <c r="D216" s="14" t="s">
        <v>1031</v>
      </c>
      <c r="E216" s="14">
        <f xml:space="preserve"> IF($S$274,1,0)</f>
        <v>0</v>
      </c>
      <c r="F216" s="14" t="s">
        <v>1032</v>
      </c>
      <c r="G216" s="14">
        <v>0</v>
      </c>
      <c r="H216" s="14">
        <v>0</v>
      </c>
      <c r="I216" s="14">
        <v>0</v>
      </c>
      <c r="J216" s="14">
        <v>0</v>
      </c>
      <c r="K216" s="14">
        <v>0</v>
      </c>
      <c r="L216" s="14">
        <v>0</v>
      </c>
      <c r="M216" s="14">
        <v>0</v>
      </c>
      <c r="N216" s="14">
        <v>0</v>
      </c>
      <c r="O216" s="14">
        <v>0</v>
      </c>
      <c r="P216" s="14">
        <v>0</v>
      </c>
      <c r="Q216" s="15">
        <v>0</v>
      </c>
      <c r="R216" s="15">
        <v>0</v>
      </c>
      <c r="S216" s="15">
        <v>0</v>
      </c>
    </row>
    <row r="217" spans="1:19" x14ac:dyDescent="0.3">
      <c r="A217" s="10" t="s">
        <v>94</v>
      </c>
      <c r="B217" s="11" t="s">
        <v>95</v>
      </c>
      <c r="C217" s="11"/>
      <c r="D217" s="11" t="s">
        <v>96</v>
      </c>
      <c r="E217" s="11">
        <f xml:space="preserve"> IF($S$27,1,0)</f>
        <v>0</v>
      </c>
      <c r="F217" s="11" t="s">
        <v>97</v>
      </c>
      <c r="G217" s="11">
        <v>0</v>
      </c>
      <c r="H217" s="11">
        <v>0</v>
      </c>
      <c r="I217" s="11">
        <v>0</v>
      </c>
      <c r="J217" s="11">
        <v>0</v>
      </c>
      <c r="K217" s="11">
        <v>0</v>
      </c>
      <c r="L217" s="11">
        <v>0</v>
      </c>
      <c r="M217" s="11">
        <v>0</v>
      </c>
      <c r="N217" s="11">
        <v>0</v>
      </c>
      <c r="O217" s="11">
        <v>0</v>
      </c>
      <c r="P217" s="11">
        <v>0</v>
      </c>
      <c r="Q217" s="12">
        <v>0</v>
      </c>
      <c r="R217" s="12">
        <v>0</v>
      </c>
      <c r="S217" s="12">
        <v>0</v>
      </c>
    </row>
    <row r="218" spans="1:19" x14ac:dyDescent="0.3">
      <c r="A218" s="10" t="s">
        <v>1025</v>
      </c>
      <c r="B218" s="11" t="s">
        <v>1026</v>
      </c>
      <c r="C218" s="11"/>
      <c r="D218" s="11" t="s">
        <v>1027</v>
      </c>
      <c r="E218" s="11">
        <f xml:space="preserve"> IF($S$273,1,0)</f>
        <v>0</v>
      </c>
      <c r="F218" s="11" t="s">
        <v>1028</v>
      </c>
      <c r="G218" s="11">
        <v>0</v>
      </c>
      <c r="H218" s="11">
        <v>0</v>
      </c>
      <c r="I218" s="11">
        <v>0</v>
      </c>
      <c r="J218" s="11">
        <v>0</v>
      </c>
      <c r="K218" s="11">
        <v>0</v>
      </c>
      <c r="L218" s="11">
        <v>0</v>
      </c>
      <c r="M218" s="11">
        <v>0</v>
      </c>
      <c r="N218" s="11">
        <v>0</v>
      </c>
      <c r="O218" s="11">
        <v>0</v>
      </c>
      <c r="P218" s="11">
        <v>0</v>
      </c>
      <c r="Q218" s="12">
        <v>0</v>
      </c>
      <c r="R218" s="12">
        <v>0</v>
      </c>
      <c r="S218" s="12">
        <v>0</v>
      </c>
    </row>
    <row r="219" spans="1:19" x14ac:dyDescent="0.3">
      <c r="A219" s="13" t="s">
        <v>641</v>
      </c>
      <c r="B219" s="14" t="s">
        <v>642</v>
      </c>
      <c r="C219" s="14"/>
      <c r="D219" s="14" t="s">
        <v>643</v>
      </c>
      <c r="E219" s="14">
        <f xml:space="preserve"> IF($S$172,1,0)</f>
        <v>0</v>
      </c>
      <c r="F219" s="14" t="s">
        <v>644</v>
      </c>
      <c r="G219" s="14">
        <v>0</v>
      </c>
      <c r="H219" s="14">
        <v>0</v>
      </c>
      <c r="I219" s="14">
        <v>0</v>
      </c>
      <c r="J219" s="14">
        <v>0</v>
      </c>
      <c r="K219" s="14">
        <v>0</v>
      </c>
      <c r="L219" s="14">
        <v>0</v>
      </c>
      <c r="M219" s="14">
        <v>0</v>
      </c>
      <c r="N219" s="14">
        <v>0</v>
      </c>
      <c r="O219" s="14">
        <v>0</v>
      </c>
      <c r="P219" s="14">
        <v>0</v>
      </c>
      <c r="Q219" s="15">
        <v>0</v>
      </c>
      <c r="R219" s="15">
        <v>0</v>
      </c>
      <c r="S219" s="15">
        <v>0</v>
      </c>
    </row>
    <row r="220" spans="1:19" x14ac:dyDescent="0.3">
      <c r="A220" s="13" t="s">
        <v>437</v>
      </c>
      <c r="B220" s="14" t="s">
        <v>434</v>
      </c>
      <c r="C220" s="14"/>
      <c r="D220" s="14" t="s">
        <v>438</v>
      </c>
      <c r="E220" s="14">
        <f xml:space="preserve"> IF($S$118,1,0)</f>
        <v>0</v>
      </c>
      <c r="F220" s="14" t="s">
        <v>439</v>
      </c>
      <c r="G220" s="14">
        <v>0</v>
      </c>
      <c r="H220" s="14">
        <v>0</v>
      </c>
      <c r="I220" s="14">
        <v>0</v>
      </c>
      <c r="J220" s="14">
        <v>0</v>
      </c>
      <c r="K220" s="14">
        <v>0</v>
      </c>
      <c r="L220" s="14">
        <v>0</v>
      </c>
      <c r="M220" s="14">
        <v>0</v>
      </c>
      <c r="N220" s="14">
        <v>0</v>
      </c>
      <c r="O220" s="14">
        <v>0</v>
      </c>
      <c r="P220" s="14">
        <v>0</v>
      </c>
      <c r="Q220" s="15">
        <v>0</v>
      </c>
      <c r="R220" s="15">
        <v>0</v>
      </c>
      <c r="S220" s="15">
        <v>0</v>
      </c>
    </row>
    <row r="221" spans="1:19" x14ac:dyDescent="0.3">
      <c r="A221" s="13" t="s">
        <v>511</v>
      </c>
      <c r="B221" s="14" t="s">
        <v>512</v>
      </c>
      <c r="C221" s="14" t="s">
        <v>513</v>
      </c>
      <c r="D221" s="14" t="s">
        <v>514</v>
      </c>
      <c r="E221" s="14">
        <f xml:space="preserve"> IF($S$138,1,0)</f>
        <v>0</v>
      </c>
      <c r="F221" s="14" t="s">
        <v>515</v>
      </c>
      <c r="G221" s="14">
        <v>19</v>
      </c>
      <c r="H221" s="14">
        <v>5</v>
      </c>
      <c r="I221" s="14">
        <v>0</v>
      </c>
      <c r="J221" s="14">
        <v>0</v>
      </c>
      <c r="K221" s="14">
        <v>0</v>
      </c>
      <c r="L221" s="14">
        <v>2</v>
      </c>
      <c r="M221" s="14">
        <v>0</v>
      </c>
      <c r="N221" s="14">
        <v>0</v>
      </c>
      <c r="O221" s="14">
        <v>0</v>
      </c>
      <c r="P221" s="14">
        <v>0</v>
      </c>
      <c r="Q221" s="15">
        <v>36.900000000000006</v>
      </c>
      <c r="R221" s="15">
        <v>0</v>
      </c>
      <c r="S221" s="15">
        <v>36.900000000000006</v>
      </c>
    </row>
    <row r="222" spans="1:19" x14ac:dyDescent="0.3">
      <c r="A222" s="13" t="s">
        <v>807</v>
      </c>
      <c r="B222" s="14" t="s">
        <v>808</v>
      </c>
      <c r="C222" s="14"/>
      <c r="D222" s="14" t="s">
        <v>809</v>
      </c>
      <c r="E222" s="14">
        <f xml:space="preserve"> IF($S$216,1,0)</f>
        <v>0</v>
      </c>
      <c r="F222" s="14" t="s">
        <v>810</v>
      </c>
      <c r="G222" s="14">
        <v>0</v>
      </c>
      <c r="H222" s="14">
        <v>0</v>
      </c>
      <c r="I222" s="14">
        <v>0</v>
      </c>
      <c r="J222" s="14">
        <v>0</v>
      </c>
      <c r="K222" s="14">
        <v>0</v>
      </c>
      <c r="L222" s="14">
        <v>0</v>
      </c>
      <c r="M222" s="14">
        <v>0</v>
      </c>
      <c r="N222" s="14">
        <v>0</v>
      </c>
      <c r="O222" s="14">
        <v>0</v>
      </c>
      <c r="P222" s="14">
        <v>0</v>
      </c>
      <c r="Q222" s="15">
        <v>0</v>
      </c>
      <c r="R222" s="15">
        <v>0</v>
      </c>
      <c r="S222" s="15">
        <v>0</v>
      </c>
    </row>
    <row r="223" spans="1:19" x14ac:dyDescent="0.3">
      <c r="A223" s="10" t="s">
        <v>405</v>
      </c>
      <c r="B223" s="11" t="s">
        <v>406</v>
      </c>
      <c r="C223" s="11"/>
      <c r="D223" s="11" t="s">
        <v>407</v>
      </c>
      <c r="E223" s="11">
        <f xml:space="preserve"> IF($S$109,1,0)</f>
        <v>0</v>
      </c>
      <c r="F223" s="11" t="s">
        <v>408</v>
      </c>
      <c r="G223" s="11">
        <v>3</v>
      </c>
      <c r="H223" s="11">
        <v>2</v>
      </c>
      <c r="I223" s="11">
        <v>0</v>
      </c>
      <c r="J223" s="11">
        <v>0</v>
      </c>
      <c r="K223" s="11">
        <v>0</v>
      </c>
      <c r="L223" s="11">
        <v>0</v>
      </c>
      <c r="M223" s="11">
        <v>0</v>
      </c>
      <c r="N223" s="11">
        <v>0</v>
      </c>
      <c r="O223" s="11">
        <v>0</v>
      </c>
      <c r="P223" s="11">
        <v>0</v>
      </c>
      <c r="Q223" s="12">
        <v>7.3000000000000007</v>
      </c>
      <c r="R223" s="12">
        <v>0</v>
      </c>
      <c r="S223" s="12">
        <v>7.3000000000000007</v>
      </c>
    </row>
    <row r="224" spans="1:19" x14ac:dyDescent="0.3">
      <c r="A224" s="13" t="s">
        <v>901</v>
      </c>
      <c r="B224" s="14" t="s">
        <v>902</v>
      </c>
      <c r="C224" s="14"/>
      <c r="D224" s="14" t="s">
        <v>903</v>
      </c>
      <c r="E224" s="14">
        <f xml:space="preserve"> IF($S$240,1,0)</f>
        <v>1</v>
      </c>
      <c r="F224" s="14" t="s">
        <v>904</v>
      </c>
      <c r="G224" s="14">
        <v>0</v>
      </c>
      <c r="H224" s="14">
        <v>0</v>
      </c>
      <c r="I224" s="14">
        <v>0</v>
      </c>
      <c r="J224" s="14">
        <v>0</v>
      </c>
      <c r="K224" s="14">
        <v>0</v>
      </c>
      <c r="L224" s="14">
        <v>0</v>
      </c>
      <c r="M224" s="14">
        <v>0</v>
      </c>
      <c r="N224" s="14">
        <v>0</v>
      </c>
      <c r="O224" s="14">
        <v>0</v>
      </c>
      <c r="P224" s="14">
        <v>0</v>
      </c>
      <c r="Q224" s="15">
        <v>0</v>
      </c>
      <c r="R224" s="15">
        <v>0</v>
      </c>
      <c r="S224" s="15">
        <v>0</v>
      </c>
    </row>
    <row r="225" spans="1:19" x14ac:dyDescent="0.3">
      <c r="A225" s="13" t="s">
        <v>611</v>
      </c>
      <c r="B225" s="14" t="s">
        <v>612</v>
      </c>
      <c r="C225" s="14"/>
      <c r="D225" s="14" t="s">
        <v>613</v>
      </c>
      <c r="E225" s="14">
        <f xml:space="preserve"> IF($S$164,1,0)</f>
        <v>0</v>
      </c>
      <c r="F225" s="14" t="s">
        <v>614</v>
      </c>
      <c r="G225" s="14">
        <v>0</v>
      </c>
      <c r="H225" s="14">
        <v>0</v>
      </c>
      <c r="I225" s="14">
        <v>0</v>
      </c>
      <c r="J225" s="14">
        <v>0</v>
      </c>
      <c r="K225" s="14">
        <v>0</v>
      </c>
      <c r="L225" s="14">
        <v>0</v>
      </c>
      <c r="M225" s="14">
        <v>0</v>
      </c>
      <c r="N225" s="14">
        <v>0</v>
      </c>
      <c r="O225" s="14">
        <v>0</v>
      </c>
      <c r="P225" s="14">
        <v>0</v>
      </c>
      <c r="Q225" s="15">
        <v>0</v>
      </c>
      <c r="R225" s="15">
        <v>0</v>
      </c>
      <c r="S225" s="15">
        <v>0</v>
      </c>
    </row>
    <row r="226" spans="1:19" x14ac:dyDescent="0.3">
      <c r="A226" s="13" t="s">
        <v>246</v>
      </c>
      <c r="B226" s="14" t="s">
        <v>242</v>
      </c>
      <c r="C226" s="14"/>
      <c r="D226" s="14" t="s">
        <v>247</v>
      </c>
      <c r="E226" s="14">
        <f xml:space="preserve"> IF($S$68,1,0)</f>
        <v>1</v>
      </c>
      <c r="F226" s="14" t="s">
        <v>248</v>
      </c>
      <c r="G226" s="14">
        <v>0</v>
      </c>
      <c r="H226" s="14">
        <v>0</v>
      </c>
      <c r="I226" s="14">
        <v>0</v>
      </c>
      <c r="J226" s="14">
        <v>0</v>
      </c>
      <c r="K226" s="14">
        <v>0</v>
      </c>
      <c r="L226" s="14">
        <v>0</v>
      </c>
      <c r="M226" s="14">
        <v>0</v>
      </c>
      <c r="N226" s="14">
        <v>0</v>
      </c>
      <c r="O226" s="14">
        <v>0</v>
      </c>
      <c r="P226" s="14">
        <v>0</v>
      </c>
      <c r="Q226" s="15">
        <v>0</v>
      </c>
      <c r="R226" s="15">
        <v>0</v>
      </c>
      <c r="S226" s="15">
        <v>0</v>
      </c>
    </row>
    <row r="227" spans="1:19" x14ac:dyDescent="0.3">
      <c r="A227" s="13" t="s">
        <v>460</v>
      </c>
      <c r="B227" s="14" t="s">
        <v>457</v>
      </c>
      <c r="C227" s="14"/>
      <c r="D227" s="14" t="s">
        <v>461</v>
      </c>
      <c r="E227" s="14">
        <f xml:space="preserve"> IF($S$124,1,0)</f>
        <v>0</v>
      </c>
      <c r="F227" s="14" t="s">
        <v>462</v>
      </c>
      <c r="G227" s="14">
        <v>0</v>
      </c>
      <c r="H227" s="14">
        <v>0</v>
      </c>
      <c r="I227" s="14">
        <v>0</v>
      </c>
      <c r="J227" s="14">
        <v>0</v>
      </c>
      <c r="K227" s="14">
        <v>0</v>
      </c>
      <c r="L227" s="14">
        <v>0</v>
      </c>
      <c r="M227" s="14">
        <v>0</v>
      </c>
      <c r="N227" s="14">
        <v>0</v>
      </c>
      <c r="O227" s="14">
        <v>0</v>
      </c>
      <c r="P227" s="14">
        <v>0</v>
      </c>
      <c r="Q227" s="15">
        <v>0</v>
      </c>
      <c r="R227" s="15">
        <v>0</v>
      </c>
      <c r="S227" s="15">
        <v>0</v>
      </c>
    </row>
    <row r="228" spans="1:19" x14ac:dyDescent="0.3">
      <c r="A228" s="13" t="s">
        <v>1208</v>
      </c>
      <c r="B228" s="14" t="s">
        <v>1205</v>
      </c>
      <c r="C228" s="14"/>
      <c r="D228" s="14" t="s">
        <v>1209</v>
      </c>
      <c r="E228" s="14">
        <f xml:space="preserve"> IF($S$324,1,0)</f>
        <v>1</v>
      </c>
      <c r="F228" s="14" t="s">
        <v>1210</v>
      </c>
      <c r="G228" s="14">
        <v>0</v>
      </c>
      <c r="H228" s="14">
        <v>0</v>
      </c>
      <c r="I228" s="14">
        <v>0</v>
      </c>
      <c r="J228" s="14">
        <v>0</v>
      </c>
      <c r="K228" s="14">
        <v>0</v>
      </c>
      <c r="L228" s="14">
        <v>0</v>
      </c>
      <c r="M228" s="14">
        <v>0</v>
      </c>
      <c r="N228" s="14">
        <v>0</v>
      </c>
      <c r="O228" s="14">
        <v>0</v>
      </c>
      <c r="P228" s="14">
        <v>0</v>
      </c>
      <c r="Q228" s="15">
        <v>0</v>
      </c>
      <c r="R228" s="15">
        <v>0</v>
      </c>
      <c r="S228" s="15">
        <v>0</v>
      </c>
    </row>
    <row r="229" spans="1:19" x14ac:dyDescent="0.3">
      <c r="A229" s="13" t="s">
        <v>526</v>
      </c>
      <c r="B229" s="14" t="s">
        <v>527</v>
      </c>
      <c r="C229" s="14"/>
      <c r="D229" s="14" t="s">
        <v>528</v>
      </c>
      <c r="E229" s="14">
        <f xml:space="preserve"> IF($S$142,1,0)</f>
        <v>1</v>
      </c>
      <c r="F229" s="14" t="s">
        <v>529</v>
      </c>
      <c r="G229" s="14">
        <v>0</v>
      </c>
      <c r="H229" s="14">
        <v>0</v>
      </c>
      <c r="I229" s="14">
        <v>0</v>
      </c>
      <c r="J229" s="14">
        <v>0</v>
      </c>
      <c r="K229" s="14">
        <v>0</v>
      </c>
      <c r="L229" s="14">
        <v>0</v>
      </c>
      <c r="M229" s="14">
        <v>0</v>
      </c>
      <c r="N229" s="14">
        <v>0</v>
      </c>
      <c r="O229" s="14">
        <v>0</v>
      </c>
      <c r="P229" s="14">
        <v>0</v>
      </c>
      <c r="Q229" s="15">
        <v>0</v>
      </c>
      <c r="R229" s="15">
        <v>0</v>
      </c>
      <c r="S229" s="15">
        <v>0</v>
      </c>
    </row>
    <row r="230" spans="1:19" x14ac:dyDescent="0.3">
      <c r="A230" s="10" t="s">
        <v>750</v>
      </c>
      <c r="B230" s="11" t="s">
        <v>751</v>
      </c>
      <c r="C230" s="11"/>
      <c r="D230" s="11" t="s">
        <v>752</v>
      </c>
      <c r="E230" s="11">
        <f xml:space="preserve"> IF($S$201,1,0)</f>
        <v>0</v>
      </c>
      <c r="F230" s="11" t="s">
        <v>753</v>
      </c>
      <c r="G230" s="11">
        <v>3</v>
      </c>
      <c r="H230" s="11">
        <v>0</v>
      </c>
      <c r="I230" s="11">
        <v>0</v>
      </c>
      <c r="J230" s="11">
        <v>0</v>
      </c>
      <c r="K230" s="11">
        <v>0</v>
      </c>
      <c r="L230" s="11">
        <v>0</v>
      </c>
      <c r="M230" s="11">
        <v>0</v>
      </c>
      <c r="N230" s="11">
        <v>0</v>
      </c>
      <c r="O230" s="11">
        <v>0</v>
      </c>
      <c r="P230" s="11">
        <v>0</v>
      </c>
      <c r="Q230" s="12">
        <v>3.3000000000000003</v>
      </c>
      <c r="R230" s="12">
        <v>0</v>
      </c>
      <c r="S230" s="12">
        <v>3.3000000000000003</v>
      </c>
    </row>
    <row r="231" spans="1:19" x14ac:dyDescent="0.3">
      <c r="A231" s="13" t="s">
        <v>534</v>
      </c>
      <c r="B231" s="14" t="s">
        <v>535</v>
      </c>
      <c r="C231" s="14"/>
      <c r="D231" s="14" t="s">
        <v>536</v>
      </c>
      <c r="E231" s="14">
        <f xml:space="preserve"> IF($S$144,1,0)</f>
        <v>0</v>
      </c>
      <c r="F231" s="14" t="s">
        <v>537</v>
      </c>
      <c r="G231" s="14">
        <v>0</v>
      </c>
      <c r="H231" s="14">
        <v>0</v>
      </c>
      <c r="I231" s="14">
        <v>0</v>
      </c>
      <c r="J231" s="14">
        <v>0</v>
      </c>
      <c r="K231" s="14">
        <v>0</v>
      </c>
      <c r="L231" s="14">
        <v>0</v>
      </c>
      <c r="M231" s="14">
        <v>0</v>
      </c>
      <c r="N231" s="14">
        <v>0</v>
      </c>
      <c r="O231" s="14">
        <v>0</v>
      </c>
      <c r="P231" s="14">
        <v>0</v>
      </c>
      <c r="Q231" s="15">
        <v>0</v>
      </c>
      <c r="R231" s="15">
        <v>0</v>
      </c>
      <c r="S231" s="15">
        <v>0</v>
      </c>
    </row>
    <row r="232" spans="1:19" x14ac:dyDescent="0.3">
      <c r="A232" s="10" t="s">
        <v>281</v>
      </c>
      <c r="B232" s="11" t="s">
        <v>282</v>
      </c>
      <c r="C232" s="11" t="s">
        <v>283</v>
      </c>
      <c r="D232" s="11" t="s">
        <v>284</v>
      </c>
      <c r="E232" s="11">
        <f xml:space="preserve"> IF($S$77,1,0)</f>
        <v>0</v>
      </c>
      <c r="F232" s="11" t="s">
        <v>285</v>
      </c>
      <c r="G232" s="11">
        <v>0</v>
      </c>
      <c r="H232" s="11">
        <v>0</v>
      </c>
      <c r="I232" s="11">
        <v>0</v>
      </c>
      <c r="J232" s="11">
        <v>0</v>
      </c>
      <c r="K232" s="11">
        <v>0</v>
      </c>
      <c r="L232" s="11">
        <v>0</v>
      </c>
      <c r="M232" s="11">
        <v>0</v>
      </c>
      <c r="N232" s="11">
        <v>0</v>
      </c>
      <c r="O232" s="11">
        <v>0</v>
      </c>
      <c r="P232" s="11">
        <v>0</v>
      </c>
      <c r="Q232" s="12">
        <v>0</v>
      </c>
      <c r="R232" s="12">
        <v>0</v>
      </c>
      <c r="S232" s="12">
        <v>0</v>
      </c>
    </row>
    <row r="233" spans="1:19" x14ac:dyDescent="0.3">
      <c r="A233" s="13" t="s">
        <v>984</v>
      </c>
      <c r="B233" s="14" t="s">
        <v>985</v>
      </c>
      <c r="C233" s="14" t="s">
        <v>202</v>
      </c>
      <c r="D233" s="14" t="s">
        <v>986</v>
      </c>
      <c r="E233" s="14">
        <f xml:space="preserve"> IF($S$262,1,0)</f>
        <v>0</v>
      </c>
      <c r="F233" s="14" t="s">
        <v>987</v>
      </c>
      <c r="G233" s="14">
        <v>0</v>
      </c>
      <c r="H233" s="14">
        <v>0</v>
      </c>
      <c r="I233" s="14">
        <v>0</v>
      </c>
      <c r="J233" s="14">
        <v>0</v>
      </c>
      <c r="K233" s="14">
        <v>0</v>
      </c>
      <c r="L233" s="14">
        <v>0</v>
      </c>
      <c r="M233" s="14">
        <v>0</v>
      </c>
      <c r="N233" s="14">
        <v>0</v>
      </c>
      <c r="O233" s="14">
        <v>0</v>
      </c>
      <c r="P233" s="14">
        <v>0</v>
      </c>
      <c r="Q233" s="15">
        <v>0</v>
      </c>
      <c r="R233" s="15">
        <v>0</v>
      </c>
      <c r="S233" s="15">
        <v>0</v>
      </c>
    </row>
    <row r="234" spans="1:19" x14ac:dyDescent="0.3">
      <c r="A234" s="10" t="s">
        <v>1077</v>
      </c>
      <c r="B234" s="11" t="s">
        <v>1078</v>
      </c>
      <c r="C234" s="11"/>
      <c r="D234" s="11" t="s">
        <v>1079</v>
      </c>
      <c r="E234" s="11">
        <f xml:space="preserve"> IF($S$287,1,0)</f>
        <v>0</v>
      </c>
      <c r="F234" s="11" t="s">
        <v>1080</v>
      </c>
      <c r="G234" s="11">
        <v>0</v>
      </c>
      <c r="H234" s="11">
        <v>0</v>
      </c>
      <c r="I234" s="11">
        <v>0</v>
      </c>
      <c r="J234" s="11">
        <v>0</v>
      </c>
      <c r="K234" s="11">
        <v>0</v>
      </c>
      <c r="L234" s="11">
        <v>0</v>
      </c>
      <c r="M234" s="11">
        <v>0</v>
      </c>
      <c r="N234" s="11">
        <v>0</v>
      </c>
      <c r="O234" s="11">
        <v>0</v>
      </c>
      <c r="P234" s="11">
        <v>0</v>
      </c>
      <c r="Q234" s="12">
        <v>0</v>
      </c>
      <c r="R234" s="12">
        <v>0</v>
      </c>
      <c r="S234" s="12">
        <v>0</v>
      </c>
    </row>
    <row r="235" spans="1:19" x14ac:dyDescent="0.3">
      <c r="A235" s="10" t="s">
        <v>1147</v>
      </c>
      <c r="B235" s="11" t="s">
        <v>1142</v>
      </c>
      <c r="C235" s="11"/>
      <c r="D235" s="11" t="s">
        <v>138</v>
      </c>
      <c r="E235" s="11">
        <f xml:space="preserve"> IF($S$307,1,0)</f>
        <v>1</v>
      </c>
      <c r="F235" s="11" t="s">
        <v>1148</v>
      </c>
      <c r="G235" s="11">
        <v>0</v>
      </c>
      <c r="H235" s="11">
        <v>0</v>
      </c>
      <c r="I235" s="11">
        <v>0</v>
      </c>
      <c r="J235" s="11">
        <v>0</v>
      </c>
      <c r="K235" s="11">
        <v>0</v>
      </c>
      <c r="L235" s="11">
        <v>0</v>
      </c>
      <c r="M235" s="11">
        <v>0</v>
      </c>
      <c r="N235" s="11">
        <v>0</v>
      </c>
      <c r="O235" s="11">
        <v>0</v>
      </c>
      <c r="P235" s="11">
        <v>0</v>
      </c>
      <c r="Q235" s="12">
        <v>0</v>
      </c>
      <c r="R235" s="12">
        <v>0</v>
      </c>
      <c r="S235" s="12">
        <v>0</v>
      </c>
    </row>
    <row r="236" spans="1:19" x14ac:dyDescent="0.3">
      <c r="A236" s="10" t="s">
        <v>329</v>
      </c>
      <c r="B236" s="11" t="s">
        <v>330</v>
      </c>
      <c r="C236" s="11"/>
      <c r="D236" s="11" t="s">
        <v>331</v>
      </c>
      <c r="E236" s="11">
        <f xml:space="preserve"> IF($S$89,1,0)</f>
        <v>0</v>
      </c>
      <c r="F236" s="11" t="s">
        <v>332</v>
      </c>
      <c r="G236" s="11">
        <v>5</v>
      </c>
      <c r="H236" s="11">
        <v>1</v>
      </c>
      <c r="I236" s="11">
        <v>0</v>
      </c>
      <c r="J236" s="11">
        <v>0</v>
      </c>
      <c r="K236" s="11">
        <v>0</v>
      </c>
      <c r="L236" s="11">
        <v>2</v>
      </c>
      <c r="M236" s="11">
        <v>0</v>
      </c>
      <c r="N236" s="11">
        <v>0</v>
      </c>
      <c r="O236" s="11">
        <v>0</v>
      </c>
      <c r="P236" s="11">
        <v>0</v>
      </c>
      <c r="Q236" s="12">
        <v>13.5</v>
      </c>
      <c r="R236" s="12">
        <v>0</v>
      </c>
      <c r="S236" s="12">
        <v>13.5</v>
      </c>
    </row>
    <row r="237" spans="1:19" x14ac:dyDescent="0.3">
      <c r="A237" s="10" t="s">
        <v>32</v>
      </c>
      <c r="B237" s="11" t="s">
        <v>33</v>
      </c>
      <c r="C237" s="11" t="s">
        <v>34</v>
      </c>
      <c r="D237" s="11" t="s">
        <v>35</v>
      </c>
      <c r="E237" s="11">
        <f xml:space="preserve"> IF($S$11,1,0)</f>
        <v>0</v>
      </c>
      <c r="F237" s="11" t="s">
        <v>36</v>
      </c>
      <c r="G237" s="11">
        <v>0</v>
      </c>
      <c r="H237" s="11">
        <v>0</v>
      </c>
      <c r="I237" s="11">
        <v>0</v>
      </c>
      <c r="J237" s="11">
        <v>0</v>
      </c>
      <c r="K237" s="11">
        <v>0</v>
      </c>
      <c r="L237" s="11">
        <v>0</v>
      </c>
      <c r="M237" s="11">
        <v>0</v>
      </c>
      <c r="N237" s="11">
        <v>0</v>
      </c>
      <c r="O237" s="11">
        <v>0</v>
      </c>
      <c r="P237" s="11">
        <v>0</v>
      </c>
      <c r="Q237" s="12">
        <v>0</v>
      </c>
      <c r="R237" s="12">
        <v>0</v>
      </c>
      <c r="S237" s="12">
        <v>0</v>
      </c>
    </row>
    <row r="238" spans="1:19" x14ac:dyDescent="0.3">
      <c r="A238" s="13" t="s">
        <v>1021</v>
      </c>
      <c r="B238" s="14" t="s">
        <v>1022</v>
      </c>
      <c r="C238" s="14" t="s">
        <v>283</v>
      </c>
      <c r="D238" s="14" t="s">
        <v>1023</v>
      </c>
      <c r="E238" s="14">
        <f xml:space="preserve"> IF($S$272,1,0)</f>
        <v>0</v>
      </c>
      <c r="F238" s="14" t="s">
        <v>1024</v>
      </c>
      <c r="G238" s="14">
        <v>0</v>
      </c>
      <c r="H238" s="14">
        <v>0</v>
      </c>
      <c r="I238" s="14">
        <v>0</v>
      </c>
      <c r="J238" s="14">
        <v>0</v>
      </c>
      <c r="K238" s="14">
        <v>0</v>
      </c>
      <c r="L238" s="14">
        <v>0</v>
      </c>
      <c r="M238" s="14">
        <v>0</v>
      </c>
      <c r="N238" s="14">
        <v>0</v>
      </c>
      <c r="O238" s="14">
        <v>0</v>
      </c>
      <c r="P238" s="14">
        <v>0</v>
      </c>
      <c r="Q238" s="15">
        <v>0</v>
      </c>
      <c r="R238" s="15">
        <v>0</v>
      </c>
      <c r="S238" s="15">
        <v>0</v>
      </c>
    </row>
    <row r="239" spans="1:19" x14ac:dyDescent="0.3">
      <c r="A239" s="13" t="s">
        <v>1074</v>
      </c>
      <c r="B239" s="14" t="s">
        <v>1071</v>
      </c>
      <c r="C239" s="14"/>
      <c r="D239" s="14" t="s">
        <v>1075</v>
      </c>
      <c r="E239" s="14">
        <f xml:space="preserve"> IF($S$286,1,0)</f>
        <v>1</v>
      </c>
      <c r="F239" s="14" t="s">
        <v>1076</v>
      </c>
      <c r="G239" s="14">
        <v>7</v>
      </c>
      <c r="H239" s="14">
        <v>0</v>
      </c>
      <c r="I239" s="14">
        <v>0</v>
      </c>
      <c r="J239" s="14">
        <v>0</v>
      </c>
      <c r="K239" s="14">
        <v>0</v>
      </c>
      <c r="L239" s="14">
        <v>2</v>
      </c>
      <c r="M239" s="14">
        <v>2</v>
      </c>
      <c r="N239" s="14">
        <v>0</v>
      </c>
      <c r="O239" s="14">
        <v>0</v>
      </c>
      <c r="P239" s="14">
        <v>1</v>
      </c>
      <c r="Q239" s="15">
        <v>24.700000000000003</v>
      </c>
      <c r="R239" s="15">
        <v>0</v>
      </c>
      <c r="S239" s="15">
        <v>24.700000000000003</v>
      </c>
    </row>
    <row r="240" spans="1:19" x14ac:dyDescent="0.3">
      <c r="A240" s="13" t="s">
        <v>908</v>
      </c>
      <c r="B240" s="14" t="s">
        <v>909</v>
      </c>
      <c r="C240" s="14"/>
      <c r="D240" s="14" t="s">
        <v>910</v>
      </c>
      <c r="E240" s="14">
        <f xml:space="preserve"> IF($S$242,1,0)</f>
        <v>1</v>
      </c>
      <c r="F240" s="14" t="s">
        <v>911</v>
      </c>
      <c r="G240" s="14">
        <v>8</v>
      </c>
      <c r="H240" s="14">
        <v>0</v>
      </c>
      <c r="I240" s="14">
        <v>0</v>
      </c>
      <c r="J240" s="14">
        <v>0</v>
      </c>
      <c r="K240" s="14">
        <v>0</v>
      </c>
      <c r="L240" s="14">
        <v>0</v>
      </c>
      <c r="M240" s="14">
        <v>0</v>
      </c>
      <c r="N240" s="14">
        <v>0</v>
      </c>
      <c r="O240" s="14">
        <v>0</v>
      </c>
      <c r="P240" s="14">
        <v>0</v>
      </c>
      <c r="Q240" s="15">
        <v>8.8000000000000007</v>
      </c>
      <c r="R240" s="15">
        <v>0</v>
      </c>
      <c r="S240" s="15">
        <v>8.8000000000000007</v>
      </c>
    </row>
    <row r="241" spans="1:19" x14ac:dyDescent="0.3">
      <c r="A241" s="13" t="s">
        <v>923</v>
      </c>
      <c r="B241" s="14" t="s">
        <v>917</v>
      </c>
      <c r="C241" s="14" t="s">
        <v>34</v>
      </c>
      <c r="D241" s="14" t="s">
        <v>924</v>
      </c>
      <c r="E241" s="14">
        <f xml:space="preserve"> IF($S$246,1,0)</f>
        <v>1</v>
      </c>
      <c r="F241" s="14" t="s">
        <v>925</v>
      </c>
      <c r="G241" s="14">
        <v>0</v>
      </c>
      <c r="H241" s="14">
        <v>0</v>
      </c>
      <c r="I241" s="14">
        <v>0</v>
      </c>
      <c r="J241" s="14">
        <v>0</v>
      </c>
      <c r="K241" s="14">
        <v>0</v>
      </c>
      <c r="L241" s="14">
        <v>0</v>
      </c>
      <c r="M241" s="14">
        <v>0</v>
      </c>
      <c r="N241" s="14">
        <v>0</v>
      </c>
      <c r="O241" s="14">
        <v>0</v>
      </c>
      <c r="P241" s="14">
        <v>0</v>
      </c>
      <c r="Q241" s="15">
        <v>0</v>
      </c>
      <c r="R241" s="15">
        <v>0</v>
      </c>
      <c r="S241" s="15">
        <v>0</v>
      </c>
    </row>
    <row r="242" spans="1:19" x14ac:dyDescent="0.3">
      <c r="A242" s="10" t="s">
        <v>1003</v>
      </c>
      <c r="B242" s="11" t="s">
        <v>1004</v>
      </c>
      <c r="C242" s="11"/>
      <c r="D242" s="11" t="s">
        <v>1005</v>
      </c>
      <c r="E242" s="11">
        <f xml:space="preserve"> IF($S$267,1,0)</f>
        <v>0</v>
      </c>
      <c r="F242" s="11" t="s">
        <v>1006</v>
      </c>
      <c r="G242" s="11">
        <v>2</v>
      </c>
      <c r="H242" s="11">
        <v>0</v>
      </c>
      <c r="I242" s="11">
        <v>0</v>
      </c>
      <c r="J242" s="11">
        <v>0</v>
      </c>
      <c r="K242" s="11">
        <v>0</v>
      </c>
      <c r="L242" s="11">
        <v>0</v>
      </c>
      <c r="M242" s="11">
        <v>0</v>
      </c>
      <c r="N242" s="11">
        <v>0</v>
      </c>
      <c r="O242" s="11">
        <v>0</v>
      </c>
      <c r="P242" s="11">
        <v>0</v>
      </c>
      <c r="Q242" s="12">
        <v>2.2000000000000002</v>
      </c>
      <c r="R242" s="12">
        <v>0</v>
      </c>
      <c r="S242" s="12">
        <v>2.2000000000000002</v>
      </c>
    </row>
    <row r="243" spans="1:19" x14ac:dyDescent="0.3">
      <c r="A243" s="10" t="s">
        <v>720</v>
      </c>
      <c r="B243" s="11" t="s">
        <v>721</v>
      </c>
      <c r="C243" s="11"/>
      <c r="D243" s="11" t="s">
        <v>722</v>
      </c>
      <c r="E243" s="11">
        <f xml:space="preserve"> IF($S$193,1,0)</f>
        <v>1</v>
      </c>
      <c r="F243" s="11" t="s">
        <v>723</v>
      </c>
      <c r="G243" s="11">
        <v>8</v>
      </c>
      <c r="H243" s="11">
        <v>0</v>
      </c>
      <c r="I243" s="11">
        <v>0</v>
      </c>
      <c r="J243" s="11">
        <v>0</v>
      </c>
      <c r="K243" s="11">
        <v>0</v>
      </c>
      <c r="L243" s="11">
        <v>0</v>
      </c>
      <c r="M243" s="11">
        <v>0</v>
      </c>
      <c r="N243" s="11">
        <v>1</v>
      </c>
      <c r="O243" s="11">
        <v>0</v>
      </c>
      <c r="P243" s="11">
        <v>1</v>
      </c>
      <c r="Q243" s="12">
        <v>16.8</v>
      </c>
      <c r="R243" s="12">
        <v>0</v>
      </c>
      <c r="S243" s="12">
        <v>16.8</v>
      </c>
    </row>
    <row r="244" spans="1:19" x14ac:dyDescent="0.3">
      <c r="A244" s="10" t="s">
        <v>1141</v>
      </c>
      <c r="B244" s="11" t="s">
        <v>1142</v>
      </c>
      <c r="C244" s="11" t="s">
        <v>202</v>
      </c>
      <c r="D244" s="11" t="s">
        <v>442</v>
      </c>
      <c r="E244" s="11">
        <f xml:space="preserve"> IF($S$305,1,0)</f>
        <v>0</v>
      </c>
      <c r="F244" s="11" t="s">
        <v>1143</v>
      </c>
      <c r="G244" s="11">
        <v>0</v>
      </c>
      <c r="H244" s="11">
        <v>0</v>
      </c>
      <c r="I244" s="11">
        <v>0</v>
      </c>
      <c r="J244" s="11">
        <v>0</v>
      </c>
      <c r="K244" s="11">
        <v>0</v>
      </c>
      <c r="L244" s="11">
        <v>0</v>
      </c>
      <c r="M244" s="11">
        <v>0</v>
      </c>
      <c r="N244" s="11">
        <v>0</v>
      </c>
      <c r="O244" s="11">
        <v>0</v>
      </c>
      <c r="P244" s="11">
        <v>0</v>
      </c>
      <c r="Q244" s="12">
        <v>0</v>
      </c>
      <c r="R244" s="12">
        <v>0</v>
      </c>
      <c r="S244" s="12">
        <v>0</v>
      </c>
    </row>
    <row r="245" spans="1:19" x14ac:dyDescent="0.3">
      <c r="A245" s="10" t="s">
        <v>530</v>
      </c>
      <c r="B245" s="11" t="s">
        <v>531</v>
      </c>
      <c r="C245" s="11"/>
      <c r="D245" s="11" t="s">
        <v>532</v>
      </c>
      <c r="E245" s="11">
        <f xml:space="preserve"> IF($S$143,1,0)</f>
        <v>0</v>
      </c>
      <c r="F245" s="11" t="s">
        <v>533</v>
      </c>
      <c r="G245" s="11">
        <v>0</v>
      </c>
      <c r="H245" s="11">
        <v>0</v>
      </c>
      <c r="I245" s="11">
        <v>1</v>
      </c>
      <c r="J245" s="11">
        <v>0</v>
      </c>
      <c r="K245" s="11">
        <v>0</v>
      </c>
      <c r="L245" s="11">
        <v>0</v>
      </c>
      <c r="M245" s="11">
        <v>0</v>
      </c>
      <c r="N245" s="11">
        <v>0</v>
      </c>
      <c r="O245" s="11">
        <v>0</v>
      </c>
      <c r="P245" s="11">
        <v>0</v>
      </c>
      <c r="Q245" s="12">
        <v>1</v>
      </c>
      <c r="R245" s="12">
        <v>0</v>
      </c>
      <c r="S245" s="12">
        <v>1</v>
      </c>
    </row>
    <row r="246" spans="1:19" x14ac:dyDescent="0.3">
      <c r="A246" s="10" t="s">
        <v>630</v>
      </c>
      <c r="B246" s="11" t="s">
        <v>631</v>
      </c>
      <c r="C246" s="11"/>
      <c r="D246" s="11" t="s">
        <v>632</v>
      </c>
      <c r="E246" s="11">
        <f xml:space="preserve"> IF($S$169,1,0)</f>
        <v>0</v>
      </c>
      <c r="F246" s="11" t="s">
        <v>633</v>
      </c>
      <c r="G246" s="11">
        <v>2</v>
      </c>
      <c r="H246" s="11">
        <v>0</v>
      </c>
      <c r="I246" s="11">
        <v>0</v>
      </c>
      <c r="J246" s="11">
        <v>0</v>
      </c>
      <c r="K246" s="11">
        <v>0</v>
      </c>
      <c r="L246" s="11">
        <v>0</v>
      </c>
      <c r="M246" s="11">
        <v>0</v>
      </c>
      <c r="N246" s="11">
        <v>0</v>
      </c>
      <c r="O246" s="11">
        <v>0</v>
      </c>
      <c r="P246" s="11">
        <v>0</v>
      </c>
      <c r="Q246" s="12">
        <v>2.2000000000000002</v>
      </c>
      <c r="R246" s="12">
        <v>0</v>
      </c>
      <c r="S246" s="12">
        <v>2.2000000000000002</v>
      </c>
    </row>
    <row r="247" spans="1:19" x14ac:dyDescent="0.3">
      <c r="A247" s="13" t="s">
        <v>112</v>
      </c>
      <c r="B247" s="14" t="s">
        <v>113</v>
      </c>
      <c r="C247" s="14"/>
      <c r="D247" s="14" t="s">
        <v>114</v>
      </c>
      <c r="E247" s="14">
        <f xml:space="preserve"> IF($S$32,1,0)</f>
        <v>0</v>
      </c>
      <c r="F247" s="14" t="s">
        <v>115</v>
      </c>
      <c r="G247" s="14">
        <v>0</v>
      </c>
      <c r="H247" s="14">
        <v>0</v>
      </c>
      <c r="I247" s="14">
        <v>0</v>
      </c>
      <c r="J247" s="14">
        <v>0</v>
      </c>
      <c r="K247" s="14">
        <v>0</v>
      </c>
      <c r="L247" s="14">
        <v>0</v>
      </c>
      <c r="M247" s="14">
        <v>0</v>
      </c>
      <c r="N247" s="14">
        <v>0</v>
      </c>
      <c r="O247" s="14">
        <v>0</v>
      </c>
      <c r="P247" s="14">
        <v>0</v>
      </c>
      <c r="Q247" s="15">
        <v>0</v>
      </c>
      <c r="R247" s="15">
        <v>0</v>
      </c>
      <c r="S247" s="15">
        <v>0</v>
      </c>
    </row>
    <row r="248" spans="1:19" x14ac:dyDescent="0.3">
      <c r="A248" s="10" t="s">
        <v>367</v>
      </c>
      <c r="B248" s="11" t="s">
        <v>368</v>
      </c>
      <c r="C248" s="11" t="s">
        <v>34</v>
      </c>
      <c r="D248" s="11" t="s">
        <v>118</v>
      </c>
      <c r="E248" s="11">
        <f xml:space="preserve"> IF($S$99,1,0)</f>
        <v>0</v>
      </c>
      <c r="F248" s="11" t="s">
        <v>369</v>
      </c>
      <c r="G248" s="11">
        <v>0</v>
      </c>
      <c r="H248" s="11">
        <v>0</v>
      </c>
      <c r="I248" s="11">
        <v>0</v>
      </c>
      <c r="J248" s="11">
        <v>0</v>
      </c>
      <c r="K248" s="11">
        <v>0</v>
      </c>
      <c r="L248" s="11">
        <v>0</v>
      </c>
      <c r="M248" s="11">
        <v>0</v>
      </c>
      <c r="N248" s="11">
        <v>0</v>
      </c>
      <c r="O248" s="11">
        <v>0</v>
      </c>
      <c r="P248" s="11">
        <v>0</v>
      </c>
      <c r="Q248" s="12">
        <v>0</v>
      </c>
      <c r="R248" s="12">
        <v>0</v>
      </c>
      <c r="S248" s="12">
        <v>0</v>
      </c>
    </row>
    <row r="249" spans="1:19" x14ac:dyDescent="0.3">
      <c r="A249" s="13" t="s">
        <v>1043</v>
      </c>
      <c r="B249" s="14" t="s">
        <v>1044</v>
      </c>
      <c r="C249" s="14"/>
      <c r="D249" s="14" t="s">
        <v>1045</v>
      </c>
      <c r="E249" s="14">
        <f xml:space="preserve"> IF($S$278,1,0)</f>
        <v>1</v>
      </c>
      <c r="F249" s="14" t="s">
        <v>1046</v>
      </c>
      <c r="G249" s="14">
        <v>0</v>
      </c>
      <c r="H249" s="14">
        <v>0</v>
      </c>
      <c r="I249" s="14">
        <v>0</v>
      </c>
      <c r="J249" s="14">
        <v>0</v>
      </c>
      <c r="K249" s="14">
        <v>0</v>
      </c>
      <c r="L249" s="14">
        <v>0</v>
      </c>
      <c r="M249" s="14">
        <v>0</v>
      </c>
      <c r="N249" s="14">
        <v>0</v>
      </c>
      <c r="O249" s="14">
        <v>0</v>
      </c>
      <c r="P249" s="14">
        <v>0</v>
      </c>
      <c r="Q249" s="15">
        <v>0</v>
      </c>
      <c r="R249" s="15">
        <v>0</v>
      </c>
      <c r="S249" s="15">
        <v>0</v>
      </c>
    </row>
    <row r="250" spans="1:19" x14ac:dyDescent="0.3">
      <c r="A250" s="10" t="s">
        <v>851</v>
      </c>
      <c r="B250" s="11" t="s">
        <v>852</v>
      </c>
      <c r="C250" s="11"/>
      <c r="D250" s="11" t="s">
        <v>853</v>
      </c>
      <c r="E250" s="11">
        <f xml:space="preserve"> IF($S$227,1,0)</f>
        <v>0</v>
      </c>
      <c r="F250" s="11" t="s">
        <v>854</v>
      </c>
      <c r="G250" s="11">
        <v>0</v>
      </c>
      <c r="H250" s="11">
        <v>0</v>
      </c>
      <c r="I250" s="11">
        <v>0</v>
      </c>
      <c r="J250" s="11">
        <v>0</v>
      </c>
      <c r="K250" s="11">
        <v>0</v>
      </c>
      <c r="L250" s="11">
        <v>0</v>
      </c>
      <c r="M250" s="11">
        <v>0</v>
      </c>
      <c r="N250" s="11">
        <v>0</v>
      </c>
      <c r="O250" s="11">
        <v>0</v>
      </c>
      <c r="P250" s="11">
        <v>0</v>
      </c>
      <c r="Q250" s="12">
        <v>0</v>
      </c>
      <c r="R250" s="12">
        <v>0</v>
      </c>
      <c r="S250" s="12">
        <v>0</v>
      </c>
    </row>
    <row r="251" spans="1:19" x14ac:dyDescent="0.3">
      <c r="A251" s="13" t="s">
        <v>59</v>
      </c>
      <c r="B251" s="14" t="s">
        <v>60</v>
      </c>
      <c r="C251" s="14"/>
      <c r="D251" s="14" t="s">
        <v>61</v>
      </c>
      <c r="E251" s="14">
        <f xml:space="preserve"> IF($S$18,1,0)</f>
        <v>0</v>
      </c>
      <c r="F251" s="14" t="s">
        <v>62</v>
      </c>
      <c r="G251" s="14">
        <v>0</v>
      </c>
      <c r="H251" s="14">
        <v>0</v>
      </c>
      <c r="I251" s="14">
        <v>0</v>
      </c>
      <c r="J251" s="14">
        <v>0</v>
      </c>
      <c r="K251" s="14">
        <v>0</v>
      </c>
      <c r="L251" s="14">
        <v>0</v>
      </c>
      <c r="M251" s="14">
        <v>0</v>
      </c>
      <c r="N251" s="14">
        <v>0</v>
      </c>
      <c r="O251" s="14">
        <v>0</v>
      </c>
      <c r="P251" s="14">
        <v>0</v>
      </c>
      <c r="Q251" s="15">
        <v>0</v>
      </c>
      <c r="R251" s="15">
        <v>0</v>
      </c>
      <c r="S251" s="15">
        <v>0</v>
      </c>
    </row>
    <row r="252" spans="1:19" x14ac:dyDescent="0.3">
      <c r="A252" s="13" t="s">
        <v>603</v>
      </c>
      <c r="B252" s="14" t="s">
        <v>604</v>
      </c>
      <c r="C252" s="14"/>
      <c r="D252" s="14" t="s">
        <v>605</v>
      </c>
      <c r="E252" s="14">
        <f xml:space="preserve"> IF($S$162,1,0)</f>
        <v>0</v>
      </c>
      <c r="F252" s="14" t="s">
        <v>606</v>
      </c>
      <c r="G252" s="14">
        <v>0</v>
      </c>
      <c r="H252" s="14">
        <v>0</v>
      </c>
      <c r="I252" s="14">
        <v>0</v>
      </c>
      <c r="J252" s="14">
        <v>0</v>
      </c>
      <c r="K252" s="14">
        <v>0</v>
      </c>
      <c r="L252" s="14">
        <v>0</v>
      </c>
      <c r="M252" s="14">
        <v>0</v>
      </c>
      <c r="N252" s="14">
        <v>0</v>
      </c>
      <c r="O252" s="14">
        <v>0</v>
      </c>
      <c r="P252" s="14">
        <v>0</v>
      </c>
      <c r="Q252" s="15">
        <v>0</v>
      </c>
      <c r="R252" s="15">
        <v>0</v>
      </c>
      <c r="S252" s="15">
        <v>0</v>
      </c>
    </row>
    <row r="253" spans="1:19" x14ac:dyDescent="0.3">
      <c r="A253" s="10" t="s">
        <v>584</v>
      </c>
      <c r="B253" s="11" t="s">
        <v>585</v>
      </c>
      <c r="C253" s="11"/>
      <c r="D253" s="11" t="s">
        <v>586</v>
      </c>
      <c r="E253" s="11">
        <f xml:space="preserve"> IF($S$157,1,0)</f>
        <v>1</v>
      </c>
      <c r="F253" s="11" t="s">
        <v>587</v>
      </c>
      <c r="G253" s="11">
        <v>0</v>
      </c>
      <c r="H253" s="11">
        <v>0</v>
      </c>
      <c r="I253" s="11">
        <v>0</v>
      </c>
      <c r="J253" s="11">
        <v>0</v>
      </c>
      <c r="K253" s="11">
        <v>0</v>
      </c>
      <c r="L253" s="11">
        <v>0</v>
      </c>
      <c r="M253" s="11">
        <v>0</v>
      </c>
      <c r="N253" s="11">
        <v>0</v>
      </c>
      <c r="O253" s="11">
        <v>0</v>
      </c>
      <c r="P253" s="11">
        <v>0</v>
      </c>
      <c r="Q253" s="12">
        <v>0</v>
      </c>
      <c r="R253" s="12">
        <v>0</v>
      </c>
      <c r="S253" s="12">
        <v>0</v>
      </c>
    </row>
    <row r="254" spans="1:19" x14ac:dyDescent="0.3">
      <c r="A254" s="13" t="s">
        <v>916</v>
      </c>
      <c r="B254" s="14" t="s">
        <v>917</v>
      </c>
      <c r="C254" s="14"/>
      <c r="D254" s="14" t="s">
        <v>918</v>
      </c>
      <c r="E254" s="14">
        <f xml:space="preserve"> IF($S$244,1,0)</f>
        <v>0</v>
      </c>
      <c r="F254" s="14" t="s">
        <v>919</v>
      </c>
      <c r="G254" s="14">
        <v>0</v>
      </c>
      <c r="H254" s="14">
        <v>0</v>
      </c>
      <c r="I254" s="14">
        <v>0</v>
      </c>
      <c r="J254" s="14">
        <v>0</v>
      </c>
      <c r="K254" s="14">
        <v>0</v>
      </c>
      <c r="L254" s="14">
        <v>0</v>
      </c>
      <c r="M254" s="14">
        <v>0</v>
      </c>
      <c r="N254" s="14">
        <v>0</v>
      </c>
      <c r="O254" s="14">
        <v>0</v>
      </c>
      <c r="P254" s="14">
        <v>0</v>
      </c>
      <c r="Q254" s="15">
        <v>0</v>
      </c>
      <c r="R254" s="15">
        <v>0</v>
      </c>
      <c r="S254" s="15">
        <v>0</v>
      </c>
    </row>
    <row r="255" spans="1:19" x14ac:dyDescent="0.3">
      <c r="A255" s="10" t="s">
        <v>140</v>
      </c>
      <c r="B255" s="11" t="s">
        <v>141</v>
      </c>
      <c r="C255" s="11"/>
      <c r="D255" s="11" t="s">
        <v>142</v>
      </c>
      <c r="E255" s="11">
        <f xml:space="preserve"> IF($S$39,1,0)</f>
        <v>0</v>
      </c>
      <c r="F255" s="11" t="s">
        <v>143</v>
      </c>
      <c r="G255" s="11">
        <v>0</v>
      </c>
      <c r="H255" s="11">
        <v>0</v>
      </c>
      <c r="I255" s="11">
        <v>0</v>
      </c>
      <c r="J255" s="11">
        <v>0</v>
      </c>
      <c r="K255" s="11">
        <v>0</v>
      </c>
      <c r="L255" s="11">
        <v>0</v>
      </c>
      <c r="M255" s="11">
        <v>0</v>
      </c>
      <c r="N255" s="11">
        <v>0</v>
      </c>
      <c r="O255" s="11">
        <v>0</v>
      </c>
      <c r="P255" s="11">
        <v>0</v>
      </c>
      <c r="Q255" s="12">
        <v>0</v>
      </c>
      <c r="R255" s="12">
        <v>0</v>
      </c>
      <c r="S255" s="12">
        <v>0</v>
      </c>
    </row>
    <row r="256" spans="1:19" x14ac:dyDescent="0.3">
      <c r="A256" s="13" t="s">
        <v>393</v>
      </c>
      <c r="B256" s="14" t="s">
        <v>394</v>
      </c>
      <c r="C256" s="14"/>
      <c r="D256" s="14" t="s">
        <v>395</v>
      </c>
      <c r="E256" s="14">
        <f xml:space="preserve"> IF($S$106,1,0)</f>
        <v>0</v>
      </c>
      <c r="F256" s="14" t="s">
        <v>396</v>
      </c>
      <c r="G256" s="14">
        <v>0</v>
      </c>
      <c r="H256" s="14">
        <v>0</v>
      </c>
      <c r="I256" s="14">
        <v>0</v>
      </c>
      <c r="J256" s="14">
        <v>0</v>
      </c>
      <c r="K256" s="14">
        <v>0</v>
      </c>
      <c r="L256" s="14">
        <v>0</v>
      </c>
      <c r="M256" s="14">
        <v>0</v>
      </c>
      <c r="N256" s="14">
        <v>0</v>
      </c>
      <c r="O256" s="14">
        <v>0</v>
      </c>
      <c r="P256" s="14">
        <v>0</v>
      </c>
      <c r="Q256" s="15">
        <v>0</v>
      </c>
      <c r="R256" s="15">
        <v>0</v>
      </c>
      <c r="S256" s="15">
        <v>0</v>
      </c>
    </row>
    <row r="257" spans="1:19" x14ac:dyDescent="0.3">
      <c r="A257" s="13" t="s">
        <v>541</v>
      </c>
      <c r="B257" s="14" t="s">
        <v>542</v>
      </c>
      <c r="C257" s="14"/>
      <c r="D257" s="14" t="s">
        <v>543</v>
      </c>
      <c r="E257" s="14">
        <f xml:space="preserve"> IF($S$146,1,0)</f>
        <v>0</v>
      </c>
      <c r="F257" s="14" t="s">
        <v>544</v>
      </c>
      <c r="G257" s="14">
        <v>0</v>
      </c>
      <c r="H257" s="14">
        <v>0</v>
      </c>
      <c r="I257" s="14">
        <v>0</v>
      </c>
      <c r="J257" s="14">
        <v>0</v>
      </c>
      <c r="K257" s="14">
        <v>0</v>
      </c>
      <c r="L257" s="14">
        <v>0</v>
      </c>
      <c r="M257" s="14">
        <v>0</v>
      </c>
      <c r="N257" s="14">
        <v>0</v>
      </c>
      <c r="O257" s="14">
        <v>0</v>
      </c>
      <c r="P257" s="14">
        <v>0</v>
      </c>
      <c r="Q257" s="15">
        <v>0</v>
      </c>
      <c r="R257" s="15">
        <v>0</v>
      </c>
      <c r="S257" s="15">
        <v>0</v>
      </c>
    </row>
    <row r="258" spans="1:19" x14ac:dyDescent="0.3">
      <c r="A258" s="13" t="s">
        <v>1094</v>
      </c>
      <c r="B258" s="14" t="s">
        <v>1095</v>
      </c>
      <c r="C258" s="14" t="s">
        <v>34</v>
      </c>
      <c r="D258" s="14" t="s">
        <v>1096</v>
      </c>
      <c r="E258" s="14">
        <f xml:space="preserve"> IF($S$292,1,0)</f>
        <v>1</v>
      </c>
      <c r="F258" s="14" t="s">
        <v>1097</v>
      </c>
      <c r="G258" s="14">
        <v>0</v>
      </c>
      <c r="H258" s="14">
        <v>0</v>
      </c>
      <c r="I258" s="14">
        <v>0</v>
      </c>
      <c r="J258" s="14">
        <v>0</v>
      </c>
      <c r="K258" s="14">
        <v>0</v>
      </c>
      <c r="L258" s="14">
        <v>0</v>
      </c>
      <c r="M258" s="14">
        <v>0</v>
      </c>
      <c r="N258" s="14">
        <v>0</v>
      </c>
      <c r="O258" s="14">
        <v>0</v>
      </c>
      <c r="P258" s="14">
        <v>0</v>
      </c>
      <c r="Q258" s="15">
        <v>0</v>
      </c>
      <c r="R258" s="15">
        <v>0</v>
      </c>
      <c r="S258" s="15">
        <v>0</v>
      </c>
    </row>
    <row r="259" spans="1:19" x14ac:dyDescent="0.3">
      <c r="A259" s="13" t="s">
        <v>160</v>
      </c>
      <c r="B259" s="14" t="s">
        <v>161</v>
      </c>
      <c r="C259" s="14"/>
      <c r="D259" s="14" t="s">
        <v>162</v>
      </c>
      <c r="E259" s="14">
        <f xml:space="preserve"> IF($S$44,1,0)</f>
        <v>1</v>
      </c>
      <c r="F259" s="14" t="s">
        <v>163</v>
      </c>
      <c r="G259" s="14">
        <v>5</v>
      </c>
      <c r="H259" s="14">
        <v>0</v>
      </c>
      <c r="I259" s="14">
        <v>0</v>
      </c>
      <c r="J259" s="14">
        <v>0</v>
      </c>
      <c r="K259" s="14">
        <v>0</v>
      </c>
      <c r="L259" s="14">
        <v>0</v>
      </c>
      <c r="M259" s="14">
        <v>0</v>
      </c>
      <c r="N259" s="14">
        <v>0</v>
      </c>
      <c r="O259" s="14">
        <v>0</v>
      </c>
      <c r="P259" s="14">
        <v>0</v>
      </c>
      <c r="Q259" s="15">
        <v>5.5</v>
      </c>
      <c r="R259" s="15">
        <v>0</v>
      </c>
      <c r="S259" s="15">
        <v>5.5</v>
      </c>
    </row>
    <row r="260" spans="1:19" x14ac:dyDescent="0.3">
      <c r="A260" s="10" t="s">
        <v>1204</v>
      </c>
      <c r="B260" s="11" t="s">
        <v>1205</v>
      </c>
      <c r="C260" s="11"/>
      <c r="D260" s="11" t="s">
        <v>1206</v>
      </c>
      <c r="E260" s="11">
        <f xml:space="preserve"> IF($S$323,1,0)</f>
        <v>0</v>
      </c>
      <c r="F260" s="11" t="s">
        <v>1207</v>
      </c>
      <c r="G260" s="11">
        <v>0</v>
      </c>
      <c r="H260" s="11">
        <v>0</v>
      </c>
      <c r="I260" s="11">
        <v>0</v>
      </c>
      <c r="J260" s="11">
        <v>0</v>
      </c>
      <c r="K260" s="11">
        <v>0</v>
      </c>
      <c r="L260" s="11">
        <v>0</v>
      </c>
      <c r="M260" s="11">
        <v>0</v>
      </c>
      <c r="N260" s="11">
        <v>0</v>
      </c>
      <c r="O260" s="11">
        <v>0</v>
      </c>
      <c r="P260" s="11">
        <v>0</v>
      </c>
      <c r="Q260" s="12">
        <v>0</v>
      </c>
      <c r="R260" s="12">
        <v>0</v>
      </c>
      <c r="S260" s="12">
        <v>0</v>
      </c>
    </row>
    <row r="261" spans="1:19" x14ac:dyDescent="0.3">
      <c r="A261" s="13" t="s">
        <v>152</v>
      </c>
      <c r="B261" s="14" t="s">
        <v>153</v>
      </c>
      <c r="C261" s="14"/>
      <c r="D261" s="14" t="s">
        <v>154</v>
      </c>
      <c r="E261" s="14">
        <f xml:space="preserve"> IF($S$42,1,0)</f>
        <v>0</v>
      </c>
      <c r="F261" s="14" t="s">
        <v>155</v>
      </c>
      <c r="G261" s="14">
        <v>3</v>
      </c>
      <c r="H261" s="14">
        <v>0</v>
      </c>
      <c r="I261" s="14">
        <v>0</v>
      </c>
      <c r="J261" s="14">
        <v>0</v>
      </c>
      <c r="K261" s="14">
        <v>0</v>
      </c>
      <c r="L261" s="14">
        <v>0</v>
      </c>
      <c r="M261" s="14">
        <v>0</v>
      </c>
      <c r="N261" s="14">
        <v>0</v>
      </c>
      <c r="O261" s="14">
        <v>0</v>
      </c>
      <c r="P261" s="14">
        <v>0</v>
      </c>
      <c r="Q261" s="15">
        <v>3.3000000000000003</v>
      </c>
      <c r="R261" s="15">
        <v>0</v>
      </c>
      <c r="S261" s="15">
        <v>3.3000000000000003</v>
      </c>
    </row>
    <row r="262" spans="1:19" x14ac:dyDescent="0.3">
      <c r="A262" s="10" t="s">
        <v>623</v>
      </c>
      <c r="B262" s="11" t="s">
        <v>624</v>
      </c>
      <c r="C262" s="11"/>
      <c r="D262" s="11" t="s">
        <v>625</v>
      </c>
      <c r="E262" s="11">
        <f xml:space="preserve"> IF($S$167,1,0)</f>
        <v>0</v>
      </c>
      <c r="F262" s="11" t="s">
        <v>626</v>
      </c>
      <c r="G262" s="11">
        <v>0</v>
      </c>
      <c r="H262" s="11">
        <v>0</v>
      </c>
      <c r="I262" s="11">
        <v>0</v>
      </c>
      <c r="J262" s="11">
        <v>0</v>
      </c>
      <c r="K262" s="11">
        <v>0</v>
      </c>
      <c r="L262" s="11">
        <v>0</v>
      </c>
      <c r="M262" s="11">
        <v>0</v>
      </c>
      <c r="N262" s="11">
        <v>0</v>
      </c>
      <c r="O262" s="11">
        <v>0</v>
      </c>
      <c r="P262" s="11">
        <v>0</v>
      </c>
      <c r="Q262" s="12">
        <v>0</v>
      </c>
      <c r="R262" s="12">
        <v>0</v>
      </c>
      <c r="S262" s="12">
        <v>0</v>
      </c>
    </row>
    <row r="263" spans="1:19" x14ac:dyDescent="0.3">
      <c r="A263" s="10" t="s">
        <v>1126</v>
      </c>
      <c r="B263" s="11" t="s">
        <v>1117</v>
      </c>
      <c r="C263" s="11"/>
      <c r="D263" s="11" t="s">
        <v>1127</v>
      </c>
      <c r="E263" s="11">
        <f xml:space="preserve"> IF($S$301,1,0)</f>
        <v>0</v>
      </c>
      <c r="F263" s="11" t="s">
        <v>1128</v>
      </c>
      <c r="G263" s="11">
        <v>2</v>
      </c>
      <c r="H263" s="11">
        <v>0</v>
      </c>
      <c r="I263" s="11">
        <v>0</v>
      </c>
      <c r="J263" s="11">
        <v>0</v>
      </c>
      <c r="K263" s="11">
        <v>0</v>
      </c>
      <c r="L263" s="11">
        <v>0</v>
      </c>
      <c r="M263" s="11">
        <v>0</v>
      </c>
      <c r="N263" s="11">
        <v>0</v>
      </c>
      <c r="O263" s="11">
        <v>0</v>
      </c>
      <c r="P263" s="11">
        <v>0</v>
      </c>
      <c r="Q263" s="12">
        <v>2.2000000000000002</v>
      </c>
      <c r="R263" s="12">
        <v>0</v>
      </c>
      <c r="S263" s="12">
        <v>2.2000000000000002</v>
      </c>
    </row>
    <row r="264" spans="1:19" x14ac:dyDescent="0.3">
      <c r="A264" s="10" t="s">
        <v>1233</v>
      </c>
      <c r="B264" s="11" t="s">
        <v>1230</v>
      </c>
      <c r="C264" s="11"/>
      <c r="D264" s="11" t="s">
        <v>1234</v>
      </c>
      <c r="E264" s="11">
        <f xml:space="preserve"> IF($S$331,1,0)</f>
        <v>0</v>
      </c>
      <c r="F264" s="11" t="s">
        <v>1235</v>
      </c>
      <c r="G264" s="11">
        <v>0</v>
      </c>
      <c r="H264" s="11">
        <v>0</v>
      </c>
      <c r="I264" s="11">
        <v>0</v>
      </c>
      <c r="J264" s="11">
        <v>0</v>
      </c>
      <c r="K264" s="11">
        <v>0</v>
      </c>
      <c r="L264" s="11">
        <v>0</v>
      </c>
      <c r="M264" s="11">
        <v>0</v>
      </c>
      <c r="N264" s="11">
        <v>0</v>
      </c>
      <c r="O264" s="11">
        <v>0</v>
      </c>
      <c r="P264" s="11">
        <v>0</v>
      </c>
      <c r="Q264" s="12">
        <v>0</v>
      </c>
      <c r="R264" s="12">
        <v>0</v>
      </c>
      <c r="S264" s="12">
        <v>0</v>
      </c>
    </row>
    <row r="265" spans="1:19" x14ac:dyDescent="0.3">
      <c r="A265" s="13" t="s">
        <v>1229</v>
      </c>
      <c r="B265" s="14" t="s">
        <v>1230</v>
      </c>
      <c r="C265" s="14"/>
      <c r="D265" s="14" t="s">
        <v>1231</v>
      </c>
      <c r="E265" s="14">
        <f xml:space="preserve"> IF($S$330,1,0)</f>
        <v>1</v>
      </c>
      <c r="F265" s="14" t="s">
        <v>1232</v>
      </c>
      <c r="G265" s="14">
        <v>0</v>
      </c>
      <c r="H265" s="14">
        <v>0</v>
      </c>
      <c r="I265" s="14">
        <v>0</v>
      </c>
      <c r="J265" s="14">
        <v>0</v>
      </c>
      <c r="K265" s="14">
        <v>0</v>
      </c>
      <c r="L265" s="14">
        <v>1</v>
      </c>
      <c r="M265" s="14">
        <v>0</v>
      </c>
      <c r="N265" s="14">
        <v>0</v>
      </c>
      <c r="O265" s="14">
        <v>0</v>
      </c>
      <c r="P265" s="14">
        <v>0</v>
      </c>
      <c r="Q265" s="15">
        <v>3</v>
      </c>
      <c r="R265" s="15">
        <v>0</v>
      </c>
      <c r="S265" s="15">
        <v>3</v>
      </c>
    </row>
    <row r="266" spans="1:19" x14ac:dyDescent="0.3">
      <c r="A266" s="13" t="s">
        <v>357</v>
      </c>
      <c r="B266" s="14" t="s">
        <v>358</v>
      </c>
      <c r="C266" s="14" t="s">
        <v>34</v>
      </c>
      <c r="D266" s="14" t="s">
        <v>359</v>
      </c>
      <c r="E266" s="14">
        <f xml:space="preserve"> IF($S$96,1,0)</f>
        <v>0</v>
      </c>
      <c r="F266" s="14" t="s">
        <v>360</v>
      </c>
      <c r="G266" s="14">
        <v>0</v>
      </c>
      <c r="H266" s="14">
        <v>0</v>
      </c>
      <c r="I266" s="14">
        <v>0</v>
      </c>
      <c r="J266" s="14">
        <v>0</v>
      </c>
      <c r="K266" s="14">
        <v>0</v>
      </c>
      <c r="L266" s="14">
        <v>0</v>
      </c>
      <c r="M266" s="14">
        <v>0</v>
      </c>
      <c r="N266" s="14">
        <v>0</v>
      </c>
      <c r="O266" s="14">
        <v>0</v>
      </c>
      <c r="P266" s="14">
        <v>0</v>
      </c>
      <c r="Q266" s="15">
        <v>0</v>
      </c>
      <c r="R266" s="15">
        <v>0</v>
      </c>
      <c r="S266" s="15">
        <v>0</v>
      </c>
    </row>
    <row r="267" spans="1:19" x14ac:dyDescent="0.3">
      <c r="A267" s="13" t="s">
        <v>136</v>
      </c>
      <c r="B267" s="14" t="s">
        <v>137</v>
      </c>
      <c r="C267" s="14"/>
      <c r="D267" s="14" t="s">
        <v>138</v>
      </c>
      <c r="E267" s="14">
        <f xml:space="preserve"> IF($S$38,1,0)</f>
        <v>0</v>
      </c>
      <c r="F267" s="14" t="s">
        <v>139</v>
      </c>
      <c r="G267" s="14">
        <v>0</v>
      </c>
      <c r="H267" s="14">
        <v>0</v>
      </c>
      <c r="I267" s="14">
        <v>0</v>
      </c>
      <c r="J267" s="14">
        <v>0</v>
      </c>
      <c r="K267" s="14">
        <v>0</v>
      </c>
      <c r="L267" s="14">
        <v>0</v>
      </c>
      <c r="M267" s="14">
        <v>0</v>
      </c>
      <c r="N267" s="14">
        <v>0</v>
      </c>
      <c r="O267" s="14">
        <v>0</v>
      </c>
      <c r="P267" s="14">
        <v>0</v>
      </c>
      <c r="Q267" s="15">
        <v>0</v>
      </c>
      <c r="R267" s="15">
        <v>0</v>
      </c>
      <c r="S267" s="15">
        <v>0</v>
      </c>
    </row>
    <row r="268" spans="1:19" x14ac:dyDescent="0.3">
      <c r="A268" s="13" t="s">
        <v>216</v>
      </c>
      <c r="B268" s="14" t="s">
        <v>217</v>
      </c>
      <c r="C268" s="14"/>
      <c r="D268" s="14" t="s">
        <v>218</v>
      </c>
      <c r="E268" s="14">
        <f xml:space="preserve"> IF($S$60,1,0)</f>
        <v>0</v>
      </c>
      <c r="F268" s="14" t="s">
        <v>219</v>
      </c>
      <c r="G268" s="14">
        <v>3</v>
      </c>
      <c r="H268" s="14">
        <v>0</v>
      </c>
      <c r="I268" s="14">
        <v>2</v>
      </c>
      <c r="J268" s="14">
        <v>0</v>
      </c>
      <c r="K268" s="14">
        <v>0</v>
      </c>
      <c r="L268" s="14">
        <v>0</v>
      </c>
      <c r="M268" s="14">
        <v>0</v>
      </c>
      <c r="N268" s="14">
        <v>0</v>
      </c>
      <c r="O268" s="14">
        <v>0</v>
      </c>
      <c r="P268" s="14">
        <v>0</v>
      </c>
      <c r="Q268" s="15">
        <v>5.3000000000000007</v>
      </c>
      <c r="R268" s="15">
        <v>0</v>
      </c>
      <c r="S268" s="15">
        <v>5.3000000000000007</v>
      </c>
    </row>
    <row r="269" spans="1:19" x14ac:dyDescent="0.3">
      <c r="A269" s="13" t="s">
        <v>1109</v>
      </c>
      <c r="B269" s="14" t="s">
        <v>1110</v>
      </c>
      <c r="C269" s="14" t="s">
        <v>34</v>
      </c>
      <c r="D269" s="14" t="s">
        <v>1111</v>
      </c>
      <c r="E269" s="14">
        <f xml:space="preserve"> IF($S$296,1,0)</f>
        <v>0</v>
      </c>
      <c r="F269" s="14" t="s">
        <v>1112</v>
      </c>
      <c r="G269" s="14">
        <v>0</v>
      </c>
      <c r="H269" s="14">
        <v>0</v>
      </c>
      <c r="I269" s="14">
        <v>0</v>
      </c>
      <c r="J269" s="14">
        <v>0</v>
      </c>
      <c r="K269" s="14">
        <v>0</v>
      </c>
      <c r="L269" s="14">
        <v>0</v>
      </c>
      <c r="M269" s="14">
        <v>0</v>
      </c>
      <c r="N269" s="14">
        <v>0</v>
      </c>
      <c r="O269" s="14">
        <v>0</v>
      </c>
      <c r="P269" s="14">
        <v>0</v>
      </c>
      <c r="Q269" s="15">
        <v>0</v>
      </c>
      <c r="R269" s="15">
        <v>0</v>
      </c>
      <c r="S269" s="15">
        <v>0</v>
      </c>
    </row>
    <row r="270" spans="1:19" x14ac:dyDescent="0.3">
      <c r="A270" s="13" t="s">
        <v>1051</v>
      </c>
      <c r="B270" s="14" t="s">
        <v>1052</v>
      </c>
      <c r="C270" s="14" t="s">
        <v>34</v>
      </c>
      <c r="D270" s="14" t="s">
        <v>1053</v>
      </c>
      <c r="E270" s="14">
        <f xml:space="preserve"> IF($S$280,1,0)</f>
        <v>0</v>
      </c>
      <c r="F270" s="14" t="s">
        <v>1054</v>
      </c>
      <c r="G270" s="14">
        <v>0</v>
      </c>
      <c r="H270" s="14">
        <v>0</v>
      </c>
      <c r="I270" s="14">
        <v>0</v>
      </c>
      <c r="J270" s="14">
        <v>0</v>
      </c>
      <c r="K270" s="14">
        <v>0</v>
      </c>
      <c r="L270" s="14">
        <v>0</v>
      </c>
      <c r="M270" s="14">
        <v>1</v>
      </c>
      <c r="N270" s="14">
        <v>0</v>
      </c>
      <c r="O270" s="14">
        <v>0</v>
      </c>
      <c r="P270" s="14">
        <v>0</v>
      </c>
      <c r="Q270" s="15">
        <v>4</v>
      </c>
      <c r="R270" s="15">
        <v>0</v>
      </c>
      <c r="S270" s="15">
        <v>4</v>
      </c>
    </row>
    <row r="271" spans="1:19" x14ac:dyDescent="0.3">
      <c r="A271" s="10" t="s">
        <v>568</v>
      </c>
      <c r="B271" s="11" t="s">
        <v>569</v>
      </c>
      <c r="C271" s="11"/>
      <c r="D271" s="11" t="s">
        <v>570</v>
      </c>
      <c r="E271" s="11">
        <f xml:space="preserve"> IF($S$153,1,0)</f>
        <v>0</v>
      </c>
      <c r="F271" s="11" t="s">
        <v>571</v>
      </c>
      <c r="G271" s="11">
        <v>6</v>
      </c>
      <c r="H271" s="11">
        <v>0</v>
      </c>
      <c r="I271" s="11">
        <v>0</v>
      </c>
      <c r="J271" s="11">
        <v>0</v>
      </c>
      <c r="K271" s="11">
        <v>0</v>
      </c>
      <c r="L271" s="11">
        <v>0</v>
      </c>
      <c r="M271" s="11">
        <v>0</v>
      </c>
      <c r="N271" s="11">
        <v>0</v>
      </c>
      <c r="O271" s="11">
        <v>0</v>
      </c>
      <c r="P271" s="11">
        <v>1</v>
      </c>
      <c r="Q271" s="12">
        <v>9.6000000000000014</v>
      </c>
      <c r="R271" s="12">
        <v>0</v>
      </c>
      <c r="S271" s="12">
        <v>9.6000000000000014</v>
      </c>
    </row>
    <row r="272" spans="1:19" x14ac:dyDescent="0.3">
      <c r="A272" s="13" t="s">
        <v>386</v>
      </c>
      <c r="B272" s="14" t="s">
        <v>387</v>
      </c>
      <c r="C272" s="14" t="s">
        <v>278</v>
      </c>
      <c r="D272" s="14" t="s">
        <v>388</v>
      </c>
      <c r="E272" s="14">
        <f xml:space="preserve"> IF($S$104,1,0)</f>
        <v>0</v>
      </c>
      <c r="F272" s="14" t="s">
        <v>389</v>
      </c>
      <c r="G272" s="14">
        <v>0</v>
      </c>
      <c r="H272" s="14">
        <v>0</v>
      </c>
      <c r="I272" s="14">
        <v>0</v>
      </c>
      <c r="J272" s="14">
        <v>0</v>
      </c>
      <c r="K272" s="14">
        <v>0</v>
      </c>
      <c r="L272" s="14">
        <v>0</v>
      </c>
      <c r="M272" s="14">
        <v>0</v>
      </c>
      <c r="N272" s="14">
        <v>0</v>
      </c>
      <c r="O272" s="14">
        <v>0</v>
      </c>
      <c r="P272" s="14">
        <v>0</v>
      </c>
      <c r="Q272" s="15">
        <v>0</v>
      </c>
      <c r="R272" s="15">
        <v>0</v>
      </c>
      <c r="S272" s="15">
        <v>0</v>
      </c>
    </row>
    <row r="273" spans="1:19" x14ac:dyDescent="0.3">
      <c r="A273" s="10" t="s">
        <v>164</v>
      </c>
      <c r="B273" s="11" t="s">
        <v>165</v>
      </c>
      <c r="C273" s="11"/>
      <c r="D273" s="11" t="s">
        <v>166</v>
      </c>
      <c r="E273" s="11">
        <f xml:space="preserve"> IF($S$45,1,0)</f>
        <v>1</v>
      </c>
      <c r="F273" s="11" t="s">
        <v>167</v>
      </c>
      <c r="G273" s="11">
        <v>0</v>
      </c>
      <c r="H273" s="11">
        <v>0</v>
      </c>
      <c r="I273" s="11">
        <v>0</v>
      </c>
      <c r="J273" s="11">
        <v>0</v>
      </c>
      <c r="K273" s="11">
        <v>0</v>
      </c>
      <c r="L273" s="11">
        <v>0</v>
      </c>
      <c r="M273" s="11">
        <v>0</v>
      </c>
      <c r="N273" s="11">
        <v>0</v>
      </c>
      <c r="O273" s="11">
        <v>0</v>
      </c>
      <c r="P273" s="11">
        <v>0</v>
      </c>
      <c r="Q273" s="12">
        <v>0</v>
      </c>
      <c r="R273" s="12">
        <v>0</v>
      </c>
      <c r="S273" s="12">
        <v>0</v>
      </c>
    </row>
    <row r="274" spans="1:19" x14ac:dyDescent="0.3">
      <c r="A274" s="10" t="s">
        <v>926</v>
      </c>
      <c r="B274" s="11" t="s">
        <v>927</v>
      </c>
      <c r="C274" s="11"/>
      <c r="D274" s="11" t="s">
        <v>928</v>
      </c>
      <c r="E274" s="11">
        <f xml:space="preserve"> IF($S$247,1,0)</f>
        <v>0</v>
      </c>
      <c r="F274" s="11" t="s">
        <v>929</v>
      </c>
      <c r="G274" s="11">
        <v>0</v>
      </c>
      <c r="H274" s="11">
        <v>0</v>
      </c>
      <c r="I274" s="11">
        <v>0</v>
      </c>
      <c r="J274" s="11">
        <v>0</v>
      </c>
      <c r="K274" s="11">
        <v>0</v>
      </c>
      <c r="L274" s="11">
        <v>0</v>
      </c>
      <c r="M274" s="11">
        <v>0</v>
      </c>
      <c r="N274" s="11">
        <v>0</v>
      </c>
      <c r="O274" s="11">
        <v>0</v>
      </c>
      <c r="P274" s="11">
        <v>0</v>
      </c>
      <c r="Q274" s="12">
        <v>0</v>
      </c>
      <c r="R274" s="12">
        <v>0</v>
      </c>
      <c r="S274" s="12">
        <v>0</v>
      </c>
    </row>
    <row r="275" spans="1:19" x14ac:dyDescent="0.3">
      <c r="A275" s="10" t="s">
        <v>1018</v>
      </c>
      <c r="B275" s="11" t="s">
        <v>1015</v>
      </c>
      <c r="C275" s="11"/>
      <c r="D275" s="11" t="s">
        <v>1019</v>
      </c>
      <c r="E275" s="11">
        <f xml:space="preserve"> IF($S$271,1,0)</f>
        <v>1</v>
      </c>
      <c r="F275" s="11" t="s">
        <v>1020</v>
      </c>
      <c r="G275" s="11">
        <v>0</v>
      </c>
      <c r="H275" s="11">
        <v>0</v>
      </c>
      <c r="I275" s="11">
        <v>0</v>
      </c>
      <c r="J275" s="11">
        <v>0</v>
      </c>
      <c r="K275" s="11">
        <v>0</v>
      </c>
      <c r="L275" s="11">
        <v>0</v>
      </c>
      <c r="M275" s="11">
        <v>0</v>
      </c>
      <c r="N275" s="11">
        <v>0</v>
      </c>
      <c r="O275" s="11">
        <v>0</v>
      </c>
      <c r="P275" s="11">
        <v>0</v>
      </c>
      <c r="Q275" s="12">
        <v>0</v>
      </c>
      <c r="R275" s="12">
        <v>0</v>
      </c>
      <c r="S275" s="12">
        <v>0</v>
      </c>
    </row>
    <row r="276" spans="1:19" x14ac:dyDescent="0.3">
      <c r="A276" s="13" t="s">
        <v>627</v>
      </c>
      <c r="B276" s="14" t="s">
        <v>624</v>
      </c>
      <c r="C276" s="14"/>
      <c r="D276" s="14" t="s">
        <v>628</v>
      </c>
      <c r="E276" s="14">
        <f xml:space="preserve"> IF($S$168,1,0)</f>
        <v>0</v>
      </c>
      <c r="F276" s="14" t="s">
        <v>629</v>
      </c>
      <c r="G276" s="14">
        <v>0</v>
      </c>
      <c r="H276" s="14">
        <v>0</v>
      </c>
      <c r="I276" s="14">
        <v>0</v>
      </c>
      <c r="J276" s="14">
        <v>0</v>
      </c>
      <c r="K276" s="14">
        <v>0</v>
      </c>
      <c r="L276" s="14">
        <v>0</v>
      </c>
      <c r="M276" s="14">
        <v>0</v>
      </c>
      <c r="N276" s="14">
        <v>0</v>
      </c>
      <c r="O276" s="14">
        <v>0</v>
      </c>
      <c r="P276" s="14">
        <v>0</v>
      </c>
      <c r="Q276" s="15">
        <v>0</v>
      </c>
      <c r="R276" s="15">
        <v>0</v>
      </c>
      <c r="S276" s="15">
        <v>0</v>
      </c>
    </row>
    <row r="277" spans="1:19" x14ac:dyDescent="0.3">
      <c r="A277" s="13" t="s">
        <v>505</v>
      </c>
      <c r="B277" s="14" t="s">
        <v>502</v>
      </c>
      <c r="C277" s="14"/>
      <c r="D277" s="14" t="s">
        <v>232</v>
      </c>
      <c r="E277" s="14">
        <f xml:space="preserve"> IF($S$136,1,0)</f>
        <v>0</v>
      </c>
      <c r="F277" s="14" t="s">
        <v>506</v>
      </c>
      <c r="G277" s="14">
        <v>0</v>
      </c>
      <c r="H277" s="14">
        <v>0</v>
      </c>
      <c r="I277" s="14">
        <v>0</v>
      </c>
      <c r="J277" s="14">
        <v>0</v>
      </c>
      <c r="K277" s="14">
        <v>0</v>
      </c>
      <c r="L277" s="14">
        <v>0</v>
      </c>
      <c r="M277" s="14">
        <v>0</v>
      </c>
      <c r="N277" s="14">
        <v>0</v>
      </c>
      <c r="O277" s="14">
        <v>0</v>
      </c>
      <c r="P277" s="14">
        <v>0</v>
      </c>
      <c r="Q277" s="15">
        <v>0</v>
      </c>
      <c r="R277" s="15">
        <v>0</v>
      </c>
      <c r="S277" s="15">
        <v>0</v>
      </c>
    </row>
    <row r="278" spans="1:19" x14ac:dyDescent="0.3">
      <c r="A278" s="10" t="s">
        <v>692</v>
      </c>
      <c r="B278" s="11" t="s">
        <v>693</v>
      </c>
      <c r="C278" s="11" t="s">
        <v>65</v>
      </c>
      <c r="D278" s="11" t="s">
        <v>694</v>
      </c>
      <c r="E278" s="11">
        <f xml:space="preserve"> IF($S$185,1,0)</f>
        <v>0</v>
      </c>
      <c r="F278" s="11" t="s">
        <v>695</v>
      </c>
      <c r="G278" s="11">
        <v>0</v>
      </c>
      <c r="H278" s="11">
        <v>0</v>
      </c>
      <c r="I278" s="11">
        <v>1</v>
      </c>
      <c r="J278" s="11">
        <v>0</v>
      </c>
      <c r="K278" s="11">
        <v>0</v>
      </c>
      <c r="L278" s="11">
        <v>0</v>
      </c>
      <c r="M278" s="11">
        <v>0</v>
      </c>
      <c r="N278" s="11">
        <v>0</v>
      </c>
      <c r="O278" s="11">
        <v>0</v>
      </c>
      <c r="P278" s="11">
        <v>0</v>
      </c>
      <c r="Q278" s="12">
        <v>1</v>
      </c>
      <c r="R278" s="12">
        <v>0</v>
      </c>
      <c r="S278" s="12">
        <v>1</v>
      </c>
    </row>
    <row r="279" spans="1:19" x14ac:dyDescent="0.3">
      <c r="A279" s="13" t="s">
        <v>877</v>
      </c>
      <c r="B279" s="14" t="s">
        <v>878</v>
      </c>
      <c r="C279" s="14"/>
      <c r="D279" s="14" t="s">
        <v>879</v>
      </c>
      <c r="E279" s="14">
        <f xml:space="preserve"> IF($S$234,1,0)</f>
        <v>0</v>
      </c>
      <c r="F279" s="14" t="s">
        <v>880</v>
      </c>
      <c r="G279" s="14">
        <v>0</v>
      </c>
      <c r="H279" s="14">
        <v>0</v>
      </c>
      <c r="I279" s="14">
        <v>0</v>
      </c>
      <c r="J279" s="14">
        <v>0</v>
      </c>
      <c r="K279" s="14">
        <v>0</v>
      </c>
      <c r="L279" s="14">
        <v>0</v>
      </c>
      <c r="M279" s="14">
        <v>0</v>
      </c>
      <c r="N279" s="14">
        <v>0</v>
      </c>
      <c r="O279" s="14">
        <v>0</v>
      </c>
      <c r="P279" s="14">
        <v>0</v>
      </c>
      <c r="Q279" s="15">
        <v>0</v>
      </c>
      <c r="R279" s="15">
        <v>0</v>
      </c>
      <c r="S279" s="15">
        <v>0</v>
      </c>
    </row>
    <row r="280" spans="1:19" x14ac:dyDescent="0.3">
      <c r="A280" s="10" t="s">
        <v>1033</v>
      </c>
      <c r="B280" s="11" t="s">
        <v>1030</v>
      </c>
      <c r="C280" s="11"/>
      <c r="D280" s="11" t="s">
        <v>1034</v>
      </c>
      <c r="E280" s="11">
        <f xml:space="preserve"> IF($S$275,1,0)</f>
        <v>0</v>
      </c>
      <c r="F280" s="11" t="s">
        <v>1035</v>
      </c>
      <c r="G280" s="11">
        <v>0</v>
      </c>
      <c r="H280" s="11">
        <v>0</v>
      </c>
      <c r="I280" s="11">
        <v>0</v>
      </c>
      <c r="J280" s="11">
        <v>0</v>
      </c>
      <c r="K280" s="11">
        <v>0</v>
      </c>
      <c r="L280" s="11">
        <v>0</v>
      </c>
      <c r="M280" s="11">
        <v>0</v>
      </c>
      <c r="N280" s="11">
        <v>0</v>
      </c>
      <c r="O280" s="11">
        <v>0</v>
      </c>
      <c r="P280" s="11">
        <v>0</v>
      </c>
      <c r="Q280" s="12">
        <v>0</v>
      </c>
      <c r="R280" s="12">
        <v>0</v>
      </c>
      <c r="S280" s="12">
        <v>0</v>
      </c>
    </row>
    <row r="281" spans="1:19" x14ac:dyDescent="0.3">
      <c r="A281" s="13" t="s">
        <v>83</v>
      </c>
      <c r="B281" s="14" t="s">
        <v>84</v>
      </c>
      <c r="C281" s="14"/>
      <c r="D281" s="14" t="s">
        <v>81</v>
      </c>
      <c r="E281" s="14">
        <f xml:space="preserve"> IF($S$24,1,0)</f>
        <v>0</v>
      </c>
      <c r="F281" s="14" t="s">
        <v>85</v>
      </c>
      <c r="G281" s="14">
        <v>0</v>
      </c>
      <c r="H281" s="14">
        <v>0</v>
      </c>
      <c r="I281" s="14">
        <v>0</v>
      </c>
      <c r="J281" s="14">
        <v>0</v>
      </c>
      <c r="K281" s="14">
        <v>0</v>
      </c>
      <c r="L281" s="14">
        <v>0</v>
      </c>
      <c r="M281" s="14">
        <v>0</v>
      </c>
      <c r="N281" s="14">
        <v>0</v>
      </c>
      <c r="O281" s="14">
        <v>0</v>
      </c>
      <c r="P281" s="14">
        <v>0</v>
      </c>
      <c r="Q281" s="15">
        <v>0</v>
      </c>
      <c r="R281" s="15">
        <v>0</v>
      </c>
      <c r="S281" s="15">
        <v>0</v>
      </c>
    </row>
    <row r="282" spans="1:19" x14ac:dyDescent="0.3">
      <c r="A282" s="10" t="s">
        <v>774</v>
      </c>
      <c r="B282" s="11" t="s">
        <v>775</v>
      </c>
      <c r="C282" s="11"/>
      <c r="D282" s="11" t="s">
        <v>776</v>
      </c>
      <c r="E282" s="11">
        <f xml:space="preserve"> IF($S$207,1,0)</f>
        <v>0</v>
      </c>
      <c r="F282" s="11" t="s">
        <v>777</v>
      </c>
      <c r="G282" s="11">
        <v>0</v>
      </c>
      <c r="H282" s="11">
        <v>0</v>
      </c>
      <c r="I282" s="11">
        <v>0</v>
      </c>
      <c r="J282" s="11">
        <v>0</v>
      </c>
      <c r="K282" s="11">
        <v>0</v>
      </c>
      <c r="L282" s="11">
        <v>0</v>
      </c>
      <c r="M282" s="11">
        <v>0</v>
      </c>
      <c r="N282" s="11">
        <v>0</v>
      </c>
      <c r="O282" s="11">
        <v>0</v>
      </c>
      <c r="P282" s="11">
        <v>0</v>
      </c>
      <c r="Q282" s="12">
        <v>0</v>
      </c>
      <c r="R282" s="12">
        <v>0</v>
      </c>
      <c r="S282" s="12">
        <v>0</v>
      </c>
    </row>
    <row r="283" spans="1:19" x14ac:dyDescent="0.3">
      <c r="A283" s="10" t="s">
        <v>890</v>
      </c>
      <c r="B283" s="11" t="s">
        <v>886</v>
      </c>
      <c r="C283" s="11"/>
      <c r="D283" s="11" t="s">
        <v>891</v>
      </c>
      <c r="E283" s="11">
        <f xml:space="preserve"> IF($S$237,1,0)</f>
        <v>0</v>
      </c>
      <c r="F283" s="11" t="s">
        <v>892</v>
      </c>
      <c r="G283" s="11">
        <v>0</v>
      </c>
      <c r="H283" s="11">
        <v>0</v>
      </c>
      <c r="I283" s="11">
        <v>0</v>
      </c>
      <c r="J283" s="11">
        <v>0</v>
      </c>
      <c r="K283" s="11">
        <v>0</v>
      </c>
      <c r="L283" s="11">
        <v>0</v>
      </c>
      <c r="M283" s="11">
        <v>0</v>
      </c>
      <c r="N283" s="11">
        <v>0</v>
      </c>
      <c r="O283" s="11">
        <v>0</v>
      </c>
      <c r="P283" s="11">
        <v>0</v>
      </c>
      <c r="Q283" s="12">
        <v>0</v>
      </c>
      <c r="R283" s="12">
        <v>0</v>
      </c>
      <c r="S283" s="12">
        <v>0</v>
      </c>
    </row>
    <row r="284" spans="1:19" x14ac:dyDescent="0.3">
      <c r="A284" s="10" t="s">
        <v>305</v>
      </c>
      <c r="B284" s="11" t="s">
        <v>306</v>
      </c>
      <c r="C284" s="11"/>
      <c r="D284" s="11" t="s">
        <v>307</v>
      </c>
      <c r="E284" s="11">
        <f xml:space="preserve"> IF($S$83,1,0)</f>
        <v>0</v>
      </c>
      <c r="F284" s="11" t="s">
        <v>308</v>
      </c>
      <c r="G284" s="11">
        <v>0</v>
      </c>
      <c r="H284" s="11">
        <v>0</v>
      </c>
      <c r="I284" s="11">
        <v>0</v>
      </c>
      <c r="J284" s="11">
        <v>0</v>
      </c>
      <c r="K284" s="11">
        <v>0</v>
      </c>
      <c r="L284" s="11">
        <v>0</v>
      </c>
      <c r="M284" s="11">
        <v>0</v>
      </c>
      <c r="N284" s="11">
        <v>0</v>
      </c>
      <c r="O284" s="11">
        <v>0</v>
      </c>
      <c r="P284" s="11">
        <v>0</v>
      </c>
      <c r="Q284" s="12">
        <v>0</v>
      </c>
      <c r="R284" s="12">
        <v>0</v>
      </c>
      <c r="S284" s="12">
        <v>0</v>
      </c>
    </row>
    <row r="285" spans="1:19" x14ac:dyDescent="0.3">
      <c r="A285" s="13" t="s">
        <v>893</v>
      </c>
      <c r="B285" s="14" t="s">
        <v>894</v>
      </c>
      <c r="C285" s="14"/>
      <c r="D285" s="14" t="s">
        <v>895</v>
      </c>
      <c r="E285" s="14">
        <f xml:space="preserve"> IF($S$238,1,0)</f>
        <v>0</v>
      </c>
      <c r="F285" s="14" t="s">
        <v>896</v>
      </c>
      <c r="G285" s="14">
        <v>0</v>
      </c>
      <c r="H285" s="14">
        <v>0</v>
      </c>
      <c r="I285" s="14">
        <v>0</v>
      </c>
      <c r="J285" s="14">
        <v>0</v>
      </c>
      <c r="K285" s="14">
        <v>0</v>
      </c>
      <c r="L285" s="14">
        <v>0</v>
      </c>
      <c r="M285" s="14">
        <v>0</v>
      </c>
      <c r="N285" s="14">
        <v>0</v>
      </c>
      <c r="O285" s="14">
        <v>0</v>
      </c>
      <c r="P285" s="14">
        <v>0</v>
      </c>
      <c r="Q285" s="15">
        <v>0</v>
      </c>
      <c r="R285" s="15">
        <v>0</v>
      </c>
      <c r="S285" s="15">
        <v>0</v>
      </c>
    </row>
    <row r="286" spans="1:19" x14ac:dyDescent="0.3">
      <c r="A286" s="10" t="s">
        <v>1070</v>
      </c>
      <c r="B286" s="11" t="s">
        <v>1071</v>
      </c>
      <c r="C286" s="11"/>
      <c r="D286" s="11" t="s">
        <v>1072</v>
      </c>
      <c r="E286" s="11">
        <f xml:space="preserve"> IF($S$285,1,0)</f>
        <v>0</v>
      </c>
      <c r="F286" s="11" t="s">
        <v>1073</v>
      </c>
      <c r="G286" s="11">
        <v>5</v>
      </c>
      <c r="H286" s="11">
        <v>0</v>
      </c>
      <c r="I286" s="11">
        <v>0</v>
      </c>
      <c r="J286" s="11">
        <v>0</v>
      </c>
      <c r="K286" s="11">
        <v>0</v>
      </c>
      <c r="L286" s="11">
        <v>0</v>
      </c>
      <c r="M286" s="11">
        <v>0</v>
      </c>
      <c r="N286" s="11">
        <v>0</v>
      </c>
      <c r="O286" s="11">
        <v>0</v>
      </c>
      <c r="P286" s="11">
        <v>0</v>
      </c>
      <c r="Q286" s="12">
        <v>5.5</v>
      </c>
      <c r="R286" s="12">
        <v>0</v>
      </c>
      <c r="S286" s="12">
        <v>5.5</v>
      </c>
    </row>
    <row r="287" spans="1:19" x14ac:dyDescent="0.3">
      <c r="A287" s="13" t="s">
        <v>885</v>
      </c>
      <c r="B287" s="14" t="s">
        <v>886</v>
      </c>
      <c r="C287" s="14" t="s">
        <v>887</v>
      </c>
      <c r="D287" s="14" t="s">
        <v>888</v>
      </c>
      <c r="E287" s="14">
        <f xml:space="preserve"> IF($S$236,1,0)</f>
        <v>1</v>
      </c>
      <c r="F287" s="14" t="s">
        <v>889</v>
      </c>
      <c r="G287" s="14">
        <v>0</v>
      </c>
      <c r="H287" s="14">
        <v>0</v>
      </c>
      <c r="I287" s="14">
        <v>0</v>
      </c>
      <c r="J287" s="14">
        <v>0</v>
      </c>
      <c r="K287" s="14">
        <v>0</v>
      </c>
      <c r="L287" s="14">
        <v>0</v>
      </c>
      <c r="M287" s="14">
        <v>0</v>
      </c>
      <c r="N287" s="14">
        <v>0</v>
      </c>
      <c r="O287" s="14">
        <v>0</v>
      </c>
      <c r="P287" s="14">
        <v>0</v>
      </c>
      <c r="Q287" s="15">
        <v>0</v>
      </c>
      <c r="R287" s="15">
        <v>0</v>
      </c>
      <c r="S287" s="15">
        <v>0</v>
      </c>
    </row>
    <row r="288" spans="1:19" x14ac:dyDescent="0.3">
      <c r="A288" s="10" t="s">
        <v>313</v>
      </c>
      <c r="B288" s="11" t="s">
        <v>314</v>
      </c>
      <c r="C288" s="11"/>
      <c r="D288" s="11" t="s">
        <v>315</v>
      </c>
      <c r="E288" s="11">
        <f xml:space="preserve"> IF($S$85,1,0)</f>
        <v>0</v>
      </c>
      <c r="F288" s="11" t="s">
        <v>316</v>
      </c>
      <c r="G288" s="11">
        <v>0</v>
      </c>
      <c r="H288" s="11">
        <v>0</v>
      </c>
      <c r="I288" s="11">
        <v>0</v>
      </c>
      <c r="J288" s="11">
        <v>0</v>
      </c>
      <c r="K288" s="11">
        <v>0</v>
      </c>
      <c r="L288" s="11">
        <v>0</v>
      </c>
      <c r="M288" s="11">
        <v>0</v>
      </c>
      <c r="N288" s="11">
        <v>0</v>
      </c>
      <c r="O288" s="11">
        <v>0</v>
      </c>
      <c r="P288" s="11">
        <v>0</v>
      </c>
      <c r="Q288" s="12">
        <v>0</v>
      </c>
      <c r="R288" s="12">
        <v>0</v>
      </c>
      <c r="S288" s="12">
        <v>0</v>
      </c>
    </row>
    <row r="289" spans="1:19" x14ac:dyDescent="0.3">
      <c r="A289" s="10" t="s">
        <v>615</v>
      </c>
      <c r="B289" s="11" t="s">
        <v>616</v>
      </c>
      <c r="C289" s="11"/>
      <c r="D289" s="11" t="s">
        <v>617</v>
      </c>
      <c r="E289" s="11">
        <f xml:space="preserve"> IF($S$165,1,0)</f>
        <v>0</v>
      </c>
      <c r="F289" s="11" t="s">
        <v>618</v>
      </c>
      <c r="G289" s="11">
        <v>0</v>
      </c>
      <c r="H289" s="11">
        <v>0</v>
      </c>
      <c r="I289" s="11">
        <v>0</v>
      </c>
      <c r="J289" s="11">
        <v>0</v>
      </c>
      <c r="K289" s="11">
        <v>0</v>
      </c>
      <c r="L289" s="11">
        <v>0</v>
      </c>
      <c r="M289" s="11">
        <v>0</v>
      </c>
      <c r="N289" s="11">
        <v>0</v>
      </c>
      <c r="O289" s="11">
        <v>0</v>
      </c>
      <c r="P289" s="11">
        <v>0</v>
      </c>
      <c r="Q289" s="12">
        <v>0</v>
      </c>
      <c r="R289" s="12">
        <v>0</v>
      </c>
      <c r="S289" s="12">
        <v>0</v>
      </c>
    </row>
    <row r="290" spans="1:19" x14ac:dyDescent="0.3">
      <c r="A290" s="10" t="s">
        <v>1047</v>
      </c>
      <c r="B290" s="11" t="s">
        <v>1048</v>
      </c>
      <c r="C290" s="11"/>
      <c r="D290" s="11" t="s">
        <v>1049</v>
      </c>
      <c r="E290" s="11">
        <f xml:space="preserve"> IF($S$279,1,0)</f>
        <v>0</v>
      </c>
      <c r="F290" s="11" t="s">
        <v>1050</v>
      </c>
      <c r="G290" s="11">
        <v>10</v>
      </c>
      <c r="H290" s="11">
        <v>0</v>
      </c>
      <c r="I290" s="11">
        <v>0</v>
      </c>
      <c r="J290" s="11">
        <v>0</v>
      </c>
      <c r="K290" s="11">
        <v>0</v>
      </c>
      <c r="L290" s="11">
        <v>0</v>
      </c>
      <c r="M290" s="11">
        <v>0</v>
      </c>
      <c r="N290" s="11">
        <v>0</v>
      </c>
      <c r="O290" s="11">
        <v>0</v>
      </c>
      <c r="P290" s="11">
        <v>0</v>
      </c>
      <c r="Q290" s="12">
        <v>11</v>
      </c>
      <c r="R290" s="12">
        <v>0</v>
      </c>
      <c r="S290" s="12">
        <v>11</v>
      </c>
    </row>
    <row r="291" spans="1:19" x14ac:dyDescent="0.3">
      <c r="A291" s="10" t="s">
        <v>1040</v>
      </c>
      <c r="B291" s="11" t="s">
        <v>1037</v>
      </c>
      <c r="C291" s="11" t="s">
        <v>202</v>
      </c>
      <c r="D291" s="11" t="s">
        <v>1041</v>
      </c>
      <c r="E291" s="11">
        <f xml:space="preserve"> IF($S$277,1,0)</f>
        <v>0</v>
      </c>
      <c r="F291" s="11" t="s">
        <v>1042</v>
      </c>
      <c r="G291" s="11">
        <v>0</v>
      </c>
      <c r="H291" s="11">
        <v>0</v>
      </c>
      <c r="I291" s="11">
        <v>0</v>
      </c>
      <c r="J291" s="11">
        <v>0</v>
      </c>
      <c r="K291" s="11">
        <v>0</v>
      </c>
      <c r="L291" s="11">
        <v>0</v>
      </c>
      <c r="M291" s="11">
        <v>0</v>
      </c>
      <c r="N291" s="11">
        <v>0</v>
      </c>
      <c r="O291" s="11">
        <v>0</v>
      </c>
      <c r="P291" s="11">
        <v>0</v>
      </c>
      <c r="Q291" s="12">
        <v>0</v>
      </c>
      <c r="R291" s="12">
        <v>0</v>
      </c>
      <c r="S291" s="12">
        <v>0</v>
      </c>
    </row>
    <row r="292" spans="1:19" x14ac:dyDescent="0.3">
      <c r="A292" s="13" t="s">
        <v>276</v>
      </c>
      <c r="B292" s="14" t="s">
        <v>277</v>
      </c>
      <c r="C292" s="14" t="s">
        <v>278</v>
      </c>
      <c r="D292" s="14" t="s">
        <v>279</v>
      </c>
      <c r="E292" s="14">
        <f xml:space="preserve"> IF($S$76,1,0)</f>
        <v>0</v>
      </c>
      <c r="F292" s="14" t="s">
        <v>280</v>
      </c>
      <c r="G292" s="14">
        <v>5</v>
      </c>
      <c r="H292" s="14">
        <v>0</v>
      </c>
      <c r="I292" s="14">
        <v>0</v>
      </c>
      <c r="J292" s="14">
        <v>0</v>
      </c>
      <c r="K292" s="14">
        <v>1</v>
      </c>
      <c r="L292" s="14">
        <v>0</v>
      </c>
      <c r="M292" s="14">
        <v>0</v>
      </c>
      <c r="N292" s="14">
        <v>0</v>
      </c>
      <c r="O292" s="14">
        <v>0</v>
      </c>
      <c r="P292" s="14">
        <v>0</v>
      </c>
      <c r="Q292" s="15">
        <v>7.5</v>
      </c>
      <c r="R292" s="15">
        <v>0</v>
      </c>
      <c r="S292" s="15">
        <v>7.5</v>
      </c>
    </row>
    <row r="293" spans="1:19" x14ac:dyDescent="0.3">
      <c r="A293" s="13" t="s">
        <v>664</v>
      </c>
      <c r="B293" s="14" t="s">
        <v>665</v>
      </c>
      <c r="C293" s="14"/>
      <c r="D293" s="14" t="s">
        <v>666</v>
      </c>
      <c r="E293" s="14">
        <f xml:space="preserve"> IF($S$178,1,0)</f>
        <v>0</v>
      </c>
      <c r="F293" s="14" t="s">
        <v>667</v>
      </c>
      <c r="G293" s="14">
        <v>0</v>
      </c>
      <c r="H293" s="14">
        <v>0</v>
      </c>
      <c r="I293" s="14">
        <v>0</v>
      </c>
      <c r="J293" s="14">
        <v>0</v>
      </c>
      <c r="K293" s="14">
        <v>0</v>
      </c>
      <c r="L293" s="14">
        <v>0</v>
      </c>
      <c r="M293" s="14">
        <v>0</v>
      </c>
      <c r="N293" s="14">
        <v>0</v>
      </c>
      <c r="O293" s="14">
        <v>0</v>
      </c>
      <c r="P293" s="14">
        <v>0</v>
      </c>
      <c r="Q293" s="15">
        <v>0</v>
      </c>
      <c r="R293" s="15">
        <v>0</v>
      </c>
      <c r="S293" s="15">
        <v>0</v>
      </c>
    </row>
    <row r="294" spans="1:19" x14ac:dyDescent="0.3">
      <c r="A294" s="10" t="s">
        <v>668</v>
      </c>
      <c r="B294" s="11" t="s">
        <v>669</v>
      </c>
      <c r="C294" s="11"/>
      <c r="D294" s="11" t="s">
        <v>670</v>
      </c>
      <c r="E294" s="11">
        <f xml:space="preserve"> IF($S$179,1,0)</f>
        <v>0</v>
      </c>
      <c r="F294" s="11" t="s">
        <v>671</v>
      </c>
      <c r="G294" s="11">
        <v>1</v>
      </c>
      <c r="H294" s="11">
        <v>0</v>
      </c>
      <c r="I294" s="11">
        <v>0</v>
      </c>
      <c r="J294" s="11">
        <v>0</v>
      </c>
      <c r="K294" s="11">
        <v>0</v>
      </c>
      <c r="L294" s="11">
        <v>0</v>
      </c>
      <c r="M294" s="11">
        <v>0</v>
      </c>
      <c r="N294" s="11">
        <v>0</v>
      </c>
      <c r="O294" s="11">
        <v>0</v>
      </c>
      <c r="P294" s="11">
        <v>0</v>
      </c>
      <c r="Q294" s="12">
        <v>1.1000000000000001</v>
      </c>
      <c r="R294" s="12">
        <v>0</v>
      </c>
      <c r="S294" s="12">
        <v>1.1000000000000001</v>
      </c>
    </row>
    <row r="295" spans="1:19" x14ac:dyDescent="0.3">
      <c r="A295" s="10" t="s">
        <v>116</v>
      </c>
      <c r="B295" s="11" t="s">
        <v>117</v>
      </c>
      <c r="C295" s="11" t="s">
        <v>34</v>
      </c>
      <c r="D295" s="11" t="s">
        <v>118</v>
      </c>
      <c r="E295" s="11">
        <f xml:space="preserve"> IF($S$33,1,0)</f>
        <v>0</v>
      </c>
      <c r="F295" s="11" t="s">
        <v>119</v>
      </c>
      <c r="G295" s="11">
        <v>2</v>
      </c>
      <c r="H295" s="11">
        <v>0</v>
      </c>
      <c r="I295" s="11">
        <v>0</v>
      </c>
      <c r="J295" s="11">
        <v>0</v>
      </c>
      <c r="K295" s="11">
        <v>0</v>
      </c>
      <c r="L295" s="11">
        <v>0</v>
      </c>
      <c r="M295" s="11">
        <v>0</v>
      </c>
      <c r="N295" s="11">
        <v>0</v>
      </c>
      <c r="O295" s="11">
        <v>0</v>
      </c>
      <c r="P295" s="11">
        <v>0</v>
      </c>
      <c r="Q295" s="12">
        <v>2.2000000000000002</v>
      </c>
      <c r="R295" s="12">
        <v>0</v>
      </c>
      <c r="S295" s="12">
        <v>2.2000000000000002</v>
      </c>
    </row>
    <row r="296" spans="1:19" x14ac:dyDescent="0.3">
      <c r="A296" s="10" t="s">
        <v>653</v>
      </c>
      <c r="B296" s="11" t="s">
        <v>654</v>
      </c>
      <c r="C296" s="11"/>
      <c r="D296" s="11" t="s">
        <v>655</v>
      </c>
      <c r="E296" s="11">
        <f xml:space="preserve"> IF($S$175,1,0)</f>
        <v>0</v>
      </c>
      <c r="F296" s="11" t="s">
        <v>656</v>
      </c>
      <c r="G296" s="11">
        <v>0</v>
      </c>
      <c r="H296" s="11">
        <v>0</v>
      </c>
      <c r="I296" s="11">
        <v>0</v>
      </c>
      <c r="J296" s="11">
        <v>0</v>
      </c>
      <c r="K296" s="11">
        <v>0</v>
      </c>
      <c r="L296" s="11">
        <v>0</v>
      </c>
      <c r="M296" s="11">
        <v>0</v>
      </c>
      <c r="N296" s="11">
        <v>0</v>
      </c>
      <c r="O296" s="11">
        <v>0</v>
      </c>
      <c r="P296" s="11">
        <v>0</v>
      </c>
      <c r="Q296" s="12">
        <v>0</v>
      </c>
      <c r="R296" s="12">
        <v>0</v>
      </c>
      <c r="S296" s="12">
        <v>0</v>
      </c>
    </row>
    <row r="297" spans="1:19" x14ac:dyDescent="0.3">
      <c r="A297" s="10" t="s">
        <v>1166</v>
      </c>
      <c r="B297" s="11" t="s">
        <v>1160</v>
      </c>
      <c r="C297" s="11" t="s">
        <v>243</v>
      </c>
      <c r="D297" s="11" t="s">
        <v>1167</v>
      </c>
      <c r="E297" s="11">
        <f xml:space="preserve"> IF($S$313,1,0)</f>
        <v>1</v>
      </c>
      <c r="F297" s="11" t="s">
        <v>1168</v>
      </c>
      <c r="G297" s="11">
        <v>3</v>
      </c>
      <c r="H297" s="11">
        <v>0</v>
      </c>
      <c r="I297" s="11">
        <v>0</v>
      </c>
      <c r="J297" s="11">
        <v>0</v>
      </c>
      <c r="K297" s="11">
        <v>0</v>
      </c>
      <c r="L297" s="11">
        <v>3</v>
      </c>
      <c r="M297" s="11">
        <v>0</v>
      </c>
      <c r="N297" s="11">
        <v>0</v>
      </c>
      <c r="O297" s="11">
        <v>0</v>
      </c>
      <c r="P297" s="11">
        <v>0</v>
      </c>
      <c r="Q297" s="12">
        <v>12.3</v>
      </c>
      <c r="R297" s="12">
        <v>0</v>
      </c>
      <c r="S297" s="12">
        <v>12.3</v>
      </c>
    </row>
    <row r="298" spans="1:19" x14ac:dyDescent="0.3">
      <c r="A298" s="13" t="s">
        <v>770</v>
      </c>
      <c r="B298" s="14" t="s">
        <v>771</v>
      </c>
      <c r="C298" s="14"/>
      <c r="D298" s="14" t="s">
        <v>772</v>
      </c>
      <c r="E298" s="14">
        <f xml:space="preserve"> IF($S$206,1,0)</f>
        <v>0</v>
      </c>
      <c r="F298" s="14" t="s">
        <v>773</v>
      </c>
      <c r="G298" s="14">
        <v>0</v>
      </c>
      <c r="H298" s="14">
        <v>0</v>
      </c>
      <c r="I298" s="14">
        <v>0</v>
      </c>
      <c r="J298" s="14">
        <v>0</v>
      </c>
      <c r="K298" s="14">
        <v>0</v>
      </c>
      <c r="L298" s="14">
        <v>0</v>
      </c>
      <c r="M298" s="14">
        <v>0</v>
      </c>
      <c r="N298" s="14">
        <v>0</v>
      </c>
      <c r="O298" s="14">
        <v>0</v>
      </c>
      <c r="P298" s="14">
        <v>0</v>
      </c>
      <c r="Q298" s="15">
        <v>0</v>
      </c>
      <c r="R298" s="15">
        <v>0</v>
      </c>
      <c r="S298" s="15">
        <v>0</v>
      </c>
    </row>
    <row r="299" spans="1:19" x14ac:dyDescent="0.3">
      <c r="A299" s="13" t="s">
        <v>76</v>
      </c>
      <c r="B299" s="14" t="s">
        <v>77</v>
      </c>
      <c r="C299" s="14"/>
      <c r="D299" s="14" t="s">
        <v>78</v>
      </c>
      <c r="E299" s="14">
        <f xml:space="preserve"> IF($S$22,1,0)</f>
        <v>0</v>
      </c>
      <c r="F299" s="14" t="s">
        <v>79</v>
      </c>
      <c r="G299" s="14">
        <v>8</v>
      </c>
      <c r="H299" s="14">
        <v>0</v>
      </c>
      <c r="I299" s="14">
        <v>0</v>
      </c>
      <c r="J299" s="14">
        <v>0</v>
      </c>
      <c r="K299" s="14">
        <v>0</v>
      </c>
      <c r="L299" s="14">
        <v>0</v>
      </c>
      <c r="M299" s="14">
        <v>0</v>
      </c>
      <c r="N299" s="14">
        <v>0</v>
      </c>
      <c r="O299" s="14">
        <v>0</v>
      </c>
      <c r="P299" s="14">
        <v>1</v>
      </c>
      <c r="Q299" s="15">
        <v>11.8</v>
      </c>
      <c r="R299" s="15">
        <v>0</v>
      </c>
      <c r="S299" s="15">
        <v>11.8</v>
      </c>
    </row>
    <row r="300" spans="1:19" x14ac:dyDescent="0.3">
      <c r="A300" s="10" t="s">
        <v>881</v>
      </c>
      <c r="B300" s="11" t="s">
        <v>882</v>
      </c>
      <c r="C300" s="11"/>
      <c r="D300" s="11" t="s">
        <v>883</v>
      </c>
      <c r="E300" s="11">
        <f xml:space="preserve"> IF($S$235,1,0)</f>
        <v>0</v>
      </c>
      <c r="F300" s="11" t="s">
        <v>884</v>
      </c>
      <c r="G300" s="11">
        <v>4</v>
      </c>
      <c r="H300" s="11">
        <v>0</v>
      </c>
      <c r="I300" s="11">
        <v>0</v>
      </c>
      <c r="J300" s="11">
        <v>0</v>
      </c>
      <c r="K300" s="11">
        <v>0</v>
      </c>
      <c r="L300" s="11">
        <v>0</v>
      </c>
      <c r="M300" s="11">
        <v>0</v>
      </c>
      <c r="N300" s="11">
        <v>0</v>
      </c>
      <c r="O300" s="11">
        <v>0</v>
      </c>
      <c r="P300" s="11">
        <v>0</v>
      </c>
      <c r="Q300" s="12">
        <v>4.4000000000000004</v>
      </c>
      <c r="R300" s="12">
        <v>0</v>
      </c>
      <c r="S300" s="12">
        <v>4.4000000000000004</v>
      </c>
    </row>
    <row r="301" spans="1:19" x14ac:dyDescent="0.3">
      <c r="A301" s="13" t="s">
        <v>252</v>
      </c>
      <c r="B301" s="14" t="s">
        <v>253</v>
      </c>
      <c r="C301" s="14"/>
      <c r="D301" s="14" t="s">
        <v>254</v>
      </c>
      <c r="E301" s="14">
        <f xml:space="preserve"> IF($S$70,1,0)</f>
        <v>0</v>
      </c>
      <c r="F301" s="14" t="s">
        <v>255</v>
      </c>
      <c r="G301" s="14">
        <v>0</v>
      </c>
      <c r="H301" s="14">
        <v>0</v>
      </c>
      <c r="I301" s="14">
        <v>0</v>
      </c>
      <c r="J301" s="14">
        <v>0</v>
      </c>
      <c r="K301" s="14">
        <v>0</v>
      </c>
      <c r="L301" s="14">
        <v>0</v>
      </c>
      <c r="M301" s="14">
        <v>0</v>
      </c>
      <c r="N301" s="14">
        <v>0</v>
      </c>
      <c r="O301" s="14">
        <v>0</v>
      </c>
      <c r="P301" s="14">
        <v>0</v>
      </c>
      <c r="Q301" s="15">
        <v>0</v>
      </c>
      <c r="R301" s="15">
        <v>0</v>
      </c>
      <c r="S301" s="15">
        <v>0</v>
      </c>
    </row>
    <row r="302" spans="1:19" x14ac:dyDescent="0.3">
      <c r="A302" s="10" t="s">
        <v>290</v>
      </c>
      <c r="B302" s="11" t="s">
        <v>291</v>
      </c>
      <c r="C302" s="11"/>
      <c r="D302" s="11" t="s">
        <v>292</v>
      </c>
      <c r="E302" s="11">
        <f xml:space="preserve"> IF($S$79,1,0)</f>
        <v>0</v>
      </c>
      <c r="F302" s="11" t="s">
        <v>293</v>
      </c>
      <c r="G302" s="11">
        <v>0</v>
      </c>
      <c r="H302" s="11">
        <v>0</v>
      </c>
      <c r="I302" s="11">
        <v>0</v>
      </c>
      <c r="J302" s="11">
        <v>0</v>
      </c>
      <c r="K302" s="11">
        <v>0</v>
      </c>
      <c r="L302" s="11">
        <v>0</v>
      </c>
      <c r="M302" s="11">
        <v>0</v>
      </c>
      <c r="N302" s="11">
        <v>0</v>
      </c>
      <c r="O302" s="11">
        <v>0</v>
      </c>
      <c r="P302" s="11">
        <v>0</v>
      </c>
      <c r="Q302" s="12">
        <v>0</v>
      </c>
      <c r="R302" s="12">
        <v>0</v>
      </c>
      <c r="S302" s="12">
        <v>0</v>
      </c>
    </row>
    <row r="303" spans="1:19" x14ac:dyDescent="0.3">
      <c r="A303" s="10" t="s">
        <v>788</v>
      </c>
      <c r="B303" s="11" t="s">
        <v>789</v>
      </c>
      <c r="C303" s="11"/>
      <c r="D303" s="11" t="s">
        <v>790</v>
      </c>
      <c r="E303" s="11">
        <f xml:space="preserve"> IF($S$211,1,0)</f>
        <v>0</v>
      </c>
      <c r="F303" s="11" t="s">
        <v>791</v>
      </c>
      <c r="G303" s="11">
        <v>0</v>
      </c>
      <c r="H303" s="11">
        <v>0</v>
      </c>
      <c r="I303" s="11">
        <v>0</v>
      </c>
      <c r="J303" s="11">
        <v>0</v>
      </c>
      <c r="K303" s="11">
        <v>0</v>
      </c>
      <c r="L303" s="11">
        <v>0</v>
      </c>
      <c r="M303" s="11">
        <v>0</v>
      </c>
      <c r="N303" s="11">
        <v>0</v>
      </c>
      <c r="O303" s="11">
        <v>0</v>
      </c>
      <c r="P303" s="11">
        <v>0</v>
      </c>
      <c r="Q303" s="12">
        <v>0</v>
      </c>
      <c r="R303" s="12">
        <v>0</v>
      </c>
      <c r="S303" s="12">
        <v>0</v>
      </c>
    </row>
    <row r="304" spans="1:19" x14ac:dyDescent="0.3">
      <c r="A304" s="10" t="s">
        <v>485</v>
      </c>
      <c r="B304" s="11" t="s">
        <v>486</v>
      </c>
      <c r="C304" s="11"/>
      <c r="D304" s="11" t="s">
        <v>487</v>
      </c>
      <c r="E304" s="11">
        <f xml:space="preserve"> IF($S$131,1,0)</f>
        <v>0</v>
      </c>
      <c r="F304" s="11" t="s">
        <v>488</v>
      </c>
      <c r="G304" s="11">
        <v>0</v>
      </c>
      <c r="H304" s="11">
        <v>0</v>
      </c>
      <c r="I304" s="11">
        <v>0</v>
      </c>
      <c r="J304" s="11">
        <v>0</v>
      </c>
      <c r="K304" s="11">
        <v>0</v>
      </c>
      <c r="L304" s="11">
        <v>0</v>
      </c>
      <c r="M304" s="11">
        <v>0</v>
      </c>
      <c r="N304" s="11">
        <v>0</v>
      </c>
      <c r="O304" s="11">
        <v>0</v>
      </c>
      <c r="P304" s="11">
        <v>0</v>
      </c>
      <c r="Q304" s="12">
        <v>0</v>
      </c>
      <c r="R304" s="12">
        <v>0</v>
      </c>
      <c r="S304" s="12">
        <v>0</v>
      </c>
    </row>
    <row r="305" spans="1:19" x14ac:dyDescent="0.3">
      <c r="A305" s="13" t="s">
        <v>946</v>
      </c>
      <c r="B305" s="14" t="s">
        <v>947</v>
      </c>
      <c r="C305" s="14"/>
      <c r="D305" s="14" t="s">
        <v>948</v>
      </c>
      <c r="E305" s="14">
        <f xml:space="preserve"> IF($S$252,1,0)</f>
        <v>0</v>
      </c>
      <c r="F305" s="14" t="s">
        <v>949</v>
      </c>
      <c r="G305" s="14">
        <v>0</v>
      </c>
      <c r="H305" s="14">
        <v>0</v>
      </c>
      <c r="I305" s="14">
        <v>0</v>
      </c>
      <c r="J305" s="14">
        <v>0</v>
      </c>
      <c r="K305" s="14">
        <v>0</v>
      </c>
      <c r="L305" s="14">
        <v>0</v>
      </c>
      <c r="M305" s="14">
        <v>0</v>
      </c>
      <c r="N305" s="14">
        <v>0</v>
      </c>
      <c r="O305" s="14">
        <v>0</v>
      </c>
      <c r="P305" s="14">
        <v>0</v>
      </c>
      <c r="Q305" s="15">
        <v>0</v>
      </c>
      <c r="R305" s="15">
        <v>0</v>
      </c>
      <c r="S305" s="15">
        <v>0</v>
      </c>
    </row>
    <row r="306" spans="1:19" x14ac:dyDescent="0.3">
      <c r="A306" s="13" t="s">
        <v>183</v>
      </c>
      <c r="B306" s="14" t="s">
        <v>177</v>
      </c>
      <c r="C306" s="14"/>
      <c r="D306" s="14" t="s">
        <v>184</v>
      </c>
      <c r="E306" s="14">
        <f xml:space="preserve"> IF($S$50,1,0)</f>
        <v>0</v>
      </c>
      <c r="F306" s="14" t="s">
        <v>185</v>
      </c>
      <c r="G306" s="14">
        <v>2</v>
      </c>
      <c r="H306" s="14">
        <v>0</v>
      </c>
      <c r="I306" s="14">
        <v>0</v>
      </c>
      <c r="J306" s="14">
        <v>0</v>
      </c>
      <c r="K306" s="14">
        <v>0</v>
      </c>
      <c r="L306" s="14">
        <v>1</v>
      </c>
      <c r="M306" s="14">
        <v>0</v>
      </c>
      <c r="N306" s="14">
        <v>0</v>
      </c>
      <c r="O306" s="14">
        <v>0</v>
      </c>
      <c r="P306" s="14">
        <v>0</v>
      </c>
      <c r="Q306" s="15">
        <v>5.2</v>
      </c>
      <c r="R306" s="15">
        <v>0</v>
      </c>
      <c r="S306" s="15">
        <v>5.2</v>
      </c>
    </row>
    <row r="307" spans="1:19" x14ac:dyDescent="0.3">
      <c r="A307" s="13" t="s">
        <v>417</v>
      </c>
      <c r="B307" s="14" t="s">
        <v>418</v>
      </c>
      <c r="C307" s="14"/>
      <c r="D307" s="14" t="s">
        <v>419</v>
      </c>
      <c r="E307" s="14">
        <f xml:space="preserve"> IF($S$112,1,0)</f>
        <v>1</v>
      </c>
      <c r="F307" s="14" t="s">
        <v>420</v>
      </c>
      <c r="G307" s="14">
        <v>4</v>
      </c>
      <c r="H307" s="14">
        <v>0</v>
      </c>
      <c r="I307" s="14">
        <v>0</v>
      </c>
      <c r="J307" s="14">
        <v>0</v>
      </c>
      <c r="K307" s="14">
        <v>0</v>
      </c>
      <c r="L307" s="14">
        <v>0</v>
      </c>
      <c r="M307" s="14">
        <v>0</v>
      </c>
      <c r="N307" s="14">
        <v>0</v>
      </c>
      <c r="O307" s="14">
        <v>0</v>
      </c>
      <c r="P307" s="14">
        <v>0</v>
      </c>
      <c r="Q307" s="15">
        <v>4.4000000000000004</v>
      </c>
      <c r="R307" s="15">
        <v>0</v>
      </c>
      <c r="S307" s="15">
        <v>4.4000000000000004</v>
      </c>
    </row>
    <row r="308" spans="1:19" x14ac:dyDescent="0.3">
      <c r="A308" s="10" t="s">
        <v>1062</v>
      </c>
      <c r="B308" s="11" t="s">
        <v>1063</v>
      </c>
      <c r="C308" s="11"/>
      <c r="D308" s="11" t="s">
        <v>1064</v>
      </c>
      <c r="E308" s="11">
        <f xml:space="preserve"> IF($S$283,1,0)</f>
        <v>0</v>
      </c>
      <c r="F308" s="11" t="s">
        <v>1065</v>
      </c>
      <c r="G308" s="11">
        <v>0</v>
      </c>
      <c r="H308" s="11">
        <v>0</v>
      </c>
      <c r="I308" s="11">
        <v>0</v>
      </c>
      <c r="J308" s="11">
        <v>0</v>
      </c>
      <c r="K308" s="11">
        <v>0</v>
      </c>
      <c r="L308" s="11">
        <v>0</v>
      </c>
      <c r="M308" s="11">
        <v>0</v>
      </c>
      <c r="N308" s="11">
        <v>0</v>
      </c>
      <c r="O308" s="11">
        <v>0</v>
      </c>
      <c r="P308" s="11">
        <v>0</v>
      </c>
      <c r="Q308" s="12">
        <v>0</v>
      </c>
      <c r="R308" s="12">
        <v>0</v>
      </c>
      <c r="S308" s="12">
        <v>0</v>
      </c>
    </row>
    <row r="309" spans="1:19" x14ac:dyDescent="0.3">
      <c r="A309" s="13" t="s">
        <v>98</v>
      </c>
      <c r="B309" s="14" t="s">
        <v>99</v>
      </c>
      <c r="C309" s="14"/>
      <c r="D309" s="14" t="s">
        <v>100</v>
      </c>
      <c r="E309" s="14">
        <f xml:space="preserve"> IF($S$28,1,0)</f>
        <v>0</v>
      </c>
      <c r="F309" s="14" t="s">
        <v>101</v>
      </c>
      <c r="G309" s="14">
        <v>0</v>
      </c>
      <c r="H309" s="14">
        <v>0</v>
      </c>
      <c r="I309" s="14">
        <v>0</v>
      </c>
      <c r="J309" s="14">
        <v>0</v>
      </c>
      <c r="K309" s="14">
        <v>0</v>
      </c>
      <c r="L309" s="14">
        <v>0</v>
      </c>
      <c r="M309" s="14">
        <v>0</v>
      </c>
      <c r="N309" s="14">
        <v>0</v>
      </c>
      <c r="O309" s="14">
        <v>0</v>
      </c>
      <c r="P309" s="14">
        <v>0</v>
      </c>
      <c r="Q309" s="15">
        <v>0</v>
      </c>
      <c r="R309" s="15">
        <v>0</v>
      </c>
      <c r="S309" s="15">
        <v>0</v>
      </c>
    </row>
    <row r="310" spans="1:19" x14ac:dyDescent="0.3">
      <c r="A310" s="13" t="s">
        <v>862</v>
      </c>
      <c r="B310" s="14" t="s">
        <v>863</v>
      </c>
      <c r="C310" s="14"/>
      <c r="D310" s="14" t="s">
        <v>864</v>
      </c>
      <c r="E310" s="14">
        <f xml:space="preserve"> IF($S$230,1,0)</f>
        <v>1</v>
      </c>
      <c r="F310" s="14" t="s">
        <v>865</v>
      </c>
      <c r="G310" s="14">
        <v>0</v>
      </c>
      <c r="H310" s="14">
        <v>0</v>
      </c>
      <c r="I310" s="14">
        <v>0</v>
      </c>
      <c r="J310" s="14">
        <v>0</v>
      </c>
      <c r="K310" s="14">
        <v>0</v>
      </c>
      <c r="L310" s="14">
        <v>0</v>
      </c>
      <c r="M310" s="14">
        <v>0</v>
      </c>
      <c r="N310" s="14">
        <v>0</v>
      </c>
      <c r="O310" s="14">
        <v>0</v>
      </c>
      <c r="P310" s="14">
        <v>0</v>
      </c>
      <c r="Q310" s="15">
        <v>0</v>
      </c>
      <c r="R310" s="15">
        <v>0</v>
      </c>
      <c r="S310" s="15">
        <v>0</v>
      </c>
    </row>
    <row r="311" spans="1:19" x14ac:dyDescent="0.3">
      <c r="A311" s="10" t="s">
        <v>835</v>
      </c>
      <c r="B311" s="11" t="s">
        <v>836</v>
      </c>
      <c r="C311" s="11"/>
      <c r="D311" s="11" t="s">
        <v>837</v>
      </c>
      <c r="E311" s="11">
        <f xml:space="preserve"> IF($S$223,1,0)</f>
        <v>1</v>
      </c>
      <c r="F311" s="11" t="s">
        <v>838</v>
      </c>
      <c r="G311" s="11">
        <v>0</v>
      </c>
      <c r="H311" s="11">
        <v>0</v>
      </c>
      <c r="I311" s="11">
        <v>0</v>
      </c>
      <c r="J311" s="11">
        <v>0</v>
      </c>
      <c r="K311" s="11">
        <v>0</v>
      </c>
      <c r="L311" s="11">
        <v>0</v>
      </c>
      <c r="M311" s="11">
        <v>0</v>
      </c>
      <c r="N311" s="11">
        <v>0</v>
      </c>
      <c r="O311" s="11">
        <v>0</v>
      </c>
      <c r="P311" s="11">
        <v>0</v>
      </c>
      <c r="Q311" s="12">
        <v>0</v>
      </c>
      <c r="R311" s="12">
        <v>0</v>
      </c>
      <c r="S311" s="12">
        <v>0</v>
      </c>
    </row>
    <row r="312" spans="1:19" x14ac:dyDescent="0.3">
      <c r="A312" s="10" t="s">
        <v>766</v>
      </c>
      <c r="B312" s="11" t="s">
        <v>767</v>
      </c>
      <c r="C312" s="11"/>
      <c r="D312" s="11" t="s">
        <v>768</v>
      </c>
      <c r="E312" s="11">
        <f xml:space="preserve"> IF($S$205,1,0)</f>
        <v>0</v>
      </c>
      <c r="F312" s="11" t="s">
        <v>769</v>
      </c>
      <c r="G312" s="11">
        <v>0</v>
      </c>
      <c r="H312" s="11">
        <v>0</v>
      </c>
      <c r="I312" s="11">
        <v>0</v>
      </c>
      <c r="J312" s="11">
        <v>0</v>
      </c>
      <c r="K312" s="11">
        <v>0</v>
      </c>
      <c r="L312" s="11">
        <v>0</v>
      </c>
      <c r="M312" s="11">
        <v>0</v>
      </c>
      <c r="N312" s="11">
        <v>0</v>
      </c>
      <c r="O312" s="11">
        <v>0</v>
      </c>
      <c r="P312" s="11">
        <v>0</v>
      </c>
      <c r="Q312" s="12">
        <v>0</v>
      </c>
      <c r="R312" s="12">
        <v>0</v>
      </c>
      <c r="S312" s="12">
        <v>0</v>
      </c>
    </row>
    <row r="313" spans="1:19" x14ac:dyDescent="0.3">
      <c r="A313" s="10" t="s">
        <v>700</v>
      </c>
      <c r="B313" s="11" t="s">
        <v>697</v>
      </c>
      <c r="C313" s="11"/>
      <c r="D313" s="11" t="s">
        <v>701</v>
      </c>
      <c r="E313" s="11">
        <f xml:space="preserve"> IF($S$187,1,0)</f>
        <v>1</v>
      </c>
      <c r="F313" s="11" t="s">
        <v>702</v>
      </c>
      <c r="G313" s="11">
        <v>1</v>
      </c>
      <c r="H313" s="11">
        <v>0</v>
      </c>
      <c r="I313" s="11">
        <v>0</v>
      </c>
      <c r="J313" s="11">
        <v>0</v>
      </c>
      <c r="K313" s="11">
        <v>0</v>
      </c>
      <c r="L313" s="11">
        <v>0</v>
      </c>
      <c r="M313" s="11">
        <v>0</v>
      </c>
      <c r="N313" s="11">
        <v>0</v>
      </c>
      <c r="O313" s="11">
        <v>0</v>
      </c>
      <c r="P313" s="11">
        <v>0</v>
      </c>
      <c r="Q313" s="12">
        <v>1.1000000000000001</v>
      </c>
      <c r="R313" s="12">
        <v>0</v>
      </c>
      <c r="S313" s="12">
        <v>1.1000000000000001</v>
      </c>
    </row>
    <row r="314" spans="1:19" x14ac:dyDescent="0.3">
      <c r="A314" s="13" t="s">
        <v>370</v>
      </c>
      <c r="B314" s="14" t="s">
        <v>371</v>
      </c>
      <c r="C314" s="14"/>
      <c r="D314" s="14" t="s">
        <v>372</v>
      </c>
      <c r="E314" s="14">
        <f xml:space="preserve"> IF($S$100,1,0)</f>
        <v>0</v>
      </c>
      <c r="F314" s="14" t="s">
        <v>373</v>
      </c>
      <c r="G314" s="14">
        <v>0</v>
      </c>
      <c r="H314" s="14">
        <v>0</v>
      </c>
      <c r="I314" s="14">
        <v>0</v>
      </c>
      <c r="J314" s="14">
        <v>0</v>
      </c>
      <c r="K314" s="14">
        <v>0</v>
      </c>
      <c r="L314" s="14">
        <v>0</v>
      </c>
      <c r="M314" s="14">
        <v>0</v>
      </c>
      <c r="N314" s="14">
        <v>0</v>
      </c>
      <c r="O314" s="14">
        <v>0</v>
      </c>
      <c r="P314" s="14">
        <v>0</v>
      </c>
      <c r="Q314" s="15">
        <v>0</v>
      </c>
      <c r="R314" s="15">
        <v>0</v>
      </c>
      <c r="S314" s="15">
        <v>0</v>
      </c>
    </row>
    <row r="315" spans="1:19" x14ac:dyDescent="0.3">
      <c r="A315" s="13" t="s">
        <v>309</v>
      </c>
      <c r="B315" s="14" t="s">
        <v>310</v>
      </c>
      <c r="C315" s="14"/>
      <c r="D315" s="14" t="s">
        <v>311</v>
      </c>
      <c r="E315" s="14">
        <f xml:space="preserve"> IF($S$84,1,0)</f>
        <v>0</v>
      </c>
      <c r="F315" s="14" t="s">
        <v>312</v>
      </c>
      <c r="G315" s="14">
        <v>0</v>
      </c>
      <c r="H315" s="14">
        <v>0</v>
      </c>
      <c r="I315" s="14">
        <v>0</v>
      </c>
      <c r="J315" s="14">
        <v>0</v>
      </c>
      <c r="K315" s="14">
        <v>0</v>
      </c>
      <c r="L315" s="14">
        <v>0</v>
      </c>
      <c r="M315" s="14">
        <v>0</v>
      </c>
      <c r="N315" s="14">
        <v>0</v>
      </c>
      <c r="O315" s="14">
        <v>0</v>
      </c>
      <c r="P315" s="14">
        <v>0</v>
      </c>
      <c r="Q315" s="15">
        <v>0</v>
      </c>
      <c r="R315" s="15">
        <v>0</v>
      </c>
      <c r="S315" s="15">
        <v>0</v>
      </c>
    </row>
    <row r="316" spans="1:19" x14ac:dyDescent="0.3">
      <c r="A316" s="13" t="s">
        <v>68</v>
      </c>
      <c r="B316" s="14" t="s">
        <v>69</v>
      </c>
      <c r="C316" s="14"/>
      <c r="D316" s="14" t="s">
        <v>70</v>
      </c>
      <c r="E316" s="14">
        <f xml:space="preserve"> IF($S$20,1,0)</f>
        <v>1</v>
      </c>
      <c r="F316" s="14" t="s">
        <v>71</v>
      </c>
      <c r="G316" s="14">
        <v>0</v>
      </c>
      <c r="H316" s="14">
        <v>0</v>
      </c>
      <c r="I316" s="14">
        <v>0</v>
      </c>
      <c r="J316" s="14">
        <v>0</v>
      </c>
      <c r="K316" s="14">
        <v>0</v>
      </c>
      <c r="L316" s="14">
        <v>0</v>
      </c>
      <c r="M316" s="14">
        <v>0</v>
      </c>
      <c r="N316" s="14">
        <v>0</v>
      </c>
      <c r="O316" s="14">
        <v>0</v>
      </c>
      <c r="P316" s="14">
        <v>0</v>
      </c>
      <c r="Q316" s="15">
        <v>0</v>
      </c>
      <c r="R316" s="15">
        <v>0</v>
      </c>
      <c r="S316" s="15">
        <v>0</v>
      </c>
    </row>
    <row r="317" spans="1:19" x14ac:dyDescent="0.3">
      <c r="A317" s="10" t="s">
        <v>645</v>
      </c>
      <c r="B317" s="11" t="s">
        <v>646</v>
      </c>
      <c r="C317" s="11"/>
      <c r="D317" s="11" t="s">
        <v>647</v>
      </c>
      <c r="E317" s="11">
        <f xml:space="preserve"> IF($S$173,1,0)</f>
        <v>0</v>
      </c>
      <c r="F317" s="11" t="s">
        <v>648</v>
      </c>
      <c r="G317" s="11">
        <v>0</v>
      </c>
      <c r="H317" s="11">
        <v>0</v>
      </c>
      <c r="I317" s="11">
        <v>0</v>
      </c>
      <c r="J317" s="11">
        <v>0</v>
      </c>
      <c r="K317" s="11">
        <v>0</v>
      </c>
      <c r="L317" s="11">
        <v>0</v>
      </c>
      <c r="M317" s="11">
        <v>0</v>
      </c>
      <c r="N317" s="11">
        <v>0</v>
      </c>
      <c r="O317" s="11">
        <v>0</v>
      </c>
      <c r="P317" s="11">
        <v>0</v>
      </c>
      <c r="Q317" s="12">
        <v>0</v>
      </c>
      <c r="R317" s="12">
        <v>0</v>
      </c>
      <c r="S317" s="12">
        <v>0</v>
      </c>
    </row>
    <row r="318" spans="1:19" x14ac:dyDescent="0.3">
      <c r="A318" s="13" t="s">
        <v>968</v>
      </c>
      <c r="B318" s="14" t="s">
        <v>969</v>
      </c>
      <c r="C318" s="14"/>
      <c r="D318" s="14" t="s">
        <v>970</v>
      </c>
      <c r="E318" s="14">
        <f xml:space="preserve"> IF($S$258,1,0)</f>
        <v>0</v>
      </c>
      <c r="F318" s="14" t="s">
        <v>971</v>
      </c>
      <c r="G318" s="14">
        <v>2</v>
      </c>
      <c r="H318" s="14">
        <v>0</v>
      </c>
      <c r="I318" s="14">
        <v>0</v>
      </c>
      <c r="J318" s="14">
        <v>0</v>
      </c>
      <c r="K318" s="14">
        <v>0</v>
      </c>
      <c r="L318" s="14">
        <v>0</v>
      </c>
      <c r="M318" s="14">
        <v>0</v>
      </c>
      <c r="N318" s="14">
        <v>0</v>
      </c>
      <c r="O318" s="14">
        <v>0</v>
      </c>
      <c r="P318" s="14">
        <v>0</v>
      </c>
      <c r="Q318" s="15">
        <v>2.2000000000000002</v>
      </c>
      <c r="R318" s="15">
        <v>0</v>
      </c>
      <c r="S318" s="15">
        <v>2.2000000000000002</v>
      </c>
    </row>
    <row r="319" spans="1:19" x14ac:dyDescent="0.3">
      <c r="A319" s="13" t="s">
        <v>294</v>
      </c>
      <c r="B319" s="14" t="s">
        <v>295</v>
      </c>
      <c r="C319" s="14"/>
      <c r="D319" s="14" t="s">
        <v>296</v>
      </c>
      <c r="E319" s="14">
        <f xml:space="preserve"> IF($S$80,1,0)</f>
        <v>0</v>
      </c>
      <c r="F319" s="14" t="s">
        <v>297</v>
      </c>
      <c r="G319" s="14">
        <v>0</v>
      </c>
      <c r="H319" s="14">
        <v>0</v>
      </c>
      <c r="I319" s="14">
        <v>0</v>
      </c>
      <c r="J319" s="14">
        <v>0</v>
      </c>
      <c r="K319" s="14">
        <v>0</v>
      </c>
      <c r="L319" s="14">
        <v>0</v>
      </c>
      <c r="M319" s="14">
        <v>0</v>
      </c>
      <c r="N319" s="14">
        <v>0</v>
      </c>
      <c r="O319" s="14">
        <v>0</v>
      </c>
      <c r="P319" s="14">
        <v>0</v>
      </c>
      <c r="Q319" s="15">
        <v>0</v>
      </c>
      <c r="R319" s="15">
        <v>0</v>
      </c>
      <c r="S319" s="15">
        <v>0</v>
      </c>
    </row>
    <row r="320" spans="1:19" x14ac:dyDescent="0.3">
      <c r="A320" s="10" t="s">
        <v>988</v>
      </c>
      <c r="B320" s="11" t="s">
        <v>989</v>
      </c>
      <c r="C320" s="11" t="s">
        <v>887</v>
      </c>
      <c r="D320" s="11" t="s">
        <v>990</v>
      </c>
      <c r="E320" s="11">
        <f xml:space="preserve"> IF($S$263,1,0)</f>
        <v>1</v>
      </c>
      <c r="F320" s="11" t="s">
        <v>991</v>
      </c>
      <c r="G320" s="11">
        <v>0</v>
      </c>
      <c r="H320" s="11">
        <v>0</v>
      </c>
      <c r="I320" s="11">
        <v>0</v>
      </c>
      <c r="J320" s="11">
        <v>0</v>
      </c>
      <c r="K320" s="11">
        <v>0</v>
      </c>
      <c r="L320" s="11">
        <v>0</v>
      </c>
      <c r="M320" s="11">
        <v>0</v>
      </c>
      <c r="N320" s="11">
        <v>0</v>
      </c>
      <c r="O320" s="11">
        <v>0</v>
      </c>
      <c r="P320" s="11">
        <v>1</v>
      </c>
      <c r="Q320" s="12">
        <v>3</v>
      </c>
      <c r="R320" s="12">
        <v>0</v>
      </c>
      <c r="S320" s="12">
        <v>3</v>
      </c>
    </row>
    <row r="321" spans="1:19" x14ac:dyDescent="0.3">
      <c r="A321" s="13" t="s">
        <v>349</v>
      </c>
      <c r="B321" s="14" t="s">
        <v>350</v>
      </c>
      <c r="C321" s="14"/>
      <c r="D321" s="14" t="s">
        <v>351</v>
      </c>
      <c r="E321" s="14">
        <f xml:space="preserve"> IF($S$94,1,0)</f>
        <v>0</v>
      </c>
      <c r="F321" s="14" t="s">
        <v>352</v>
      </c>
      <c r="G321" s="14">
        <v>0</v>
      </c>
      <c r="H321" s="14">
        <v>0</v>
      </c>
      <c r="I321" s="14">
        <v>0</v>
      </c>
      <c r="J321" s="14">
        <v>0</v>
      </c>
      <c r="K321" s="14">
        <v>0</v>
      </c>
      <c r="L321" s="14">
        <v>0</v>
      </c>
      <c r="M321" s="14">
        <v>0</v>
      </c>
      <c r="N321" s="14">
        <v>0</v>
      </c>
      <c r="O321" s="14">
        <v>0</v>
      </c>
      <c r="P321" s="14">
        <v>0</v>
      </c>
      <c r="Q321" s="15">
        <v>0</v>
      </c>
      <c r="R321" s="15">
        <v>0</v>
      </c>
      <c r="S321" s="15">
        <v>0</v>
      </c>
    </row>
    <row r="322" spans="1:19" x14ac:dyDescent="0.3">
      <c r="A322" s="10" t="s">
        <v>186</v>
      </c>
      <c r="B322" s="11" t="s">
        <v>177</v>
      </c>
      <c r="C322" s="11"/>
      <c r="D322" s="11" t="s">
        <v>187</v>
      </c>
      <c r="E322" s="11">
        <f xml:space="preserve"> IF($S$51,1,0)</f>
        <v>0</v>
      </c>
      <c r="F322" s="11" t="s">
        <v>188</v>
      </c>
      <c r="G322" s="11">
        <v>6</v>
      </c>
      <c r="H322" s="11">
        <v>0</v>
      </c>
      <c r="I322" s="11">
        <v>0</v>
      </c>
      <c r="J322" s="11">
        <v>0</v>
      </c>
      <c r="K322" s="11">
        <v>0</v>
      </c>
      <c r="L322" s="11">
        <v>0</v>
      </c>
      <c r="M322" s="11">
        <v>0</v>
      </c>
      <c r="N322" s="11">
        <v>0</v>
      </c>
      <c r="O322" s="11">
        <v>0</v>
      </c>
      <c r="P322" s="11">
        <v>0</v>
      </c>
      <c r="Q322" s="12">
        <v>6.6000000000000005</v>
      </c>
      <c r="R322" s="12">
        <v>0</v>
      </c>
      <c r="S322" s="12">
        <v>6.6000000000000005</v>
      </c>
    </row>
    <row r="323" spans="1:19" x14ac:dyDescent="0.3">
      <c r="A323" s="10" t="s">
        <v>819</v>
      </c>
      <c r="B323" s="11" t="s">
        <v>820</v>
      </c>
      <c r="C323" s="11"/>
      <c r="D323" s="11" t="s">
        <v>821</v>
      </c>
      <c r="E323" s="11">
        <f xml:space="preserve"> IF($S$219,1,0)</f>
        <v>0</v>
      </c>
      <c r="F323" s="11" t="s">
        <v>822</v>
      </c>
      <c r="G323" s="11">
        <v>0</v>
      </c>
      <c r="H323" s="11">
        <v>0</v>
      </c>
      <c r="I323" s="11">
        <v>0</v>
      </c>
      <c r="J323" s="11">
        <v>0</v>
      </c>
      <c r="K323" s="11">
        <v>0</v>
      </c>
      <c r="L323" s="11">
        <v>0</v>
      </c>
      <c r="M323" s="11">
        <v>0</v>
      </c>
      <c r="N323" s="11">
        <v>0</v>
      </c>
      <c r="O323" s="11">
        <v>0</v>
      </c>
      <c r="P323" s="11">
        <v>0</v>
      </c>
      <c r="Q323" s="12">
        <v>0</v>
      </c>
      <c r="R323" s="12">
        <v>0</v>
      </c>
      <c r="S323" s="12">
        <v>0</v>
      </c>
    </row>
    <row r="324" spans="1:19" x14ac:dyDescent="0.3">
      <c r="A324" s="13" t="s">
        <v>823</v>
      </c>
      <c r="B324" s="14" t="s">
        <v>824</v>
      </c>
      <c r="C324" s="14"/>
      <c r="D324" s="14" t="s">
        <v>825</v>
      </c>
      <c r="E324" s="14">
        <f xml:space="preserve"> IF($S$220,1,0)</f>
        <v>0</v>
      </c>
      <c r="F324" s="14" t="s">
        <v>826</v>
      </c>
      <c r="G324" s="14">
        <v>2</v>
      </c>
      <c r="H324" s="14">
        <v>0</v>
      </c>
      <c r="I324" s="14">
        <v>0</v>
      </c>
      <c r="J324" s="14">
        <v>0</v>
      </c>
      <c r="K324" s="14">
        <v>0</v>
      </c>
      <c r="L324" s="14">
        <v>0</v>
      </c>
      <c r="M324" s="14">
        <v>0</v>
      </c>
      <c r="N324" s="14">
        <v>0</v>
      </c>
      <c r="O324" s="14">
        <v>0</v>
      </c>
      <c r="P324" s="14">
        <v>0</v>
      </c>
      <c r="Q324" s="15">
        <v>2.2000000000000002</v>
      </c>
      <c r="R324" s="15">
        <v>0</v>
      </c>
      <c r="S324" s="15">
        <v>2.2000000000000002</v>
      </c>
    </row>
    <row r="325" spans="1:19" x14ac:dyDescent="0.3">
      <c r="A325" s="10" t="s">
        <v>256</v>
      </c>
      <c r="B325" s="11" t="s">
        <v>257</v>
      </c>
      <c r="C325" s="11"/>
      <c r="D325" s="11" t="s">
        <v>258</v>
      </c>
      <c r="E325" s="11">
        <f xml:space="preserve"> IF($S$71,1,0)</f>
        <v>1</v>
      </c>
      <c r="F325" s="11" t="s">
        <v>259</v>
      </c>
      <c r="G325" s="11">
        <v>0</v>
      </c>
      <c r="H325" s="11">
        <v>0</v>
      </c>
      <c r="I325" s="11">
        <v>0</v>
      </c>
      <c r="J325" s="11">
        <v>0</v>
      </c>
      <c r="K325" s="11">
        <v>0</v>
      </c>
      <c r="L325" s="11">
        <v>2</v>
      </c>
      <c r="M325" s="11">
        <v>2</v>
      </c>
      <c r="N325" s="11">
        <v>0</v>
      </c>
      <c r="O325" s="11">
        <v>0</v>
      </c>
      <c r="P325" s="11">
        <v>0</v>
      </c>
      <c r="Q325" s="12">
        <v>14</v>
      </c>
      <c r="R325" s="12">
        <v>0</v>
      </c>
      <c r="S325" s="12">
        <v>14</v>
      </c>
    </row>
    <row r="326" spans="1:19" x14ac:dyDescent="0.3">
      <c r="A326" s="13" t="s">
        <v>596</v>
      </c>
      <c r="B326" s="14" t="s">
        <v>597</v>
      </c>
      <c r="C326" s="14"/>
      <c r="D326" s="14" t="s">
        <v>598</v>
      </c>
      <c r="E326" s="14">
        <f xml:space="preserve"> IF($S$160,1,0)</f>
        <v>0</v>
      </c>
      <c r="F326" s="14" t="s">
        <v>599</v>
      </c>
      <c r="G326" s="14">
        <v>0</v>
      </c>
      <c r="H326" s="14">
        <v>0</v>
      </c>
      <c r="I326" s="14">
        <v>0</v>
      </c>
      <c r="J326" s="14">
        <v>0</v>
      </c>
      <c r="K326" s="14">
        <v>0</v>
      </c>
      <c r="L326" s="14">
        <v>0</v>
      </c>
      <c r="M326" s="14">
        <v>0</v>
      </c>
      <c r="N326" s="14">
        <v>0</v>
      </c>
      <c r="O326" s="14">
        <v>0</v>
      </c>
      <c r="P326" s="14">
        <v>0</v>
      </c>
      <c r="Q326" s="15">
        <v>0</v>
      </c>
      <c r="R326" s="15">
        <v>0</v>
      </c>
      <c r="S326" s="15">
        <v>0</v>
      </c>
    </row>
    <row r="327" spans="1:19" x14ac:dyDescent="0.3">
      <c r="A327" s="13" t="s">
        <v>953</v>
      </c>
      <c r="B327" s="14" t="s">
        <v>954</v>
      </c>
      <c r="C327" s="14"/>
      <c r="D327" s="14" t="s">
        <v>955</v>
      </c>
      <c r="E327" s="14">
        <f xml:space="preserve"> IF($S$254,1,0)</f>
        <v>0</v>
      </c>
      <c r="F327" s="14" t="s">
        <v>956</v>
      </c>
      <c r="G327" s="14">
        <v>0</v>
      </c>
      <c r="H327" s="14">
        <v>0</v>
      </c>
      <c r="I327" s="14">
        <v>0</v>
      </c>
      <c r="J327" s="14">
        <v>0</v>
      </c>
      <c r="K327" s="14">
        <v>0</v>
      </c>
      <c r="L327" s="14">
        <v>0</v>
      </c>
      <c r="M327" s="14">
        <v>0</v>
      </c>
      <c r="N327" s="14">
        <v>0</v>
      </c>
      <c r="O327" s="14">
        <v>0</v>
      </c>
      <c r="P327" s="14">
        <v>0</v>
      </c>
      <c r="Q327" s="15">
        <v>0</v>
      </c>
      <c r="R327" s="15">
        <v>0</v>
      </c>
      <c r="S327" s="15">
        <v>0</v>
      </c>
    </row>
    <row r="328" spans="1:19" x14ac:dyDescent="0.3">
      <c r="A328" s="10" t="s">
        <v>374</v>
      </c>
      <c r="B328" s="11" t="s">
        <v>375</v>
      </c>
      <c r="C328" s="11"/>
      <c r="D328" s="11" t="s">
        <v>376</v>
      </c>
      <c r="E328" s="11">
        <f xml:space="preserve"> IF($S$101,1,0)</f>
        <v>1</v>
      </c>
      <c r="F328" s="11" t="s">
        <v>377</v>
      </c>
      <c r="G328" s="11">
        <v>0</v>
      </c>
      <c r="H328" s="11">
        <v>0</v>
      </c>
      <c r="I328" s="11">
        <v>0</v>
      </c>
      <c r="J328" s="11">
        <v>0</v>
      </c>
      <c r="K328" s="11">
        <v>0</v>
      </c>
      <c r="L328" s="11">
        <v>0</v>
      </c>
      <c r="M328" s="11">
        <v>0</v>
      </c>
      <c r="N328" s="11">
        <v>0</v>
      </c>
      <c r="O328" s="11">
        <v>0</v>
      </c>
      <c r="P328" s="11">
        <v>0</v>
      </c>
      <c r="Q328" s="12">
        <v>0</v>
      </c>
      <c r="R328" s="12">
        <v>0</v>
      </c>
      <c r="S328" s="12">
        <v>0</v>
      </c>
    </row>
    <row r="329" spans="1:19" x14ac:dyDescent="0.3">
      <c r="A329" s="10" t="s">
        <v>469</v>
      </c>
      <c r="B329" s="11" t="s">
        <v>470</v>
      </c>
      <c r="C329" s="11"/>
      <c r="D329" s="11" t="s">
        <v>471</v>
      </c>
      <c r="E329" s="11">
        <f xml:space="preserve"> IF($S$127,1,0)</f>
        <v>0</v>
      </c>
      <c r="F329" s="11" t="s">
        <v>472</v>
      </c>
      <c r="G329" s="11">
        <v>0</v>
      </c>
      <c r="H329" s="11">
        <v>0</v>
      </c>
      <c r="I329" s="11">
        <v>0</v>
      </c>
      <c r="J329" s="11">
        <v>0</v>
      </c>
      <c r="K329" s="11">
        <v>0</v>
      </c>
      <c r="L329" s="11">
        <v>0</v>
      </c>
      <c r="M329" s="11">
        <v>0</v>
      </c>
      <c r="N329" s="11">
        <v>0</v>
      </c>
      <c r="O329" s="11">
        <v>0</v>
      </c>
      <c r="P329" s="11">
        <v>0</v>
      </c>
      <c r="Q329" s="12">
        <v>0</v>
      </c>
      <c r="R329" s="12">
        <v>0</v>
      </c>
      <c r="S329" s="12">
        <v>0</v>
      </c>
    </row>
    <row r="330" spans="1:19" x14ac:dyDescent="0.3">
      <c r="A330" s="13" t="s">
        <v>1241</v>
      </c>
      <c r="B330" s="14" t="s">
        <v>1242</v>
      </c>
      <c r="C330" s="14"/>
      <c r="D330" s="14" t="s">
        <v>1243</v>
      </c>
      <c r="E330" s="14">
        <f xml:space="preserve"> IF($S$116,1,0)</f>
        <v>0</v>
      </c>
      <c r="F330" s="14" t="s">
        <v>1244</v>
      </c>
      <c r="G330" s="14">
        <v>2</v>
      </c>
      <c r="H330" s="14">
        <v>0</v>
      </c>
      <c r="I330" s="14">
        <v>0</v>
      </c>
      <c r="J330" s="14">
        <v>0</v>
      </c>
      <c r="K330" s="14">
        <v>0</v>
      </c>
      <c r="L330" s="14">
        <v>0</v>
      </c>
      <c r="M330" s="14">
        <v>0</v>
      </c>
      <c r="N330" s="14">
        <v>0</v>
      </c>
      <c r="O330" s="14">
        <v>0</v>
      </c>
      <c r="P330" s="14">
        <v>0</v>
      </c>
      <c r="Q330" s="15">
        <v>2.2000000000000002</v>
      </c>
      <c r="R330" s="15">
        <v>0</v>
      </c>
      <c r="S330" s="15">
        <v>2.2000000000000002</v>
      </c>
    </row>
    <row r="331" spans="1:19" x14ac:dyDescent="0.3">
      <c r="A331" s="10" t="s">
        <v>1106</v>
      </c>
      <c r="B331" s="11" t="s">
        <v>1107</v>
      </c>
      <c r="C331" s="11"/>
      <c r="D331" s="11" t="s">
        <v>1107</v>
      </c>
      <c r="E331" s="11">
        <f xml:space="preserve"> IF($S$295,1,0)</f>
        <v>1</v>
      </c>
      <c r="F331" s="11" t="s">
        <v>1108</v>
      </c>
      <c r="G331" s="11">
        <v>0</v>
      </c>
      <c r="H331" s="11">
        <v>0</v>
      </c>
      <c r="I331" s="11">
        <v>0</v>
      </c>
      <c r="J331" s="11">
        <v>0</v>
      </c>
      <c r="K331" s="11">
        <v>0</v>
      </c>
      <c r="L331" s="11">
        <v>0</v>
      </c>
      <c r="M331" s="11">
        <v>0</v>
      </c>
      <c r="N331" s="11">
        <v>0</v>
      </c>
      <c r="O331" s="11">
        <v>0</v>
      </c>
      <c r="P331" s="11">
        <v>0</v>
      </c>
      <c r="Q331" s="12">
        <v>0</v>
      </c>
      <c r="R331" s="12">
        <v>0</v>
      </c>
      <c r="S331" s="12">
        <v>0</v>
      </c>
    </row>
    <row r="332" spans="1:19" x14ac:dyDescent="0.3">
      <c r="A332" s="13" t="s">
        <v>1236</v>
      </c>
      <c r="B332" s="14" t="s">
        <v>1237</v>
      </c>
      <c r="C332" s="14"/>
      <c r="D332" s="14" t="s">
        <v>1237</v>
      </c>
      <c r="E332" s="14">
        <f xml:space="preserve"> IF($S$332,1,0)</f>
        <v>0</v>
      </c>
      <c r="F332" s="14" t="s">
        <v>1238</v>
      </c>
      <c r="G332" s="14">
        <v>0</v>
      </c>
      <c r="H332" s="14">
        <v>0</v>
      </c>
      <c r="I332" s="14">
        <v>0</v>
      </c>
      <c r="J332" s="14">
        <v>0</v>
      </c>
      <c r="K332" s="14">
        <v>0</v>
      </c>
      <c r="L332" s="14">
        <v>0</v>
      </c>
      <c r="M332" s="14">
        <v>0</v>
      </c>
      <c r="N332" s="14">
        <v>0</v>
      </c>
      <c r="O332" s="14">
        <v>0</v>
      </c>
      <c r="P332" s="14">
        <v>0</v>
      </c>
      <c r="Q332" s="15">
        <v>0</v>
      </c>
      <c r="R332" s="15">
        <v>0</v>
      </c>
      <c r="S332" s="15">
        <v>0</v>
      </c>
    </row>
    <row r="334" spans="1:19" ht="15" thickBot="1" x14ac:dyDescent="0.35">
      <c r="E334" s="5" t="s">
        <v>18</v>
      </c>
      <c r="F334" s="6" t="s">
        <v>19</v>
      </c>
      <c r="G334" s="6" t="s">
        <v>4</v>
      </c>
      <c r="H334" s="6" t="s">
        <v>5</v>
      </c>
      <c r="I334" s="6" t="s">
        <v>6</v>
      </c>
      <c r="J334" s="6" t="s">
        <v>7</v>
      </c>
      <c r="K334" s="6" t="s">
        <v>8</v>
      </c>
      <c r="L334" s="6" t="s">
        <v>9</v>
      </c>
      <c r="M334" s="6" t="s">
        <v>10</v>
      </c>
      <c r="N334" s="6" t="s">
        <v>11</v>
      </c>
      <c r="O334" s="6" t="s">
        <v>12</v>
      </c>
      <c r="P334" s="6" t="s">
        <v>1240</v>
      </c>
      <c r="Q334" s="6" t="s">
        <v>23</v>
      </c>
      <c r="R334" s="6" t="s">
        <v>26</v>
      </c>
      <c r="S334" s="6" t="s">
        <v>25</v>
      </c>
    </row>
    <row r="335" spans="1:19" ht="15" thickTop="1" x14ac:dyDescent="0.3">
      <c r="E335" s="7">
        <f xml:space="preserve"> IF($S$335,1,0)</f>
        <v>0</v>
      </c>
      <c r="F335" s="8" t="s">
        <v>27</v>
      </c>
      <c r="G335" s="8">
        <v>0</v>
      </c>
      <c r="H335" s="8">
        <v>0</v>
      </c>
      <c r="I335" s="8">
        <v>0</v>
      </c>
      <c r="J335" s="8">
        <v>0</v>
      </c>
      <c r="K335" s="8">
        <v>0</v>
      </c>
      <c r="L335" s="8">
        <v>0</v>
      </c>
      <c r="M335" s="8">
        <v>0</v>
      </c>
      <c r="N335" s="8">
        <v>0</v>
      </c>
      <c r="O335" s="8">
        <v>0</v>
      </c>
      <c r="P335" s="8">
        <v>0</v>
      </c>
      <c r="Q335" s="9">
        <f>$G$335*$G$8+$H$335*$H$8+$I$335*$I$8+$J$335*$J$8+$K$335*$K$8+$L$335*$L$8+$M$335*$M$8+$N$335*$N$8+$O$335*$O$8+$P$335*$P$8</f>
        <v>0</v>
      </c>
      <c r="R335" s="9">
        <f>$S$335/2</f>
        <v>0</v>
      </c>
      <c r="S335" s="9">
        <f>$G$335*$G$8+$H$335*$H$8+$I$335*$I$8+$J$335*$J$8+$K$335*$K$8+$L$335*$L$8+$M$335*$M$8+$N$335*$N$8+$O$335*$O$8+$P$335*$P$8</f>
        <v>0</v>
      </c>
    </row>
  </sheetData>
  <sortState ref="A10:S332">
    <sortCondition ref="A10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88B48-2934-4BE2-8CDC-28AE123AFB4A}">
  <sheetPr codeName="Blad3"/>
  <dimension ref="A2:T335"/>
  <sheetViews>
    <sheetView topLeftCell="A319" workbookViewId="0">
      <selection activeCell="J330" sqref="J330"/>
    </sheetView>
  </sheetViews>
  <sheetFormatPr defaultRowHeight="14.4" x14ac:dyDescent="0.3"/>
  <cols>
    <col min="2" max="2" width="14.77734375" customWidth="1"/>
    <col min="3" max="3" width="18.77734375" customWidth="1"/>
    <col min="4" max="4" width="20.77734375" customWidth="1"/>
    <col min="5" max="5" width="14.77734375" customWidth="1"/>
    <col min="6" max="6" width="25.77734375" customWidth="1"/>
    <col min="8" max="8" width="11.109375" customWidth="1"/>
    <col min="12" max="15" width="11.44140625" customWidth="1"/>
    <col min="17" max="17" width="14.21875" customWidth="1"/>
    <col min="18" max="18" width="22.109375" customWidth="1"/>
    <col min="19" max="19" width="18.6640625" customWidth="1"/>
  </cols>
  <sheetData>
    <row r="2" spans="1:20" x14ac:dyDescent="0.3">
      <c r="F2" t="s">
        <v>20</v>
      </c>
      <c r="G2">
        <f>SUM($G$10:$G$332)+ SUM($G$335:$G$335)</f>
        <v>82</v>
      </c>
      <c r="H2">
        <f>SUM($H$10:$H$332)+ SUM($H$335:$H$335)</f>
        <v>28</v>
      </c>
      <c r="I2">
        <f>SUM($I$10:$I$332)+ SUM($I$335:$I$335)</f>
        <v>10</v>
      </c>
      <c r="J2">
        <f>SUM($J$10:$J$332)+ SUM($J$335:$J$335)</f>
        <v>3</v>
      </c>
      <c r="K2">
        <f>SUM($K$10:$K$332)+ SUM($K$335:$K$335)</f>
        <v>1</v>
      </c>
      <c r="L2">
        <f>SUM($L$10:$L$332)+ SUM($L$335:$L$335)</f>
        <v>12</v>
      </c>
      <c r="M2">
        <f>SUM($M$10:$M$332)+ SUM($M$335:$M$335)</f>
        <v>17</v>
      </c>
      <c r="N2">
        <f>SUM($N$10:$N$332)+ SUM($N$335:$N$335)</f>
        <v>0</v>
      </c>
      <c r="O2">
        <f>SUM($O$10:$O$332)+ SUM($O$335:$O$335)</f>
        <v>4</v>
      </c>
      <c r="P2">
        <f>SUM($P$10:$P$332)+ SUM($P$335:$P$335)</f>
        <v>0</v>
      </c>
      <c r="Q2">
        <f>SUM($Q$10:$Q$332)+ SUM($Q$335:$Q$335)</f>
        <v>8</v>
      </c>
      <c r="S2" t="s">
        <v>1239</v>
      </c>
    </row>
    <row r="3" spans="1:20" x14ac:dyDescent="0.3">
      <c r="F3" t="s">
        <v>21</v>
      </c>
      <c r="G3" s="3">
        <f>$G$8*G2</f>
        <v>90.2</v>
      </c>
      <c r="H3" s="3">
        <f>$H$8*H2</f>
        <v>50.4</v>
      </c>
      <c r="I3" s="3">
        <f>$I$8*I2</f>
        <v>23</v>
      </c>
      <c r="J3" s="3">
        <f>$J$8*J2</f>
        <v>3</v>
      </c>
      <c r="K3" s="3">
        <f>$K$8*K2</f>
        <v>4.75</v>
      </c>
      <c r="L3" s="3">
        <f>$L$8*L2</f>
        <v>24</v>
      </c>
      <c r="M3" s="3">
        <f>$M$8*M2</f>
        <v>51</v>
      </c>
      <c r="N3" s="3">
        <f>$N$8*N2</f>
        <v>0</v>
      </c>
      <c r="O3" s="3">
        <f>$O$8*O2</f>
        <v>20</v>
      </c>
      <c r="P3" s="3">
        <f>$P$8*P2</f>
        <v>0</v>
      </c>
      <c r="Q3" s="3">
        <f>$Q$8*Q2</f>
        <v>8</v>
      </c>
      <c r="S3">
        <f>SUM($E$10:$E$332)</f>
        <v>31</v>
      </c>
    </row>
    <row r="4" spans="1:20" x14ac:dyDescent="0.3">
      <c r="F4" s="3">
        <f>SUM(G3:Q3)</f>
        <v>274.35000000000002</v>
      </c>
    </row>
    <row r="5" spans="1:20" x14ac:dyDescent="0.3">
      <c r="F5" s="3">
        <f>SUM(R10:R332)</f>
        <v>274.35000000000002</v>
      </c>
    </row>
    <row r="6" spans="1:20" x14ac:dyDescent="0.3">
      <c r="F6" s="3">
        <f>SUM(T10:T332)</f>
        <v>274.35000000000002</v>
      </c>
    </row>
    <row r="8" spans="1:20" x14ac:dyDescent="0.3">
      <c r="F8" t="s">
        <v>22</v>
      </c>
      <c r="G8" s="4">
        <v>1.1000000000000001</v>
      </c>
      <c r="H8" s="4">
        <v>1.8</v>
      </c>
      <c r="I8" s="4">
        <v>2.2999999999999998</v>
      </c>
      <c r="J8" s="4">
        <v>1</v>
      </c>
      <c r="K8" s="4">
        <v>4.75</v>
      </c>
      <c r="L8" s="4">
        <v>2</v>
      </c>
      <c r="M8" s="4">
        <v>3</v>
      </c>
      <c r="N8" s="4">
        <v>4</v>
      </c>
      <c r="O8" s="4">
        <v>5</v>
      </c>
      <c r="P8" s="4">
        <v>0.5</v>
      </c>
      <c r="Q8" s="4">
        <v>1</v>
      </c>
    </row>
    <row r="9" spans="1:20" ht="15" thickBot="1" x14ac:dyDescent="0.35">
      <c r="A9" s="5" t="s">
        <v>14</v>
      </c>
      <c r="B9" s="6" t="s">
        <v>15</v>
      </c>
      <c r="C9" s="6" t="s">
        <v>16</v>
      </c>
      <c r="D9" s="6" t="s">
        <v>17</v>
      </c>
      <c r="E9" s="6" t="s">
        <v>18</v>
      </c>
      <c r="F9" s="6" t="s">
        <v>19</v>
      </c>
      <c r="G9" s="6" t="s">
        <v>4</v>
      </c>
      <c r="H9" s="6" t="s">
        <v>1245</v>
      </c>
      <c r="I9" s="6" t="s">
        <v>1246</v>
      </c>
      <c r="J9" s="6" t="s">
        <v>6</v>
      </c>
      <c r="K9" s="6" t="s">
        <v>7</v>
      </c>
      <c r="L9" s="6" t="s">
        <v>8</v>
      </c>
      <c r="M9" s="6" t="s">
        <v>9</v>
      </c>
      <c r="N9" s="6" t="s">
        <v>10</v>
      </c>
      <c r="O9" s="6" t="s">
        <v>11</v>
      </c>
      <c r="P9" s="6" t="s">
        <v>12</v>
      </c>
      <c r="Q9" s="6" t="s">
        <v>13</v>
      </c>
      <c r="R9" s="6" t="s">
        <v>23</v>
      </c>
      <c r="S9" s="6" t="s">
        <v>24</v>
      </c>
      <c r="T9" s="6" t="s">
        <v>25</v>
      </c>
    </row>
    <row r="10" spans="1:20" ht="15" thickTop="1" x14ac:dyDescent="0.3">
      <c r="A10" s="16" t="s">
        <v>172</v>
      </c>
      <c r="B10" s="17" t="s">
        <v>173</v>
      </c>
      <c r="C10" s="17"/>
      <c r="D10" s="17" t="s">
        <v>174</v>
      </c>
      <c r="E10" s="17">
        <f xml:space="preserve"> IF($T$47,1,0)</f>
        <v>0</v>
      </c>
      <c r="F10" s="17" t="s">
        <v>175</v>
      </c>
      <c r="G10" s="17">
        <v>0</v>
      </c>
      <c r="H10" s="17">
        <v>0</v>
      </c>
      <c r="I10" s="17">
        <v>0</v>
      </c>
      <c r="J10" s="17">
        <v>0</v>
      </c>
      <c r="K10" s="17">
        <v>0</v>
      </c>
      <c r="L10" s="17">
        <v>0</v>
      </c>
      <c r="M10" s="17">
        <v>0</v>
      </c>
      <c r="N10" s="17">
        <v>0</v>
      </c>
      <c r="O10" s="17">
        <v>0</v>
      </c>
      <c r="P10" s="17">
        <v>0</v>
      </c>
      <c r="Q10" s="17">
        <v>0</v>
      </c>
      <c r="R10" s="18">
        <v>0</v>
      </c>
      <c r="S10" s="18">
        <v>0</v>
      </c>
      <c r="T10" s="18">
        <v>0</v>
      </c>
    </row>
    <row r="11" spans="1:20" x14ac:dyDescent="0.3">
      <c r="A11" s="13" t="s">
        <v>815</v>
      </c>
      <c r="B11" s="14" t="s">
        <v>816</v>
      </c>
      <c r="C11" s="14"/>
      <c r="D11" s="14" t="s">
        <v>817</v>
      </c>
      <c r="E11" s="14">
        <f xml:space="preserve"> IF($T$218,1,0)</f>
        <v>0</v>
      </c>
      <c r="F11" s="14" t="s">
        <v>818</v>
      </c>
      <c r="G11" s="14">
        <v>0</v>
      </c>
      <c r="H11" s="14">
        <v>0</v>
      </c>
      <c r="I11" s="14">
        <v>0</v>
      </c>
      <c r="J11" s="14">
        <v>0</v>
      </c>
      <c r="K11" s="14">
        <v>0</v>
      </c>
      <c r="L11" s="14">
        <v>0</v>
      </c>
      <c r="M11" s="14">
        <v>0</v>
      </c>
      <c r="N11" s="14">
        <v>0</v>
      </c>
      <c r="O11" s="14">
        <v>0</v>
      </c>
      <c r="P11" s="14">
        <v>0</v>
      </c>
      <c r="Q11" s="14">
        <v>0</v>
      </c>
      <c r="R11" s="15">
        <v>0</v>
      </c>
      <c r="S11" s="15">
        <v>0</v>
      </c>
      <c r="T11" s="15">
        <v>0</v>
      </c>
    </row>
    <row r="12" spans="1:20" x14ac:dyDescent="0.3">
      <c r="A12" s="13" t="s">
        <v>930</v>
      </c>
      <c r="B12" s="14" t="s">
        <v>931</v>
      </c>
      <c r="C12" s="14"/>
      <c r="D12" s="14" t="s">
        <v>932</v>
      </c>
      <c r="E12" s="14">
        <f xml:space="preserve"> IF($T$248,1,0)</f>
        <v>0</v>
      </c>
      <c r="F12" s="14" t="s">
        <v>933</v>
      </c>
      <c r="G12" s="14">
        <v>0</v>
      </c>
      <c r="H12" s="14">
        <v>0</v>
      </c>
      <c r="I12" s="14">
        <v>0</v>
      </c>
      <c r="J12" s="14">
        <v>0</v>
      </c>
      <c r="K12" s="14">
        <v>0</v>
      </c>
      <c r="L12" s="14">
        <v>0</v>
      </c>
      <c r="M12" s="14">
        <v>0</v>
      </c>
      <c r="N12" s="14">
        <v>0</v>
      </c>
      <c r="O12" s="14">
        <v>0</v>
      </c>
      <c r="P12" s="14">
        <v>0</v>
      </c>
      <c r="Q12" s="14">
        <v>0</v>
      </c>
      <c r="R12" s="15">
        <v>0</v>
      </c>
      <c r="S12" s="15">
        <v>0</v>
      </c>
      <c r="T12" s="15">
        <v>0</v>
      </c>
    </row>
    <row r="13" spans="1:20" x14ac:dyDescent="0.3">
      <c r="A13" s="10" t="s">
        <v>234</v>
      </c>
      <c r="B13" s="11" t="s">
        <v>235</v>
      </c>
      <c r="C13" s="11"/>
      <c r="D13" s="11" t="s">
        <v>236</v>
      </c>
      <c r="E13" s="11">
        <f xml:space="preserve"> IF($T$65,1,0)</f>
        <v>0</v>
      </c>
      <c r="F13" s="11" t="s">
        <v>237</v>
      </c>
      <c r="G13" s="11">
        <v>0</v>
      </c>
      <c r="H13" s="11">
        <v>0</v>
      </c>
      <c r="I13" s="11">
        <v>0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2">
        <v>0</v>
      </c>
      <c r="S13" s="12">
        <v>0</v>
      </c>
      <c r="T13" s="12">
        <v>0</v>
      </c>
    </row>
    <row r="14" spans="1:20" x14ac:dyDescent="0.3">
      <c r="A14" s="10" t="s">
        <v>433</v>
      </c>
      <c r="B14" s="11" t="s">
        <v>434</v>
      </c>
      <c r="C14" s="11" t="s">
        <v>202</v>
      </c>
      <c r="D14" s="11" t="s">
        <v>435</v>
      </c>
      <c r="E14" s="11">
        <f xml:space="preserve"> IF($T$117,1,0)</f>
        <v>0</v>
      </c>
      <c r="F14" s="11" t="s">
        <v>436</v>
      </c>
      <c r="G14" s="11">
        <v>0</v>
      </c>
      <c r="H14" s="11">
        <v>0</v>
      </c>
      <c r="I14" s="11">
        <v>0</v>
      </c>
      <c r="J14" s="11">
        <v>0</v>
      </c>
      <c r="K14" s="11">
        <v>0</v>
      </c>
      <c r="L14" s="11">
        <v>0</v>
      </c>
      <c r="M14" s="11">
        <v>0</v>
      </c>
      <c r="N14" s="11">
        <v>0</v>
      </c>
      <c r="O14" s="11">
        <v>0</v>
      </c>
      <c r="P14" s="11">
        <v>0</v>
      </c>
      <c r="Q14" s="11">
        <v>0</v>
      </c>
      <c r="R14" s="12">
        <v>0</v>
      </c>
      <c r="S14" s="12">
        <v>0</v>
      </c>
      <c r="T14" s="12">
        <v>0</v>
      </c>
    </row>
    <row r="15" spans="1:20" x14ac:dyDescent="0.3">
      <c r="A15" s="10" t="s">
        <v>905</v>
      </c>
      <c r="B15" s="11" t="s">
        <v>906</v>
      </c>
      <c r="C15" s="11" t="s">
        <v>283</v>
      </c>
      <c r="D15" s="11" t="s">
        <v>296</v>
      </c>
      <c r="E15" s="11">
        <f xml:space="preserve"> IF($T$241,1,0)</f>
        <v>0</v>
      </c>
      <c r="F15" s="11" t="s">
        <v>907</v>
      </c>
      <c r="G15" s="11">
        <v>0</v>
      </c>
      <c r="H15" s="11">
        <v>0</v>
      </c>
      <c r="I15" s="11">
        <v>0</v>
      </c>
      <c r="J15" s="11">
        <v>0</v>
      </c>
      <c r="K15" s="11">
        <v>0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1">
        <v>0</v>
      </c>
      <c r="R15" s="12">
        <v>0</v>
      </c>
      <c r="S15" s="12">
        <v>0</v>
      </c>
      <c r="T15" s="12">
        <v>0</v>
      </c>
    </row>
    <row r="16" spans="1:20" x14ac:dyDescent="0.3">
      <c r="A16" s="13" t="s">
        <v>634</v>
      </c>
      <c r="B16" s="14" t="s">
        <v>635</v>
      </c>
      <c r="C16" s="14"/>
      <c r="D16" s="14" t="s">
        <v>636</v>
      </c>
      <c r="E16" s="14">
        <f xml:space="preserve"> IF($T$170,1,0)</f>
        <v>0</v>
      </c>
      <c r="F16" s="14" t="s">
        <v>637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4">
        <v>0</v>
      </c>
      <c r="O16" s="14">
        <v>0</v>
      </c>
      <c r="P16" s="14">
        <v>0</v>
      </c>
      <c r="Q16" s="14">
        <v>0</v>
      </c>
      <c r="R16" s="15">
        <v>0</v>
      </c>
      <c r="S16" s="15">
        <v>0</v>
      </c>
      <c r="T16" s="15">
        <v>0</v>
      </c>
    </row>
    <row r="17" spans="1:20" x14ac:dyDescent="0.3">
      <c r="A17" s="10" t="s">
        <v>1010</v>
      </c>
      <c r="B17" s="11" t="s">
        <v>1011</v>
      </c>
      <c r="C17" s="11"/>
      <c r="D17" s="11" t="s">
        <v>1012</v>
      </c>
      <c r="E17" s="11">
        <f xml:space="preserve"> IF($T$269,1,0)</f>
        <v>0</v>
      </c>
      <c r="F17" s="11" t="s">
        <v>1013</v>
      </c>
      <c r="G17" s="11">
        <v>0</v>
      </c>
      <c r="H17" s="11">
        <v>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1">
        <v>0</v>
      </c>
      <c r="R17" s="12">
        <v>0</v>
      </c>
      <c r="S17" s="12">
        <v>0</v>
      </c>
      <c r="T17" s="12">
        <v>0</v>
      </c>
    </row>
    <row r="18" spans="1:20" x14ac:dyDescent="0.3">
      <c r="A18" s="13" t="s">
        <v>286</v>
      </c>
      <c r="B18" s="14" t="s">
        <v>287</v>
      </c>
      <c r="C18" s="14" t="s">
        <v>278</v>
      </c>
      <c r="D18" s="14" t="s">
        <v>288</v>
      </c>
      <c r="E18" s="14">
        <f xml:space="preserve"> IF($T$78,1,0)</f>
        <v>0</v>
      </c>
      <c r="F18" s="14" t="s">
        <v>289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4">
        <v>0</v>
      </c>
      <c r="R18" s="15">
        <v>0</v>
      </c>
      <c r="S18" s="15">
        <v>0</v>
      </c>
      <c r="T18" s="15">
        <v>0</v>
      </c>
    </row>
    <row r="19" spans="1:20" x14ac:dyDescent="0.3">
      <c r="A19" s="10" t="s">
        <v>337</v>
      </c>
      <c r="B19" s="11" t="s">
        <v>334</v>
      </c>
      <c r="C19" s="11"/>
      <c r="D19" s="11" t="s">
        <v>338</v>
      </c>
      <c r="E19" s="11">
        <f xml:space="preserve"> IF($T$91,1,0)</f>
        <v>1</v>
      </c>
      <c r="F19" s="11" t="s">
        <v>339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1">
        <v>0</v>
      </c>
      <c r="R19" s="12">
        <v>0</v>
      </c>
      <c r="S19" s="12">
        <v>0</v>
      </c>
      <c r="T19" s="12">
        <v>0</v>
      </c>
    </row>
    <row r="20" spans="1:20" x14ac:dyDescent="0.3">
      <c r="A20" s="10" t="s">
        <v>102</v>
      </c>
      <c r="B20" s="11" t="s">
        <v>103</v>
      </c>
      <c r="C20" s="11"/>
      <c r="D20" s="11" t="s">
        <v>104</v>
      </c>
      <c r="E20" s="11">
        <f xml:space="preserve"> IF($T$29,1,0)</f>
        <v>0</v>
      </c>
      <c r="F20" s="11" t="s">
        <v>105</v>
      </c>
      <c r="G20" s="11">
        <v>0</v>
      </c>
      <c r="H20" s="11">
        <v>0</v>
      </c>
      <c r="I20" s="11">
        <v>0</v>
      </c>
      <c r="J20" s="11">
        <v>0</v>
      </c>
      <c r="K20" s="11">
        <v>0</v>
      </c>
      <c r="L20" s="11">
        <v>0</v>
      </c>
      <c r="M20" s="11">
        <v>0</v>
      </c>
      <c r="N20" s="11">
        <v>0</v>
      </c>
      <c r="O20" s="11">
        <v>0</v>
      </c>
      <c r="P20" s="11">
        <v>0</v>
      </c>
      <c r="Q20" s="11">
        <v>0</v>
      </c>
      <c r="R20" s="12">
        <v>0</v>
      </c>
      <c r="S20" s="12">
        <v>0</v>
      </c>
      <c r="T20" s="12">
        <v>0</v>
      </c>
    </row>
    <row r="21" spans="1:20" x14ac:dyDescent="0.3">
      <c r="A21" s="13" t="s">
        <v>1123</v>
      </c>
      <c r="B21" s="14" t="s">
        <v>1117</v>
      </c>
      <c r="C21" s="14"/>
      <c r="D21" s="14" t="s">
        <v>1124</v>
      </c>
      <c r="E21" s="14">
        <f xml:space="preserve"> IF($T$300,1,0)</f>
        <v>0</v>
      </c>
      <c r="F21" s="14" t="s">
        <v>1125</v>
      </c>
      <c r="G21" s="14">
        <v>0</v>
      </c>
      <c r="H21" s="14">
        <v>0</v>
      </c>
      <c r="I21" s="14">
        <v>0</v>
      </c>
      <c r="J21" s="14">
        <v>0</v>
      </c>
      <c r="K21" s="14">
        <v>0</v>
      </c>
      <c r="L21" s="14">
        <v>0</v>
      </c>
      <c r="M21" s="14">
        <v>0</v>
      </c>
      <c r="N21" s="14">
        <v>0</v>
      </c>
      <c r="O21" s="14">
        <v>0</v>
      </c>
      <c r="P21" s="14">
        <v>0</v>
      </c>
      <c r="Q21" s="14">
        <v>0</v>
      </c>
      <c r="R21" s="15">
        <v>0</v>
      </c>
      <c r="S21" s="15">
        <v>0</v>
      </c>
      <c r="T21" s="15">
        <v>0</v>
      </c>
    </row>
    <row r="22" spans="1:20" x14ac:dyDescent="0.3">
      <c r="A22" s="10" t="s">
        <v>148</v>
      </c>
      <c r="B22" s="11" t="s">
        <v>149</v>
      </c>
      <c r="C22" s="11"/>
      <c r="D22" s="11" t="s">
        <v>150</v>
      </c>
      <c r="E22" s="11">
        <f xml:space="preserve"> IF($T$41,1,0)</f>
        <v>0</v>
      </c>
      <c r="F22" s="11" t="s">
        <v>151</v>
      </c>
      <c r="G22" s="11">
        <v>0</v>
      </c>
      <c r="H22" s="11">
        <v>0</v>
      </c>
      <c r="I22" s="11">
        <v>0</v>
      </c>
      <c r="J22" s="11">
        <v>0</v>
      </c>
      <c r="K22" s="11">
        <v>0</v>
      </c>
      <c r="L22" s="11">
        <v>0</v>
      </c>
      <c r="M22" s="11">
        <v>0</v>
      </c>
      <c r="N22" s="11">
        <v>0</v>
      </c>
      <c r="O22" s="11">
        <v>0</v>
      </c>
      <c r="P22" s="11">
        <v>0</v>
      </c>
      <c r="Q22" s="11">
        <v>0</v>
      </c>
      <c r="R22" s="12">
        <v>0</v>
      </c>
      <c r="S22" s="12">
        <v>0</v>
      </c>
      <c r="T22" s="12">
        <v>0</v>
      </c>
    </row>
    <row r="23" spans="1:20" x14ac:dyDescent="0.3">
      <c r="A23" s="13" t="s">
        <v>317</v>
      </c>
      <c r="B23" s="14" t="s">
        <v>318</v>
      </c>
      <c r="C23" s="14"/>
      <c r="D23" s="14" t="s">
        <v>319</v>
      </c>
      <c r="E23" s="14">
        <f xml:space="preserve"> IF($T$86,1,0)</f>
        <v>0</v>
      </c>
      <c r="F23" s="14" t="s">
        <v>320</v>
      </c>
      <c r="G23" s="14">
        <v>0</v>
      </c>
      <c r="H23" s="14">
        <v>0</v>
      </c>
      <c r="I23" s="14">
        <v>0</v>
      </c>
      <c r="J23" s="14">
        <v>0</v>
      </c>
      <c r="K23" s="14">
        <v>0</v>
      </c>
      <c r="L23" s="14">
        <v>0</v>
      </c>
      <c r="M23" s="14">
        <v>0</v>
      </c>
      <c r="N23" s="14">
        <v>0</v>
      </c>
      <c r="O23" s="14">
        <v>0</v>
      </c>
      <c r="P23" s="14">
        <v>0</v>
      </c>
      <c r="Q23" s="14">
        <v>0</v>
      </c>
      <c r="R23" s="15">
        <v>0</v>
      </c>
      <c r="S23" s="15">
        <v>0</v>
      </c>
      <c r="T23" s="15">
        <v>0</v>
      </c>
    </row>
    <row r="24" spans="1:20" x14ac:dyDescent="0.3">
      <c r="A24" s="13" t="s">
        <v>870</v>
      </c>
      <c r="B24" s="14" t="s">
        <v>871</v>
      </c>
      <c r="C24" s="14" t="s">
        <v>243</v>
      </c>
      <c r="D24" s="14" t="s">
        <v>399</v>
      </c>
      <c r="E24" s="14">
        <f xml:space="preserve"> IF($T$232,1,0)</f>
        <v>0</v>
      </c>
      <c r="F24" s="14" t="s">
        <v>872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4">
        <v>0</v>
      </c>
      <c r="R24" s="15">
        <v>0</v>
      </c>
      <c r="S24" s="15">
        <v>0</v>
      </c>
      <c r="T24" s="15">
        <v>0</v>
      </c>
    </row>
    <row r="25" spans="1:20" x14ac:dyDescent="0.3">
      <c r="A25" s="13" t="s">
        <v>1036</v>
      </c>
      <c r="B25" s="14" t="s">
        <v>1037</v>
      </c>
      <c r="C25" s="14"/>
      <c r="D25" s="14" t="s">
        <v>1038</v>
      </c>
      <c r="E25" s="14">
        <f xml:space="preserve"> IF($T$276,1,0)</f>
        <v>0</v>
      </c>
      <c r="F25" s="14" t="s">
        <v>1039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  <c r="M25" s="14">
        <v>0</v>
      </c>
      <c r="N25" s="14">
        <v>0</v>
      </c>
      <c r="O25" s="14">
        <v>0</v>
      </c>
      <c r="P25" s="14">
        <v>0</v>
      </c>
      <c r="Q25" s="14">
        <v>0</v>
      </c>
      <c r="R25" s="15">
        <v>0</v>
      </c>
      <c r="S25" s="15">
        <v>0</v>
      </c>
      <c r="T25" s="15">
        <v>0</v>
      </c>
    </row>
    <row r="26" spans="1:20" x14ac:dyDescent="0.3">
      <c r="A26" s="10" t="s">
        <v>353</v>
      </c>
      <c r="B26" s="11" t="s">
        <v>354</v>
      </c>
      <c r="C26" s="11"/>
      <c r="D26" s="11" t="s">
        <v>355</v>
      </c>
      <c r="E26" s="11">
        <f xml:space="preserve"> IF($T$95,1,0)</f>
        <v>0</v>
      </c>
      <c r="F26" s="11" t="s">
        <v>356</v>
      </c>
      <c r="G26" s="11">
        <v>0</v>
      </c>
      <c r="H26" s="11">
        <v>0</v>
      </c>
      <c r="I26" s="11">
        <v>0</v>
      </c>
      <c r="J26" s="11">
        <v>0</v>
      </c>
      <c r="K26" s="11">
        <v>0</v>
      </c>
      <c r="L26" s="11">
        <v>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2">
        <v>0</v>
      </c>
      <c r="S26" s="12">
        <v>0</v>
      </c>
      <c r="T26" s="12">
        <v>0</v>
      </c>
    </row>
    <row r="27" spans="1:20" x14ac:dyDescent="0.3">
      <c r="A27" s="10" t="s">
        <v>132</v>
      </c>
      <c r="B27" s="11" t="s">
        <v>133</v>
      </c>
      <c r="C27" s="11"/>
      <c r="D27" s="11" t="s">
        <v>134</v>
      </c>
      <c r="E27" s="11">
        <f xml:space="preserve"> IF($T$37,1,0)</f>
        <v>0</v>
      </c>
      <c r="F27" s="11" t="s">
        <v>135</v>
      </c>
      <c r="G27" s="11">
        <v>0</v>
      </c>
      <c r="H27" s="11">
        <v>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1">
        <v>0</v>
      </c>
      <c r="R27" s="12">
        <v>0</v>
      </c>
      <c r="S27" s="12">
        <v>0</v>
      </c>
      <c r="T27" s="12">
        <v>0</v>
      </c>
    </row>
    <row r="28" spans="1:20" x14ac:dyDescent="0.3">
      <c r="A28" s="10" t="s">
        <v>220</v>
      </c>
      <c r="B28" s="11" t="s">
        <v>221</v>
      </c>
      <c r="C28" s="11" t="s">
        <v>34</v>
      </c>
      <c r="D28" s="11" t="s">
        <v>222</v>
      </c>
      <c r="E28" s="11">
        <f xml:space="preserve"> IF($T$61,1,0)</f>
        <v>0</v>
      </c>
      <c r="F28" s="11" t="s">
        <v>223</v>
      </c>
      <c r="G28" s="11">
        <v>0</v>
      </c>
      <c r="H28" s="11">
        <v>0</v>
      </c>
      <c r="I28" s="11">
        <v>0</v>
      </c>
      <c r="J28" s="11">
        <v>0</v>
      </c>
      <c r="K28" s="11">
        <v>0</v>
      </c>
      <c r="L28" s="11">
        <v>0</v>
      </c>
      <c r="M28" s="11">
        <v>0</v>
      </c>
      <c r="N28" s="11">
        <v>0</v>
      </c>
      <c r="O28" s="11">
        <v>0</v>
      </c>
      <c r="P28" s="11">
        <v>0</v>
      </c>
      <c r="Q28" s="11">
        <v>0</v>
      </c>
      <c r="R28" s="12">
        <v>0</v>
      </c>
      <c r="S28" s="12">
        <v>0</v>
      </c>
      <c r="T28" s="12">
        <v>0</v>
      </c>
    </row>
    <row r="29" spans="1:20" x14ac:dyDescent="0.3">
      <c r="A29" s="13" t="s">
        <v>855</v>
      </c>
      <c r="B29" s="14" t="s">
        <v>856</v>
      </c>
      <c r="C29" s="14"/>
      <c r="D29" s="14" t="s">
        <v>790</v>
      </c>
      <c r="E29" s="14">
        <f xml:space="preserve"> IF($T$228,1,0)</f>
        <v>0</v>
      </c>
      <c r="F29" s="14" t="s">
        <v>857</v>
      </c>
      <c r="G29" s="14">
        <v>0</v>
      </c>
      <c r="H29" s="14">
        <v>0</v>
      </c>
      <c r="I29" s="14">
        <v>0</v>
      </c>
      <c r="J29" s="14">
        <v>0</v>
      </c>
      <c r="K29" s="14">
        <v>0</v>
      </c>
      <c r="L29" s="14">
        <v>0</v>
      </c>
      <c r="M29" s="14">
        <v>0</v>
      </c>
      <c r="N29" s="14">
        <v>0</v>
      </c>
      <c r="O29" s="14">
        <v>0</v>
      </c>
      <c r="P29" s="14">
        <v>0</v>
      </c>
      <c r="Q29" s="14">
        <v>0</v>
      </c>
      <c r="R29" s="15">
        <v>0</v>
      </c>
      <c r="S29" s="15">
        <v>0</v>
      </c>
      <c r="T29" s="15">
        <v>0</v>
      </c>
    </row>
    <row r="30" spans="1:20" x14ac:dyDescent="0.3">
      <c r="A30" s="10" t="s">
        <v>576</v>
      </c>
      <c r="B30" s="11" t="s">
        <v>577</v>
      </c>
      <c r="C30" s="11"/>
      <c r="D30" s="11" t="s">
        <v>578</v>
      </c>
      <c r="E30" s="11">
        <f xml:space="preserve"> IF($T$155,1,0)</f>
        <v>0</v>
      </c>
      <c r="F30" s="11" t="s">
        <v>579</v>
      </c>
      <c r="G30" s="11">
        <v>0</v>
      </c>
      <c r="H30" s="11">
        <v>0</v>
      </c>
      <c r="I30" s="11">
        <v>0</v>
      </c>
      <c r="J30" s="11">
        <v>0</v>
      </c>
      <c r="K30" s="11">
        <v>0</v>
      </c>
      <c r="L30" s="11">
        <v>0</v>
      </c>
      <c r="M30" s="11">
        <v>0</v>
      </c>
      <c r="N30" s="11">
        <v>0</v>
      </c>
      <c r="O30" s="11">
        <v>0</v>
      </c>
      <c r="P30" s="11">
        <v>0</v>
      </c>
      <c r="Q30" s="11">
        <v>0</v>
      </c>
      <c r="R30" s="12">
        <v>0</v>
      </c>
      <c r="S30" s="12">
        <v>0</v>
      </c>
      <c r="T30" s="12">
        <v>0</v>
      </c>
    </row>
    <row r="31" spans="1:20" x14ac:dyDescent="0.3">
      <c r="A31" s="10" t="s">
        <v>811</v>
      </c>
      <c r="B31" s="11" t="s">
        <v>812</v>
      </c>
      <c r="C31" s="11"/>
      <c r="D31" s="11" t="s">
        <v>813</v>
      </c>
      <c r="E31" s="11">
        <f xml:space="preserve"> IF($T$217,1,0)</f>
        <v>0</v>
      </c>
      <c r="F31" s="11" t="s">
        <v>814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1">
        <v>0</v>
      </c>
      <c r="R31" s="12">
        <v>0</v>
      </c>
      <c r="S31" s="12">
        <v>0</v>
      </c>
      <c r="T31" s="12">
        <v>0</v>
      </c>
    </row>
    <row r="32" spans="1:20" x14ac:dyDescent="0.3">
      <c r="A32" s="13" t="s">
        <v>378</v>
      </c>
      <c r="B32" s="14" t="s">
        <v>379</v>
      </c>
      <c r="C32" s="14"/>
      <c r="D32" s="14" t="s">
        <v>380</v>
      </c>
      <c r="E32" s="14">
        <f xml:space="preserve"> IF($T$102,1,0)</f>
        <v>0</v>
      </c>
      <c r="F32" s="14" t="s">
        <v>381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5">
        <v>0</v>
      </c>
      <c r="S32" s="15">
        <v>0</v>
      </c>
      <c r="T32" s="15">
        <v>0</v>
      </c>
    </row>
    <row r="33" spans="1:20" x14ac:dyDescent="0.3">
      <c r="A33" s="13" t="s">
        <v>710</v>
      </c>
      <c r="B33" s="14" t="s">
        <v>708</v>
      </c>
      <c r="C33" s="14"/>
      <c r="D33" s="14" t="s">
        <v>711</v>
      </c>
      <c r="E33" s="14">
        <f xml:space="preserve"> IF($T$190,1,0)</f>
        <v>0</v>
      </c>
      <c r="F33" s="14" t="s">
        <v>712</v>
      </c>
      <c r="G33" s="14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4">
        <v>0</v>
      </c>
      <c r="R33" s="15">
        <v>0</v>
      </c>
      <c r="S33" s="15">
        <v>0</v>
      </c>
      <c r="T33" s="15">
        <v>0</v>
      </c>
    </row>
    <row r="34" spans="1:20" x14ac:dyDescent="0.3">
      <c r="A34" s="13" t="s">
        <v>268</v>
      </c>
      <c r="B34" s="14" t="s">
        <v>269</v>
      </c>
      <c r="C34" s="14"/>
      <c r="D34" s="14" t="s">
        <v>270</v>
      </c>
      <c r="E34" s="14">
        <f xml:space="preserve"> IF($T$74,1,0)</f>
        <v>0</v>
      </c>
      <c r="F34" s="14" t="s">
        <v>271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4">
        <v>0</v>
      </c>
      <c r="R34" s="15">
        <v>0</v>
      </c>
      <c r="S34" s="15">
        <v>0</v>
      </c>
      <c r="T34" s="15">
        <v>0</v>
      </c>
    </row>
    <row r="35" spans="1:20" x14ac:dyDescent="0.3">
      <c r="A35" s="13" t="s">
        <v>201</v>
      </c>
      <c r="B35" s="14" t="s">
        <v>177</v>
      </c>
      <c r="C35" s="14" t="s">
        <v>202</v>
      </c>
      <c r="D35" s="14" t="s">
        <v>203</v>
      </c>
      <c r="E35" s="14">
        <f xml:space="preserve"> IF($T$56,1,0)</f>
        <v>0</v>
      </c>
      <c r="F35" s="14" t="s">
        <v>204</v>
      </c>
      <c r="G35" s="14">
        <v>6</v>
      </c>
      <c r="H35" s="14">
        <v>0</v>
      </c>
      <c r="I35" s="14">
        <v>0</v>
      </c>
      <c r="J35" s="14">
        <v>0</v>
      </c>
      <c r="K35" s="14">
        <v>0</v>
      </c>
      <c r="L35" s="14">
        <v>0</v>
      </c>
      <c r="M35" s="14">
        <v>0</v>
      </c>
      <c r="N35" s="14">
        <v>0</v>
      </c>
      <c r="O35" s="14">
        <v>0</v>
      </c>
      <c r="P35" s="14">
        <v>0</v>
      </c>
      <c r="Q35" s="14">
        <v>0</v>
      </c>
      <c r="R35" s="15">
        <v>6.6000000000000005</v>
      </c>
      <c r="S35" s="15">
        <v>0</v>
      </c>
      <c r="T35" s="15">
        <v>6.6000000000000005</v>
      </c>
    </row>
    <row r="36" spans="1:20" x14ac:dyDescent="0.3">
      <c r="A36" s="10" t="s">
        <v>156</v>
      </c>
      <c r="B36" s="11" t="s">
        <v>157</v>
      </c>
      <c r="C36" s="11" t="s">
        <v>65</v>
      </c>
      <c r="D36" s="11" t="s">
        <v>158</v>
      </c>
      <c r="E36" s="11">
        <f xml:space="preserve"> IF($T$43,1,0)</f>
        <v>0</v>
      </c>
      <c r="F36" s="11" t="s">
        <v>159</v>
      </c>
      <c r="G36" s="11">
        <v>0</v>
      </c>
      <c r="H36" s="11">
        <v>0</v>
      </c>
      <c r="I36" s="11">
        <v>0</v>
      </c>
      <c r="J36" s="11">
        <v>0</v>
      </c>
      <c r="K36" s="11">
        <v>0</v>
      </c>
      <c r="L36" s="11">
        <v>0</v>
      </c>
      <c r="M36" s="11">
        <v>0</v>
      </c>
      <c r="N36" s="11">
        <v>0</v>
      </c>
      <c r="O36" s="11">
        <v>0</v>
      </c>
      <c r="P36" s="11">
        <v>0</v>
      </c>
      <c r="Q36" s="11">
        <v>0</v>
      </c>
      <c r="R36" s="12">
        <v>0</v>
      </c>
      <c r="S36" s="12">
        <v>0</v>
      </c>
      <c r="T36" s="12">
        <v>0</v>
      </c>
    </row>
    <row r="37" spans="1:20" x14ac:dyDescent="0.3">
      <c r="A37" s="10" t="s">
        <v>592</v>
      </c>
      <c r="B37" s="11" t="s">
        <v>593</v>
      </c>
      <c r="C37" s="11"/>
      <c r="D37" s="11" t="s">
        <v>594</v>
      </c>
      <c r="E37" s="11">
        <f xml:space="preserve"> IF($T$159,1,0)</f>
        <v>0</v>
      </c>
      <c r="F37" s="11" t="s">
        <v>595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1">
        <v>0</v>
      </c>
      <c r="R37" s="12">
        <v>0</v>
      </c>
      <c r="S37" s="12">
        <v>0</v>
      </c>
      <c r="T37" s="12">
        <v>0</v>
      </c>
    </row>
    <row r="38" spans="1:20" x14ac:dyDescent="0.3">
      <c r="A38" s="10" t="s">
        <v>1180</v>
      </c>
      <c r="B38" s="11" t="s">
        <v>1181</v>
      </c>
      <c r="C38" s="11"/>
      <c r="D38" s="11" t="s">
        <v>1182</v>
      </c>
      <c r="E38" s="11">
        <f xml:space="preserve"> IF($T$317,1,0)</f>
        <v>0</v>
      </c>
      <c r="F38" s="11" t="s">
        <v>1183</v>
      </c>
      <c r="G38" s="11">
        <v>0</v>
      </c>
      <c r="H38" s="11">
        <v>0</v>
      </c>
      <c r="I38" s="11">
        <v>0</v>
      </c>
      <c r="J38" s="11">
        <v>0</v>
      </c>
      <c r="K38" s="11">
        <v>0</v>
      </c>
      <c r="L38" s="11">
        <v>0</v>
      </c>
      <c r="M38" s="11">
        <v>0</v>
      </c>
      <c r="N38" s="11">
        <v>0</v>
      </c>
      <c r="O38" s="11">
        <v>0</v>
      </c>
      <c r="P38" s="11">
        <v>0</v>
      </c>
      <c r="Q38" s="11">
        <v>0</v>
      </c>
      <c r="R38" s="12">
        <v>0</v>
      </c>
      <c r="S38" s="12">
        <v>0</v>
      </c>
      <c r="T38" s="12">
        <v>0</v>
      </c>
    </row>
    <row r="39" spans="1:20" x14ac:dyDescent="0.3">
      <c r="A39" s="10" t="s">
        <v>684</v>
      </c>
      <c r="B39" s="11" t="s">
        <v>685</v>
      </c>
      <c r="C39" s="11"/>
      <c r="D39" s="11" t="s">
        <v>686</v>
      </c>
      <c r="E39" s="11">
        <f xml:space="preserve"> IF($T$183,1,0)</f>
        <v>0</v>
      </c>
      <c r="F39" s="11" t="s">
        <v>687</v>
      </c>
      <c r="G39" s="11">
        <v>0</v>
      </c>
      <c r="H39" s="11">
        <v>0</v>
      </c>
      <c r="I39" s="11">
        <v>0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1">
        <v>0</v>
      </c>
      <c r="R39" s="12">
        <v>0</v>
      </c>
      <c r="S39" s="12">
        <v>0</v>
      </c>
      <c r="T39" s="12">
        <v>0</v>
      </c>
    </row>
    <row r="40" spans="1:20" x14ac:dyDescent="0.3">
      <c r="A40" s="13" t="s">
        <v>1137</v>
      </c>
      <c r="B40" s="14" t="s">
        <v>1138</v>
      </c>
      <c r="C40" s="14"/>
      <c r="D40" s="14" t="s">
        <v>1139</v>
      </c>
      <c r="E40" s="14">
        <f xml:space="preserve"> IF($T$304,1,0)</f>
        <v>0</v>
      </c>
      <c r="F40" s="14" t="s">
        <v>1140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4">
        <v>0</v>
      </c>
      <c r="R40" s="15">
        <v>0</v>
      </c>
      <c r="S40" s="15">
        <v>0</v>
      </c>
      <c r="T40" s="15">
        <v>0</v>
      </c>
    </row>
    <row r="41" spans="1:20" x14ac:dyDescent="0.3">
      <c r="A41" s="10" t="s">
        <v>192</v>
      </c>
      <c r="B41" s="11" t="s">
        <v>177</v>
      </c>
      <c r="C41" s="11"/>
      <c r="D41" s="11" t="s">
        <v>193</v>
      </c>
      <c r="E41" s="11">
        <f xml:space="preserve"> IF($T$53,1,0)</f>
        <v>0</v>
      </c>
      <c r="F41" s="11" t="s">
        <v>194</v>
      </c>
      <c r="G41" s="11">
        <v>0</v>
      </c>
      <c r="H41" s="11">
        <v>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1">
        <v>0</v>
      </c>
      <c r="R41" s="12">
        <v>0</v>
      </c>
      <c r="S41" s="12">
        <v>0</v>
      </c>
      <c r="T41" s="12">
        <v>0</v>
      </c>
    </row>
    <row r="42" spans="1:20" x14ac:dyDescent="0.3">
      <c r="A42" s="10" t="s">
        <v>676</v>
      </c>
      <c r="B42" s="11" t="s">
        <v>677</v>
      </c>
      <c r="C42" s="11"/>
      <c r="D42" s="11" t="s">
        <v>678</v>
      </c>
      <c r="E42" s="11">
        <f xml:space="preserve"> IF($T$181,1,0)</f>
        <v>0</v>
      </c>
      <c r="F42" s="11" t="s">
        <v>679</v>
      </c>
      <c r="G42" s="11">
        <v>0</v>
      </c>
      <c r="H42" s="11">
        <v>0</v>
      </c>
      <c r="I42" s="11">
        <v>0</v>
      </c>
      <c r="J42" s="11">
        <v>0</v>
      </c>
      <c r="K42" s="11">
        <v>0</v>
      </c>
      <c r="L42" s="11">
        <v>0</v>
      </c>
      <c r="M42" s="11">
        <v>0</v>
      </c>
      <c r="N42" s="11">
        <v>0</v>
      </c>
      <c r="O42" s="11">
        <v>0</v>
      </c>
      <c r="P42" s="11">
        <v>0</v>
      </c>
      <c r="Q42" s="11">
        <v>0</v>
      </c>
      <c r="R42" s="12">
        <v>0</v>
      </c>
      <c r="S42" s="12">
        <v>0</v>
      </c>
      <c r="T42" s="12">
        <v>0</v>
      </c>
    </row>
    <row r="43" spans="1:20" x14ac:dyDescent="0.3">
      <c r="A43" s="10" t="s">
        <v>1091</v>
      </c>
      <c r="B43" s="11" t="s">
        <v>1082</v>
      </c>
      <c r="C43" s="11"/>
      <c r="D43" s="11" t="s">
        <v>1092</v>
      </c>
      <c r="E43" s="11">
        <f xml:space="preserve"> IF($T$291,1,0)</f>
        <v>0</v>
      </c>
      <c r="F43" s="11" t="s">
        <v>1093</v>
      </c>
      <c r="G43" s="11">
        <v>0</v>
      </c>
      <c r="H43" s="11">
        <v>0</v>
      </c>
      <c r="I43" s="11">
        <v>0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1">
        <v>0</v>
      </c>
      <c r="R43" s="12">
        <v>0</v>
      </c>
      <c r="S43" s="12">
        <v>0</v>
      </c>
      <c r="T43" s="12">
        <v>0</v>
      </c>
    </row>
    <row r="44" spans="1:20" x14ac:dyDescent="0.3">
      <c r="A44" s="13" t="s">
        <v>1214</v>
      </c>
      <c r="B44" s="14" t="s">
        <v>1215</v>
      </c>
      <c r="C44" s="14"/>
      <c r="D44" s="14" t="s">
        <v>1216</v>
      </c>
      <c r="E44" s="14">
        <f xml:space="preserve"> IF($T$326,1,0)</f>
        <v>0</v>
      </c>
      <c r="F44" s="14" t="s">
        <v>1217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14">
        <v>0</v>
      </c>
      <c r="P44" s="14">
        <v>0</v>
      </c>
      <c r="Q44" s="14">
        <v>0</v>
      </c>
      <c r="R44" s="15">
        <v>0</v>
      </c>
      <c r="S44" s="15">
        <v>0</v>
      </c>
      <c r="T44" s="15">
        <v>0</v>
      </c>
    </row>
    <row r="45" spans="1:20" x14ac:dyDescent="0.3">
      <c r="A45" s="10" t="s">
        <v>501</v>
      </c>
      <c r="B45" s="11" t="s">
        <v>502</v>
      </c>
      <c r="C45" s="11" t="s">
        <v>34</v>
      </c>
      <c r="D45" s="11" t="s">
        <v>503</v>
      </c>
      <c r="E45" s="11">
        <f xml:space="preserve"> IF($T$135,1,0)</f>
        <v>0</v>
      </c>
      <c r="F45" s="11" t="s">
        <v>504</v>
      </c>
      <c r="G45" s="11">
        <v>6</v>
      </c>
      <c r="H45" s="11">
        <v>0</v>
      </c>
      <c r="I45" s="11">
        <v>0</v>
      </c>
      <c r="J45" s="11">
        <v>0</v>
      </c>
      <c r="K45" s="11">
        <v>0</v>
      </c>
      <c r="L45" s="11">
        <v>0</v>
      </c>
      <c r="M45" s="11">
        <v>0</v>
      </c>
      <c r="N45" s="11">
        <v>0</v>
      </c>
      <c r="O45" s="11">
        <v>0</v>
      </c>
      <c r="P45" s="11">
        <v>0</v>
      </c>
      <c r="Q45" s="11">
        <v>0</v>
      </c>
      <c r="R45" s="12">
        <v>6.6000000000000005</v>
      </c>
      <c r="S45" s="12">
        <v>0</v>
      </c>
      <c r="T45" s="12">
        <v>6.6000000000000005</v>
      </c>
    </row>
    <row r="46" spans="1:20" x14ac:dyDescent="0.3">
      <c r="A46" s="10" t="s">
        <v>456</v>
      </c>
      <c r="B46" s="11" t="s">
        <v>457</v>
      </c>
      <c r="C46" s="11"/>
      <c r="D46" s="11" t="s">
        <v>458</v>
      </c>
      <c r="E46" s="11">
        <f xml:space="preserve"> IF($T$123,1,0)</f>
        <v>0</v>
      </c>
      <c r="F46" s="11" t="s">
        <v>459</v>
      </c>
      <c r="G46" s="11">
        <v>0</v>
      </c>
      <c r="H46" s="11">
        <v>0</v>
      </c>
      <c r="I46" s="11">
        <v>0</v>
      </c>
      <c r="J46" s="11">
        <v>0</v>
      </c>
      <c r="K46" s="11">
        <v>0</v>
      </c>
      <c r="L46" s="11">
        <v>0</v>
      </c>
      <c r="M46" s="11">
        <v>0</v>
      </c>
      <c r="N46" s="11">
        <v>0</v>
      </c>
      <c r="O46" s="11">
        <v>0</v>
      </c>
      <c r="P46" s="11">
        <v>0</v>
      </c>
      <c r="Q46" s="11">
        <v>0</v>
      </c>
      <c r="R46" s="12">
        <v>0</v>
      </c>
      <c r="S46" s="12">
        <v>0</v>
      </c>
      <c r="T46" s="12">
        <v>0</v>
      </c>
    </row>
    <row r="47" spans="1:20" x14ac:dyDescent="0.3">
      <c r="A47" s="10" t="s">
        <v>1085</v>
      </c>
      <c r="B47" s="11" t="s">
        <v>1082</v>
      </c>
      <c r="C47" s="11"/>
      <c r="D47" s="11" t="s">
        <v>1086</v>
      </c>
      <c r="E47" s="11">
        <f xml:space="preserve"> IF($T$289,1,0)</f>
        <v>0</v>
      </c>
      <c r="F47" s="11" t="s">
        <v>1087</v>
      </c>
      <c r="G47" s="11">
        <v>0</v>
      </c>
      <c r="H47" s="11">
        <v>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1">
        <v>0</v>
      </c>
      <c r="R47" s="12">
        <v>0</v>
      </c>
      <c r="S47" s="12">
        <v>0</v>
      </c>
      <c r="T47" s="12">
        <v>0</v>
      </c>
    </row>
    <row r="48" spans="1:20" x14ac:dyDescent="0.3">
      <c r="A48" s="10" t="s">
        <v>264</v>
      </c>
      <c r="B48" s="11" t="s">
        <v>265</v>
      </c>
      <c r="C48" s="11"/>
      <c r="D48" s="11" t="s">
        <v>266</v>
      </c>
      <c r="E48" s="11">
        <f xml:space="preserve"> IF($T$73,1,0)</f>
        <v>0</v>
      </c>
      <c r="F48" s="11" t="s">
        <v>267</v>
      </c>
      <c r="G48" s="11">
        <v>0</v>
      </c>
      <c r="H48" s="11">
        <v>0</v>
      </c>
      <c r="I48" s="11">
        <v>0</v>
      </c>
      <c r="J48" s="11">
        <v>0</v>
      </c>
      <c r="K48" s="11">
        <v>0</v>
      </c>
      <c r="L48" s="11">
        <v>0</v>
      </c>
      <c r="M48" s="11">
        <v>0</v>
      </c>
      <c r="N48" s="11">
        <v>0</v>
      </c>
      <c r="O48" s="11">
        <v>0</v>
      </c>
      <c r="P48" s="11">
        <v>0</v>
      </c>
      <c r="Q48" s="11">
        <v>0</v>
      </c>
      <c r="R48" s="12">
        <v>0</v>
      </c>
      <c r="S48" s="12">
        <v>0</v>
      </c>
      <c r="T48" s="12">
        <v>0</v>
      </c>
    </row>
    <row r="49" spans="1:20" x14ac:dyDescent="0.3">
      <c r="A49" s="13" t="s">
        <v>1059</v>
      </c>
      <c r="B49" s="14" t="s">
        <v>1056</v>
      </c>
      <c r="C49" s="14" t="s">
        <v>278</v>
      </c>
      <c r="D49" s="14" t="s">
        <v>1060</v>
      </c>
      <c r="E49" s="14">
        <f xml:space="preserve"> IF($T$282,1,0)</f>
        <v>0</v>
      </c>
      <c r="F49" s="14" t="s">
        <v>1061</v>
      </c>
      <c r="G49" s="14">
        <v>0</v>
      </c>
      <c r="H49" s="14">
        <v>0</v>
      </c>
      <c r="I49" s="14">
        <v>0</v>
      </c>
      <c r="J49" s="14">
        <v>0</v>
      </c>
      <c r="K49" s="14">
        <v>0</v>
      </c>
      <c r="L49" s="14">
        <v>0</v>
      </c>
      <c r="M49" s="14">
        <v>0</v>
      </c>
      <c r="N49" s="14">
        <v>0</v>
      </c>
      <c r="O49" s="14">
        <v>0</v>
      </c>
      <c r="P49" s="14">
        <v>0</v>
      </c>
      <c r="Q49" s="14">
        <v>0</v>
      </c>
      <c r="R49" s="15">
        <v>0</v>
      </c>
      <c r="S49" s="15">
        <v>0</v>
      </c>
      <c r="T49" s="15">
        <v>0</v>
      </c>
    </row>
    <row r="50" spans="1:20" x14ac:dyDescent="0.3">
      <c r="A50" s="10" t="s">
        <v>638</v>
      </c>
      <c r="B50" s="11" t="s">
        <v>639</v>
      </c>
      <c r="C50" s="11"/>
      <c r="D50" s="11" t="s">
        <v>274</v>
      </c>
      <c r="E50" s="11">
        <f xml:space="preserve"> IF($T$171,1,0)</f>
        <v>0</v>
      </c>
      <c r="F50" s="11" t="s">
        <v>640</v>
      </c>
      <c r="G50" s="11">
        <v>0</v>
      </c>
      <c r="H50" s="11">
        <v>0</v>
      </c>
      <c r="I50" s="11">
        <v>0</v>
      </c>
      <c r="J50" s="11">
        <v>0</v>
      </c>
      <c r="K50" s="11">
        <v>0</v>
      </c>
      <c r="L50" s="11">
        <v>0</v>
      </c>
      <c r="M50" s="11">
        <v>0</v>
      </c>
      <c r="N50" s="11">
        <v>0</v>
      </c>
      <c r="O50" s="11">
        <v>0</v>
      </c>
      <c r="P50" s="11">
        <v>0</v>
      </c>
      <c r="Q50" s="11">
        <v>0</v>
      </c>
      <c r="R50" s="12">
        <v>0</v>
      </c>
      <c r="S50" s="12">
        <v>0</v>
      </c>
      <c r="T50" s="12">
        <v>0</v>
      </c>
    </row>
    <row r="51" spans="1:20" x14ac:dyDescent="0.3">
      <c r="A51" s="10" t="s">
        <v>803</v>
      </c>
      <c r="B51" s="11" t="s">
        <v>804</v>
      </c>
      <c r="C51" s="11" t="s">
        <v>34</v>
      </c>
      <c r="D51" s="11" t="s">
        <v>805</v>
      </c>
      <c r="E51" s="11">
        <f xml:space="preserve"> IF($T$215,1,0)</f>
        <v>0</v>
      </c>
      <c r="F51" s="11" t="s">
        <v>806</v>
      </c>
      <c r="G51" s="11">
        <v>0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1">
        <v>0</v>
      </c>
      <c r="R51" s="12">
        <v>0</v>
      </c>
      <c r="S51" s="12">
        <v>0</v>
      </c>
      <c r="T51" s="12">
        <v>0</v>
      </c>
    </row>
    <row r="52" spans="1:20" x14ac:dyDescent="0.3">
      <c r="A52" s="10" t="s">
        <v>965</v>
      </c>
      <c r="B52" s="11" t="s">
        <v>966</v>
      </c>
      <c r="C52" s="11"/>
      <c r="D52" s="11" t="s">
        <v>609</v>
      </c>
      <c r="E52" s="11">
        <f xml:space="preserve"> IF($T$257,1,0)</f>
        <v>0</v>
      </c>
      <c r="F52" s="11" t="s">
        <v>967</v>
      </c>
      <c r="G52" s="11">
        <v>0</v>
      </c>
      <c r="H52" s="11">
        <v>0</v>
      </c>
      <c r="I52" s="11">
        <v>0</v>
      </c>
      <c r="J52" s="11">
        <v>0</v>
      </c>
      <c r="K52" s="11">
        <v>0</v>
      </c>
      <c r="L52" s="11">
        <v>0</v>
      </c>
      <c r="M52" s="11">
        <v>0</v>
      </c>
      <c r="N52" s="11">
        <v>0</v>
      </c>
      <c r="O52" s="11">
        <v>0</v>
      </c>
      <c r="P52" s="11">
        <v>0</v>
      </c>
      <c r="Q52" s="11">
        <v>0</v>
      </c>
      <c r="R52" s="12">
        <v>0</v>
      </c>
      <c r="S52" s="12">
        <v>0</v>
      </c>
      <c r="T52" s="12">
        <v>0</v>
      </c>
    </row>
    <row r="53" spans="1:20" x14ac:dyDescent="0.3">
      <c r="A53" s="10" t="s">
        <v>213</v>
      </c>
      <c r="B53" s="11" t="s">
        <v>210</v>
      </c>
      <c r="C53" s="11"/>
      <c r="D53" s="11" t="s">
        <v>214</v>
      </c>
      <c r="E53" s="11">
        <f xml:space="preserve"> IF($T$59,1,0)</f>
        <v>0</v>
      </c>
      <c r="F53" s="11" t="s">
        <v>215</v>
      </c>
      <c r="G53" s="11">
        <v>0</v>
      </c>
      <c r="H53" s="11">
        <v>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1">
        <v>0</v>
      </c>
      <c r="R53" s="12">
        <v>0</v>
      </c>
      <c r="S53" s="12">
        <v>0</v>
      </c>
      <c r="T53" s="12">
        <v>0</v>
      </c>
    </row>
    <row r="54" spans="1:20" x14ac:dyDescent="0.3">
      <c r="A54" s="13" t="s">
        <v>1007</v>
      </c>
      <c r="B54" s="14" t="s">
        <v>1004</v>
      </c>
      <c r="C54" s="14"/>
      <c r="D54" s="14" t="s">
        <v>1008</v>
      </c>
      <c r="E54" s="14">
        <f xml:space="preserve"> IF($T$268,1,0)</f>
        <v>0</v>
      </c>
      <c r="F54" s="14" t="s">
        <v>1009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4">
        <v>0</v>
      </c>
      <c r="R54" s="15">
        <v>0</v>
      </c>
      <c r="S54" s="15">
        <v>0</v>
      </c>
      <c r="T54" s="15">
        <v>0</v>
      </c>
    </row>
    <row r="55" spans="1:20" x14ac:dyDescent="0.3">
      <c r="A55" s="10" t="s">
        <v>1120</v>
      </c>
      <c r="B55" s="11" t="s">
        <v>1117</v>
      </c>
      <c r="C55" s="11"/>
      <c r="D55" s="11" t="s">
        <v>1121</v>
      </c>
      <c r="E55" s="11">
        <f xml:space="preserve"> IF($T$299,1,0)</f>
        <v>1</v>
      </c>
      <c r="F55" s="11" t="s">
        <v>1122</v>
      </c>
      <c r="G55" s="11">
        <v>0</v>
      </c>
      <c r="H55" s="11">
        <v>0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1">
        <v>0</v>
      </c>
      <c r="R55" s="12">
        <v>0</v>
      </c>
      <c r="S55" s="12">
        <v>0</v>
      </c>
      <c r="T55" s="12">
        <v>0</v>
      </c>
    </row>
    <row r="56" spans="1:20" x14ac:dyDescent="0.3">
      <c r="A56" s="13" t="s">
        <v>489</v>
      </c>
      <c r="B56" s="14" t="s">
        <v>490</v>
      </c>
      <c r="C56" s="14"/>
      <c r="D56" s="14" t="s">
        <v>491</v>
      </c>
      <c r="E56" s="14">
        <f xml:space="preserve"> IF($T$132,1,0)</f>
        <v>0</v>
      </c>
      <c r="F56" s="14" t="s">
        <v>492</v>
      </c>
      <c r="G56" s="14">
        <v>0</v>
      </c>
      <c r="H56" s="14">
        <v>0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4">
        <v>0</v>
      </c>
      <c r="R56" s="15">
        <v>0</v>
      </c>
      <c r="S56" s="15">
        <v>0</v>
      </c>
      <c r="T56" s="15">
        <v>0</v>
      </c>
    </row>
    <row r="57" spans="1:20" x14ac:dyDescent="0.3">
      <c r="A57" s="10" t="s">
        <v>440</v>
      </c>
      <c r="B57" s="11" t="s">
        <v>441</v>
      </c>
      <c r="C57" s="11" t="s">
        <v>202</v>
      </c>
      <c r="D57" s="11" t="s">
        <v>442</v>
      </c>
      <c r="E57" s="11">
        <f xml:space="preserve"> IF($T$119,1,0)</f>
        <v>0</v>
      </c>
      <c r="F57" s="11" t="s">
        <v>443</v>
      </c>
      <c r="G57" s="11">
        <v>0</v>
      </c>
      <c r="H57" s="11">
        <v>0</v>
      </c>
      <c r="I57" s="11">
        <v>0</v>
      </c>
      <c r="J57" s="11">
        <v>0</v>
      </c>
      <c r="K57" s="11">
        <v>0</v>
      </c>
      <c r="L57" s="11">
        <v>0</v>
      </c>
      <c r="M57" s="11">
        <v>0</v>
      </c>
      <c r="N57" s="11">
        <v>0</v>
      </c>
      <c r="O57" s="11">
        <v>0</v>
      </c>
      <c r="P57" s="11">
        <v>0</v>
      </c>
      <c r="Q57" s="11">
        <v>0</v>
      </c>
      <c r="R57" s="12">
        <v>0</v>
      </c>
      <c r="S57" s="12">
        <v>0</v>
      </c>
      <c r="T57" s="12">
        <v>0</v>
      </c>
    </row>
    <row r="58" spans="1:20" x14ac:dyDescent="0.3">
      <c r="A58" s="10" t="s">
        <v>866</v>
      </c>
      <c r="B58" s="11" t="s">
        <v>867</v>
      </c>
      <c r="C58" s="11"/>
      <c r="D58" s="11" t="s">
        <v>868</v>
      </c>
      <c r="E58" s="11">
        <f xml:space="preserve"> IF($T$231,1,0)</f>
        <v>0</v>
      </c>
      <c r="F58" s="11" t="s">
        <v>869</v>
      </c>
      <c r="G58" s="11">
        <v>0</v>
      </c>
      <c r="H58" s="11">
        <v>0</v>
      </c>
      <c r="I58" s="11">
        <v>0</v>
      </c>
      <c r="J58" s="11">
        <v>0</v>
      </c>
      <c r="K58" s="11">
        <v>0</v>
      </c>
      <c r="L58" s="11">
        <v>0</v>
      </c>
      <c r="M58" s="11">
        <v>0</v>
      </c>
      <c r="N58" s="11">
        <v>0</v>
      </c>
      <c r="O58" s="11">
        <v>0</v>
      </c>
      <c r="P58" s="11">
        <v>0</v>
      </c>
      <c r="Q58" s="11">
        <v>0</v>
      </c>
      <c r="R58" s="12">
        <v>0</v>
      </c>
      <c r="S58" s="12">
        <v>0</v>
      </c>
      <c r="T58" s="12">
        <v>0</v>
      </c>
    </row>
    <row r="59" spans="1:20" x14ac:dyDescent="0.3">
      <c r="A59" s="13" t="s">
        <v>238</v>
      </c>
      <c r="B59" s="14" t="s">
        <v>235</v>
      </c>
      <c r="C59" s="14" t="s">
        <v>34</v>
      </c>
      <c r="D59" s="14" t="s">
        <v>239</v>
      </c>
      <c r="E59" s="14">
        <f xml:space="preserve"> IF($T$66,1,0)</f>
        <v>0</v>
      </c>
      <c r="F59" s="14" t="s">
        <v>240</v>
      </c>
      <c r="G59" s="14">
        <v>0</v>
      </c>
      <c r="H59" s="14">
        <v>0</v>
      </c>
      <c r="I59" s="14">
        <v>0</v>
      </c>
      <c r="J59" s="14">
        <v>0</v>
      </c>
      <c r="K59" s="14">
        <v>0</v>
      </c>
      <c r="L59" s="14">
        <v>0</v>
      </c>
      <c r="M59" s="14">
        <v>0</v>
      </c>
      <c r="N59" s="14">
        <v>0</v>
      </c>
      <c r="O59" s="14">
        <v>0</v>
      </c>
      <c r="P59" s="14">
        <v>0</v>
      </c>
      <c r="Q59" s="14">
        <v>0</v>
      </c>
      <c r="R59" s="15">
        <v>0</v>
      </c>
      <c r="S59" s="15">
        <v>0</v>
      </c>
      <c r="T59" s="15">
        <v>0</v>
      </c>
    </row>
    <row r="60" spans="1:20" x14ac:dyDescent="0.3">
      <c r="A60" s="13" t="s">
        <v>1014</v>
      </c>
      <c r="B60" s="14" t="s">
        <v>1015</v>
      </c>
      <c r="C60" s="14"/>
      <c r="D60" s="14" t="s">
        <v>1016</v>
      </c>
      <c r="E60" s="14">
        <f xml:space="preserve"> IF($T$270,1,0)</f>
        <v>0</v>
      </c>
      <c r="F60" s="14" t="s">
        <v>1017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0</v>
      </c>
      <c r="M60" s="14">
        <v>0</v>
      </c>
      <c r="N60" s="14">
        <v>0</v>
      </c>
      <c r="O60" s="14">
        <v>0</v>
      </c>
      <c r="P60" s="14">
        <v>0</v>
      </c>
      <c r="Q60" s="14">
        <v>0</v>
      </c>
      <c r="R60" s="15">
        <v>0</v>
      </c>
      <c r="S60" s="15">
        <v>0</v>
      </c>
      <c r="T60" s="15">
        <v>0</v>
      </c>
    </row>
    <row r="61" spans="1:20" x14ac:dyDescent="0.3">
      <c r="A61" s="13" t="s">
        <v>1155</v>
      </c>
      <c r="B61" s="14" t="s">
        <v>1156</v>
      </c>
      <c r="C61" s="14"/>
      <c r="D61" s="14" t="s">
        <v>1157</v>
      </c>
      <c r="E61" s="14">
        <f xml:space="preserve"> IF($T$310,1,0)</f>
        <v>0</v>
      </c>
      <c r="F61" s="14" t="s">
        <v>1158</v>
      </c>
      <c r="G61" s="14">
        <v>0</v>
      </c>
      <c r="H61" s="14">
        <v>0</v>
      </c>
      <c r="I61" s="14">
        <v>0</v>
      </c>
      <c r="J61" s="14">
        <v>0</v>
      </c>
      <c r="K61" s="14">
        <v>0</v>
      </c>
      <c r="L61" s="14">
        <v>0</v>
      </c>
      <c r="M61" s="14">
        <v>0</v>
      </c>
      <c r="N61" s="14">
        <v>0</v>
      </c>
      <c r="O61" s="14">
        <v>0</v>
      </c>
      <c r="P61" s="14">
        <v>0</v>
      </c>
      <c r="Q61" s="14">
        <v>0</v>
      </c>
      <c r="R61" s="15">
        <v>0</v>
      </c>
      <c r="S61" s="15">
        <v>0</v>
      </c>
      <c r="T61" s="15">
        <v>0</v>
      </c>
    </row>
    <row r="62" spans="1:20" x14ac:dyDescent="0.3">
      <c r="A62" s="10" t="s">
        <v>553</v>
      </c>
      <c r="B62" s="11" t="s">
        <v>554</v>
      </c>
      <c r="C62" s="11"/>
      <c r="D62" s="11" t="s">
        <v>555</v>
      </c>
      <c r="E62" s="11">
        <f xml:space="preserve"> IF($T$149,1,0)</f>
        <v>0</v>
      </c>
      <c r="F62" s="11" t="s">
        <v>556</v>
      </c>
      <c r="G62" s="11">
        <v>0</v>
      </c>
      <c r="H62" s="11">
        <v>0</v>
      </c>
      <c r="I62" s="11">
        <v>0</v>
      </c>
      <c r="J62" s="11">
        <v>0</v>
      </c>
      <c r="K62" s="11">
        <v>0</v>
      </c>
      <c r="L62" s="11">
        <v>0</v>
      </c>
      <c r="M62" s="11">
        <v>0</v>
      </c>
      <c r="N62" s="11">
        <v>0</v>
      </c>
      <c r="O62" s="11">
        <v>0</v>
      </c>
      <c r="P62" s="11">
        <v>0</v>
      </c>
      <c r="Q62" s="11">
        <v>0</v>
      </c>
      <c r="R62" s="12">
        <v>0</v>
      </c>
      <c r="S62" s="12">
        <v>0</v>
      </c>
      <c r="T62" s="12">
        <v>0</v>
      </c>
    </row>
    <row r="63" spans="1:20" x14ac:dyDescent="0.3">
      <c r="A63" s="13" t="s">
        <v>762</v>
      </c>
      <c r="B63" s="14" t="s">
        <v>763</v>
      </c>
      <c r="C63" s="14"/>
      <c r="D63" s="14" t="s">
        <v>764</v>
      </c>
      <c r="E63" s="14">
        <f xml:space="preserve"> IF($T$204,1,0)</f>
        <v>0</v>
      </c>
      <c r="F63" s="14" t="s">
        <v>765</v>
      </c>
      <c r="G63" s="14">
        <v>0</v>
      </c>
      <c r="H63" s="14">
        <v>0</v>
      </c>
      <c r="I63" s="14">
        <v>0</v>
      </c>
      <c r="J63" s="14">
        <v>0</v>
      </c>
      <c r="K63" s="14">
        <v>0</v>
      </c>
      <c r="L63" s="14">
        <v>0</v>
      </c>
      <c r="M63" s="14">
        <v>0</v>
      </c>
      <c r="N63" s="14">
        <v>0</v>
      </c>
      <c r="O63" s="14">
        <v>0</v>
      </c>
      <c r="P63" s="14">
        <v>0</v>
      </c>
      <c r="Q63" s="14">
        <v>0</v>
      </c>
      <c r="R63" s="15">
        <v>0</v>
      </c>
      <c r="S63" s="15">
        <v>0</v>
      </c>
      <c r="T63" s="15">
        <v>0</v>
      </c>
    </row>
    <row r="64" spans="1:20" x14ac:dyDescent="0.3">
      <c r="A64" s="10" t="s">
        <v>41</v>
      </c>
      <c r="B64" s="11" t="s">
        <v>38</v>
      </c>
      <c r="C64" s="11"/>
      <c r="D64" s="11" t="s">
        <v>42</v>
      </c>
      <c r="E64" s="11">
        <f xml:space="preserve"> IF($T$13,1,0)</f>
        <v>0</v>
      </c>
      <c r="F64" s="11" t="s">
        <v>43</v>
      </c>
      <c r="G64" s="11">
        <v>0</v>
      </c>
      <c r="H64" s="11">
        <v>0</v>
      </c>
      <c r="I64" s="11">
        <v>0</v>
      </c>
      <c r="J64" s="11">
        <v>0</v>
      </c>
      <c r="K64" s="11">
        <v>0</v>
      </c>
      <c r="L64" s="11">
        <v>0</v>
      </c>
      <c r="M64" s="11">
        <v>0</v>
      </c>
      <c r="N64" s="11">
        <v>0</v>
      </c>
      <c r="O64" s="11">
        <v>0</v>
      </c>
      <c r="P64" s="11">
        <v>0</v>
      </c>
      <c r="Q64" s="11">
        <v>0</v>
      </c>
      <c r="R64" s="12">
        <v>0</v>
      </c>
      <c r="S64" s="12">
        <v>0</v>
      </c>
      <c r="T64" s="12">
        <v>0</v>
      </c>
    </row>
    <row r="65" spans="1:20" x14ac:dyDescent="0.3">
      <c r="A65" s="13" t="s">
        <v>588</v>
      </c>
      <c r="B65" s="14" t="s">
        <v>589</v>
      </c>
      <c r="C65" s="14"/>
      <c r="D65" s="14" t="s">
        <v>590</v>
      </c>
      <c r="E65" s="14">
        <f xml:space="preserve"> IF($T$158,1,0)</f>
        <v>1</v>
      </c>
      <c r="F65" s="14" t="s">
        <v>591</v>
      </c>
      <c r="G65" s="14">
        <v>0</v>
      </c>
      <c r="H65" s="14">
        <v>0</v>
      </c>
      <c r="I65" s="14">
        <v>0</v>
      </c>
      <c r="J65" s="14">
        <v>0</v>
      </c>
      <c r="K65" s="14">
        <v>0</v>
      </c>
      <c r="L65" s="14">
        <v>0</v>
      </c>
      <c r="M65" s="14">
        <v>0</v>
      </c>
      <c r="N65" s="14">
        <v>0</v>
      </c>
      <c r="O65" s="14">
        <v>0</v>
      </c>
      <c r="P65" s="14">
        <v>0</v>
      </c>
      <c r="Q65" s="14">
        <v>0</v>
      </c>
      <c r="R65" s="15">
        <v>0</v>
      </c>
      <c r="S65" s="15">
        <v>0</v>
      </c>
      <c r="T65" s="15">
        <v>0</v>
      </c>
    </row>
    <row r="66" spans="1:20" x14ac:dyDescent="0.3">
      <c r="A66" s="10" t="s">
        <v>920</v>
      </c>
      <c r="B66" s="11" t="s">
        <v>917</v>
      </c>
      <c r="C66" s="11"/>
      <c r="D66" s="11" t="s">
        <v>921</v>
      </c>
      <c r="E66" s="11">
        <f xml:space="preserve"> IF($T$245,1,0)</f>
        <v>0</v>
      </c>
      <c r="F66" s="11" t="s">
        <v>922</v>
      </c>
      <c r="G66" s="11">
        <v>0</v>
      </c>
      <c r="H66" s="11">
        <v>0</v>
      </c>
      <c r="I66" s="11">
        <v>0</v>
      </c>
      <c r="J66" s="11">
        <v>0</v>
      </c>
      <c r="K66" s="11">
        <v>0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1">
        <v>0</v>
      </c>
      <c r="R66" s="12">
        <v>0</v>
      </c>
      <c r="S66" s="12">
        <v>0</v>
      </c>
      <c r="T66" s="12">
        <v>0</v>
      </c>
    </row>
    <row r="67" spans="1:20" x14ac:dyDescent="0.3">
      <c r="A67" s="10" t="s">
        <v>298</v>
      </c>
      <c r="B67" s="11" t="s">
        <v>295</v>
      </c>
      <c r="C67" s="11"/>
      <c r="D67" s="11" t="s">
        <v>299</v>
      </c>
      <c r="E67" s="11">
        <f xml:space="preserve"> IF($T$81,1,0)</f>
        <v>0</v>
      </c>
      <c r="F67" s="11" t="s">
        <v>300</v>
      </c>
      <c r="G67" s="11">
        <v>0</v>
      </c>
      <c r="H67" s="11">
        <v>0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1">
        <v>0</v>
      </c>
      <c r="R67" s="12">
        <v>0</v>
      </c>
      <c r="S67" s="12">
        <v>0</v>
      </c>
      <c r="T67" s="12">
        <v>0</v>
      </c>
    </row>
    <row r="68" spans="1:20" x14ac:dyDescent="0.3">
      <c r="A68" s="10" t="s">
        <v>180</v>
      </c>
      <c r="B68" s="11" t="s">
        <v>177</v>
      </c>
      <c r="C68" s="11"/>
      <c r="D68" s="11" t="s">
        <v>181</v>
      </c>
      <c r="E68" s="11">
        <f xml:space="preserve"> IF($T$49,1,0)</f>
        <v>0</v>
      </c>
      <c r="F68" s="11" t="s">
        <v>182</v>
      </c>
      <c r="G68" s="11">
        <v>6</v>
      </c>
      <c r="H68" s="11">
        <v>0</v>
      </c>
      <c r="I68" s="11">
        <v>0</v>
      </c>
      <c r="J68" s="11">
        <v>0</v>
      </c>
      <c r="K68" s="11">
        <v>0</v>
      </c>
      <c r="L68" s="11">
        <v>0</v>
      </c>
      <c r="M68" s="11">
        <v>9</v>
      </c>
      <c r="N68" s="11">
        <v>0</v>
      </c>
      <c r="O68" s="11">
        <v>1</v>
      </c>
      <c r="P68" s="11">
        <v>0</v>
      </c>
      <c r="Q68" s="11">
        <v>0</v>
      </c>
      <c r="R68" s="12">
        <v>38.6</v>
      </c>
      <c r="S68" s="12">
        <v>0</v>
      </c>
      <c r="T68" s="12">
        <v>38.6</v>
      </c>
    </row>
    <row r="69" spans="1:20" x14ac:dyDescent="0.3">
      <c r="A69" s="13" t="s">
        <v>731</v>
      </c>
      <c r="B69" s="14" t="s">
        <v>732</v>
      </c>
      <c r="C69" s="14"/>
      <c r="D69" s="14" t="s">
        <v>733</v>
      </c>
      <c r="E69" s="14">
        <f xml:space="preserve"> IF($T$196,1,0)</f>
        <v>0</v>
      </c>
      <c r="F69" s="14" t="s">
        <v>734</v>
      </c>
      <c r="G69" s="14">
        <v>0</v>
      </c>
      <c r="H69" s="14">
        <v>0</v>
      </c>
      <c r="I69" s="14">
        <v>0</v>
      </c>
      <c r="J69" s="14">
        <v>0</v>
      </c>
      <c r="K69" s="14">
        <v>0</v>
      </c>
      <c r="L69" s="14">
        <v>0</v>
      </c>
      <c r="M69" s="14">
        <v>0</v>
      </c>
      <c r="N69" s="14">
        <v>0</v>
      </c>
      <c r="O69" s="14">
        <v>0</v>
      </c>
      <c r="P69" s="14">
        <v>0</v>
      </c>
      <c r="Q69" s="14">
        <v>0</v>
      </c>
      <c r="R69" s="15">
        <v>0</v>
      </c>
      <c r="S69" s="15">
        <v>0</v>
      </c>
      <c r="T69" s="15">
        <v>0</v>
      </c>
    </row>
    <row r="70" spans="1:20" x14ac:dyDescent="0.3">
      <c r="A70" s="13" t="s">
        <v>90</v>
      </c>
      <c r="B70" s="14" t="s">
        <v>91</v>
      </c>
      <c r="C70" s="14"/>
      <c r="D70" s="14" t="s">
        <v>92</v>
      </c>
      <c r="E70" s="14">
        <f xml:space="preserve"> IF($T$26,1,0)</f>
        <v>0</v>
      </c>
      <c r="F70" s="14" t="s">
        <v>93</v>
      </c>
      <c r="G70" s="14">
        <v>0</v>
      </c>
      <c r="H70" s="14">
        <v>0</v>
      </c>
      <c r="I70" s="14">
        <v>0</v>
      </c>
      <c r="J70" s="14">
        <v>0</v>
      </c>
      <c r="K70" s="14">
        <v>0</v>
      </c>
      <c r="L70" s="14">
        <v>0</v>
      </c>
      <c r="M70" s="14">
        <v>0</v>
      </c>
      <c r="N70" s="14">
        <v>0</v>
      </c>
      <c r="O70" s="14">
        <v>0</v>
      </c>
      <c r="P70" s="14">
        <v>0</v>
      </c>
      <c r="Q70" s="14">
        <v>0</v>
      </c>
      <c r="R70" s="15">
        <v>0</v>
      </c>
      <c r="S70" s="15">
        <v>0</v>
      </c>
      <c r="T70" s="15">
        <v>0</v>
      </c>
    </row>
    <row r="71" spans="1:20" x14ac:dyDescent="0.3">
      <c r="A71" s="13" t="s">
        <v>831</v>
      </c>
      <c r="B71" s="14" t="s">
        <v>832</v>
      </c>
      <c r="C71" s="14"/>
      <c r="D71" s="14" t="s">
        <v>833</v>
      </c>
      <c r="E71" s="14">
        <f xml:space="preserve"> IF($T$222,1,0)</f>
        <v>0</v>
      </c>
      <c r="F71" s="14" t="s">
        <v>834</v>
      </c>
      <c r="G71" s="14">
        <v>0</v>
      </c>
      <c r="H71" s="14">
        <v>0</v>
      </c>
      <c r="I71" s="14">
        <v>0</v>
      </c>
      <c r="J71" s="14">
        <v>0</v>
      </c>
      <c r="K71" s="14">
        <v>0</v>
      </c>
      <c r="L71" s="14">
        <v>0</v>
      </c>
      <c r="M71" s="14">
        <v>0</v>
      </c>
      <c r="N71" s="14">
        <v>0</v>
      </c>
      <c r="O71" s="14">
        <v>0</v>
      </c>
      <c r="P71" s="14">
        <v>0</v>
      </c>
      <c r="Q71" s="14">
        <v>0</v>
      </c>
      <c r="R71" s="15">
        <v>0</v>
      </c>
      <c r="S71" s="15">
        <v>0</v>
      </c>
      <c r="T71" s="15">
        <v>0</v>
      </c>
    </row>
    <row r="72" spans="1:20" x14ac:dyDescent="0.3">
      <c r="A72" s="13" t="s">
        <v>452</v>
      </c>
      <c r="B72" s="14" t="s">
        <v>453</v>
      </c>
      <c r="C72" s="14"/>
      <c r="D72" s="14" t="s">
        <v>454</v>
      </c>
      <c r="E72" s="14">
        <f xml:space="preserve"> IF($T$122,1,0)</f>
        <v>0</v>
      </c>
      <c r="F72" s="14" t="s">
        <v>455</v>
      </c>
      <c r="G72" s="14">
        <v>0</v>
      </c>
      <c r="H72" s="14">
        <v>7</v>
      </c>
      <c r="I72" s="14">
        <v>0</v>
      </c>
      <c r="J72" s="14">
        <v>0</v>
      </c>
      <c r="K72" s="14">
        <v>0</v>
      </c>
      <c r="L72" s="14">
        <v>0</v>
      </c>
      <c r="M72" s="14">
        <v>1</v>
      </c>
      <c r="N72" s="14">
        <v>0</v>
      </c>
      <c r="O72" s="14">
        <v>0</v>
      </c>
      <c r="P72" s="14">
        <v>0</v>
      </c>
      <c r="Q72" s="14">
        <v>1</v>
      </c>
      <c r="R72" s="15">
        <v>16.600000000000001</v>
      </c>
      <c r="S72" s="15">
        <v>0</v>
      </c>
      <c r="T72" s="15">
        <v>16.600000000000001</v>
      </c>
    </row>
    <row r="73" spans="1:20" x14ac:dyDescent="0.3">
      <c r="A73" s="10" t="s">
        <v>950</v>
      </c>
      <c r="B73" s="11" t="s">
        <v>951</v>
      </c>
      <c r="C73" s="11" t="s">
        <v>34</v>
      </c>
      <c r="D73" s="11" t="s">
        <v>118</v>
      </c>
      <c r="E73" s="11">
        <f xml:space="preserve"> IF($T$253,1,0)</f>
        <v>0</v>
      </c>
      <c r="F73" s="11" t="s">
        <v>952</v>
      </c>
      <c r="G73" s="11">
        <v>0</v>
      </c>
      <c r="H73" s="11">
        <v>0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1">
        <v>0</v>
      </c>
      <c r="R73" s="12">
        <v>0</v>
      </c>
      <c r="S73" s="12">
        <v>0</v>
      </c>
      <c r="T73" s="12">
        <v>0</v>
      </c>
    </row>
    <row r="74" spans="1:20" x14ac:dyDescent="0.3">
      <c r="A74" s="13" t="s">
        <v>976</v>
      </c>
      <c r="B74" s="14" t="s">
        <v>977</v>
      </c>
      <c r="C74" s="14"/>
      <c r="D74" s="14" t="s">
        <v>978</v>
      </c>
      <c r="E74" s="14">
        <f xml:space="preserve"> IF($T$260,1,0)</f>
        <v>0</v>
      </c>
      <c r="F74" s="14" t="s">
        <v>979</v>
      </c>
      <c r="G74" s="14">
        <v>0</v>
      </c>
      <c r="H74" s="14">
        <v>0</v>
      </c>
      <c r="I74" s="14">
        <v>0</v>
      </c>
      <c r="J74" s="14">
        <v>0</v>
      </c>
      <c r="K74" s="14">
        <v>0</v>
      </c>
      <c r="L74" s="14">
        <v>0</v>
      </c>
      <c r="M74" s="14">
        <v>0</v>
      </c>
      <c r="N74" s="14">
        <v>0</v>
      </c>
      <c r="O74" s="14">
        <v>0</v>
      </c>
      <c r="P74" s="14">
        <v>0</v>
      </c>
      <c r="Q74" s="14">
        <v>0</v>
      </c>
      <c r="R74" s="15">
        <v>0</v>
      </c>
      <c r="S74" s="15">
        <v>0</v>
      </c>
      <c r="T74" s="15">
        <v>0</v>
      </c>
    </row>
    <row r="75" spans="1:20" x14ac:dyDescent="0.3">
      <c r="A75" s="10" t="s">
        <v>796</v>
      </c>
      <c r="B75" s="11" t="s">
        <v>797</v>
      </c>
      <c r="C75" s="11"/>
      <c r="D75" s="11" t="s">
        <v>798</v>
      </c>
      <c r="E75" s="11">
        <f xml:space="preserve"> IF($T$213,1,0)</f>
        <v>0</v>
      </c>
      <c r="F75" s="11" t="s">
        <v>799</v>
      </c>
      <c r="G75" s="11">
        <v>0</v>
      </c>
      <c r="H75" s="11">
        <v>0</v>
      </c>
      <c r="I75" s="11">
        <v>0</v>
      </c>
      <c r="J75" s="11">
        <v>0</v>
      </c>
      <c r="K75" s="11">
        <v>0</v>
      </c>
      <c r="L75" s="11">
        <v>0</v>
      </c>
      <c r="M75" s="11">
        <v>0</v>
      </c>
      <c r="N75" s="11">
        <v>0</v>
      </c>
      <c r="O75" s="11">
        <v>0</v>
      </c>
      <c r="P75" s="11">
        <v>0</v>
      </c>
      <c r="Q75" s="11">
        <v>0</v>
      </c>
      <c r="R75" s="12">
        <v>0</v>
      </c>
      <c r="S75" s="12">
        <v>0</v>
      </c>
      <c r="T75" s="12">
        <v>0</v>
      </c>
    </row>
    <row r="76" spans="1:20" x14ac:dyDescent="0.3">
      <c r="A76" s="10" t="s">
        <v>241</v>
      </c>
      <c r="B76" s="11" t="s">
        <v>242</v>
      </c>
      <c r="C76" s="11" t="s">
        <v>243</v>
      </c>
      <c r="D76" s="11" t="s">
        <v>244</v>
      </c>
      <c r="E76" s="11">
        <f xml:space="preserve"> IF($T$67,1,0)</f>
        <v>0</v>
      </c>
      <c r="F76" s="11" t="s">
        <v>245</v>
      </c>
      <c r="G76" s="11">
        <v>0</v>
      </c>
      <c r="H76" s="11">
        <v>0</v>
      </c>
      <c r="I76" s="11">
        <v>0</v>
      </c>
      <c r="J76" s="11">
        <v>0</v>
      </c>
      <c r="K76" s="11">
        <v>0</v>
      </c>
      <c r="L76" s="11">
        <v>0</v>
      </c>
      <c r="M76" s="11">
        <v>0</v>
      </c>
      <c r="N76" s="11">
        <v>0</v>
      </c>
      <c r="O76" s="11">
        <v>0</v>
      </c>
      <c r="P76" s="11">
        <v>0</v>
      </c>
      <c r="Q76" s="11">
        <v>0</v>
      </c>
      <c r="R76" s="12">
        <v>0</v>
      </c>
      <c r="S76" s="12">
        <v>0</v>
      </c>
      <c r="T76" s="12">
        <v>0</v>
      </c>
    </row>
    <row r="77" spans="1:20" x14ac:dyDescent="0.3">
      <c r="A77" s="10" t="s">
        <v>80</v>
      </c>
      <c r="B77" s="11" t="s">
        <v>77</v>
      </c>
      <c r="C77" s="11" t="s">
        <v>65</v>
      </c>
      <c r="D77" s="11" t="s">
        <v>81</v>
      </c>
      <c r="E77" s="11">
        <f xml:space="preserve"> IF($T$23,1,0)</f>
        <v>0</v>
      </c>
      <c r="F77" s="11" t="s">
        <v>82</v>
      </c>
      <c r="G77" s="11">
        <v>0</v>
      </c>
      <c r="H77" s="11">
        <v>0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1">
        <v>0</v>
      </c>
      <c r="R77" s="12">
        <v>0</v>
      </c>
      <c r="S77" s="12">
        <v>0</v>
      </c>
      <c r="T77" s="12">
        <v>0</v>
      </c>
    </row>
    <row r="78" spans="1:20" x14ac:dyDescent="0.3">
      <c r="A78" s="13" t="s">
        <v>1149</v>
      </c>
      <c r="B78" s="14" t="s">
        <v>1142</v>
      </c>
      <c r="C78" s="14"/>
      <c r="D78" s="14" t="s">
        <v>1150</v>
      </c>
      <c r="E78" s="14">
        <f xml:space="preserve"> IF($T$308,1,0)</f>
        <v>0</v>
      </c>
      <c r="F78" s="14" t="s">
        <v>1151</v>
      </c>
      <c r="G78" s="14">
        <v>0</v>
      </c>
      <c r="H78" s="14">
        <v>0</v>
      </c>
      <c r="I78" s="14">
        <v>0</v>
      </c>
      <c r="J78" s="14">
        <v>0</v>
      </c>
      <c r="K78" s="14">
        <v>0</v>
      </c>
      <c r="L78" s="14">
        <v>0</v>
      </c>
      <c r="M78" s="14">
        <v>0</v>
      </c>
      <c r="N78" s="14">
        <v>0</v>
      </c>
      <c r="O78" s="14">
        <v>0</v>
      </c>
      <c r="P78" s="14">
        <v>0</v>
      </c>
      <c r="Q78" s="14">
        <v>0</v>
      </c>
      <c r="R78" s="15">
        <v>0</v>
      </c>
      <c r="S78" s="15">
        <v>0</v>
      </c>
      <c r="T78" s="15">
        <v>0</v>
      </c>
    </row>
    <row r="79" spans="1:20" x14ac:dyDescent="0.3">
      <c r="A79" s="13" t="s">
        <v>1088</v>
      </c>
      <c r="B79" s="14" t="s">
        <v>1082</v>
      </c>
      <c r="C79" s="14" t="s">
        <v>65</v>
      </c>
      <c r="D79" s="14" t="s">
        <v>1089</v>
      </c>
      <c r="E79" s="14">
        <f xml:space="preserve"> IF($T$290,1,0)</f>
        <v>0</v>
      </c>
      <c r="F79" s="14" t="s">
        <v>1090</v>
      </c>
      <c r="G79" s="14">
        <v>0</v>
      </c>
      <c r="H79" s="14">
        <v>0</v>
      </c>
      <c r="I79" s="14">
        <v>0</v>
      </c>
      <c r="J79" s="14">
        <v>0</v>
      </c>
      <c r="K79" s="14">
        <v>0</v>
      </c>
      <c r="L79" s="14">
        <v>0</v>
      </c>
      <c r="M79" s="14">
        <v>0</v>
      </c>
      <c r="N79" s="14">
        <v>0</v>
      </c>
      <c r="O79" s="14">
        <v>0</v>
      </c>
      <c r="P79" s="14">
        <v>0</v>
      </c>
      <c r="Q79" s="14">
        <v>0</v>
      </c>
      <c r="R79" s="15">
        <v>0</v>
      </c>
      <c r="S79" s="15">
        <v>0</v>
      </c>
      <c r="T79" s="15">
        <v>0</v>
      </c>
    </row>
    <row r="80" spans="1:20" x14ac:dyDescent="0.3">
      <c r="A80" s="13" t="s">
        <v>999</v>
      </c>
      <c r="B80" s="14" t="s">
        <v>1000</v>
      </c>
      <c r="C80" s="14" t="s">
        <v>202</v>
      </c>
      <c r="D80" s="14" t="s">
        <v>1001</v>
      </c>
      <c r="E80" s="14">
        <f xml:space="preserve"> IF($T$266,1,0)</f>
        <v>0</v>
      </c>
      <c r="F80" s="14" t="s">
        <v>1002</v>
      </c>
      <c r="G80" s="14">
        <v>0</v>
      </c>
      <c r="H80" s="14">
        <v>0</v>
      </c>
      <c r="I80" s="14">
        <v>0</v>
      </c>
      <c r="J80" s="14">
        <v>0</v>
      </c>
      <c r="K80" s="14">
        <v>0</v>
      </c>
      <c r="L80" s="14">
        <v>0</v>
      </c>
      <c r="M80" s="14">
        <v>0</v>
      </c>
      <c r="N80" s="14">
        <v>0</v>
      </c>
      <c r="O80" s="14">
        <v>0</v>
      </c>
      <c r="P80" s="14">
        <v>0</v>
      </c>
      <c r="Q80" s="14">
        <v>0</v>
      </c>
      <c r="R80" s="15">
        <v>0</v>
      </c>
      <c r="S80" s="15">
        <v>0</v>
      </c>
      <c r="T80" s="15">
        <v>0</v>
      </c>
    </row>
    <row r="81" spans="1:20" x14ac:dyDescent="0.3">
      <c r="A81" s="10" t="s">
        <v>507</v>
      </c>
      <c r="B81" s="11" t="s">
        <v>508</v>
      </c>
      <c r="C81" s="11" t="s">
        <v>65</v>
      </c>
      <c r="D81" s="11" t="s">
        <v>509</v>
      </c>
      <c r="E81" s="11">
        <f xml:space="preserve"> IF($T$137,1,0)</f>
        <v>1</v>
      </c>
      <c r="F81" s="11" t="s">
        <v>510</v>
      </c>
      <c r="G81" s="11">
        <v>0</v>
      </c>
      <c r="H81" s="11">
        <v>0</v>
      </c>
      <c r="I81" s="11">
        <v>0</v>
      </c>
      <c r="J81" s="11">
        <v>0</v>
      </c>
      <c r="K81" s="11">
        <v>0</v>
      </c>
      <c r="L81" s="11">
        <v>0</v>
      </c>
      <c r="M81" s="11">
        <v>0</v>
      </c>
      <c r="N81" s="11">
        <v>0</v>
      </c>
      <c r="O81" s="11">
        <v>0</v>
      </c>
      <c r="P81" s="11">
        <v>0</v>
      </c>
      <c r="Q81" s="11">
        <v>0</v>
      </c>
      <c r="R81" s="12">
        <v>0</v>
      </c>
      <c r="S81" s="12">
        <v>0</v>
      </c>
      <c r="T81" s="12">
        <v>0</v>
      </c>
    </row>
    <row r="82" spans="1:20" x14ac:dyDescent="0.3">
      <c r="A82" s="13" t="s">
        <v>473</v>
      </c>
      <c r="B82" s="14" t="s">
        <v>474</v>
      </c>
      <c r="C82" s="14"/>
      <c r="D82" s="14" t="s">
        <v>475</v>
      </c>
      <c r="E82" s="14">
        <f xml:space="preserve"> IF($T$128,1,0)</f>
        <v>0</v>
      </c>
      <c r="F82" s="14" t="s">
        <v>476</v>
      </c>
      <c r="G82" s="14">
        <v>0</v>
      </c>
      <c r="H82" s="14">
        <v>0</v>
      </c>
      <c r="I82" s="14">
        <v>0</v>
      </c>
      <c r="J82" s="14">
        <v>0</v>
      </c>
      <c r="K82" s="14">
        <v>0</v>
      </c>
      <c r="L82" s="14">
        <v>0</v>
      </c>
      <c r="M82" s="14">
        <v>0</v>
      </c>
      <c r="N82" s="14">
        <v>0</v>
      </c>
      <c r="O82" s="14">
        <v>0</v>
      </c>
      <c r="P82" s="14">
        <v>0</v>
      </c>
      <c r="Q82" s="14">
        <v>0</v>
      </c>
      <c r="R82" s="15">
        <v>0</v>
      </c>
      <c r="S82" s="15">
        <v>0</v>
      </c>
      <c r="T82" s="15">
        <v>0</v>
      </c>
    </row>
    <row r="83" spans="1:20" x14ac:dyDescent="0.3">
      <c r="A83" s="10" t="s">
        <v>1055</v>
      </c>
      <c r="B83" s="11" t="s">
        <v>1056</v>
      </c>
      <c r="C83" s="11" t="s">
        <v>243</v>
      </c>
      <c r="D83" s="11" t="s">
        <v>1057</v>
      </c>
      <c r="E83" s="11">
        <f xml:space="preserve"> IF($T$281,1,0)</f>
        <v>0</v>
      </c>
      <c r="F83" s="11" t="s">
        <v>1058</v>
      </c>
      <c r="G83" s="11">
        <v>0</v>
      </c>
      <c r="H83" s="11">
        <v>0</v>
      </c>
      <c r="I83" s="11">
        <v>0</v>
      </c>
      <c r="J83" s="11">
        <v>0</v>
      </c>
      <c r="K83" s="11">
        <v>0</v>
      </c>
      <c r="L83" s="11">
        <v>0</v>
      </c>
      <c r="M83" s="11">
        <v>0</v>
      </c>
      <c r="N83" s="11">
        <v>0</v>
      </c>
      <c r="O83" s="11">
        <v>0</v>
      </c>
      <c r="P83" s="11">
        <v>0</v>
      </c>
      <c r="Q83" s="11">
        <v>0</v>
      </c>
      <c r="R83" s="12">
        <v>0</v>
      </c>
      <c r="S83" s="12">
        <v>0</v>
      </c>
      <c r="T83" s="12">
        <v>0</v>
      </c>
    </row>
    <row r="84" spans="1:20" x14ac:dyDescent="0.3">
      <c r="A84" s="13" t="s">
        <v>746</v>
      </c>
      <c r="B84" s="14" t="s">
        <v>747</v>
      </c>
      <c r="C84" s="14"/>
      <c r="D84" s="14" t="s">
        <v>748</v>
      </c>
      <c r="E84" s="14">
        <f xml:space="preserve"> IF($T$200,1,0)</f>
        <v>0</v>
      </c>
      <c r="F84" s="14" t="s">
        <v>749</v>
      </c>
      <c r="G84" s="14">
        <v>0</v>
      </c>
      <c r="H84" s="14">
        <v>0</v>
      </c>
      <c r="I84" s="14">
        <v>0</v>
      </c>
      <c r="J84" s="14">
        <v>0</v>
      </c>
      <c r="K84" s="14">
        <v>0</v>
      </c>
      <c r="L84" s="14">
        <v>0</v>
      </c>
      <c r="M84" s="14">
        <v>0</v>
      </c>
      <c r="N84" s="14">
        <v>0</v>
      </c>
      <c r="O84" s="14">
        <v>0</v>
      </c>
      <c r="P84" s="14">
        <v>0</v>
      </c>
      <c r="Q84" s="14">
        <v>0</v>
      </c>
      <c r="R84" s="15">
        <v>0</v>
      </c>
      <c r="S84" s="15">
        <v>0</v>
      </c>
      <c r="T84" s="15">
        <v>0</v>
      </c>
    </row>
    <row r="85" spans="1:20" x14ac:dyDescent="0.3">
      <c r="A85" s="10" t="s">
        <v>321</v>
      </c>
      <c r="B85" s="11" t="s">
        <v>322</v>
      </c>
      <c r="C85" s="11"/>
      <c r="D85" s="11" t="s">
        <v>323</v>
      </c>
      <c r="E85" s="11">
        <f xml:space="preserve"> IF($T$87,1,0)</f>
        <v>0</v>
      </c>
      <c r="F85" s="11" t="s">
        <v>324</v>
      </c>
      <c r="G85" s="11">
        <v>0</v>
      </c>
      <c r="H85" s="11">
        <v>0</v>
      </c>
      <c r="I85" s="11">
        <v>0</v>
      </c>
      <c r="J85" s="11">
        <v>0</v>
      </c>
      <c r="K85" s="11">
        <v>0</v>
      </c>
      <c r="L85" s="11">
        <v>0</v>
      </c>
      <c r="M85" s="11">
        <v>0</v>
      </c>
      <c r="N85" s="11">
        <v>0</v>
      </c>
      <c r="O85" s="11">
        <v>0</v>
      </c>
      <c r="P85" s="11">
        <v>0</v>
      </c>
      <c r="Q85" s="11">
        <v>0</v>
      </c>
      <c r="R85" s="12">
        <v>0</v>
      </c>
      <c r="S85" s="12">
        <v>0</v>
      </c>
      <c r="T85" s="12">
        <v>0</v>
      </c>
    </row>
    <row r="86" spans="1:20" x14ac:dyDescent="0.3">
      <c r="A86" s="10" t="s">
        <v>995</v>
      </c>
      <c r="B86" s="11" t="s">
        <v>996</v>
      </c>
      <c r="C86" s="11"/>
      <c r="D86" s="11" t="s">
        <v>997</v>
      </c>
      <c r="E86" s="11">
        <f xml:space="preserve"> IF($T$265,1,0)</f>
        <v>0</v>
      </c>
      <c r="F86" s="11" t="s">
        <v>998</v>
      </c>
      <c r="G86" s="11">
        <v>0</v>
      </c>
      <c r="H86" s="11">
        <v>0</v>
      </c>
      <c r="I86" s="11">
        <v>0</v>
      </c>
      <c r="J86" s="11">
        <v>0</v>
      </c>
      <c r="K86" s="11">
        <v>0</v>
      </c>
      <c r="L86" s="11">
        <v>0</v>
      </c>
      <c r="M86" s="11">
        <v>0</v>
      </c>
      <c r="N86" s="11">
        <v>0</v>
      </c>
      <c r="O86" s="11">
        <v>0</v>
      </c>
      <c r="P86" s="11">
        <v>0</v>
      </c>
      <c r="Q86" s="11">
        <v>0</v>
      </c>
      <c r="R86" s="12">
        <v>0</v>
      </c>
      <c r="S86" s="12">
        <v>0</v>
      </c>
      <c r="T86" s="12">
        <v>0</v>
      </c>
    </row>
    <row r="87" spans="1:20" x14ac:dyDescent="0.3">
      <c r="A87" s="13" t="s">
        <v>716</v>
      </c>
      <c r="B87" s="14" t="s">
        <v>717</v>
      </c>
      <c r="C87" s="14"/>
      <c r="D87" s="14" t="s">
        <v>718</v>
      </c>
      <c r="E87" s="14">
        <f xml:space="preserve"> IF($T$192,1,0)</f>
        <v>0</v>
      </c>
      <c r="F87" s="14" t="s">
        <v>719</v>
      </c>
      <c r="G87" s="14">
        <v>0</v>
      </c>
      <c r="H87" s="14">
        <v>0</v>
      </c>
      <c r="I87" s="14">
        <v>0</v>
      </c>
      <c r="J87" s="14">
        <v>0</v>
      </c>
      <c r="K87" s="14">
        <v>0</v>
      </c>
      <c r="L87" s="14">
        <v>0</v>
      </c>
      <c r="M87" s="14">
        <v>0</v>
      </c>
      <c r="N87" s="14">
        <v>0</v>
      </c>
      <c r="O87" s="14">
        <v>0</v>
      </c>
      <c r="P87" s="14">
        <v>0</v>
      </c>
      <c r="Q87" s="14">
        <v>0</v>
      </c>
      <c r="R87" s="15">
        <v>0</v>
      </c>
      <c r="S87" s="15">
        <v>0</v>
      </c>
      <c r="T87" s="15">
        <v>0</v>
      </c>
    </row>
    <row r="88" spans="1:20" x14ac:dyDescent="0.3">
      <c r="A88" s="13" t="s">
        <v>1144</v>
      </c>
      <c r="B88" s="14" t="s">
        <v>1142</v>
      </c>
      <c r="C88" s="14"/>
      <c r="D88" s="14" t="s">
        <v>1145</v>
      </c>
      <c r="E88" s="14">
        <f xml:space="preserve"> IF($T$306,1,0)</f>
        <v>0</v>
      </c>
      <c r="F88" s="14" t="s">
        <v>1146</v>
      </c>
      <c r="G88" s="14">
        <v>0</v>
      </c>
      <c r="H88" s="14">
        <v>1</v>
      </c>
      <c r="I88" s="14">
        <v>1</v>
      </c>
      <c r="J88" s="14">
        <v>0</v>
      </c>
      <c r="K88" s="14">
        <v>0</v>
      </c>
      <c r="L88" s="14">
        <v>0</v>
      </c>
      <c r="M88" s="14">
        <v>0</v>
      </c>
      <c r="N88" s="14">
        <v>0</v>
      </c>
      <c r="O88" s="14">
        <v>0</v>
      </c>
      <c r="P88" s="14">
        <v>0</v>
      </c>
      <c r="Q88" s="14">
        <v>0</v>
      </c>
      <c r="R88" s="15">
        <v>4.0999999999999996</v>
      </c>
      <c r="S88" s="15">
        <v>0</v>
      </c>
      <c r="T88" s="15">
        <v>4.0999999999999996</v>
      </c>
    </row>
    <row r="89" spans="1:20" x14ac:dyDescent="0.3">
      <c r="A89" s="13" t="s">
        <v>425</v>
      </c>
      <c r="B89" s="14" t="s">
        <v>426</v>
      </c>
      <c r="C89" s="14" t="s">
        <v>34</v>
      </c>
      <c r="D89" s="14" t="s">
        <v>427</v>
      </c>
      <c r="E89" s="14">
        <f xml:space="preserve"> IF($T$114,1,0)</f>
        <v>0</v>
      </c>
      <c r="F89" s="14" t="s">
        <v>428</v>
      </c>
      <c r="G89" s="14">
        <v>0</v>
      </c>
      <c r="H89" s="14">
        <v>0</v>
      </c>
      <c r="I89" s="14">
        <v>0</v>
      </c>
      <c r="J89" s="14">
        <v>0</v>
      </c>
      <c r="K89" s="14">
        <v>0</v>
      </c>
      <c r="L89" s="14">
        <v>0</v>
      </c>
      <c r="M89" s="14">
        <v>0</v>
      </c>
      <c r="N89" s="14">
        <v>0</v>
      </c>
      <c r="O89" s="14">
        <v>0</v>
      </c>
      <c r="P89" s="14">
        <v>0</v>
      </c>
      <c r="Q89" s="14">
        <v>0</v>
      </c>
      <c r="R89" s="15">
        <v>0</v>
      </c>
      <c r="S89" s="15">
        <v>0</v>
      </c>
      <c r="T89" s="15">
        <v>0</v>
      </c>
    </row>
    <row r="90" spans="1:20" x14ac:dyDescent="0.3">
      <c r="A90" s="13" t="s">
        <v>580</v>
      </c>
      <c r="B90" s="14" t="s">
        <v>581</v>
      </c>
      <c r="C90" s="14"/>
      <c r="D90" s="14" t="s">
        <v>582</v>
      </c>
      <c r="E90" s="14">
        <f xml:space="preserve"> IF($T$156,1,0)</f>
        <v>0</v>
      </c>
      <c r="F90" s="14" t="s">
        <v>583</v>
      </c>
      <c r="G90" s="14">
        <v>0</v>
      </c>
      <c r="H90" s="14">
        <v>0</v>
      </c>
      <c r="I90" s="14">
        <v>0</v>
      </c>
      <c r="J90" s="14">
        <v>0</v>
      </c>
      <c r="K90" s="14">
        <v>0</v>
      </c>
      <c r="L90" s="14">
        <v>0</v>
      </c>
      <c r="M90" s="14">
        <v>0</v>
      </c>
      <c r="N90" s="14">
        <v>0</v>
      </c>
      <c r="O90" s="14">
        <v>0</v>
      </c>
      <c r="P90" s="14">
        <v>0</v>
      </c>
      <c r="Q90" s="14">
        <v>0</v>
      </c>
      <c r="R90" s="15">
        <v>0</v>
      </c>
      <c r="S90" s="15">
        <v>0</v>
      </c>
      <c r="T90" s="15">
        <v>0</v>
      </c>
    </row>
    <row r="91" spans="1:20" x14ac:dyDescent="0.3">
      <c r="A91" s="10" t="s">
        <v>272</v>
      </c>
      <c r="B91" s="11" t="s">
        <v>273</v>
      </c>
      <c r="C91" s="11"/>
      <c r="D91" s="11" t="s">
        <v>274</v>
      </c>
      <c r="E91" s="11">
        <f xml:space="preserve"> IF($T$75,1,0)</f>
        <v>0</v>
      </c>
      <c r="F91" s="11" t="s">
        <v>275</v>
      </c>
      <c r="G91" s="11">
        <v>5</v>
      </c>
      <c r="H91" s="11">
        <v>0</v>
      </c>
      <c r="I91" s="11">
        <v>0</v>
      </c>
      <c r="J91" s="11">
        <v>1</v>
      </c>
      <c r="K91" s="11">
        <v>0</v>
      </c>
      <c r="L91" s="11">
        <v>0</v>
      </c>
      <c r="M91" s="11">
        <v>0</v>
      </c>
      <c r="N91" s="11">
        <v>0</v>
      </c>
      <c r="O91" s="11">
        <v>0</v>
      </c>
      <c r="P91" s="11">
        <v>0</v>
      </c>
      <c r="Q91" s="11">
        <v>0</v>
      </c>
      <c r="R91" s="12">
        <v>6.5</v>
      </c>
      <c r="S91" s="12">
        <v>0</v>
      </c>
      <c r="T91" s="12">
        <v>6.5</v>
      </c>
    </row>
    <row r="92" spans="1:20" x14ac:dyDescent="0.3">
      <c r="A92" s="13" t="s">
        <v>466</v>
      </c>
      <c r="B92" s="14" t="s">
        <v>457</v>
      </c>
      <c r="C92" s="14"/>
      <c r="D92" s="14" t="s">
        <v>467</v>
      </c>
      <c r="E92" s="14">
        <f xml:space="preserve"> IF($T$126,1,0)</f>
        <v>1</v>
      </c>
      <c r="F92" s="14" t="s">
        <v>468</v>
      </c>
      <c r="G92" s="14">
        <v>2</v>
      </c>
      <c r="H92" s="14">
        <v>0</v>
      </c>
      <c r="I92" s="14">
        <v>0</v>
      </c>
      <c r="J92" s="14">
        <v>0</v>
      </c>
      <c r="K92" s="14">
        <v>0</v>
      </c>
      <c r="L92" s="14">
        <v>3</v>
      </c>
      <c r="M92" s="14">
        <v>2</v>
      </c>
      <c r="N92" s="14">
        <v>0</v>
      </c>
      <c r="O92" s="14">
        <v>1</v>
      </c>
      <c r="P92" s="14">
        <v>0</v>
      </c>
      <c r="Q92" s="14">
        <v>1</v>
      </c>
      <c r="R92" s="15">
        <v>20.2</v>
      </c>
      <c r="S92" s="15">
        <v>0</v>
      </c>
      <c r="T92" s="15">
        <v>20.2</v>
      </c>
    </row>
    <row r="93" spans="1:20" x14ac:dyDescent="0.3">
      <c r="A93" s="10" t="s">
        <v>942</v>
      </c>
      <c r="B93" s="11" t="s">
        <v>943</v>
      </c>
      <c r="C93" s="11"/>
      <c r="D93" s="11" t="s">
        <v>944</v>
      </c>
      <c r="E93" s="11">
        <f xml:space="preserve"> IF($T$251,1,0)</f>
        <v>0</v>
      </c>
      <c r="F93" s="11" t="s">
        <v>945</v>
      </c>
      <c r="G93" s="11">
        <v>0</v>
      </c>
      <c r="H93" s="11">
        <v>0</v>
      </c>
      <c r="I93" s="11">
        <v>0</v>
      </c>
      <c r="J93" s="11">
        <v>0</v>
      </c>
      <c r="K93" s="11">
        <v>0</v>
      </c>
      <c r="L93" s="11">
        <v>0</v>
      </c>
      <c r="M93" s="11">
        <v>0</v>
      </c>
      <c r="N93" s="11">
        <v>0</v>
      </c>
      <c r="O93" s="11">
        <v>0</v>
      </c>
      <c r="P93" s="11">
        <v>0</v>
      </c>
      <c r="Q93" s="11">
        <v>0</v>
      </c>
      <c r="R93" s="12">
        <v>0</v>
      </c>
      <c r="S93" s="12">
        <v>0</v>
      </c>
      <c r="T93" s="12">
        <v>0</v>
      </c>
    </row>
    <row r="94" spans="1:20" x14ac:dyDescent="0.3">
      <c r="A94" s="13" t="s">
        <v>44</v>
      </c>
      <c r="B94" s="14" t="s">
        <v>45</v>
      </c>
      <c r="C94" s="14"/>
      <c r="D94" s="14" t="s">
        <v>46</v>
      </c>
      <c r="E94" s="14">
        <f xml:space="preserve"> IF($T$14,1,0)</f>
        <v>0</v>
      </c>
      <c r="F94" s="14" t="s">
        <v>47</v>
      </c>
      <c r="G94" s="14">
        <v>0</v>
      </c>
      <c r="H94" s="14">
        <v>0</v>
      </c>
      <c r="I94" s="14">
        <v>0</v>
      </c>
      <c r="J94" s="14">
        <v>0</v>
      </c>
      <c r="K94" s="14">
        <v>0</v>
      </c>
      <c r="L94" s="14">
        <v>0</v>
      </c>
      <c r="M94" s="14">
        <v>0</v>
      </c>
      <c r="N94" s="14">
        <v>0</v>
      </c>
      <c r="O94" s="14">
        <v>0</v>
      </c>
      <c r="P94" s="14">
        <v>0</v>
      </c>
      <c r="Q94" s="14">
        <v>0</v>
      </c>
      <c r="R94" s="15">
        <v>0</v>
      </c>
      <c r="S94" s="15">
        <v>0</v>
      </c>
      <c r="T94" s="15">
        <v>0</v>
      </c>
    </row>
    <row r="95" spans="1:20" x14ac:dyDescent="0.3">
      <c r="A95" s="13" t="s">
        <v>340</v>
      </c>
      <c r="B95" s="14" t="s">
        <v>341</v>
      </c>
      <c r="C95" s="14" t="s">
        <v>342</v>
      </c>
      <c r="D95" s="14" t="s">
        <v>343</v>
      </c>
      <c r="E95" s="14">
        <f xml:space="preserve"> IF($T$92,1,0)</f>
        <v>1</v>
      </c>
      <c r="F95" s="14" t="s">
        <v>344</v>
      </c>
      <c r="G95" s="14">
        <v>0</v>
      </c>
      <c r="H95" s="14">
        <v>0</v>
      </c>
      <c r="I95" s="14">
        <v>0</v>
      </c>
      <c r="J95" s="14">
        <v>0</v>
      </c>
      <c r="K95" s="14">
        <v>0</v>
      </c>
      <c r="L95" s="14">
        <v>0</v>
      </c>
      <c r="M95" s="14">
        <v>0</v>
      </c>
      <c r="N95" s="14">
        <v>0</v>
      </c>
      <c r="O95" s="14">
        <v>0</v>
      </c>
      <c r="P95" s="14">
        <v>0</v>
      </c>
      <c r="Q95" s="14">
        <v>0</v>
      </c>
      <c r="R95" s="15">
        <v>0</v>
      </c>
      <c r="S95" s="15">
        <v>0</v>
      </c>
      <c r="T95" s="15">
        <v>0</v>
      </c>
    </row>
    <row r="96" spans="1:20" x14ac:dyDescent="0.3">
      <c r="A96" s="10" t="s">
        <v>545</v>
      </c>
      <c r="B96" s="11" t="s">
        <v>546</v>
      </c>
      <c r="C96" s="11"/>
      <c r="D96" s="11" t="s">
        <v>547</v>
      </c>
      <c r="E96" s="11">
        <f xml:space="preserve"> IF($T$147,1,0)</f>
        <v>0</v>
      </c>
      <c r="F96" s="11" t="s">
        <v>548</v>
      </c>
      <c r="G96" s="11">
        <v>6</v>
      </c>
      <c r="H96" s="11">
        <v>0</v>
      </c>
      <c r="I96" s="11">
        <v>0</v>
      </c>
      <c r="J96" s="11">
        <v>0</v>
      </c>
      <c r="K96" s="11">
        <v>0</v>
      </c>
      <c r="L96" s="11">
        <v>0</v>
      </c>
      <c r="M96" s="11">
        <v>0</v>
      </c>
      <c r="N96" s="11">
        <v>0</v>
      </c>
      <c r="O96" s="11">
        <v>0</v>
      </c>
      <c r="P96" s="11">
        <v>0</v>
      </c>
      <c r="Q96" s="11">
        <v>0</v>
      </c>
      <c r="R96" s="12">
        <v>6.6000000000000005</v>
      </c>
      <c r="S96" s="12">
        <v>0</v>
      </c>
      <c r="T96" s="12">
        <v>6.6000000000000005</v>
      </c>
    </row>
    <row r="97" spans="1:20" x14ac:dyDescent="0.3">
      <c r="A97" s="10" t="s">
        <v>912</v>
      </c>
      <c r="B97" s="11" t="s">
        <v>913</v>
      </c>
      <c r="C97" s="11" t="s">
        <v>65</v>
      </c>
      <c r="D97" s="11" t="s">
        <v>914</v>
      </c>
      <c r="E97" s="11">
        <f xml:space="preserve"> IF($T$243,1,0)</f>
        <v>0</v>
      </c>
      <c r="F97" s="11" t="s">
        <v>915</v>
      </c>
      <c r="G97" s="11">
        <v>0</v>
      </c>
      <c r="H97" s="11">
        <v>0</v>
      </c>
      <c r="I97" s="11">
        <v>0</v>
      </c>
      <c r="J97" s="11">
        <v>0</v>
      </c>
      <c r="K97" s="11">
        <v>0</v>
      </c>
      <c r="L97" s="11">
        <v>0</v>
      </c>
      <c r="M97" s="11">
        <v>0</v>
      </c>
      <c r="N97" s="11">
        <v>0</v>
      </c>
      <c r="O97" s="11">
        <v>0</v>
      </c>
      <c r="P97" s="11">
        <v>0</v>
      </c>
      <c r="Q97" s="11">
        <v>0</v>
      </c>
      <c r="R97" s="12">
        <v>0</v>
      </c>
      <c r="S97" s="12">
        <v>0</v>
      </c>
      <c r="T97" s="12">
        <v>0</v>
      </c>
    </row>
    <row r="98" spans="1:20" x14ac:dyDescent="0.3">
      <c r="A98" s="13" t="s">
        <v>1129</v>
      </c>
      <c r="B98" s="14" t="s">
        <v>1130</v>
      </c>
      <c r="C98" s="14" t="s">
        <v>34</v>
      </c>
      <c r="D98" s="14" t="s">
        <v>1131</v>
      </c>
      <c r="E98" s="14">
        <f xml:space="preserve"> IF($T$302,1,0)</f>
        <v>0</v>
      </c>
      <c r="F98" s="14" t="s">
        <v>1132</v>
      </c>
      <c r="G98" s="14">
        <v>0</v>
      </c>
      <c r="H98" s="14">
        <v>0</v>
      </c>
      <c r="I98" s="14">
        <v>0</v>
      </c>
      <c r="J98" s="14">
        <v>0</v>
      </c>
      <c r="K98" s="14">
        <v>0</v>
      </c>
      <c r="L98" s="14">
        <v>0</v>
      </c>
      <c r="M98" s="14">
        <v>0</v>
      </c>
      <c r="N98" s="14">
        <v>0</v>
      </c>
      <c r="O98" s="14">
        <v>0</v>
      </c>
      <c r="P98" s="14">
        <v>0</v>
      </c>
      <c r="Q98" s="14">
        <v>0</v>
      </c>
      <c r="R98" s="15">
        <v>0</v>
      </c>
      <c r="S98" s="15">
        <v>0</v>
      </c>
      <c r="T98" s="15">
        <v>0</v>
      </c>
    </row>
    <row r="99" spans="1:20" x14ac:dyDescent="0.3">
      <c r="A99" s="10" t="s">
        <v>109</v>
      </c>
      <c r="B99" s="11" t="s">
        <v>103</v>
      </c>
      <c r="C99" s="11"/>
      <c r="D99" s="11" t="s">
        <v>110</v>
      </c>
      <c r="E99" s="11">
        <f xml:space="preserve"> IF($T$31,1,0)</f>
        <v>0</v>
      </c>
      <c r="F99" s="11" t="s">
        <v>111</v>
      </c>
      <c r="G99" s="11">
        <v>0</v>
      </c>
      <c r="H99" s="11">
        <v>0</v>
      </c>
      <c r="I99" s="11">
        <v>0</v>
      </c>
      <c r="J99" s="11">
        <v>0</v>
      </c>
      <c r="K99" s="11">
        <v>0</v>
      </c>
      <c r="L99" s="11">
        <v>0</v>
      </c>
      <c r="M99" s="11">
        <v>0</v>
      </c>
      <c r="N99" s="11">
        <v>0</v>
      </c>
      <c r="O99" s="11">
        <v>0</v>
      </c>
      <c r="P99" s="11">
        <v>0</v>
      </c>
      <c r="Q99" s="11">
        <v>0</v>
      </c>
      <c r="R99" s="12">
        <v>0</v>
      </c>
      <c r="S99" s="12">
        <v>0</v>
      </c>
      <c r="T99" s="12">
        <v>0</v>
      </c>
    </row>
    <row r="100" spans="1:20" x14ac:dyDescent="0.3">
      <c r="A100" s="13" t="s">
        <v>444</v>
      </c>
      <c r="B100" s="14" t="s">
        <v>445</v>
      </c>
      <c r="C100" s="14"/>
      <c r="D100" s="14" t="s">
        <v>446</v>
      </c>
      <c r="E100" s="14">
        <f xml:space="preserve"> IF($T$120,1,0)</f>
        <v>0</v>
      </c>
      <c r="F100" s="14" t="s">
        <v>447</v>
      </c>
      <c r="G100" s="14">
        <v>0</v>
      </c>
      <c r="H100" s="14">
        <v>0</v>
      </c>
      <c r="I100" s="14">
        <v>0</v>
      </c>
      <c r="J100" s="14">
        <v>0</v>
      </c>
      <c r="K100" s="14">
        <v>0</v>
      </c>
      <c r="L100" s="14">
        <v>0</v>
      </c>
      <c r="M100" s="14">
        <v>0</v>
      </c>
      <c r="N100" s="14">
        <v>0</v>
      </c>
      <c r="O100" s="14">
        <v>0</v>
      </c>
      <c r="P100" s="14">
        <v>0</v>
      </c>
      <c r="Q100" s="14">
        <v>0</v>
      </c>
      <c r="R100" s="15">
        <v>0</v>
      </c>
      <c r="S100" s="15">
        <v>0</v>
      </c>
      <c r="T100" s="15">
        <v>0</v>
      </c>
    </row>
    <row r="101" spans="1:20" x14ac:dyDescent="0.3">
      <c r="A101" s="10" t="s">
        <v>516</v>
      </c>
      <c r="B101" s="11" t="s">
        <v>517</v>
      </c>
      <c r="C101" s="11" t="s">
        <v>65</v>
      </c>
      <c r="D101" s="11" t="s">
        <v>518</v>
      </c>
      <c r="E101" s="11">
        <f xml:space="preserve"> IF($T$139,1,0)</f>
        <v>1</v>
      </c>
      <c r="F101" s="11" t="s">
        <v>519</v>
      </c>
      <c r="G101" s="11">
        <v>0</v>
      </c>
      <c r="H101" s="11">
        <v>0</v>
      </c>
      <c r="I101" s="11">
        <v>0</v>
      </c>
      <c r="J101" s="11">
        <v>0</v>
      </c>
      <c r="K101" s="11">
        <v>0</v>
      </c>
      <c r="L101" s="11">
        <v>0</v>
      </c>
      <c r="M101" s="11">
        <v>0</v>
      </c>
      <c r="N101" s="11">
        <v>0</v>
      </c>
      <c r="O101" s="11">
        <v>0</v>
      </c>
      <c r="P101" s="11">
        <v>0</v>
      </c>
      <c r="Q101" s="11">
        <v>0</v>
      </c>
      <c r="R101" s="12">
        <v>0</v>
      </c>
      <c r="S101" s="12">
        <v>0</v>
      </c>
      <c r="T101" s="12">
        <v>0</v>
      </c>
    </row>
    <row r="102" spans="1:20" x14ac:dyDescent="0.3">
      <c r="A102" s="10" t="s">
        <v>1173</v>
      </c>
      <c r="B102" s="11" t="s">
        <v>1174</v>
      </c>
      <c r="C102" s="11"/>
      <c r="D102" s="11" t="s">
        <v>1175</v>
      </c>
      <c r="E102" s="11">
        <f xml:space="preserve"> IF($T$315,1,0)</f>
        <v>0</v>
      </c>
      <c r="F102" s="11" t="s">
        <v>1176</v>
      </c>
      <c r="G102" s="11">
        <v>0</v>
      </c>
      <c r="H102" s="11">
        <v>0</v>
      </c>
      <c r="I102" s="11">
        <v>0</v>
      </c>
      <c r="J102" s="11">
        <v>0</v>
      </c>
      <c r="K102" s="11">
        <v>0</v>
      </c>
      <c r="L102" s="11">
        <v>0</v>
      </c>
      <c r="M102" s="11">
        <v>0</v>
      </c>
      <c r="N102" s="11">
        <v>0</v>
      </c>
      <c r="O102" s="11">
        <v>0</v>
      </c>
      <c r="P102" s="11">
        <v>0</v>
      </c>
      <c r="Q102" s="11">
        <v>0</v>
      </c>
      <c r="R102" s="12">
        <v>0</v>
      </c>
      <c r="S102" s="12">
        <v>0</v>
      </c>
      <c r="T102" s="12">
        <v>0</v>
      </c>
    </row>
    <row r="103" spans="1:20" x14ac:dyDescent="0.3">
      <c r="A103" s="10" t="s">
        <v>897</v>
      </c>
      <c r="B103" s="11" t="s">
        <v>898</v>
      </c>
      <c r="C103" s="11"/>
      <c r="D103" s="11" t="s">
        <v>899</v>
      </c>
      <c r="E103" s="11">
        <f xml:space="preserve"> IF($T$239,1,0)</f>
        <v>0</v>
      </c>
      <c r="F103" s="11" t="s">
        <v>900</v>
      </c>
      <c r="G103" s="11">
        <v>0</v>
      </c>
      <c r="H103" s="11">
        <v>0</v>
      </c>
      <c r="I103" s="11">
        <v>0</v>
      </c>
      <c r="J103" s="11">
        <v>0</v>
      </c>
      <c r="K103" s="11">
        <v>0</v>
      </c>
      <c r="L103" s="11">
        <v>0</v>
      </c>
      <c r="M103" s="11">
        <v>0</v>
      </c>
      <c r="N103" s="11">
        <v>0</v>
      </c>
      <c r="O103" s="11">
        <v>0</v>
      </c>
      <c r="P103" s="11">
        <v>0</v>
      </c>
      <c r="Q103" s="11">
        <v>0</v>
      </c>
      <c r="R103" s="12">
        <v>0</v>
      </c>
      <c r="S103" s="12">
        <v>0</v>
      </c>
      <c r="T103" s="12">
        <v>0</v>
      </c>
    </row>
    <row r="104" spans="1:20" x14ac:dyDescent="0.3">
      <c r="A104" s="10" t="s">
        <v>873</v>
      </c>
      <c r="B104" s="11" t="s">
        <v>874</v>
      </c>
      <c r="C104" s="11"/>
      <c r="D104" s="11" t="s">
        <v>875</v>
      </c>
      <c r="E104" s="11">
        <f xml:space="preserve"> IF($T$233,1,0)</f>
        <v>0</v>
      </c>
      <c r="F104" s="11" t="s">
        <v>876</v>
      </c>
      <c r="G104" s="11">
        <v>0</v>
      </c>
      <c r="H104" s="11">
        <v>0</v>
      </c>
      <c r="I104" s="11">
        <v>0</v>
      </c>
      <c r="J104" s="11">
        <v>0</v>
      </c>
      <c r="K104" s="11">
        <v>0</v>
      </c>
      <c r="L104" s="11">
        <v>0</v>
      </c>
      <c r="M104" s="11">
        <v>0</v>
      </c>
      <c r="N104" s="11">
        <v>0</v>
      </c>
      <c r="O104" s="11">
        <v>0</v>
      </c>
      <c r="P104" s="11">
        <v>0</v>
      </c>
      <c r="Q104" s="11">
        <v>0</v>
      </c>
      <c r="R104" s="12">
        <v>0</v>
      </c>
      <c r="S104" s="12">
        <v>0</v>
      </c>
      <c r="T104" s="12">
        <v>0</v>
      </c>
    </row>
    <row r="105" spans="1:20" x14ac:dyDescent="0.3">
      <c r="A105" s="13" t="s">
        <v>619</v>
      </c>
      <c r="B105" s="14" t="s">
        <v>620</v>
      </c>
      <c r="C105" s="14" t="s">
        <v>34</v>
      </c>
      <c r="D105" s="14" t="s">
        <v>621</v>
      </c>
      <c r="E105" s="14">
        <f xml:space="preserve"> IF($T$166,1,0)</f>
        <v>0</v>
      </c>
      <c r="F105" s="14" t="s">
        <v>622</v>
      </c>
      <c r="G105" s="14">
        <v>0</v>
      </c>
      <c r="H105" s="14">
        <v>0</v>
      </c>
      <c r="I105" s="14">
        <v>0</v>
      </c>
      <c r="J105" s="14">
        <v>0</v>
      </c>
      <c r="K105" s="14">
        <v>0</v>
      </c>
      <c r="L105" s="14">
        <v>0</v>
      </c>
      <c r="M105" s="14">
        <v>0</v>
      </c>
      <c r="N105" s="14">
        <v>0</v>
      </c>
      <c r="O105" s="14">
        <v>0</v>
      </c>
      <c r="P105" s="14">
        <v>0</v>
      </c>
      <c r="Q105" s="14">
        <v>0</v>
      </c>
      <c r="R105" s="15">
        <v>0</v>
      </c>
      <c r="S105" s="15">
        <v>0</v>
      </c>
      <c r="T105" s="15">
        <v>0</v>
      </c>
    </row>
    <row r="106" spans="1:20" x14ac:dyDescent="0.3">
      <c r="A106" s="13" t="s">
        <v>961</v>
      </c>
      <c r="B106" s="14" t="s">
        <v>962</v>
      </c>
      <c r="C106" s="14" t="s">
        <v>202</v>
      </c>
      <c r="D106" s="14" t="s">
        <v>963</v>
      </c>
      <c r="E106" s="14">
        <f xml:space="preserve"> IF($T$256,1,0)</f>
        <v>0</v>
      </c>
      <c r="F106" s="14" t="s">
        <v>964</v>
      </c>
      <c r="G106" s="14">
        <v>0</v>
      </c>
      <c r="H106" s="14">
        <v>0</v>
      </c>
      <c r="I106" s="14">
        <v>0</v>
      </c>
      <c r="J106" s="14">
        <v>0</v>
      </c>
      <c r="K106" s="14">
        <v>0</v>
      </c>
      <c r="L106" s="14">
        <v>0</v>
      </c>
      <c r="M106" s="14">
        <v>0</v>
      </c>
      <c r="N106" s="14">
        <v>0</v>
      </c>
      <c r="O106" s="14">
        <v>0</v>
      </c>
      <c r="P106" s="14">
        <v>0</v>
      </c>
      <c r="Q106" s="14">
        <v>0</v>
      </c>
      <c r="R106" s="15">
        <v>0</v>
      </c>
      <c r="S106" s="15">
        <v>0</v>
      </c>
      <c r="T106" s="15">
        <v>0</v>
      </c>
    </row>
    <row r="107" spans="1:20" x14ac:dyDescent="0.3">
      <c r="A107" s="13" t="s">
        <v>224</v>
      </c>
      <c r="B107" s="14" t="s">
        <v>225</v>
      </c>
      <c r="C107" s="14"/>
      <c r="D107" s="14" t="s">
        <v>226</v>
      </c>
      <c r="E107" s="14">
        <f xml:space="preserve"> IF($T$62,1,0)</f>
        <v>0</v>
      </c>
      <c r="F107" s="14" t="s">
        <v>227</v>
      </c>
      <c r="G107" s="14">
        <v>0</v>
      </c>
      <c r="H107" s="14">
        <v>0</v>
      </c>
      <c r="I107" s="14">
        <v>0</v>
      </c>
      <c r="J107" s="14">
        <v>0</v>
      </c>
      <c r="K107" s="14">
        <v>0</v>
      </c>
      <c r="L107" s="14">
        <v>0</v>
      </c>
      <c r="M107" s="14">
        <v>0</v>
      </c>
      <c r="N107" s="14">
        <v>0</v>
      </c>
      <c r="O107" s="14">
        <v>0</v>
      </c>
      <c r="P107" s="14">
        <v>0</v>
      </c>
      <c r="Q107" s="14">
        <v>0</v>
      </c>
      <c r="R107" s="15">
        <v>0</v>
      </c>
      <c r="S107" s="15">
        <v>0</v>
      </c>
      <c r="T107" s="15">
        <v>0</v>
      </c>
    </row>
    <row r="108" spans="1:20" x14ac:dyDescent="0.3">
      <c r="A108" s="10" t="s">
        <v>758</v>
      </c>
      <c r="B108" s="11" t="s">
        <v>759</v>
      </c>
      <c r="C108" s="11"/>
      <c r="D108" s="11" t="s">
        <v>760</v>
      </c>
      <c r="E108" s="11">
        <f xml:space="preserve"> IF($T$203,1,0)</f>
        <v>0</v>
      </c>
      <c r="F108" s="11" t="s">
        <v>761</v>
      </c>
      <c r="G108" s="11">
        <v>0</v>
      </c>
      <c r="H108" s="11">
        <v>0</v>
      </c>
      <c r="I108" s="11">
        <v>0</v>
      </c>
      <c r="J108" s="11">
        <v>0</v>
      </c>
      <c r="K108" s="11">
        <v>0</v>
      </c>
      <c r="L108" s="11">
        <v>0</v>
      </c>
      <c r="M108" s="11">
        <v>0</v>
      </c>
      <c r="N108" s="11">
        <v>0</v>
      </c>
      <c r="O108" s="11">
        <v>0</v>
      </c>
      <c r="P108" s="11">
        <v>0</v>
      </c>
      <c r="Q108" s="11">
        <v>0</v>
      </c>
      <c r="R108" s="12">
        <v>0</v>
      </c>
      <c r="S108" s="12">
        <v>0</v>
      </c>
      <c r="T108" s="12">
        <v>0</v>
      </c>
    </row>
    <row r="109" spans="1:20" x14ac:dyDescent="0.3">
      <c r="A109" s="10" t="s">
        <v>735</v>
      </c>
      <c r="B109" s="11" t="s">
        <v>736</v>
      </c>
      <c r="C109" s="11"/>
      <c r="D109" s="11" t="s">
        <v>737</v>
      </c>
      <c r="E109" s="11">
        <f xml:space="preserve"> IF($T$197,1,0)</f>
        <v>0</v>
      </c>
      <c r="F109" s="11" t="s">
        <v>738</v>
      </c>
      <c r="G109" s="11">
        <v>0</v>
      </c>
      <c r="H109" s="11">
        <v>0</v>
      </c>
      <c r="I109" s="11">
        <v>0</v>
      </c>
      <c r="J109" s="11">
        <v>0</v>
      </c>
      <c r="K109" s="11">
        <v>0</v>
      </c>
      <c r="L109" s="11">
        <v>0</v>
      </c>
      <c r="M109" s="11">
        <v>0</v>
      </c>
      <c r="N109" s="11">
        <v>0</v>
      </c>
      <c r="O109" s="11">
        <v>0</v>
      </c>
      <c r="P109" s="11">
        <v>0</v>
      </c>
      <c r="Q109" s="11">
        <v>0</v>
      </c>
      <c r="R109" s="12">
        <v>0</v>
      </c>
      <c r="S109" s="12">
        <v>0</v>
      </c>
      <c r="T109" s="12">
        <v>0</v>
      </c>
    </row>
    <row r="110" spans="1:20" x14ac:dyDescent="0.3">
      <c r="A110" s="13" t="s">
        <v>176</v>
      </c>
      <c r="B110" s="14" t="s">
        <v>177</v>
      </c>
      <c r="C110" s="14"/>
      <c r="D110" s="14" t="s">
        <v>178</v>
      </c>
      <c r="E110" s="14">
        <f xml:space="preserve"> IF($T$48,1,0)</f>
        <v>0</v>
      </c>
      <c r="F110" s="14" t="s">
        <v>179</v>
      </c>
      <c r="G110" s="14">
        <v>0</v>
      </c>
      <c r="H110" s="14">
        <v>0</v>
      </c>
      <c r="I110" s="14">
        <v>0</v>
      </c>
      <c r="J110" s="14">
        <v>0</v>
      </c>
      <c r="K110" s="14">
        <v>0</v>
      </c>
      <c r="L110" s="14">
        <v>0</v>
      </c>
      <c r="M110" s="14">
        <v>0</v>
      </c>
      <c r="N110" s="14">
        <v>0</v>
      </c>
      <c r="O110" s="14">
        <v>0</v>
      </c>
      <c r="P110" s="14">
        <v>0</v>
      </c>
      <c r="Q110" s="14">
        <v>0</v>
      </c>
      <c r="R110" s="15">
        <v>0</v>
      </c>
      <c r="S110" s="15">
        <v>0</v>
      </c>
      <c r="T110" s="15">
        <v>0</v>
      </c>
    </row>
    <row r="111" spans="1:20" x14ac:dyDescent="0.3">
      <c r="A111" s="13" t="s">
        <v>1192</v>
      </c>
      <c r="B111" s="14" t="s">
        <v>1193</v>
      </c>
      <c r="C111" s="14"/>
      <c r="D111" s="14" t="s">
        <v>1194</v>
      </c>
      <c r="E111" s="14">
        <f xml:space="preserve"> IF($T$320,1,0)</f>
        <v>0</v>
      </c>
      <c r="F111" s="14" t="s">
        <v>1195</v>
      </c>
      <c r="G111" s="14">
        <v>0</v>
      </c>
      <c r="H111" s="14">
        <v>1</v>
      </c>
      <c r="I111" s="14">
        <v>0</v>
      </c>
      <c r="J111" s="14">
        <v>0</v>
      </c>
      <c r="K111" s="14">
        <v>0</v>
      </c>
      <c r="L111" s="14">
        <v>0</v>
      </c>
      <c r="M111" s="14">
        <v>0</v>
      </c>
      <c r="N111" s="14">
        <v>0</v>
      </c>
      <c r="O111" s="14">
        <v>0</v>
      </c>
      <c r="P111" s="14">
        <v>0</v>
      </c>
      <c r="Q111" s="14">
        <v>0</v>
      </c>
      <c r="R111" s="15">
        <v>1.8</v>
      </c>
      <c r="S111" s="15">
        <v>0</v>
      </c>
      <c r="T111" s="15">
        <v>1.8</v>
      </c>
    </row>
    <row r="112" spans="1:20" x14ac:dyDescent="0.3">
      <c r="A112" s="10" t="s">
        <v>713</v>
      </c>
      <c r="B112" s="11" t="s">
        <v>708</v>
      </c>
      <c r="C112" s="11"/>
      <c r="D112" s="11" t="s">
        <v>714</v>
      </c>
      <c r="E112" s="11">
        <f xml:space="preserve"> IF($T$191,1,0)</f>
        <v>0</v>
      </c>
      <c r="F112" s="11" t="s">
        <v>715</v>
      </c>
      <c r="G112" s="11">
        <v>0</v>
      </c>
      <c r="H112" s="11">
        <v>0</v>
      </c>
      <c r="I112" s="11">
        <v>0</v>
      </c>
      <c r="J112" s="11">
        <v>0</v>
      </c>
      <c r="K112" s="11">
        <v>0</v>
      </c>
      <c r="L112" s="11">
        <v>0</v>
      </c>
      <c r="M112" s="11">
        <v>0</v>
      </c>
      <c r="N112" s="11">
        <v>0</v>
      </c>
      <c r="O112" s="11">
        <v>0</v>
      </c>
      <c r="P112" s="11">
        <v>0</v>
      </c>
      <c r="Q112" s="11">
        <v>0</v>
      </c>
      <c r="R112" s="12">
        <v>0</v>
      </c>
      <c r="S112" s="12">
        <v>0</v>
      </c>
      <c r="T112" s="12">
        <v>0</v>
      </c>
    </row>
    <row r="113" spans="1:20" x14ac:dyDescent="0.3">
      <c r="A113" s="13" t="s">
        <v>301</v>
      </c>
      <c r="B113" s="14" t="s">
        <v>302</v>
      </c>
      <c r="C113" s="14"/>
      <c r="D113" s="14" t="s">
        <v>303</v>
      </c>
      <c r="E113" s="14">
        <f xml:space="preserve"> IF($T$82,1,0)</f>
        <v>0</v>
      </c>
      <c r="F113" s="14" t="s">
        <v>304</v>
      </c>
      <c r="G113" s="14">
        <v>0</v>
      </c>
      <c r="H113" s="14">
        <v>0</v>
      </c>
      <c r="I113" s="14">
        <v>0</v>
      </c>
      <c r="J113" s="14">
        <v>0</v>
      </c>
      <c r="K113" s="14">
        <v>0</v>
      </c>
      <c r="L113" s="14">
        <v>0</v>
      </c>
      <c r="M113" s="14">
        <v>0</v>
      </c>
      <c r="N113" s="14">
        <v>0</v>
      </c>
      <c r="O113" s="14">
        <v>0</v>
      </c>
      <c r="P113" s="14">
        <v>0</v>
      </c>
      <c r="Q113" s="14">
        <v>0</v>
      </c>
      <c r="R113" s="15">
        <v>0</v>
      </c>
      <c r="S113" s="15">
        <v>0</v>
      </c>
      <c r="T113" s="15">
        <v>0</v>
      </c>
    </row>
    <row r="114" spans="1:20" x14ac:dyDescent="0.3">
      <c r="A114" s="10" t="s">
        <v>1188</v>
      </c>
      <c r="B114" s="11" t="s">
        <v>1189</v>
      </c>
      <c r="C114" s="11"/>
      <c r="D114" s="11" t="s">
        <v>1190</v>
      </c>
      <c r="E114" s="11">
        <f xml:space="preserve"> IF($T$319,1,0)</f>
        <v>0</v>
      </c>
      <c r="F114" s="11" t="s">
        <v>1191</v>
      </c>
      <c r="G114" s="11">
        <v>0</v>
      </c>
      <c r="H114" s="11">
        <v>0</v>
      </c>
      <c r="I114" s="11">
        <v>0</v>
      </c>
      <c r="J114" s="11">
        <v>0</v>
      </c>
      <c r="K114" s="11">
        <v>0</v>
      </c>
      <c r="L114" s="11">
        <v>0</v>
      </c>
      <c r="M114" s="11">
        <v>0</v>
      </c>
      <c r="N114" s="11">
        <v>0</v>
      </c>
      <c r="O114" s="11">
        <v>0</v>
      </c>
      <c r="P114" s="11">
        <v>0</v>
      </c>
      <c r="Q114" s="11">
        <v>0</v>
      </c>
      <c r="R114" s="12">
        <v>0</v>
      </c>
      <c r="S114" s="12">
        <v>0</v>
      </c>
      <c r="T114" s="12">
        <v>0</v>
      </c>
    </row>
    <row r="115" spans="1:20" x14ac:dyDescent="0.3">
      <c r="A115" s="13" t="s">
        <v>657</v>
      </c>
      <c r="B115" s="14" t="s">
        <v>658</v>
      </c>
      <c r="C115" s="14"/>
      <c r="D115" s="14" t="s">
        <v>659</v>
      </c>
      <c r="E115" s="14">
        <f xml:space="preserve"> IF($T$176,1,0)</f>
        <v>1</v>
      </c>
      <c r="F115" s="14" t="s">
        <v>660</v>
      </c>
      <c r="G115" s="14">
        <v>0</v>
      </c>
      <c r="H115" s="14">
        <v>0</v>
      </c>
      <c r="I115" s="14">
        <v>0</v>
      </c>
      <c r="J115" s="14">
        <v>0</v>
      </c>
      <c r="K115" s="14">
        <v>0</v>
      </c>
      <c r="L115" s="14">
        <v>0</v>
      </c>
      <c r="M115" s="14">
        <v>0</v>
      </c>
      <c r="N115" s="14">
        <v>0</v>
      </c>
      <c r="O115" s="14">
        <v>0</v>
      </c>
      <c r="P115" s="14">
        <v>0</v>
      </c>
      <c r="Q115" s="14">
        <v>0</v>
      </c>
      <c r="R115" s="15">
        <v>0</v>
      </c>
      <c r="S115" s="15">
        <v>0</v>
      </c>
      <c r="T115" s="15">
        <v>0</v>
      </c>
    </row>
    <row r="116" spans="1:20" x14ac:dyDescent="0.3">
      <c r="A116" s="13" t="s">
        <v>1102</v>
      </c>
      <c r="B116" s="14" t="s">
        <v>1103</v>
      </c>
      <c r="C116" s="14"/>
      <c r="D116" s="14" t="s">
        <v>1104</v>
      </c>
      <c r="E116" s="14">
        <f xml:space="preserve"> IF($T$294,1,0)</f>
        <v>1</v>
      </c>
      <c r="F116" s="14" t="s">
        <v>1105</v>
      </c>
      <c r="G116" s="14">
        <v>0</v>
      </c>
      <c r="H116" s="14">
        <v>0</v>
      </c>
      <c r="I116" s="14">
        <v>0</v>
      </c>
      <c r="J116" s="14">
        <v>0</v>
      </c>
      <c r="K116" s="14">
        <v>0</v>
      </c>
      <c r="L116" s="14">
        <v>0</v>
      </c>
      <c r="M116" s="14">
        <v>0</v>
      </c>
      <c r="N116" s="14">
        <v>0</v>
      </c>
      <c r="O116" s="14">
        <v>0</v>
      </c>
      <c r="P116" s="14">
        <v>0</v>
      </c>
      <c r="Q116" s="14">
        <v>0</v>
      </c>
      <c r="R116" s="15">
        <v>0</v>
      </c>
      <c r="S116" s="15">
        <v>0</v>
      </c>
      <c r="T116" s="15">
        <v>0</v>
      </c>
    </row>
    <row r="117" spans="1:20" x14ac:dyDescent="0.3">
      <c r="A117" s="13" t="s">
        <v>839</v>
      </c>
      <c r="B117" s="14" t="s">
        <v>840</v>
      </c>
      <c r="C117" s="14"/>
      <c r="D117" s="14" t="s">
        <v>841</v>
      </c>
      <c r="E117" s="14">
        <f xml:space="preserve"> IF($T$224,1,0)</f>
        <v>0</v>
      </c>
      <c r="F117" s="14" t="s">
        <v>842</v>
      </c>
      <c r="G117" s="14">
        <v>0</v>
      </c>
      <c r="H117" s="14">
        <v>0</v>
      </c>
      <c r="I117" s="14">
        <v>0</v>
      </c>
      <c r="J117" s="14">
        <v>0</v>
      </c>
      <c r="K117" s="14">
        <v>0</v>
      </c>
      <c r="L117" s="14">
        <v>0</v>
      </c>
      <c r="M117" s="14">
        <v>0</v>
      </c>
      <c r="N117" s="14">
        <v>0</v>
      </c>
      <c r="O117" s="14">
        <v>0</v>
      </c>
      <c r="P117" s="14">
        <v>0</v>
      </c>
      <c r="Q117" s="14">
        <v>0</v>
      </c>
      <c r="R117" s="15">
        <v>0</v>
      </c>
      <c r="S117" s="15">
        <v>0</v>
      </c>
      <c r="T117" s="15">
        <v>0</v>
      </c>
    </row>
    <row r="118" spans="1:20" x14ac:dyDescent="0.3">
      <c r="A118" s="10" t="s">
        <v>413</v>
      </c>
      <c r="B118" s="11" t="s">
        <v>414</v>
      </c>
      <c r="C118" s="11"/>
      <c r="D118" s="11" t="s">
        <v>415</v>
      </c>
      <c r="E118" s="11">
        <f xml:space="preserve"> IF($T$111,1,0)</f>
        <v>1</v>
      </c>
      <c r="F118" s="11" t="s">
        <v>416</v>
      </c>
      <c r="G118" s="11">
        <v>0</v>
      </c>
      <c r="H118" s="11">
        <v>0</v>
      </c>
      <c r="I118" s="11">
        <v>0</v>
      </c>
      <c r="J118" s="11">
        <v>0</v>
      </c>
      <c r="K118" s="11">
        <v>0</v>
      </c>
      <c r="L118" s="11">
        <v>0</v>
      </c>
      <c r="M118" s="11">
        <v>0</v>
      </c>
      <c r="N118" s="11">
        <v>0</v>
      </c>
      <c r="O118" s="11">
        <v>0</v>
      </c>
      <c r="P118" s="11">
        <v>0</v>
      </c>
      <c r="Q118" s="11">
        <v>0</v>
      </c>
      <c r="R118" s="12">
        <v>0</v>
      </c>
      <c r="S118" s="12">
        <v>0</v>
      </c>
      <c r="T118" s="12">
        <v>0</v>
      </c>
    </row>
    <row r="119" spans="1:20" x14ac:dyDescent="0.3">
      <c r="A119" s="10" t="s">
        <v>523</v>
      </c>
      <c r="B119" s="11" t="s">
        <v>524</v>
      </c>
      <c r="C119" s="11" t="s">
        <v>65</v>
      </c>
      <c r="D119" s="11" t="s">
        <v>327</v>
      </c>
      <c r="E119" s="11">
        <f xml:space="preserve"> IF($T$141,1,0)</f>
        <v>0</v>
      </c>
      <c r="F119" s="11" t="s">
        <v>525</v>
      </c>
      <c r="G119" s="11">
        <v>0</v>
      </c>
      <c r="H119" s="11">
        <v>0</v>
      </c>
      <c r="I119" s="11">
        <v>0</v>
      </c>
      <c r="J119" s="11">
        <v>0</v>
      </c>
      <c r="K119" s="11">
        <v>0</v>
      </c>
      <c r="L119" s="11">
        <v>0</v>
      </c>
      <c r="M119" s="11">
        <v>0</v>
      </c>
      <c r="N119" s="11">
        <v>0</v>
      </c>
      <c r="O119" s="11">
        <v>0</v>
      </c>
      <c r="P119" s="11">
        <v>0</v>
      </c>
      <c r="Q119" s="11">
        <v>0</v>
      </c>
      <c r="R119" s="12">
        <v>0</v>
      </c>
      <c r="S119" s="12">
        <v>0</v>
      </c>
      <c r="T119" s="12">
        <v>0</v>
      </c>
    </row>
    <row r="120" spans="1:20" x14ac:dyDescent="0.3">
      <c r="A120" s="10" t="s">
        <v>86</v>
      </c>
      <c r="B120" s="11" t="s">
        <v>87</v>
      </c>
      <c r="C120" s="11"/>
      <c r="D120" s="11" t="s">
        <v>88</v>
      </c>
      <c r="E120" s="11">
        <f xml:space="preserve"> IF($T$25,1,0)</f>
        <v>0</v>
      </c>
      <c r="F120" s="11" t="s">
        <v>89</v>
      </c>
      <c r="G120" s="11">
        <v>0</v>
      </c>
      <c r="H120" s="11">
        <v>0</v>
      </c>
      <c r="I120" s="11">
        <v>0</v>
      </c>
      <c r="J120" s="11">
        <v>0</v>
      </c>
      <c r="K120" s="11">
        <v>0</v>
      </c>
      <c r="L120" s="11">
        <v>0</v>
      </c>
      <c r="M120" s="11">
        <v>0</v>
      </c>
      <c r="N120" s="11">
        <v>0</v>
      </c>
      <c r="O120" s="11">
        <v>0</v>
      </c>
      <c r="P120" s="11">
        <v>0</v>
      </c>
      <c r="Q120" s="11">
        <v>0</v>
      </c>
      <c r="R120" s="12">
        <v>0</v>
      </c>
      <c r="S120" s="12">
        <v>0</v>
      </c>
      <c r="T120" s="12">
        <v>0</v>
      </c>
    </row>
    <row r="121" spans="1:20" x14ac:dyDescent="0.3">
      <c r="A121" s="13" t="s">
        <v>778</v>
      </c>
      <c r="B121" s="14" t="s">
        <v>779</v>
      </c>
      <c r="C121" s="14"/>
      <c r="D121" s="14" t="s">
        <v>780</v>
      </c>
      <c r="E121" s="14">
        <f xml:space="preserve"> IF($T$208,1,0)</f>
        <v>0</v>
      </c>
      <c r="F121" s="14" t="s">
        <v>781</v>
      </c>
      <c r="G121" s="14">
        <v>0</v>
      </c>
      <c r="H121" s="14">
        <v>0</v>
      </c>
      <c r="I121" s="14">
        <v>0</v>
      </c>
      <c r="J121" s="14">
        <v>0</v>
      </c>
      <c r="K121" s="14">
        <v>0</v>
      </c>
      <c r="L121" s="14">
        <v>0</v>
      </c>
      <c r="M121" s="14">
        <v>0</v>
      </c>
      <c r="N121" s="14">
        <v>0</v>
      </c>
      <c r="O121" s="14">
        <v>0</v>
      </c>
      <c r="P121" s="14">
        <v>0</v>
      </c>
      <c r="Q121" s="14">
        <v>0</v>
      </c>
      <c r="R121" s="15">
        <v>0</v>
      </c>
      <c r="S121" s="15">
        <v>0</v>
      </c>
      <c r="T121" s="15">
        <v>0</v>
      </c>
    </row>
    <row r="122" spans="1:20" x14ac:dyDescent="0.3">
      <c r="A122" s="10" t="s">
        <v>827</v>
      </c>
      <c r="B122" s="11" t="s">
        <v>828</v>
      </c>
      <c r="C122" s="11"/>
      <c r="D122" s="11" t="s">
        <v>829</v>
      </c>
      <c r="E122" s="11">
        <f xml:space="preserve"> IF($T$221,1,0)</f>
        <v>1</v>
      </c>
      <c r="F122" s="11" t="s">
        <v>830</v>
      </c>
      <c r="G122" s="11">
        <v>0</v>
      </c>
      <c r="H122" s="11">
        <v>0</v>
      </c>
      <c r="I122" s="11">
        <v>0</v>
      </c>
      <c r="J122" s="11">
        <v>0</v>
      </c>
      <c r="K122" s="11">
        <v>0</v>
      </c>
      <c r="L122" s="11">
        <v>0</v>
      </c>
      <c r="M122" s="11">
        <v>0</v>
      </c>
      <c r="N122" s="11">
        <v>0</v>
      </c>
      <c r="O122" s="11">
        <v>0</v>
      </c>
      <c r="P122" s="11">
        <v>0</v>
      </c>
      <c r="Q122" s="11">
        <v>0</v>
      </c>
      <c r="R122" s="12">
        <v>0</v>
      </c>
      <c r="S122" s="12">
        <v>0</v>
      </c>
      <c r="T122" s="12">
        <v>0</v>
      </c>
    </row>
    <row r="123" spans="1:20" x14ac:dyDescent="0.3">
      <c r="A123" s="13" t="s">
        <v>333</v>
      </c>
      <c r="B123" s="14" t="s">
        <v>334</v>
      </c>
      <c r="C123" s="14"/>
      <c r="D123" s="14" t="s">
        <v>335</v>
      </c>
      <c r="E123" s="14">
        <f xml:space="preserve"> IF($T$90,1,0)</f>
        <v>0</v>
      </c>
      <c r="F123" s="14" t="s">
        <v>336</v>
      </c>
      <c r="G123" s="14">
        <v>0</v>
      </c>
      <c r="H123" s="14">
        <v>0</v>
      </c>
      <c r="I123" s="14">
        <v>0</v>
      </c>
      <c r="J123" s="14">
        <v>0</v>
      </c>
      <c r="K123" s="14">
        <v>0</v>
      </c>
      <c r="L123" s="14">
        <v>0</v>
      </c>
      <c r="M123" s="14">
        <v>0</v>
      </c>
      <c r="N123" s="14">
        <v>0</v>
      </c>
      <c r="O123" s="14">
        <v>0</v>
      </c>
      <c r="P123" s="14">
        <v>0</v>
      </c>
      <c r="Q123" s="14">
        <v>0</v>
      </c>
      <c r="R123" s="15">
        <v>0</v>
      </c>
      <c r="S123" s="15">
        <v>0</v>
      </c>
      <c r="T123" s="15">
        <v>0</v>
      </c>
    </row>
    <row r="124" spans="1:20" x14ac:dyDescent="0.3">
      <c r="A124" s="13" t="s">
        <v>120</v>
      </c>
      <c r="B124" s="14" t="s">
        <v>121</v>
      </c>
      <c r="C124" s="14"/>
      <c r="D124" s="14" t="s">
        <v>122</v>
      </c>
      <c r="E124" s="14">
        <f xml:space="preserve"> IF($T$34,1,0)</f>
        <v>0</v>
      </c>
      <c r="F124" s="14" t="s">
        <v>123</v>
      </c>
      <c r="G124" s="14">
        <v>0</v>
      </c>
      <c r="H124" s="14">
        <v>0</v>
      </c>
      <c r="I124" s="14">
        <v>0</v>
      </c>
      <c r="J124" s="14">
        <v>0</v>
      </c>
      <c r="K124" s="14">
        <v>0</v>
      </c>
      <c r="L124" s="14">
        <v>0</v>
      </c>
      <c r="M124" s="14">
        <v>0</v>
      </c>
      <c r="N124" s="14">
        <v>0</v>
      </c>
      <c r="O124" s="14">
        <v>0</v>
      </c>
      <c r="P124" s="14">
        <v>0</v>
      </c>
      <c r="Q124" s="14">
        <v>0</v>
      </c>
      <c r="R124" s="15">
        <v>0</v>
      </c>
      <c r="S124" s="15">
        <v>0</v>
      </c>
      <c r="T124" s="15">
        <v>0</v>
      </c>
    </row>
    <row r="125" spans="1:20" x14ac:dyDescent="0.3">
      <c r="A125" s="13" t="s">
        <v>703</v>
      </c>
      <c r="B125" s="14" t="s">
        <v>704</v>
      </c>
      <c r="C125" s="14"/>
      <c r="D125" s="14" t="s">
        <v>705</v>
      </c>
      <c r="E125" s="14">
        <f xml:space="preserve"> IF($T$188,1,0)</f>
        <v>0</v>
      </c>
      <c r="F125" s="14" t="s">
        <v>706</v>
      </c>
      <c r="G125" s="14">
        <v>0</v>
      </c>
      <c r="H125" s="14">
        <v>0</v>
      </c>
      <c r="I125" s="14">
        <v>0</v>
      </c>
      <c r="J125" s="14">
        <v>0</v>
      </c>
      <c r="K125" s="14">
        <v>0</v>
      </c>
      <c r="L125" s="14">
        <v>0</v>
      </c>
      <c r="M125" s="14">
        <v>0</v>
      </c>
      <c r="N125" s="14">
        <v>0</v>
      </c>
      <c r="O125" s="14">
        <v>0</v>
      </c>
      <c r="P125" s="14">
        <v>0</v>
      </c>
      <c r="Q125" s="14">
        <v>0</v>
      </c>
      <c r="R125" s="15">
        <v>0</v>
      </c>
      <c r="S125" s="15">
        <v>0</v>
      </c>
      <c r="T125" s="15">
        <v>0</v>
      </c>
    </row>
    <row r="126" spans="1:20" x14ac:dyDescent="0.3">
      <c r="A126" s="10" t="s">
        <v>361</v>
      </c>
      <c r="B126" s="11" t="s">
        <v>358</v>
      </c>
      <c r="C126" s="11" t="s">
        <v>34</v>
      </c>
      <c r="D126" s="11" t="s">
        <v>362</v>
      </c>
      <c r="E126" s="11">
        <f xml:space="preserve"> IF($T$97,1,0)</f>
        <v>0</v>
      </c>
      <c r="F126" s="11" t="s">
        <v>363</v>
      </c>
      <c r="G126" s="11">
        <v>2</v>
      </c>
      <c r="H126" s="11">
        <v>0</v>
      </c>
      <c r="I126" s="11">
        <v>0</v>
      </c>
      <c r="J126" s="11">
        <v>0</v>
      </c>
      <c r="K126" s="11">
        <v>0</v>
      </c>
      <c r="L126" s="11">
        <v>0</v>
      </c>
      <c r="M126" s="11">
        <v>0</v>
      </c>
      <c r="N126" s="11">
        <v>0</v>
      </c>
      <c r="O126" s="11">
        <v>0</v>
      </c>
      <c r="P126" s="11">
        <v>0</v>
      </c>
      <c r="Q126" s="11">
        <v>1</v>
      </c>
      <c r="R126" s="12">
        <v>3.2</v>
      </c>
      <c r="S126" s="12">
        <v>0</v>
      </c>
      <c r="T126" s="12">
        <v>3.2</v>
      </c>
    </row>
    <row r="127" spans="1:20" x14ac:dyDescent="0.3">
      <c r="A127" s="13" t="s">
        <v>325</v>
      </c>
      <c r="B127" s="14" t="s">
        <v>326</v>
      </c>
      <c r="C127" s="14" t="s">
        <v>243</v>
      </c>
      <c r="D127" s="14" t="s">
        <v>327</v>
      </c>
      <c r="E127" s="14">
        <f xml:space="preserve"> IF($T$88,1,0)</f>
        <v>1</v>
      </c>
      <c r="F127" s="14" t="s">
        <v>328</v>
      </c>
      <c r="G127" s="14">
        <v>0</v>
      </c>
      <c r="H127" s="14">
        <v>0</v>
      </c>
      <c r="I127" s="14">
        <v>0</v>
      </c>
      <c r="J127" s="14">
        <v>0</v>
      </c>
      <c r="K127" s="14">
        <v>0</v>
      </c>
      <c r="L127" s="14">
        <v>0</v>
      </c>
      <c r="M127" s="14">
        <v>0</v>
      </c>
      <c r="N127" s="14">
        <v>0</v>
      </c>
      <c r="O127" s="14">
        <v>0</v>
      </c>
      <c r="P127" s="14">
        <v>0</v>
      </c>
      <c r="Q127" s="14">
        <v>0</v>
      </c>
      <c r="R127" s="15">
        <v>0</v>
      </c>
      <c r="S127" s="15">
        <v>0</v>
      </c>
      <c r="T127" s="15">
        <v>0</v>
      </c>
    </row>
    <row r="128" spans="1:20" x14ac:dyDescent="0.3">
      <c r="A128" s="13" t="s">
        <v>497</v>
      </c>
      <c r="B128" s="14" t="s">
        <v>498</v>
      </c>
      <c r="C128" s="14"/>
      <c r="D128" s="14" t="s">
        <v>499</v>
      </c>
      <c r="E128" s="14">
        <f xml:space="preserve"> IF($T$134,1,0)</f>
        <v>0</v>
      </c>
      <c r="F128" s="14" t="s">
        <v>500</v>
      </c>
      <c r="G128" s="14">
        <v>0</v>
      </c>
      <c r="H128" s="14">
        <v>0</v>
      </c>
      <c r="I128" s="14">
        <v>0</v>
      </c>
      <c r="J128" s="14">
        <v>0</v>
      </c>
      <c r="K128" s="14">
        <v>0</v>
      </c>
      <c r="L128" s="14">
        <v>0</v>
      </c>
      <c r="M128" s="14">
        <v>0</v>
      </c>
      <c r="N128" s="14">
        <v>0</v>
      </c>
      <c r="O128" s="14">
        <v>0</v>
      </c>
      <c r="P128" s="14">
        <v>0</v>
      </c>
      <c r="Q128" s="14">
        <v>0</v>
      </c>
      <c r="R128" s="15">
        <v>0</v>
      </c>
      <c r="S128" s="15">
        <v>0</v>
      </c>
      <c r="T128" s="15">
        <v>0</v>
      </c>
    </row>
    <row r="129" spans="1:20" x14ac:dyDescent="0.3">
      <c r="A129" s="13" t="s">
        <v>128</v>
      </c>
      <c r="B129" s="14" t="s">
        <v>129</v>
      </c>
      <c r="C129" s="14" t="s">
        <v>34</v>
      </c>
      <c r="D129" s="14" t="s">
        <v>130</v>
      </c>
      <c r="E129" s="14">
        <f xml:space="preserve"> IF($T$36,1,0)</f>
        <v>0</v>
      </c>
      <c r="F129" s="14" t="s">
        <v>131</v>
      </c>
      <c r="G129" s="14">
        <v>0</v>
      </c>
      <c r="H129" s="14">
        <v>0</v>
      </c>
      <c r="I129" s="14">
        <v>0</v>
      </c>
      <c r="J129" s="14">
        <v>0</v>
      </c>
      <c r="K129" s="14">
        <v>0</v>
      </c>
      <c r="L129" s="14">
        <v>0</v>
      </c>
      <c r="M129" s="14">
        <v>0</v>
      </c>
      <c r="N129" s="14">
        <v>0</v>
      </c>
      <c r="O129" s="14">
        <v>0</v>
      </c>
      <c r="P129" s="14">
        <v>0</v>
      </c>
      <c r="Q129" s="14">
        <v>0</v>
      </c>
      <c r="R129" s="15">
        <v>0</v>
      </c>
      <c r="S129" s="15">
        <v>0</v>
      </c>
      <c r="T129" s="15">
        <v>0</v>
      </c>
    </row>
    <row r="130" spans="1:20" x14ac:dyDescent="0.3">
      <c r="A130" s="10" t="s">
        <v>198</v>
      </c>
      <c r="B130" s="11" t="s">
        <v>177</v>
      </c>
      <c r="C130" s="11" t="s">
        <v>65</v>
      </c>
      <c r="D130" s="11" t="s">
        <v>199</v>
      </c>
      <c r="E130" s="11">
        <f xml:space="preserve"> IF($T$55,1,0)</f>
        <v>0</v>
      </c>
      <c r="F130" s="11" t="s">
        <v>200</v>
      </c>
      <c r="G130" s="11">
        <v>0</v>
      </c>
      <c r="H130" s="11">
        <v>0</v>
      </c>
      <c r="I130" s="11">
        <v>0</v>
      </c>
      <c r="J130" s="11">
        <v>0</v>
      </c>
      <c r="K130" s="11">
        <v>0</v>
      </c>
      <c r="L130" s="11">
        <v>0</v>
      </c>
      <c r="M130" s="11">
        <v>0</v>
      </c>
      <c r="N130" s="11">
        <v>0</v>
      </c>
      <c r="O130" s="11">
        <v>0</v>
      </c>
      <c r="P130" s="11">
        <v>0</v>
      </c>
      <c r="Q130" s="11">
        <v>0</v>
      </c>
      <c r="R130" s="12">
        <v>0</v>
      </c>
      <c r="S130" s="12">
        <v>0</v>
      </c>
      <c r="T130" s="12">
        <v>0</v>
      </c>
    </row>
    <row r="131" spans="1:20" x14ac:dyDescent="0.3">
      <c r="A131" s="13" t="s">
        <v>409</v>
      </c>
      <c r="B131" s="14" t="s">
        <v>410</v>
      </c>
      <c r="C131" s="14"/>
      <c r="D131" s="14" t="s">
        <v>411</v>
      </c>
      <c r="E131" s="14">
        <f xml:space="preserve"> IF($T$110,1,0)</f>
        <v>0</v>
      </c>
      <c r="F131" s="14" t="s">
        <v>412</v>
      </c>
      <c r="G131" s="14">
        <v>0</v>
      </c>
      <c r="H131" s="14">
        <v>0</v>
      </c>
      <c r="I131" s="14">
        <v>0</v>
      </c>
      <c r="J131" s="14">
        <v>0</v>
      </c>
      <c r="K131" s="14">
        <v>0</v>
      </c>
      <c r="L131" s="14">
        <v>0</v>
      </c>
      <c r="M131" s="14">
        <v>0</v>
      </c>
      <c r="N131" s="14">
        <v>0</v>
      </c>
      <c r="O131" s="14">
        <v>0</v>
      </c>
      <c r="P131" s="14">
        <v>0</v>
      </c>
      <c r="Q131" s="14">
        <v>0</v>
      </c>
      <c r="R131" s="15">
        <v>0</v>
      </c>
      <c r="S131" s="15">
        <v>0</v>
      </c>
      <c r="T131" s="15">
        <v>0</v>
      </c>
    </row>
    <row r="132" spans="1:20" x14ac:dyDescent="0.3">
      <c r="A132" s="13" t="s">
        <v>231</v>
      </c>
      <c r="B132" s="14" t="s">
        <v>225</v>
      </c>
      <c r="C132" s="14"/>
      <c r="D132" s="14" t="s">
        <v>232</v>
      </c>
      <c r="E132" s="14">
        <f xml:space="preserve"> IF($T$64,1,0)</f>
        <v>0</v>
      </c>
      <c r="F132" s="14" t="s">
        <v>233</v>
      </c>
      <c r="G132" s="14">
        <v>0</v>
      </c>
      <c r="H132" s="14">
        <v>0</v>
      </c>
      <c r="I132" s="14">
        <v>0</v>
      </c>
      <c r="J132" s="14">
        <v>0</v>
      </c>
      <c r="K132" s="14">
        <v>0</v>
      </c>
      <c r="L132" s="14">
        <v>0</v>
      </c>
      <c r="M132" s="14">
        <v>0</v>
      </c>
      <c r="N132" s="14">
        <v>0</v>
      </c>
      <c r="O132" s="14">
        <v>0</v>
      </c>
      <c r="P132" s="14">
        <v>0</v>
      </c>
      <c r="Q132" s="14">
        <v>0</v>
      </c>
      <c r="R132" s="15">
        <v>0</v>
      </c>
      <c r="S132" s="15">
        <v>0</v>
      </c>
      <c r="T132" s="15">
        <v>0</v>
      </c>
    </row>
    <row r="133" spans="1:20" x14ac:dyDescent="0.3">
      <c r="A133" s="10" t="s">
        <v>1133</v>
      </c>
      <c r="B133" s="11" t="s">
        <v>1134</v>
      </c>
      <c r="C133" s="11"/>
      <c r="D133" s="11" t="s">
        <v>1135</v>
      </c>
      <c r="E133" s="11">
        <f xml:space="preserve"> IF($T$303,1,0)</f>
        <v>0</v>
      </c>
      <c r="F133" s="11" t="s">
        <v>1136</v>
      </c>
      <c r="G133" s="11">
        <v>0</v>
      </c>
      <c r="H133" s="11">
        <v>0</v>
      </c>
      <c r="I133" s="11">
        <v>0</v>
      </c>
      <c r="J133" s="11">
        <v>0</v>
      </c>
      <c r="K133" s="11">
        <v>0</v>
      </c>
      <c r="L133" s="11">
        <v>0</v>
      </c>
      <c r="M133" s="11">
        <v>0</v>
      </c>
      <c r="N133" s="11">
        <v>0</v>
      </c>
      <c r="O133" s="11">
        <v>0</v>
      </c>
      <c r="P133" s="11">
        <v>0</v>
      </c>
      <c r="Q133" s="11">
        <v>0</v>
      </c>
      <c r="R133" s="12">
        <v>0</v>
      </c>
      <c r="S133" s="12">
        <v>0</v>
      </c>
      <c r="T133" s="12">
        <v>0</v>
      </c>
    </row>
    <row r="134" spans="1:20" x14ac:dyDescent="0.3">
      <c r="A134" s="10" t="s">
        <v>972</v>
      </c>
      <c r="B134" s="11" t="s">
        <v>973</v>
      </c>
      <c r="C134" s="11"/>
      <c r="D134" s="11" t="s">
        <v>974</v>
      </c>
      <c r="E134" s="11">
        <f xml:space="preserve"> IF($T$259,1,0)</f>
        <v>0</v>
      </c>
      <c r="F134" s="11" t="s">
        <v>975</v>
      </c>
      <c r="G134" s="11">
        <v>0</v>
      </c>
      <c r="H134" s="11">
        <v>0</v>
      </c>
      <c r="I134" s="11">
        <v>0</v>
      </c>
      <c r="J134" s="11">
        <v>0</v>
      </c>
      <c r="K134" s="11">
        <v>0</v>
      </c>
      <c r="L134" s="11">
        <v>0</v>
      </c>
      <c r="M134" s="11">
        <v>0</v>
      </c>
      <c r="N134" s="11">
        <v>0</v>
      </c>
      <c r="O134" s="11">
        <v>0</v>
      </c>
      <c r="P134" s="11">
        <v>0</v>
      </c>
      <c r="Q134" s="11">
        <v>0</v>
      </c>
      <c r="R134" s="12">
        <v>0</v>
      </c>
      <c r="S134" s="12">
        <v>0</v>
      </c>
      <c r="T134" s="12">
        <v>0</v>
      </c>
    </row>
    <row r="135" spans="1:20" x14ac:dyDescent="0.3">
      <c r="A135" s="13" t="s">
        <v>189</v>
      </c>
      <c r="B135" s="14" t="s">
        <v>177</v>
      </c>
      <c r="C135" s="14"/>
      <c r="D135" s="14" t="s">
        <v>190</v>
      </c>
      <c r="E135" s="14">
        <f xml:space="preserve"> IF($T$52,1,0)</f>
        <v>0</v>
      </c>
      <c r="F135" s="14" t="s">
        <v>191</v>
      </c>
      <c r="G135" s="14">
        <v>0</v>
      </c>
      <c r="H135" s="14">
        <v>0</v>
      </c>
      <c r="I135" s="14">
        <v>0</v>
      </c>
      <c r="J135" s="14">
        <v>0</v>
      </c>
      <c r="K135" s="14">
        <v>0</v>
      </c>
      <c r="L135" s="14">
        <v>0</v>
      </c>
      <c r="M135" s="14">
        <v>0</v>
      </c>
      <c r="N135" s="14">
        <v>0</v>
      </c>
      <c r="O135" s="14">
        <v>0</v>
      </c>
      <c r="P135" s="14">
        <v>0</v>
      </c>
      <c r="Q135" s="14">
        <v>0</v>
      </c>
      <c r="R135" s="15">
        <v>0</v>
      </c>
      <c r="S135" s="15">
        <v>0</v>
      </c>
      <c r="T135" s="15">
        <v>0</v>
      </c>
    </row>
    <row r="136" spans="1:20" x14ac:dyDescent="0.3">
      <c r="A136" s="10" t="s">
        <v>934</v>
      </c>
      <c r="B136" s="11" t="s">
        <v>935</v>
      </c>
      <c r="C136" s="11"/>
      <c r="D136" s="11" t="s">
        <v>936</v>
      </c>
      <c r="E136" s="11">
        <f xml:space="preserve"> IF($T$249,1,0)</f>
        <v>0</v>
      </c>
      <c r="F136" s="11" t="s">
        <v>937</v>
      </c>
      <c r="G136" s="11">
        <v>0</v>
      </c>
      <c r="H136" s="11">
        <v>1</v>
      </c>
      <c r="I136" s="11">
        <v>0</v>
      </c>
      <c r="J136" s="11">
        <v>0</v>
      </c>
      <c r="K136" s="11">
        <v>0</v>
      </c>
      <c r="L136" s="11">
        <v>0</v>
      </c>
      <c r="M136" s="11">
        <v>0</v>
      </c>
      <c r="N136" s="11">
        <v>0</v>
      </c>
      <c r="O136" s="11">
        <v>0</v>
      </c>
      <c r="P136" s="11">
        <v>0</v>
      </c>
      <c r="Q136" s="11">
        <v>0</v>
      </c>
      <c r="R136" s="12">
        <v>1.8</v>
      </c>
      <c r="S136" s="12">
        <v>0</v>
      </c>
      <c r="T136" s="12">
        <v>1.8</v>
      </c>
    </row>
    <row r="137" spans="1:20" x14ac:dyDescent="0.3">
      <c r="A137" s="13" t="s">
        <v>785</v>
      </c>
      <c r="B137" s="14" t="s">
        <v>779</v>
      </c>
      <c r="C137" s="14"/>
      <c r="D137" s="14" t="s">
        <v>786</v>
      </c>
      <c r="E137" s="14">
        <f xml:space="preserve"> IF($T$210,1,0)</f>
        <v>0</v>
      </c>
      <c r="F137" s="14" t="s">
        <v>787</v>
      </c>
      <c r="G137" s="14">
        <v>3</v>
      </c>
      <c r="H137" s="14">
        <v>0</v>
      </c>
      <c r="I137" s="14">
        <v>0</v>
      </c>
      <c r="J137" s="14">
        <v>0</v>
      </c>
      <c r="K137" s="14">
        <v>0</v>
      </c>
      <c r="L137" s="14">
        <v>0</v>
      </c>
      <c r="M137" s="14">
        <v>0</v>
      </c>
      <c r="N137" s="14">
        <v>0</v>
      </c>
      <c r="O137" s="14">
        <v>1</v>
      </c>
      <c r="P137" s="14">
        <v>0</v>
      </c>
      <c r="Q137" s="14">
        <v>0</v>
      </c>
      <c r="R137" s="15">
        <v>8.3000000000000007</v>
      </c>
      <c r="S137" s="15">
        <v>0</v>
      </c>
      <c r="T137" s="15">
        <v>8.3000000000000007</v>
      </c>
    </row>
    <row r="138" spans="1:20" x14ac:dyDescent="0.3">
      <c r="A138" s="13" t="s">
        <v>1163</v>
      </c>
      <c r="B138" s="14" t="s">
        <v>1160</v>
      </c>
      <c r="C138" s="14"/>
      <c r="D138" s="14" t="s">
        <v>1164</v>
      </c>
      <c r="E138" s="14">
        <f xml:space="preserve"> IF($T$312,1,0)</f>
        <v>0</v>
      </c>
      <c r="F138" s="14" t="s">
        <v>1165</v>
      </c>
      <c r="G138" s="14">
        <v>0</v>
      </c>
      <c r="H138" s="14">
        <v>0</v>
      </c>
      <c r="I138" s="14">
        <v>0</v>
      </c>
      <c r="J138" s="14">
        <v>0</v>
      </c>
      <c r="K138" s="14">
        <v>0</v>
      </c>
      <c r="L138" s="14">
        <v>0</v>
      </c>
      <c r="M138" s="14">
        <v>0</v>
      </c>
      <c r="N138" s="14">
        <v>0</v>
      </c>
      <c r="O138" s="14">
        <v>0</v>
      </c>
      <c r="P138" s="14">
        <v>0</v>
      </c>
      <c r="Q138" s="14">
        <v>0</v>
      </c>
      <c r="R138" s="15">
        <v>0</v>
      </c>
      <c r="S138" s="15">
        <v>0</v>
      </c>
      <c r="T138" s="15">
        <v>0</v>
      </c>
    </row>
    <row r="139" spans="1:20" x14ac:dyDescent="0.3">
      <c r="A139" s="13" t="s">
        <v>520</v>
      </c>
      <c r="B139" s="14" t="s">
        <v>517</v>
      </c>
      <c r="C139" s="14"/>
      <c r="D139" s="14" t="s">
        <v>521</v>
      </c>
      <c r="E139" s="14">
        <f xml:space="preserve"> IF($T$140,1,0)</f>
        <v>0</v>
      </c>
      <c r="F139" s="14" t="s">
        <v>522</v>
      </c>
      <c r="G139" s="14">
        <v>10</v>
      </c>
      <c r="H139" s="14">
        <v>2</v>
      </c>
      <c r="I139" s="14">
        <v>2</v>
      </c>
      <c r="J139" s="14">
        <v>0</v>
      </c>
      <c r="K139" s="14">
        <v>0</v>
      </c>
      <c r="L139" s="14">
        <v>1</v>
      </c>
      <c r="M139" s="14">
        <v>0</v>
      </c>
      <c r="N139" s="14">
        <v>0</v>
      </c>
      <c r="O139" s="14">
        <v>0</v>
      </c>
      <c r="P139" s="14">
        <v>0</v>
      </c>
      <c r="Q139" s="14">
        <v>0</v>
      </c>
      <c r="R139" s="15">
        <v>21.2</v>
      </c>
      <c r="S139" s="15">
        <v>0</v>
      </c>
      <c r="T139" s="15">
        <v>21.2</v>
      </c>
    </row>
    <row r="140" spans="1:20" x14ac:dyDescent="0.3">
      <c r="A140" s="10" t="s">
        <v>63</v>
      </c>
      <c r="B140" s="11" t="s">
        <v>64</v>
      </c>
      <c r="C140" s="11" t="s">
        <v>65</v>
      </c>
      <c r="D140" s="11" t="s">
        <v>66</v>
      </c>
      <c r="E140" s="11">
        <f xml:space="preserve"> IF($T$19,1,0)</f>
        <v>0</v>
      </c>
      <c r="F140" s="11" t="s">
        <v>67</v>
      </c>
      <c r="G140" s="11">
        <v>0</v>
      </c>
      <c r="H140" s="11">
        <v>0</v>
      </c>
      <c r="I140" s="11">
        <v>0</v>
      </c>
      <c r="J140" s="11">
        <v>0</v>
      </c>
      <c r="K140" s="11">
        <v>0</v>
      </c>
      <c r="L140" s="11">
        <v>0</v>
      </c>
      <c r="M140" s="11">
        <v>0</v>
      </c>
      <c r="N140" s="11">
        <v>0</v>
      </c>
      <c r="O140" s="11">
        <v>0</v>
      </c>
      <c r="P140" s="11">
        <v>0</v>
      </c>
      <c r="Q140" s="11">
        <v>0</v>
      </c>
      <c r="R140" s="12">
        <v>0</v>
      </c>
      <c r="S140" s="12">
        <v>0</v>
      </c>
      <c r="T140" s="12">
        <v>0</v>
      </c>
    </row>
    <row r="141" spans="1:20" x14ac:dyDescent="0.3">
      <c r="A141" s="13" t="s">
        <v>672</v>
      </c>
      <c r="B141" s="14" t="s">
        <v>673</v>
      </c>
      <c r="C141" s="14"/>
      <c r="D141" s="14" t="s">
        <v>674</v>
      </c>
      <c r="E141" s="14">
        <f xml:space="preserve"> IF($T$180,1,0)</f>
        <v>0</v>
      </c>
      <c r="F141" s="14" t="s">
        <v>675</v>
      </c>
      <c r="G141" s="14">
        <v>0</v>
      </c>
      <c r="H141" s="14">
        <v>0</v>
      </c>
      <c r="I141" s="14">
        <v>0</v>
      </c>
      <c r="J141" s="14">
        <v>0</v>
      </c>
      <c r="K141" s="14">
        <v>0</v>
      </c>
      <c r="L141" s="14">
        <v>0</v>
      </c>
      <c r="M141" s="14">
        <v>0</v>
      </c>
      <c r="N141" s="14">
        <v>0</v>
      </c>
      <c r="O141" s="14">
        <v>0</v>
      </c>
      <c r="P141" s="14">
        <v>0</v>
      </c>
      <c r="Q141" s="14">
        <v>0</v>
      </c>
      <c r="R141" s="15">
        <v>0</v>
      </c>
      <c r="S141" s="15">
        <v>0</v>
      </c>
      <c r="T141" s="15">
        <v>0</v>
      </c>
    </row>
    <row r="142" spans="1:20" x14ac:dyDescent="0.3">
      <c r="A142" s="13" t="s">
        <v>364</v>
      </c>
      <c r="B142" s="14" t="s">
        <v>358</v>
      </c>
      <c r="C142" s="14"/>
      <c r="D142" s="14" t="s">
        <v>365</v>
      </c>
      <c r="E142" s="14">
        <f xml:space="preserve"> IF($T$98,1,0)</f>
        <v>0</v>
      </c>
      <c r="F142" s="14" t="s">
        <v>366</v>
      </c>
      <c r="G142" s="14">
        <v>0</v>
      </c>
      <c r="H142" s="14">
        <v>0</v>
      </c>
      <c r="I142" s="14">
        <v>0</v>
      </c>
      <c r="J142" s="14">
        <v>1</v>
      </c>
      <c r="K142" s="14">
        <v>0</v>
      </c>
      <c r="L142" s="14">
        <v>0</v>
      </c>
      <c r="M142" s="14">
        <v>0</v>
      </c>
      <c r="N142" s="14">
        <v>0</v>
      </c>
      <c r="O142" s="14">
        <v>0</v>
      </c>
      <c r="P142" s="14">
        <v>0</v>
      </c>
      <c r="Q142" s="14">
        <v>0</v>
      </c>
      <c r="R142" s="15">
        <v>1</v>
      </c>
      <c r="S142" s="15">
        <v>0</v>
      </c>
      <c r="T142" s="15">
        <v>1</v>
      </c>
    </row>
    <row r="143" spans="1:20" x14ac:dyDescent="0.3">
      <c r="A143" s="13" t="s">
        <v>1221</v>
      </c>
      <c r="B143" s="14" t="s">
        <v>1222</v>
      </c>
      <c r="C143" s="14"/>
      <c r="D143" s="14" t="s">
        <v>1223</v>
      </c>
      <c r="E143" s="14">
        <f xml:space="preserve"> IF($T$328,1,0)</f>
        <v>0</v>
      </c>
      <c r="F143" s="14" t="s">
        <v>1224</v>
      </c>
      <c r="G143" s="14">
        <v>0</v>
      </c>
      <c r="H143" s="14">
        <v>0</v>
      </c>
      <c r="I143" s="14">
        <v>0</v>
      </c>
      <c r="J143" s="14">
        <v>0</v>
      </c>
      <c r="K143" s="14">
        <v>0</v>
      </c>
      <c r="L143" s="14">
        <v>0</v>
      </c>
      <c r="M143" s="14">
        <v>0</v>
      </c>
      <c r="N143" s="14">
        <v>0</v>
      </c>
      <c r="O143" s="14">
        <v>0</v>
      </c>
      <c r="P143" s="14">
        <v>0</v>
      </c>
      <c r="Q143" s="14">
        <v>0</v>
      </c>
      <c r="R143" s="15">
        <v>0</v>
      </c>
      <c r="S143" s="15">
        <v>0</v>
      </c>
      <c r="T143" s="15">
        <v>0</v>
      </c>
    </row>
    <row r="144" spans="1:20" x14ac:dyDescent="0.3">
      <c r="A144" s="13" t="s">
        <v>847</v>
      </c>
      <c r="B144" s="14" t="s">
        <v>848</v>
      </c>
      <c r="C144" s="14" t="s">
        <v>202</v>
      </c>
      <c r="D144" s="14" t="s">
        <v>849</v>
      </c>
      <c r="E144" s="14">
        <f xml:space="preserve"> IF($T$226,1,0)</f>
        <v>0</v>
      </c>
      <c r="F144" s="14" t="s">
        <v>850</v>
      </c>
      <c r="G144" s="14">
        <v>0</v>
      </c>
      <c r="H144" s="14">
        <v>0</v>
      </c>
      <c r="I144" s="14">
        <v>0</v>
      </c>
      <c r="J144" s="14">
        <v>0</v>
      </c>
      <c r="K144" s="14">
        <v>0</v>
      </c>
      <c r="L144" s="14">
        <v>0</v>
      </c>
      <c r="M144" s="14">
        <v>0</v>
      </c>
      <c r="N144" s="14">
        <v>0</v>
      </c>
      <c r="O144" s="14">
        <v>0</v>
      </c>
      <c r="P144" s="14">
        <v>0</v>
      </c>
      <c r="Q144" s="14">
        <v>0</v>
      </c>
      <c r="R144" s="15">
        <v>0</v>
      </c>
      <c r="S144" s="15">
        <v>0</v>
      </c>
      <c r="T144" s="15">
        <v>0</v>
      </c>
    </row>
    <row r="145" spans="1:20" x14ac:dyDescent="0.3">
      <c r="A145" s="13" t="s">
        <v>800</v>
      </c>
      <c r="B145" s="14" t="s">
        <v>797</v>
      </c>
      <c r="C145" s="14" t="s">
        <v>34</v>
      </c>
      <c r="D145" s="14" t="s">
        <v>801</v>
      </c>
      <c r="E145" s="14">
        <f xml:space="preserve"> IF($T$214,1,0)</f>
        <v>0</v>
      </c>
      <c r="F145" s="14" t="s">
        <v>802</v>
      </c>
      <c r="G145" s="14">
        <v>0</v>
      </c>
      <c r="H145" s="14">
        <v>0</v>
      </c>
      <c r="I145" s="14">
        <v>0</v>
      </c>
      <c r="J145" s="14">
        <v>0</v>
      </c>
      <c r="K145" s="14">
        <v>0</v>
      </c>
      <c r="L145" s="14">
        <v>0</v>
      </c>
      <c r="M145" s="14">
        <v>0</v>
      </c>
      <c r="N145" s="14">
        <v>0</v>
      </c>
      <c r="O145" s="14">
        <v>0</v>
      </c>
      <c r="P145" s="14">
        <v>0</v>
      </c>
      <c r="Q145" s="14">
        <v>0</v>
      </c>
      <c r="R145" s="15">
        <v>0</v>
      </c>
      <c r="S145" s="15">
        <v>0</v>
      </c>
      <c r="T145" s="15">
        <v>0</v>
      </c>
    </row>
    <row r="146" spans="1:20" x14ac:dyDescent="0.3">
      <c r="A146" s="10" t="s">
        <v>382</v>
      </c>
      <c r="B146" s="11" t="s">
        <v>383</v>
      </c>
      <c r="C146" s="11"/>
      <c r="D146" s="11" t="s">
        <v>384</v>
      </c>
      <c r="E146" s="11">
        <f xml:space="preserve"> IF($T$103,1,0)</f>
        <v>0</v>
      </c>
      <c r="F146" s="11" t="s">
        <v>385</v>
      </c>
      <c r="G146" s="11">
        <v>0</v>
      </c>
      <c r="H146" s="11">
        <v>1</v>
      </c>
      <c r="I146" s="11">
        <v>0</v>
      </c>
      <c r="J146" s="11">
        <v>0</v>
      </c>
      <c r="K146" s="11">
        <v>0</v>
      </c>
      <c r="L146" s="11">
        <v>0</v>
      </c>
      <c r="M146" s="11">
        <v>0</v>
      </c>
      <c r="N146" s="11">
        <v>0</v>
      </c>
      <c r="O146" s="11">
        <v>0</v>
      </c>
      <c r="P146" s="11">
        <v>0</v>
      </c>
      <c r="Q146" s="11">
        <v>0</v>
      </c>
      <c r="R146" s="12">
        <v>1.8</v>
      </c>
      <c r="S146" s="12">
        <v>0</v>
      </c>
      <c r="T146" s="12">
        <v>1.8</v>
      </c>
    </row>
    <row r="147" spans="1:20" x14ac:dyDescent="0.3">
      <c r="A147" s="13" t="s">
        <v>1200</v>
      </c>
      <c r="B147" s="14" t="s">
        <v>1201</v>
      </c>
      <c r="C147" s="14"/>
      <c r="D147" s="14" t="s">
        <v>1202</v>
      </c>
      <c r="E147" s="14">
        <f xml:space="preserve"> IF($T$322,1,0)</f>
        <v>0</v>
      </c>
      <c r="F147" s="14" t="s">
        <v>1203</v>
      </c>
      <c r="G147" s="14">
        <v>0</v>
      </c>
      <c r="H147" s="14">
        <v>0</v>
      </c>
      <c r="I147" s="14">
        <v>0</v>
      </c>
      <c r="J147" s="14">
        <v>0</v>
      </c>
      <c r="K147" s="14">
        <v>0</v>
      </c>
      <c r="L147" s="14">
        <v>0</v>
      </c>
      <c r="M147" s="14">
        <v>0</v>
      </c>
      <c r="N147" s="14">
        <v>0</v>
      </c>
      <c r="O147" s="14">
        <v>0</v>
      </c>
      <c r="P147" s="14">
        <v>0</v>
      </c>
      <c r="Q147" s="14">
        <v>0</v>
      </c>
      <c r="R147" s="15">
        <v>0</v>
      </c>
      <c r="S147" s="15">
        <v>0</v>
      </c>
      <c r="T147" s="15">
        <v>0</v>
      </c>
    </row>
    <row r="148" spans="1:20" x14ac:dyDescent="0.3">
      <c r="A148" s="13" t="s">
        <v>680</v>
      </c>
      <c r="B148" s="14" t="s">
        <v>681</v>
      </c>
      <c r="C148" s="14"/>
      <c r="D148" s="14" t="s">
        <v>682</v>
      </c>
      <c r="E148" s="14">
        <f xml:space="preserve"> IF($T$182,1,0)</f>
        <v>0</v>
      </c>
      <c r="F148" s="14" t="s">
        <v>683</v>
      </c>
      <c r="G148" s="14">
        <v>0</v>
      </c>
      <c r="H148" s="14">
        <v>0</v>
      </c>
      <c r="I148" s="14">
        <v>0</v>
      </c>
      <c r="J148" s="14">
        <v>0</v>
      </c>
      <c r="K148" s="14">
        <v>0</v>
      </c>
      <c r="L148" s="14">
        <v>0</v>
      </c>
      <c r="M148" s="14">
        <v>0</v>
      </c>
      <c r="N148" s="14">
        <v>0</v>
      </c>
      <c r="O148" s="14">
        <v>0</v>
      </c>
      <c r="P148" s="14">
        <v>0</v>
      </c>
      <c r="Q148" s="14">
        <v>0</v>
      </c>
      <c r="R148" s="15">
        <v>0</v>
      </c>
      <c r="S148" s="15">
        <v>0</v>
      </c>
      <c r="T148" s="15">
        <v>0</v>
      </c>
    </row>
    <row r="149" spans="1:20" x14ac:dyDescent="0.3">
      <c r="A149" s="13" t="s">
        <v>1177</v>
      </c>
      <c r="B149" s="14" t="s">
        <v>1174</v>
      </c>
      <c r="C149" s="14" t="s">
        <v>65</v>
      </c>
      <c r="D149" s="14" t="s">
        <v>1178</v>
      </c>
      <c r="E149" s="14">
        <f xml:space="preserve"> IF($T$316,1,0)</f>
        <v>0</v>
      </c>
      <c r="F149" s="14" t="s">
        <v>1179</v>
      </c>
      <c r="G149" s="14">
        <v>0</v>
      </c>
      <c r="H149" s="14">
        <v>0</v>
      </c>
      <c r="I149" s="14">
        <v>0</v>
      </c>
      <c r="J149" s="14">
        <v>0</v>
      </c>
      <c r="K149" s="14">
        <v>0</v>
      </c>
      <c r="L149" s="14">
        <v>0</v>
      </c>
      <c r="M149" s="14">
        <v>0</v>
      </c>
      <c r="N149" s="14">
        <v>0</v>
      </c>
      <c r="O149" s="14">
        <v>0</v>
      </c>
      <c r="P149" s="14">
        <v>0</v>
      </c>
      <c r="Q149" s="14">
        <v>0</v>
      </c>
      <c r="R149" s="15">
        <v>0</v>
      </c>
      <c r="S149" s="15">
        <v>0</v>
      </c>
      <c r="T149" s="15">
        <v>0</v>
      </c>
    </row>
    <row r="150" spans="1:20" x14ac:dyDescent="0.3">
      <c r="A150" s="13" t="s">
        <v>401</v>
      </c>
      <c r="B150" s="14" t="s">
        <v>402</v>
      </c>
      <c r="C150" s="14"/>
      <c r="D150" s="14" t="s">
        <v>403</v>
      </c>
      <c r="E150" s="14">
        <f xml:space="preserve"> IF($T$108,1,0)</f>
        <v>0</v>
      </c>
      <c r="F150" s="14" t="s">
        <v>404</v>
      </c>
      <c r="G150" s="14">
        <v>3</v>
      </c>
      <c r="H150" s="14">
        <v>2</v>
      </c>
      <c r="I150" s="14">
        <v>3</v>
      </c>
      <c r="J150" s="14">
        <v>0</v>
      </c>
      <c r="K150" s="14">
        <v>0</v>
      </c>
      <c r="L150" s="14">
        <v>0</v>
      </c>
      <c r="M150" s="14">
        <v>0</v>
      </c>
      <c r="N150" s="14">
        <v>0</v>
      </c>
      <c r="O150" s="14">
        <v>0</v>
      </c>
      <c r="P150" s="14">
        <v>0</v>
      </c>
      <c r="Q150" s="14">
        <v>3</v>
      </c>
      <c r="R150" s="15">
        <v>16.8</v>
      </c>
      <c r="S150" s="15">
        <v>0</v>
      </c>
      <c r="T150" s="15">
        <v>16.8</v>
      </c>
    </row>
    <row r="151" spans="1:20" x14ac:dyDescent="0.3">
      <c r="A151" s="13" t="s">
        <v>649</v>
      </c>
      <c r="B151" s="14" t="s">
        <v>650</v>
      </c>
      <c r="C151" s="14"/>
      <c r="D151" s="14" t="s">
        <v>651</v>
      </c>
      <c r="E151" s="14">
        <f xml:space="preserve"> IF($T$174,1,0)</f>
        <v>0</v>
      </c>
      <c r="F151" s="14" t="s">
        <v>652</v>
      </c>
      <c r="G151" s="14">
        <v>0</v>
      </c>
      <c r="H151" s="14">
        <v>0</v>
      </c>
      <c r="I151" s="14">
        <v>0</v>
      </c>
      <c r="J151" s="14">
        <v>0</v>
      </c>
      <c r="K151" s="14">
        <v>0</v>
      </c>
      <c r="L151" s="14">
        <v>0</v>
      </c>
      <c r="M151" s="14">
        <v>0</v>
      </c>
      <c r="N151" s="14">
        <v>0</v>
      </c>
      <c r="O151" s="14">
        <v>0</v>
      </c>
      <c r="P151" s="14">
        <v>0</v>
      </c>
      <c r="Q151" s="14">
        <v>0</v>
      </c>
      <c r="R151" s="15">
        <v>0</v>
      </c>
      <c r="S151" s="15">
        <v>0</v>
      </c>
      <c r="T151" s="15">
        <v>0</v>
      </c>
    </row>
    <row r="152" spans="1:20" x14ac:dyDescent="0.3">
      <c r="A152" s="10" t="s">
        <v>1098</v>
      </c>
      <c r="B152" s="11" t="s">
        <v>1099</v>
      </c>
      <c r="C152" s="11"/>
      <c r="D152" s="11" t="s">
        <v>1100</v>
      </c>
      <c r="E152" s="11">
        <f xml:space="preserve"> IF($T$293,1,0)</f>
        <v>0</v>
      </c>
      <c r="F152" s="11" t="s">
        <v>1101</v>
      </c>
      <c r="G152" s="11">
        <v>0</v>
      </c>
      <c r="H152" s="11">
        <v>0</v>
      </c>
      <c r="I152" s="11">
        <v>0</v>
      </c>
      <c r="J152" s="11">
        <v>0</v>
      </c>
      <c r="K152" s="11">
        <v>0</v>
      </c>
      <c r="L152" s="11">
        <v>0</v>
      </c>
      <c r="M152" s="11">
        <v>0</v>
      </c>
      <c r="N152" s="11">
        <v>0</v>
      </c>
      <c r="O152" s="11">
        <v>0</v>
      </c>
      <c r="P152" s="11">
        <v>0</v>
      </c>
      <c r="Q152" s="11">
        <v>0</v>
      </c>
      <c r="R152" s="12">
        <v>0</v>
      </c>
      <c r="S152" s="12">
        <v>0</v>
      </c>
      <c r="T152" s="12">
        <v>0</v>
      </c>
    </row>
    <row r="153" spans="1:20" x14ac:dyDescent="0.3">
      <c r="A153" s="13" t="s">
        <v>1169</v>
      </c>
      <c r="B153" s="14" t="s">
        <v>1170</v>
      </c>
      <c r="C153" s="14"/>
      <c r="D153" s="14" t="s">
        <v>1171</v>
      </c>
      <c r="E153" s="14">
        <f xml:space="preserve"> IF($T$314,1,0)</f>
        <v>0</v>
      </c>
      <c r="F153" s="14" t="s">
        <v>1172</v>
      </c>
      <c r="G153" s="14">
        <v>0</v>
      </c>
      <c r="H153" s="14">
        <v>0</v>
      </c>
      <c r="I153" s="14">
        <v>0</v>
      </c>
      <c r="J153" s="14">
        <v>0</v>
      </c>
      <c r="K153" s="14">
        <v>0</v>
      </c>
      <c r="L153" s="14">
        <v>0</v>
      </c>
      <c r="M153" s="14">
        <v>0</v>
      </c>
      <c r="N153" s="14">
        <v>0</v>
      </c>
      <c r="O153" s="14">
        <v>0</v>
      </c>
      <c r="P153" s="14">
        <v>0</v>
      </c>
      <c r="Q153" s="14">
        <v>0</v>
      </c>
      <c r="R153" s="15">
        <v>0</v>
      </c>
      <c r="S153" s="15">
        <v>0</v>
      </c>
      <c r="T153" s="15">
        <v>0</v>
      </c>
    </row>
    <row r="154" spans="1:20" x14ac:dyDescent="0.3">
      <c r="A154" s="10" t="s">
        <v>397</v>
      </c>
      <c r="B154" s="11" t="s">
        <v>398</v>
      </c>
      <c r="C154" s="11" t="s">
        <v>243</v>
      </c>
      <c r="D154" s="11" t="s">
        <v>399</v>
      </c>
      <c r="E154" s="11">
        <f xml:space="preserve"> IF($T$107,1,0)</f>
        <v>0</v>
      </c>
      <c r="F154" s="11" t="s">
        <v>400</v>
      </c>
      <c r="G154" s="11">
        <v>0</v>
      </c>
      <c r="H154" s="11">
        <v>0</v>
      </c>
      <c r="I154" s="11">
        <v>0</v>
      </c>
      <c r="J154" s="11">
        <v>0</v>
      </c>
      <c r="K154" s="11">
        <v>0</v>
      </c>
      <c r="L154" s="11">
        <v>0</v>
      </c>
      <c r="M154" s="11">
        <v>0</v>
      </c>
      <c r="N154" s="11">
        <v>0</v>
      </c>
      <c r="O154" s="11">
        <v>0</v>
      </c>
      <c r="P154" s="11">
        <v>0</v>
      </c>
      <c r="Q154" s="11">
        <v>0</v>
      </c>
      <c r="R154" s="12">
        <v>0</v>
      </c>
      <c r="S154" s="12">
        <v>0</v>
      </c>
      <c r="T154" s="12">
        <v>0</v>
      </c>
    </row>
    <row r="155" spans="1:20" x14ac:dyDescent="0.3">
      <c r="A155" s="13" t="s">
        <v>739</v>
      </c>
      <c r="B155" s="14" t="s">
        <v>740</v>
      </c>
      <c r="C155" s="14" t="s">
        <v>65</v>
      </c>
      <c r="D155" s="14" t="s">
        <v>239</v>
      </c>
      <c r="E155" s="14">
        <f xml:space="preserve"> IF($T$198,1,0)</f>
        <v>0</v>
      </c>
      <c r="F155" s="14" t="s">
        <v>741</v>
      </c>
      <c r="G155" s="14">
        <v>0</v>
      </c>
      <c r="H155" s="14">
        <v>0</v>
      </c>
      <c r="I155" s="14">
        <v>0</v>
      </c>
      <c r="J155" s="14">
        <v>0</v>
      </c>
      <c r="K155" s="14">
        <v>0</v>
      </c>
      <c r="L155" s="14">
        <v>0</v>
      </c>
      <c r="M155" s="14">
        <v>0</v>
      </c>
      <c r="N155" s="14">
        <v>0</v>
      </c>
      <c r="O155" s="14">
        <v>0</v>
      </c>
      <c r="P155" s="14">
        <v>0</v>
      </c>
      <c r="Q155" s="14">
        <v>0</v>
      </c>
      <c r="R155" s="15">
        <v>0</v>
      </c>
      <c r="S155" s="15">
        <v>0</v>
      </c>
      <c r="T155" s="15">
        <v>0</v>
      </c>
    </row>
    <row r="156" spans="1:20" x14ac:dyDescent="0.3">
      <c r="A156" s="10" t="s">
        <v>782</v>
      </c>
      <c r="B156" s="11" t="s">
        <v>779</v>
      </c>
      <c r="C156" s="11"/>
      <c r="D156" s="11" t="s">
        <v>783</v>
      </c>
      <c r="E156" s="11">
        <f xml:space="preserve"> IF($T$209,1,0)</f>
        <v>0</v>
      </c>
      <c r="F156" s="11" t="s">
        <v>784</v>
      </c>
      <c r="G156" s="11">
        <v>0</v>
      </c>
      <c r="H156" s="11">
        <v>0</v>
      </c>
      <c r="I156" s="11">
        <v>0</v>
      </c>
      <c r="J156" s="11">
        <v>0</v>
      </c>
      <c r="K156" s="11">
        <v>0</v>
      </c>
      <c r="L156" s="11">
        <v>0</v>
      </c>
      <c r="M156" s="11">
        <v>0</v>
      </c>
      <c r="N156" s="11">
        <v>0</v>
      </c>
      <c r="O156" s="11">
        <v>0</v>
      </c>
      <c r="P156" s="11">
        <v>0</v>
      </c>
      <c r="Q156" s="11">
        <v>0</v>
      </c>
      <c r="R156" s="12">
        <v>0</v>
      </c>
      <c r="S156" s="12">
        <v>0</v>
      </c>
      <c r="T156" s="12">
        <v>0</v>
      </c>
    </row>
    <row r="157" spans="1:20" x14ac:dyDescent="0.3">
      <c r="A157" s="13" t="s">
        <v>938</v>
      </c>
      <c r="B157" s="14" t="s">
        <v>939</v>
      </c>
      <c r="C157" s="14"/>
      <c r="D157" s="14" t="s">
        <v>940</v>
      </c>
      <c r="E157" s="14">
        <f xml:space="preserve"> IF($T$250,1,0)</f>
        <v>0</v>
      </c>
      <c r="F157" s="14" t="s">
        <v>941</v>
      </c>
      <c r="G157" s="14">
        <v>0</v>
      </c>
      <c r="H157" s="14">
        <v>0</v>
      </c>
      <c r="I157" s="14">
        <v>0</v>
      </c>
      <c r="J157" s="14">
        <v>0</v>
      </c>
      <c r="K157" s="14">
        <v>0</v>
      </c>
      <c r="L157" s="14">
        <v>0</v>
      </c>
      <c r="M157" s="14">
        <v>0</v>
      </c>
      <c r="N157" s="14">
        <v>0</v>
      </c>
      <c r="O157" s="14">
        <v>0</v>
      </c>
      <c r="P157" s="14">
        <v>0</v>
      </c>
      <c r="Q157" s="14">
        <v>0</v>
      </c>
      <c r="R157" s="15">
        <v>0</v>
      </c>
      <c r="S157" s="15">
        <v>0</v>
      </c>
      <c r="T157" s="15">
        <v>0</v>
      </c>
    </row>
    <row r="158" spans="1:20" x14ac:dyDescent="0.3">
      <c r="A158" s="13" t="s">
        <v>564</v>
      </c>
      <c r="B158" s="14" t="s">
        <v>565</v>
      </c>
      <c r="C158" s="14"/>
      <c r="D158" s="14" t="s">
        <v>566</v>
      </c>
      <c r="E158" s="14">
        <f xml:space="preserve"> IF($T$152,1,0)</f>
        <v>0</v>
      </c>
      <c r="F158" s="14" t="s">
        <v>567</v>
      </c>
      <c r="G158" s="14">
        <v>0</v>
      </c>
      <c r="H158" s="14">
        <v>0</v>
      </c>
      <c r="I158" s="14">
        <v>0</v>
      </c>
      <c r="J158" s="14">
        <v>0</v>
      </c>
      <c r="K158" s="14">
        <v>0</v>
      </c>
      <c r="L158" s="14">
        <v>1</v>
      </c>
      <c r="M158" s="14">
        <v>1</v>
      </c>
      <c r="N158" s="14">
        <v>0</v>
      </c>
      <c r="O158" s="14">
        <v>1</v>
      </c>
      <c r="P158" s="14">
        <v>0</v>
      </c>
      <c r="Q158" s="14">
        <v>0</v>
      </c>
      <c r="R158" s="15">
        <v>10</v>
      </c>
      <c r="S158" s="15">
        <v>0</v>
      </c>
      <c r="T158" s="15">
        <v>10</v>
      </c>
    </row>
    <row r="159" spans="1:20" x14ac:dyDescent="0.3">
      <c r="A159" s="10" t="s">
        <v>1113</v>
      </c>
      <c r="B159" s="11" t="s">
        <v>1114</v>
      </c>
      <c r="C159" s="11" t="s">
        <v>34</v>
      </c>
      <c r="D159" s="11" t="s">
        <v>239</v>
      </c>
      <c r="E159" s="11">
        <f xml:space="preserve"> IF($T$297,1,0)</f>
        <v>0</v>
      </c>
      <c r="F159" s="11" t="s">
        <v>1115</v>
      </c>
      <c r="G159" s="11">
        <v>0</v>
      </c>
      <c r="H159" s="11">
        <v>0</v>
      </c>
      <c r="I159" s="11">
        <v>0</v>
      </c>
      <c r="J159" s="11">
        <v>0</v>
      </c>
      <c r="K159" s="11">
        <v>0</v>
      </c>
      <c r="L159" s="11">
        <v>0</v>
      </c>
      <c r="M159" s="11">
        <v>0</v>
      </c>
      <c r="N159" s="11">
        <v>0</v>
      </c>
      <c r="O159" s="11">
        <v>0</v>
      </c>
      <c r="P159" s="11">
        <v>0</v>
      </c>
      <c r="Q159" s="11">
        <v>0</v>
      </c>
      <c r="R159" s="12">
        <v>0</v>
      </c>
      <c r="S159" s="12">
        <v>0</v>
      </c>
      <c r="T159" s="12">
        <v>0</v>
      </c>
    </row>
    <row r="160" spans="1:20" x14ac:dyDescent="0.3">
      <c r="A160" s="10" t="s">
        <v>429</v>
      </c>
      <c r="B160" s="11" t="s">
        <v>430</v>
      </c>
      <c r="C160" s="11"/>
      <c r="D160" s="11" t="s">
        <v>431</v>
      </c>
      <c r="E160" s="11">
        <f xml:space="preserve"> IF($T$115,1,0)</f>
        <v>0</v>
      </c>
      <c r="F160" s="11" t="s">
        <v>432</v>
      </c>
      <c r="G160" s="11">
        <v>0</v>
      </c>
      <c r="H160" s="11">
        <v>0</v>
      </c>
      <c r="I160" s="11">
        <v>0</v>
      </c>
      <c r="J160" s="11">
        <v>0</v>
      </c>
      <c r="K160" s="11">
        <v>0</v>
      </c>
      <c r="L160" s="11">
        <v>0</v>
      </c>
      <c r="M160" s="11">
        <v>0</v>
      </c>
      <c r="N160" s="11">
        <v>0</v>
      </c>
      <c r="O160" s="11">
        <v>0</v>
      </c>
      <c r="P160" s="11">
        <v>0</v>
      </c>
      <c r="Q160" s="11">
        <v>0</v>
      </c>
      <c r="R160" s="12">
        <v>0</v>
      </c>
      <c r="S160" s="12">
        <v>0</v>
      </c>
      <c r="T160" s="12">
        <v>0</v>
      </c>
    </row>
    <row r="161" spans="1:20" x14ac:dyDescent="0.3">
      <c r="A161" s="10" t="s">
        <v>957</v>
      </c>
      <c r="B161" s="11" t="s">
        <v>958</v>
      </c>
      <c r="C161" s="11" t="s">
        <v>65</v>
      </c>
      <c r="D161" s="11" t="s">
        <v>959</v>
      </c>
      <c r="E161" s="11">
        <f xml:space="preserve"> IF($T$255,1,0)</f>
        <v>0</v>
      </c>
      <c r="F161" s="11" t="s">
        <v>960</v>
      </c>
      <c r="G161" s="11">
        <v>0</v>
      </c>
      <c r="H161" s="11">
        <v>0</v>
      </c>
      <c r="I161" s="11">
        <v>0</v>
      </c>
      <c r="J161" s="11">
        <v>0</v>
      </c>
      <c r="K161" s="11">
        <v>0</v>
      </c>
      <c r="L161" s="11">
        <v>0</v>
      </c>
      <c r="M161" s="11">
        <v>0</v>
      </c>
      <c r="N161" s="11">
        <v>0</v>
      </c>
      <c r="O161" s="11">
        <v>0</v>
      </c>
      <c r="P161" s="11">
        <v>0</v>
      </c>
      <c r="Q161" s="11">
        <v>0</v>
      </c>
      <c r="R161" s="12">
        <v>0</v>
      </c>
      <c r="S161" s="12">
        <v>0</v>
      </c>
      <c r="T161" s="12">
        <v>0</v>
      </c>
    </row>
    <row r="162" spans="1:20" x14ac:dyDescent="0.3">
      <c r="A162" s="13" t="s">
        <v>1116</v>
      </c>
      <c r="B162" s="14" t="s">
        <v>1117</v>
      </c>
      <c r="C162" s="14"/>
      <c r="D162" s="14" t="s">
        <v>1118</v>
      </c>
      <c r="E162" s="14">
        <f xml:space="preserve"> IF($T$298,1,0)</f>
        <v>0</v>
      </c>
      <c r="F162" s="14" t="s">
        <v>1119</v>
      </c>
      <c r="G162" s="14">
        <v>4</v>
      </c>
      <c r="H162" s="14">
        <v>0</v>
      </c>
      <c r="I162" s="14">
        <v>0</v>
      </c>
      <c r="J162" s="14">
        <v>0</v>
      </c>
      <c r="K162" s="14">
        <v>0</v>
      </c>
      <c r="L162" s="14">
        <v>0</v>
      </c>
      <c r="M162" s="14">
        <v>0</v>
      </c>
      <c r="N162" s="14">
        <v>0</v>
      </c>
      <c r="O162" s="14">
        <v>0</v>
      </c>
      <c r="P162" s="14">
        <v>0</v>
      </c>
      <c r="Q162" s="14">
        <v>0</v>
      </c>
      <c r="R162" s="15">
        <v>4.4000000000000004</v>
      </c>
      <c r="S162" s="15">
        <v>0</v>
      </c>
      <c r="T162" s="15">
        <v>4.4000000000000004</v>
      </c>
    </row>
    <row r="163" spans="1:20" x14ac:dyDescent="0.3">
      <c r="A163" s="13" t="s">
        <v>51</v>
      </c>
      <c r="B163" s="14" t="s">
        <v>52</v>
      </c>
      <c r="C163" s="14"/>
      <c r="D163" s="14" t="s">
        <v>53</v>
      </c>
      <c r="E163" s="14">
        <f xml:space="preserve"> IF($T$16,1,0)</f>
        <v>0</v>
      </c>
      <c r="F163" s="14" t="s">
        <v>54</v>
      </c>
      <c r="G163" s="14">
        <v>0</v>
      </c>
      <c r="H163" s="14">
        <v>0</v>
      </c>
      <c r="I163" s="14">
        <v>0</v>
      </c>
      <c r="J163" s="14">
        <v>0</v>
      </c>
      <c r="K163" s="14">
        <v>0</v>
      </c>
      <c r="L163" s="14">
        <v>0</v>
      </c>
      <c r="M163" s="14">
        <v>0</v>
      </c>
      <c r="N163" s="14">
        <v>0</v>
      </c>
      <c r="O163" s="14">
        <v>0</v>
      </c>
      <c r="P163" s="14">
        <v>0</v>
      </c>
      <c r="Q163" s="14">
        <v>0</v>
      </c>
      <c r="R163" s="15">
        <v>0</v>
      </c>
      <c r="S163" s="15">
        <v>0</v>
      </c>
      <c r="T163" s="15">
        <v>0</v>
      </c>
    </row>
    <row r="164" spans="1:20" x14ac:dyDescent="0.3">
      <c r="A164" s="13" t="s">
        <v>28</v>
      </c>
      <c r="B164" s="14" t="s">
        <v>29</v>
      </c>
      <c r="C164" s="14"/>
      <c r="D164" s="14" t="s">
        <v>30</v>
      </c>
      <c r="E164" s="14">
        <f xml:space="preserve"> IF($T$10,1,0)</f>
        <v>0</v>
      </c>
      <c r="F164" s="14" t="s">
        <v>31</v>
      </c>
      <c r="G164" s="14">
        <v>0</v>
      </c>
      <c r="H164" s="14">
        <v>0</v>
      </c>
      <c r="I164" s="14">
        <v>0</v>
      </c>
      <c r="J164" s="14">
        <v>0</v>
      </c>
      <c r="K164" s="14">
        <v>0</v>
      </c>
      <c r="L164" s="14">
        <v>0</v>
      </c>
      <c r="M164" s="14">
        <v>0</v>
      </c>
      <c r="N164" s="14">
        <v>0</v>
      </c>
      <c r="O164" s="14">
        <v>0</v>
      </c>
      <c r="P164" s="14">
        <v>0</v>
      </c>
      <c r="Q164" s="14">
        <v>0</v>
      </c>
      <c r="R164" s="15">
        <v>0</v>
      </c>
      <c r="S164" s="15">
        <v>0</v>
      </c>
      <c r="T164" s="15">
        <v>0</v>
      </c>
    </row>
    <row r="165" spans="1:20" x14ac:dyDescent="0.3">
      <c r="A165" s="10" t="s">
        <v>843</v>
      </c>
      <c r="B165" s="11" t="s">
        <v>844</v>
      </c>
      <c r="C165" s="11"/>
      <c r="D165" s="11" t="s">
        <v>845</v>
      </c>
      <c r="E165" s="11">
        <f xml:space="preserve"> IF($T$225,1,0)</f>
        <v>0</v>
      </c>
      <c r="F165" s="11" t="s">
        <v>846</v>
      </c>
      <c r="G165" s="11">
        <v>0</v>
      </c>
      <c r="H165" s="11">
        <v>0</v>
      </c>
      <c r="I165" s="11">
        <v>0</v>
      </c>
      <c r="J165" s="11">
        <v>0</v>
      </c>
      <c r="K165" s="11">
        <v>0</v>
      </c>
      <c r="L165" s="11">
        <v>0</v>
      </c>
      <c r="M165" s="11">
        <v>0</v>
      </c>
      <c r="N165" s="11">
        <v>0</v>
      </c>
      <c r="O165" s="11">
        <v>0</v>
      </c>
      <c r="P165" s="11">
        <v>0</v>
      </c>
      <c r="Q165" s="11">
        <v>0</v>
      </c>
      <c r="R165" s="12">
        <v>0</v>
      </c>
      <c r="S165" s="12">
        <v>0</v>
      </c>
      <c r="T165" s="12">
        <v>0</v>
      </c>
    </row>
    <row r="166" spans="1:20" x14ac:dyDescent="0.3">
      <c r="A166" s="13" t="s">
        <v>37</v>
      </c>
      <c r="B166" s="14" t="s">
        <v>38</v>
      </c>
      <c r="C166" s="14"/>
      <c r="D166" s="14" t="s">
        <v>39</v>
      </c>
      <c r="E166" s="14">
        <f xml:space="preserve"> IF($T$12,1,0)</f>
        <v>0</v>
      </c>
      <c r="F166" s="14" t="s">
        <v>40</v>
      </c>
      <c r="G166" s="14">
        <v>0</v>
      </c>
      <c r="H166" s="14">
        <v>0</v>
      </c>
      <c r="I166" s="14">
        <v>0</v>
      </c>
      <c r="J166" s="14">
        <v>0</v>
      </c>
      <c r="K166" s="14">
        <v>0</v>
      </c>
      <c r="L166" s="14">
        <v>0</v>
      </c>
      <c r="M166" s="14">
        <v>0</v>
      </c>
      <c r="N166" s="14">
        <v>0</v>
      </c>
      <c r="O166" s="14">
        <v>0</v>
      </c>
      <c r="P166" s="14">
        <v>0</v>
      </c>
      <c r="Q166" s="14">
        <v>0</v>
      </c>
      <c r="R166" s="15">
        <v>0</v>
      </c>
      <c r="S166" s="15">
        <v>0</v>
      </c>
      <c r="T166" s="15">
        <v>0</v>
      </c>
    </row>
    <row r="167" spans="1:20" x14ac:dyDescent="0.3">
      <c r="A167" s="10" t="s">
        <v>661</v>
      </c>
      <c r="B167" s="11" t="s">
        <v>658</v>
      </c>
      <c r="C167" s="11" t="s">
        <v>202</v>
      </c>
      <c r="D167" s="11" t="s">
        <v>662</v>
      </c>
      <c r="E167" s="11">
        <f xml:space="preserve"> IF($T$177,1,0)</f>
        <v>1</v>
      </c>
      <c r="F167" s="11" t="s">
        <v>663</v>
      </c>
      <c r="G167" s="11">
        <v>0</v>
      </c>
      <c r="H167" s="11">
        <v>0</v>
      </c>
      <c r="I167" s="11">
        <v>0</v>
      </c>
      <c r="J167" s="11">
        <v>0</v>
      </c>
      <c r="K167" s="11">
        <v>0</v>
      </c>
      <c r="L167" s="11">
        <v>0</v>
      </c>
      <c r="M167" s="11">
        <v>0</v>
      </c>
      <c r="N167" s="11">
        <v>0</v>
      </c>
      <c r="O167" s="11">
        <v>0</v>
      </c>
      <c r="P167" s="11">
        <v>0</v>
      </c>
      <c r="Q167" s="11">
        <v>0</v>
      </c>
      <c r="R167" s="12">
        <v>0</v>
      </c>
      <c r="S167" s="12">
        <v>0</v>
      </c>
      <c r="T167" s="12">
        <v>0</v>
      </c>
    </row>
    <row r="168" spans="1:20" x14ac:dyDescent="0.3">
      <c r="A168" s="10" t="s">
        <v>390</v>
      </c>
      <c r="B168" s="11" t="s">
        <v>387</v>
      </c>
      <c r="C168" s="11" t="s">
        <v>34</v>
      </c>
      <c r="D168" s="11" t="s">
        <v>391</v>
      </c>
      <c r="E168" s="11">
        <f xml:space="preserve"> IF($T$105,1,0)</f>
        <v>0</v>
      </c>
      <c r="F168" s="11" t="s">
        <v>392</v>
      </c>
      <c r="G168" s="11">
        <v>0</v>
      </c>
      <c r="H168" s="11">
        <v>0</v>
      </c>
      <c r="I168" s="11">
        <v>0</v>
      </c>
      <c r="J168" s="11">
        <v>0</v>
      </c>
      <c r="K168" s="11">
        <v>0</v>
      </c>
      <c r="L168" s="11">
        <v>0</v>
      </c>
      <c r="M168" s="11">
        <v>0</v>
      </c>
      <c r="N168" s="11">
        <v>0</v>
      </c>
      <c r="O168" s="11">
        <v>0</v>
      </c>
      <c r="P168" s="11">
        <v>0</v>
      </c>
      <c r="Q168" s="11">
        <v>0</v>
      </c>
      <c r="R168" s="12">
        <v>0</v>
      </c>
      <c r="S168" s="12">
        <v>0</v>
      </c>
      <c r="T168" s="12">
        <v>0</v>
      </c>
    </row>
    <row r="169" spans="1:20" x14ac:dyDescent="0.3">
      <c r="A169" s="10" t="s">
        <v>980</v>
      </c>
      <c r="B169" s="11" t="s">
        <v>981</v>
      </c>
      <c r="C169" s="11" t="s">
        <v>34</v>
      </c>
      <c r="D169" s="11" t="s">
        <v>982</v>
      </c>
      <c r="E169" s="11">
        <f xml:space="preserve"> IF($T$261,1,0)</f>
        <v>0</v>
      </c>
      <c r="F169" s="11" t="s">
        <v>983</v>
      </c>
      <c r="G169" s="11">
        <v>0</v>
      </c>
      <c r="H169" s="11">
        <v>0</v>
      </c>
      <c r="I169" s="11">
        <v>0</v>
      </c>
      <c r="J169" s="11">
        <v>0</v>
      </c>
      <c r="K169" s="11">
        <v>0</v>
      </c>
      <c r="L169" s="11">
        <v>0</v>
      </c>
      <c r="M169" s="11">
        <v>0</v>
      </c>
      <c r="N169" s="11">
        <v>0</v>
      </c>
      <c r="O169" s="11">
        <v>0</v>
      </c>
      <c r="P169" s="11">
        <v>0</v>
      </c>
      <c r="Q169" s="11">
        <v>0</v>
      </c>
      <c r="R169" s="12">
        <v>0</v>
      </c>
      <c r="S169" s="12">
        <v>0</v>
      </c>
      <c r="T169" s="12">
        <v>0</v>
      </c>
    </row>
    <row r="170" spans="1:20" x14ac:dyDescent="0.3">
      <c r="A170" s="10" t="s">
        <v>55</v>
      </c>
      <c r="B170" s="11" t="s">
        <v>56</v>
      </c>
      <c r="C170" s="11"/>
      <c r="D170" s="11" t="s">
        <v>57</v>
      </c>
      <c r="E170" s="11">
        <f xml:space="preserve"> IF($T$17,1,0)</f>
        <v>0</v>
      </c>
      <c r="F170" s="11" t="s">
        <v>58</v>
      </c>
      <c r="G170" s="11">
        <v>0</v>
      </c>
      <c r="H170" s="11">
        <v>0</v>
      </c>
      <c r="I170" s="11">
        <v>0</v>
      </c>
      <c r="J170" s="11">
        <v>0</v>
      </c>
      <c r="K170" s="11">
        <v>0</v>
      </c>
      <c r="L170" s="11">
        <v>0</v>
      </c>
      <c r="M170" s="11">
        <v>0</v>
      </c>
      <c r="N170" s="11">
        <v>0</v>
      </c>
      <c r="O170" s="11">
        <v>0</v>
      </c>
      <c r="P170" s="11">
        <v>0</v>
      </c>
      <c r="Q170" s="11">
        <v>0</v>
      </c>
      <c r="R170" s="12">
        <v>0</v>
      </c>
      <c r="S170" s="12">
        <v>0</v>
      </c>
      <c r="T170" s="12">
        <v>0</v>
      </c>
    </row>
    <row r="171" spans="1:20" x14ac:dyDescent="0.3">
      <c r="A171" s="13" t="s">
        <v>572</v>
      </c>
      <c r="B171" s="14" t="s">
        <v>573</v>
      </c>
      <c r="C171" s="14" t="s">
        <v>34</v>
      </c>
      <c r="D171" s="14" t="s">
        <v>574</v>
      </c>
      <c r="E171" s="14">
        <f xml:space="preserve"> IF($T$154,1,0)</f>
        <v>0</v>
      </c>
      <c r="F171" s="14" t="s">
        <v>575</v>
      </c>
      <c r="G171" s="14">
        <v>0</v>
      </c>
      <c r="H171" s="14">
        <v>0</v>
      </c>
      <c r="I171" s="14">
        <v>0</v>
      </c>
      <c r="J171" s="14">
        <v>0</v>
      </c>
      <c r="K171" s="14">
        <v>0</v>
      </c>
      <c r="L171" s="14">
        <v>0</v>
      </c>
      <c r="M171" s="14">
        <v>0</v>
      </c>
      <c r="N171" s="14">
        <v>0</v>
      </c>
      <c r="O171" s="14">
        <v>0</v>
      </c>
      <c r="P171" s="14">
        <v>0</v>
      </c>
      <c r="Q171" s="14">
        <v>0</v>
      </c>
      <c r="R171" s="15">
        <v>0</v>
      </c>
      <c r="S171" s="15">
        <v>0</v>
      </c>
      <c r="T171" s="15">
        <v>0</v>
      </c>
    </row>
    <row r="172" spans="1:20" x14ac:dyDescent="0.3">
      <c r="A172" s="13" t="s">
        <v>195</v>
      </c>
      <c r="B172" s="14" t="s">
        <v>177</v>
      </c>
      <c r="C172" s="14"/>
      <c r="D172" s="14" t="s">
        <v>196</v>
      </c>
      <c r="E172" s="14">
        <f xml:space="preserve"> IF($T$54,1,0)</f>
        <v>0</v>
      </c>
      <c r="F172" s="14" t="s">
        <v>197</v>
      </c>
      <c r="G172" s="14">
        <v>0</v>
      </c>
      <c r="H172" s="14">
        <v>0</v>
      </c>
      <c r="I172" s="14">
        <v>0</v>
      </c>
      <c r="J172" s="14">
        <v>0</v>
      </c>
      <c r="K172" s="14">
        <v>0</v>
      </c>
      <c r="L172" s="14">
        <v>0</v>
      </c>
      <c r="M172" s="14">
        <v>0</v>
      </c>
      <c r="N172" s="14">
        <v>0</v>
      </c>
      <c r="O172" s="14">
        <v>0</v>
      </c>
      <c r="P172" s="14">
        <v>0</v>
      </c>
      <c r="Q172" s="14">
        <v>0</v>
      </c>
      <c r="R172" s="15">
        <v>0</v>
      </c>
      <c r="S172" s="15">
        <v>0</v>
      </c>
      <c r="T172" s="15">
        <v>0</v>
      </c>
    </row>
    <row r="173" spans="1:20" x14ac:dyDescent="0.3">
      <c r="A173" s="10" t="s">
        <v>1218</v>
      </c>
      <c r="B173" s="11" t="s">
        <v>1219</v>
      </c>
      <c r="C173" s="11" t="s">
        <v>202</v>
      </c>
      <c r="D173" s="11" t="s">
        <v>1068</v>
      </c>
      <c r="E173" s="11">
        <f xml:space="preserve"> IF($T$327,1,0)</f>
        <v>0</v>
      </c>
      <c r="F173" s="11" t="s">
        <v>1220</v>
      </c>
      <c r="G173" s="11">
        <v>0</v>
      </c>
      <c r="H173" s="11">
        <v>0</v>
      </c>
      <c r="I173" s="11">
        <v>0</v>
      </c>
      <c r="J173" s="11">
        <v>0</v>
      </c>
      <c r="K173" s="11">
        <v>0</v>
      </c>
      <c r="L173" s="11">
        <v>0</v>
      </c>
      <c r="M173" s="11">
        <v>0</v>
      </c>
      <c r="N173" s="11">
        <v>0</v>
      </c>
      <c r="O173" s="11">
        <v>0</v>
      </c>
      <c r="P173" s="11">
        <v>0</v>
      </c>
      <c r="Q173" s="11">
        <v>0</v>
      </c>
      <c r="R173" s="12">
        <v>0</v>
      </c>
      <c r="S173" s="12">
        <v>0</v>
      </c>
      <c r="T173" s="12">
        <v>0</v>
      </c>
    </row>
    <row r="174" spans="1:20" x14ac:dyDescent="0.3">
      <c r="A174" s="13" t="s">
        <v>168</v>
      </c>
      <c r="B174" s="14" t="s">
        <v>169</v>
      </c>
      <c r="C174" s="14" t="s">
        <v>65</v>
      </c>
      <c r="D174" s="14" t="s">
        <v>170</v>
      </c>
      <c r="E174" s="14">
        <f xml:space="preserve"> IF($T$46,1,0)</f>
        <v>0</v>
      </c>
      <c r="F174" s="14" t="s">
        <v>171</v>
      </c>
      <c r="G174" s="14">
        <v>0</v>
      </c>
      <c r="H174" s="14">
        <v>0</v>
      </c>
      <c r="I174" s="14">
        <v>0</v>
      </c>
      <c r="J174" s="14">
        <v>0</v>
      </c>
      <c r="K174" s="14">
        <v>0</v>
      </c>
      <c r="L174" s="14">
        <v>0</v>
      </c>
      <c r="M174" s="14">
        <v>0</v>
      </c>
      <c r="N174" s="14">
        <v>0</v>
      </c>
      <c r="O174" s="14">
        <v>0</v>
      </c>
      <c r="P174" s="14">
        <v>0</v>
      </c>
      <c r="Q174" s="14">
        <v>0</v>
      </c>
      <c r="R174" s="15">
        <v>0</v>
      </c>
      <c r="S174" s="15">
        <v>0</v>
      </c>
      <c r="T174" s="15">
        <v>0</v>
      </c>
    </row>
    <row r="175" spans="1:20" x14ac:dyDescent="0.3">
      <c r="A175" s="10" t="s">
        <v>742</v>
      </c>
      <c r="B175" s="11" t="s">
        <v>743</v>
      </c>
      <c r="C175" s="11"/>
      <c r="D175" s="11" t="s">
        <v>744</v>
      </c>
      <c r="E175" s="11">
        <f xml:space="preserve"> IF($T$199,1,0)</f>
        <v>0</v>
      </c>
      <c r="F175" s="11" t="s">
        <v>745</v>
      </c>
      <c r="G175" s="11">
        <v>0</v>
      </c>
      <c r="H175" s="11">
        <v>0</v>
      </c>
      <c r="I175" s="11">
        <v>0</v>
      </c>
      <c r="J175" s="11">
        <v>0</v>
      </c>
      <c r="K175" s="11">
        <v>0</v>
      </c>
      <c r="L175" s="11">
        <v>0</v>
      </c>
      <c r="M175" s="11">
        <v>0</v>
      </c>
      <c r="N175" s="11">
        <v>0</v>
      </c>
      <c r="O175" s="11">
        <v>0</v>
      </c>
      <c r="P175" s="11">
        <v>0</v>
      </c>
      <c r="Q175" s="11">
        <v>0</v>
      </c>
      <c r="R175" s="12">
        <v>0</v>
      </c>
      <c r="S175" s="12">
        <v>0</v>
      </c>
      <c r="T175" s="12">
        <v>0</v>
      </c>
    </row>
    <row r="176" spans="1:20" x14ac:dyDescent="0.3">
      <c r="A176" s="13" t="s">
        <v>792</v>
      </c>
      <c r="B176" s="14" t="s">
        <v>793</v>
      </c>
      <c r="C176" s="14"/>
      <c r="D176" s="14" t="s">
        <v>794</v>
      </c>
      <c r="E176" s="14">
        <f xml:space="preserve"> IF($T$212,1,0)</f>
        <v>0</v>
      </c>
      <c r="F176" s="14" t="s">
        <v>795</v>
      </c>
      <c r="G176" s="14">
        <v>6</v>
      </c>
      <c r="H176" s="14">
        <v>1</v>
      </c>
      <c r="I176" s="14">
        <v>0</v>
      </c>
      <c r="J176" s="14">
        <v>0</v>
      </c>
      <c r="K176" s="14">
        <v>0</v>
      </c>
      <c r="L176" s="14">
        <v>0</v>
      </c>
      <c r="M176" s="14">
        <v>0</v>
      </c>
      <c r="N176" s="14">
        <v>0</v>
      </c>
      <c r="O176" s="14">
        <v>0</v>
      </c>
      <c r="P176" s="14">
        <v>0</v>
      </c>
      <c r="Q176" s="14">
        <v>0</v>
      </c>
      <c r="R176" s="15">
        <v>8.4</v>
      </c>
      <c r="S176" s="15">
        <v>0</v>
      </c>
      <c r="T176" s="15">
        <v>8.4</v>
      </c>
    </row>
    <row r="177" spans="1:20" x14ac:dyDescent="0.3">
      <c r="A177" s="10" t="s">
        <v>538</v>
      </c>
      <c r="B177" s="11" t="s">
        <v>535</v>
      </c>
      <c r="C177" s="11"/>
      <c r="D177" s="11" t="s">
        <v>539</v>
      </c>
      <c r="E177" s="11">
        <f xml:space="preserve"> IF($T$145,1,0)</f>
        <v>0</v>
      </c>
      <c r="F177" s="11" t="s">
        <v>540</v>
      </c>
      <c r="G177" s="11">
        <v>0</v>
      </c>
      <c r="H177" s="11">
        <v>2</v>
      </c>
      <c r="I177" s="11">
        <v>0</v>
      </c>
      <c r="J177" s="11">
        <v>0</v>
      </c>
      <c r="K177" s="11">
        <v>0</v>
      </c>
      <c r="L177" s="11">
        <v>0</v>
      </c>
      <c r="M177" s="11">
        <v>0</v>
      </c>
      <c r="N177" s="11">
        <v>0</v>
      </c>
      <c r="O177" s="11">
        <v>0</v>
      </c>
      <c r="P177" s="11">
        <v>0</v>
      </c>
      <c r="Q177" s="11">
        <v>0</v>
      </c>
      <c r="R177" s="12">
        <v>3.6</v>
      </c>
      <c r="S177" s="12">
        <v>0</v>
      </c>
      <c r="T177" s="12">
        <v>3.6</v>
      </c>
    </row>
    <row r="178" spans="1:20" x14ac:dyDescent="0.3">
      <c r="A178" s="13" t="s">
        <v>1081</v>
      </c>
      <c r="B178" s="14" t="s">
        <v>1082</v>
      </c>
      <c r="C178" s="14"/>
      <c r="D178" s="14" t="s">
        <v>1083</v>
      </c>
      <c r="E178" s="14">
        <f xml:space="preserve"> IF($T$288,1,0)</f>
        <v>0</v>
      </c>
      <c r="F178" s="14" t="s">
        <v>1084</v>
      </c>
      <c r="G178" s="14">
        <v>0</v>
      </c>
      <c r="H178" s="14">
        <v>0</v>
      </c>
      <c r="I178" s="14">
        <v>0</v>
      </c>
      <c r="J178" s="14">
        <v>0</v>
      </c>
      <c r="K178" s="14">
        <v>0</v>
      </c>
      <c r="L178" s="14">
        <v>0</v>
      </c>
      <c r="M178" s="14">
        <v>0</v>
      </c>
      <c r="N178" s="14">
        <v>0</v>
      </c>
      <c r="O178" s="14">
        <v>0</v>
      </c>
      <c r="P178" s="14">
        <v>0</v>
      </c>
      <c r="Q178" s="14">
        <v>0</v>
      </c>
      <c r="R178" s="15">
        <v>0</v>
      </c>
      <c r="S178" s="15">
        <v>0</v>
      </c>
      <c r="T178" s="15">
        <v>0</v>
      </c>
    </row>
    <row r="179" spans="1:20" x14ac:dyDescent="0.3">
      <c r="A179" s="10" t="s">
        <v>1159</v>
      </c>
      <c r="B179" s="11" t="s">
        <v>1160</v>
      </c>
      <c r="C179" s="11"/>
      <c r="D179" s="11" t="s">
        <v>1161</v>
      </c>
      <c r="E179" s="11">
        <f xml:space="preserve"> IF($T$311,1,0)</f>
        <v>0</v>
      </c>
      <c r="F179" s="11" t="s">
        <v>1162</v>
      </c>
      <c r="G179" s="11">
        <v>0</v>
      </c>
      <c r="H179" s="11">
        <v>0</v>
      </c>
      <c r="I179" s="11">
        <v>0</v>
      </c>
      <c r="J179" s="11">
        <v>0</v>
      </c>
      <c r="K179" s="11">
        <v>0</v>
      </c>
      <c r="L179" s="11">
        <v>0</v>
      </c>
      <c r="M179" s="11">
        <v>0</v>
      </c>
      <c r="N179" s="11">
        <v>0</v>
      </c>
      <c r="O179" s="11">
        <v>0</v>
      </c>
      <c r="P179" s="11">
        <v>0</v>
      </c>
      <c r="Q179" s="11">
        <v>0</v>
      </c>
      <c r="R179" s="12">
        <v>0</v>
      </c>
      <c r="S179" s="12">
        <v>0</v>
      </c>
      <c r="T179" s="12">
        <v>0</v>
      </c>
    </row>
    <row r="180" spans="1:20" x14ac:dyDescent="0.3">
      <c r="A180" s="10" t="s">
        <v>228</v>
      </c>
      <c r="B180" s="11" t="s">
        <v>225</v>
      </c>
      <c r="C180" s="11"/>
      <c r="D180" s="11" t="s">
        <v>229</v>
      </c>
      <c r="E180" s="11">
        <f xml:space="preserve"> IF($T$63,1,0)</f>
        <v>0</v>
      </c>
      <c r="F180" s="11" t="s">
        <v>230</v>
      </c>
      <c r="G180" s="11">
        <v>0</v>
      </c>
      <c r="H180" s="11">
        <v>0</v>
      </c>
      <c r="I180" s="11">
        <v>0</v>
      </c>
      <c r="J180" s="11">
        <v>0</v>
      </c>
      <c r="K180" s="11">
        <v>0</v>
      </c>
      <c r="L180" s="11">
        <v>0</v>
      </c>
      <c r="M180" s="11">
        <v>0</v>
      </c>
      <c r="N180" s="11">
        <v>0</v>
      </c>
      <c r="O180" s="11">
        <v>0</v>
      </c>
      <c r="P180" s="11">
        <v>0</v>
      </c>
      <c r="Q180" s="11">
        <v>0</v>
      </c>
      <c r="R180" s="12">
        <v>0</v>
      </c>
      <c r="S180" s="12">
        <v>0</v>
      </c>
      <c r="T180" s="12">
        <v>0</v>
      </c>
    </row>
    <row r="181" spans="1:20" x14ac:dyDescent="0.3">
      <c r="A181" s="10" t="s">
        <v>72</v>
      </c>
      <c r="B181" s="11" t="s">
        <v>73</v>
      </c>
      <c r="C181" s="11"/>
      <c r="D181" s="11" t="s">
        <v>74</v>
      </c>
      <c r="E181" s="11">
        <f xml:space="preserve"> IF($T$21,1,0)</f>
        <v>0</v>
      </c>
      <c r="F181" s="11" t="s">
        <v>75</v>
      </c>
      <c r="G181" s="11">
        <v>0</v>
      </c>
      <c r="H181" s="11">
        <v>0</v>
      </c>
      <c r="I181" s="11">
        <v>0</v>
      </c>
      <c r="J181" s="11">
        <v>0</v>
      </c>
      <c r="K181" s="11">
        <v>0</v>
      </c>
      <c r="L181" s="11">
        <v>0</v>
      </c>
      <c r="M181" s="11">
        <v>0</v>
      </c>
      <c r="N181" s="11">
        <v>0</v>
      </c>
      <c r="O181" s="11">
        <v>0</v>
      </c>
      <c r="P181" s="11">
        <v>0</v>
      </c>
      <c r="Q181" s="11">
        <v>0</v>
      </c>
      <c r="R181" s="12">
        <v>0</v>
      </c>
      <c r="S181" s="12">
        <v>0</v>
      </c>
      <c r="T181" s="12">
        <v>0</v>
      </c>
    </row>
    <row r="182" spans="1:20" x14ac:dyDescent="0.3">
      <c r="A182" s="13" t="s">
        <v>688</v>
      </c>
      <c r="B182" s="14" t="s">
        <v>689</v>
      </c>
      <c r="C182" s="14"/>
      <c r="D182" s="14" t="s">
        <v>690</v>
      </c>
      <c r="E182" s="14">
        <f xml:space="preserve"> IF($T$184,1,0)</f>
        <v>0</v>
      </c>
      <c r="F182" s="14" t="s">
        <v>691</v>
      </c>
      <c r="G182" s="14">
        <v>0</v>
      </c>
      <c r="H182" s="14">
        <v>0</v>
      </c>
      <c r="I182" s="14">
        <v>0</v>
      </c>
      <c r="J182" s="14">
        <v>0</v>
      </c>
      <c r="K182" s="14">
        <v>0</v>
      </c>
      <c r="L182" s="14">
        <v>0</v>
      </c>
      <c r="M182" s="14">
        <v>0</v>
      </c>
      <c r="N182" s="14">
        <v>0</v>
      </c>
      <c r="O182" s="14">
        <v>0</v>
      </c>
      <c r="P182" s="14">
        <v>0</v>
      </c>
      <c r="Q182" s="14">
        <v>0</v>
      </c>
      <c r="R182" s="15">
        <v>0</v>
      </c>
      <c r="S182" s="15">
        <v>0</v>
      </c>
      <c r="T182" s="15">
        <v>0</v>
      </c>
    </row>
    <row r="183" spans="1:20" x14ac:dyDescent="0.3">
      <c r="A183" s="13" t="s">
        <v>992</v>
      </c>
      <c r="B183" s="14" t="s">
        <v>343</v>
      </c>
      <c r="C183" s="14"/>
      <c r="D183" s="14" t="s">
        <v>993</v>
      </c>
      <c r="E183" s="14">
        <f xml:space="preserve"> IF($T$264,1,0)</f>
        <v>0</v>
      </c>
      <c r="F183" s="14" t="s">
        <v>994</v>
      </c>
      <c r="G183" s="14">
        <v>0</v>
      </c>
      <c r="H183" s="14">
        <v>0</v>
      </c>
      <c r="I183" s="14">
        <v>0</v>
      </c>
      <c r="J183" s="14">
        <v>0</v>
      </c>
      <c r="K183" s="14">
        <v>0</v>
      </c>
      <c r="L183" s="14">
        <v>0</v>
      </c>
      <c r="M183" s="14">
        <v>0</v>
      </c>
      <c r="N183" s="14">
        <v>0</v>
      </c>
      <c r="O183" s="14">
        <v>0</v>
      </c>
      <c r="P183" s="14">
        <v>0</v>
      </c>
      <c r="Q183" s="14">
        <v>0</v>
      </c>
      <c r="R183" s="15">
        <v>0</v>
      </c>
      <c r="S183" s="15">
        <v>0</v>
      </c>
      <c r="T183" s="15">
        <v>0</v>
      </c>
    </row>
    <row r="184" spans="1:20" x14ac:dyDescent="0.3">
      <c r="A184" s="10" t="s">
        <v>477</v>
      </c>
      <c r="B184" s="11" t="s">
        <v>478</v>
      </c>
      <c r="C184" s="11"/>
      <c r="D184" s="11" t="s">
        <v>479</v>
      </c>
      <c r="E184" s="11">
        <f xml:space="preserve"> IF($T$129,1,0)</f>
        <v>0</v>
      </c>
      <c r="F184" s="11" t="s">
        <v>480</v>
      </c>
      <c r="G184" s="11">
        <v>0</v>
      </c>
      <c r="H184" s="11">
        <v>0</v>
      </c>
      <c r="I184" s="11">
        <v>0</v>
      </c>
      <c r="J184" s="11">
        <v>0</v>
      </c>
      <c r="K184" s="11">
        <v>0</v>
      </c>
      <c r="L184" s="11">
        <v>0</v>
      </c>
      <c r="M184" s="11">
        <v>0</v>
      </c>
      <c r="N184" s="11">
        <v>0</v>
      </c>
      <c r="O184" s="11">
        <v>0</v>
      </c>
      <c r="P184" s="11">
        <v>0</v>
      </c>
      <c r="Q184" s="11">
        <v>0</v>
      </c>
      <c r="R184" s="12">
        <v>0</v>
      </c>
      <c r="S184" s="12">
        <v>0</v>
      </c>
      <c r="T184" s="12">
        <v>0</v>
      </c>
    </row>
    <row r="185" spans="1:20" x14ac:dyDescent="0.3">
      <c r="A185" s="10" t="s">
        <v>448</v>
      </c>
      <c r="B185" s="11" t="s">
        <v>449</v>
      </c>
      <c r="C185" s="11"/>
      <c r="D185" s="11" t="s">
        <v>450</v>
      </c>
      <c r="E185" s="11">
        <f xml:space="preserve"> IF($T$121,1,0)</f>
        <v>0</v>
      </c>
      <c r="F185" s="11" t="s">
        <v>451</v>
      </c>
      <c r="G185" s="11">
        <v>0</v>
      </c>
      <c r="H185" s="11">
        <v>0</v>
      </c>
      <c r="I185" s="11">
        <v>0</v>
      </c>
      <c r="J185" s="11">
        <v>0</v>
      </c>
      <c r="K185" s="11">
        <v>0</v>
      </c>
      <c r="L185" s="11">
        <v>0</v>
      </c>
      <c r="M185" s="11">
        <v>0</v>
      </c>
      <c r="N185" s="11">
        <v>0</v>
      </c>
      <c r="O185" s="11">
        <v>0</v>
      </c>
      <c r="P185" s="11">
        <v>0</v>
      </c>
      <c r="Q185" s="11">
        <v>0</v>
      </c>
      <c r="R185" s="12">
        <v>0</v>
      </c>
      <c r="S185" s="12">
        <v>0</v>
      </c>
      <c r="T185" s="12">
        <v>0</v>
      </c>
    </row>
    <row r="186" spans="1:20" x14ac:dyDescent="0.3">
      <c r="A186" s="10" t="s">
        <v>1211</v>
      </c>
      <c r="B186" s="11" t="s">
        <v>1212</v>
      </c>
      <c r="C186" s="11"/>
      <c r="D186" s="11" t="s">
        <v>670</v>
      </c>
      <c r="E186" s="11">
        <f xml:space="preserve"> IF($T$325,1,0)</f>
        <v>0</v>
      </c>
      <c r="F186" s="11" t="s">
        <v>1213</v>
      </c>
      <c r="G186" s="11">
        <v>0</v>
      </c>
      <c r="H186" s="11">
        <v>0</v>
      </c>
      <c r="I186" s="11">
        <v>0</v>
      </c>
      <c r="J186" s="11">
        <v>0</v>
      </c>
      <c r="K186" s="11">
        <v>0</v>
      </c>
      <c r="L186" s="11">
        <v>0</v>
      </c>
      <c r="M186" s="11">
        <v>0</v>
      </c>
      <c r="N186" s="11">
        <v>0</v>
      </c>
      <c r="O186" s="11">
        <v>0</v>
      </c>
      <c r="P186" s="11">
        <v>0</v>
      </c>
      <c r="Q186" s="11">
        <v>0</v>
      </c>
      <c r="R186" s="12">
        <v>0</v>
      </c>
      <c r="S186" s="12">
        <v>0</v>
      </c>
      <c r="T186" s="12">
        <v>0</v>
      </c>
    </row>
    <row r="187" spans="1:20" x14ac:dyDescent="0.3">
      <c r="A187" s="10" t="s">
        <v>707</v>
      </c>
      <c r="B187" s="11" t="s">
        <v>708</v>
      </c>
      <c r="C187" s="11"/>
      <c r="D187" s="11" t="s">
        <v>222</v>
      </c>
      <c r="E187" s="11">
        <f xml:space="preserve"> IF($T$189,1,0)</f>
        <v>1</v>
      </c>
      <c r="F187" s="11" t="s">
        <v>709</v>
      </c>
      <c r="G187" s="11">
        <v>0</v>
      </c>
      <c r="H187" s="11">
        <v>0</v>
      </c>
      <c r="I187" s="11">
        <v>0</v>
      </c>
      <c r="J187" s="11">
        <v>0</v>
      </c>
      <c r="K187" s="11">
        <v>0</v>
      </c>
      <c r="L187" s="11">
        <v>6</v>
      </c>
      <c r="M187" s="11">
        <v>0</v>
      </c>
      <c r="N187" s="11">
        <v>0</v>
      </c>
      <c r="O187" s="11">
        <v>0</v>
      </c>
      <c r="P187" s="11">
        <v>0</v>
      </c>
      <c r="Q187" s="11">
        <v>0</v>
      </c>
      <c r="R187" s="12">
        <v>12</v>
      </c>
      <c r="S187" s="12">
        <v>0</v>
      </c>
      <c r="T187" s="12">
        <v>12</v>
      </c>
    </row>
    <row r="188" spans="1:20" x14ac:dyDescent="0.3">
      <c r="A188" s="10" t="s">
        <v>858</v>
      </c>
      <c r="B188" s="11" t="s">
        <v>859</v>
      </c>
      <c r="C188" s="11"/>
      <c r="D188" s="11" t="s">
        <v>860</v>
      </c>
      <c r="E188" s="11">
        <f xml:space="preserve"> IF($T$229,1,0)</f>
        <v>0</v>
      </c>
      <c r="F188" s="11" t="s">
        <v>861</v>
      </c>
      <c r="G188" s="11">
        <v>0</v>
      </c>
      <c r="H188" s="11">
        <v>0</v>
      </c>
      <c r="I188" s="11">
        <v>0</v>
      </c>
      <c r="J188" s="11">
        <v>0</v>
      </c>
      <c r="K188" s="11">
        <v>0</v>
      </c>
      <c r="L188" s="11">
        <v>0</v>
      </c>
      <c r="M188" s="11">
        <v>0</v>
      </c>
      <c r="N188" s="11">
        <v>0</v>
      </c>
      <c r="O188" s="11">
        <v>0</v>
      </c>
      <c r="P188" s="11">
        <v>0</v>
      </c>
      <c r="Q188" s="11">
        <v>0</v>
      </c>
      <c r="R188" s="12">
        <v>0</v>
      </c>
      <c r="S188" s="12">
        <v>0</v>
      </c>
      <c r="T188" s="12">
        <v>0</v>
      </c>
    </row>
    <row r="189" spans="1:20" x14ac:dyDescent="0.3">
      <c r="A189" s="10" t="s">
        <v>345</v>
      </c>
      <c r="B189" s="11" t="s">
        <v>346</v>
      </c>
      <c r="C189" s="11"/>
      <c r="D189" s="11" t="s">
        <v>347</v>
      </c>
      <c r="E189" s="11">
        <f xml:space="preserve"> IF($T$93,1,0)</f>
        <v>0</v>
      </c>
      <c r="F189" s="11" t="s">
        <v>348</v>
      </c>
      <c r="G189" s="11">
        <v>2</v>
      </c>
      <c r="H189" s="11">
        <v>0</v>
      </c>
      <c r="I189" s="11">
        <v>0</v>
      </c>
      <c r="J189" s="11">
        <v>0</v>
      </c>
      <c r="K189" s="11">
        <v>0</v>
      </c>
      <c r="L189" s="11">
        <v>0</v>
      </c>
      <c r="M189" s="11">
        <v>0</v>
      </c>
      <c r="N189" s="11">
        <v>0</v>
      </c>
      <c r="O189" s="11">
        <v>0</v>
      </c>
      <c r="P189" s="11">
        <v>0</v>
      </c>
      <c r="Q189" s="11">
        <v>0</v>
      </c>
      <c r="R189" s="12">
        <v>2.2000000000000002</v>
      </c>
      <c r="S189" s="12">
        <v>0</v>
      </c>
      <c r="T189" s="12">
        <v>2.2000000000000002</v>
      </c>
    </row>
    <row r="190" spans="1:20" x14ac:dyDescent="0.3">
      <c r="A190" s="13" t="s">
        <v>1184</v>
      </c>
      <c r="B190" s="14" t="s">
        <v>1185</v>
      </c>
      <c r="C190" s="14" t="s">
        <v>65</v>
      </c>
      <c r="D190" s="14" t="s">
        <v>1186</v>
      </c>
      <c r="E190" s="14">
        <f xml:space="preserve"> IF($T$318,1,0)</f>
        <v>0</v>
      </c>
      <c r="F190" s="14" t="s">
        <v>1187</v>
      </c>
      <c r="G190" s="14">
        <v>0</v>
      </c>
      <c r="H190" s="14">
        <v>0</v>
      </c>
      <c r="I190" s="14">
        <v>0</v>
      </c>
      <c r="J190" s="14">
        <v>0</v>
      </c>
      <c r="K190" s="14">
        <v>0</v>
      </c>
      <c r="L190" s="14">
        <v>0</v>
      </c>
      <c r="M190" s="14">
        <v>0</v>
      </c>
      <c r="N190" s="14">
        <v>0</v>
      </c>
      <c r="O190" s="14">
        <v>0</v>
      </c>
      <c r="P190" s="14">
        <v>0</v>
      </c>
      <c r="Q190" s="14">
        <v>0</v>
      </c>
      <c r="R190" s="15">
        <v>0</v>
      </c>
      <c r="S190" s="15">
        <v>0</v>
      </c>
      <c r="T190" s="15">
        <v>0</v>
      </c>
    </row>
    <row r="191" spans="1:20" x14ac:dyDescent="0.3">
      <c r="A191" s="13" t="s">
        <v>549</v>
      </c>
      <c r="B191" s="14" t="s">
        <v>550</v>
      </c>
      <c r="C191" s="14" t="s">
        <v>34</v>
      </c>
      <c r="D191" s="14" t="s">
        <v>551</v>
      </c>
      <c r="E191" s="14">
        <f xml:space="preserve"> IF($T$148,1,0)</f>
        <v>0</v>
      </c>
      <c r="F191" s="14" t="s">
        <v>552</v>
      </c>
      <c r="G191" s="14">
        <v>0</v>
      </c>
      <c r="H191" s="14">
        <v>0</v>
      </c>
      <c r="I191" s="14">
        <v>0</v>
      </c>
      <c r="J191" s="14">
        <v>0</v>
      </c>
      <c r="K191" s="14">
        <v>0</v>
      </c>
      <c r="L191" s="14">
        <v>0</v>
      </c>
      <c r="M191" s="14">
        <v>0</v>
      </c>
      <c r="N191" s="14">
        <v>0</v>
      </c>
      <c r="O191" s="14">
        <v>0</v>
      </c>
      <c r="P191" s="14">
        <v>0</v>
      </c>
      <c r="Q191" s="14">
        <v>0</v>
      </c>
      <c r="R191" s="15">
        <v>0</v>
      </c>
      <c r="S191" s="15">
        <v>0</v>
      </c>
      <c r="T191" s="15">
        <v>0</v>
      </c>
    </row>
    <row r="192" spans="1:20" x14ac:dyDescent="0.3">
      <c r="A192" s="10" t="s">
        <v>727</v>
      </c>
      <c r="B192" s="11" t="s">
        <v>728</v>
      </c>
      <c r="C192" s="11"/>
      <c r="D192" s="11" t="s">
        <v>729</v>
      </c>
      <c r="E192" s="11">
        <f xml:space="preserve"> IF($T$195,1,0)</f>
        <v>1</v>
      </c>
      <c r="F192" s="11" t="s">
        <v>730</v>
      </c>
      <c r="G192" s="11">
        <v>0</v>
      </c>
      <c r="H192" s="11">
        <v>0</v>
      </c>
      <c r="I192" s="11">
        <v>0</v>
      </c>
      <c r="J192" s="11">
        <v>0</v>
      </c>
      <c r="K192" s="11">
        <v>0</v>
      </c>
      <c r="L192" s="11">
        <v>0</v>
      </c>
      <c r="M192" s="11">
        <v>0</v>
      </c>
      <c r="N192" s="11">
        <v>0</v>
      </c>
      <c r="O192" s="11">
        <v>0</v>
      </c>
      <c r="P192" s="11">
        <v>0</v>
      </c>
      <c r="Q192" s="11">
        <v>0</v>
      </c>
      <c r="R192" s="12">
        <v>0</v>
      </c>
      <c r="S192" s="12">
        <v>0</v>
      </c>
      <c r="T192" s="12">
        <v>0</v>
      </c>
    </row>
    <row r="193" spans="1:20" x14ac:dyDescent="0.3">
      <c r="A193" s="10" t="s">
        <v>463</v>
      </c>
      <c r="B193" s="11" t="s">
        <v>457</v>
      </c>
      <c r="C193" s="11" t="s">
        <v>34</v>
      </c>
      <c r="D193" s="11" t="s">
        <v>464</v>
      </c>
      <c r="E193" s="11">
        <f xml:space="preserve"> IF($T$125,1,0)</f>
        <v>0</v>
      </c>
      <c r="F193" s="11" t="s">
        <v>465</v>
      </c>
      <c r="G193" s="11">
        <v>1</v>
      </c>
      <c r="H193" s="11">
        <v>1</v>
      </c>
      <c r="I193" s="11">
        <v>0</v>
      </c>
      <c r="J193" s="11">
        <v>0</v>
      </c>
      <c r="K193" s="11">
        <v>0</v>
      </c>
      <c r="L193" s="11">
        <v>0</v>
      </c>
      <c r="M193" s="11">
        <v>0</v>
      </c>
      <c r="N193" s="11">
        <v>0</v>
      </c>
      <c r="O193" s="11">
        <v>0</v>
      </c>
      <c r="P193" s="11">
        <v>0</v>
      </c>
      <c r="Q193" s="11">
        <v>0</v>
      </c>
      <c r="R193" s="12">
        <v>2.9000000000000004</v>
      </c>
      <c r="S193" s="12">
        <v>0</v>
      </c>
      <c r="T193" s="12">
        <v>2.9000000000000004</v>
      </c>
    </row>
    <row r="194" spans="1:20" x14ac:dyDescent="0.3">
      <c r="A194" s="13" t="s">
        <v>260</v>
      </c>
      <c r="B194" s="14" t="s">
        <v>261</v>
      </c>
      <c r="C194" s="14"/>
      <c r="D194" s="14" t="s">
        <v>262</v>
      </c>
      <c r="E194" s="14">
        <f xml:space="preserve"> IF($T$72,1,0)</f>
        <v>1</v>
      </c>
      <c r="F194" s="14" t="s">
        <v>263</v>
      </c>
      <c r="G194" s="14">
        <v>0</v>
      </c>
      <c r="H194" s="14">
        <v>0</v>
      </c>
      <c r="I194" s="14">
        <v>0</v>
      </c>
      <c r="J194" s="14">
        <v>0</v>
      </c>
      <c r="K194" s="14">
        <v>0</v>
      </c>
      <c r="L194" s="14">
        <v>0</v>
      </c>
      <c r="M194" s="14">
        <v>0</v>
      </c>
      <c r="N194" s="14">
        <v>0</v>
      </c>
      <c r="O194" s="14">
        <v>0</v>
      </c>
      <c r="P194" s="14">
        <v>0</v>
      </c>
      <c r="Q194" s="14">
        <v>0</v>
      </c>
      <c r="R194" s="15">
        <v>0</v>
      </c>
      <c r="S194" s="15">
        <v>0</v>
      </c>
      <c r="T194" s="15">
        <v>0</v>
      </c>
    </row>
    <row r="195" spans="1:20" x14ac:dyDescent="0.3">
      <c r="A195" s="13" t="s">
        <v>724</v>
      </c>
      <c r="B195" s="14" t="s">
        <v>721</v>
      </c>
      <c r="C195" s="14"/>
      <c r="D195" s="14" t="s">
        <v>725</v>
      </c>
      <c r="E195" s="14">
        <f xml:space="preserve"> IF($T$194,1,0)</f>
        <v>0</v>
      </c>
      <c r="F195" s="14" t="s">
        <v>726</v>
      </c>
      <c r="G195" s="14">
        <v>6</v>
      </c>
      <c r="H195" s="14">
        <v>2</v>
      </c>
      <c r="I195" s="14">
        <v>0</v>
      </c>
      <c r="J195" s="14">
        <v>0</v>
      </c>
      <c r="K195" s="14">
        <v>1</v>
      </c>
      <c r="L195" s="14">
        <v>0</v>
      </c>
      <c r="M195" s="14">
        <v>0</v>
      </c>
      <c r="N195" s="14">
        <v>0</v>
      </c>
      <c r="O195" s="14">
        <v>0</v>
      </c>
      <c r="P195" s="14">
        <v>0</v>
      </c>
      <c r="Q195" s="14">
        <v>0</v>
      </c>
      <c r="R195" s="15">
        <v>14.950000000000001</v>
      </c>
      <c r="S195" s="15">
        <v>0</v>
      </c>
      <c r="T195" s="15">
        <v>14.950000000000001</v>
      </c>
    </row>
    <row r="196" spans="1:20" x14ac:dyDescent="0.3">
      <c r="A196" s="10" t="s">
        <v>249</v>
      </c>
      <c r="B196" s="11" t="s">
        <v>242</v>
      </c>
      <c r="C196" s="11" t="s">
        <v>34</v>
      </c>
      <c r="D196" s="11" t="s">
        <v>250</v>
      </c>
      <c r="E196" s="11">
        <f xml:space="preserve"> IF($T$69,1,0)</f>
        <v>0</v>
      </c>
      <c r="F196" s="11" t="s">
        <v>251</v>
      </c>
      <c r="G196" s="11">
        <v>0</v>
      </c>
      <c r="H196" s="11">
        <v>0</v>
      </c>
      <c r="I196" s="11">
        <v>0</v>
      </c>
      <c r="J196" s="11">
        <v>0</v>
      </c>
      <c r="K196" s="11">
        <v>0</v>
      </c>
      <c r="L196" s="11">
        <v>0</v>
      </c>
      <c r="M196" s="11">
        <v>0</v>
      </c>
      <c r="N196" s="11">
        <v>0</v>
      </c>
      <c r="O196" s="11">
        <v>0</v>
      </c>
      <c r="P196" s="11">
        <v>0</v>
      </c>
      <c r="Q196" s="11">
        <v>0</v>
      </c>
      <c r="R196" s="12">
        <v>0</v>
      </c>
      <c r="S196" s="12">
        <v>0</v>
      </c>
      <c r="T196" s="12">
        <v>0</v>
      </c>
    </row>
    <row r="197" spans="1:20" x14ac:dyDescent="0.3">
      <c r="A197" s="10" t="s">
        <v>421</v>
      </c>
      <c r="B197" s="11" t="s">
        <v>422</v>
      </c>
      <c r="C197" s="11"/>
      <c r="D197" s="11" t="s">
        <v>423</v>
      </c>
      <c r="E197" s="11">
        <f xml:space="preserve"> IF($T$113,1,0)</f>
        <v>0</v>
      </c>
      <c r="F197" s="11" t="s">
        <v>424</v>
      </c>
      <c r="G197" s="11">
        <v>0</v>
      </c>
      <c r="H197" s="11">
        <v>0</v>
      </c>
      <c r="I197" s="11">
        <v>0</v>
      </c>
      <c r="J197" s="11">
        <v>0</v>
      </c>
      <c r="K197" s="11">
        <v>0</v>
      </c>
      <c r="L197" s="11">
        <v>0</v>
      </c>
      <c r="M197" s="11">
        <v>0</v>
      </c>
      <c r="N197" s="11">
        <v>0</v>
      </c>
      <c r="O197" s="11">
        <v>0</v>
      </c>
      <c r="P197" s="11">
        <v>0</v>
      </c>
      <c r="Q197" s="11">
        <v>0</v>
      </c>
      <c r="R197" s="12">
        <v>0</v>
      </c>
      <c r="S197" s="12">
        <v>0</v>
      </c>
      <c r="T197" s="12">
        <v>0</v>
      </c>
    </row>
    <row r="198" spans="1:20" x14ac:dyDescent="0.3">
      <c r="A198" s="10" t="s">
        <v>607</v>
      </c>
      <c r="B198" s="11" t="s">
        <v>608</v>
      </c>
      <c r="C198" s="11"/>
      <c r="D198" s="11" t="s">
        <v>609</v>
      </c>
      <c r="E198" s="11">
        <f xml:space="preserve"> IF($T$163,1,0)</f>
        <v>0</v>
      </c>
      <c r="F198" s="11" t="s">
        <v>610</v>
      </c>
      <c r="G198" s="11">
        <v>0</v>
      </c>
      <c r="H198" s="11">
        <v>0</v>
      </c>
      <c r="I198" s="11">
        <v>0</v>
      </c>
      <c r="J198" s="11">
        <v>0</v>
      </c>
      <c r="K198" s="11">
        <v>0</v>
      </c>
      <c r="L198" s="11">
        <v>0</v>
      </c>
      <c r="M198" s="11">
        <v>0</v>
      </c>
      <c r="N198" s="11">
        <v>0</v>
      </c>
      <c r="O198" s="11">
        <v>0</v>
      </c>
      <c r="P198" s="11">
        <v>0</v>
      </c>
      <c r="Q198" s="11">
        <v>0</v>
      </c>
      <c r="R198" s="12">
        <v>0</v>
      </c>
      <c r="S198" s="12">
        <v>0</v>
      </c>
      <c r="T198" s="12">
        <v>0</v>
      </c>
    </row>
    <row r="199" spans="1:20" x14ac:dyDescent="0.3">
      <c r="A199" s="13" t="s">
        <v>557</v>
      </c>
      <c r="B199" s="14" t="s">
        <v>554</v>
      </c>
      <c r="C199" s="14"/>
      <c r="D199" s="14" t="s">
        <v>558</v>
      </c>
      <c r="E199" s="14">
        <f xml:space="preserve"> IF($T$150,1,0)</f>
        <v>1</v>
      </c>
      <c r="F199" s="14" t="s">
        <v>559</v>
      </c>
      <c r="G199" s="14">
        <v>0</v>
      </c>
      <c r="H199" s="14">
        <v>0</v>
      </c>
      <c r="I199" s="14">
        <v>0</v>
      </c>
      <c r="J199" s="14">
        <v>0</v>
      </c>
      <c r="K199" s="14">
        <v>0</v>
      </c>
      <c r="L199" s="14">
        <v>0</v>
      </c>
      <c r="M199" s="14">
        <v>0</v>
      </c>
      <c r="N199" s="14">
        <v>0</v>
      </c>
      <c r="O199" s="14">
        <v>0</v>
      </c>
      <c r="P199" s="14">
        <v>0</v>
      </c>
      <c r="Q199" s="14">
        <v>0</v>
      </c>
      <c r="R199" s="15">
        <v>0</v>
      </c>
      <c r="S199" s="15">
        <v>0</v>
      </c>
      <c r="T199" s="15">
        <v>0</v>
      </c>
    </row>
    <row r="200" spans="1:20" x14ac:dyDescent="0.3">
      <c r="A200" s="10" t="s">
        <v>48</v>
      </c>
      <c r="B200" s="11" t="s">
        <v>45</v>
      </c>
      <c r="C200" s="11"/>
      <c r="D200" s="11" t="s">
        <v>49</v>
      </c>
      <c r="E200" s="11">
        <f xml:space="preserve"> IF($T$15,1,0)</f>
        <v>0</v>
      </c>
      <c r="F200" s="11" t="s">
        <v>50</v>
      </c>
      <c r="G200" s="11">
        <v>0</v>
      </c>
      <c r="H200" s="11">
        <v>0</v>
      </c>
      <c r="I200" s="11">
        <v>0</v>
      </c>
      <c r="J200" s="11">
        <v>0</v>
      </c>
      <c r="K200" s="11">
        <v>0</v>
      </c>
      <c r="L200" s="11">
        <v>0</v>
      </c>
      <c r="M200" s="11">
        <v>0</v>
      </c>
      <c r="N200" s="11">
        <v>0</v>
      </c>
      <c r="O200" s="11">
        <v>0</v>
      </c>
      <c r="P200" s="11">
        <v>0</v>
      </c>
      <c r="Q200" s="11">
        <v>0</v>
      </c>
      <c r="R200" s="12">
        <v>0</v>
      </c>
      <c r="S200" s="12">
        <v>0</v>
      </c>
      <c r="T200" s="12">
        <v>0</v>
      </c>
    </row>
    <row r="201" spans="1:20" x14ac:dyDescent="0.3">
      <c r="A201" s="13" t="s">
        <v>1066</v>
      </c>
      <c r="B201" s="14" t="s">
        <v>1067</v>
      </c>
      <c r="C201" s="14" t="s">
        <v>202</v>
      </c>
      <c r="D201" s="14" t="s">
        <v>1068</v>
      </c>
      <c r="E201" s="14">
        <f xml:space="preserve"> IF($T$284,1,0)</f>
        <v>0</v>
      </c>
      <c r="F201" s="14" t="s">
        <v>1069</v>
      </c>
      <c r="G201" s="14">
        <v>0</v>
      </c>
      <c r="H201" s="14">
        <v>0</v>
      </c>
      <c r="I201" s="14">
        <v>0</v>
      </c>
      <c r="J201" s="14">
        <v>0</v>
      </c>
      <c r="K201" s="14">
        <v>0</v>
      </c>
      <c r="L201" s="14">
        <v>0</v>
      </c>
      <c r="M201" s="14">
        <v>0</v>
      </c>
      <c r="N201" s="14">
        <v>0</v>
      </c>
      <c r="O201" s="14">
        <v>0</v>
      </c>
      <c r="P201" s="14">
        <v>0</v>
      </c>
      <c r="Q201" s="14">
        <v>0</v>
      </c>
      <c r="R201" s="15">
        <v>0</v>
      </c>
      <c r="S201" s="15">
        <v>0</v>
      </c>
      <c r="T201" s="15">
        <v>0</v>
      </c>
    </row>
    <row r="202" spans="1:20" x14ac:dyDescent="0.3">
      <c r="A202" s="10" t="s">
        <v>205</v>
      </c>
      <c r="B202" s="11" t="s">
        <v>206</v>
      </c>
      <c r="C202" s="11"/>
      <c r="D202" s="11" t="s">
        <v>207</v>
      </c>
      <c r="E202" s="11">
        <f xml:space="preserve"> IF($T$57,1,0)</f>
        <v>0</v>
      </c>
      <c r="F202" s="11" t="s">
        <v>208</v>
      </c>
      <c r="G202" s="11">
        <v>0</v>
      </c>
      <c r="H202" s="11">
        <v>0</v>
      </c>
      <c r="I202" s="11">
        <v>0</v>
      </c>
      <c r="J202" s="11">
        <v>0</v>
      </c>
      <c r="K202" s="11">
        <v>0</v>
      </c>
      <c r="L202" s="11">
        <v>0</v>
      </c>
      <c r="M202" s="11">
        <v>0</v>
      </c>
      <c r="N202" s="11">
        <v>0</v>
      </c>
      <c r="O202" s="11">
        <v>0</v>
      </c>
      <c r="P202" s="11">
        <v>0</v>
      </c>
      <c r="Q202" s="11">
        <v>0</v>
      </c>
      <c r="R202" s="12">
        <v>0</v>
      </c>
      <c r="S202" s="12">
        <v>0</v>
      </c>
      <c r="T202" s="12">
        <v>0</v>
      </c>
    </row>
    <row r="203" spans="1:20" x14ac:dyDescent="0.3">
      <c r="A203" s="10" t="s">
        <v>560</v>
      </c>
      <c r="B203" s="11" t="s">
        <v>561</v>
      </c>
      <c r="C203" s="11"/>
      <c r="D203" s="11" t="s">
        <v>562</v>
      </c>
      <c r="E203" s="11">
        <f xml:space="preserve"> IF($T$151,1,0)</f>
        <v>0</v>
      </c>
      <c r="F203" s="11" t="s">
        <v>563</v>
      </c>
      <c r="G203" s="11">
        <v>0</v>
      </c>
      <c r="H203" s="11">
        <v>0</v>
      </c>
      <c r="I203" s="11">
        <v>0</v>
      </c>
      <c r="J203" s="11">
        <v>0</v>
      </c>
      <c r="K203" s="11">
        <v>0</v>
      </c>
      <c r="L203" s="11">
        <v>0</v>
      </c>
      <c r="M203" s="11">
        <v>0</v>
      </c>
      <c r="N203" s="11">
        <v>0</v>
      </c>
      <c r="O203" s="11">
        <v>0</v>
      </c>
      <c r="P203" s="11">
        <v>0</v>
      </c>
      <c r="Q203" s="11">
        <v>0</v>
      </c>
      <c r="R203" s="12">
        <v>0</v>
      </c>
      <c r="S203" s="12">
        <v>0</v>
      </c>
      <c r="T203" s="12">
        <v>0</v>
      </c>
    </row>
    <row r="204" spans="1:20" x14ac:dyDescent="0.3">
      <c r="A204" s="13" t="s">
        <v>209</v>
      </c>
      <c r="B204" s="14" t="s">
        <v>210</v>
      </c>
      <c r="C204" s="14"/>
      <c r="D204" s="14" t="s">
        <v>211</v>
      </c>
      <c r="E204" s="14">
        <f xml:space="preserve"> IF($T$58,1,0)</f>
        <v>0</v>
      </c>
      <c r="F204" s="14" t="s">
        <v>212</v>
      </c>
      <c r="G204" s="14">
        <v>0</v>
      </c>
      <c r="H204" s="14">
        <v>0</v>
      </c>
      <c r="I204" s="14">
        <v>0</v>
      </c>
      <c r="J204" s="14">
        <v>0</v>
      </c>
      <c r="K204" s="14">
        <v>0</v>
      </c>
      <c r="L204" s="14">
        <v>0</v>
      </c>
      <c r="M204" s="14">
        <v>0</v>
      </c>
      <c r="N204" s="14">
        <v>0</v>
      </c>
      <c r="O204" s="14">
        <v>0</v>
      </c>
      <c r="P204" s="14">
        <v>0</v>
      </c>
      <c r="Q204" s="14">
        <v>0</v>
      </c>
      <c r="R204" s="15">
        <v>0</v>
      </c>
      <c r="S204" s="15">
        <v>0</v>
      </c>
      <c r="T204" s="15">
        <v>0</v>
      </c>
    </row>
    <row r="205" spans="1:20" x14ac:dyDescent="0.3">
      <c r="A205" s="10" t="s">
        <v>1225</v>
      </c>
      <c r="B205" s="11" t="s">
        <v>1226</v>
      </c>
      <c r="C205" s="11" t="s">
        <v>34</v>
      </c>
      <c r="D205" s="11" t="s">
        <v>1227</v>
      </c>
      <c r="E205" s="11">
        <f xml:space="preserve"> IF($T$329,1,0)</f>
        <v>0</v>
      </c>
      <c r="F205" s="11" t="s">
        <v>1228</v>
      </c>
      <c r="G205" s="11">
        <v>0</v>
      </c>
      <c r="H205" s="11">
        <v>0</v>
      </c>
      <c r="I205" s="11">
        <v>0</v>
      </c>
      <c r="J205" s="11">
        <v>0</v>
      </c>
      <c r="K205" s="11">
        <v>0</v>
      </c>
      <c r="L205" s="11">
        <v>0</v>
      </c>
      <c r="M205" s="11">
        <v>0</v>
      </c>
      <c r="N205" s="11">
        <v>0</v>
      </c>
      <c r="O205" s="11">
        <v>0</v>
      </c>
      <c r="P205" s="11">
        <v>0</v>
      </c>
      <c r="Q205" s="11">
        <v>0</v>
      </c>
      <c r="R205" s="12">
        <v>0</v>
      </c>
      <c r="S205" s="12">
        <v>0</v>
      </c>
      <c r="T205" s="12">
        <v>0</v>
      </c>
    </row>
    <row r="206" spans="1:20" x14ac:dyDescent="0.3">
      <c r="A206" s="10" t="s">
        <v>600</v>
      </c>
      <c r="B206" s="11" t="s">
        <v>601</v>
      </c>
      <c r="C206" s="11"/>
      <c r="D206" s="11" t="s">
        <v>70</v>
      </c>
      <c r="E206" s="11">
        <f xml:space="preserve"> IF($T$161,1,0)</f>
        <v>0</v>
      </c>
      <c r="F206" s="11" t="s">
        <v>602</v>
      </c>
      <c r="G206" s="11">
        <v>0</v>
      </c>
      <c r="H206" s="11">
        <v>0</v>
      </c>
      <c r="I206" s="11">
        <v>0</v>
      </c>
      <c r="J206" s="11">
        <v>0</v>
      </c>
      <c r="K206" s="11">
        <v>0</v>
      </c>
      <c r="L206" s="11">
        <v>0</v>
      </c>
      <c r="M206" s="11">
        <v>0</v>
      </c>
      <c r="N206" s="11">
        <v>0</v>
      </c>
      <c r="O206" s="11">
        <v>0</v>
      </c>
      <c r="P206" s="11">
        <v>0</v>
      </c>
      <c r="Q206" s="11">
        <v>0</v>
      </c>
      <c r="R206" s="12">
        <v>0</v>
      </c>
      <c r="S206" s="12">
        <v>0</v>
      </c>
      <c r="T206" s="12">
        <v>0</v>
      </c>
    </row>
    <row r="207" spans="1:20" x14ac:dyDescent="0.3">
      <c r="A207" s="10" t="s">
        <v>493</v>
      </c>
      <c r="B207" s="11" t="s">
        <v>494</v>
      </c>
      <c r="C207" s="11" t="s">
        <v>34</v>
      </c>
      <c r="D207" s="11" t="s">
        <v>495</v>
      </c>
      <c r="E207" s="11">
        <f xml:space="preserve"> IF($T$133,1,0)</f>
        <v>0</v>
      </c>
      <c r="F207" s="11" t="s">
        <v>496</v>
      </c>
      <c r="G207" s="11">
        <v>0</v>
      </c>
      <c r="H207" s="11">
        <v>0</v>
      </c>
      <c r="I207" s="11">
        <v>0</v>
      </c>
      <c r="J207" s="11">
        <v>0</v>
      </c>
      <c r="K207" s="11">
        <v>0</v>
      </c>
      <c r="L207" s="11">
        <v>0</v>
      </c>
      <c r="M207" s="11">
        <v>0</v>
      </c>
      <c r="N207" s="11">
        <v>0</v>
      </c>
      <c r="O207" s="11">
        <v>0</v>
      </c>
      <c r="P207" s="11">
        <v>0</v>
      </c>
      <c r="Q207" s="11">
        <v>0</v>
      </c>
      <c r="R207" s="12">
        <v>0</v>
      </c>
      <c r="S207" s="12">
        <v>0</v>
      </c>
      <c r="T207" s="12">
        <v>0</v>
      </c>
    </row>
    <row r="208" spans="1:20" x14ac:dyDescent="0.3">
      <c r="A208" s="10" t="s">
        <v>1196</v>
      </c>
      <c r="B208" s="11" t="s">
        <v>1197</v>
      </c>
      <c r="C208" s="11"/>
      <c r="D208" s="11" t="s">
        <v>1198</v>
      </c>
      <c r="E208" s="11">
        <f xml:space="preserve"> IF($T$321,1,0)</f>
        <v>0</v>
      </c>
      <c r="F208" s="11" t="s">
        <v>1199</v>
      </c>
      <c r="G208" s="11">
        <v>0</v>
      </c>
      <c r="H208" s="11">
        <v>0</v>
      </c>
      <c r="I208" s="11">
        <v>0</v>
      </c>
      <c r="J208" s="11">
        <v>0</v>
      </c>
      <c r="K208" s="11">
        <v>0</v>
      </c>
      <c r="L208" s="11">
        <v>0</v>
      </c>
      <c r="M208" s="11">
        <v>0</v>
      </c>
      <c r="N208" s="11">
        <v>0</v>
      </c>
      <c r="O208" s="11">
        <v>0</v>
      </c>
      <c r="P208" s="11">
        <v>0</v>
      </c>
      <c r="Q208" s="11">
        <v>0</v>
      </c>
      <c r="R208" s="12">
        <v>0</v>
      </c>
      <c r="S208" s="12">
        <v>0</v>
      </c>
      <c r="T208" s="12">
        <v>0</v>
      </c>
    </row>
    <row r="209" spans="1:20" x14ac:dyDescent="0.3">
      <c r="A209" s="10" t="s">
        <v>124</v>
      </c>
      <c r="B209" s="11" t="s">
        <v>125</v>
      </c>
      <c r="C209" s="11"/>
      <c r="D209" s="11" t="s">
        <v>126</v>
      </c>
      <c r="E209" s="11">
        <f xml:space="preserve"> IF($T$35,1,0)</f>
        <v>1</v>
      </c>
      <c r="F209" s="11" t="s">
        <v>127</v>
      </c>
      <c r="G209" s="11">
        <v>0</v>
      </c>
      <c r="H209" s="11">
        <v>0</v>
      </c>
      <c r="I209" s="11">
        <v>0</v>
      </c>
      <c r="J209" s="11">
        <v>0</v>
      </c>
      <c r="K209" s="11">
        <v>0</v>
      </c>
      <c r="L209" s="11">
        <v>0</v>
      </c>
      <c r="M209" s="11">
        <v>0</v>
      </c>
      <c r="N209" s="11">
        <v>0</v>
      </c>
      <c r="O209" s="11">
        <v>0</v>
      </c>
      <c r="P209" s="11">
        <v>0</v>
      </c>
      <c r="Q209" s="11">
        <v>0</v>
      </c>
      <c r="R209" s="12">
        <v>0</v>
      </c>
      <c r="S209" s="12">
        <v>0</v>
      </c>
      <c r="T209" s="12">
        <v>0</v>
      </c>
    </row>
    <row r="210" spans="1:20" x14ac:dyDescent="0.3">
      <c r="A210" s="13" t="s">
        <v>754</v>
      </c>
      <c r="B210" s="14" t="s">
        <v>755</v>
      </c>
      <c r="C210" s="14"/>
      <c r="D210" s="14" t="s">
        <v>756</v>
      </c>
      <c r="E210" s="14">
        <f xml:space="preserve"> IF($T$202,1,0)</f>
        <v>0</v>
      </c>
      <c r="F210" s="14" t="s">
        <v>757</v>
      </c>
      <c r="G210" s="14">
        <v>0</v>
      </c>
      <c r="H210" s="14">
        <v>0</v>
      </c>
      <c r="I210" s="14">
        <v>0</v>
      </c>
      <c r="J210" s="14">
        <v>0</v>
      </c>
      <c r="K210" s="14">
        <v>0</v>
      </c>
      <c r="L210" s="14">
        <v>0</v>
      </c>
      <c r="M210" s="14">
        <v>0</v>
      </c>
      <c r="N210" s="14">
        <v>0</v>
      </c>
      <c r="O210" s="14">
        <v>0</v>
      </c>
      <c r="P210" s="14">
        <v>0</v>
      </c>
      <c r="Q210" s="14">
        <v>0</v>
      </c>
      <c r="R210" s="15">
        <v>0</v>
      </c>
      <c r="S210" s="15">
        <v>0</v>
      </c>
      <c r="T210" s="15">
        <v>0</v>
      </c>
    </row>
    <row r="211" spans="1:20" x14ac:dyDescent="0.3">
      <c r="A211" s="13" t="s">
        <v>106</v>
      </c>
      <c r="B211" s="14" t="s">
        <v>103</v>
      </c>
      <c r="C211" s="14"/>
      <c r="D211" s="14" t="s">
        <v>107</v>
      </c>
      <c r="E211" s="14">
        <f xml:space="preserve"> IF($T$30,1,0)</f>
        <v>0</v>
      </c>
      <c r="F211" s="14" t="s">
        <v>108</v>
      </c>
      <c r="G211" s="14">
        <v>0</v>
      </c>
      <c r="H211" s="14">
        <v>0</v>
      </c>
      <c r="I211" s="14">
        <v>0</v>
      </c>
      <c r="J211" s="14">
        <v>0</v>
      </c>
      <c r="K211" s="14">
        <v>0</v>
      </c>
      <c r="L211" s="14">
        <v>0</v>
      </c>
      <c r="M211" s="14">
        <v>0</v>
      </c>
      <c r="N211" s="14">
        <v>0</v>
      </c>
      <c r="O211" s="14">
        <v>0</v>
      </c>
      <c r="P211" s="14">
        <v>0</v>
      </c>
      <c r="Q211" s="14">
        <v>0</v>
      </c>
      <c r="R211" s="15">
        <v>0</v>
      </c>
      <c r="S211" s="15">
        <v>0</v>
      </c>
      <c r="T211" s="15">
        <v>0</v>
      </c>
    </row>
    <row r="212" spans="1:20" x14ac:dyDescent="0.3">
      <c r="A212" s="13" t="s">
        <v>144</v>
      </c>
      <c r="B212" s="14" t="s">
        <v>145</v>
      </c>
      <c r="C212" s="14"/>
      <c r="D212" s="14" t="s">
        <v>146</v>
      </c>
      <c r="E212" s="14">
        <f xml:space="preserve"> IF($T$40,1,0)</f>
        <v>0</v>
      </c>
      <c r="F212" s="14" t="s">
        <v>147</v>
      </c>
      <c r="G212" s="14">
        <v>0</v>
      </c>
      <c r="H212" s="14">
        <v>0</v>
      </c>
      <c r="I212" s="14">
        <v>0</v>
      </c>
      <c r="J212" s="14">
        <v>0</v>
      </c>
      <c r="K212" s="14">
        <v>0</v>
      </c>
      <c r="L212" s="14">
        <v>0</v>
      </c>
      <c r="M212" s="14">
        <v>0</v>
      </c>
      <c r="N212" s="14">
        <v>0</v>
      </c>
      <c r="O212" s="14">
        <v>0</v>
      </c>
      <c r="P212" s="14">
        <v>0</v>
      </c>
      <c r="Q212" s="14">
        <v>0</v>
      </c>
      <c r="R212" s="15">
        <v>0</v>
      </c>
      <c r="S212" s="15">
        <v>0</v>
      </c>
      <c r="T212" s="15">
        <v>0</v>
      </c>
    </row>
    <row r="213" spans="1:20" x14ac:dyDescent="0.3">
      <c r="A213" s="13" t="s">
        <v>481</v>
      </c>
      <c r="B213" s="14" t="s">
        <v>482</v>
      </c>
      <c r="C213" s="14"/>
      <c r="D213" s="14" t="s">
        <v>483</v>
      </c>
      <c r="E213" s="14">
        <f xml:space="preserve"> IF($T$130,1,0)</f>
        <v>0</v>
      </c>
      <c r="F213" s="14" t="s">
        <v>484</v>
      </c>
      <c r="G213" s="14">
        <v>0</v>
      </c>
      <c r="H213" s="14">
        <v>0</v>
      </c>
      <c r="I213" s="14">
        <v>0</v>
      </c>
      <c r="J213" s="14">
        <v>0</v>
      </c>
      <c r="K213" s="14">
        <v>0</v>
      </c>
      <c r="L213" s="14">
        <v>0</v>
      </c>
      <c r="M213" s="14">
        <v>0</v>
      </c>
      <c r="N213" s="14">
        <v>0</v>
      </c>
      <c r="O213" s="14">
        <v>0</v>
      </c>
      <c r="P213" s="14">
        <v>0</v>
      </c>
      <c r="Q213" s="14">
        <v>0</v>
      </c>
      <c r="R213" s="15">
        <v>0</v>
      </c>
      <c r="S213" s="15">
        <v>0</v>
      </c>
      <c r="T213" s="15">
        <v>0</v>
      </c>
    </row>
    <row r="214" spans="1:20" x14ac:dyDescent="0.3">
      <c r="A214" s="10" t="s">
        <v>1152</v>
      </c>
      <c r="B214" s="11" t="s">
        <v>1142</v>
      </c>
      <c r="C214" s="11"/>
      <c r="D214" s="11" t="s">
        <v>1153</v>
      </c>
      <c r="E214" s="11">
        <f xml:space="preserve"> IF($T$309,1,0)</f>
        <v>0</v>
      </c>
      <c r="F214" s="11" t="s">
        <v>1154</v>
      </c>
      <c r="G214" s="11">
        <v>0</v>
      </c>
      <c r="H214" s="11">
        <v>0</v>
      </c>
      <c r="I214" s="11">
        <v>0</v>
      </c>
      <c r="J214" s="11">
        <v>0</v>
      </c>
      <c r="K214" s="11">
        <v>0</v>
      </c>
      <c r="L214" s="11">
        <v>0</v>
      </c>
      <c r="M214" s="11">
        <v>0</v>
      </c>
      <c r="N214" s="11">
        <v>0</v>
      </c>
      <c r="O214" s="11">
        <v>0</v>
      </c>
      <c r="P214" s="11">
        <v>0</v>
      </c>
      <c r="Q214" s="11">
        <v>0</v>
      </c>
      <c r="R214" s="12">
        <v>0</v>
      </c>
      <c r="S214" s="12">
        <v>0</v>
      </c>
      <c r="T214" s="12">
        <v>0</v>
      </c>
    </row>
    <row r="215" spans="1:20" x14ac:dyDescent="0.3">
      <c r="A215" s="13" t="s">
        <v>696</v>
      </c>
      <c r="B215" s="14" t="s">
        <v>697</v>
      </c>
      <c r="C215" s="14"/>
      <c r="D215" s="14" t="s">
        <v>698</v>
      </c>
      <c r="E215" s="14">
        <f xml:space="preserve"> IF($T$186,1,0)</f>
        <v>0</v>
      </c>
      <c r="F215" s="14" t="s">
        <v>699</v>
      </c>
      <c r="G215" s="14">
        <v>0</v>
      </c>
      <c r="H215" s="14">
        <v>0</v>
      </c>
      <c r="I215" s="14">
        <v>0</v>
      </c>
      <c r="J215" s="14">
        <v>0</v>
      </c>
      <c r="K215" s="14">
        <v>0</v>
      </c>
      <c r="L215" s="14">
        <v>0</v>
      </c>
      <c r="M215" s="14">
        <v>0</v>
      </c>
      <c r="N215" s="14">
        <v>0</v>
      </c>
      <c r="O215" s="14">
        <v>0</v>
      </c>
      <c r="P215" s="14">
        <v>0</v>
      </c>
      <c r="Q215" s="14">
        <v>0</v>
      </c>
      <c r="R215" s="15">
        <v>0</v>
      </c>
      <c r="S215" s="15">
        <v>0</v>
      </c>
      <c r="T215" s="15">
        <v>0</v>
      </c>
    </row>
    <row r="216" spans="1:20" x14ac:dyDescent="0.3">
      <c r="A216" s="13" t="s">
        <v>1029</v>
      </c>
      <c r="B216" s="14" t="s">
        <v>1030</v>
      </c>
      <c r="C216" s="14" t="s">
        <v>34</v>
      </c>
      <c r="D216" s="14" t="s">
        <v>1031</v>
      </c>
      <c r="E216" s="14">
        <f xml:space="preserve"> IF($T$274,1,0)</f>
        <v>0</v>
      </c>
      <c r="F216" s="14" t="s">
        <v>1032</v>
      </c>
      <c r="G216" s="14">
        <v>0</v>
      </c>
      <c r="H216" s="14">
        <v>0</v>
      </c>
      <c r="I216" s="14">
        <v>0</v>
      </c>
      <c r="J216" s="14">
        <v>0</v>
      </c>
      <c r="K216" s="14">
        <v>0</v>
      </c>
      <c r="L216" s="14">
        <v>0</v>
      </c>
      <c r="M216" s="14">
        <v>0</v>
      </c>
      <c r="N216" s="14">
        <v>0</v>
      </c>
      <c r="O216" s="14">
        <v>0</v>
      </c>
      <c r="P216" s="14">
        <v>0</v>
      </c>
      <c r="Q216" s="14">
        <v>0</v>
      </c>
      <c r="R216" s="15">
        <v>0</v>
      </c>
      <c r="S216" s="15">
        <v>0</v>
      </c>
      <c r="T216" s="15">
        <v>0</v>
      </c>
    </row>
    <row r="217" spans="1:20" x14ac:dyDescent="0.3">
      <c r="A217" s="10" t="s">
        <v>94</v>
      </c>
      <c r="B217" s="11" t="s">
        <v>95</v>
      </c>
      <c r="C217" s="11"/>
      <c r="D217" s="11" t="s">
        <v>96</v>
      </c>
      <c r="E217" s="11">
        <f xml:space="preserve"> IF($T$27,1,0)</f>
        <v>0</v>
      </c>
      <c r="F217" s="11" t="s">
        <v>97</v>
      </c>
      <c r="G217" s="11">
        <v>0</v>
      </c>
      <c r="H217" s="11">
        <v>0</v>
      </c>
      <c r="I217" s="11">
        <v>0</v>
      </c>
      <c r="J217" s="11">
        <v>0</v>
      </c>
      <c r="K217" s="11">
        <v>0</v>
      </c>
      <c r="L217" s="11">
        <v>0</v>
      </c>
      <c r="M217" s="11">
        <v>0</v>
      </c>
      <c r="N217" s="11">
        <v>0</v>
      </c>
      <c r="O217" s="11">
        <v>0</v>
      </c>
      <c r="P217" s="11">
        <v>0</v>
      </c>
      <c r="Q217" s="11">
        <v>0</v>
      </c>
      <c r="R217" s="12">
        <v>0</v>
      </c>
      <c r="S217" s="12">
        <v>0</v>
      </c>
      <c r="T217" s="12">
        <v>0</v>
      </c>
    </row>
    <row r="218" spans="1:20" x14ac:dyDescent="0.3">
      <c r="A218" s="10" t="s">
        <v>1025</v>
      </c>
      <c r="B218" s="11" t="s">
        <v>1026</v>
      </c>
      <c r="C218" s="11"/>
      <c r="D218" s="11" t="s">
        <v>1027</v>
      </c>
      <c r="E218" s="11">
        <f xml:space="preserve"> IF($T$273,1,0)</f>
        <v>0</v>
      </c>
      <c r="F218" s="11" t="s">
        <v>1028</v>
      </c>
      <c r="G218" s="11">
        <v>0</v>
      </c>
      <c r="H218" s="11">
        <v>0</v>
      </c>
      <c r="I218" s="11">
        <v>0</v>
      </c>
      <c r="J218" s="11">
        <v>0</v>
      </c>
      <c r="K218" s="11">
        <v>0</v>
      </c>
      <c r="L218" s="11">
        <v>0</v>
      </c>
      <c r="M218" s="11">
        <v>0</v>
      </c>
      <c r="N218" s="11">
        <v>0</v>
      </c>
      <c r="O218" s="11">
        <v>0</v>
      </c>
      <c r="P218" s="11">
        <v>0</v>
      </c>
      <c r="Q218" s="11">
        <v>0</v>
      </c>
      <c r="R218" s="12">
        <v>0</v>
      </c>
      <c r="S218" s="12">
        <v>0</v>
      </c>
      <c r="T218" s="12">
        <v>0</v>
      </c>
    </row>
    <row r="219" spans="1:20" x14ac:dyDescent="0.3">
      <c r="A219" s="13" t="s">
        <v>641</v>
      </c>
      <c r="B219" s="14" t="s">
        <v>642</v>
      </c>
      <c r="C219" s="14"/>
      <c r="D219" s="14" t="s">
        <v>643</v>
      </c>
      <c r="E219" s="14">
        <f xml:space="preserve"> IF($T$172,1,0)</f>
        <v>0</v>
      </c>
      <c r="F219" s="14" t="s">
        <v>644</v>
      </c>
      <c r="G219" s="14">
        <v>0</v>
      </c>
      <c r="H219" s="14">
        <v>0</v>
      </c>
      <c r="I219" s="14">
        <v>0</v>
      </c>
      <c r="J219" s="14">
        <v>0</v>
      </c>
      <c r="K219" s="14">
        <v>0</v>
      </c>
      <c r="L219" s="14">
        <v>0</v>
      </c>
      <c r="M219" s="14">
        <v>0</v>
      </c>
      <c r="N219" s="14">
        <v>0</v>
      </c>
      <c r="O219" s="14">
        <v>0</v>
      </c>
      <c r="P219" s="14">
        <v>0</v>
      </c>
      <c r="Q219" s="14">
        <v>0</v>
      </c>
      <c r="R219" s="15">
        <v>0</v>
      </c>
      <c r="S219" s="15">
        <v>0</v>
      </c>
      <c r="T219" s="15">
        <v>0</v>
      </c>
    </row>
    <row r="220" spans="1:20" x14ac:dyDescent="0.3">
      <c r="A220" s="13" t="s">
        <v>437</v>
      </c>
      <c r="B220" s="14" t="s">
        <v>434</v>
      </c>
      <c r="C220" s="14"/>
      <c r="D220" s="14" t="s">
        <v>438</v>
      </c>
      <c r="E220" s="14">
        <f xml:space="preserve"> IF($T$118,1,0)</f>
        <v>0</v>
      </c>
      <c r="F220" s="14" t="s">
        <v>439</v>
      </c>
      <c r="G220" s="14">
        <v>0</v>
      </c>
      <c r="H220" s="14">
        <v>0</v>
      </c>
      <c r="I220" s="14">
        <v>0</v>
      </c>
      <c r="J220" s="14">
        <v>0</v>
      </c>
      <c r="K220" s="14">
        <v>0</v>
      </c>
      <c r="L220" s="14">
        <v>0</v>
      </c>
      <c r="M220" s="14">
        <v>0</v>
      </c>
      <c r="N220" s="14">
        <v>0</v>
      </c>
      <c r="O220" s="14">
        <v>0</v>
      </c>
      <c r="P220" s="14">
        <v>0</v>
      </c>
      <c r="Q220" s="14">
        <v>0</v>
      </c>
      <c r="R220" s="15">
        <v>0</v>
      </c>
      <c r="S220" s="15">
        <v>0</v>
      </c>
      <c r="T220" s="15">
        <v>0</v>
      </c>
    </row>
    <row r="221" spans="1:20" x14ac:dyDescent="0.3">
      <c r="A221" s="13" t="s">
        <v>511</v>
      </c>
      <c r="B221" s="14" t="s">
        <v>512</v>
      </c>
      <c r="C221" s="14" t="s">
        <v>513</v>
      </c>
      <c r="D221" s="14" t="s">
        <v>514</v>
      </c>
      <c r="E221" s="14">
        <f xml:space="preserve"> IF($T$138,1,0)</f>
        <v>0</v>
      </c>
      <c r="F221" s="14" t="s">
        <v>515</v>
      </c>
      <c r="G221" s="14">
        <v>6</v>
      </c>
      <c r="H221" s="14">
        <v>4</v>
      </c>
      <c r="I221" s="14">
        <v>2</v>
      </c>
      <c r="J221" s="14">
        <v>1</v>
      </c>
      <c r="K221" s="14">
        <v>0</v>
      </c>
      <c r="L221" s="14">
        <v>0</v>
      </c>
      <c r="M221" s="14">
        <v>2</v>
      </c>
      <c r="N221" s="14">
        <v>0</v>
      </c>
      <c r="O221" s="14">
        <v>0</v>
      </c>
      <c r="P221" s="14">
        <v>0</v>
      </c>
      <c r="Q221" s="14">
        <v>0</v>
      </c>
      <c r="R221" s="15">
        <v>25.4</v>
      </c>
      <c r="S221" s="15">
        <v>0</v>
      </c>
      <c r="T221" s="15">
        <v>25.4</v>
      </c>
    </row>
    <row r="222" spans="1:20" x14ac:dyDescent="0.3">
      <c r="A222" s="13" t="s">
        <v>807</v>
      </c>
      <c r="B222" s="14" t="s">
        <v>808</v>
      </c>
      <c r="C222" s="14"/>
      <c r="D222" s="14" t="s">
        <v>809</v>
      </c>
      <c r="E222" s="14">
        <f xml:space="preserve"> IF($T$216,1,0)</f>
        <v>0</v>
      </c>
      <c r="F222" s="14" t="s">
        <v>810</v>
      </c>
      <c r="G222" s="14">
        <v>0</v>
      </c>
      <c r="H222" s="14">
        <v>0</v>
      </c>
      <c r="I222" s="14">
        <v>0</v>
      </c>
      <c r="J222" s="14">
        <v>0</v>
      </c>
      <c r="K222" s="14">
        <v>0</v>
      </c>
      <c r="L222" s="14">
        <v>0</v>
      </c>
      <c r="M222" s="14">
        <v>0</v>
      </c>
      <c r="N222" s="14">
        <v>0</v>
      </c>
      <c r="O222" s="14">
        <v>0</v>
      </c>
      <c r="P222" s="14">
        <v>0</v>
      </c>
      <c r="Q222" s="14">
        <v>0</v>
      </c>
      <c r="R222" s="15">
        <v>0</v>
      </c>
      <c r="S222" s="15">
        <v>0</v>
      </c>
      <c r="T222" s="15">
        <v>0</v>
      </c>
    </row>
    <row r="223" spans="1:20" x14ac:dyDescent="0.3">
      <c r="A223" s="10" t="s">
        <v>405</v>
      </c>
      <c r="B223" s="11" t="s">
        <v>406</v>
      </c>
      <c r="C223" s="11"/>
      <c r="D223" s="11" t="s">
        <v>407</v>
      </c>
      <c r="E223" s="11">
        <f xml:space="preserve"> IF($T$109,1,0)</f>
        <v>0</v>
      </c>
      <c r="F223" s="11" t="s">
        <v>408</v>
      </c>
      <c r="G223" s="11">
        <v>0</v>
      </c>
      <c r="H223" s="11">
        <v>0</v>
      </c>
      <c r="I223" s="11">
        <v>0</v>
      </c>
      <c r="J223" s="11">
        <v>0</v>
      </c>
      <c r="K223" s="11">
        <v>0</v>
      </c>
      <c r="L223" s="11">
        <v>0</v>
      </c>
      <c r="M223" s="11">
        <v>0</v>
      </c>
      <c r="N223" s="11">
        <v>0</v>
      </c>
      <c r="O223" s="11">
        <v>0</v>
      </c>
      <c r="P223" s="11">
        <v>0</v>
      </c>
      <c r="Q223" s="11">
        <v>0</v>
      </c>
      <c r="R223" s="12">
        <v>0</v>
      </c>
      <c r="S223" s="12">
        <v>0</v>
      </c>
      <c r="T223" s="12">
        <v>0</v>
      </c>
    </row>
    <row r="224" spans="1:20" x14ac:dyDescent="0.3">
      <c r="A224" s="13" t="s">
        <v>901</v>
      </c>
      <c r="B224" s="14" t="s">
        <v>902</v>
      </c>
      <c r="C224" s="14"/>
      <c r="D224" s="14" t="s">
        <v>903</v>
      </c>
      <c r="E224" s="14">
        <f xml:space="preserve"> IF($T$240,1,0)</f>
        <v>0</v>
      </c>
      <c r="F224" s="14" t="s">
        <v>904</v>
      </c>
      <c r="G224" s="14">
        <v>0</v>
      </c>
      <c r="H224" s="14">
        <v>0</v>
      </c>
      <c r="I224" s="14">
        <v>0</v>
      </c>
      <c r="J224" s="14">
        <v>0</v>
      </c>
      <c r="K224" s="14">
        <v>0</v>
      </c>
      <c r="L224" s="14">
        <v>0</v>
      </c>
      <c r="M224" s="14">
        <v>0</v>
      </c>
      <c r="N224" s="14">
        <v>0</v>
      </c>
      <c r="O224" s="14">
        <v>0</v>
      </c>
      <c r="P224" s="14">
        <v>0</v>
      </c>
      <c r="Q224" s="14">
        <v>0</v>
      </c>
      <c r="R224" s="15">
        <v>0</v>
      </c>
      <c r="S224" s="15">
        <v>0</v>
      </c>
      <c r="T224" s="15">
        <v>0</v>
      </c>
    </row>
    <row r="225" spans="1:20" x14ac:dyDescent="0.3">
      <c r="A225" s="13" t="s">
        <v>611</v>
      </c>
      <c r="B225" s="14" t="s">
        <v>612</v>
      </c>
      <c r="C225" s="14"/>
      <c r="D225" s="14" t="s">
        <v>613</v>
      </c>
      <c r="E225" s="14">
        <f xml:space="preserve"> IF($T$164,1,0)</f>
        <v>0</v>
      </c>
      <c r="F225" s="14" t="s">
        <v>614</v>
      </c>
      <c r="G225" s="14">
        <v>0</v>
      </c>
      <c r="H225" s="14">
        <v>0</v>
      </c>
      <c r="I225" s="14">
        <v>0</v>
      </c>
      <c r="J225" s="14">
        <v>0</v>
      </c>
      <c r="K225" s="14">
        <v>0</v>
      </c>
      <c r="L225" s="14">
        <v>0</v>
      </c>
      <c r="M225" s="14">
        <v>0</v>
      </c>
      <c r="N225" s="14">
        <v>0</v>
      </c>
      <c r="O225" s="14">
        <v>0</v>
      </c>
      <c r="P225" s="14">
        <v>0</v>
      </c>
      <c r="Q225" s="14">
        <v>0</v>
      </c>
      <c r="R225" s="15">
        <v>0</v>
      </c>
      <c r="S225" s="15">
        <v>0</v>
      </c>
      <c r="T225" s="15">
        <v>0</v>
      </c>
    </row>
    <row r="226" spans="1:20" x14ac:dyDescent="0.3">
      <c r="A226" s="13" t="s">
        <v>246</v>
      </c>
      <c r="B226" s="14" t="s">
        <v>242</v>
      </c>
      <c r="C226" s="14"/>
      <c r="D226" s="14" t="s">
        <v>247</v>
      </c>
      <c r="E226" s="14">
        <f xml:space="preserve"> IF($T$68,1,0)</f>
        <v>1</v>
      </c>
      <c r="F226" s="14" t="s">
        <v>248</v>
      </c>
      <c r="G226" s="14">
        <v>0</v>
      </c>
      <c r="H226" s="14">
        <v>0</v>
      </c>
      <c r="I226" s="14">
        <v>0</v>
      </c>
      <c r="J226" s="14">
        <v>0</v>
      </c>
      <c r="K226" s="14">
        <v>0</v>
      </c>
      <c r="L226" s="14">
        <v>0</v>
      </c>
      <c r="M226" s="14">
        <v>0</v>
      </c>
      <c r="N226" s="14">
        <v>0</v>
      </c>
      <c r="O226" s="14">
        <v>0</v>
      </c>
      <c r="P226" s="14">
        <v>0</v>
      </c>
      <c r="Q226" s="14">
        <v>0</v>
      </c>
      <c r="R226" s="15">
        <v>0</v>
      </c>
      <c r="S226" s="15">
        <v>0</v>
      </c>
      <c r="T226" s="15">
        <v>0</v>
      </c>
    </row>
    <row r="227" spans="1:20" x14ac:dyDescent="0.3">
      <c r="A227" s="13" t="s">
        <v>460</v>
      </c>
      <c r="B227" s="14" t="s">
        <v>457</v>
      </c>
      <c r="C227" s="14"/>
      <c r="D227" s="14" t="s">
        <v>461</v>
      </c>
      <c r="E227" s="14">
        <f xml:space="preserve"> IF($T$124,1,0)</f>
        <v>0</v>
      </c>
      <c r="F227" s="14" t="s">
        <v>462</v>
      </c>
      <c r="G227" s="14">
        <v>0</v>
      </c>
      <c r="H227" s="14">
        <v>0</v>
      </c>
      <c r="I227" s="14">
        <v>0</v>
      </c>
      <c r="J227" s="14">
        <v>0</v>
      </c>
      <c r="K227" s="14">
        <v>0</v>
      </c>
      <c r="L227" s="14">
        <v>0</v>
      </c>
      <c r="M227" s="14">
        <v>0</v>
      </c>
      <c r="N227" s="14">
        <v>0</v>
      </c>
      <c r="O227" s="14">
        <v>0</v>
      </c>
      <c r="P227" s="14">
        <v>0</v>
      </c>
      <c r="Q227" s="14">
        <v>0</v>
      </c>
      <c r="R227" s="15">
        <v>0</v>
      </c>
      <c r="S227" s="15">
        <v>0</v>
      </c>
      <c r="T227" s="15">
        <v>0</v>
      </c>
    </row>
    <row r="228" spans="1:20" x14ac:dyDescent="0.3">
      <c r="A228" s="13" t="s">
        <v>1208</v>
      </c>
      <c r="B228" s="14" t="s">
        <v>1205</v>
      </c>
      <c r="C228" s="14"/>
      <c r="D228" s="14" t="s">
        <v>1209</v>
      </c>
      <c r="E228" s="14">
        <f xml:space="preserve"> IF($T$324,1,0)</f>
        <v>0</v>
      </c>
      <c r="F228" s="14" t="s">
        <v>1210</v>
      </c>
      <c r="G228" s="14">
        <v>0</v>
      </c>
      <c r="H228" s="14">
        <v>0</v>
      </c>
      <c r="I228" s="14">
        <v>0</v>
      </c>
      <c r="J228" s="14">
        <v>0</v>
      </c>
      <c r="K228" s="14">
        <v>0</v>
      </c>
      <c r="L228" s="14">
        <v>0</v>
      </c>
      <c r="M228" s="14">
        <v>0</v>
      </c>
      <c r="N228" s="14">
        <v>0</v>
      </c>
      <c r="O228" s="14">
        <v>0</v>
      </c>
      <c r="P228" s="14">
        <v>0</v>
      </c>
      <c r="Q228" s="14">
        <v>0</v>
      </c>
      <c r="R228" s="15">
        <v>0</v>
      </c>
      <c r="S228" s="15">
        <v>0</v>
      </c>
      <c r="T228" s="15">
        <v>0</v>
      </c>
    </row>
    <row r="229" spans="1:20" x14ac:dyDescent="0.3">
      <c r="A229" s="13" t="s">
        <v>526</v>
      </c>
      <c r="B229" s="14" t="s">
        <v>527</v>
      </c>
      <c r="C229" s="14"/>
      <c r="D229" s="14" t="s">
        <v>528</v>
      </c>
      <c r="E229" s="14">
        <f xml:space="preserve"> IF($T$142,1,0)</f>
        <v>1</v>
      </c>
      <c r="F229" s="14" t="s">
        <v>529</v>
      </c>
      <c r="G229" s="14">
        <v>0</v>
      </c>
      <c r="H229" s="14">
        <v>0</v>
      </c>
      <c r="I229" s="14">
        <v>0</v>
      </c>
      <c r="J229" s="14">
        <v>0</v>
      </c>
      <c r="K229" s="14">
        <v>0</v>
      </c>
      <c r="L229" s="14">
        <v>0</v>
      </c>
      <c r="M229" s="14">
        <v>0</v>
      </c>
      <c r="N229" s="14">
        <v>0</v>
      </c>
      <c r="O229" s="14">
        <v>0</v>
      </c>
      <c r="P229" s="14">
        <v>0</v>
      </c>
      <c r="Q229" s="14">
        <v>0</v>
      </c>
      <c r="R229" s="15">
        <v>0</v>
      </c>
      <c r="S229" s="15">
        <v>0</v>
      </c>
      <c r="T229" s="15">
        <v>0</v>
      </c>
    </row>
    <row r="230" spans="1:20" x14ac:dyDescent="0.3">
      <c r="A230" s="10" t="s">
        <v>750</v>
      </c>
      <c r="B230" s="11" t="s">
        <v>751</v>
      </c>
      <c r="C230" s="11"/>
      <c r="D230" s="11" t="s">
        <v>752</v>
      </c>
      <c r="E230" s="11">
        <f xml:space="preserve"> IF($T$201,1,0)</f>
        <v>0</v>
      </c>
      <c r="F230" s="11" t="s">
        <v>753</v>
      </c>
      <c r="G230" s="11">
        <v>2</v>
      </c>
      <c r="H230" s="11">
        <v>0</v>
      </c>
      <c r="I230" s="11">
        <v>0</v>
      </c>
      <c r="J230" s="11">
        <v>0</v>
      </c>
      <c r="K230" s="11">
        <v>0</v>
      </c>
      <c r="L230" s="11">
        <v>0</v>
      </c>
      <c r="M230" s="11">
        <v>0</v>
      </c>
      <c r="N230" s="11">
        <v>0</v>
      </c>
      <c r="O230" s="11">
        <v>0</v>
      </c>
      <c r="P230" s="11">
        <v>0</v>
      </c>
      <c r="Q230" s="11">
        <v>0</v>
      </c>
      <c r="R230" s="12">
        <v>2.2000000000000002</v>
      </c>
      <c r="S230" s="12">
        <v>0</v>
      </c>
      <c r="T230" s="12">
        <v>2.2000000000000002</v>
      </c>
    </row>
    <row r="231" spans="1:20" x14ac:dyDescent="0.3">
      <c r="A231" s="13" t="s">
        <v>534</v>
      </c>
      <c r="B231" s="14" t="s">
        <v>535</v>
      </c>
      <c r="C231" s="14"/>
      <c r="D231" s="14" t="s">
        <v>536</v>
      </c>
      <c r="E231" s="14">
        <f xml:space="preserve"> IF($T$144,1,0)</f>
        <v>0</v>
      </c>
      <c r="F231" s="14" t="s">
        <v>537</v>
      </c>
      <c r="G231" s="14">
        <v>0</v>
      </c>
      <c r="H231" s="14">
        <v>0</v>
      </c>
      <c r="I231" s="14">
        <v>0</v>
      </c>
      <c r="J231" s="14">
        <v>0</v>
      </c>
      <c r="K231" s="14">
        <v>0</v>
      </c>
      <c r="L231" s="14">
        <v>0</v>
      </c>
      <c r="M231" s="14">
        <v>0</v>
      </c>
      <c r="N231" s="14">
        <v>0</v>
      </c>
      <c r="O231" s="14">
        <v>0</v>
      </c>
      <c r="P231" s="14">
        <v>0</v>
      </c>
      <c r="Q231" s="14">
        <v>0</v>
      </c>
      <c r="R231" s="15">
        <v>0</v>
      </c>
      <c r="S231" s="15">
        <v>0</v>
      </c>
      <c r="T231" s="15">
        <v>0</v>
      </c>
    </row>
    <row r="232" spans="1:20" x14ac:dyDescent="0.3">
      <c r="A232" s="10" t="s">
        <v>281</v>
      </c>
      <c r="B232" s="11" t="s">
        <v>282</v>
      </c>
      <c r="C232" s="11" t="s">
        <v>283</v>
      </c>
      <c r="D232" s="11" t="s">
        <v>284</v>
      </c>
      <c r="E232" s="11">
        <f xml:space="preserve"> IF($T$77,1,0)</f>
        <v>0</v>
      </c>
      <c r="F232" s="11" t="s">
        <v>285</v>
      </c>
      <c r="G232" s="11">
        <v>0</v>
      </c>
      <c r="H232" s="11">
        <v>0</v>
      </c>
      <c r="I232" s="11">
        <v>0</v>
      </c>
      <c r="J232" s="11">
        <v>0</v>
      </c>
      <c r="K232" s="11">
        <v>0</v>
      </c>
      <c r="L232" s="11">
        <v>0</v>
      </c>
      <c r="M232" s="11">
        <v>0</v>
      </c>
      <c r="N232" s="11">
        <v>0</v>
      </c>
      <c r="O232" s="11">
        <v>0</v>
      </c>
      <c r="P232" s="11">
        <v>0</v>
      </c>
      <c r="Q232" s="11">
        <v>0</v>
      </c>
      <c r="R232" s="12">
        <v>0</v>
      </c>
      <c r="S232" s="12">
        <v>0</v>
      </c>
      <c r="T232" s="12">
        <v>0</v>
      </c>
    </row>
    <row r="233" spans="1:20" x14ac:dyDescent="0.3">
      <c r="A233" s="13" t="s">
        <v>984</v>
      </c>
      <c r="B233" s="14" t="s">
        <v>985</v>
      </c>
      <c r="C233" s="14" t="s">
        <v>202</v>
      </c>
      <c r="D233" s="14" t="s">
        <v>986</v>
      </c>
      <c r="E233" s="14">
        <f xml:space="preserve"> IF($T$262,1,0)</f>
        <v>0</v>
      </c>
      <c r="F233" s="14" t="s">
        <v>987</v>
      </c>
      <c r="G233" s="14">
        <v>0</v>
      </c>
      <c r="H233" s="14">
        <v>0</v>
      </c>
      <c r="I233" s="14">
        <v>0</v>
      </c>
      <c r="J233" s="14">
        <v>0</v>
      </c>
      <c r="K233" s="14">
        <v>0</v>
      </c>
      <c r="L233" s="14">
        <v>0</v>
      </c>
      <c r="M233" s="14">
        <v>0</v>
      </c>
      <c r="N233" s="14">
        <v>0</v>
      </c>
      <c r="O233" s="14">
        <v>0</v>
      </c>
      <c r="P233" s="14">
        <v>0</v>
      </c>
      <c r="Q233" s="14">
        <v>0</v>
      </c>
      <c r="R233" s="15">
        <v>0</v>
      </c>
      <c r="S233" s="15">
        <v>0</v>
      </c>
      <c r="T233" s="15">
        <v>0</v>
      </c>
    </row>
    <row r="234" spans="1:20" x14ac:dyDescent="0.3">
      <c r="A234" s="10" t="s">
        <v>1077</v>
      </c>
      <c r="B234" s="11" t="s">
        <v>1078</v>
      </c>
      <c r="C234" s="11"/>
      <c r="D234" s="11" t="s">
        <v>1079</v>
      </c>
      <c r="E234" s="11">
        <f xml:space="preserve"> IF($T$287,1,0)</f>
        <v>0</v>
      </c>
      <c r="F234" s="11" t="s">
        <v>1080</v>
      </c>
      <c r="G234" s="11">
        <v>0</v>
      </c>
      <c r="H234" s="11">
        <v>0</v>
      </c>
      <c r="I234" s="11">
        <v>0</v>
      </c>
      <c r="J234" s="11">
        <v>0</v>
      </c>
      <c r="K234" s="11">
        <v>0</v>
      </c>
      <c r="L234" s="11">
        <v>0</v>
      </c>
      <c r="M234" s="11">
        <v>0</v>
      </c>
      <c r="N234" s="11">
        <v>0</v>
      </c>
      <c r="O234" s="11">
        <v>0</v>
      </c>
      <c r="P234" s="11">
        <v>0</v>
      </c>
      <c r="Q234" s="11">
        <v>0</v>
      </c>
      <c r="R234" s="12">
        <v>0</v>
      </c>
      <c r="S234" s="12">
        <v>0</v>
      </c>
      <c r="T234" s="12">
        <v>0</v>
      </c>
    </row>
    <row r="235" spans="1:20" x14ac:dyDescent="0.3">
      <c r="A235" s="10" t="s">
        <v>1147</v>
      </c>
      <c r="B235" s="11" t="s">
        <v>1142</v>
      </c>
      <c r="C235" s="11"/>
      <c r="D235" s="11" t="s">
        <v>138</v>
      </c>
      <c r="E235" s="11">
        <f xml:space="preserve"> IF($T$307,1,0)</f>
        <v>0</v>
      </c>
      <c r="F235" s="11" t="s">
        <v>1148</v>
      </c>
      <c r="G235" s="11">
        <v>0</v>
      </c>
      <c r="H235" s="11">
        <v>0</v>
      </c>
      <c r="I235" s="11">
        <v>0</v>
      </c>
      <c r="J235" s="11">
        <v>0</v>
      </c>
      <c r="K235" s="11">
        <v>0</v>
      </c>
      <c r="L235" s="11">
        <v>0</v>
      </c>
      <c r="M235" s="11">
        <v>0</v>
      </c>
      <c r="N235" s="11">
        <v>0</v>
      </c>
      <c r="O235" s="11">
        <v>0</v>
      </c>
      <c r="P235" s="11">
        <v>0</v>
      </c>
      <c r="Q235" s="11">
        <v>0</v>
      </c>
      <c r="R235" s="12">
        <v>0</v>
      </c>
      <c r="S235" s="12">
        <v>0</v>
      </c>
      <c r="T235" s="12">
        <v>0</v>
      </c>
    </row>
    <row r="236" spans="1:20" x14ac:dyDescent="0.3">
      <c r="A236" s="10" t="s">
        <v>329</v>
      </c>
      <c r="B236" s="11" t="s">
        <v>330</v>
      </c>
      <c r="C236" s="11"/>
      <c r="D236" s="11" t="s">
        <v>331</v>
      </c>
      <c r="E236" s="11">
        <f xml:space="preserve"> IF($T$89,1,0)</f>
        <v>0</v>
      </c>
      <c r="F236" s="11" t="s">
        <v>332</v>
      </c>
      <c r="G236" s="11">
        <v>0</v>
      </c>
      <c r="H236" s="11">
        <v>0</v>
      </c>
      <c r="I236" s="11">
        <v>0</v>
      </c>
      <c r="J236" s="11">
        <v>0</v>
      </c>
      <c r="K236" s="11">
        <v>0</v>
      </c>
      <c r="L236" s="11">
        <v>0</v>
      </c>
      <c r="M236" s="11">
        <v>0</v>
      </c>
      <c r="N236" s="11">
        <v>0</v>
      </c>
      <c r="O236" s="11">
        <v>0</v>
      </c>
      <c r="P236" s="11">
        <v>0</v>
      </c>
      <c r="Q236" s="11">
        <v>0</v>
      </c>
      <c r="R236" s="12">
        <v>0</v>
      </c>
      <c r="S236" s="12">
        <v>0</v>
      </c>
      <c r="T236" s="12">
        <v>0</v>
      </c>
    </row>
    <row r="237" spans="1:20" x14ac:dyDescent="0.3">
      <c r="A237" s="10" t="s">
        <v>32</v>
      </c>
      <c r="B237" s="11" t="s">
        <v>33</v>
      </c>
      <c r="C237" s="11" t="s">
        <v>34</v>
      </c>
      <c r="D237" s="11" t="s">
        <v>35</v>
      </c>
      <c r="E237" s="11">
        <f xml:space="preserve"> IF($T$11,1,0)</f>
        <v>0</v>
      </c>
      <c r="F237" s="11" t="s">
        <v>36</v>
      </c>
      <c r="G237" s="11">
        <v>0</v>
      </c>
      <c r="H237" s="11">
        <v>0</v>
      </c>
      <c r="I237" s="11">
        <v>0</v>
      </c>
      <c r="J237" s="11">
        <v>0</v>
      </c>
      <c r="K237" s="11">
        <v>0</v>
      </c>
      <c r="L237" s="11">
        <v>0</v>
      </c>
      <c r="M237" s="11">
        <v>0</v>
      </c>
      <c r="N237" s="11">
        <v>0</v>
      </c>
      <c r="O237" s="11">
        <v>0</v>
      </c>
      <c r="P237" s="11">
        <v>0</v>
      </c>
      <c r="Q237" s="11">
        <v>0</v>
      </c>
      <c r="R237" s="12">
        <v>0</v>
      </c>
      <c r="S237" s="12">
        <v>0</v>
      </c>
      <c r="T237" s="12">
        <v>0</v>
      </c>
    </row>
    <row r="238" spans="1:20" x14ac:dyDescent="0.3">
      <c r="A238" s="13" t="s">
        <v>1021</v>
      </c>
      <c r="B238" s="14" t="s">
        <v>1022</v>
      </c>
      <c r="C238" s="14" t="s">
        <v>283</v>
      </c>
      <c r="D238" s="14" t="s">
        <v>1023</v>
      </c>
      <c r="E238" s="14">
        <f xml:space="preserve"> IF($T$272,1,0)</f>
        <v>0</v>
      </c>
      <c r="F238" s="14" t="s">
        <v>1024</v>
      </c>
      <c r="G238" s="14">
        <v>0</v>
      </c>
      <c r="H238" s="14">
        <v>0</v>
      </c>
      <c r="I238" s="14">
        <v>0</v>
      </c>
      <c r="J238" s="14">
        <v>0</v>
      </c>
      <c r="K238" s="14">
        <v>0</v>
      </c>
      <c r="L238" s="14">
        <v>0</v>
      </c>
      <c r="M238" s="14">
        <v>0</v>
      </c>
      <c r="N238" s="14">
        <v>0</v>
      </c>
      <c r="O238" s="14">
        <v>0</v>
      </c>
      <c r="P238" s="14">
        <v>0</v>
      </c>
      <c r="Q238" s="14">
        <v>0</v>
      </c>
      <c r="R238" s="15">
        <v>0</v>
      </c>
      <c r="S238" s="15">
        <v>0</v>
      </c>
      <c r="T238" s="15">
        <v>0</v>
      </c>
    </row>
    <row r="239" spans="1:20" x14ac:dyDescent="0.3">
      <c r="A239" s="13" t="s">
        <v>1074</v>
      </c>
      <c r="B239" s="14" t="s">
        <v>1071</v>
      </c>
      <c r="C239" s="14"/>
      <c r="D239" s="14" t="s">
        <v>1075</v>
      </c>
      <c r="E239" s="14">
        <f xml:space="preserve"> IF($T$286,1,0)</f>
        <v>0</v>
      </c>
      <c r="F239" s="14" t="s">
        <v>1076</v>
      </c>
      <c r="G239" s="14">
        <v>0</v>
      </c>
      <c r="H239" s="14">
        <v>0</v>
      </c>
      <c r="I239" s="14">
        <v>0</v>
      </c>
      <c r="J239" s="14">
        <v>0</v>
      </c>
      <c r="K239" s="14">
        <v>0</v>
      </c>
      <c r="L239" s="14">
        <v>0</v>
      </c>
      <c r="M239" s="14">
        <v>0</v>
      </c>
      <c r="N239" s="14">
        <v>0</v>
      </c>
      <c r="O239" s="14">
        <v>0</v>
      </c>
      <c r="P239" s="14">
        <v>0</v>
      </c>
      <c r="Q239" s="14">
        <v>0</v>
      </c>
      <c r="R239" s="15">
        <v>0</v>
      </c>
      <c r="S239" s="15">
        <v>0</v>
      </c>
      <c r="T239" s="15">
        <v>0</v>
      </c>
    </row>
    <row r="240" spans="1:20" x14ac:dyDescent="0.3">
      <c r="A240" s="13" t="s">
        <v>908</v>
      </c>
      <c r="B240" s="14" t="s">
        <v>909</v>
      </c>
      <c r="C240" s="14"/>
      <c r="D240" s="14" t="s">
        <v>910</v>
      </c>
      <c r="E240" s="14">
        <f xml:space="preserve"> IF($T$242,1,0)</f>
        <v>0</v>
      </c>
      <c r="F240" s="14" t="s">
        <v>911</v>
      </c>
      <c r="G240" s="14">
        <v>0</v>
      </c>
      <c r="H240" s="14">
        <v>0</v>
      </c>
      <c r="I240" s="14">
        <v>0</v>
      </c>
      <c r="J240" s="14">
        <v>0</v>
      </c>
      <c r="K240" s="14">
        <v>0</v>
      </c>
      <c r="L240" s="14">
        <v>0</v>
      </c>
      <c r="M240" s="14">
        <v>0</v>
      </c>
      <c r="N240" s="14">
        <v>0</v>
      </c>
      <c r="O240" s="14">
        <v>0</v>
      </c>
      <c r="P240" s="14">
        <v>0</v>
      </c>
      <c r="Q240" s="14">
        <v>0</v>
      </c>
      <c r="R240" s="15">
        <v>0</v>
      </c>
      <c r="S240" s="15">
        <v>0</v>
      </c>
      <c r="T240" s="15">
        <v>0</v>
      </c>
    </row>
    <row r="241" spans="1:20" x14ac:dyDescent="0.3">
      <c r="A241" s="13" t="s">
        <v>923</v>
      </c>
      <c r="B241" s="14" t="s">
        <v>917</v>
      </c>
      <c r="C241" s="14" t="s">
        <v>34</v>
      </c>
      <c r="D241" s="14" t="s">
        <v>924</v>
      </c>
      <c r="E241" s="14">
        <f xml:space="preserve"> IF($T$246,1,0)</f>
        <v>1</v>
      </c>
      <c r="F241" s="14" t="s">
        <v>925</v>
      </c>
      <c r="G241" s="14">
        <v>0</v>
      </c>
      <c r="H241" s="14">
        <v>0</v>
      </c>
      <c r="I241" s="14">
        <v>0</v>
      </c>
      <c r="J241" s="14">
        <v>0</v>
      </c>
      <c r="K241" s="14">
        <v>0</v>
      </c>
      <c r="L241" s="14">
        <v>0</v>
      </c>
      <c r="M241" s="14">
        <v>0</v>
      </c>
      <c r="N241" s="14">
        <v>0</v>
      </c>
      <c r="O241" s="14">
        <v>0</v>
      </c>
      <c r="P241" s="14">
        <v>0</v>
      </c>
      <c r="Q241" s="14">
        <v>0</v>
      </c>
      <c r="R241" s="15">
        <v>0</v>
      </c>
      <c r="S241" s="15">
        <v>0</v>
      </c>
      <c r="T241" s="15">
        <v>0</v>
      </c>
    </row>
    <row r="242" spans="1:20" x14ac:dyDescent="0.3">
      <c r="A242" s="10" t="s">
        <v>1003</v>
      </c>
      <c r="B242" s="11" t="s">
        <v>1004</v>
      </c>
      <c r="C242" s="11"/>
      <c r="D242" s="11" t="s">
        <v>1005</v>
      </c>
      <c r="E242" s="11">
        <f xml:space="preserve"> IF($T$267,1,0)</f>
        <v>0</v>
      </c>
      <c r="F242" s="11" t="s">
        <v>1006</v>
      </c>
      <c r="G242" s="11">
        <v>0</v>
      </c>
      <c r="H242" s="11">
        <v>0</v>
      </c>
      <c r="I242" s="11">
        <v>0</v>
      </c>
      <c r="J242" s="11">
        <v>0</v>
      </c>
      <c r="K242" s="11">
        <v>0</v>
      </c>
      <c r="L242" s="11">
        <v>0</v>
      </c>
      <c r="M242" s="11">
        <v>0</v>
      </c>
      <c r="N242" s="11">
        <v>0</v>
      </c>
      <c r="O242" s="11">
        <v>0</v>
      </c>
      <c r="P242" s="11">
        <v>0</v>
      </c>
      <c r="Q242" s="11">
        <v>0</v>
      </c>
      <c r="R242" s="12">
        <v>0</v>
      </c>
      <c r="S242" s="12">
        <v>0</v>
      </c>
      <c r="T242" s="12">
        <v>0</v>
      </c>
    </row>
    <row r="243" spans="1:20" x14ac:dyDescent="0.3">
      <c r="A243" s="10" t="s">
        <v>720</v>
      </c>
      <c r="B243" s="11" t="s">
        <v>721</v>
      </c>
      <c r="C243" s="11"/>
      <c r="D243" s="11" t="s">
        <v>722</v>
      </c>
      <c r="E243" s="11">
        <f xml:space="preserve"> IF($T$193,1,0)</f>
        <v>1</v>
      </c>
      <c r="F243" s="11" t="s">
        <v>723</v>
      </c>
      <c r="G243" s="11">
        <v>0</v>
      </c>
      <c r="H243" s="11">
        <v>0</v>
      </c>
      <c r="I243" s="11">
        <v>0</v>
      </c>
      <c r="J243" s="11">
        <v>0</v>
      </c>
      <c r="K243" s="11">
        <v>0</v>
      </c>
      <c r="L243" s="11">
        <v>0</v>
      </c>
      <c r="M243" s="11">
        <v>0</v>
      </c>
      <c r="N243" s="11">
        <v>0</v>
      </c>
      <c r="O243" s="11">
        <v>0</v>
      </c>
      <c r="P243" s="11">
        <v>0</v>
      </c>
      <c r="Q243" s="11">
        <v>0</v>
      </c>
      <c r="R243" s="12">
        <v>0</v>
      </c>
      <c r="S243" s="12">
        <v>0</v>
      </c>
      <c r="T243" s="12">
        <v>0</v>
      </c>
    </row>
    <row r="244" spans="1:20" x14ac:dyDescent="0.3">
      <c r="A244" s="10" t="s">
        <v>1141</v>
      </c>
      <c r="B244" s="11" t="s">
        <v>1142</v>
      </c>
      <c r="C244" s="11" t="s">
        <v>202</v>
      </c>
      <c r="D244" s="11" t="s">
        <v>442</v>
      </c>
      <c r="E244" s="11">
        <f xml:space="preserve"> IF($T$305,1,0)</f>
        <v>0</v>
      </c>
      <c r="F244" s="11" t="s">
        <v>1143</v>
      </c>
      <c r="G244" s="11">
        <v>0</v>
      </c>
      <c r="H244" s="11">
        <v>0</v>
      </c>
      <c r="I244" s="11">
        <v>0</v>
      </c>
      <c r="J244" s="11">
        <v>0</v>
      </c>
      <c r="K244" s="11">
        <v>0</v>
      </c>
      <c r="L244" s="11">
        <v>0</v>
      </c>
      <c r="M244" s="11">
        <v>0</v>
      </c>
      <c r="N244" s="11">
        <v>0</v>
      </c>
      <c r="O244" s="11">
        <v>0</v>
      </c>
      <c r="P244" s="11">
        <v>0</v>
      </c>
      <c r="Q244" s="11">
        <v>0</v>
      </c>
      <c r="R244" s="12">
        <v>0</v>
      </c>
      <c r="S244" s="12">
        <v>0</v>
      </c>
      <c r="T244" s="12">
        <v>0</v>
      </c>
    </row>
    <row r="245" spans="1:20" x14ac:dyDescent="0.3">
      <c r="A245" s="10" t="s">
        <v>530</v>
      </c>
      <c r="B245" s="11" t="s">
        <v>531</v>
      </c>
      <c r="C245" s="11"/>
      <c r="D245" s="11" t="s">
        <v>532</v>
      </c>
      <c r="E245" s="11">
        <f xml:space="preserve"> IF($T$143,1,0)</f>
        <v>0</v>
      </c>
      <c r="F245" s="11" t="s">
        <v>533</v>
      </c>
      <c r="G245" s="11">
        <v>0</v>
      </c>
      <c r="H245" s="11">
        <v>0</v>
      </c>
      <c r="I245" s="11">
        <v>0</v>
      </c>
      <c r="J245" s="11">
        <v>0</v>
      </c>
      <c r="K245" s="11">
        <v>0</v>
      </c>
      <c r="L245" s="11">
        <v>0</v>
      </c>
      <c r="M245" s="11">
        <v>0</v>
      </c>
      <c r="N245" s="11">
        <v>0</v>
      </c>
      <c r="O245" s="11">
        <v>0</v>
      </c>
      <c r="P245" s="11">
        <v>0</v>
      </c>
      <c r="Q245" s="11">
        <v>0</v>
      </c>
      <c r="R245" s="12">
        <v>0</v>
      </c>
      <c r="S245" s="12">
        <v>0</v>
      </c>
      <c r="T245" s="12">
        <v>0</v>
      </c>
    </row>
    <row r="246" spans="1:20" x14ac:dyDescent="0.3">
      <c r="A246" s="10" t="s">
        <v>630</v>
      </c>
      <c r="B246" s="11" t="s">
        <v>631</v>
      </c>
      <c r="C246" s="11"/>
      <c r="D246" s="11" t="s">
        <v>632</v>
      </c>
      <c r="E246" s="11">
        <f xml:space="preserve"> IF($T$169,1,0)</f>
        <v>0</v>
      </c>
      <c r="F246" s="11" t="s">
        <v>633</v>
      </c>
      <c r="G246" s="11">
        <v>0</v>
      </c>
      <c r="H246" s="11">
        <v>1</v>
      </c>
      <c r="I246" s="11">
        <v>0</v>
      </c>
      <c r="J246" s="11">
        <v>0</v>
      </c>
      <c r="K246" s="11">
        <v>0</v>
      </c>
      <c r="L246" s="11">
        <v>0</v>
      </c>
      <c r="M246" s="11">
        <v>0</v>
      </c>
      <c r="N246" s="11">
        <v>0</v>
      </c>
      <c r="O246" s="11">
        <v>0</v>
      </c>
      <c r="P246" s="11">
        <v>0</v>
      </c>
      <c r="Q246" s="11">
        <v>0</v>
      </c>
      <c r="R246" s="12">
        <v>1.8</v>
      </c>
      <c r="S246" s="12">
        <v>0</v>
      </c>
      <c r="T246" s="12">
        <v>1.8</v>
      </c>
    </row>
    <row r="247" spans="1:20" x14ac:dyDescent="0.3">
      <c r="A247" s="13" t="s">
        <v>112</v>
      </c>
      <c r="B247" s="14" t="s">
        <v>113</v>
      </c>
      <c r="C247" s="14"/>
      <c r="D247" s="14" t="s">
        <v>114</v>
      </c>
      <c r="E247" s="14">
        <f xml:space="preserve"> IF($T$32,1,0)</f>
        <v>0</v>
      </c>
      <c r="F247" s="14" t="s">
        <v>115</v>
      </c>
      <c r="G247" s="14">
        <v>3</v>
      </c>
      <c r="H247" s="14">
        <v>2</v>
      </c>
      <c r="I247" s="14">
        <v>2</v>
      </c>
      <c r="J247" s="14">
        <v>0</v>
      </c>
      <c r="K247" s="14">
        <v>0</v>
      </c>
      <c r="L247" s="14">
        <v>0</v>
      </c>
      <c r="M247" s="14">
        <v>0</v>
      </c>
      <c r="N247" s="14">
        <v>0</v>
      </c>
      <c r="O247" s="14">
        <v>0</v>
      </c>
      <c r="P247" s="14">
        <v>0</v>
      </c>
      <c r="Q247" s="14">
        <v>0</v>
      </c>
      <c r="R247" s="15">
        <v>11.5</v>
      </c>
      <c r="S247" s="15">
        <v>0</v>
      </c>
      <c r="T247" s="15">
        <v>11.5</v>
      </c>
    </row>
    <row r="248" spans="1:20" x14ac:dyDescent="0.3">
      <c r="A248" s="10" t="s">
        <v>367</v>
      </c>
      <c r="B248" s="11" t="s">
        <v>368</v>
      </c>
      <c r="C248" s="11" t="s">
        <v>34</v>
      </c>
      <c r="D248" s="11" t="s">
        <v>118</v>
      </c>
      <c r="E248" s="11">
        <f xml:space="preserve"> IF($T$99,1,0)</f>
        <v>0</v>
      </c>
      <c r="F248" s="11" t="s">
        <v>369</v>
      </c>
      <c r="G248" s="11">
        <v>0</v>
      </c>
      <c r="H248" s="11">
        <v>0</v>
      </c>
      <c r="I248" s="11">
        <v>0</v>
      </c>
      <c r="J248" s="11">
        <v>0</v>
      </c>
      <c r="K248" s="11">
        <v>0</v>
      </c>
      <c r="L248" s="11">
        <v>0</v>
      </c>
      <c r="M248" s="11">
        <v>0</v>
      </c>
      <c r="N248" s="11">
        <v>0</v>
      </c>
      <c r="O248" s="11">
        <v>0</v>
      </c>
      <c r="P248" s="11">
        <v>0</v>
      </c>
      <c r="Q248" s="11">
        <v>0</v>
      </c>
      <c r="R248" s="12">
        <v>0</v>
      </c>
      <c r="S248" s="12">
        <v>0</v>
      </c>
      <c r="T248" s="12">
        <v>0</v>
      </c>
    </row>
    <row r="249" spans="1:20" x14ac:dyDescent="0.3">
      <c r="A249" s="13" t="s">
        <v>1043</v>
      </c>
      <c r="B249" s="14" t="s">
        <v>1044</v>
      </c>
      <c r="C249" s="14"/>
      <c r="D249" s="14" t="s">
        <v>1045</v>
      </c>
      <c r="E249" s="14">
        <f xml:space="preserve"> IF($T$278,1,0)</f>
        <v>0</v>
      </c>
      <c r="F249" s="14" t="s">
        <v>1046</v>
      </c>
      <c r="G249" s="14">
        <v>0</v>
      </c>
      <c r="H249" s="14">
        <v>0</v>
      </c>
      <c r="I249" s="14">
        <v>0</v>
      </c>
      <c r="J249" s="14">
        <v>0</v>
      </c>
      <c r="K249" s="14">
        <v>0</v>
      </c>
      <c r="L249" s="14">
        <v>0</v>
      </c>
      <c r="M249" s="14">
        <v>0</v>
      </c>
      <c r="N249" s="14">
        <v>0</v>
      </c>
      <c r="O249" s="14">
        <v>0</v>
      </c>
      <c r="P249" s="14">
        <v>0</v>
      </c>
      <c r="Q249" s="14">
        <v>0</v>
      </c>
      <c r="R249" s="15">
        <v>0</v>
      </c>
      <c r="S249" s="15">
        <v>0</v>
      </c>
      <c r="T249" s="15">
        <v>0</v>
      </c>
    </row>
    <row r="250" spans="1:20" x14ac:dyDescent="0.3">
      <c r="A250" s="10" t="s">
        <v>851</v>
      </c>
      <c r="B250" s="11" t="s">
        <v>852</v>
      </c>
      <c r="C250" s="11"/>
      <c r="D250" s="11" t="s">
        <v>853</v>
      </c>
      <c r="E250" s="11">
        <f xml:space="preserve"> IF($T$227,1,0)</f>
        <v>0</v>
      </c>
      <c r="F250" s="11" t="s">
        <v>854</v>
      </c>
      <c r="G250" s="11">
        <v>0</v>
      </c>
      <c r="H250" s="11">
        <v>0</v>
      </c>
      <c r="I250" s="11">
        <v>0</v>
      </c>
      <c r="J250" s="11">
        <v>0</v>
      </c>
      <c r="K250" s="11">
        <v>0</v>
      </c>
      <c r="L250" s="11">
        <v>0</v>
      </c>
      <c r="M250" s="11">
        <v>0</v>
      </c>
      <c r="N250" s="11">
        <v>0</v>
      </c>
      <c r="O250" s="11">
        <v>0</v>
      </c>
      <c r="P250" s="11">
        <v>0</v>
      </c>
      <c r="Q250" s="11">
        <v>0</v>
      </c>
      <c r="R250" s="12">
        <v>0</v>
      </c>
      <c r="S250" s="12">
        <v>0</v>
      </c>
      <c r="T250" s="12">
        <v>0</v>
      </c>
    </row>
    <row r="251" spans="1:20" x14ac:dyDescent="0.3">
      <c r="A251" s="13" t="s">
        <v>59</v>
      </c>
      <c r="B251" s="14" t="s">
        <v>60</v>
      </c>
      <c r="C251" s="14"/>
      <c r="D251" s="14" t="s">
        <v>61</v>
      </c>
      <c r="E251" s="14">
        <f xml:space="preserve"> IF($T$18,1,0)</f>
        <v>0</v>
      </c>
      <c r="F251" s="14" t="s">
        <v>62</v>
      </c>
      <c r="G251" s="14">
        <v>0</v>
      </c>
      <c r="H251" s="14">
        <v>0</v>
      </c>
      <c r="I251" s="14">
        <v>0</v>
      </c>
      <c r="J251" s="14">
        <v>0</v>
      </c>
      <c r="K251" s="14">
        <v>0</v>
      </c>
      <c r="L251" s="14">
        <v>0</v>
      </c>
      <c r="M251" s="14">
        <v>0</v>
      </c>
      <c r="N251" s="14">
        <v>0</v>
      </c>
      <c r="O251" s="14">
        <v>0</v>
      </c>
      <c r="P251" s="14">
        <v>0</v>
      </c>
      <c r="Q251" s="14">
        <v>0</v>
      </c>
      <c r="R251" s="15">
        <v>0</v>
      </c>
      <c r="S251" s="15">
        <v>0</v>
      </c>
      <c r="T251" s="15">
        <v>0</v>
      </c>
    </row>
    <row r="252" spans="1:20" x14ac:dyDescent="0.3">
      <c r="A252" s="13" t="s">
        <v>603</v>
      </c>
      <c r="B252" s="14" t="s">
        <v>604</v>
      </c>
      <c r="C252" s="14"/>
      <c r="D252" s="14" t="s">
        <v>605</v>
      </c>
      <c r="E252" s="14">
        <f xml:space="preserve"> IF($T$162,1,0)</f>
        <v>1</v>
      </c>
      <c r="F252" s="14" t="s">
        <v>606</v>
      </c>
      <c r="G252" s="14">
        <v>0</v>
      </c>
      <c r="H252" s="14">
        <v>0</v>
      </c>
      <c r="I252" s="14">
        <v>0</v>
      </c>
      <c r="J252" s="14">
        <v>0</v>
      </c>
      <c r="K252" s="14">
        <v>0</v>
      </c>
      <c r="L252" s="14">
        <v>0</v>
      </c>
      <c r="M252" s="14">
        <v>0</v>
      </c>
      <c r="N252" s="14">
        <v>0</v>
      </c>
      <c r="O252" s="14">
        <v>0</v>
      </c>
      <c r="P252" s="14">
        <v>0</v>
      </c>
      <c r="Q252" s="14">
        <v>0</v>
      </c>
      <c r="R252" s="15">
        <v>0</v>
      </c>
      <c r="S252" s="15">
        <v>0</v>
      </c>
      <c r="T252" s="15">
        <v>0</v>
      </c>
    </row>
    <row r="253" spans="1:20" x14ac:dyDescent="0.3">
      <c r="A253" s="10" t="s">
        <v>584</v>
      </c>
      <c r="B253" s="11" t="s">
        <v>585</v>
      </c>
      <c r="C253" s="11"/>
      <c r="D253" s="11" t="s">
        <v>586</v>
      </c>
      <c r="E253" s="11">
        <f xml:space="preserve"> IF($T$157,1,0)</f>
        <v>0</v>
      </c>
      <c r="F253" s="11" t="s">
        <v>587</v>
      </c>
      <c r="G253" s="11">
        <v>0</v>
      </c>
      <c r="H253" s="11">
        <v>0</v>
      </c>
      <c r="I253" s="11">
        <v>0</v>
      </c>
      <c r="J253" s="11">
        <v>0</v>
      </c>
      <c r="K253" s="11">
        <v>0</v>
      </c>
      <c r="L253" s="11">
        <v>0</v>
      </c>
      <c r="M253" s="11">
        <v>0</v>
      </c>
      <c r="N253" s="11">
        <v>0</v>
      </c>
      <c r="O253" s="11">
        <v>0</v>
      </c>
      <c r="P253" s="11">
        <v>0</v>
      </c>
      <c r="Q253" s="11">
        <v>0</v>
      </c>
      <c r="R253" s="12">
        <v>0</v>
      </c>
      <c r="S253" s="12">
        <v>0</v>
      </c>
      <c r="T253" s="12">
        <v>0</v>
      </c>
    </row>
    <row r="254" spans="1:20" x14ac:dyDescent="0.3">
      <c r="A254" s="13" t="s">
        <v>916</v>
      </c>
      <c r="B254" s="14" t="s">
        <v>917</v>
      </c>
      <c r="C254" s="14"/>
      <c r="D254" s="14" t="s">
        <v>918</v>
      </c>
      <c r="E254" s="14">
        <f xml:space="preserve"> IF($T$244,1,0)</f>
        <v>0</v>
      </c>
      <c r="F254" s="14" t="s">
        <v>919</v>
      </c>
      <c r="G254" s="14">
        <v>0</v>
      </c>
      <c r="H254" s="14">
        <v>0</v>
      </c>
      <c r="I254" s="14">
        <v>0</v>
      </c>
      <c r="J254" s="14">
        <v>0</v>
      </c>
      <c r="K254" s="14">
        <v>0</v>
      </c>
      <c r="L254" s="14">
        <v>0</v>
      </c>
      <c r="M254" s="14">
        <v>0</v>
      </c>
      <c r="N254" s="14">
        <v>0</v>
      </c>
      <c r="O254" s="14">
        <v>0</v>
      </c>
      <c r="P254" s="14">
        <v>0</v>
      </c>
      <c r="Q254" s="14">
        <v>0</v>
      </c>
      <c r="R254" s="15">
        <v>0</v>
      </c>
      <c r="S254" s="15">
        <v>0</v>
      </c>
      <c r="T254" s="15">
        <v>0</v>
      </c>
    </row>
    <row r="255" spans="1:20" x14ac:dyDescent="0.3">
      <c r="A255" s="10" t="s">
        <v>140</v>
      </c>
      <c r="B255" s="11" t="s">
        <v>141</v>
      </c>
      <c r="C255" s="11"/>
      <c r="D255" s="11" t="s">
        <v>142</v>
      </c>
      <c r="E255" s="11">
        <f xml:space="preserve"> IF($T$39,1,0)</f>
        <v>0</v>
      </c>
      <c r="F255" s="11" t="s">
        <v>143</v>
      </c>
      <c r="G255" s="11">
        <v>0</v>
      </c>
      <c r="H255" s="11">
        <v>0</v>
      </c>
      <c r="I255" s="11">
        <v>0</v>
      </c>
      <c r="J255" s="11">
        <v>0</v>
      </c>
      <c r="K255" s="11">
        <v>0</v>
      </c>
      <c r="L255" s="11">
        <v>0</v>
      </c>
      <c r="M255" s="11">
        <v>0</v>
      </c>
      <c r="N255" s="11">
        <v>0</v>
      </c>
      <c r="O255" s="11">
        <v>0</v>
      </c>
      <c r="P255" s="11">
        <v>0</v>
      </c>
      <c r="Q255" s="11">
        <v>0</v>
      </c>
      <c r="R255" s="12">
        <v>0</v>
      </c>
      <c r="S255" s="12">
        <v>0</v>
      </c>
      <c r="T255" s="12">
        <v>0</v>
      </c>
    </row>
    <row r="256" spans="1:20" x14ac:dyDescent="0.3">
      <c r="A256" s="13" t="s">
        <v>393</v>
      </c>
      <c r="B256" s="14" t="s">
        <v>394</v>
      </c>
      <c r="C256" s="14"/>
      <c r="D256" s="14" t="s">
        <v>395</v>
      </c>
      <c r="E256" s="14">
        <f xml:space="preserve"> IF($T$106,1,0)</f>
        <v>0</v>
      </c>
      <c r="F256" s="14" t="s">
        <v>396</v>
      </c>
      <c r="G256" s="14">
        <v>0</v>
      </c>
      <c r="H256" s="14">
        <v>0</v>
      </c>
      <c r="I256" s="14">
        <v>0</v>
      </c>
      <c r="J256" s="14">
        <v>0</v>
      </c>
      <c r="K256" s="14">
        <v>0</v>
      </c>
      <c r="L256" s="14">
        <v>0</v>
      </c>
      <c r="M256" s="14">
        <v>0</v>
      </c>
      <c r="N256" s="14">
        <v>0</v>
      </c>
      <c r="O256" s="14">
        <v>0</v>
      </c>
      <c r="P256" s="14">
        <v>0</v>
      </c>
      <c r="Q256" s="14">
        <v>0</v>
      </c>
      <c r="R256" s="15">
        <v>0</v>
      </c>
      <c r="S256" s="15">
        <v>0</v>
      </c>
      <c r="T256" s="15">
        <v>0</v>
      </c>
    </row>
    <row r="257" spans="1:20" x14ac:dyDescent="0.3">
      <c r="A257" s="13" t="s">
        <v>541</v>
      </c>
      <c r="B257" s="14" t="s">
        <v>542</v>
      </c>
      <c r="C257" s="14"/>
      <c r="D257" s="14" t="s">
        <v>543</v>
      </c>
      <c r="E257" s="14">
        <f xml:space="preserve"> IF($T$146,1,0)</f>
        <v>1</v>
      </c>
      <c r="F257" s="14" t="s">
        <v>544</v>
      </c>
      <c r="G257" s="14">
        <v>0</v>
      </c>
      <c r="H257" s="14">
        <v>0</v>
      </c>
      <c r="I257" s="14">
        <v>0</v>
      </c>
      <c r="J257" s="14">
        <v>0</v>
      </c>
      <c r="K257" s="14">
        <v>0</v>
      </c>
      <c r="L257" s="14">
        <v>0</v>
      </c>
      <c r="M257" s="14">
        <v>0</v>
      </c>
      <c r="N257" s="14">
        <v>0</v>
      </c>
      <c r="O257" s="14">
        <v>0</v>
      </c>
      <c r="P257" s="14">
        <v>0</v>
      </c>
      <c r="Q257" s="14">
        <v>0</v>
      </c>
      <c r="R257" s="15">
        <v>0</v>
      </c>
      <c r="S257" s="15">
        <v>0</v>
      </c>
      <c r="T257" s="15">
        <v>0</v>
      </c>
    </row>
    <row r="258" spans="1:20" x14ac:dyDescent="0.3">
      <c r="A258" s="13" t="s">
        <v>1094</v>
      </c>
      <c r="B258" s="14" t="s">
        <v>1095</v>
      </c>
      <c r="C258" s="14" t="s">
        <v>34</v>
      </c>
      <c r="D258" s="14" t="s">
        <v>1096</v>
      </c>
      <c r="E258" s="14">
        <f xml:space="preserve"> IF($T$292,1,0)</f>
        <v>0</v>
      </c>
      <c r="F258" s="14" t="s">
        <v>1097</v>
      </c>
      <c r="G258" s="14">
        <v>0</v>
      </c>
      <c r="H258" s="14">
        <v>0</v>
      </c>
      <c r="I258" s="14">
        <v>0</v>
      </c>
      <c r="J258" s="14">
        <v>0</v>
      </c>
      <c r="K258" s="14">
        <v>0</v>
      </c>
      <c r="L258" s="14">
        <v>0</v>
      </c>
      <c r="M258" s="14">
        <v>0</v>
      </c>
      <c r="N258" s="14">
        <v>0</v>
      </c>
      <c r="O258" s="14">
        <v>0</v>
      </c>
      <c r="P258" s="14">
        <v>0</v>
      </c>
      <c r="Q258" s="14">
        <v>0</v>
      </c>
      <c r="R258" s="15">
        <v>0</v>
      </c>
      <c r="S258" s="15">
        <v>0</v>
      </c>
      <c r="T258" s="15">
        <v>0</v>
      </c>
    </row>
    <row r="259" spans="1:20" x14ac:dyDescent="0.3">
      <c r="A259" s="13" t="s">
        <v>160</v>
      </c>
      <c r="B259" s="14" t="s">
        <v>161</v>
      </c>
      <c r="C259" s="14"/>
      <c r="D259" s="14" t="s">
        <v>162</v>
      </c>
      <c r="E259" s="14">
        <f xml:space="preserve"> IF($T$44,1,0)</f>
        <v>0</v>
      </c>
      <c r="F259" s="14" t="s">
        <v>163</v>
      </c>
      <c r="G259" s="14">
        <v>0</v>
      </c>
      <c r="H259" s="14">
        <v>0</v>
      </c>
      <c r="I259" s="14">
        <v>0</v>
      </c>
      <c r="J259" s="14">
        <v>0</v>
      </c>
      <c r="K259" s="14">
        <v>0</v>
      </c>
      <c r="L259" s="14">
        <v>0</v>
      </c>
      <c r="M259" s="14">
        <v>0</v>
      </c>
      <c r="N259" s="14">
        <v>0</v>
      </c>
      <c r="O259" s="14">
        <v>0</v>
      </c>
      <c r="P259" s="14">
        <v>0</v>
      </c>
      <c r="Q259" s="14">
        <v>0</v>
      </c>
      <c r="R259" s="15">
        <v>0</v>
      </c>
      <c r="S259" s="15">
        <v>0</v>
      </c>
      <c r="T259" s="15">
        <v>0</v>
      </c>
    </row>
    <row r="260" spans="1:20" x14ac:dyDescent="0.3">
      <c r="A260" s="10" t="s">
        <v>1204</v>
      </c>
      <c r="B260" s="11" t="s">
        <v>1205</v>
      </c>
      <c r="C260" s="11"/>
      <c r="D260" s="11" t="s">
        <v>1206</v>
      </c>
      <c r="E260" s="11">
        <f xml:space="preserve"> IF($T$323,1,0)</f>
        <v>0</v>
      </c>
      <c r="F260" s="11" t="s">
        <v>1207</v>
      </c>
      <c r="G260" s="11">
        <v>0</v>
      </c>
      <c r="H260" s="11">
        <v>0</v>
      </c>
      <c r="I260" s="11">
        <v>0</v>
      </c>
      <c r="J260" s="11">
        <v>0</v>
      </c>
      <c r="K260" s="11">
        <v>0</v>
      </c>
      <c r="L260" s="11">
        <v>0</v>
      </c>
      <c r="M260" s="11">
        <v>0</v>
      </c>
      <c r="N260" s="11">
        <v>0</v>
      </c>
      <c r="O260" s="11">
        <v>0</v>
      </c>
      <c r="P260" s="11">
        <v>0</v>
      </c>
      <c r="Q260" s="11">
        <v>0</v>
      </c>
      <c r="R260" s="12">
        <v>0</v>
      </c>
      <c r="S260" s="12">
        <v>0</v>
      </c>
      <c r="T260" s="12">
        <v>0</v>
      </c>
    </row>
    <row r="261" spans="1:20" x14ac:dyDescent="0.3">
      <c r="A261" s="13" t="s">
        <v>152</v>
      </c>
      <c r="B261" s="14" t="s">
        <v>153</v>
      </c>
      <c r="C261" s="14"/>
      <c r="D261" s="14" t="s">
        <v>154</v>
      </c>
      <c r="E261" s="14">
        <f xml:space="preserve"> IF($T$42,1,0)</f>
        <v>0</v>
      </c>
      <c r="F261" s="14" t="s">
        <v>155</v>
      </c>
      <c r="G261" s="14">
        <v>0</v>
      </c>
      <c r="H261" s="14">
        <v>0</v>
      </c>
      <c r="I261" s="14">
        <v>0</v>
      </c>
      <c r="J261" s="14">
        <v>0</v>
      </c>
      <c r="K261" s="14">
        <v>0</v>
      </c>
      <c r="L261" s="14">
        <v>0</v>
      </c>
      <c r="M261" s="14">
        <v>0</v>
      </c>
      <c r="N261" s="14">
        <v>0</v>
      </c>
      <c r="O261" s="14">
        <v>0</v>
      </c>
      <c r="P261" s="14">
        <v>0</v>
      </c>
      <c r="Q261" s="14">
        <v>0</v>
      </c>
      <c r="R261" s="15">
        <v>0</v>
      </c>
      <c r="S261" s="15">
        <v>0</v>
      </c>
      <c r="T261" s="15">
        <v>0</v>
      </c>
    </row>
    <row r="262" spans="1:20" x14ac:dyDescent="0.3">
      <c r="A262" s="10" t="s">
        <v>623</v>
      </c>
      <c r="B262" s="11" t="s">
        <v>624</v>
      </c>
      <c r="C262" s="11"/>
      <c r="D262" s="11" t="s">
        <v>625</v>
      </c>
      <c r="E262" s="11">
        <f xml:space="preserve"> IF($T$167,1,0)</f>
        <v>0</v>
      </c>
      <c r="F262" s="11" t="s">
        <v>626</v>
      </c>
      <c r="G262" s="11">
        <v>0</v>
      </c>
      <c r="H262" s="11">
        <v>0</v>
      </c>
      <c r="I262" s="11">
        <v>0</v>
      </c>
      <c r="J262" s="11">
        <v>0</v>
      </c>
      <c r="K262" s="11">
        <v>0</v>
      </c>
      <c r="L262" s="11">
        <v>0</v>
      </c>
      <c r="M262" s="11">
        <v>0</v>
      </c>
      <c r="N262" s="11">
        <v>0</v>
      </c>
      <c r="O262" s="11">
        <v>0</v>
      </c>
      <c r="P262" s="11">
        <v>0</v>
      </c>
      <c r="Q262" s="11">
        <v>0</v>
      </c>
      <c r="R262" s="12">
        <v>0</v>
      </c>
      <c r="S262" s="12">
        <v>0</v>
      </c>
      <c r="T262" s="12">
        <v>0</v>
      </c>
    </row>
    <row r="263" spans="1:20" x14ac:dyDescent="0.3">
      <c r="A263" s="10" t="s">
        <v>1126</v>
      </c>
      <c r="B263" s="11" t="s">
        <v>1117</v>
      </c>
      <c r="C263" s="11"/>
      <c r="D263" s="11" t="s">
        <v>1127</v>
      </c>
      <c r="E263" s="11">
        <f xml:space="preserve"> IF($T$301,1,0)</f>
        <v>0</v>
      </c>
      <c r="F263" s="11" t="s">
        <v>1128</v>
      </c>
      <c r="G263" s="11">
        <v>0</v>
      </c>
      <c r="H263" s="11">
        <v>0</v>
      </c>
      <c r="I263" s="11">
        <v>0</v>
      </c>
      <c r="J263" s="11">
        <v>0</v>
      </c>
      <c r="K263" s="11">
        <v>0</v>
      </c>
      <c r="L263" s="11">
        <v>1</v>
      </c>
      <c r="M263" s="11">
        <v>0</v>
      </c>
      <c r="N263" s="11">
        <v>0</v>
      </c>
      <c r="O263" s="11">
        <v>0</v>
      </c>
      <c r="P263" s="11">
        <v>0</v>
      </c>
      <c r="Q263" s="11">
        <v>0</v>
      </c>
      <c r="R263" s="12">
        <v>2</v>
      </c>
      <c r="S263" s="12">
        <v>0</v>
      </c>
      <c r="T263" s="12">
        <v>2</v>
      </c>
    </row>
    <row r="264" spans="1:20" x14ac:dyDescent="0.3">
      <c r="A264" s="10" t="s">
        <v>1233</v>
      </c>
      <c r="B264" s="11" t="s">
        <v>1230</v>
      </c>
      <c r="C264" s="11"/>
      <c r="D264" s="11" t="s">
        <v>1234</v>
      </c>
      <c r="E264" s="11">
        <f xml:space="preserve"> IF($T$331,1,0)</f>
        <v>0</v>
      </c>
      <c r="F264" s="11" t="s">
        <v>1235</v>
      </c>
      <c r="G264" s="11">
        <v>0</v>
      </c>
      <c r="H264" s="11">
        <v>0</v>
      </c>
      <c r="I264" s="11">
        <v>0</v>
      </c>
      <c r="J264" s="11">
        <v>0</v>
      </c>
      <c r="K264" s="11">
        <v>0</v>
      </c>
      <c r="L264" s="11">
        <v>0</v>
      </c>
      <c r="M264" s="11">
        <v>0</v>
      </c>
      <c r="N264" s="11">
        <v>0</v>
      </c>
      <c r="O264" s="11">
        <v>0</v>
      </c>
      <c r="P264" s="11">
        <v>0</v>
      </c>
      <c r="Q264" s="11">
        <v>0</v>
      </c>
      <c r="R264" s="12">
        <v>0</v>
      </c>
      <c r="S264" s="12">
        <v>0</v>
      </c>
      <c r="T264" s="12">
        <v>0</v>
      </c>
    </row>
    <row r="265" spans="1:20" x14ac:dyDescent="0.3">
      <c r="A265" s="13" t="s">
        <v>1229</v>
      </c>
      <c r="B265" s="14" t="s">
        <v>1230</v>
      </c>
      <c r="C265" s="14"/>
      <c r="D265" s="14" t="s">
        <v>1231</v>
      </c>
      <c r="E265" s="14">
        <f xml:space="preserve"> IF($T$330,1,0)</f>
        <v>0</v>
      </c>
      <c r="F265" s="14" t="s">
        <v>1232</v>
      </c>
      <c r="G265" s="14">
        <v>0</v>
      </c>
      <c r="H265" s="14">
        <v>0</v>
      </c>
      <c r="I265" s="14">
        <v>0</v>
      </c>
      <c r="J265" s="14">
        <v>0</v>
      </c>
      <c r="K265" s="14">
        <v>0</v>
      </c>
      <c r="L265" s="14">
        <v>0</v>
      </c>
      <c r="M265" s="14">
        <v>0</v>
      </c>
      <c r="N265" s="14">
        <v>0</v>
      </c>
      <c r="O265" s="14">
        <v>0</v>
      </c>
      <c r="P265" s="14">
        <v>0</v>
      </c>
      <c r="Q265" s="14">
        <v>0</v>
      </c>
      <c r="R265" s="15">
        <v>0</v>
      </c>
      <c r="S265" s="15">
        <v>0</v>
      </c>
      <c r="T265" s="15">
        <v>0</v>
      </c>
    </row>
    <row r="266" spans="1:20" x14ac:dyDescent="0.3">
      <c r="A266" s="13" t="s">
        <v>357</v>
      </c>
      <c r="B266" s="14" t="s">
        <v>358</v>
      </c>
      <c r="C266" s="14" t="s">
        <v>34</v>
      </c>
      <c r="D266" s="14" t="s">
        <v>359</v>
      </c>
      <c r="E266" s="14">
        <f xml:space="preserve"> IF($T$96,1,0)</f>
        <v>1</v>
      </c>
      <c r="F266" s="14" t="s">
        <v>360</v>
      </c>
      <c r="G266" s="14">
        <v>0</v>
      </c>
      <c r="H266" s="14">
        <v>0</v>
      </c>
      <c r="I266" s="14">
        <v>0</v>
      </c>
      <c r="J266" s="14">
        <v>0</v>
      </c>
      <c r="K266" s="14">
        <v>0</v>
      </c>
      <c r="L266" s="14">
        <v>0</v>
      </c>
      <c r="M266" s="14">
        <v>0</v>
      </c>
      <c r="N266" s="14">
        <v>0</v>
      </c>
      <c r="O266" s="14">
        <v>0</v>
      </c>
      <c r="P266" s="14">
        <v>0</v>
      </c>
      <c r="Q266" s="14">
        <v>0</v>
      </c>
      <c r="R266" s="15">
        <v>0</v>
      </c>
      <c r="S266" s="15">
        <v>0</v>
      </c>
      <c r="T266" s="15">
        <v>0</v>
      </c>
    </row>
    <row r="267" spans="1:20" x14ac:dyDescent="0.3">
      <c r="A267" s="13" t="s">
        <v>136</v>
      </c>
      <c r="B267" s="14" t="s">
        <v>137</v>
      </c>
      <c r="C267" s="14"/>
      <c r="D267" s="14" t="s">
        <v>138</v>
      </c>
      <c r="E267" s="14">
        <f xml:space="preserve"> IF($T$38,1,0)</f>
        <v>0</v>
      </c>
      <c r="F267" s="14" t="s">
        <v>139</v>
      </c>
      <c r="G267" s="14">
        <v>0</v>
      </c>
      <c r="H267" s="14">
        <v>0</v>
      </c>
      <c r="I267" s="14">
        <v>0</v>
      </c>
      <c r="J267" s="14">
        <v>0</v>
      </c>
      <c r="K267" s="14">
        <v>0</v>
      </c>
      <c r="L267" s="14">
        <v>0</v>
      </c>
      <c r="M267" s="14">
        <v>0</v>
      </c>
      <c r="N267" s="14">
        <v>0</v>
      </c>
      <c r="O267" s="14">
        <v>0</v>
      </c>
      <c r="P267" s="14">
        <v>0</v>
      </c>
      <c r="Q267" s="14">
        <v>0</v>
      </c>
      <c r="R267" s="15">
        <v>0</v>
      </c>
      <c r="S267" s="15">
        <v>0</v>
      </c>
      <c r="T267" s="15">
        <v>0</v>
      </c>
    </row>
    <row r="268" spans="1:20" x14ac:dyDescent="0.3">
      <c r="A268" s="13" t="s">
        <v>216</v>
      </c>
      <c r="B268" s="14" t="s">
        <v>217</v>
      </c>
      <c r="C268" s="14"/>
      <c r="D268" s="14" t="s">
        <v>218</v>
      </c>
      <c r="E268" s="14">
        <f xml:space="preserve"> IF($T$60,1,0)</f>
        <v>0</v>
      </c>
      <c r="F268" s="14" t="s">
        <v>219</v>
      </c>
      <c r="G268" s="14">
        <v>0</v>
      </c>
      <c r="H268" s="14">
        <v>0</v>
      </c>
      <c r="I268" s="14">
        <v>0</v>
      </c>
      <c r="J268" s="14">
        <v>0</v>
      </c>
      <c r="K268" s="14">
        <v>0</v>
      </c>
      <c r="L268" s="14">
        <v>0</v>
      </c>
      <c r="M268" s="14">
        <v>0</v>
      </c>
      <c r="N268" s="14">
        <v>0</v>
      </c>
      <c r="O268" s="14">
        <v>0</v>
      </c>
      <c r="P268" s="14">
        <v>0</v>
      </c>
      <c r="Q268" s="14">
        <v>0</v>
      </c>
      <c r="R268" s="15">
        <v>0</v>
      </c>
      <c r="S268" s="15">
        <v>0</v>
      </c>
      <c r="T268" s="15">
        <v>0</v>
      </c>
    </row>
    <row r="269" spans="1:20" x14ac:dyDescent="0.3">
      <c r="A269" s="13" t="s">
        <v>1109</v>
      </c>
      <c r="B269" s="14" t="s">
        <v>1110</v>
      </c>
      <c r="C269" s="14" t="s">
        <v>34</v>
      </c>
      <c r="D269" s="14" t="s">
        <v>1111</v>
      </c>
      <c r="E269" s="14">
        <f xml:space="preserve"> IF($T$296,1,0)</f>
        <v>0</v>
      </c>
      <c r="F269" s="14" t="s">
        <v>1112</v>
      </c>
      <c r="G269" s="14">
        <v>0</v>
      </c>
      <c r="H269" s="14">
        <v>0</v>
      </c>
      <c r="I269" s="14">
        <v>0</v>
      </c>
      <c r="J269" s="14">
        <v>0</v>
      </c>
      <c r="K269" s="14">
        <v>0</v>
      </c>
      <c r="L269" s="14">
        <v>0</v>
      </c>
      <c r="M269" s="14">
        <v>0</v>
      </c>
      <c r="N269" s="14">
        <v>0</v>
      </c>
      <c r="O269" s="14">
        <v>0</v>
      </c>
      <c r="P269" s="14">
        <v>0</v>
      </c>
      <c r="Q269" s="14">
        <v>0</v>
      </c>
      <c r="R269" s="15">
        <v>0</v>
      </c>
      <c r="S269" s="15">
        <v>0</v>
      </c>
      <c r="T269" s="15">
        <v>0</v>
      </c>
    </row>
    <row r="270" spans="1:20" x14ac:dyDescent="0.3">
      <c r="A270" s="13" t="s">
        <v>1051</v>
      </c>
      <c r="B270" s="14" t="s">
        <v>1052</v>
      </c>
      <c r="C270" s="14" t="s">
        <v>34</v>
      </c>
      <c r="D270" s="14" t="s">
        <v>1053</v>
      </c>
      <c r="E270" s="14">
        <f xml:space="preserve"> IF($T$280,1,0)</f>
        <v>0</v>
      </c>
      <c r="F270" s="14" t="s">
        <v>1054</v>
      </c>
      <c r="G270" s="14">
        <v>0</v>
      </c>
      <c r="H270" s="14">
        <v>0</v>
      </c>
      <c r="I270" s="14">
        <v>0</v>
      </c>
      <c r="J270" s="14">
        <v>0</v>
      </c>
      <c r="K270" s="14">
        <v>0</v>
      </c>
      <c r="L270" s="14">
        <v>0</v>
      </c>
      <c r="M270" s="14">
        <v>0</v>
      </c>
      <c r="N270" s="14">
        <v>0</v>
      </c>
      <c r="O270" s="14">
        <v>0</v>
      </c>
      <c r="P270" s="14">
        <v>0</v>
      </c>
      <c r="Q270" s="14">
        <v>0</v>
      </c>
      <c r="R270" s="15">
        <v>0</v>
      </c>
      <c r="S270" s="15">
        <v>0</v>
      </c>
      <c r="T270" s="15">
        <v>0</v>
      </c>
    </row>
    <row r="271" spans="1:20" x14ac:dyDescent="0.3">
      <c r="A271" s="10" t="s">
        <v>568</v>
      </c>
      <c r="B271" s="11" t="s">
        <v>569</v>
      </c>
      <c r="C271" s="11"/>
      <c r="D271" s="11" t="s">
        <v>570</v>
      </c>
      <c r="E271" s="11">
        <f xml:space="preserve"> IF($T$153,1,0)</f>
        <v>0</v>
      </c>
      <c r="F271" s="11" t="s">
        <v>571</v>
      </c>
      <c r="G271" s="11">
        <v>0</v>
      </c>
      <c r="H271" s="11">
        <v>0</v>
      </c>
      <c r="I271" s="11">
        <v>0</v>
      </c>
      <c r="J271" s="11">
        <v>0</v>
      </c>
      <c r="K271" s="11">
        <v>0</v>
      </c>
      <c r="L271" s="11">
        <v>0</v>
      </c>
      <c r="M271" s="11">
        <v>0</v>
      </c>
      <c r="N271" s="11">
        <v>0</v>
      </c>
      <c r="O271" s="11">
        <v>0</v>
      </c>
      <c r="P271" s="11">
        <v>0</v>
      </c>
      <c r="Q271" s="11">
        <v>0</v>
      </c>
      <c r="R271" s="12">
        <v>0</v>
      </c>
      <c r="S271" s="12">
        <v>0</v>
      </c>
      <c r="T271" s="12">
        <v>0</v>
      </c>
    </row>
    <row r="272" spans="1:20" x14ac:dyDescent="0.3">
      <c r="A272" s="13" t="s">
        <v>386</v>
      </c>
      <c r="B272" s="14" t="s">
        <v>387</v>
      </c>
      <c r="C272" s="14" t="s">
        <v>278</v>
      </c>
      <c r="D272" s="14" t="s">
        <v>388</v>
      </c>
      <c r="E272" s="14">
        <f xml:space="preserve"> IF($T$104,1,0)</f>
        <v>0</v>
      </c>
      <c r="F272" s="14" t="s">
        <v>389</v>
      </c>
      <c r="G272" s="14">
        <v>0</v>
      </c>
      <c r="H272" s="14">
        <v>0</v>
      </c>
      <c r="I272" s="14">
        <v>0</v>
      </c>
      <c r="J272" s="14">
        <v>0</v>
      </c>
      <c r="K272" s="14">
        <v>0</v>
      </c>
      <c r="L272" s="14">
        <v>0</v>
      </c>
      <c r="M272" s="14">
        <v>0</v>
      </c>
      <c r="N272" s="14">
        <v>0</v>
      </c>
      <c r="O272" s="14">
        <v>0</v>
      </c>
      <c r="P272" s="14">
        <v>0</v>
      </c>
      <c r="Q272" s="14">
        <v>0</v>
      </c>
      <c r="R272" s="15">
        <v>0</v>
      </c>
      <c r="S272" s="15">
        <v>0</v>
      </c>
      <c r="T272" s="15">
        <v>0</v>
      </c>
    </row>
    <row r="273" spans="1:20" x14ac:dyDescent="0.3">
      <c r="A273" s="10" t="s">
        <v>164</v>
      </c>
      <c r="B273" s="11" t="s">
        <v>165</v>
      </c>
      <c r="C273" s="11"/>
      <c r="D273" s="11" t="s">
        <v>166</v>
      </c>
      <c r="E273" s="11">
        <f xml:space="preserve"> IF($T$45,1,0)</f>
        <v>1</v>
      </c>
      <c r="F273" s="11" t="s">
        <v>167</v>
      </c>
      <c r="G273" s="11">
        <v>0</v>
      </c>
      <c r="H273" s="11">
        <v>0</v>
      </c>
      <c r="I273" s="11">
        <v>0</v>
      </c>
      <c r="J273" s="11">
        <v>0</v>
      </c>
      <c r="K273" s="11">
        <v>0</v>
      </c>
      <c r="L273" s="11">
        <v>0</v>
      </c>
      <c r="M273" s="11">
        <v>0</v>
      </c>
      <c r="N273" s="11">
        <v>0</v>
      </c>
      <c r="O273" s="11">
        <v>0</v>
      </c>
      <c r="P273" s="11">
        <v>0</v>
      </c>
      <c r="Q273" s="11">
        <v>0</v>
      </c>
      <c r="R273" s="12">
        <v>0</v>
      </c>
      <c r="S273" s="12">
        <v>0</v>
      </c>
      <c r="T273" s="12">
        <v>0</v>
      </c>
    </row>
    <row r="274" spans="1:20" x14ac:dyDescent="0.3">
      <c r="A274" s="10" t="s">
        <v>926</v>
      </c>
      <c r="B274" s="11" t="s">
        <v>927</v>
      </c>
      <c r="C274" s="11"/>
      <c r="D274" s="11" t="s">
        <v>928</v>
      </c>
      <c r="E274" s="11">
        <f xml:space="preserve"> IF($T$247,1,0)</f>
        <v>1</v>
      </c>
      <c r="F274" s="11" t="s">
        <v>929</v>
      </c>
      <c r="G274" s="11">
        <v>0</v>
      </c>
      <c r="H274" s="11">
        <v>0</v>
      </c>
      <c r="I274" s="11">
        <v>0</v>
      </c>
      <c r="J274" s="11">
        <v>0</v>
      </c>
      <c r="K274" s="11">
        <v>0</v>
      </c>
      <c r="L274" s="11">
        <v>0</v>
      </c>
      <c r="M274" s="11">
        <v>0</v>
      </c>
      <c r="N274" s="11">
        <v>0</v>
      </c>
      <c r="O274" s="11">
        <v>0</v>
      </c>
      <c r="P274" s="11">
        <v>0</v>
      </c>
      <c r="Q274" s="11">
        <v>0</v>
      </c>
      <c r="R274" s="12">
        <v>0</v>
      </c>
      <c r="S274" s="12">
        <v>0</v>
      </c>
      <c r="T274" s="12">
        <v>0</v>
      </c>
    </row>
    <row r="275" spans="1:20" x14ac:dyDescent="0.3">
      <c r="A275" s="10" t="s">
        <v>1018</v>
      </c>
      <c r="B275" s="11" t="s">
        <v>1015</v>
      </c>
      <c r="C275" s="11"/>
      <c r="D275" s="11" t="s">
        <v>1019</v>
      </c>
      <c r="E275" s="11">
        <f xml:space="preserve"> IF($T$271,1,0)</f>
        <v>0</v>
      </c>
      <c r="F275" s="11" t="s">
        <v>1020</v>
      </c>
      <c r="G275" s="11">
        <v>0</v>
      </c>
      <c r="H275" s="11">
        <v>0</v>
      </c>
      <c r="I275" s="11">
        <v>0</v>
      </c>
      <c r="J275" s="11">
        <v>0</v>
      </c>
      <c r="K275" s="11">
        <v>0</v>
      </c>
      <c r="L275" s="11">
        <v>0</v>
      </c>
      <c r="M275" s="11">
        <v>0</v>
      </c>
      <c r="N275" s="11">
        <v>0</v>
      </c>
      <c r="O275" s="11">
        <v>0</v>
      </c>
      <c r="P275" s="11">
        <v>0</v>
      </c>
      <c r="Q275" s="11">
        <v>0</v>
      </c>
      <c r="R275" s="12">
        <v>0</v>
      </c>
      <c r="S275" s="12">
        <v>0</v>
      </c>
      <c r="T275" s="12">
        <v>0</v>
      </c>
    </row>
    <row r="276" spans="1:20" x14ac:dyDescent="0.3">
      <c r="A276" s="13" t="s">
        <v>627</v>
      </c>
      <c r="B276" s="14" t="s">
        <v>624</v>
      </c>
      <c r="C276" s="14"/>
      <c r="D276" s="14" t="s">
        <v>628</v>
      </c>
      <c r="E276" s="14">
        <f xml:space="preserve"> IF($T$168,1,0)</f>
        <v>0</v>
      </c>
      <c r="F276" s="14" t="s">
        <v>629</v>
      </c>
      <c r="G276" s="14">
        <v>0</v>
      </c>
      <c r="H276" s="14">
        <v>0</v>
      </c>
      <c r="I276" s="14">
        <v>0</v>
      </c>
      <c r="J276" s="14">
        <v>0</v>
      </c>
      <c r="K276" s="14">
        <v>0</v>
      </c>
      <c r="L276" s="14">
        <v>0</v>
      </c>
      <c r="M276" s="14">
        <v>0</v>
      </c>
      <c r="N276" s="14">
        <v>0</v>
      </c>
      <c r="O276" s="14">
        <v>0</v>
      </c>
      <c r="P276" s="14">
        <v>0</v>
      </c>
      <c r="Q276" s="14">
        <v>0</v>
      </c>
      <c r="R276" s="15">
        <v>0</v>
      </c>
      <c r="S276" s="15">
        <v>0</v>
      </c>
      <c r="T276" s="15">
        <v>0</v>
      </c>
    </row>
    <row r="277" spans="1:20" x14ac:dyDescent="0.3">
      <c r="A277" s="13" t="s">
        <v>505</v>
      </c>
      <c r="B277" s="14" t="s">
        <v>502</v>
      </c>
      <c r="C277" s="14"/>
      <c r="D277" s="14" t="s">
        <v>232</v>
      </c>
      <c r="E277" s="14">
        <f xml:space="preserve"> IF($T$136,1,0)</f>
        <v>1</v>
      </c>
      <c r="F277" s="14" t="s">
        <v>506</v>
      </c>
      <c r="G277" s="14">
        <v>0</v>
      </c>
      <c r="H277" s="14">
        <v>0</v>
      </c>
      <c r="I277" s="14">
        <v>0</v>
      </c>
      <c r="J277" s="14">
        <v>0</v>
      </c>
      <c r="K277" s="14">
        <v>0</v>
      </c>
      <c r="L277" s="14">
        <v>0</v>
      </c>
      <c r="M277" s="14">
        <v>0</v>
      </c>
      <c r="N277" s="14">
        <v>0</v>
      </c>
      <c r="O277" s="14">
        <v>0</v>
      </c>
      <c r="P277" s="14">
        <v>0</v>
      </c>
      <c r="Q277" s="14">
        <v>0</v>
      </c>
      <c r="R277" s="15">
        <v>0</v>
      </c>
      <c r="S277" s="15">
        <v>0</v>
      </c>
      <c r="T277" s="15">
        <v>0</v>
      </c>
    </row>
    <row r="278" spans="1:20" x14ac:dyDescent="0.3">
      <c r="A278" s="10" t="s">
        <v>692</v>
      </c>
      <c r="B278" s="11" t="s">
        <v>693</v>
      </c>
      <c r="C278" s="11" t="s">
        <v>65</v>
      </c>
      <c r="D278" s="11" t="s">
        <v>694</v>
      </c>
      <c r="E278" s="11">
        <f xml:space="preserve"> IF($T$185,1,0)</f>
        <v>0</v>
      </c>
      <c r="F278" s="11" t="s">
        <v>695</v>
      </c>
      <c r="G278" s="11">
        <v>0</v>
      </c>
      <c r="H278" s="11">
        <v>0</v>
      </c>
      <c r="I278" s="11">
        <v>0</v>
      </c>
      <c r="J278" s="11">
        <v>0</v>
      </c>
      <c r="K278" s="11">
        <v>0</v>
      </c>
      <c r="L278" s="11">
        <v>0</v>
      </c>
      <c r="M278" s="11">
        <v>0</v>
      </c>
      <c r="N278" s="11">
        <v>0</v>
      </c>
      <c r="O278" s="11">
        <v>0</v>
      </c>
      <c r="P278" s="11">
        <v>0</v>
      </c>
      <c r="Q278" s="11">
        <v>0</v>
      </c>
      <c r="R278" s="12">
        <v>0</v>
      </c>
      <c r="S278" s="12">
        <v>0</v>
      </c>
      <c r="T278" s="12">
        <v>0</v>
      </c>
    </row>
    <row r="279" spans="1:20" x14ac:dyDescent="0.3">
      <c r="A279" s="13" t="s">
        <v>877</v>
      </c>
      <c r="B279" s="14" t="s">
        <v>878</v>
      </c>
      <c r="C279" s="14"/>
      <c r="D279" s="14" t="s">
        <v>879</v>
      </c>
      <c r="E279" s="14">
        <f xml:space="preserve"> IF($T$234,1,0)</f>
        <v>0</v>
      </c>
      <c r="F279" s="14" t="s">
        <v>880</v>
      </c>
      <c r="G279" s="14">
        <v>0</v>
      </c>
      <c r="H279" s="14">
        <v>0</v>
      </c>
      <c r="I279" s="14">
        <v>0</v>
      </c>
      <c r="J279" s="14">
        <v>0</v>
      </c>
      <c r="K279" s="14">
        <v>0</v>
      </c>
      <c r="L279" s="14">
        <v>0</v>
      </c>
      <c r="M279" s="14">
        <v>0</v>
      </c>
      <c r="N279" s="14">
        <v>0</v>
      </c>
      <c r="O279" s="14">
        <v>0</v>
      </c>
      <c r="P279" s="14">
        <v>0</v>
      </c>
      <c r="Q279" s="14">
        <v>0</v>
      </c>
      <c r="R279" s="15">
        <v>0</v>
      </c>
      <c r="S279" s="15">
        <v>0</v>
      </c>
      <c r="T279" s="15">
        <v>0</v>
      </c>
    </row>
    <row r="280" spans="1:20" x14ac:dyDescent="0.3">
      <c r="A280" s="10" t="s">
        <v>1033</v>
      </c>
      <c r="B280" s="11" t="s">
        <v>1030</v>
      </c>
      <c r="C280" s="11"/>
      <c r="D280" s="11" t="s">
        <v>1034</v>
      </c>
      <c r="E280" s="11">
        <f xml:space="preserve"> IF($T$275,1,0)</f>
        <v>0</v>
      </c>
      <c r="F280" s="11" t="s">
        <v>1035</v>
      </c>
      <c r="G280" s="11">
        <v>0</v>
      </c>
      <c r="H280" s="11">
        <v>0</v>
      </c>
      <c r="I280" s="11">
        <v>0</v>
      </c>
      <c r="J280" s="11">
        <v>0</v>
      </c>
      <c r="K280" s="11">
        <v>0</v>
      </c>
      <c r="L280" s="11">
        <v>0</v>
      </c>
      <c r="M280" s="11">
        <v>0</v>
      </c>
      <c r="N280" s="11">
        <v>0</v>
      </c>
      <c r="O280" s="11">
        <v>0</v>
      </c>
      <c r="P280" s="11">
        <v>0</v>
      </c>
      <c r="Q280" s="11">
        <v>0</v>
      </c>
      <c r="R280" s="12">
        <v>0</v>
      </c>
      <c r="S280" s="12">
        <v>0</v>
      </c>
      <c r="T280" s="12">
        <v>0</v>
      </c>
    </row>
    <row r="281" spans="1:20" x14ac:dyDescent="0.3">
      <c r="A281" s="13" t="s">
        <v>83</v>
      </c>
      <c r="B281" s="14" t="s">
        <v>84</v>
      </c>
      <c r="C281" s="14"/>
      <c r="D281" s="14" t="s">
        <v>81</v>
      </c>
      <c r="E281" s="14">
        <f xml:space="preserve"> IF($T$24,1,0)</f>
        <v>0</v>
      </c>
      <c r="F281" s="14" t="s">
        <v>85</v>
      </c>
      <c r="G281" s="14">
        <v>0</v>
      </c>
      <c r="H281" s="14">
        <v>0</v>
      </c>
      <c r="I281" s="14">
        <v>0</v>
      </c>
      <c r="J281" s="14">
        <v>0</v>
      </c>
      <c r="K281" s="14">
        <v>0</v>
      </c>
      <c r="L281" s="14">
        <v>0</v>
      </c>
      <c r="M281" s="14">
        <v>0</v>
      </c>
      <c r="N281" s="14">
        <v>0</v>
      </c>
      <c r="O281" s="14">
        <v>0</v>
      </c>
      <c r="P281" s="14">
        <v>0</v>
      </c>
      <c r="Q281" s="14">
        <v>0</v>
      </c>
      <c r="R281" s="15">
        <v>0</v>
      </c>
      <c r="S281" s="15">
        <v>0</v>
      </c>
      <c r="T281" s="15">
        <v>0</v>
      </c>
    </row>
    <row r="282" spans="1:20" x14ac:dyDescent="0.3">
      <c r="A282" s="10" t="s">
        <v>774</v>
      </c>
      <c r="B282" s="11" t="s">
        <v>775</v>
      </c>
      <c r="C282" s="11"/>
      <c r="D282" s="11" t="s">
        <v>776</v>
      </c>
      <c r="E282" s="11">
        <f xml:space="preserve"> IF($T$207,1,0)</f>
        <v>0</v>
      </c>
      <c r="F282" s="11" t="s">
        <v>777</v>
      </c>
      <c r="G282" s="11">
        <v>0</v>
      </c>
      <c r="H282" s="11">
        <v>0</v>
      </c>
      <c r="I282" s="11">
        <v>0</v>
      </c>
      <c r="J282" s="11">
        <v>0</v>
      </c>
      <c r="K282" s="11">
        <v>0</v>
      </c>
      <c r="L282" s="11">
        <v>0</v>
      </c>
      <c r="M282" s="11">
        <v>0</v>
      </c>
      <c r="N282" s="11">
        <v>0</v>
      </c>
      <c r="O282" s="11">
        <v>0</v>
      </c>
      <c r="P282" s="11">
        <v>0</v>
      </c>
      <c r="Q282" s="11">
        <v>0</v>
      </c>
      <c r="R282" s="12">
        <v>0</v>
      </c>
      <c r="S282" s="12">
        <v>0</v>
      </c>
      <c r="T282" s="12">
        <v>0</v>
      </c>
    </row>
    <row r="283" spans="1:20" x14ac:dyDescent="0.3">
      <c r="A283" s="10" t="s">
        <v>890</v>
      </c>
      <c r="B283" s="11" t="s">
        <v>886</v>
      </c>
      <c r="C283" s="11"/>
      <c r="D283" s="11" t="s">
        <v>891</v>
      </c>
      <c r="E283" s="11">
        <f xml:space="preserve"> IF($T$237,1,0)</f>
        <v>0</v>
      </c>
      <c r="F283" s="11" t="s">
        <v>892</v>
      </c>
      <c r="G283" s="11">
        <v>0</v>
      </c>
      <c r="H283" s="11">
        <v>0</v>
      </c>
      <c r="I283" s="11">
        <v>0</v>
      </c>
      <c r="J283" s="11">
        <v>0</v>
      </c>
      <c r="K283" s="11">
        <v>0</v>
      </c>
      <c r="L283" s="11">
        <v>0</v>
      </c>
      <c r="M283" s="11">
        <v>0</v>
      </c>
      <c r="N283" s="11">
        <v>0</v>
      </c>
      <c r="O283" s="11">
        <v>0</v>
      </c>
      <c r="P283" s="11">
        <v>0</v>
      </c>
      <c r="Q283" s="11">
        <v>0</v>
      </c>
      <c r="R283" s="12">
        <v>0</v>
      </c>
      <c r="S283" s="12">
        <v>0</v>
      </c>
      <c r="T283" s="12">
        <v>0</v>
      </c>
    </row>
    <row r="284" spans="1:20" x14ac:dyDescent="0.3">
      <c r="A284" s="10" t="s">
        <v>305</v>
      </c>
      <c r="B284" s="11" t="s">
        <v>306</v>
      </c>
      <c r="C284" s="11"/>
      <c r="D284" s="11" t="s">
        <v>307</v>
      </c>
      <c r="E284" s="11">
        <f xml:space="preserve"> IF($T$83,1,0)</f>
        <v>0</v>
      </c>
      <c r="F284" s="11" t="s">
        <v>308</v>
      </c>
      <c r="G284" s="11">
        <v>0</v>
      </c>
      <c r="H284" s="11">
        <v>0</v>
      </c>
      <c r="I284" s="11">
        <v>0</v>
      </c>
      <c r="J284" s="11">
        <v>0</v>
      </c>
      <c r="K284" s="11">
        <v>0</v>
      </c>
      <c r="L284" s="11">
        <v>0</v>
      </c>
      <c r="M284" s="11">
        <v>0</v>
      </c>
      <c r="N284" s="11">
        <v>0</v>
      </c>
      <c r="O284" s="11">
        <v>0</v>
      </c>
      <c r="P284" s="11">
        <v>0</v>
      </c>
      <c r="Q284" s="11">
        <v>0</v>
      </c>
      <c r="R284" s="12">
        <v>0</v>
      </c>
      <c r="S284" s="12">
        <v>0</v>
      </c>
      <c r="T284" s="12">
        <v>0</v>
      </c>
    </row>
    <row r="285" spans="1:20" x14ac:dyDescent="0.3">
      <c r="A285" s="13" t="s">
        <v>893</v>
      </c>
      <c r="B285" s="14" t="s">
        <v>894</v>
      </c>
      <c r="C285" s="14"/>
      <c r="D285" s="14" t="s">
        <v>895</v>
      </c>
      <c r="E285" s="14">
        <f xml:space="preserve"> IF($T$238,1,0)</f>
        <v>0</v>
      </c>
      <c r="F285" s="14" t="s">
        <v>896</v>
      </c>
      <c r="G285" s="14">
        <v>0</v>
      </c>
      <c r="H285" s="14">
        <v>0</v>
      </c>
      <c r="I285" s="14">
        <v>0</v>
      </c>
      <c r="J285" s="14">
        <v>0</v>
      </c>
      <c r="K285" s="14">
        <v>0</v>
      </c>
      <c r="L285" s="14">
        <v>0</v>
      </c>
      <c r="M285" s="14">
        <v>0</v>
      </c>
      <c r="N285" s="14">
        <v>0</v>
      </c>
      <c r="O285" s="14">
        <v>0</v>
      </c>
      <c r="P285" s="14">
        <v>0</v>
      </c>
      <c r="Q285" s="14">
        <v>0</v>
      </c>
      <c r="R285" s="15">
        <v>0</v>
      </c>
      <c r="S285" s="15">
        <v>0</v>
      </c>
      <c r="T285" s="15">
        <v>0</v>
      </c>
    </row>
    <row r="286" spans="1:20" x14ac:dyDescent="0.3">
      <c r="A286" s="10" t="s">
        <v>1070</v>
      </c>
      <c r="B286" s="11" t="s">
        <v>1071</v>
      </c>
      <c r="C286" s="11"/>
      <c r="D286" s="11" t="s">
        <v>1072</v>
      </c>
      <c r="E286" s="11">
        <f xml:space="preserve"> IF($T$285,1,0)</f>
        <v>0</v>
      </c>
      <c r="F286" s="11" t="s">
        <v>1073</v>
      </c>
      <c r="G286" s="11">
        <v>0</v>
      </c>
      <c r="H286" s="11">
        <v>0</v>
      </c>
      <c r="I286" s="11">
        <v>0</v>
      </c>
      <c r="J286" s="11">
        <v>0</v>
      </c>
      <c r="K286" s="11">
        <v>0</v>
      </c>
      <c r="L286" s="11">
        <v>0</v>
      </c>
      <c r="M286" s="11">
        <v>0</v>
      </c>
      <c r="N286" s="11">
        <v>0</v>
      </c>
      <c r="O286" s="11">
        <v>0</v>
      </c>
      <c r="P286" s="11">
        <v>0</v>
      </c>
      <c r="Q286" s="11">
        <v>0</v>
      </c>
      <c r="R286" s="12">
        <v>0</v>
      </c>
      <c r="S286" s="12">
        <v>0</v>
      </c>
      <c r="T286" s="12">
        <v>0</v>
      </c>
    </row>
    <row r="287" spans="1:20" x14ac:dyDescent="0.3">
      <c r="A287" s="13" t="s">
        <v>885</v>
      </c>
      <c r="B287" s="14" t="s">
        <v>886</v>
      </c>
      <c r="C287" s="14" t="s">
        <v>887</v>
      </c>
      <c r="D287" s="14" t="s">
        <v>888</v>
      </c>
      <c r="E287" s="14">
        <f xml:space="preserve"> IF($T$236,1,0)</f>
        <v>0</v>
      </c>
      <c r="F287" s="14" t="s">
        <v>889</v>
      </c>
      <c r="G287" s="14">
        <v>0</v>
      </c>
      <c r="H287" s="14">
        <v>0</v>
      </c>
      <c r="I287" s="14">
        <v>0</v>
      </c>
      <c r="J287" s="14">
        <v>0</v>
      </c>
      <c r="K287" s="14">
        <v>0</v>
      </c>
      <c r="L287" s="14">
        <v>0</v>
      </c>
      <c r="M287" s="14">
        <v>0</v>
      </c>
      <c r="N287" s="14">
        <v>0</v>
      </c>
      <c r="O287" s="14">
        <v>0</v>
      </c>
      <c r="P287" s="14">
        <v>0</v>
      </c>
      <c r="Q287" s="14">
        <v>0</v>
      </c>
      <c r="R287" s="15">
        <v>0</v>
      </c>
      <c r="S287" s="15">
        <v>0</v>
      </c>
      <c r="T287" s="15">
        <v>0</v>
      </c>
    </row>
    <row r="288" spans="1:20" x14ac:dyDescent="0.3">
      <c r="A288" s="10" t="s">
        <v>313</v>
      </c>
      <c r="B288" s="11" t="s">
        <v>314</v>
      </c>
      <c r="C288" s="11"/>
      <c r="D288" s="11" t="s">
        <v>315</v>
      </c>
      <c r="E288" s="11">
        <f xml:space="preserve"> IF($T$85,1,0)</f>
        <v>0</v>
      </c>
      <c r="F288" s="11" t="s">
        <v>316</v>
      </c>
      <c r="G288" s="11">
        <v>0</v>
      </c>
      <c r="H288" s="11">
        <v>0</v>
      </c>
      <c r="I288" s="11">
        <v>0</v>
      </c>
      <c r="J288" s="11">
        <v>0</v>
      </c>
      <c r="K288" s="11">
        <v>0</v>
      </c>
      <c r="L288" s="11">
        <v>0</v>
      </c>
      <c r="M288" s="11">
        <v>0</v>
      </c>
      <c r="N288" s="11">
        <v>0</v>
      </c>
      <c r="O288" s="11">
        <v>0</v>
      </c>
      <c r="P288" s="11">
        <v>0</v>
      </c>
      <c r="Q288" s="11">
        <v>0</v>
      </c>
      <c r="R288" s="12">
        <v>0</v>
      </c>
      <c r="S288" s="12">
        <v>0</v>
      </c>
      <c r="T288" s="12">
        <v>0</v>
      </c>
    </row>
    <row r="289" spans="1:20" x14ac:dyDescent="0.3">
      <c r="A289" s="10" t="s">
        <v>615</v>
      </c>
      <c r="B289" s="11" t="s">
        <v>616</v>
      </c>
      <c r="C289" s="11"/>
      <c r="D289" s="11" t="s">
        <v>617</v>
      </c>
      <c r="E289" s="11">
        <f xml:space="preserve"> IF($T$165,1,0)</f>
        <v>0</v>
      </c>
      <c r="F289" s="11" t="s">
        <v>618</v>
      </c>
      <c r="G289" s="11">
        <v>0</v>
      </c>
      <c r="H289" s="11">
        <v>0</v>
      </c>
      <c r="I289" s="11">
        <v>0</v>
      </c>
      <c r="J289" s="11">
        <v>0</v>
      </c>
      <c r="K289" s="11">
        <v>0</v>
      </c>
      <c r="L289" s="11">
        <v>0</v>
      </c>
      <c r="M289" s="11">
        <v>0</v>
      </c>
      <c r="N289" s="11">
        <v>0</v>
      </c>
      <c r="O289" s="11">
        <v>0</v>
      </c>
      <c r="P289" s="11">
        <v>0</v>
      </c>
      <c r="Q289" s="11">
        <v>0</v>
      </c>
      <c r="R289" s="12">
        <v>0</v>
      </c>
      <c r="S289" s="12">
        <v>0</v>
      </c>
      <c r="T289" s="12">
        <v>0</v>
      </c>
    </row>
    <row r="290" spans="1:20" x14ac:dyDescent="0.3">
      <c r="A290" s="10" t="s">
        <v>1047</v>
      </c>
      <c r="B290" s="11" t="s">
        <v>1048</v>
      </c>
      <c r="C290" s="11"/>
      <c r="D290" s="11" t="s">
        <v>1049</v>
      </c>
      <c r="E290" s="11">
        <f xml:space="preserve"> IF($T$279,1,0)</f>
        <v>0</v>
      </c>
      <c r="F290" s="11" t="s">
        <v>1050</v>
      </c>
      <c r="G290" s="11">
        <v>0</v>
      </c>
      <c r="H290" s="11">
        <v>0</v>
      </c>
      <c r="I290" s="11">
        <v>0</v>
      </c>
      <c r="J290" s="11">
        <v>0</v>
      </c>
      <c r="K290" s="11">
        <v>0</v>
      </c>
      <c r="L290" s="11">
        <v>0</v>
      </c>
      <c r="M290" s="11">
        <v>0</v>
      </c>
      <c r="N290" s="11">
        <v>0</v>
      </c>
      <c r="O290" s="11">
        <v>0</v>
      </c>
      <c r="P290" s="11">
        <v>0</v>
      </c>
      <c r="Q290" s="11">
        <v>0</v>
      </c>
      <c r="R290" s="12">
        <v>0</v>
      </c>
      <c r="S290" s="12">
        <v>0</v>
      </c>
      <c r="T290" s="12">
        <v>0</v>
      </c>
    </row>
    <row r="291" spans="1:20" x14ac:dyDescent="0.3">
      <c r="A291" s="10" t="s">
        <v>1040</v>
      </c>
      <c r="B291" s="11" t="s">
        <v>1037</v>
      </c>
      <c r="C291" s="11" t="s">
        <v>202</v>
      </c>
      <c r="D291" s="11" t="s">
        <v>1041</v>
      </c>
      <c r="E291" s="11">
        <f xml:space="preserve"> IF($T$277,1,0)</f>
        <v>0</v>
      </c>
      <c r="F291" s="11" t="s">
        <v>1042</v>
      </c>
      <c r="G291" s="11">
        <v>0</v>
      </c>
      <c r="H291" s="11">
        <v>0</v>
      </c>
      <c r="I291" s="11">
        <v>0</v>
      </c>
      <c r="J291" s="11">
        <v>0</v>
      </c>
      <c r="K291" s="11">
        <v>0</v>
      </c>
      <c r="L291" s="11">
        <v>0</v>
      </c>
      <c r="M291" s="11">
        <v>0</v>
      </c>
      <c r="N291" s="11">
        <v>0</v>
      </c>
      <c r="O291" s="11">
        <v>0</v>
      </c>
      <c r="P291" s="11">
        <v>0</v>
      </c>
      <c r="Q291" s="11">
        <v>0</v>
      </c>
      <c r="R291" s="12">
        <v>0</v>
      </c>
      <c r="S291" s="12">
        <v>0</v>
      </c>
      <c r="T291" s="12">
        <v>0</v>
      </c>
    </row>
    <row r="292" spans="1:20" x14ac:dyDescent="0.3">
      <c r="A292" s="13" t="s">
        <v>276</v>
      </c>
      <c r="B292" s="14" t="s">
        <v>277</v>
      </c>
      <c r="C292" s="14" t="s">
        <v>278</v>
      </c>
      <c r="D292" s="14" t="s">
        <v>279</v>
      </c>
      <c r="E292" s="14">
        <f xml:space="preserve"> IF($T$76,1,0)</f>
        <v>0</v>
      </c>
      <c r="F292" s="14" t="s">
        <v>280</v>
      </c>
      <c r="G292" s="14">
        <v>0</v>
      </c>
      <c r="H292" s="14">
        <v>0</v>
      </c>
      <c r="I292" s="14">
        <v>0</v>
      </c>
      <c r="J292" s="14">
        <v>0</v>
      </c>
      <c r="K292" s="14">
        <v>0</v>
      </c>
      <c r="L292" s="14">
        <v>0</v>
      </c>
      <c r="M292" s="14">
        <v>0</v>
      </c>
      <c r="N292" s="14">
        <v>0</v>
      </c>
      <c r="O292" s="14">
        <v>0</v>
      </c>
      <c r="P292" s="14">
        <v>0</v>
      </c>
      <c r="Q292" s="14">
        <v>0</v>
      </c>
      <c r="R292" s="15">
        <v>0</v>
      </c>
      <c r="S292" s="15">
        <v>0</v>
      </c>
      <c r="T292" s="15">
        <v>0</v>
      </c>
    </row>
    <row r="293" spans="1:20" x14ac:dyDescent="0.3">
      <c r="A293" s="13" t="s">
        <v>664</v>
      </c>
      <c r="B293" s="14" t="s">
        <v>665</v>
      </c>
      <c r="C293" s="14"/>
      <c r="D293" s="14" t="s">
        <v>666</v>
      </c>
      <c r="E293" s="14">
        <f xml:space="preserve"> IF($T$178,1,0)</f>
        <v>0</v>
      </c>
      <c r="F293" s="14" t="s">
        <v>667</v>
      </c>
      <c r="G293" s="14">
        <v>0</v>
      </c>
      <c r="H293" s="14">
        <v>0</v>
      </c>
      <c r="I293" s="14">
        <v>0</v>
      </c>
      <c r="J293" s="14">
        <v>0</v>
      </c>
      <c r="K293" s="14">
        <v>0</v>
      </c>
      <c r="L293" s="14">
        <v>0</v>
      </c>
      <c r="M293" s="14">
        <v>0</v>
      </c>
      <c r="N293" s="14">
        <v>0</v>
      </c>
      <c r="O293" s="14">
        <v>0</v>
      </c>
      <c r="P293" s="14">
        <v>0</v>
      </c>
      <c r="Q293" s="14">
        <v>0</v>
      </c>
      <c r="R293" s="15">
        <v>0</v>
      </c>
      <c r="S293" s="15">
        <v>0</v>
      </c>
      <c r="T293" s="15">
        <v>0</v>
      </c>
    </row>
    <row r="294" spans="1:20" x14ac:dyDescent="0.3">
      <c r="A294" s="10" t="s">
        <v>668</v>
      </c>
      <c r="B294" s="11" t="s">
        <v>669</v>
      </c>
      <c r="C294" s="11"/>
      <c r="D294" s="11" t="s">
        <v>670</v>
      </c>
      <c r="E294" s="11">
        <f xml:space="preserve"> IF($T$179,1,0)</f>
        <v>0</v>
      </c>
      <c r="F294" s="11" t="s">
        <v>671</v>
      </c>
      <c r="G294" s="11">
        <v>0</v>
      </c>
      <c r="H294" s="11">
        <v>0</v>
      </c>
      <c r="I294" s="11">
        <v>0</v>
      </c>
      <c r="J294" s="11">
        <v>0</v>
      </c>
      <c r="K294" s="11">
        <v>0</v>
      </c>
      <c r="L294" s="11">
        <v>0</v>
      </c>
      <c r="M294" s="11">
        <v>2</v>
      </c>
      <c r="N294" s="11">
        <v>0</v>
      </c>
      <c r="O294" s="11">
        <v>0</v>
      </c>
      <c r="P294" s="11">
        <v>0</v>
      </c>
      <c r="Q294" s="11">
        <v>0</v>
      </c>
      <c r="R294" s="12">
        <v>6</v>
      </c>
      <c r="S294" s="12">
        <v>0</v>
      </c>
      <c r="T294" s="12">
        <v>6</v>
      </c>
    </row>
    <row r="295" spans="1:20" x14ac:dyDescent="0.3">
      <c r="A295" s="10" t="s">
        <v>116</v>
      </c>
      <c r="B295" s="11" t="s">
        <v>117</v>
      </c>
      <c r="C295" s="11" t="s">
        <v>34</v>
      </c>
      <c r="D295" s="11" t="s">
        <v>118</v>
      </c>
      <c r="E295" s="11">
        <f xml:space="preserve"> IF($T$33,1,0)</f>
        <v>0</v>
      </c>
      <c r="F295" s="11" t="s">
        <v>119</v>
      </c>
      <c r="G295" s="11">
        <v>0</v>
      </c>
      <c r="H295" s="11">
        <v>0</v>
      </c>
      <c r="I295" s="11">
        <v>0</v>
      </c>
      <c r="J295" s="11">
        <v>0</v>
      </c>
      <c r="K295" s="11">
        <v>0</v>
      </c>
      <c r="L295" s="11">
        <v>0</v>
      </c>
      <c r="M295" s="11">
        <v>0</v>
      </c>
      <c r="N295" s="11">
        <v>0</v>
      </c>
      <c r="O295" s="11">
        <v>0</v>
      </c>
      <c r="P295" s="11">
        <v>0</v>
      </c>
      <c r="Q295" s="11">
        <v>0</v>
      </c>
      <c r="R295" s="12">
        <v>0</v>
      </c>
      <c r="S295" s="12">
        <v>0</v>
      </c>
      <c r="T295" s="12">
        <v>0</v>
      </c>
    </row>
    <row r="296" spans="1:20" x14ac:dyDescent="0.3">
      <c r="A296" s="10" t="s">
        <v>653</v>
      </c>
      <c r="B296" s="11" t="s">
        <v>654</v>
      </c>
      <c r="C296" s="11"/>
      <c r="D296" s="11" t="s">
        <v>655</v>
      </c>
      <c r="E296" s="11">
        <f xml:space="preserve"> IF($T$175,1,0)</f>
        <v>0</v>
      </c>
      <c r="F296" s="11" t="s">
        <v>656</v>
      </c>
      <c r="G296" s="11">
        <v>0</v>
      </c>
      <c r="H296" s="11">
        <v>0</v>
      </c>
      <c r="I296" s="11">
        <v>0</v>
      </c>
      <c r="J296" s="11">
        <v>0</v>
      </c>
      <c r="K296" s="11">
        <v>0</v>
      </c>
      <c r="L296" s="11">
        <v>0</v>
      </c>
      <c r="M296" s="11">
        <v>0</v>
      </c>
      <c r="N296" s="11">
        <v>0</v>
      </c>
      <c r="O296" s="11">
        <v>0</v>
      </c>
      <c r="P296" s="11">
        <v>0</v>
      </c>
      <c r="Q296" s="11">
        <v>0</v>
      </c>
      <c r="R296" s="12">
        <v>0</v>
      </c>
      <c r="S296" s="12">
        <v>0</v>
      </c>
      <c r="T296" s="12">
        <v>0</v>
      </c>
    </row>
    <row r="297" spans="1:20" x14ac:dyDescent="0.3">
      <c r="A297" s="10" t="s">
        <v>1166</v>
      </c>
      <c r="B297" s="11" t="s">
        <v>1160</v>
      </c>
      <c r="C297" s="11" t="s">
        <v>243</v>
      </c>
      <c r="D297" s="11" t="s">
        <v>1167</v>
      </c>
      <c r="E297" s="11">
        <f xml:space="preserve"> IF($T$313,1,0)</f>
        <v>0</v>
      </c>
      <c r="F297" s="11" t="s">
        <v>1168</v>
      </c>
      <c r="G297" s="11">
        <v>0</v>
      </c>
      <c r="H297" s="11">
        <v>0</v>
      </c>
      <c r="I297" s="11">
        <v>0</v>
      </c>
      <c r="J297" s="11">
        <v>0</v>
      </c>
      <c r="K297" s="11">
        <v>0</v>
      </c>
      <c r="L297" s="11">
        <v>0</v>
      </c>
      <c r="M297" s="11">
        <v>0</v>
      </c>
      <c r="N297" s="11">
        <v>0</v>
      </c>
      <c r="O297" s="11">
        <v>0</v>
      </c>
      <c r="P297" s="11">
        <v>0</v>
      </c>
      <c r="Q297" s="11">
        <v>0</v>
      </c>
      <c r="R297" s="12">
        <v>0</v>
      </c>
      <c r="S297" s="12">
        <v>0</v>
      </c>
      <c r="T297" s="12">
        <v>0</v>
      </c>
    </row>
    <row r="298" spans="1:20" x14ac:dyDescent="0.3">
      <c r="A298" s="13" t="s">
        <v>770</v>
      </c>
      <c r="B298" s="14" t="s">
        <v>771</v>
      </c>
      <c r="C298" s="14"/>
      <c r="D298" s="14" t="s">
        <v>772</v>
      </c>
      <c r="E298" s="14">
        <f xml:space="preserve"> IF($T$206,1,0)</f>
        <v>0</v>
      </c>
      <c r="F298" s="14" t="s">
        <v>773</v>
      </c>
      <c r="G298" s="14">
        <v>0</v>
      </c>
      <c r="H298" s="14">
        <v>0</v>
      </c>
      <c r="I298" s="14">
        <v>0</v>
      </c>
      <c r="J298" s="14">
        <v>0</v>
      </c>
      <c r="K298" s="14">
        <v>0</v>
      </c>
      <c r="L298" s="14">
        <v>0</v>
      </c>
      <c r="M298" s="14">
        <v>0</v>
      </c>
      <c r="N298" s="14">
        <v>0</v>
      </c>
      <c r="O298" s="14">
        <v>0</v>
      </c>
      <c r="P298" s="14">
        <v>0</v>
      </c>
      <c r="Q298" s="14">
        <v>0</v>
      </c>
      <c r="R298" s="15">
        <v>0</v>
      </c>
      <c r="S298" s="15">
        <v>0</v>
      </c>
      <c r="T298" s="15">
        <v>0</v>
      </c>
    </row>
    <row r="299" spans="1:20" x14ac:dyDescent="0.3">
      <c r="A299" s="13" t="s">
        <v>76</v>
      </c>
      <c r="B299" s="14" t="s">
        <v>77</v>
      </c>
      <c r="C299" s="14"/>
      <c r="D299" s="14" t="s">
        <v>78</v>
      </c>
      <c r="E299" s="14">
        <f xml:space="preserve"> IF($T$22,1,0)</f>
        <v>0</v>
      </c>
      <c r="F299" s="14" t="s">
        <v>79</v>
      </c>
      <c r="G299" s="14">
        <v>3</v>
      </c>
      <c r="H299" s="14">
        <v>0</v>
      </c>
      <c r="I299" s="14">
        <v>0</v>
      </c>
      <c r="J299" s="14">
        <v>0</v>
      </c>
      <c r="K299" s="14">
        <v>0</v>
      </c>
      <c r="L299" s="14">
        <v>0</v>
      </c>
      <c r="M299" s="14">
        <v>0</v>
      </c>
      <c r="N299" s="14">
        <v>0</v>
      </c>
      <c r="O299" s="14">
        <v>0</v>
      </c>
      <c r="P299" s="14">
        <v>0</v>
      </c>
      <c r="Q299" s="14">
        <v>2</v>
      </c>
      <c r="R299" s="15">
        <v>5.3000000000000007</v>
      </c>
      <c r="S299" s="15">
        <v>0</v>
      </c>
      <c r="T299" s="15">
        <v>5.3000000000000007</v>
      </c>
    </row>
    <row r="300" spans="1:20" x14ac:dyDescent="0.3">
      <c r="A300" s="10" t="s">
        <v>881</v>
      </c>
      <c r="B300" s="11" t="s">
        <v>882</v>
      </c>
      <c r="C300" s="11"/>
      <c r="D300" s="11" t="s">
        <v>883</v>
      </c>
      <c r="E300" s="11">
        <f xml:space="preserve"> IF($T$235,1,0)</f>
        <v>0</v>
      </c>
      <c r="F300" s="11" t="s">
        <v>884</v>
      </c>
      <c r="G300" s="11">
        <v>0</v>
      </c>
      <c r="H300" s="11">
        <v>0</v>
      </c>
      <c r="I300" s="11">
        <v>0</v>
      </c>
      <c r="J300" s="11">
        <v>0</v>
      </c>
      <c r="K300" s="11">
        <v>0</v>
      </c>
      <c r="L300" s="11">
        <v>0</v>
      </c>
      <c r="M300" s="11">
        <v>0</v>
      </c>
      <c r="N300" s="11">
        <v>0</v>
      </c>
      <c r="O300" s="11">
        <v>0</v>
      </c>
      <c r="P300" s="11">
        <v>0</v>
      </c>
      <c r="Q300" s="11">
        <v>0</v>
      </c>
      <c r="R300" s="12">
        <v>0</v>
      </c>
      <c r="S300" s="12">
        <v>0</v>
      </c>
      <c r="T300" s="12">
        <v>0</v>
      </c>
    </row>
    <row r="301" spans="1:20" x14ac:dyDescent="0.3">
      <c r="A301" s="13" t="s">
        <v>252</v>
      </c>
      <c r="B301" s="14" t="s">
        <v>253</v>
      </c>
      <c r="C301" s="14"/>
      <c r="D301" s="14" t="s">
        <v>254</v>
      </c>
      <c r="E301" s="14">
        <f xml:space="preserve"> IF($T$70,1,0)</f>
        <v>0</v>
      </c>
      <c r="F301" s="14" t="s">
        <v>255</v>
      </c>
      <c r="G301" s="14">
        <v>0</v>
      </c>
      <c r="H301" s="14">
        <v>0</v>
      </c>
      <c r="I301" s="14">
        <v>0</v>
      </c>
      <c r="J301" s="14">
        <v>0</v>
      </c>
      <c r="K301" s="14">
        <v>0</v>
      </c>
      <c r="L301" s="14">
        <v>0</v>
      </c>
      <c r="M301" s="14">
        <v>0</v>
      </c>
      <c r="N301" s="14">
        <v>0</v>
      </c>
      <c r="O301" s="14">
        <v>0</v>
      </c>
      <c r="P301" s="14">
        <v>0</v>
      </c>
      <c r="Q301" s="14">
        <v>0</v>
      </c>
      <c r="R301" s="15">
        <v>0</v>
      </c>
      <c r="S301" s="15">
        <v>0</v>
      </c>
      <c r="T301" s="15">
        <v>0</v>
      </c>
    </row>
    <row r="302" spans="1:20" x14ac:dyDescent="0.3">
      <c r="A302" s="10" t="s">
        <v>290</v>
      </c>
      <c r="B302" s="11" t="s">
        <v>291</v>
      </c>
      <c r="C302" s="11"/>
      <c r="D302" s="11" t="s">
        <v>292</v>
      </c>
      <c r="E302" s="11">
        <f xml:space="preserve"> IF($T$79,1,0)</f>
        <v>0</v>
      </c>
      <c r="F302" s="11" t="s">
        <v>293</v>
      </c>
      <c r="G302" s="11">
        <v>0</v>
      </c>
      <c r="H302" s="11">
        <v>0</v>
      </c>
      <c r="I302" s="11">
        <v>0</v>
      </c>
      <c r="J302" s="11">
        <v>0</v>
      </c>
      <c r="K302" s="11">
        <v>0</v>
      </c>
      <c r="L302" s="11">
        <v>0</v>
      </c>
      <c r="M302" s="11">
        <v>0</v>
      </c>
      <c r="N302" s="11">
        <v>0</v>
      </c>
      <c r="O302" s="11">
        <v>0</v>
      </c>
      <c r="P302" s="11">
        <v>0</v>
      </c>
      <c r="Q302" s="11">
        <v>0</v>
      </c>
      <c r="R302" s="12">
        <v>0</v>
      </c>
      <c r="S302" s="12">
        <v>0</v>
      </c>
      <c r="T302" s="12">
        <v>0</v>
      </c>
    </row>
    <row r="303" spans="1:20" x14ac:dyDescent="0.3">
      <c r="A303" s="10" t="s">
        <v>788</v>
      </c>
      <c r="B303" s="11" t="s">
        <v>789</v>
      </c>
      <c r="C303" s="11"/>
      <c r="D303" s="11" t="s">
        <v>790</v>
      </c>
      <c r="E303" s="11">
        <f xml:space="preserve"> IF($T$211,1,0)</f>
        <v>0</v>
      </c>
      <c r="F303" s="11" t="s">
        <v>791</v>
      </c>
      <c r="G303" s="11">
        <v>0</v>
      </c>
      <c r="H303" s="11">
        <v>0</v>
      </c>
      <c r="I303" s="11">
        <v>0</v>
      </c>
      <c r="J303" s="11">
        <v>0</v>
      </c>
      <c r="K303" s="11">
        <v>0</v>
      </c>
      <c r="L303" s="11">
        <v>0</v>
      </c>
      <c r="M303" s="11">
        <v>0</v>
      </c>
      <c r="N303" s="11">
        <v>0</v>
      </c>
      <c r="O303" s="11">
        <v>0</v>
      </c>
      <c r="P303" s="11">
        <v>0</v>
      </c>
      <c r="Q303" s="11">
        <v>0</v>
      </c>
      <c r="R303" s="12">
        <v>0</v>
      </c>
      <c r="S303" s="12">
        <v>0</v>
      </c>
      <c r="T303" s="12">
        <v>0</v>
      </c>
    </row>
    <row r="304" spans="1:20" x14ac:dyDescent="0.3">
      <c r="A304" s="10" t="s">
        <v>485</v>
      </c>
      <c r="B304" s="11" t="s">
        <v>486</v>
      </c>
      <c r="C304" s="11"/>
      <c r="D304" s="11" t="s">
        <v>487</v>
      </c>
      <c r="E304" s="11">
        <f xml:space="preserve"> IF($T$131,1,0)</f>
        <v>0</v>
      </c>
      <c r="F304" s="11" t="s">
        <v>488</v>
      </c>
      <c r="G304" s="11">
        <v>0</v>
      </c>
      <c r="H304" s="11">
        <v>0</v>
      </c>
      <c r="I304" s="11">
        <v>0</v>
      </c>
      <c r="J304" s="11">
        <v>0</v>
      </c>
      <c r="K304" s="11">
        <v>0</v>
      </c>
      <c r="L304" s="11">
        <v>0</v>
      </c>
      <c r="M304" s="11">
        <v>0</v>
      </c>
      <c r="N304" s="11">
        <v>0</v>
      </c>
      <c r="O304" s="11">
        <v>0</v>
      </c>
      <c r="P304" s="11">
        <v>0</v>
      </c>
      <c r="Q304" s="11">
        <v>0</v>
      </c>
      <c r="R304" s="12">
        <v>0</v>
      </c>
      <c r="S304" s="12">
        <v>0</v>
      </c>
      <c r="T304" s="12">
        <v>0</v>
      </c>
    </row>
    <row r="305" spans="1:20" x14ac:dyDescent="0.3">
      <c r="A305" s="13" t="s">
        <v>946</v>
      </c>
      <c r="B305" s="14" t="s">
        <v>947</v>
      </c>
      <c r="C305" s="14"/>
      <c r="D305" s="14" t="s">
        <v>948</v>
      </c>
      <c r="E305" s="14">
        <f xml:space="preserve"> IF($T$252,1,0)</f>
        <v>0</v>
      </c>
      <c r="F305" s="14" t="s">
        <v>949</v>
      </c>
      <c r="G305" s="14">
        <v>0</v>
      </c>
      <c r="H305" s="14">
        <v>0</v>
      </c>
      <c r="I305" s="14">
        <v>0</v>
      </c>
      <c r="J305" s="14">
        <v>0</v>
      </c>
      <c r="K305" s="14">
        <v>0</v>
      </c>
      <c r="L305" s="14">
        <v>0</v>
      </c>
      <c r="M305" s="14">
        <v>0</v>
      </c>
      <c r="N305" s="14">
        <v>0</v>
      </c>
      <c r="O305" s="14">
        <v>0</v>
      </c>
      <c r="P305" s="14">
        <v>0</v>
      </c>
      <c r="Q305" s="14">
        <v>0</v>
      </c>
      <c r="R305" s="15">
        <v>0</v>
      </c>
      <c r="S305" s="15">
        <v>0</v>
      </c>
      <c r="T305" s="15">
        <v>0</v>
      </c>
    </row>
    <row r="306" spans="1:20" x14ac:dyDescent="0.3">
      <c r="A306" s="13" t="s">
        <v>183</v>
      </c>
      <c r="B306" s="14" t="s">
        <v>177</v>
      </c>
      <c r="C306" s="14"/>
      <c r="D306" s="14" t="s">
        <v>184</v>
      </c>
      <c r="E306" s="14">
        <f xml:space="preserve"> IF($T$50,1,0)</f>
        <v>0</v>
      </c>
      <c r="F306" s="14" t="s">
        <v>185</v>
      </c>
      <c r="G306" s="14">
        <v>0</v>
      </c>
      <c r="H306" s="14">
        <v>0</v>
      </c>
      <c r="I306" s="14">
        <v>0</v>
      </c>
      <c r="J306" s="14">
        <v>0</v>
      </c>
      <c r="K306" s="14">
        <v>0</v>
      </c>
      <c r="L306" s="14">
        <v>0</v>
      </c>
      <c r="M306" s="14">
        <v>0</v>
      </c>
      <c r="N306" s="14">
        <v>0</v>
      </c>
      <c r="O306" s="14">
        <v>0</v>
      </c>
      <c r="P306" s="14">
        <v>0</v>
      </c>
      <c r="Q306" s="14">
        <v>0</v>
      </c>
      <c r="R306" s="15">
        <v>0</v>
      </c>
      <c r="S306" s="15">
        <v>0</v>
      </c>
      <c r="T306" s="15">
        <v>0</v>
      </c>
    </row>
    <row r="307" spans="1:20" x14ac:dyDescent="0.3">
      <c r="A307" s="13" t="s">
        <v>417</v>
      </c>
      <c r="B307" s="14" t="s">
        <v>418</v>
      </c>
      <c r="C307" s="14"/>
      <c r="D307" s="14" t="s">
        <v>419</v>
      </c>
      <c r="E307" s="14">
        <f xml:space="preserve"> IF($T$112,1,0)</f>
        <v>0</v>
      </c>
      <c r="F307" s="14" t="s">
        <v>420</v>
      </c>
      <c r="G307" s="14">
        <v>0</v>
      </c>
      <c r="H307" s="14">
        <v>0</v>
      </c>
      <c r="I307" s="14">
        <v>0</v>
      </c>
      <c r="J307" s="14">
        <v>0</v>
      </c>
      <c r="K307" s="14">
        <v>0</v>
      </c>
      <c r="L307" s="14">
        <v>0</v>
      </c>
      <c r="M307" s="14">
        <v>0</v>
      </c>
      <c r="N307" s="14">
        <v>0</v>
      </c>
      <c r="O307" s="14">
        <v>0</v>
      </c>
      <c r="P307" s="14">
        <v>0</v>
      </c>
      <c r="Q307" s="14">
        <v>0</v>
      </c>
      <c r="R307" s="15">
        <v>0</v>
      </c>
      <c r="S307" s="15">
        <v>0</v>
      </c>
      <c r="T307" s="15">
        <v>0</v>
      </c>
    </row>
    <row r="308" spans="1:20" x14ac:dyDescent="0.3">
      <c r="A308" s="10" t="s">
        <v>1062</v>
      </c>
      <c r="B308" s="11" t="s">
        <v>1063</v>
      </c>
      <c r="C308" s="11"/>
      <c r="D308" s="11" t="s">
        <v>1064</v>
      </c>
      <c r="E308" s="11">
        <f xml:space="preserve"> IF($T$283,1,0)</f>
        <v>0</v>
      </c>
      <c r="F308" s="11" t="s">
        <v>1065</v>
      </c>
      <c r="G308" s="11">
        <v>0</v>
      </c>
      <c r="H308" s="11">
        <v>0</v>
      </c>
      <c r="I308" s="11">
        <v>0</v>
      </c>
      <c r="J308" s="11">
        <v>0</v>
      </c>
      <c r="K308" s="11">
        <v>0</v>
      </c>
      <c r="L308" s="11">
        <v>0</v>
      </c>
      <c r="M308" s="11">
        <v>0</v>
      </c>
      <c r="N308" s="11">
        <v>0</v>
      </c>
      <c r="O308" s="11">
        <v>0</v>
      </c>
      <c r="P308" s="11">
        <v>0</v>
      </c>
      <c r="Q308" s="11">
        <v>0</v>
      </c>
      <c r="R308" s="12">
        <v>0</v>
      </c>
      <c r="S308" s="12">
        <v>0</v>
      </c>
      <c r="T308" s="12">
        <v>0</v>
      </c>
    </row>
    <row r="309" spans="1:20" x14ac:dyDescent="0.3">
      <c r="A309" s="13" t="s">
        <v>98</v>
      </c>
      <c r="B309" s="14" t="s">
        <v>99</v>
      </c>
      <c r="C309" s="14"/>
      <c r="D309" s="14" t="s">
        <v>100</v>
      </c>
      <c r="E309" s="14">
        <f xml:space="preserve"> IF($T$28,1,0)</f>
        <v>0</v>
      </c>
      <c r="F309" s="14" t="s">
        <v>101</v>
      </c>
      <c r="G309" s="14">
        <v>0</v>
      </c>
      <c r="H309" s="14">
        <v>0</v>
      </c>
      <c r="I309" s="14">
        <v>0</v>
      </c>
      <c r="J309" s="14">
        <v>0</v>
      </c>
      <c r="K309" s="14">
        <v>0</v>
      </c>
      <c r="L309" s="14">
        <v>0</v>
      </c>
      <c r="M309" s="14">
        <v>0</v>
      </c>
      <c r="N309" s="14">
        <v>0</v>
      </c>
      <c r="O309" s="14">
        <v>0</v>
      </c>
      <c r="P309" s="14">
        <v>0</v>
      </c>
      <c r="Q309" s="14">
        <v>0</v>
      </c>
      <c r="R309" s="15">
        <v>0</v>
      </c>
      <c r="S309" s="15">
        <v>0</v>
      </c>
      <c r="T309" s="15">
        <v>0</v>
      </c>
    </row>
    <row r="310" spans="1:20" x14ac:dyDescent="0.3">
      <c r="A310" s="13" t="s">
        <v>862</v>
      </c>
      <c r="B310" s="14" t="s">
        <v>863</v>
      </c>
      <c r="C310" s="14"/>
      <c r="D310" s="14" t="s">
        <v>864</v>
      </c>
      <c r="E310" s="14">
        <f xml:space="preserve"> IF($T$230,1,0)</f>
        <v>1</v>
      </c>
      <c r="F310" s="14" t="s">
        <v>865</v>
      </c>
      <c r="G310" s="14">
        <v>0</v>
      </c>
      <c r="H310" s="14">
        <v>0</v>
      </c>
      <c r="I310" s="14">
        <v>0</v>
      </c>
      <c r="J310" s="14">
        <v>0</v>
      </c>
      <c r="K310" s="14">
        <v>0</v>
      </c>
      <c r="L310" s="14">
        <v>0</v>
      </c>
      <c r="M310" s="14">
        <v>0</v>
      </c>
      <c r="N310" s="14">
        <v>0</v>
      </c>
      <c r="O310" s="14">
        <v>0</v>
      </c>
      <c r="P310" s="14">
        <v>0</v>
      </c>
      <c r="Q310" s="14">
        <v>0</v>
      </c>
      <c r="R310" s="15">
        <v>0</v>
      </c>
      <c r="S310" s="15">
        <v>0</v>
      </c>
      <c r="T310" s="15">
        <v>0</v>
      </c>
    </row>
    <row r="311" spans="1:20" x14ac:dyDescent="0.3">
      <c r="A311" s="10" t="s">
        <v>835</v>
      </c>
      <c r="B311" s="11" t="s">
        <v>836</v>
      </c>
      <c r="C311" s="11"/>
      <c r="D311" s="11" t="s">
        <v>837</v>
      </c>
      <c r="E311" s="11">
        <f xml:space="preserve"> IF($T$223,1,0)</f>
        <v>0</v>
      </c>
      <c r="F311" s="11" t="s">
        <v>838</v>
      </c>
      <c r="G311" s="11">
        <v>0</v>
      </c>
      <c r="H311" s="11">
        <v>0</v>
      </c>
      <c r="I311" s="11">
        <v>0</v>
      </c>
      <c r="J311" s="11">
        <v>0</v>
      </c>
      <c r="K311" s="11">
        <v>0</v>
      </c>
      <c r="L311" s="11">
        <v>0</v>
      </c>
      <c r="M311" s="11">
        <v>0</v>
      </c>
      <c r="N311" s="11">
        <v>0</v>
      </c>
      <c r="O311" s="11">
        <v>0</v>
      </c>
      <c r="P311" s="11">
        <v>0</v>
      </c>
      <c r="Q311" s="11">
        <v>0</v>
      </c>
      <c r="R311" s="12">
        <v>0</v>
      </c>
      <c r="S311" s="12">
        <v>0</v>
      </c>
      <c r="T311" s="12">
        <v>0</v>
      </c>
    </row>
    <row r="312" spans="1:20" x14ac:dyDescent="0.3">
      <c r="A312" s="10" t="s">
        <v>766</v>
      </c>
      <c r="B312" s="11" t="s">
        <v>767</v>
      </c>
      <c r="C312" s="11"/>
      <c r="D312" s="11" t="s">
        <v>768</v>
      </c>
      <c r="E312" s="11">
        <f xml:space="preserve"> IF($T$205,1,0)</f>
        <v>0</v>
      </c>
      <c r="F312" s="11" t="s">
        <v>769</v>
      </c>
      <c r="G312" s="11">
        <v>0</v>
      </c>
      <c r="H312" s="11">
        <v>0</v>
      </c>
      <c r="I312" s="11">
        <v>0</v>
      </c>
      <c r="J312" s="11">
        <v>0</v>
      </c>
      <c r="K312" s="11">
        <v>0</v>
      </c>
      <c r="L312" s="11">
        <v>0</v>
      </c>
      <c r="M312" s="11">
        <v>0</v>
      </c>
      <c r="N312" s="11">
        <v>0</v>
      </c>
      <c r="O312" s="11">
        <v>0</v>
      </c>
      <c r="P312" s="11">
        <v>0</v>
      </c>
      <c r="Q312" s="11">
        <v>0</v>
      </c>
      <c r="R312" s="12">
        <v>0</v>
      </c>
      <c r="S312" s="12">
        <v>0</v>
      </c>
      <c r="T312" s="12">
        <v>0</v>
      </c>
    </row>
    <row r="313" spans="1:20" x14ac:dyDescent="0.3">
      <c r="A313" s="10" t="s">
        <v>700</v>
      </c>
      <c r="B313" s="11" t="s">
        <v>697</v>
      </c>
      <c r="C313" s="11"/>
      <c r="D313" s="11" t="s">
        <v>701</v>
      </c>
      <c r="E313" s="11">
        <f xml:space="preserve"> IF($T$187,1,0)</f>
        <v>1</v>
      </c>
      <c r="F313" s="11" t="s">
        <v>702</v>
      </c>
      <c r="G313" s="11">
        <v>0</v>
      </c>
      <c r="H313" s="11">
        <v>0</v>
      </c>
      <c r="I313" s="11">
        <v>0</v>
      </c>
      <c r="J313" s="11">
        <v>0</v>
      </c>
      <c r="K313" s="11">
        <v>0</v>
      </c>
      <c r="L313" s="11">
        <v>0</v>
      </c>
      <c r="M313" s="11">
        <v>0</v>
      </c>
      <c r="N313" s="11">
        <v>0</v>
      </c>
      <c r="O313" s="11">
        <v>0</v>
      </c>
      <c r="P313" s="11">
        <v>0</v>
      </c>
      <c r="Q313" s="11">
        <v>0</v>
      </c>
      <c r="R313" s="12">
        <v>0</v>
      </c>
      <c r="S313" s="12">
        <v>0</v>
      </c>
      <c r="T313" s="12">
        <v>0</v>
      </c>
    </row>
    <row r="314" spans="1:20" x14ac:dyDescent="0.3">
      <c r="A314" s="13" t="s">
        <v>370</v>
      </c>
      <c r="B314" s="14" t="s">
        <v>371</v>
      </c>
      <c r="C314" s="14"/>
      <c r="D314" s="14" t="s">
        <v>372</v>
      </c>
      <c r="E314" s="14">
        <f xml:space="preserve"> IF($T$100,1,0)</f>
        <v>0</v>
      </c>
      <c r="F314" s="14" t="s">
        <v>373</v>
      </c>
      <c r="G314" s="14">
        <v>0</v>
      </c>
      <c r="H314" s="14">
        <v>0</v>
      </c>
      <c r="I314" s="14">
        <v>0</v>
      </c>
      <c r="J314" s="14">
        <v>0</v>
      </c>
      <c r="K314" s="14">
        <v>0</v>
      </c>
      <c r="L314" s="14">
        <v>0</v>
      </c>
      <c r="M314" s="14">
        <v>0</v>
      </c>
      <c r="N314" s="14">
        <v>0</v>
      </c>
      <c r="O314" s="14">
        <v>0</v>
      </c>
      <c r="P314" s="14">
        <v>0</v>
      </c>
      <c r="Q314" s="14">
        <v>0</v>
      </c>
      <c r="R314" s="15">
        <v>0</v>
      </c>
      <c r="S314" s="15">
        <v>0</v>
      </c>
      <c r="T314" s="15">
        <v>0</v>
      </c>
    </row>
    <row r="315" spans="1:20" x14ac:dyDescent="0.3">
      <c r="A315" s="13" t="s">
        <v>309</v>
      </c>
      <c r="B315" s="14" t="s">
        <v>310</v>
      </c>
      <c r="C315" s="14"/>
      <c r="D315" s="14" t="s">
        <v>311</v>
      </c>
      <c r="E315" s="14">
        <f xml:space="preserve"> IF($T$84,1,0)</f>
        <v>0</v>
      </c>
      <c r="F315" s="14" t="s">
        <v>312</v>
      </c>
      <c r="G315" s="14">
        <v>0</v>
      </c>
      <c r="H315" s="14">
        <v>0</v>
      </c>
      <c r="I315" s="14">
        <v>0</v>
      </c>
      <c r="J315" s="14">
        <v>0</v>
      </c>
      <c r="K315" s="14">
        <v>0</v>
      </c>
      <c r="L315" s="14">
        <v>0</v>
      </c>
      <c r="M315" s="14">
        <v>0</v>
      </c>
      <c r="N315" s="14">
        <v>0</v>
      </c>
      <c r="O315" s="14">
        <v>0</v>
      </c>
      <c r="P315" s="14">
        <v>0</v>
      </c>
      <c r="Q315" s="14">
        <v>0</v>
      </c>
      <c r="R315" s="15">
        <v>0</v>
      </c>
      <c r="S315" s="15">
        <v>0</v>
      </c>
      <c r="T315" s="15">
        <v>0</v>
      </c>
    </row>
    <row r="316" spans="1:20" x14ac:dyDescent="0.3">
      <c r="A316" s="13" t="s">
        <v>68</v>
      </c>
      <c r="B316" s="14" t="s">
        <v>69</v>
      </c>
      <c r="C316" s="14"/>
      <c r="D316" s="14" t="s">
        <v>70</v>
      </c>
      <c r="E316" s="14">
        <f xml:space="preserve"> IF($T$20,1,0)</f>
        <v>0</v>
      </c>
      <c r="F316" s="14" t="s">
        <v>71</v>
      </c>
      <c r="G316" s="14">
        <v>0</v>
      </c>
      <c r="H316" s="14">
        <v>0</v>
      </c>
      <c r="I316" s="14">
        <v>0</v>
      </c>
      <c r="J316" s="14">
        <v>0</v>
      </c>
      <c r="K316" s="14">
        <v>0</v>
      </c>
      <c r="L316" s="14">
        <v>0</v>
      </c>
      <c r="M316" s="14">
        <v>0</v>
      </c>
      <c r="N316" s="14">
        <v>0</v>
      </c>
      <c r="O316" s="14">
        <v>0</v>
      </c>
      <c r="P316" s="14">
        <v>0</v>
      </c>
      <c r="Q316" s="14">
        <v>0</v>
      </c>
      <c r="R316" s="15">
        <v>0</v>
      </c>
      <c r="S316" s="15">
        <v>0</v>
      </c>
      <c r="T316" s="15">
        <v>0</v>
      </c>
    </row>
    <row r="317" spans="1:20" x14ac:dyDescent="0.3">
      <c r="A317" s="10" t="s">
        <v>645</v>
      </c>
      <c r="B317" s="11" t="s">
        <v>646</v>
      </c>
      <c r="C317" s="11"/>
      <c r="D317" s="11" t="s">
        <v>647</v>
      </c>
      <c r="E317" s="11">
        <f xml:space="preserve"> IF($T$173,1,0)</f>
        <v>0</v>
      </c>
      <c r="F317" s="11" t="s">
        <v>648</v>
      </c>
      <c r="G317" s="11">
        <v>0</v>
      </c>
      <c r="H317" s="11">
        <v>0</v>
      </c>
      <c r="I317" s="11">
        <v>0</v>
      </c>
      <c r="J317" s="11">
        <v>0</v>
      </c>
      <c r="K317" s="11">
        <v>0</v>
      </c>
      <c r="L317" s="11">
        <v>0</v>
      </c>
      <c r="M317" s="11">
        <v>0</v>
      </c>
      <c r="N317" s="11">
        <v>0</v>
      </c>
      <c r="O317" s="11">
        <v>0</v>
      </c>
      <c r="P317" s="11">
        <v>0</v>
      </c>
      <c r="Q317" s="11">
        <v>0</v>
      </c>
      <c r="R317" s="12">
        <v>0</v>
      </c>
      <c r="S317" s="12">
        <v>0</v>
      </c>
      <c r="T317" s="12">
        <v>0</v>
      </c>
    </row>
    <row r="318" spans="1:20" x14ac:dyDescent="0.3">
      <c r="A318" s="13" t="s">
        <v>968</v>
      </c>
      <c r="B318" s="14" t="s">
        <v>969</v>
      </c>
      <c r="C318" s="14"/>
      <c r="D318" s="14" t="s">
        <v>970</v>
      </c>
      <c r="E318" s="14">
        <f xml:space="preserve"> IF($T$258,1,0)</f>
        <v>0</v>
      </c>
      <c r="F318" s="14" t="s">
        <v>971</v>
      </c>
      <c r="G318" s="14">
        <v>0</v>
      </c>
      <c r="H318" s="14">
        <v>0</v>
      </c>
      <c r="I318" s="14">
        <v>0</v>
      </c>
      <c r="J318" s="14">
        <v>0</v>
      </c>
      <c r="K318" s="14">
        <v>0</v>
      </c>
      <c r="L318" s="14">
        <v>0</v>
      </c>
      <c r="M318" s="14">
        <v>0</v>
      </c>
      <c r="N318" s="14">
        <v>0</v>
      </c>
      <c r="O318" s="14">
        <v>0</v>
      </c>
      <c r="P318" s="14">
        <v>0</v>
      </c>
      <c r="Q318" s="14">
        <v>0</v>
      </c>
      <c r="R318" s="15">
        <v>0</v>
      </c>
      <c r="S318" s="15">
        <v>0</v>
      </c>
      <c r="T318" s="15">
        <v>0</v>
      </c>
    </row>
    <row r="319" spans="1:20" x14ac:dyDescent="0.3">
      <c r="A319" s="13" t="s">
        <v>294</v>
      </c>
      <c r="B319" s="14" t="s">
        <v>295</v>
      </c>
      <c r="C319" s="14"/>
      <c r="D319" s="14" t="s">
        <v>296</v>
      </c>
      <c r="E319" s="14">
        <f xml:space="preserve"> IF($T$80,1,0)</f>
        <v>0</v>
      </c>
      <c r="F319" s="14" t="s">
        <v>297</v>
      </c>
      <c r="G319" s="14">
        <v>0</v>
      </c>
      <c r="H319" s="14">
        <v>0</v>
      </c>
      <c r="I319" s="14">
        <v>0</v>
      </c>
      <c r="J319" s="14">
        <v>0</v>
      </c>
      <c r="K319" s="14">
        <v>0</v>
      </c>
      <c r="L319" s="14">
        <v>0</v>
      </c>
      <c r="M319" s="14">
        <v>0</v>
      </c>
      <c r="N319" s="14">
        <v>0</v>
      </c>
      <c r="O319" s="14">
        <v>0</v>
      </c>
      <c r="P319" s="14">
        <v>0</v>
      </c>
      <c r="Q319" s="14">
        <v>0</v>
      </c>
      <c r="R319" s="15">
        <v>0</v>
      </c>
      <c r="S319" s="15">
        <v>0</v>
      </c>
      <c r="T319" s="15">
        <v>0</v>
      </c>
    </row>
    <row r="320" spans="1:20" x14ac:dyDescent="0.3">
      <c r="A320" s="10" t="s">
        <v>988</v>
      </c>
      <c r="B320" s="11" t="s">
        <v>989</v>
      </c>
      <c r="C320" s="11" t="s">
        <v>887</v>
      </c>
      <c r="D320" s="11" t="s">
        <v>990</v>
      </c>
      <c r="E320" s="11">
        <f xml:space="preserve"> IF($T$263,1,0)</f>
        <v>1</v>
      </c>
      <c r="F320" s="11" t="s">
        <v>991</v>
      </c>
      <c r="G320" s="11">
        <v>0</v>
      </c>
      <c r="H320" s="11">
        <v>0</v>
      </c>
      <c r="I320" s="11">
        <v>0</v>
      </c>
      <c r="J320" s="11">
        <v>0</v>
      </c>
      <c r="K320" s="11">
        <v>0</v>
      </c>
      <c r="L320" s="11">
        <v>0</v>
      </c>
      <c r="M320" s="11">
        <v>0</v>
      </c>
      <c r="N320" s="11">
        <v>0</v>
      </c>
      <c r="O320" s="11">
        <v>0</v>
      </c>
      <c r="P320" s="11">
        <v>0</v>
      </c>
      <c r="Q320" s="11">
        <v>0</v>
      </c>
      <c r="R320" s="12">
        <v>0</v>
      </c>
      <c r="S320" s="12">
        <v>0</v>
      </c>
      <c r="T320" s="12">
        <v>0</v>
      </c>
    </row>
    <row r="321" spans="1:20" x14ac:dyDescent="0.3">
      <c r="A321" s="13" t="s">
        <v>349</v>
      </c>
      <c r="B321" s="14" t="s">
        <v>350</v>
      </c>
      <c r="C321" s="14"/>
      <c r="D321" s="14" t="s">
        <v>351</v>
      </c>
      <c r="E321" s="14">
        <f xml:space="preserve"> IF($T$94,1,0)</f>
        <v>0</v>
      </c>
      <c r="F321" s="14" t="s">
        <v>352</v>
      </c>
      <c r="G321" s="14">
        <v>0</v>
      </c>
      <c r="H321" s="14">
        <v>0</v>
      </c>
      <c r="I321" s="14">
        <v>0</v>
      </c>
      <c r="J321" s="14">
        <v>0</v>
      </c>
      <c r="K321" s="14">
        <v>0</v>
      </c>
      <c r="L321" s="14">
        <v>0</v>
      </c>
      <c r="M321" s="14">
        <v>0</v>
      </c>
      <c r="N321" s="14">
        <v>0</v>
      </c>
      <c r="O321" s="14">
        <v>0</v>
      </c>
      <c r="P321" s="14">
        <v>0</v>
      </c>
      <c r="Q321" s="14">
        <v>0</v>
      </c>
      <c r="R321" s="15">
        <v>0</v>
      </c>
      <c r="S321" s="15">
        <v>0</v>
      </c>
      <c r="T321" s="15">
        <v>0</v>
      </c>
    </row>
    <row r="322" spans="1:20" x14ac:dyDescent="0.3">
      <c r="A322" s="10" t="s">
        <v>186</v>
      </c>
      <c r="B322" s="11" t="s">
        <v>177</v>
      </c>
      <c r="C322" s="11"/>
      <c r="D322" s="11" t="s">
        <v>187</v>
      </c>
      <c r="E322" s="11">
        <f xml:space="preserve"> IF($T$51,1,0)</f>
        <v>0</v>
      </c>
      <c r="F322" s="11" t="s">
        <v>188</v>
      </c>
      <c r="G322" s="11">
        <v>0</v>
      </c>
      <c r="H322" s="11">
        <v>0</v>
      </c>
      <c r="I322" s="11">
        <v>0</v>
      </c>
      <c r="J322" s="11">
        <v>0</v>
      </c>
      <c r="K322" s="11">
        <v>0</v>
      </c>
      <c r="L322" s="11">
        <v>0</v>
      </c>
      <c r="M322" s="11">
        <v>0</v>
      </c>
      <c r="N322" s="11">
        <v>0</v>
      </c>
      <c r="O322" s="11">
        <v>0</v>
      </c>
      <c r="P322" s="11">
        <v>0</v>
      </c>
      <c r="Q322" s="11">
        <v>0</v>
      </c>
      <c r="R322" s="12">
        <v>0</v>
      </c>
      <c r="S322" s="12">
        <v>0</v>
      </c>
      <c r="T322" s="12">
        <v>0</v>
      </c>
    </row>
    <row r="323" spans="1:20" x14ac:dyDescent="0.3">
      <c r="A323" s="10" t="s">
        <v>819</v>
      </c>
      <c r="B323" s="11" t="s">
        <v>820</v>
      </c>
      <c r="C323" s="11"/>
      <c r="D323" s="11" t="s">
        <v>821</v>
      </c>
      <c r="E323" s="11">
        <f xml:space="preserve"> IF($T$219,1,0)</f>
        <v>0</v>
      </c>
      <c r="F323" s="11" t="s">
        <v>822</v>
      </c>
      <c r="G323" s="11">
        <v>0</v>
      </c>
      <c r="H323" s="11">
        <v>0</v>
      </c>
      <c r="I323" s="11">
        <v>0</v>
      </c>
      <c r="J323" s="11">
        <v>0</v>
      </c>
      <c r="K323" s="11">
        <v>0</v>
      </c>
      <c r="L323" s="11">
        <v>0</v>
      </c>
      <c r="M323" s="11">
        <v>0</v>
      </c>
      <c r="N323" s="11">
        <v>0</v>
      </c>
      <c r="O323" s="11">
        <v>0</v>
      </c>
      <c r="P323" s="11">
        <v>0</v>
      </c>
      <c r="Q323" s="11">
        <v>0</v>
      </c>
      <c r="R323" s="12">
        <v>0</v>
      </c>
      <c r="S323" s="12">
        <v>0</v>
      </c>
      <c r="T323" s="12">
        <v>0</v>
      </c>
    </row>
    <row r="324" spans="1:20" x14ac:dyDescent="0.3">
      <c r="A324" s="13" t="s">
        <v>823</v>
      </c>
      <c r="B324" s="14" t="s">
        <v>824</v>
      </c>
      <c r="C324" s="14"/>
      <c r="D324" s="14" t="s">
        <v>825</v>
      </c>
      <c r="E324" s="14">
        <f xml:space="preserve"> IF($T$220,1,0)</f>
        <v>0</v>
      </c>
      <c r="F324" s="14" t="s">
        <v>826</v>
      </c>
      <c r="G324" s="14">
        <v>0</v>
      </c>
      <c r="H324" s="14">
        <v>0</v>
      </c>
      <c r="I324" s="14">
        <v>0</v>
      </c>
      <c r="J324" s="14">
        <v>0</v>
      </c>
      <c r="K324" s="14">
        <v>0</v>
      </c>
      <c r="L324" s="14">
        <v>0</v>
      </c>
      <c r="M324" s="14">
        <v>0</v>
      </c>
      <c r="N324" s="14">
        <v>0</v>
      </c>
      <c r="O324" s="14">
        <v>0</v>
      </c>
      <c r="P324" s="14">
        <v>0</v>
      </c>
      <c r="Q324" s="14">
        <v>0</v>
      </c>
      <c r="R324" s="15">
        <v>0</v>
      </c>
      <c r="S324" s="15">
        <v>0</v>
      </c>
      <c r="T324" s="15">
        <v>0</v>
      </c>
    </row>
    <row r="325" spans="1:20" x14ac:dyDescent="0.3">
      <c r="A325" s="10" t="s">
        <v>256</v>
      </c>
      <c r="B325" s="11" t="s">
        <v>257</v>
      </c>
      <c r="C325" s="11"/>
      <c r="D325" s="11" t="s">
        <v>258</v>
      </c>
      <c r="E325" s="11">
        <f xml:space="preserve"> IF($T$71,1,0)</f>
        <v>0</v>
      </c>
      <c r="F325" s="11" t="s">
        <v>259</v>
      </c>
      <c r="G325" s="11">
        <v>0</v>
      </c>
      <c r="H325" s="11">
        <v>0</v>
      </c>
      <c r="I325" s="11">
        <v>0</v>
      </c>
      <c r="J325" s="11">
        <v>0</v>
      </c>
      <c r="K325" s="11">
        <v>0</v>
      </c>
      <c r="L325" s="11">
        <v>0</v>
      </c>
      <c r="M325" s="11">
        <v>0</v>
      </c>
      <c r="N325" s="11">
        <v>0</v>
      </c>
      <c r="O325" s="11">
        <v>0</v>
      </c>
      <c r="P325" s="11">
        <v>0</v>
      </c>
      <c r="Q325" s="11">
        <v>0</v>
      </c>
      <c r="R325" s="12">
        <v>0</v>
      </c>
      <c r="S325" s="12">
        <v>0</v>
      </c>
      <c r="T325" s="12">
        <v>0</v>
      </c>
    </row>
    <row r="326" spans="1:20" x14ac:dyDescent="0.3">
      <c r="A326" s="13" t="s">
        <v>596</v>
      </c>
      <c r="B326" s="14" t="s">
        <v>597</v>
      </c>
      <c r="C326" s="14"/>
      <c r="D326" s="14" t="s">
        <v>598</v>
      </c>
      <c r="E326" s="14">
        <f xml:space="preserve"> IF($T$160,1,0)</f>
        <v>0</v>
      </c>
      <c r="F326" s="14" t="s">
        <v>599</v>
      </c>
      <c r="G326" s="14">
        <v>0</v>
      </c>
      <c r="H326" s="14">
        <v>0</v>
      </c>
      <c r="I326" s="14">
        <v>0</v>
      </c>
      <c r="J326" s="14">
        <v>0</v>
      </c>
      <c r="K326" s="14">
        <v>0</v>
      </c>
      <c r="L326" s="14">
        <v>0</v>
      </c>
      <c r="M326" s="14">
        <v>0</v>
      </c>
      <c r="N326" s="14">
        <v>0</v>
      </c>
      <c r="O326" s="14">
        <v>0</v>
      </c>
      <c r="P326" s="14">
        <v>0</v>
      </c>
      <c r="Q326" s="14">
        <v>0</v>
      </c>
      <c r="R326" s="15">
        <v>0</v>
      </c>
      <c r="S326" s="15">
        <v>0</v>
      </c>
      <c r="T326" s="15">
        <v>0</v>
      </c>
    </row>
    <row r="327" spans="1:20" x14ac:dyDescent="0.3">
      <c r="A327" s="13" t="s">
        <v>953</v>
      </c>
      <c r="B327" s="14" t="s">
        <v>954</v>
      </c>
      <c r="C327" s="14"/>
      <c r="D327" s="14" t="s">
        <v>955</v>
      </c>
      <c r="E327" s="14">
        <f xml:space="preserve"> IF($T$254,1,0)</f>
        <v>0</v>
      </c>
      <c r="F327" s="14" t="s">
        <v>956</v>
      </c>
      <c r="G327" s="14">
        <v>0</v>
      </c>
      <c r="H327" s="14">
        <v>0</v>
      </c>
      <c r="I327" s="14">
        <v>0</v>
      </c>
      <c r="J327" s="14">
        <v>0</v>
      </c>
      <c r="K327" s="14">
        <v>0</v>
      </c>
      <c r="L327" s="14">
        <v>0</v>
      </c>
      <c r="M327" s="14">
        <v>0</v>
      </c>
      <c r="N327" s="14">
        <v>0</v>
      </c>
      <c r="O327" s="14">
        <v>0</v>
      </c>
      <c r="P327" s="14">
        <v>0</v>
      </c>
      <c r="Q327" s="14">
        <v>0</v>
      </c>
      <c r="R327" s="15">
        <v>0</v>
      </c>
      <c r="S327" s="15">
        <v>0</v>
      </c>
      <c r="T327" s="15">
        <v>0</v>
      </c>
    </row>
    <row r="328" spans="1:20" x14ac:dyDescent="0.3">
      <c r="A328" s="10" t="s">
        <v>374</v>
      </c>
      <c r="B328" s="11" t="s">
        <v>375</v>
      </c>
      <c r="C328" s="11"/>
      <c r="D328" s="11" t="s">
        <v>376</v>
      </c>
      <c r="E328" s="11">
        <f xml:space="preserve"> IF($T$101,1,0)</f>
        <v>0</v>
      </c>
      <c r="F328" s="11" t="s">
        <v>377</v>
      </c>
      <c r="G328" s="11">
        <v>0</v>
      </c>
      <c r="H328" s="11">
        <v>0</v>
      </c>
      <c r="I328" s="11">
        <v>0</v>
      </c>
      <c r="J328" s="11">
        <v>0</v>
      </c>
      <c r="K328" s="11">
        <v>0</v>
      </c>
      <c r="L328" s="11">
        <v>0</v>
      </c>
      <c r="M328" s="11">
        <v>0</v>
      </c>
      <c r="N328" s="11">
        <v>0</v>
      </c>
      <c r="O328" s="11">
        <v>0</v>
      </c>
      <c r="P328" s="11">
        <v>0</v>
      </c>
      <c r="Q328" s="11">
        <v>0</v>
      </c>
      <c r="R328" s="12">
        <v>0</v>
      </c>
      <c r="S328" s="12">
        <v>0</v>
      </c>
      <c r="T328" s="12">
        <v>0</v>
      </c>
    </row>
    <row r="329" spans="1:20" x14ac:dyDescent="0.3">
      <c r="A329" s="10" t="s">
        <v>469</v>
      </c>
      <c r="B329" s="11" t="s">
        <v>470</v>
      </c>
      <c r="C329" s="11"/>
      <c r="D329" s="11" t="s">
        <v>471</v>
      </c>
      <c r="E329" s="11">
        <f xml:space="preserve"> IF($T$127,1,0)</f>
        <v>0</v>
      </c>
      <c r="F329" s="11" t="s">
        <v>472</v>
      </c>
      <c r="G329" s="11">
        <v>0</v>
      </c>
      <c r="H329" s="11">
        <v>0</v>
      </c>
      <c r="I329" s="11">
        <v>0</v>
      </c>
      <c r="J329" s="11">
        <v>0</v>
      </c>
      <c r="K329" s="11">
        <v>0</v>
      </c>
      <c r="L329" s="11">
        <v>0</v>
      </c>
      <c r="M329" s="11">
        <v>0</v>
      </c>
      <c r="N329" s="11">
        <v>0</v>
      </c>
      <c r="O329" s="11">
        <v>0</v>
      </c>
      <c r="P329" s="11">
        <v>0</v>
      </c>
      <c r="Q329" s="11">
        <v>0</v>
      </c>
      <c r="R329" s="12">
        <v>0</v>
      </c>
      <c r="S329" s="12">
        <v>0</v>
      </c>
      <c r="T329" s="12">
        <v>0</v>
      </c>
    </row>
    <row r="330" spans="1:20" x14ac:dyDescent="0.3">
      <c r="A330" s="13" t="s">
        <v>1241</v>
      </c>
      <c r="B330" s="14" t="s">
        <v>1242</v>
      </c>
      <c r="C330" s="14"/>
      <c r="D330" s="14" t="s">
        <v>1243</v>
      </c>
      <c r="E330" s="14">
        <f xml:space="preserve"> IF($T$116,1,0)</f>
        <v>0</v>
      </c>
      <c r="F330" s="14" t="s">
        <v>1244</v>
      </c>
      <c r="G330" s="14">
        <v>0</v>
      </c>
      <c r="H330" s="14">
        <v>0</v>
      </c>
      <c r="I330" s="14">
        <v>0</v>
      </c>
      <c r="J330" s="14">
        <v>0</v>
      </c>
      <c r="K330" s="14">
        <v>0</v>
      </c>
      <c r="L330" s="14">
        <v>0</v>
      </c>
      <c r="M330" s="14">
        <v>0</v>
      </c>
      <c r="N330" s="14">
        <v>0</v>
      </c>
      <c r="O330" s="14">
        <v>0</v>
      </c>
      <c r="P330" s="14">
        <v>0</v>
      </c>
      <c r="Q330" s="14">
        <v>0</v>
      </c>
      <c r="R330" s="15">
        <v>0</v>
      </c>
      <c r="S330" s="15">
        <v>0</v>
      </c>
      <c r="T330" s="15">
        <v>0</v>
      </c>
    </row>
    <row r="331" spans="1:20" x14ac:dyDescent="0.3">
      <c r="A331" s="10" t="s">
        <v>1106</v>
      </c>
      <c r="B331" s="11" t="s">
        <v>1107</v>
      </c>
      <c r="C331" s="11"/>
      <c r="D331" s="11" t="s">
        <v>1107</v>
      </c>
      <c r="E331" s="11">
        <f xml:space="preserve"> IF($T$295,1,0)</f>
        <v>0</v>
      </c>
      <c r="F331" s="11" t="s">
        <v>1108</v>
      </c>
      <c r="G331" s="11">
        <v>0</v>
      </c>
      <c r="H331" s="11">
        <v>0</v>
      </c>
      <c r="I331" s="11">
        <v>0</v>
      </c>
      <c r="J331" s="11">
        <v>0</v>
      </c>
      <c r="K331" s="11">
        <v>0</v>
      </c>
      <c r="L331" s="11">
        <v>0</v>
      </c>
      <c r="M331" s="11">
        <v>0</v>
      </c>
      <c r="N331" s="11">
        <v>0</v>
      </c>
      <c r="O331" s="11">
        <v>0</v>
      </c>
      <c r="P331" s="11">
        <v>0</v>
      </c>
      <c r="Q331" s="11">
        <v>0</v>
      </c>
      <c r="R331" s="12">
        <v>0</v>
      </c>
      <c r="S331" s="12">
        <v>0</v>
      </c>
      <c r="T331" s="12">
        <v>0</v>
      </c>
    </row>
    <row r="332" spans="1:20" x14ac:dyDescent="0.3">
      <c r="A332" s="13" t="s">
        <v>1236</v>
      </c>
      <c r="B332" s="14" t="s">
        <v>1237</v>
      </c>
      <c r="C332" s="14"/>
      <c r="D332" s="14" t="s">
        <v>1237</v>
      </c>
      <c r="E332" s="14">
        <f xml:space="preserve"> IF($T$332,1,0)</f>
        <v>0</v>
      </c>
      <c r="F332" s="14" t="s">
        <v>1238</v>
      </c>
      <c r="G332" s="14">
        <v>0</v>
      </c>
      <c r="H332" s="14">
        <v>0</v>
      </c>
      <c r="I332" s="14">
        <v>0</v>
      </c>
      <c r="J332" s="14">
        <v>0</v>
      </c>
      <c r="K332" s="14">
        <v>0</v>
      </c>
      <c r="L332" s="14">
        <v>0</v>
      </c>
      <c r="M332" s="14">
        <v>0</v>
      </c>
      <c r="N332" s="14">
        <v>0</v>
      </c>
      <c r="O332" s="14">
        <v>0</v>
      </c>
      <c r="P332" s="14">
        <v>0</v>
      </c>
      <c r="Q332" s="14">
        <v>0</v>
      </c>
      <c r="R332" s="15">
        <v>0</v>
      </c>
      <c r="S332" s="15">
        <v>0</v>
      </c>
      <c r="T332" s="15">
        <v>0</v>
      </c>
    </row>
    <row r="334" spans="1:20" ht="15" thickBot="1" x14ac:dyDescent="0.35">
      <c r="E334" s="5" t="s">
        <v>18</v>
      </c>
      <c r="F334" s="6" t="s">
        <v>19</v>
      </c>
      <c r="G334" s="6" t="s">
        <v>4</v>
      </c>
      <c r="H334" s="6" t="s">
        <v>1245</v>
      </c>
      <c r="I334" s="6" t="s">
        <v>1246</v>
      </c>
      <c r="J334" s="6" t="s">
        <v>6</v>
      </c>
      <c r="K334" s="6" t="s">
        <v>7</v>
      </c>
      <c r="L334" s="6" t="s">
        <v>8</v>
      </c>
      <c r="M334" s="6" t="s">
        <v>9</v>
      </c>
      <c r="N334" s="6" t="s">
        <v>10</v>
      </c>
      <c r="O334" s="6" t="s">
        <v>11</v>
      </c>
      <c r="P334" s="6" t="s">
        <v>12</v>
      </c>
      <c r="Q334" s="6" t="s">
        <v>13</v>
      </c>
      <c r="R334" s="6" t="s">
        <v>23</v>
      </c>
      <c r="S334" s="6" t="s">
        <v>26</v>
      </c>
      <c r="T334" s="6" t="s">
        <v>25</v>
      </c>
    </row>
    <row r="335" spans="1:20" ht="15" thickTop="1" x14ac:dyDescent="0.3">
      <c r="E335" s="7">
        <f xml:space="preserve"> IF($T$335,1,0)</f>
        <v>0</v>
      </c>
      <c r="F335" s="8" t="s">
        <v>27</v>
      </c>
      <c r="G335" s="8">
        <v>0</v>
      </c>
      <c r="H335" s="8">
        <v>0</v>
      </c>
      <c r="I335" s="8">
        <v>0</v>
      </c>
      <c r="J335" s="8">
        <v>0</v>
      </c>
      <c r="K335" s="8">
        <v>0</v>
      </c>
      <c r="L335" s="8">
        <v>0</v>
      </c>
      <c r="M335" s="8">
        <v>0</v>
      </c>
      <c r="N335" s="8">
        <v>0</v>
      </c>
      <c r="O335" s="8">
        <v>0</v>
      </c>
      <c r="P335" s="8">
        <v>0</v>
      </c>
      <c r="Q335" s="8">
        <v>0</v>
      </c>
      <c r="R335" s="9">
        <f>$G$335*$G$8+$H$335*$H$8+$I$335*$I$8+$J$335*$J$8+$K$335*$K$8+$L$335*$L$8+$M$335*$M$8+$N$335*$N$8+$O$335*$O$8+$P$335*$P$8+$Q$335*$Q$8</f>
        <v>0</v>
      </c>
      <c r="S335" s="9">
        <f>$T$335/2</f>
        <v>0</v>
      </c>
      <c r="T335" s="9">
        <f>$G$335*$G$8+$H$335*$H$8+$I$335*$I$8+$J$335*$J$8+$K$335*$K$8+$L$335*$L$8+$M$335*$M$8+$N$335*$N$8+$O$335*$O$8+$P$335*$P$8+$Q$335*$Q$8</f>
        <v>0</v>
      </c>
    </row>
  </sheetData>
  <sortState ref="A10:T332">
    <sortCondition ref="A10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B9E06-727F-4485-AAA8-EE3185D938C7}">
  <sheetPr codeName="Blad4"/>
  <dimension ref="A2:L17"/>
  <sheetViews>
    <sheetView workbookViewId="0">
      <selection activeCell="J8" sqref="J8"/>
    </sheetView>
  </sheetViews>
  <sheetFormatPr defaultRowHeight="14.4" x14ac:dyDescent="0.3"/>
  <cols>
    <col min="2" max="2" width="14.77734375" customWidth="1"/>
    <col min="3" max="3" width="18.77734375" customWidth="1"/>
    <col min="4" max="4" width="20.77734375" customWidth="1"/>
    <col min="5" max="5" width="14.77734375" customWidth="1"/>
    <col min="6" max="6" width="25.77734375" customWidth="1"/>
    <col min="8" max="8" width="9" customWidth="1"/>
    <col min="9" max="9" width="9.77734375" customWidth="1"/>
    <col min="10" max="10" width="22.109375" customWidth="1"/>
    <col min="11" max="11" width="18.6640625" customWidth="1"/>
  </cols>
  <sheetData>
    <row r="2" spans="1:12" x14ac:dyDescent="0.3">
      <c r="F2" t="s">
        <v>20</v>
      </c>
      <c r="G2">
        <f>SUM($G$10:$G$13)+ SUM($G$16:$G$17)</f>
        <v>7</v>
      </c>
      <c r="H2">
        <f>SUM($H$10:$H$13)+ SUM($H$16:$H$17)</f>
        <v>4</v>
      </c>
      <c r="J2" t="s">
        <v>1239</v>
      </c>
    </row>
    <row r="3" spans="1:12" x14ac:dyDescent="0.3">
      <c r="F3" t="s">
        <v>21</v>
      </c>
      <c r="G3" s="3">
        <f>$G$8*G2</f>
        <v>7.7000000000000011</v>
      </c>
      <c r="H3" s="3">
        <f>$H$8*H2</f>
        <v>12</v>
      </c>
      <c r="J3">
        <f>SUM($E$10:$E$13)</f>
        <v>3</v>
      </c>
    </row>
    <row r="8" spans="1:12" x14ac:dyDescent="0.3">
      <c r="F8" t="s">
        <v>22</v>
      </c>
      <c r="G8" s="4">
        <v>1.1000000000000001</v>
      </c>
      <c r="H8" s="4">
        <v>3</v>
      </c>
    </row>
    <row r="9" spans="1:12" ht="15" thickBot="1" x14ac:dyDescent="0.35">
      <c r="A9" s="5" t="s">
        <v>14</v>
      </c>
      <c r="B9" s="6" t="s">
        <v>15</v>
      </c>
      <c r="C9" s="6" t="s">
        <v>16</v>
      </c>
      <c r="D9" s="6" t="s">
        <v>17</v>
      </c>
      <c r="E9" s="6" t="s">
        <v>18</v>
      </c>
      <c r="F9" s="6" t="s">
        <v>19</v>
      </c>
      <c r="G9" s="6" t="s">
        <v>4</v>
      </c>
      <c r="H9" s="6" t="s">
        <v>1267</v>
      </c>
      <c r="I9" s="6" t="s">
        <v>1268</v>
      </c>
      <c r="J9" s="6" t="s">
        <v>23</v>
      </c>
      <c r="K9" s="6" t="s">
        <v>24</v>
      </c>
      <c r="L9" s="6" t="s">
        <v>25</v>
      </c>
    </row>
    <row r="10" spans="1:12" ht="15" thickTop="1" x14ac:dyDescent="0.3">
      <c r="A10" s="7" t="s">
        <v>1270</v>
      </c>
      <c r="B10" s="8" t="s">
        <v>177</v>
      </c>
      <c r="C10" s="8" t="s">
        <v>202</v>
      </c>
      <c r="D10" s="8" t="s">
        <v>203</v>
      </c>
      <c r="E10" s="8">
        <f xml:space="preserve"> IF($L$10,1,0)</f>
        <v>1</v>
      </c>
      <c r="F10" s="8" t="s">
        <v>204</v>
      </c>
      <c r="G10" s="8">
        <v>2</v>
      </c>
      <c r="H10" s="8">
        <v>2</v>
      </c>
      <c r="I10" s="9">
        <f>$K$16</f>
        <v>4.0999999999999996</v>
      </c>
      <c r="J10" s="9">
        <f>$G$10*$G$8+$H$10*$H$8</f>
        <v>8.1999999999999993</v>
      </c>
      <c r="K10" s="9">
        <f>SUM($I$10:$I$10)</f>
        <v>4.0999999999999996</v>
      </c>
      <c r="L10" s="9">
        <f>$J$10+$K$10</f>
        <v>12.299999999999999</v>
      </c>
    </row>
    <row r="11" spans="1:12" x14ac:dyDescent="0.3">
      <c r="A11" s="10" t="s">
        <v>1271</v>
      </c>
      <c r="B11" s="11" t="s">
        <v>177</v>
      </c>
      <c r="C11" s="11"/>
      <c r="D11" s="11" t="s">
        <v>1272</v>
      </c>
      <c r="E11" s="11">
        <f xml:space="preserve"> IF($L$11,1,0)</f>
        <v>0</v>
      </c>
      <c r="F11" s="11" t="s">
        <v>1273</v>
      </c>
      <c r="G11" s="11">
        <v>0</v>
      </c>
      <c r="H11" s="11">
        <v>0</v>
      </c>
      <c r="I11" s="12">
        <v>0</v>
      </c>
      <c r="J11" s="12">
        <f>$G$11*$G$8+$H$11*$H$8</f>
        <v>0</v>
      </c>
      <c r="K11" s="12">
        <f>SUM($I$11:$I$11)</f>
        <v>0</v>
      </c>
      <c r="L11" s="12">
        <f>$J$11+$K$11</f>
        <v>0</v>
      </c>
    </row>
    <row r="12" spans="1:12" x14ac:dyDescent="0.3">
      <c r="A12" s="13" t="s">
        <v>172</v>
      </c>
      <c r="B12" s="14" t="s">
        <v>1262</v>
      </c>
      <c r="C12" s="14"/>
      <c r="D12" s="14" t="s">
        <v>1263</v>
      </c>
      <c r="E12" s="14">
        <f xml:space="preserve"> IF($L$12,1,0)</f>
        <v>1</v>
      </c>
      <c r="F12" s="14" t="s">
        <v>1264</v>
      </c>
      <c r="G12" s="14">
        <v>0</v>
      </c>
      <c r="H12" s="14">
        <v>0</v>
      </c>
      <c r="I12" s="15">
        <f>$K$16</f>
        <v>4.0999999999999996</v>
      </c>
      <c r="J12" s="15">
        <f>$G$12*$G$8+$H$12*$H$8</f>
        <v>0</v>
      </c>
      <c r="K12" s="15">
        <f>SUM($I$12:$I$12)</f>
        <v>4.0999999999999996</v>
      </c>
      <c r="L12" s="15">
        <f>$J$12+$K$12</f>
        <v>4.0999999999999996</v>
      </c>
    </row>
    <row r="13" spans="1:12" x14ac:dyDescent="0.3">
      <c r="A13" s="10" t="s">
        <v>815</v>
      </c>
      <c r="B13" s="11" t="s">
        <v>1274</v>
      </c>
      <c r="C13" s="11"/>
      <c r="D13" s="11" t="s">
        <v>1275</v>
      </c>
      <c r="E13" s="11">
        <f xml:space="preserve"> IF($L$13,1,0)</f>
        <v>1</v>
      </c>
      <c r="F13" s="11" t="s">
        <v>1276</v>
      </c>
      <c r="G13" s="11">
        <v>3</v>
      </c>
      <c r="H13" s="11">
        <v>0</v>
      </c>
      <c r="I13" s="12">
        <v>0</v>
      </c>
      <c r="J13" s="12">
        <f>$G$13*$G$8+$H$13*$H$8</f>
        <v>3.3000000000000003</v>
      </c>
      <c r="K13" s="12">
        <f>SUM($I$13:$I$13)</f>
        <v>0</v>
      </c>
      <c r="L13" s="12">
        <f>$J$13+$K$13</f>
        <v>3.3000000000000003</v>
      </c>
    </row>
    <row r="15" spans="1:12" ht="15" thickBot="1" x14ac:dyDescent="0.35">
      <c r="E15" s="5" t="s">
        <v>18</v>
      </c>
      <c r="F15" s="6" t="s">
        <v>19</v>
      </c>
      <c r="G15" s="6" t="s">
        <v>4</v>
      </c>
      <c r="H15" s="6" t="s">
        <v>1267</v>
      </c>
      <c r="I15" s="6" t="s">
        <v>1259</v>
      </c>
      <c r="J15" s="6" t="s">
        <v>23</v>
      </c>
      <c r="K15" s="6" t="s">
        <v>26</v>
      </c>
      <c r="L15" s="6" t="s">
        <v>25</v>
      </c>
    </row>
    <row r="16" spans="1:12" ht="15" thickTop="1" x14ac:dyDescent="0.3">
      <c r="E16" s="7">
        <f xml:space="preserve"> IF($L$16,1,0)</f>
        <v>1</v>
      </c>
      <c r="F16" s="8" t="s">
        <v>1268</v>
      </c>
      <c r="G16" s="8">
        <v>2</v>
      </c>
      <c r="H16" s="8">
        <v>2</v>
      </c>
      <c r="I16" s="8"/>
      <c r="J16" s="9">
        <f>$G$16*$G$8+$H$16*$H$8</f>
        <v>8.1999999999999993</v>
      </c>
      <c r="K16" s="9">
        <f>$L$16/2</f>
        <v>4.0999999999999996</v>
      </c>
      <c r="L16" s="9">
        <f>$G$16*$G$8+$H$16*$H$8</f>
        <v>8.1999999999999993</v>
      </c>
    </row>
    <row r="17" spans="5:12" x14ac:dyDescent="0.3">
      <c r="E17" s="10">
        <f xml:space="preserve"> IF($L$17,1,0)</f>
        <v>0</v>
      </c>
      <c r="F17" s="11" t="s">
        <v>1269</v>
      </c>
      <c r="G17" s="11">
        <v>0</v>
      </c>
      <c r="H17" s="11">
        <v>0</v>
      </c>
      <c r="I17" s="11"/>
      <c r="J17" s="12">
        <f>$G$17*$G$8+$H$17*$H$8</f>
        <v>0</v>
      </c>
      <c r="K17" s="12">
        <f>$L$17/2</f>
        <v>0</v>
      </c>
      <c r="L17" s="12">
        <f>$G$17*$G$8+$H$17*$H$8</f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5EAD6-03F3-4776-9B80-BEF9416DA159}">
  <sheetPr codeName="Blad5"/>
  <dimension ref="A2:T333"/>
  <sheetViews>
    <sheetView topLeftCell="F131" workbookViewId="0">
      <selection activeCell="R136" sqref="R136"/>
    </sheetView>
  </sheetViews>
  <sheetFormatPr defaultRowHeight="14.4" x14ac:dyDescent="0.3"/>
  <cols>
    <col min="2" max="2" width="14.77734375" customWidth="1"/>
    <col min="3" max="3" width="18.77734375" customWidth="1"/>
    <col min="4" max="4" width="20.77734375" customWidth="1"/>
    <col min="5" max="5" width="14.77734375" customWidth="1"/>
    <col min="6" max="6" width="25.77734375" customWidth="1"/>
    <col min="8" max="8" width="14.44140625" customWidth="1"/>
    <col min="10" max="10" width="15.6640625" customWidth="1"/>
    <col min="12" max="15" width="11.44140625" customWidth="1"/>
    <col min="17" max="17" width="14.21875" customWidth="1"/>
    <col min="18" max="18" width="22.109375" customWidth="1"/>
    <col min="19" max="19" width="18.6640625" customWidth="1"/>
  </cols>
  <sheetData>
    <row r="2" spans="1:20" x14ac:dyDescent="0.3">
      <c r="F2" t="s">
        <v>20</v>
      </c>
      <c r="G2">
        <f>SUM($G$10:$G$330)+ SUM($G$333:$G$333)</f>
        <v>151</v>
      </c>
      <c r="H2">
        <f>SUM($H$10:$H$330)+ SUM($H$333:$H$333)</f>
        <v>144</v>
      </c>
      <c r="I2">
        <f>SUM($I$10:$I$330)+ SUM($I$333:$I$333)</f>
        <v>20</v>
      </c>
      <c r="J2">
        <f>SUM($J$10:$J$330)+ SUM($J$333:$J$333)</f>
        <v>35</v>
      </c>
      <c r="K2">
        <f>SUM($K$10:$K$330)+ SUM($K$333:$K$333)</f>
        <v>0</v>
      </c>
      <c r="L2">
        <f>SUM($L$10:$L$330)+ SUM($L$333:$L$333)</f>
        <v>4</v>
      </c>
      <c r="M2">
        <f>SUM($M$10:$M$330)+ SUM($M$333:$M$333)</f>
        <v>9</v>
      </c>
      <c r="N2">
        <f>SUM($N$10:$N$330)+ SUM($N$333:$N$333)</f>
        <v>2</v>
      </c>
      <c r="O2">
        <f>SUM($O$10:$O$330)+ SUM($O$333:$O$333)</f>
        <v>2</v>
      </c>
      <c r="P2">
        <f>SUM($P$10:$P$330)+ SUM($P$333:$P$333)</f>
        <v>1</v>
      </c>
      <c r="Q2">
        <f>SUM($Q$10:$Q$330)+ SUM($Q$333:$Q$333)</f>
        <v>31</v>
      </c>
      <c r="S2" t="s">
        <v>1239</v>
      </c>
    </row>
    <row r="3" spans="1:20" x14ac:dyDescent="0.3">
      <c r="F3" t="s">
        <v>21</v>
      </c>
      <c r="G3" s="3">
        <f>$G$8*G2</f>
        <v>166.10000000000002</v>
      </c>
      <c r="H3" s="3">
        <f>$H$8*H2</f>
        <v>316.8</v>
      </c>
      <c r="I3" s="3">
        <f>$I$8*I2</f>
        <v>20</v>
      </c>
      <c r="J3" s="3">
        <f>$J$8*J2</f>
        <v>70</v>
      </c>
      <c r="K3" s="3">
        <f>$K$8*K2</f>
        <v>0</v>
      </c>
      <c r="L3" s="3">
        <f>$L$8*L2</f>
        <v>8</v>
      </c>
      <c r="M3" s="3">
        <f>$M$8*M2</f>
        <v>27</v>
      </c>
      <c r="N3" s="3">
        <f>$N$8*N2</f>
        <v>8</v>
      </c>
      <c r="O3" s="3">
        <f>$O$8*O2</f>
        <v>10</v>
      </c>
      <c r="P3" s="3">
        <f>$P$8*P2</f>
        <v>0.5</v>
      </c>
      <c r="Q3" s="3">
        <f>$Q$8*Q2</f>
        <v>31</v>
      </c>
      <c r="S3">
        <f>SUM($E$10:$E$330)</f>
        <v>80</v>
      </c>
    </row>
    <row r="8" spans="1:20" x14ac:dyDescent="0.3">
      <c r="F8" t="s">
        <v>22</v>
      </c>
      <c r="G8" s="4">
        <v>1.1000000000000001</v>
      </c>
      <c r="H8" s="4">
        <v>2.2000000000000002</v>
      </c>
      <c r="I8" s="4">
        <v>1</v>
      </c>
      <c r="J8" s="4">
        <v>2</v>
      </c>
      <c r="K8" s="4">
        <v>4.75</v>
      </c>
      <c r="L8" s="4">
        <v>2</v>
      </c>
      <c r="M8" s="4">
        <v>3</v>
      </c>
      <c r="N8" s="4">
        <v>4</v>
      </c>
      <c r="O8" s="4">
        <v>5</v>
      </c>
      <c r="P8" s="4">
        <v>0.5</v>
      </c>
      <c r="Q8" s="4">
        <v>1</v>
      </c>
    </row>
    <row r="9" spans="1:20" ht="15" thickBot="1" x14ac:dyDescent="0.35">
      <c r="A9" s="5" t="s">
        <v>14</v>
      </c>
      <c r="B9" s="6" t="s">
        <v>15</v>
      </c>
      <c r="C9" s="6" t="s">
        <v>16</v>
      </c>
      <c r="D9" s="6" t="s">
        <v>17</v>
      </c>
      <c r="E9" s="6" t="s">
        <v>18</v>
      </c>
      <c r="F9" s="6" t="s">
        <v>19</v>
      </c>
      <c r="G9" s="6" t="s">
        <v>4</v>
      </c>
      <c r="H9" s="6" t="s">
        <v>1265</v>
      </c>
      <c r="I9" s="6" t="s">
        <v>6</v>
      </c>
      <c r="J9" s="6" t="s">
        <v>1266</v>
      </c>
      <c r="K9" s="6" t="s">
        <v>7</v>
      </c>
      <c r="L9" s="6" t="s">
        <v>8</v>
      </c>
      <c r="M9" s="6" t="s">
        <v>9</v>
      </c>
      <c r="N9" s="6" t="s">
        <v>10</v>
      </c>
      <c r="O9" s="6" t="s">
        <v>11</v>
      </c>
      <c r="P9" s="6" t="s">
        <v>12</v>
      </c>
      <c r="Q9" s="6" t="s">
        <v>13</v>
      </c>
      <c r="R9" s="6" t="s">
        <v>23</v>
      </c>
      <c r="S9" s="6" t="s">
        <v>24</v>
      </c>
      <c r="T9" s="6" t="s">
        <v>25</v>
      </c>
    </row>
    <row r="10" spans="1:20" ht="15" thickTop="1" x14ac:dyDescent="0.3">
      <c r="A10" s="7" t="s">
        <v>28</v>
      </c>
      <c r="B10" s="8" t="s">
        <v>29</v>
      </c>
      <c r="C10" s="8"/>
      <c r="D10" s="8" t="s">
        <v>30</v>
      </c>
      <c r="E10" s="8">
        <f xml:space="preserve"> IF($T$10,1,0)</f>
        <v>0</v>
      </c>
      <c r="F10" s="8" t="s">
        <v>31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9">
        <f>$G$10*$G$8+$H$10*$H$8+$I$10*$I$8+$J$10*$J$8+$K$10*$K$8+$L$10*$L$8+$M$10*$M$8+$N$10*$N$8+$O$10*$O$8+$P$10*$P$8+$Q$10*$Q$8</f>
        <v>0</v>
      </c>
      <c r="S10" s="9">
        <v>0</v>
      </c>
      <c r="T10" s="9">
        <f>$R$10+$S$10</f>
        <v>0</v>
      </c>
    </row>
    <row r="11" spans="1:20" x14ac:dyDescent="0.3">
      <c r="A11" s="10" t="s">
        <v>32</v>
      </c>
      <c r="B11" s="11" t="s">
        <v>33</v>
      </c>
      <c r="C11" s="11" t="s">
        <v>34</v>
      </c>
      <c r="D11" s="11" t="s">
        <v>35</v>
      </c>
      <c r="E11" s="11">
        <f xml:space="preserve"> IF($T$11,1,0)</f>
        <v>1</v>
      </c>
      <c r="F11" s="11" t="s">
        <v>36</v>
      </c>
      <c r="G11" s="11">
        <v>0</v>
      </c>
      <c r="H11" s="11">
        <v>0</v>
      </c>
      <c r="I11" s="11">
        <v>1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2">
        <f>$G$11*$G$8+$H$11*$H$8+$I$11*$I$8+$J$11*$J$8+$K$11*$K$8+$L$11*$L$8+$M$11*$M$8+$N$11*$N$8+$O$11*$O$8+$P$11*$P$8+$Q$11*$Q$8</f>
        <v>1</v>
      </c>
      <c r="S11" s="12">
        <v>0</v>
      </c>
      <c r="T11" s="12">
        <f>$R$11+$S$11</f>
        <v>1</v>
      </c>
    </row>
    <row r="12" spans="1:20" x14ac:dyDescent="0.3">
      <c r="A12" s="13" t="s">
        <v>37</v>
      </c>
      <c r="B12" s="14" t="s">
        <v>38</v>
      </c>
      <c r="C12" s="14"/>
      <c r="D12" s="14" t="s">
        <v>39</v>
      </c>
      <c r="E12" s="14">
        <f xml:space="preserve"> IF($T$12,1,0)</f>
        <v>0</v>
      </c>
      <c r="F12" s="14" t="s">
        <v>40</v>
      </c>
      <c r="G12" s="14">
        <v>0</v>
      </c>
      <c r="H12" s="14">
        <v>0</v>
      </c>
      <c r="I12" s="14">
        <v>0</v>
      </c>
      <c r="J12" s="14">
        <v>0</v>
      </c>
      <c r="K12" s="14">
        <v>0</v>
      </c>
      <c r="L12" s="14">
        <v>0</v>
      </c>
      <c r="M12" s="14">
        <v>0</v>
      </c>
      <c r="N12" s="14">
        <v>0</v>
      </c>
      <c r="O12" s="14">
        <v>0</v>
      </c>
      <c r="P12" s="14">
        <v>0</v>
      </c>
      <c r="Q12" s="14">
        <v>0</v>
      </c>
      <c r="R12" s="15">
        <f>$G$12*$G$8+$H$12*$H$8+$I$12*$I$8+$J$12*$J$8+$K$12*$K$8+$L$12*$L$8+$M$12*$M$8+$N$12*$N$8+$O$12*$O$8+$P$12*$P$8+$Q$12*$Q$8</f>
        <v>0</v>
      </c>
      <c r="S12" s="15">
        <v>0</v>
      </c>
      <c r="T12" s="15">
        <f>$R$12+$S$12</f>
        <v>0</v>
      </c>
    </row>
    <row r="13" spans="1:20" x14ac:dyDescent="0.3">
      <c r="A13" s="10" t="s">
        <v>41</v>
      </c>
      <c r="B13" s="11" t="s">
        <v>38</v>
      </c>
      <c r="C13" s="11"/>
      <c r="D13" s="11" t="s">
        <v>42</v>
      </c>
      <c r="E13" s="11">
        <f xml:space="preserve"> IF($T$13,1,0)</f>
        <v>0</v>
      </c>
      <c r="F13" s="11" t="s">
        <v>43</v>
      </c>
      <c r="G13" s="11">
        <v>0</v>
      </c>
      <c r="H13" s="11">
        <v>0</v>
      </c>
      <c r="I13" s="11">
        <v>0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2">
        <f>$G$13*$G$8+$H$13*$H$8+$I$13*$I$8+$J$13*$J$8+$K$13*$K$8+$L$13*$L$8+$M$13*$M$8+$N$13*$N$8+$O$13*$O$8+$P$13*$P$8+$Q$13*$Q$8</f>
        <v>0</v>
      </c>
      <c r="S13" s="12">
        <v>0</v>
      </c>
      <c r="T13" s="12">
        <f>$R$13+$S$13</f>
        <v>0</v>
      </c>
    </row>
    <row r="14" spans="1:20" x14ac:dyDescent="0.3">
      <c r="A14" s="13" t="s">
        <v>44</v>
      </c>
      <c r="B14" s="14" t="s">
        <v>45</v>
      </c>
      <c r="C14" s="14"/>
      <c r="D14" s="14" t="s">
        <v>46</v>
      </c>
      <c r="E14" s="14">
        <f xml:space="preserve"> IF($T$14,1,0)</f>
        <v>0</v>
      </c>
      <c r="F14" s="14" t="s">
        <v>47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5">
        <f>$G$14*$G$8+$H$14*$H$8+$I$14*$I$8+$J$14*$J$8+$K$14*$K$8+$L$14*$L$8+$M$14*$M$8+$N$14*$N$8+$O$14*$O$8+$P$14*$P$8+$Q$14*$Q$8</f>
        <v>0</v>
      </c>
      <c r="S14" s="15">
        <v>0</v>
      </c>
      <c r="T14" s="15">
        <f>$R$14+$S$14</f>
        <v>0</v>
      </c>
    </row>
    <row r="15" spans="1:20" x14ac:dyDescent="0.3">
      <c r="A15" s="10" t="s">
        <v>48</v>
      </c>
      <c r="B15" s="11" t="s">
        <v>45</v>
      </c>
      <c r="C15" s="11"/>
      <c r="D15" s="11" t="s">
        <v>49</v>
      </c>
      <c r="E15" s="11">
        <f xml:space="preserve"> IF($T$15,1,0)</f>
        <v>0</v>
      </c>
      <c r="F15" s="11" t="s">
        <v>50</v>
      </c>
      <c r="G15" s="11">
        <v>0</v>
      </c>
      <c r="H15" s="11">
        <v>0</v>
      </c>
      <c r="I15" s="11">
        <v>0</v>
      </c>
      <c r="J15" s="11">
        <v>0</v>
      </c>
      <c r="K15" s="11">
        <v>0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1">
        <v>0</v>
      </c>
      <c r="R15" s="12">
        <f>$G$15*$G$8+$H$15*$H$8+$I$15*$I$8+$J$15*$J$8+$K$15*$K$8+$L$15*$L$8+$M$15*$M$8+$N$15*$N$8+$O$15*$O$8+$P$15*$P$8+$Q$15*$Q$8</f>
        <v>0</v>
      </c>
      <c r="S15" s="12">
        <v>0</v>
      </c>
      <c r="T15" s="12">
        <f>$R$15+$S$15</f>
        <v>0</v>
      </c>
    </row>
    <row r="16" spans="1:20" x14ac:dyDescent="0.3">
      <c r="A16" s="13" t="s">
        <v>51</v>
      </c>
      <c r="B16" s="14" t="s">
        <v>52</v>
      </c>
      <c r="C16" s="14"/>
      <c r="D16" s="14" t="s">
        <v>53</v>
      </c>
      <c r="E16" s="14">
        <f xml:space="preserve"> IF($T$16,1,0)</f>
        <v>0</v>
      </c>
      <c r="F16" s="14" t="s">
        <v>54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4">
        <v>0</v>
      </c>
      <c r="O16" s="14">
        <v>0</v>
      </c>
      <c r="P16" s="14">
        <v>0</v>
      </c>
      <c r="Q16" s="14">
        <v>0</v>
      </c>
      <c r="R16" s="15">
        <f>$G$16*$G$8+$H$16*$H$8+$I$16*$I$8+$J$16*$J$8+$K$16*$K$8+$L$16*$L$8+$M$16*$M$8+$N$16*$N$8+$O$16*$O$8+$P$16*$P$8+$Q$16*$Q$8</f>
        <v>0</v>
      </c>
      <c r="S16" s="15">
        <v>0</v>
      </c>
      <c r="T16" s="15">
        <f>$R$16+$S$16</f>
        <v>0</v>
      </c>
    </row>
    <row r="17" spans="1:20" x14ac:dyDescent="0.3">
      <c r="A17" s="10" t="s">
        <v>55</v>
      </c>
      <c r="B17" s="11" t="s">
        <v>56</v>
      </c>
      <c r="C17" s="11"/>
      <c r="D17" s="11" t="s">
        <v>57</v>
      </c>
      <c r="E17" s="11">
        <f xml:space="preserve"> IF($T$17,1,0)</f>
        <v>0</v>
      </c>
      <c r="F17" s="11" t="s">
        <v>58</v>
      </c>
      <c r="G17" s="11">
        <v>0</v>
      </c>
      <c r="H17" s="11">
        <v>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1">
        <v>0</v>
      </c>
      <c r="R17" s="12">
        <f>$G$17*$G$8+$H$17*$H$8+$I$17*$I$8+$J$17*$J$8+$K$17*$K$8+$L$17*$L$8+$M$17*$M$8+$N$17*$N$8+$O$17*$O$8+$P$17*$P$8+$Q$17*$Q$8</f>
        <v>0</v>
      </c>
      <c r="S17" s="12">
        <v>0</v>
      </c>
      <c r="T17" s="12">
        <f>$R$17+$S$17</f>
        <v>0</v>
      </c>
    </row>
    <row r="18" spans="1:20" x14ac:dyDescent="0.3">
      <c r="A18" s="13" t="s">
        <v>59</v>
      </c>
      <c r="B18" s="14" t="s">
        <v>60</v>
      </c>
      <c r="C18" s="14"/>
      <c r="D18" s="14" t="s">
        <v>61</v>
      </c>
      <c r="E18" s="14">
        <f xml:space="preserve"> IF($T$18,1,0)</f>
        <v>0</v>
      </c>
      <c r="F18" s="14" t="s">
        <v>62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4">
        <v>0</v>
      </c>
      <c r="R18" s="15">
        <f>$G$18*$G$8+$H$18*$H$8+$I$18*$I$8+$J$18*$J$8+$K$18*$K$8+$L$18*$L$8+$M$18*$M$8+$N$18*$N$8+$O$18*$O$8+$P$18*$P$8+$Q$18*$Q$8</f>
        <v>0</v>
      </c>
      <c r="S18" s="15">
        <v>0</v>
      </c>
      <c r="T18" s="15">
        <f>$R$18+$S$18</f>
        <v>0</v>
      </c>
    </row>
    <row r="19" spans="1:20" x14ac:dyDescent="0.3">
      <c r="A19" s="10" t="s">
        <v>63</v>
      </c>
      <c r="B19" s="11" t="s">
        <v>64</v>
      </c>
      <c r="C19" s="11" t="s">
        <v>65</v>
      </c>
      <c r="D19" s="11" t="s">
        <v>66</v>
      </c>
      <c r="E19" s="11">
        <f xml:space="preserve"> IF($T$19,1,0)</f>
        <v>1</v>
      </c>
      <c r="F19" s="11" t="s">
        <v>67</v>
      </c>
      <c r="G19" s="11">
        <v>4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1">
        <v>0</v>
      </c>
      <c r="R19" s="12">
        <f>$G$19*$G$8+$H$19*$H$8+$I$19*$I$8+$J$19*$J$8+$K$19*$K$8+$L$19*$L$8+$M$19*$M$8+$N$19*$N$8+$O$19*$O$8+$P$19*$P$8+$Q$19*$Q$8</f>
        <v>4.4000000000000004</v>
      </c>
      <c r="S19" s="12">
        <v>0</v>
      </c>
      <c r="T19" s="12">
        <f>$R$19+$S$19</f>
        <v>4.4000000000000004</v>
      </c>
    </row>
    <row r="20" spans="1:20" x14ac:dyDescent="0.3">
      <c r="A20" s="13" t="s">
        <v>68</v>
      </c>
      <c r="B20" s="14" t="s">
        <v>69</v>
      </c>
      <c r="C20" s="14"/>
      <c r="D20" s="14" t="s">
        <v>70</v>
      </c>
      <c r="E20" s="14">
        <f xml:space="preserve"> IF($T$20,1,0)</f>
        <v>0</v>
      </c>
      <c r="F20" s="14" t="s">
        <v>71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4">
        <v>0</v>
      </c>
      <c r="N20" s="14">
        <v>0</v>
      </c>
      <c r="O20" s="14">
        <v>0</v>
      </c>
      <c r="P20" s="14">
        <v>0</v>
      </c>
      <c r="Q20" s="14">
        <v>0</v>
      </c>
      <c r="R20" s="15">
        <f>$G$20*$G$8+$H$20*$H$8+$I$20*$I$8+$J$20*$J$8+$K$20*$K$8+$L$20*$L$8+$M$20*$M$8+$N$20*$N$8+$O$20*$O$8+$P$20*$P$8+$Q$20*$Q$8</f>
        <v>0</v>
      </c>
      <c r="S20" s="15">
        <v>0</v>
      </c>
      <c r="T20" s="15">
        <f>$R$20+$S$20</f>
        <v>0</v>
      </c>
    </row>
    <row r="21" spans="1:20" x14ac:dyDescent="0.3">
      <c r="A21" s="10" t="s">
        <v>72</v>
      </c>
      <c r="B21" s="11" t="s">
        <v>73</v>
      </c>
      <c r="C21" s="11"/>
      <c r="D21" s="11" t="s">
        <v>74</v>
      </c>
      <c r="E21" s="11">
        <f xml:space="preserve"> IF($T$21,1,0)</f>
        <v>0</v>
      </c>
      <c r="F21" s="11" t="s">
        <v>75</v>
      </c>
      <c r="G21" s="11">
        <v>0</v>
      </c>
      <c r="H21" s="11">
        <v>0</v>
      </c>
      <c r="I21" s="11">
        <v>0</v>
      </c>
      <c r="J21" s="11">
        <v>0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1">
        <v>0</v>
      </c>
      <c r="R21" s="12">
        <f>$G$21*$G$8+$H$21*$H$8+$I$21*$I$8+$J$21*$J$8+$K$21*$K$8+$L$21*$L$8+$M$21*$M$8+$N$21*$N$8+$O$21*$O$8+$P$21*$P$8+$Q$21*$Q$8</f>
        <v>0</v>
      </c>
      <c r="S21" s="12">
        <v>0</v>
      </c>
      <c r="T21" s="12">
        <f>$R$21+$S$21</f>
        <v>0</v>
      </c>
    </row>
    <row r="22" spans="1:20" x14ac:dyDescent="0.3">
      <c r="A22" s="13" t="s">
        <v>76</v>
      </c>
      <c r="B22" s="14" t="s">
        <v>77</v>
      </c>
      <c r="C22" s="14"/>
      <c r="D22" s="14" t="s">
        <v>78</v>
      </c>
      <c r="E22" s="14">
        <f xml:space="preserve"> IF($T$22,1,0)</f>
        <v>1</v>
      </c>
      <c r="F22" s="14" t="s">
        <v>79</v>
      </c>
      <c r="G22" s="14">
        <v>1</v>
      </c>
      <c r="H22" s="14">
        <v>0</v>
      </c>
      <c r="I22" s="14">
        <v>1</v>
      </c>
      <c r="J22" s="14">
        <v>0</v>
      </c>
      <c r="K22" s="14">
        <v>0</v>
      </c>
      <c r="L22" s="14">
        <v>0</v>
      </c>
      <c r="M22" s="14">
        <v>0</v>
      </c>
      <c r="N22" s="14">
        <v>0</v>
      </c>
      <c r="O22" s="14">
        <v>0</v>
      </c>
      <c r="P22" s="14">
        <v>0</v>
      </c>
      <c r="Q22" s="14">
        <v>0</v>
      </c>
      <c r="R22" s="15">
        <f>$G$22*$G$8+$H$22*$H$8+$I$22*$I$8+$J$22*$J$8+$K$22*$K$8+$L$22*$L$8+$M$22*$M$8+$N$22*$N$8+$O$22*$O$8+$P$22*$P$8+$Q$22*$Q$8</f>
        <v>2.1</v>
      </c>
      <c r="S22" s="15">
        <v>0</v>
      </c>
      <c r="T22" s="15">
        <f>$R$22+$S$22</f>
        <v>2.1</v>
      </c>
    </row>
    <row r="23" spans="1:20" x14ac:dyDescent="0.3">
      <c r="A23" s="10" t="s">
        <v>80</v>
      </c>
      <c r="B23" s="11" t="s">
        <v>77</v>
      </c>
      <c r="C23" s="11" t="s">
        <v>65</v>
      </c>
      <c r="D23" s="11" t="s">
        <v>81</v>
      </c>
      <c r="E23" s="11">
        <f xml:space="preserve"> IF($T$23,1,0)</f>
        <v>0</v>
      </c>
      <c r="F23" s="11" t="s">
        <v>82</v>
      </c>
      <c r="G23" s="11">
        <v>0</v>
      </c>
      <c r="H23" s="11">
        <v>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1">
        <v>0</v>
      </c>
      <c r="R23" s="12">
        <f>$G$23*$G$8+$H$23*$H$8+$I$23*$I$8+$J$23*$J$8+$K$23*$K$8+$L$23*$L$8+$M$23*$M$8+$N$23*$N$8+$O$23*$O$8+$P$23*$P$8+$Q$23*$Q$8</f>
        <v>0</v>
      </c>
      <c r="S23" s="12">
        <v>0</v>
      </c>
      <c r="T23" s="12">
        <f>$R$23+$S$23</f>
        <v>0</v>
      </c>
    </row>
    <row r="24" spans="1:20" x14ac:dyDescent="0.3">
      <c r="A24" s="13" t="s">
        <v>83</v>
      </c>
      <c r="B24" s="14" t="s">
        <v>84</v>
      </c>
      <c r="C24" s="14"/>
      <c r="D24" s="14" t="s">
        <v>81</v>
      </c>
      <c r="E24" s="14">
        <f xml:space="preserve"> IF($T$24,1,0)</f>
        <v>0</v>
      </c>
      <c r="F24" s="14" t="s">
        <v>85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4">
        <v>0</v>
      </c>
      <c r="R24" s="15">
        <f>$G$24*$G$8+$H$24*$H$8+$I$24*$I$8+$J$24*$J$8+$K$24*$K$8+$L$24*$L$8+$M$24*$M$8+$N$24*$N$8+$O$24*$O$8+$P$24*$P$8+$Q$24*$Q$8</f>
        <v>0</v>
      </c>
      <c r="S24" s="15">
        <v>0</v>
      </c>
      <c r="T24" s="15">
        <f>$R$24+$S$24</f>
        <v>0</v>
      </c>
    </row>
    <row r="25" spans="1:20" x14ac:dyDescent="0.3">
      <c r="A25" s="10" t="s">
        <v>86</v>
      </c>
      <c r="B25" s="11" t="s">
        <v>87</v>
      </c>
      <c r="C25" s="11"/>
      <c r="D25" s="11" t="s">
        <v>88</v>
      </c>
      <c r="E25" s="11">
        <f xml:space="preserve"> IF($T$25,1,0)</f>
        <v>0</v>
      </c>
      <c r="F25" s="11" t="s">
        <v>89</v>
      </c>
      <c r="G25" s="11">
        <v>0</v>
      </c>
      <c r="H25" s="11">
        <v>0</v>
      </c>
      <c r="I25" s="11">
        <v>0</v>
      </c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1">
        <v>0</v>
      </c>
      <c r="R25" s="12">
        <f>$G$25*$G$8+$H$25*$H$8+$I$25*$I$8+$J$25*$J$8+$K$25*$K$8+$L$25*$L$8+$M$25*$M$8+$N$25*$N$8+$O$25*$O$8+$P$25*$P$8+$Q$25*$Q$8</f>
        <v>0</v>
      </c>
      <c r="S25" s="12">
        <v>0</v>
      </c>
      <c r="T25" s="12">
        <f>$R$25+$S$25</f>
        <v>0</v>
      </c>
    </row>
    <row r="26" spans="1:20" x14ac:dyDescent="0.3">
      <c r="A26" s="13" t="s">
        <v>90</v>
      </c>
      <c r="B26" s="14" t="s">
        <v>91</v>
      </c>
      <c r="C26" s="14"/>
      <c r="D26" s="14" t="s">
        <v>92</v>
      </c>
      <c r="E26" s="14">
        <f xml:space="preserve"> IF($T$26,1,0)</f>
        <v>0</v>
      </c>
      <c r="F26" s="14" t="s">
        <v>93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4">
        <v>0</v>
      </c>
      <c r="R26" s="15">
        <f>$G$26*$G$8+$H$26*$H$8+$I$26*$I$8+$J$26*$J$8+$K$26*$K$8+$L$26*$L$8+$M$26*$M$8+$N$26*$N$8+$O$26*$O$8+$P$26*$P$8+$Q$26*$Q$8</f>
        <v>0</v>
      </c>
      <c r="S26" s="15">
        <v>0</v>
      </c>
      <c r="T26" s="15">
        <f>$R$26+$S$26</f>
        <v>0</v>
      </c>
    </row>
    <row r="27" spans="1:20" x14ac:dyDescent="0.3">
      <c r="A27" s="10" t="s">
        <v>94</v>
      </c>
      <c r="B27" s="11" t="s">
        <v>95</v>
      </c>
      <c r="C27" s="11"/>
      <c r="D27" s="11" t="s">
        <v>96</v>
      </c>
      <c r="E27" s="11">
        <f xml:space="preserve"> IF($T$27,1,0)</f>
        <v>0</v>
      </c>
      <c r="F27" s="11" t="s">
        <v>97</v>
      </c>
      <c r="G27" s="11">
        <v>0</v>
      </c>
      <c r="H27" s="11">
        <v>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1">
        <v>0</v>
      </c>
      <c r="R27" s="12">
        <f>$G$27*$G$8+$H$27*$H$8+$I$27*$I$8+$J$27*$J$8+$K$27*$K$8+$L$27*$L$8+$M$27*$M$8+$N$27*$N$8+$O$27*$O$8+$P$27*$P$8+$Q$27*$Q$8</f>
        <v>0</v>
      </c>
      <c r="S27" s="12">
        <v>0</v>
      </c>
      <c r="T27" s="12">
        <f>$R$27+$S$27</f>
        <v>0</v>
      </c>
    </row>
    <row r="28" spans="1:20" x14ac:dyDescent="0.3">
      <c r="A28" s="13" t="s">
        <v>98</v>
      </c>
      <c r="B28" s="14" t="s">
        <v>99</v>
      </c>
      <c r="C28" s="14"/>
      <c r="D28" s="14" t="s">
        <v>100</v>
      </c>
      <c r="E28" s="14">
        <f xml:space="preserve"> IF($T$28,1,0)</f>
        <v>0</v>
      </c>
      <c r="F28" s="14" t="s">
        <v>101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4">
        <v>0</v>
      </c>
      <c r="R28" s="15">
        <f>$G$28*$G$8+$H$28*$H$8+$I$28*$I$8+$J$28*$J$8+$K$28*$K$8+$L$28*$L$8+$M$28*$M$8+$N$28*$N$8+$O$28*$O$8+$P$28*$P$8+$Q$28*$Q$8</f>
        <v>0</v>
      </c>
      <c r="S28" s="15">
        <v>0</v>
      </c>
      <c r="T28" s="15">
        <f>$R$28+$S$28</f>
        <v>0</v>
      </c>
    </row>
    <row r="29" spans="1:20" x14ac:dyDescent="0.3">
      <c r="A29" s="10" t="s">
        <v>102</v>
      </c>
      <c r="B29" s="11" t="s">
        <v>103</v>
      </c>
      <c r="C29" s="11"/>
      <c r="D29" s="11" t="s">
        <v>104</v>
      </c>
      <c r="E29" s="11">
        <f xml:space="preserve"> IF($T$29,1,0)</f>
        <v>0</v>
      </c>
      <c r="F29" s="11" t="s">
        <v>105</v>
      </c>
      <c r="G29" s="11">
        <v>0</v>
      </c>
      <c r="H29" s="11">
        <v>0</v>
      </c>
      <c r="I29" s="11">
        <v>0</v>
      </c>
      <c r="J29" s="11">
        <v>0</v>
      </c>
      <c r="K29" s="11">
        <v>0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1">
        <v>0</v>
      </c>
      <c r="R29" s="12">
        <f>$G$29*$G$8+$H$29*$H$8+$I$29*$I$8+$J$29*$J$8+$K$29*$K$8+$L$29*$L$8+$M$29*$M$8+$N$29*$N$8+$O$29*$O$8+$P$29*$P$8+$Q$29*$Q$8</f>
        <v>0</v>
      </c>
      <c r="S29" s="12">
        <v>0</v>
      </c>
      <c r="T29" s="12">
        <f>$R$29+$S$29</f>
        <v>0</v>
      </c>
    </row>
    <row r="30" spans="1:20" x14ac:dyDescent="0.3">
      <c r="A30" s="13" t="s">
        <v>106</v>
      </c>
      <c r="B30" s="14" t="s">
        <v>103</v>
      </c>
      <c r="C30" s="14"/>
      <c r="D30" s="14" t="s">
        <v>107</v>
      </c>
      <c r="E30" s="14">
        <f xml:space="preserve"> IF($T$30,1,0)</f>
        <v>0</v>
      </c>
      <c r="F30" s="14" t="s">
        <v>108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5">
        <f>$G$30*$G$8+$H$30*$H$8+$I$30*$I$8+$J$30*$J$8+$K$30*$K$8+$L$30*$L$8+$M$30*$M$8+$N$30*$N$8+$O$30*$O$8+$P$30*$P$8+$Q$30*$Q$8</f>
        <v>0</v>
      </c>
      <c r="S30" s="15">
        <v>0</v>
      </c>
      <c r="T30" s="15">
        <f>$R$30+$S$30</f>
        <v>0</v>
      </c>
    </row>
    <row r="31" spans="1:20" x14ac:dyDescent="0.3">
      <c r="A31" s="10" t="s">
        <v>109</v>
      </c>
      <c r="B31" s="11" t="s">
        <v>103</v>
      </c>
      <c r="C31" s="11"/>
      <c r="D31" s="11" t="s">
        <v>110</v>
      </c>
      <c r="E31" s="11">
        <f xml:space="preserve"> IF($T$31,1,0)</f>
        <v>0</v>
      </c>
      <c r="F31" s="11" t="s">
        <v>111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1">
        <v>0</v>
      </c>
      <c r="R31" s="12">
        <f>$G$31*$G$8+$H$31*$H$8+$I$31*$I$8+$J$31*$J$8+$K$31*$K$8+$L$31*$L$8+$M$31*$M$8+$N$31*$N$8+$O$31*$O$8+$P$31*$P$8+$Q$31*$Q$8</f>
        <v>0</v>
      </c>
      <c r="S31" s="12">
        <v>0</v>
      </c>
      <c r="T31" s="12">
        <f>$R$31+$S$31</f>
        <v>0</v>
      </c>
    </row>
    <row r="32" spans="1:20" x14ac:dyDescent="0.3">
      <c r="A32" s="13" t="s">
        <v>112</v>
      </c>
      <c r="B32" s="14" t="s">
        <v>113</v>
      </c>
      <c r="C32" s="14"/>
      <c r="D32" s="14" t="s">
        <v>114</v>
      </c>
      <c r="E32" s="14">
        <f xml:space="preserve"> IF($T$32,1,0)</f>
        <v>1</v>
      </c>
      <c r="F32" s="14" t="s">
        <v>115</v>
      </c>
      <c r="G32" s="14">
        <v>2</v>
      </c>
      <c r="H32" s="14">
        <v>1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5">
        <f>$G$32*$G$8+$H$32*$H$8+$I$32*$I$8+$J$32*$J$8+$K$32*$K$8+$L$32*$L$8+$M$32*$M$8+$N$32*$N$8+$O$32*$O$8+$P$32*$P$8+$Q$32*$Q$8</f>
        <v>4.4000000000000004</v>
      </c>
      <c r="S32" s="15">
        <v>0</v>
      </c>
      <c r="T32" s="15">
        <f>$R$32+$S$32</f>
        <v>4.4000000000000004</v>
      </c>
    </row>
    <row r="33" spans="1:20" x14ac:dyDescent="0.3">
      <c r="A33" s="10" t="s">
        <v>116</v>
      </c>
      <c r="B33" s="11" t="s">
        <v>117</v>
      </c>
      <c r="C33" s="11" t="s">
        <v>34</v>
      </c>
      <c r="D33" s="11" t="s">
        <v>118</v>
      </c>
      <c r="E33" s="11">
        <f xml:space="preserve"> IF($T$33,1,0)</f>
        <v>0</v>
      </c>
      <c r="F33" s="11" t="s">
        <v>119</v>
      </c>
      <c r="G33" s="11">
        <v>0</v>
      </c>
      <c r="H33" s="11">
        <v>0</v>
      </c>
      <c r="I33" s="11">
        <v>0</v>
      </c>
      <c r="J33" s="11">
        <v>0</v>
      </c>
      <c r="K33" s="11">
        <v>0</v>
      </c>
      <c r="L33" s="11">
        <v>0</v>
      </c>
      <c r="M33" s="11">
        <v>0</v>
      </c>
      <c r="N33" s="11">
        <v>0</v>
      </c>
      <c r="O33" s="11">
        <v>0</v>
      </c>
      <c r="P33" s="11">
        <v>0</v>
      </c>
      <c r="Q33" s="11">
        <v>0</v>
      </c>
      <c r="R33" s="12">
        <f>$G$33*$G$8+$H$33*$H$8+$I$33*$I$8+$J$33*$J$8+$K$33*$K$8+$L$33*$L$8+$M$33*$M$8+$N$33*$N$8+$O$33*$O$8+$P$33*$P$8+$Q$33*$Q$8</f>
        <v>0</v>
      </c>
      <c r="S33" s="12">
        <v>0</v>
      </c>
      <c r="T33" s="12">
        <f>$R$33+$S$33</f>
        <v>0</v>
      </c>
    </row>
    <row r="34" spans="1:20" x14ac:dyDescent="0.3">
      <c r="A34" s="13" t="s">
        <v>120</v>
      </c>
      <c r="B34" s="14" t="s">
        <v>121</v>
      </c>
      <c r="C34" s="14"/>
      <c r="D34" s="14" t="s">
        <v>122</v>
      </c>
      <c r="E34" s="14">
        <f xml:space="preserve"> IF($T$34,1,0)</f>
        <v>1</v>
      </c>
      <c r="F34" s="14" t="s">
        <v>123</v>
      </c>
      <c r="G34" s="14">
        <v>4</v>
      </c>
      <c r="H34" s="14">
        <v>5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4">
        <v>0</v>
      </c>
      <c r="R34" s="15">
        <f>$G$34*$G$8+$H$34*$H$8+$I$34*$I$8+$J$34*$J$8+$K$34*$K$8+$L$34*$L$8+$M$34*$M$8+$N$34*$N$8+$O$34*$O$8+$P$34*$P$8+$Q$34*$Q$8</f>
        <v>15.4</v>
      </c>
      <c r="S34" s="15">
        <v>0</v>
      </c>
      <c r="T34" s="15">
        <f>$R$34+$S$34</f>
        <v>15.4</v>
      </c>
    </row>
    <row r="35" spans="1:20" x14ac:dyDescent="0.3">
      <c r="A35" s="10" t="s">
        <v>124</v>
      </c>
      <c r="B35" s="11" t="s">
        <v>125</v>
      </c>
      <c r="C35" s="11"/>
      <c r="D35" s="11" t="s">
        <v>126</v>
      </c>
      <c r="E35" s="11">
        <f xml:space="preserve"> IF($T$35,1,0)</f>
        <v>0</v>
      </c>
      <c r="F35" s="11" t="s">
        <v>127</v>
      </c>
      <c r="G35" s="11">
        <v>0</v>
      </c>
      <c r="H35" s="11">
        <v>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0</v>
      </c>
      <c r="Q35" s="11">
        <v>0</v>
      </c>
      <c r="R35" s="12">
        <f>$G$35*$G$8+$H$35*$H$8+$I$35*$I$8+$J$35*$J$8+$K$35*$K$8+$L$35*$L$8+$M$35*$M$8+$N$35*$N$8+$O$35*$O$8+$P$35*$P$8+$Q$35*$Q$8</f>
        <v>0</v>
      </c>
      <c r="S35" s="12">
        <v>0</v>
      </c>
      <c r="T35" s="12">
        <f>$R$35+$S$35</f>
        <v>0</v>
      </c>
    </row>
    <row r="36" spans="1:20" x14ac:dyDescent="0.3">
      <c r="A36" s="13" t="s">
        <v>128</v>
      </c>
      <c r="B36" s="14" t="s">
        <v>129</v>
      </c>
      <c r="C36" s="14" t="s">
        <v>34</v>
      </c>
      <c r="D36" s="14" t="s">
        <v>130</v>
      </c>
      <c r="E36" s="14">
        <f xml:space="preserve"> IF($T$36,1,0)</f>
        <v>0</v>
      </c>
      <c r="F36" s="14" t="s">
        <v>131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4">
        <v>0</v>
      </c>
      <c r="R36" s="15">
        <f>$G$36*$G$8+$H$36*$H$8+$I$36*$I$8+$J$36*$J$8+$K$36*$K$8+$L$36*$L$8+$M$36*$M$8+$N$36*$N$8+$O$36*$O$8+$P$36*$P$8+$Q$36*$Q$8</f>
        <v>0</v>
      </c>
      <c r="S36" s="15">
        <v>0</v>
      </c>
      <c r="T36" s="15">
        <f>$R$36+$S$36</f>
        <v>0</v>
      </c>
    </row>
    <row r="37" spans="1:20" x14ac:dyDescent="0.3">
      <c r="A37" s="10" t="s">
        <v>132</v>
      </c>
      <c r="B37" s="11" t="s">
        <v>133</v>
      </c>
      <c r="C37" s="11"/>
      <c r="D37" s="11" t="s">
        <v>134</v>
      </c>
      <c r="E37" s="11">
        <f xml:space="preserve"> IF($T$37,1,0)</f>
        <v>0</v>
      </c>
      <c r="F37" s="11" t="s">
        <v>135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1">
        <v>0</v>
      </c>
      <c r="R37" s="12">
        <f>$G$37*$G$8+$H$37*$H$8+$I$37*$I$8+$J$37*$J$8+$K$37*$K$8+$L$37*$L$8+$M$37*$M$8+$N$37*$N$8+$O$37*$O$8+$P$37*$P$8+$Q$37*$Q$8</f>
        <v>0</v>
      </c>
      <c r="S37" s="12">
        <v>0</v>
      </c>
      <c r="T37" s="12">
        <f>$R$37+$S$37</f>
        <v>0</v>
      </c>
    </row>
    <row r="38" spans="1:20" x14ac:dyDescent="0.3">
      <c r="A38" s="13" t="s">
        <v>136</v>
      </c>
      <c r="B38" s="14" t="s">
        <v>137</v>
      </c>
      <c r="C38" s="14"/>
      <c r="D38" s="14" t="s">
        <v>138</v>
      </c>
      <c r="E38" s="14">
        <f xml:space="preserve"> IF($T$38,1,0)</f>
        <v>0</v>
      </c>
      <c r="F38" s="14" t="s">
        <v>139</v>
      </c>
      <c r="G38" s="14">
        <v>0</v>
      </c>
      <c r="H38" s="14">
        <v>0</v>
      </c>
      <c r="I38" s="14">
        <v>0</v>
      </c>
      <c r="J38" s="14">
        <v>0</v>
      </c>
      <c r="K38" s="14">
        <v>0</v>
      </c>
      <c r="L38" s="14">
        <v>0</v>
      </c>
      <c r="M38" s="14">
        <v>0</v>
      </c>
      <c r="N38" s="14">
        <v>0</v>
      </c>
      <c r="O38" s="14">
        <v>0</v>
      </c>
      <c r="P38" s="14">
        <v>0</v>
      </c>
      <c r="Q38" s="14">
        <v>0</v>
      </c>
      <c r="R38" s="15">
        <f>$G$38*$G$8+$H$38*$H$8+$I$38*$I$8+$J$38*$J$8+$K$38*$K$8+$L$38*$L$8+$M$38*$M$8+$N$38*$N$8+$O$38*$O$8+$P$38*$P$8+$Q$38*$Q$8</f>
        <v>0</v>
      </c>
      <c r="S38" s="15">
        <v>0</v>
      </c>
      <c r="T38" s="15">
        <f>$R$38+$S$38</f>
        <v>0</v>
      </c>
    </row>
    <row r="39" spans="1:20" x14ac:dyDescent="0.3">
      <c r="A39" s="10" t="s">
        <v>140</v>
      </c>
      <c r="B39" s="11" t="s">
        <v>141</v>
      </c>
      <c r="C39" s="11"/>
      <c r="D39" s="11" t="s">
        <v>142</v>
      </c>
      <c r="E39" s="11">
        <f xml:space="preserve"> IF($T$39,1,0)</f>
        <v>0</v>
      </c>
      <c r="F39" s="11" t="s">
        <v>143</v>
      </c>
      <c r="G39" s="11">
        <v>0</v>
      </c>
      <c r="H39" s="11">
        <v>0</v>
      </c>
      <c r="I39" s="11">
        <v>0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1">
        <v>0</v>
      </c>
      <c r="R39" s="12">
        <f>$G$39*$G$8+$H$39*$H$8+$I$39*$I$8+$J$39*$J$8+$K$39*$K$8+$L$39*$L$8+$M$39*$M$8+$N$39*$N$8+$O$39*$O$8+$P$39*$P$8+$Q$39*$Q$8</f>
        <v>0</v>
      </c>
      <c r="S39" s="12">
        <v>0</v>
      </c>
      <c r="T39" s="12">
        <f>$R$39+$S$39</f>
        <v>0</v>
      </c>
    </row>
    <row r="40" spans="1:20" x14ac:dyDescent="0.3">
      <c r="A40" s="13" t="s">
        <v>144</v>
      </c>
      <c r="B40" s="14" t="s">
        <v>145</v>
      </c>
      <c r="C40" s="14"/>
      <c r="D40" s="14" t="s">
        <v>146</v>
      </c>
      <c r="E40" s="14">
        <f xml:space="preserve"> IF($T$40,1,0)</f>
        <v>1</v>
      </c>
      <c r="F40" s="14" t="s">
        <v>147</v>
      </c>
      <c r="G40" s="14">
        <v>0</v>
      </c>
      <c r="H40" s="14">
        <v>2</v>
      </c>
      <c r="I40" s="14">
        <v>1</v>
      </c>
      <c r="J40" s="14">
        <v>4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4">
        <v>0</v>
      </c>
      <c r="R40" s="15">
        <f>$G$40*$G$8+$H$40*$H$8+$I$40*$I$8+$J$40*$J$8+$K$40*$K$8+$L$40*$L$8+$M$40*$M$8+$N$40*$N$8+$O$40*$O$8+$P$40*$P$8+$Q$40*$Q$8</f>
        <v>13.4</v>
      </c>
      <c r="S40" s="15">
        <v>0</v>
      </c>
      <c r="T40" s="15">
        <f>$R$40+$S$40</f>
        <v>13.4</v>
      </c>
    </row>
    <row r="41" spans="1:20" x14ac:dyDescent="0.3">
      <c r="A41" s="10" t="s">
        <v>148</v>
      </c>
      <c r="B41" s="11" t="s">
        <v>149</v>
      </c>
      <c r="C41" s="11"/>
      <c r="D41" s="11" t="s">
        <v>150</v>
      </c>
      <c r="E41" s="11">
        <f xml:space="preserve"> IF($T$41,1,0)</f>
        <v>0</v>
      </c>
      <c r="F41" s="11" t="s">
        <v>151</v>
      </c>
      <c r="G41" s="11">
        <v>0</v>
      </c>
      <c r="H41" s="11">
        <v>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1">
        <v>0</v>
      </c>
      <c r="R41" s="12">
        <f>$G$41*$G$8+$H$41*$H$8+$I$41*$I$8+$J$41*$J$8+$K$41*$K$8+$L$41*$L$8+$M$41*$M$8+$N$41*$N$8+$O$41*$O$8+$P$41*$P$8+$Q$41*$Q$8</f>
        <v>0</v>
      </c>
      <c r="S41" s="12">
        <v>0</v>
      </c>
      <c r="T41" s="12">
        <f>$R$41+$S$41</f>
        <v>0</v>
      </c>
    </row>
    <row r="42" spans="1:20" x14ac:dyDescent="0.3">
      <c r="A42" s="13" t="s">
        <v>152</v>
      </c>
      <c r="B42" s="14" t="s">
        <v>153</v>
      </c>
      <c r="C42" s="14"/>
      <c r="D42" s="14" t="s">
        <v>154</v>
      </c>
      <c r="E42" s="14">
        <f xml:space="preserve"> IF($T$42,1,0)</f>
        <v>1</v>
      </c>
      <c r="F42" s="14" t="s">
        <v>155</v>
      </c>
      <c r="G42" s="14">
        <v>0</v>
      </c>
      <c r="H42" s="14">
        <v>4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0</v>
      </c>
      <c r="Q42" s="14">
        <v>1</v>
      </c>
      <c r="R42" s="15">
        <f>$G$42*$G$8+$H$42*$H$8+$I$42*$I$8+$J$42*$J$8+$K$42*$K$8+$L$42*$L$8+$M$42*$M$8+$N$42*$N$8+$O$42*$O$8+$P$42*$P$8+$Q$42*$Q$8</f>
        <v>9.8000000000000007</v>
      </c>
      <c r="S42" s="15">
        <v>0</v>
      </c>
      <c r="T42" s="15">
        <f>$R$42+$S$42</f>
        <v>9.8000000000000007</v>
      </c>
    </row>
    <row r="43" spans="1:20" x14ac:dyDescent="0.3">
      <c r="A43" s="10" t="s">
        <v>156</v>
      </c>
      <c r="B43" s="11" t="s">
        <v>157</v>
      </c>
      <c r="C43" s="11" t="s">
        <v>65</v>
      </c>
      <c r="D43" s="11" t="s">
        <v>158</v>
      </c>
      <c r="E43" s="11">
        <f xml:space="preserve"> IF($T$43,1,0)</f>
        <v>1</v>
      </c>
      <c r="F43" s="11" t="s">
        <v>159</v>
      </c>
      <c r="G43" s="11">
        <v>3</v>
      </c>
      <c r="H43" s="11">
        <v>1</v>
      </c>
      <c r="I43" s="11">
        <v>0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1">
        <v>0</v>
      </c>
      <c r="R43" s="12">
        <f>$G$43*$G$8+$H$43*$H$8+$I$43*$I$8+$J$43*$J$8+$K$43*$K$8+$L$43*$L$8+$M$43*$M$8+$N$43*$N$8+$O$43*$O$8+$P$43*$P$8+$Q$43*$Q$8</f>
        <v>5.5</v>
      </c>
      <c r="S43" s="12">
        <v>0</v>
      </c>
      <c r="T43" s="12">
        <f>$R$43+$S$43</f>
        <v>5.5</v>
      </c>
    </row>
    <row r="44" spans="1:20" x14ac:dyDescent="0.3">
      <c r="A44" s="13" t="s">
        <v>160</v>
      </c>
      <c r="B44" s="14" t="s">
        <v>161</v>
      </c>
      <c r="C44" s="14"/>
      <c r="D44" s="14" t="s">
        <v>162</v>
      </c>
      <c r="E44" s="14">
        <f xml:space="preserve"> IF($T$44,1,0)</f>
        <v>0</v>
      </c>
      <c r="F44" s="14" t="s">
        <v>163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14">
        <v>0</v>
      </c>
      <c r="P44" s="14">
        <v>0</v>
      </c>
      <c r="Q44" s="14">
        <v>0</v>
      </c>
      <c r="R44" s="15">
        <f>$G$44*$G$8+$H$44*$H$8+$I$44*$I$8+$J$44*$J$8+$K$44*$K$8+$L$44*$L$8+$M$44*$M$8+$N$44*$N$8+$O$44*$O$8+$P$44*$P$8+$Q$44*$Q$8</f>
        <v>0</v>
      </c>
      <c r="S44" s="15">
        <v>0</v>
      </c>
      <c r="T44" s="15">
        <f>$R$44+$S$44</f>
        <v>0</v>
      </c>
    </row>
    <row r="45" spans="1:20" x14ac:dyDescent="0.3">
      <c r="A45" s="10" t="s">
        <v>164</v>
      </c>
      <c r="B45" s="11" t="s">
        <v>165</v>
      </c>
      <c r="C45" s="11"/>
      <c r="D45" s="11" t="s">
        <v>166</v>
      </c>
      <c r="E45" s="11">
        <f xml:space="preserve"> IF($T$45,1,0)</f>
        <v>0</v>
      </c>
      <c r="F45" s="11" t="s">
        <v>167</v>
      </c>
      <c r="G45" s="11">
        <v>0</v>
      </c>
      <c r="H45" s="11">
        <v>0</v>
      </c>
      <c r="I45" s="11">
        <v>0</v>
      </c>
      <c r="J45" s="11">
        <v>0</v>
      </c>
      <c r="K45" s="11">
        <v>0</v>
      </c>
      <c r="L45" s="11">
        <v>0</v>
      </c>
      <c r="M45" s="11">
        <v>0</v>
      </c>
      <c r="N45" s="11">
        <v>0</v>
      </c>
      <c r="O45" s="11">
        <v>0</v>
      </c>
      <c r="P45" s="11">
        <v>0</v>
      </c>
      <c r="Q45" s="11">
        <v>0</v>
      </c>
      <c r="R45" s="12">
        <f>$G$45*$G$8+$H$45*$H$8+$I$45*$I$8+$J$45*$J$8+$K$45*$K$8+$L$45*$L$8+$M$45*$M$8+$N$45*$N$8+$O$45*$O$8+$P$45*$P$8+$Q$45*$Q$8</f>
        <v>0</v>
      </c>
      <c r="S45" s="12">
        <v>0</v>
      </c>
      <c r="T45" s="12">
        <f>$R$45+$S$45</f>
        <v>0</v>
      </c>
    </row>
    <row r="46" spans="1:20" x14ac:dyDescent="0.3">
      <c r="A46" s="13" t="s">
        <v>168</v>
      </c>
      <c r="B46" s="14" t="s">
        <v>169</v>
      </c>
      <c r="C46" s="14" t="s">
        <v>65</v>
      </c>
      <c r="D46" s="14" t="s">
        <v>170</v>
      </c>
      <c r="E46" s="14">
        <f xml:space="preserve"> IF($T$46,1,0)</f>
        <v>0</v>
      </c>
      <c r="F46" s="14" t="s">
        <v>171</v>
      </c>
      <c r="G46" s="14">
        <v>0</v>
      </c>
      <c r="H46" s="14">
        <v>0</v>
      </c>
      <c r="I46" s="14">
        <v>0</v>
      </c>
      <c r="J46" s="14">
        <v>0</v>
      </c>
      <c r="K46" s="14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4">
        <v>0</v>
      </c>
      <c r="R46" s="15">
        <f>$G$46*$G$8+$H$46*$H$8+$I$46*$I$8+$J$46*$J$8+$K$46*$K$8+$L$46*$L$8+$M$46*$M$8+$N$46*$N$8+$O$46*$O$8+$P$46*$P$8+$Q$46*$Q$8</f>
        <v>0</v>
      </c>
      <c r="S46" s="15">
        <v>0</v>
      </c>
      <c r="T46" s="15">
        <f>$R$46+$S$46</f>
        <v>0</v>
      </c>
    </row>
    <row r="47" spans="1:20" x14ac:dyDescent="0.3">
      <c r="A47" s="10" t="s">
        <v>172</v>
      </c>
      <c r="B47" s="11" t="s">
        <v>173</v>
      </c>
      <c r="C47" s="11"/>
      <c r="D47" s="11" t="s">
        <v>174</v>
      </c>
      <c r="E47" s="11">
        <f xml:space="preserve"> IF($T$47,1,0)</f>
        <v>1</v>
      </c>
      <c r="F47" s="11" t="s">
        <v>175</v>
      </c>
      <c r="G47" s="11">
        <v>3</v>
      </c>
      <c r="H47" s="11">
        <v>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1">
        <v>0</v>
      </c>
      <c r="R47" s="12">
        <f>$G$47*$G$8+$H$47*$H$8+$I$47*$I$8+$J$47*$J$8+$K$47*$K$8+$L$47*$L$8+$M$47*$M$8+$N$47*$N$8+$O$47*$O$8+$P$47*$P$8+$Q$47*$Q$8</f>
        <v>3.3000000000000003</v>
      </c>
      <c r="S47" s="12">
        <v>0</v>
      </c>
      <c r="T47" s="12">
        <f>$R$47+$S$47</f>
        <v>3.3000000000000003</v>
      </c>
    </row>
    <row r="48" spans="1:20" x14ac:dyDescent="0.3">
      <c r="A48" s="13" t="s">
        <v>176</v>
      </c>
      <c r="B48" s="14" t="s">
        <v>177</v>
      </c>
      <c r="C48" s="14"/>
      <c r="D48" s="14" t="s">
        <v>178</v>
      </c>
      <c r="E48" s="14">
        <f xml:space="preserve"> IF($T$48,1,0)</f>
        <v>0</v>
      </c>
      <c r="F48" s="14" t="s">
        <v>179</v>
      </c>
      <c r="G48" s="14">
        <v>0</v>
      </c>
      <c r="H48" s="14">
        <v>0</v>
      </c>
      <c r="I48" s="14">
        <v>0</v>
      </c>
      <c r="J48" s="14">
        <v>0</v>
      </c>
      <c r="K48" s="14">
        <v>0</v>
      </c>
      <c r="L48" s="14">
        <v>0</v>
      </c>
      <c r="M48" s="14">
        <v>0</v>
      </c>
      <c r="N48" s="14">
        <v>0</v>
      </c>
      <c r="O48" s="14">
        <v>0</v>
      </c>
      <c r="P48" s="14">
        <v>0</v>
      </c>
      <c r="Q48" s="14">
        <v>0</v>
      </c>
      <c r="R48" s="15">
        <f>$G$48*$G$8+$H$48*$H$8+$I$48*$I$8+$J$48*$J$8+$K$48*$K$8+$L$48*$L$8+$M$48*$M$8+$N$48*$N$8+$O$48*$O$8+$P$48*$P$8+$Q$48*$Q$8</f>
        <v>0</v>
      </c>
      <c r="S48" s="15">
        <v>0</v>
      </c>
      <c r="T48" s="15">
        <f>$R$48+$S$48</f>
        <v>0</v>
      </c>
    </row>
    <row r="49" spans="1:20" x14ac:dyDescent="0.3">
      <c r="A49" s="10" t="s">
        <v>180</v>
      </c>
      <c r="B49" s="11" t="s">
        <v>177</v>
      </c>
      <c r="C49" s="11"/>
      <c r="D49" s="11" t="s">
        <v>181</v>
      </c>
      <c r="E49" s="11">
        <f xml:space="preserve"> IF($T$49,1,0)</f>
        <v>1</v>
      </c>
      <c r="F49" s="11" t="s">
        <v>182</v>
      </c>
      <c r="G49" s="11">
        <v>1</v>
      </c>
      <c r="H49" s="11">
        <v>5</v>
      </c>
      <c r="I49" s="11">
        <v>0</v>
      </c>
      <c r="J49" s="11">
        <v>0</v>
      </c>
      <c r="K49" s="11">
        <v>0</v>
      </c>
      <c r="L49" s="11">
        <v>0</v>
      </c>
      <c r="M49" s="11">
        <v>1</v>
      </c>
      <c r="N49" s="11">
        <v>0</v>
      </c>
      <c r="O49" s="11">
        <v>0</v>
      </c>
      <c r="P49" s="11">
        <v>0</v>
      </c>
      <c r="Q49" s="11">
        <v>0</v>
      </c>
      <c r="R49" s="12">
        <f>$G$49*$G$8+$H$49*$H$8+$I$49*$I$8+$J$49*$J$8+$K$49*$K$8+$L$49*$L$8+$M$49*$M$8+$N$49*$N$8+$O$49*$O$8+$P$49*$P$8+$Q$49*$Q$8</f>
        <v>15.1</v>
      </c>
      <c r="S49" s="12">
        <v>0</v>
      </c>
      <c r="T49" s="12">
        <f>$R$49+$S$49</f>
        <v>15.1</v>
      </c>
    </row>
    <row r="50" spans="1:20" x14ac:dyDescent="0.3">
      <c r="A50" s="13" t="s">
        <v>183</v>
      </c>
      <c r="B50" s="14" t="s">
        <v>177</v>
      </c>
      <c r="C50" s="14"/>
      <c r="D50" s="14" t="s">
        <v>184</v>
      </c>
      <c r="E50" s="14">
        <f xml:space="preserve"> IF($T$50,1,0)</f>
        <v>0</v>
      </c>
      <c r="F50" s="14" t="s">
        <v>185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  <c r="M50" s="14">
        <v>0</v>
      </c>
      <c r="N50" s="14">
        <v>0</v>
      </c>
      <c r="O50" s="14">
        <v>0</v>
      </c>
      <c r="P50" s="14">
        <v>0</v>
      </c>
      <c r="Q50" s="14">
        <v>0</v>
      </c>
      <c r="R50" s="15">
        <f>$G$50*$G$8+$H$50*$H$8+$I$50*$I$8+$J$50*$J$8+$K$50*$K$8+$L$50*$L$8+$M$50*$M$8+$N$50*$N$8+$O$50*$O$8+$P$50*$P$8+$Q$50*$Q$8</f>
        <v>0</v>
      </c>
      <c r="S50" s="15">
        <v>0</v>
      </c>
      <c r="T50" s="15">
        <f>$R$50+$S$50</f>
        <v>0</v>
      </c>
    </row>
    <row r="51" spans="1:20" x14ac:dyDescent="0.3">
      <c r="A51" s="10" t="s">
        <v>186</v>
      </c>
      <c r="B51" s="11" t="s">
        <v>177</v>
      </c>
      <c r="C51" s="11"/>
      <c r="D51" s="11" t="s">
        <v>187</v>
      </c>
      <c r="E51" s="11">
        <f xml:space="preserve"> IF($T$51,1,0)</f>
        <v>1</v>
      </c>
      <c r="F51" s="11" t="s">
        <v>188</v>
      </c>
      <c r="G51" s="11">
        <v>0</v>
      </c>
      <c r="H51" s="11">
        <v>4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1">
        <v>0</v>
      </c>
      <c r="R51" s="12">
        <f>$G$51*$G$8+$H$51*$H$8+$I$51*$I$8+$J$51*$J$8+$K$51*$K$8+$L$51*$L$8+$M$51*$M$8+$N$51*$N$8+$O$51*$O$8+$P$51*$P$8+$Q$51*$Q$8</f>
        <v>8.8000000000000007</v>
      </c>
      <c r="S51" s="12">
        <v>0</v>
      </c>
      <c r="T51" s="12">
        <f>$R$51+$S$51</f>
        <v>8.8000000000000007</v>
      </c>
    </row>
    <row r="52" spans="1:20" x14ac:dyDescent="0.3">
      <c r="A52" s="13" t="s">
        <v>189</v>
      </c>
      <c r="B52" s="14" t="s">
        <v>177</v>
      </c>
      <c r="C52" s="14"/>
      <c r="D52" s="14" t="s">
        <v>190</v>
      </c>
      <c r="E52" s="14">
        <f xml:space="preserve"> IF($T$52,1,0)</f>
        <v>0</v>
      </c>
      <c r="F52" s="14" t="s">
        <v>191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4">
        <v>0</v>
      </c>
      <c r="R52" s="15">
        <f>$G$52*$G$8+$H$52*$H$8+$I$52*$I$8+$J$52*$J$8+$K$52*$K$8+$L$52*$L$8+$M$52*$M$8+$N$52*$N$8+$O$52*$O$8+$P$52*$P$8+$Q$52*$Q$8</f>
        <v>0</v>
      </c>
      <c r="S52" s="15">
        <v>0</v>
      </c>
      <c r="T52" s="15">
        <f>$R$52+$S$52</f>
        <v>0</v>
      </c>
    </row>
    <row r="53" spans="1:20" x14ac:dyDescent="0.3">
      <c r="A53" s="10" t="s">
        <v>192</v>
      </c>
      <c r="B53" s="11" t="s">
        <v>177</v>
      </c>
      <c r="C53" s="11"/>
      <c r="D53" s="11" t="s">
        <v>193</v>
      </c>
      <c r="E53" s="11">
        <f xml:space="preserve"> IF($T$53,1,0)</f>
        <v>0</v>
      </c>
      <c r="F53" s="11" t="s">
        <v>194</v>
      </c>
      <c r="G53" s="11">
        <v>0</v>
      </c>
      <c r="H53" s="11">
        <v>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1">
        <v>0</v>
      </c>
      <c r="R53" s="12">
        <f>$G$53*$G$8+$H$53*$H$8+$I$53*$I$8+$J$53*$J$8+$K$53*$K$8+$L$53*$L$8+$M$53*$M$8+$N$53*$N$8+$O$53*$O$8+$P$53*$P$8+$Q$53*$Q$8</f>
        <v>0</v>
      </c>
      <c r="S53" s="12">
        <v>0</v>
      </c>
      <c r="T53" s="12">
        <f>$R$53+$S$53</f>
        <v>0</v>
      </c>
    </row>
    <row r="54" spans="1:20" x14ac:dyDescent="0.3">
      <c r="A54" s="13" t="s">
        <v>195</v>
      </c>
      <c r="B54" s="14" t="s">
        <v>177</v>
      </c>
      <c r="C54" s="14"/>
      <c r="D54" s="14" t="s">
        <v>196</v>
      </c>
      <c r="E54" s="14">
        <f xml:space="preserve"> IF($T$54,1,0)</f>
        <v>0</v>
      </c>
      <c r="F54" s="14" t="s">
        <v>197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4">
        <v>0</v>
      </c>
      <c r="R54" s="15">
        <f>$G$54*$G$8+$H$54*$H$8+$I$54*$I$8+$J$54*$J$8+$K$54*$K$8+$L$54*$L$8+$M$54*$M$8+$N$54*$N$8+$O$54*$O$8+$P$54*$P$8+$Q$54*$Q$8</f>
        <v>0</v>
      </c>
      <c r="S54" s="15">
        <v>0</v>
      </c>
      <c r="T54" s="15">
        <f>$R$54+$S$54</f>
        <v>0</v>
      </c>
    </row>
    <row r="55" spans="1:20" x14ac:dyDescent="0.3">
      <c r="A55" s="10" t="s">
        <v>198</v>
      </c>
      <c r="B55" s="11" t="s">
        <v>177</v>
      </c>
      <c r="C55" s="11" t="s">
        <v>65</v>
      </c>
      <c r="D55" s="11" t="s">
        <v>199</v>
      </c>
      <c r="E55" s="11">
        <f xml:space="preserve"> IF($T$55,1,0)</f>
        <v>0</v>
      </c>
      <c r="F55" s="11" t="s">
        <v>200</v>
      </c>
      <c r="G55" s="11">
        <v>0</v>
      </c>
      <c r="H55" s="11">
        <v>0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1">
        <v>0</v>
      </c>
      <c r="R55" s="12">
        <f>$G$55*$G$8+$H$55*$H$8+$I$55*$I$8+$J$55*$J$8+$K$55*$K$8+$L$55*$L$8+$M$55*$M$8+$N$55*$N$8+$O$55*$O$8+$P$55*$P$8+$Q$55*$Q$8</f>
        <v>0</v>
      </c>
      <c r="S55" s="12">
        <v>0</v>
      </c>
      <c r="T55" s="12">
        <f>$R$55+$S$55</f>
        <v>0</v>
      </c>
    </row>
    <row r="56" spans="1:20" x14ac:dyDescent="0.3">
      <c r="A56" s="13" t="s">
        <v>201</v>
      </c>
      <c r="B56" s="14" t="s">
        <v>177</v>
      </c>
      <c r="C56" s="14" t="s">
        <v>202</v>
      </c>
      <c r="D56" s="14" t="s">
        <v>203</v>
      </c>
      <c r="E56" s="14">
        <f xml:space="preserve"> IF($T$56,1,0)</f>
        <v>1</v>
      </c>
      <c r="F56" s="14" t="s">
        <v>204</v>
      </c>
      <c r="G56" s="14">
        <v>2</v>
      </c>
      <c r="H56" s="14">
        <v>5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4">
        <v>0</v>
      </c>
      <c r="R56" s="15">
        <f>$G$56*$G$8+$H$56*$H$8+$I$56*$I$8+$J$56*$J$8+$K$56*$K$8+$L$56*$L$8+$M$56*$M$8+$N$56*$N$8+$O$56*$O$8+$P$56*$P$8+$Q$56*$Q$8</f>
        <v>13.2</v>
      </c>
      <c r="S56" s="15">
        <v>0</v>
      </c>
      <c r="T56" s="15">
        <f>$R$56+$S$56</f>
        <v>13.2</v>
      </c>
    </row>
    <row r="57" spans="1:20" x14ac:dyDescent="0.3">
      <c r="A57" s="10" t="s">
        <v>205</v>
      </c>
      <c r="B57" s="11" t="s">
        <v>206</v>
      </c>
      <c r="C57" s="11"/>
      <c r="D57" s="11" t="s">
        <v>207</v>
      </c>
      <c r="E57" s="11">
        <f xml:space="preserve"> IF($T$57,1,0)</f>
        <v>0</v>
      </c>
      <c r="F57" s="11" t="s">
        <v>208</v>
      </c>
      <c r="G57" s="11">
        <v>0</v>
      </c>
      <c r="H57" s="11">
        <v>0</v>
      </c>
      <c r="I57" s="11">
        <v>0</v>
      </c>
      <c r="J57" s="11">
        <v>0</v>
      </c>
      <c r="K57" s="11">
        <v>0</v>
      </c>
      <c r="L57" s="11">
        <v>0</v>
      </c>
      <c r="M57" s="11">
        <v>0</v>
      </c>
      <c r="N57" s="11">
        <v>0</v>
      </c>
      <c r="O57" s="11">
        <v>0</v>
      </c>
      <c r="P57" s="11">
        <v>0</v>
      </c>
      <c r="Q57" s="11">
        <v>0</v>
      </c>
      <c r="R57" s="12">
        <f>$G$57*$G$8+$H$57*$H$8+$I$57*$I$8+$J$57*$J$8+$K$57*$K$8+$L$57*$L$8+$M$57*$M$8+$N$57*$N$8+$O$57*$O$8+$P$57*$P$8+$Q$57*$Q$8</f>
        <v>0</v>
      </c>
      <c r="S57" s="12">
        <v>0</v>
      </c>
      <c r="T57" s="12">
        <f>$R$57+$S$57</f>
        <v>0</v>
      </c>
    </row>
    <row r="58" spans="1:20" x14ac:dyDescent="0.3">
      <c r="A58" s="13" t="s">
        <v>209</v>
      </c>
      <c r="B58" s="14" t="s">
        <v>210</v>
      </c>
      <c r="C58" s="14"/>
      <c r="D58" s="14" t="s">
        <v>211</v>
      </c>
      <c r="E58" s="14">
        <f xml:space="preserve"> IF($T$58,1,0)</f>
        <v>1</v>
      </c>
      <c r="F58" s="14" t="s">
        <v>212</v>
      </c>
      <c r="G58" s="14">
        <v>1</v>
      </c>
      <c r="H58" s="14">
        <v>2</v>
      </c>
      <c r="I58" s="14">
        <v>0</v>
      </c>
      <c r="J58" s="14">
        <v>2</v>
      </c>
      <c r="K58" s="14">
        <v>0</v>
      </c>
      <c r="L58" s="14">
        <v>1</v>
      </c>
      <c r="M58" s="14">
        <v>0</v>
      </c>
      <c r="N58" s="14">
        <v>0</v>
      </c>
      <c r="O58" s="14">
        <v>0</v>
      </c>
      <c r="P58" s="14">
        <v>0</v>
      </c>
      <c r="Q58" s="14">
        <v>0</v>
      </c>
      <c r="R58" s="15">
        <f>$G$58*$G$8+$H$58*$H$8+$I$58*$I$8+$J$58*$J$8+$K$58*$K$8+$L$58*$L$8+$M$58*$M$8+$N$58*$N$8+$O$58*$O$8+$P$58*$P$8+$Q$58*$Q$8</f>
        <v>11.5</v>
      </c>
      <c r="S58" s="15">
        <v>0</v>
      </c>
      <c r="T58" s="15">
        <f>$R$58+$S$58</f>
        <v>11.5</v>
      </c>
    </row>
    <row r="59" spans="1:20" x14ac:dyDescent="0.3">
      <c r="A59" s="10" t="s">
        <v>213</v>
      </c>
      <c r="B59" s="11" t="s">
        <v>210</v>
      </c>
      <c r="C59" s="11"/>
      <c r="D59" s="11" t="s">
        <v>214</v>
      </c>
      <c r="E59" s="11">
        <f xml:space="preserve"> IF($T$59,1,0)</f>
        <v>0</v>
      </c>
      <c r="F59" s="11" t="s">
        <v>215</v>
      </c>
      <c r="G59" s="11">
        <v>0</v>
      </c>
      <c r="H59" s="11">
        <v>0</v>
      </c>
      <c r="I59" s="11">
        <v>0</v>
      </c>
      <c r="J59" s="11">
        <v>0</v>
      </c>
      <c r="K59" s="11">
        <v>0</v>
      </c>
      <c r="L59" s="11">
        <v>0</v>
      </c>
      <c r="M59" s="11">
        <v>0</v>
      </c>
      <c r="N59" s="11">
        <v>0</v>
      </c>
      <c r="O59" s="11">
        <v>0</v>
      </c>
      <c r="P59" s="11">
        <v>0</v>
      </c>
      <c r="Q59" s="11">
        <v>0</v>
      </c>
      <c r="R59" s="12">
        <f>$G$59*$G$8+$H$59*$H$8+$I$59*$I$8+$J$59*$J$8+$K$59*$K$8+$L$59*$L$8+$M$59*$M$8+$N$59*$N$8+$O$59*$O$8+$P$59*$P$8+$Q$59*$Q$8</f>
        <v>0</v>
      </c>
      <c r="S59" s="12">
        <v>0</v>
      </c>
      <c r="T59" s="12">
        <f>$R$59+$S$59</f>
        <v>0</v>
      </c>
    </row>
    <row r="60" spans="1:20" x14ac:dyDescent="0.3">
      <c r="A60" s="13" t="s">
        <v>216</v>
      </c>
      <c r="B60" s="14" t="s">
        <v>217</v>
      </c>
      <c r="C60" s="14"/>
      <c r="D60" s="14" t="s">
        <v>218</v>
      </c>
      <c r="E60" s="14">
        <f xml:space="preserve"> IF($T$60,1,0)</f>
        <v>0</v>
      </c>
      <c r="F60" s="14" t="s">
        <v>219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0</v>
      </c>
      <c r="M60" s="14">
        <v>0</v>
      </c>
      <c r="N60" s="14">
        <v>0</v>
      </c>
      <c r="O60" s="14">
        <v>0</v>
      </c>
      <c r="P60" s="14">
        <v>0</v>
      </c>
      <c r="Q60" s="14">
        <v>0</v>
      </c>
      <c r="R60" s="15">
        <f>$G$60*$G$8+$H$60*$H$8+$I$60*$I$8+$J$60*$J$8+$K$60*$K$8+$L$60*$L$8+$M$60*$M$8+$N$60*$N$8+$O$60*$O$8+$P$60*$P$8+$Q$60*$Q$8</f>
        <v>0</v>
      </c>
      <c r="S60" s="15">
        <v>0</v>
      </c>
      <c r="T60" s="15">
        <f>$R$60+$S$60</f>
        <v>0</v>
      </c>
    </row>
    <row r="61" spans="1:20" x14ac:dyDescent="0.3">
      <c r="A61" s="10" t="s">
        <v>220</v>
      </c>
      <c r="B61" s="11" t="s">
        <v>221</v>
      </c>
      <c r="C61" s="11" t="s">
        <v>34</v>
      </c>
      <c r="D61" s="11" t="s">
        <v>222</v>
      </c>
      <c r="E61" s="11">
        <f xml:space="preserve"> IF($T$61,1,0)</f>
        <v>0</v>
      </c>
      <c r="F61" s="11" t="s">
        <v>223</v>
      </c>
      <c r="G61" s="11">
        <v>0</v>
      </c>
      <c r="H61" s="11">
        <v>0</v>
      </c>
      <c r="I61" s="11">
        <v>0</v>
      </c>
      <c r="J61" s="11">
        <v>0</v>
      </c>
      <c r="K61" s="11">
        <v>0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1">
        <v>0</v>
      </c>
      <c r="R61" s="12">
        <f>$G$61*$G$8+$H$61*$H$8+$I$61*$I$8+$J$61*$J$8+$K$61*$K$8+$L$61*$L$8+$M$61*$M$8+$N$61*$N$8+$O$61*$O$8+$P$61*$P$8+$Q$61*$Q$8</f>
        <v>0</v>
      </c>
      <c r="S61" s="12">
        <v>0</v>
      </c>
      <c r="T61" s="12">
        <f>$R$61+$S$61</f>
        <v>0</v>
      </c>
    </row>
    <row r="62" spans="1:20" x14ac:dyDescent="0.3">
      <c r="A62" s="13" t="s">
        <v>224</v>
      </c>
      <c r="B62" s="14" t="s">
        <v>225</v>
      </c>
      <c r="C62" s="14"/>
      <c r="D62" s="14" t="s">
        <v>226</v>
      </c>
      <c r="E62" s="14">
        <f xml:space="preserve"> IF($T$62,1,0)</f>
        <v>0</v>
      </c>
      <c r="F62" s="14" t="s">
        <v>227</v>
      </c>
      <c r="G62" s="14">
        <v>0</v>
      </c>
      <c r="H62" s="14">
        <v>0</v>
      </c>
      <c r="I62" s="14">
        <v>0</v>
      </c>
      <c r="J62" s="14">
        <v>0</v>
      </c>
      <c r="K62" s="14">
        <v>0</v>
      </c>
      <c r="L62" s="14">
        <v>0</v>
      </c>
      <c r="M62" s="14">
        <v>0</v>
      </c>
      <c r="N62" s="14">
        <v>0</v>
      </c>
      <c r="O62" s="14">
        <v>0</v>
      </c>
      <c r="P62" s="14">
        <v>0</v>
      </c>
      <c r="Q62" s="14">
        <v>0</v>
      </c>
      <c r="R62" s="15">
        <f>$G$62*$G$8+$H$62*$H$8+$I$62*$I$8+$J$62*$J$8+$K$62*$K$8+$L$62*$L$8+$M$62*$M$8+$N$62*$N$8+$O$62*$O$8+$P$62*$P$8+$Q$62*$Q$8</f>
        <v>0</v>
      </c>
      <c r="S62" s="15">
        <v>0</v>
      </c>
      <c r="T62" s="15">
        <f>$R$62+$S$62</f>
        <v>0</v>
      </c>
    </row>
    <row r="63" spans="1:20" x14ac:dyDescent="0.3">
      <c r="A63" s="10" t="s">
        <v>228</v>
      </c>
      <c r="B63" s="11" t="s">
        <v>225</v>
      </c>
      <c r="C63" s="11"/>
      <c r="D63" s="11" t="s">
        <v>229</v>
      </c>
      <c r="E63" s="11">
        <f xml:space="preserve"> IF($T$63,1,0)</f>
        <v>0</v>
      </c>
      <c r="F63" s="11" t="s">
        <v>230</v>
      </c>
      <c r="G63" s="11">
        <v>0</v>
      </c>
      <c r="H63" s="11">
        <v>0</v>
      </c>
      <c r="I63" s="11">
        <v>0</v>
      </c>
      <c r="J63" s="11">
        <v>0</v>
      </c>
      <c r="K63" s="11">
        <v>0</v>
      </c>
      <c r="L63" s="11">
        <v>0</v>
      </c>
      <c r="M63" s="11">
        <v>0</v>
      </c>
      <c r="N63" s="11">
        <v>0</v>
      </c>
      <c r="O63" s="11">
        <v>0</v>
      </c>
      <c r="P63" s="11">
        <v>0</v>
      </c>
      <c r="Q63" s="11">
        <v>0</v>
      </c>
      <c r="R63" s="12">
        <f>$G$63*$G$8+$H$63*$H$8+$I$63*$I$8+$J$63*$J$8+$K$63*$K$8+$L$63*$L$8+$M$63*$M$8+$N$63*$N$8+$O$63*$O$8+$P$63*$P$8+$Q$63*$Q$8</f>
        <v>0</v>
      </c>
      <c r="S63" s="12">
        <v>0</v>
      </c>
      <c r="T63" s="12">
        <f>$R$63+$S$63</f>
        <v>0</v>
      </c>
    </row>
    <row r="64" spans="1:20" x14ac:dyDescent="0.3">
      <c r="A64" s="13" t="s">
        <v>231</v>
      </c>
      <c r="B64" s="14" t="s">
        <v>225</v>
      </c>
      <c r="C64" s="14"/>
      <c r="D64" s="14" t="s">
        <v>232</v>
      </c>
      <c r="E64" s="14">
        <f xml:space="preserve"> IF($T$64,1,0)</f>
        <v>0</v>
      </c>
      <c r="F64" s="14" t="s">
        <v>233</v>
      </c>
      <c r="G64" s="14">
        <v>0</v>
      </c>
      <c r="H64" s="14">
        <v>0</v>
      </c>
      <c r="I64" s="14">
        <v>0</v>
      </c>
      <c r="J64" s="14">
        <v>0</v>
      </c>
      <c r="K64" s="14">
        <v>0</v>
      </c>
      <c r="L64" s="14">
        <v>0</v>
      </c>
      <c r="M64" s="14">
        <v>0</v>
      </c>
      <c r="N64" s="14">
        <v>0</v>
      </c>
      <c r="O64" s="14">
        <v>0</v>
      </c>
      <c r="P64" s="14">
        <v>0</v>
      </c>
      <c r="Q64" s="14">
        <v>0</v>
      </c>
      <c r="R64" s="15">
        <f>$G$64*$G$8+$H$64*$H$8+$I$64*$I$8+$J$64*$J$8+$K$64*$K$8+$L$64*$L$8+$M$64*$M$8+$N$64*$N$8+$O$64*$O$8+$P$64*$P$8+$Q$64*$Q$8</f>
        <v>0</v>
      </c>
      <c r="S64" s="15">
        <v>0</v>
      </c>
      <c r="T64" s="15">
        <f>$R$64+$S$64</f>
        <v>0</v>
      </c>
    </row>
    <row r="65" spans="1:20" x14ac:dyDescent="0.3">
      <c r="A65" s="10" t="s">
        <v>234</v>
      </c>
      <c r="B65" s="11" t="s">
        <v>235</v>
      </c>
      <c r="C65" s="11"/>
      <c r="D65" s="11" t="s">
        <v>236</v>
      </c>
      <c r="E65" s="11">
        <f xml:space="preserve"> IF($T$65,1,0)</f>
        <v>0</v>
      </c>
      <c r="F65" s="11" t="s">
        <v>237</v>
      </c>
      <c r="G65" s="11">
        <v>0</v>
      </c>
      <c r="H65" s="11">
        <v>0</v>
      </c>
      <c r="I65" s="11">
        <v>0</v>
      </c>
      <c r="J65" s="11">
        <v>0</v>
      </c>
      <c r="K65" s="11">
        <v>0</v>
      </c>
      <c r="L65" s="11">
        <v>0</v>
      </c>
      <c r="M65" s="11">
        <v>0</v>
      </c>
      <c r="N65" s="11">
        <v>0</v>
      </c>
      <c r="O65" s="11">
        <v>0</v>
      </c>
      <c r="P65" s="11">
        <v>0</v>
      </c>
      <c r="Q65" s="11">
        <v>0</v>
      </c>
      <c r="R65" s="12">
        <f>$G$65*$G$8+$H$65*$H$8+$I$65*$I$8+$J$65*$J$8+$K$65*$K$8+$L$65*$L$8+$M$65*$M$8+$N$65*$N$8+$O$65*$O$8+$P$65*$P$8+$Q$65*$Q$8</f>
        <v>0</v>
      </c>
      <c r="S65" s="12">
        <v>0</v>
      </c>
      <c r="T65" s="12">
        <f>$R$65+$S$65</f>
        <v>0</v>
      </c>
    </row>
    <row r="66" spans="1:20" x14ac:dyDescent="0.3">
      <c r="A66" s="13" t="s">
        <v>238</v>
      </c>
      <c r="B66" s="14" t="s">
        <v>235</v>
      </c>
      <c r="C66" s="14" t="s">
        <v>34</v>
      </c>
      <c r="D66" s="14" t="s">
        <v>239</v>
      </c>
      <c r="E66" s="14">
        <f xml:space="preserve"> IF($T$66,1,0)</f>
        <v>1</v>
      </c>
      <c r="F66" s="14" t="s">
        <v>240</v>
      </c>
      <c r="G66" s="14">
        <v>4</v>
      </c>
      <c r="H66" s="14">
        <v>1</v>
      </c>
      <c r="I66" s="14">
        <v>0</v>
      </c>
      <c r="J66" s="14">
        <v>0</v>
      </c>
      <c r="K66" s="14">
        <v>0</v>
      </c>
      <c r="L66" s="14">
        <v>0</v>
      </c>
      <c r="M66" s="14">
        <v>0</v>
      </c>
      <c r="N66" s="14">
        <v>0</v>
      </c>
      <c r="O66" s="14">
        <v>0</v>
      </c>
      <c r="P66" s="14">
        <v>0</v>
      </c>
      <c r="Q66" s="14">
        <v>0</v>
      </c>
      <c r="R66" s="15">
        <f>$G$66*$G$8+$H$66*$H$8+$I$66*$I$8+$J$66*$J$8+$K$66*$K$8+$L$66*$L$8+$M$66*$M$8+$N$66*$N$8+$O$66*$O$8+$P$66*$P$8+$Q$66*$Q$8</f>
        <v>6.6000000000000005</v>
      </c>
      <c r="S66" s="15">
        <v>0</v>
      </c>
      <c r="T66" s="15">
        <f>$R$66+$S$66</f>
        <v>6.6000000000000005</v>
      </c>
    </row>
    <row r="67" spans="1:20" x14ac:dyDescent="0.3">
      <c r="A67" s="10" t="s">
        <v>241</v>
      </c>
      <c r="B67" s="11" t="s">
        <v>242</v>
      </c>
      <c r="C67" s="11" t="s">
        <v>243</v>
      </c>
      <c r="D67" s="11" t="s">
        <v>244</v>
      </c>
      <c r="E67" s="11">
        <f xml:space="preserve"> IF($T$67,1,0)</f>
        <v>0</v>
      </c>
      <c r="F67" s="11" t="s">
        <v>245</v>
      </c>
      <c r="G67" s="11">
        <v>0</v>
      </c>
      <c r="H67" s="11">
        <v>0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1">
        <v>0</v>
      </c>
      <c r="R67" s="12">
        <f>$G$67*$G$8+$H$67*$H$8+$I$67*$I$8+$J$67*$J$8+$K$67*$K$8+$L$67*$L$8+$M$67*$M$8+$N$67*$N$8+$O$67*$O$8+$P$67*$P$8+$Q$67*$Q$8</f>
        <v>0</v>
      </c>
      <c r="S67" s="12">
        <v>0</v>
      </c>
      <c r="T67" s="12">
        <f>$R$67+$S$67</f>
        <v>0</v>
      </c>
    </row>
    <row r="68" spans="1:20" x14ac:dyDescent="0.3">
      <c r="A68" s="13" t="s">
        <v>246</v>
      </c>
      <c r="B68" s="14" t="s">
        <v>242</v>
      </c>
      <c r="C68" s="14"/>
      <c r="D68" s="14" t="s">
        <v>247</v>
      </c>
      <c r="E68" s="14">
        <f xml:space="preserve"> IF($T$68,1,0)</f>
        <v>0</v>
      </c>
      <c r="F68" s="14" t="s">
        <v>248</v>
      </c>
      <c r="G68" s="14">
        <v>0</v>
      </c>
      <c r="H68" s="14">
        <v>0</v>
      </c>
      <c r="I68" s="14">
        <v>0</v>
      </c>
      <c r="J68" s="14">
        <v>0</v>
      </c>
      <c r="K68" s="14">
        <v>0</v>
      </c>
      <c r="L68" s="14">
        <v>0</v>
      </c>
      <c r="M68" s="14">
        <v>0</v>
      </c>
      <c r="N68" s="14">
        <v>0</v>
      </c>
      <c r="O68" s="14">
        <v>0</v>
      </c>
      <c r="P68" s="14">
        <v>0</v>
      </c>
      <c r="Q68" s="14">
        <v>0</v>
      </c>
      <c r="R68" s="15">
        <f>$G$68*$G$8+$H$68*$H$8+$I$68*$I$8+$J$68*$J$8+$K$68*$K$8+$L$68*$L$8+$M$68*$M$8+$N$68*$N$8+$O$68*$O$8+$P$68*$P$8+$Q$68*$Q$8</f>
        <v>0</v>
      </c>
      <c r="S68" s="15">
        <v>0</v>
      </c>
      <c r="T68" s="15">
        <f>$R$68+$S$68</f>
        <v>0</v>
      </c>
    </row>
    <row r="69" spans="1:20" x14ac:dyDescent="0.3">
      <c r="A69" s="10" t="s">
        <v>249</v>
      </c>
      <c r="B69" s="11" t="s">
        <v>242</v>
      </c>
      <c r="C69" s="11" t="s">
        <v>34</v>
      </c>
      <c r="D69" s="11" t="s">
        <v>250</v>
      </c>
      <c r="E69" s="11">
        <f xml:space="preserve"> IF($T$69,1,0)</f>
        <v>0</v>
      </c>
      <c r="F69" s="11" t="s">
        <v>251</v>
      </c>
      <c r="G69" s="11">
        <v>0</v>
      </c>
      <c r="H69" s="11">
        <v>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1">
        <v>0</v>
      </c>
      <c r="R69" s="12">
        <f>$G$69*$G$8+$H$69*$H$8+$I$69*$I$8+$J$69*$J$8+$K$69*$K$8+$L$69*$L$8+$M$69*$M$8+$N$69*$N$8+$O$69*$O$8+$P$69*$P$8+$Q$69*$Q$8</f>
        <v>0</v>
      </c>
      <c r="S69" s="12">
        <v>0</v>
      </c>
      <c r="T69" s="12">
        <f>$R$69+$S$69</f>
        <v>0</v>
      </c>
    </row>
    <row r="70" spans="1:20" x14ac:dyDescent="0.3">
      <c r="A70" s="13" t="s">
        <v>252</v>
      </c>
      <c r="B70" s="14" t="s">
        <v>253</v>
      </c>
      <c r="C70" s="14"/>
      <c r="D70" s="14" t="s">
        <v>254</v>
      </c>
      <c r="E70" s="14">
        <f xml:space="preserve"> IF($T$70,1,0)</f>
        <v>0</v>
      </c>
      <c r="F70" s="14" t="s">
        <v>255</v>
      </c>
      <c r="G70" s="14">
        <v>0</v>
      </c>
      <c r="H70" s="14">
        <v>0</v>
      </c>
      <c r="I70" s="14">
        <v>0</v>
      </c>
      <c r="J70" s="14">
        <v>0</v>
      </c>
      <c r="K70" s="14">
        <v>0</v>
      </c>
      <c r="L70" s="14">
        <v>0</v>
      </c>
      <c r="M70" s="14">
        <v>0</v>
      </c>
      <c r="N70" s="14">
        <v>0</v>
      </c>
      <c r="O70" s="14">
        <v>0</v>
      </c>
      <c r="P70" s="14">
        <v>0</v>
      </c>
      <c r="Q70" s="14">
        <v>0</v>
      </c>
      <c r="R70" s="15">
        <f>$G$70*$G$8+$H$70*$H$8+$I$70*$I$8+$J$70*$J$8+$K$70*$K$8+$L$70*$L$8+$M$70*$M$8+$N$70*$N$8+$O$70*$O$8+$P$70*$P$8+$Q$70*$Q$8</f>
        <v>0</v>
      </c>
      <c r="S70" s="15">
        <v>0</v>
      </c>
      <c r="T70" s="15">
        <f>$R$70+$S$70</f>
        <v>0</v>
      </c>
    </row>
    <row r="71" spans="1:20" x14ac:dyDescent="0.3">
      <c r="A71" s="10" t="s">
        <v>256</v>
      </c>
      <c r="B71" s="11" t="s">
        <v>257</v>
      </c>
      <c r="C71" s="11"/>
      <c r="D71" s="11" t="s">
        <v>258</v>
      </c>
      <c r="E71" s="11">
        <f xml:space="preserve"> IF($T$71,1,0)</f>
        <v>0</v>
      </c>
      <c r="F71" s="11" t="s">
        <v>259</v>
      </c>
      <c r="G71" s="11">
        <v>0</v>
      </c>
      <c r="H71" s="11">
        <v>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0</v>
      </c>
      <c r="O71" s="11">
        <v>0</v>
      </c>
      <c r="P71" s="11">
        <v>0</v>
      </c>
      <c r="Q71" s="11">
        <v>0</v>
      </c>
      <c r="R71" s="12">
        <f>$G$71*$G$8+$H$71*$H$8+$I$71*$I$8+$J$71*$J$8+$K$71*$K$8+$L$71*$L$8+$M$71*$M$8+$N$71*$N$8+$O$71*$O$8+$P$71*$P$8+$Q$71*$Q$8</f>
        <v>0</v>
      </c>
      <c r="S71" s="12">
        <v>0</v>
      </c>
      <c r="T71" s="12">
        <f>$R$71+$S$71</f>
        <v>0</v>
      </c>
    </row>
    <row r="72" spans="1:20" x14ac:dyDescent="0.3">
      <c r="A72" s="13" t="s">
        <v>260</v>
      </c>
      <c r="B72" s="14" t="s">
        <v>261</v>
      </c>
      <c r="C72" s="14"/>
      <c r="D72" s="14" t="s">
        <v>262</v>
      </c>
      <c r="E72" s="14">
        <f xml:space="preserve"> IF($T$72,1,0)</f>
        <v>0</v>
      </c>
      <c r="F72" s="14" t="s">
        <v>263</v>
      </c>
      <c r="G72" s="14">
        <v>0</v>
      </c>
      <c r="H72" s="14">
        <v>0</v>
      </c>
      <c r="I72" s="14">
        <v>0</v>
      </c>
      <c r="J72" s="14">
        <v>0</v>
      </c>
      <c r="K72" s="14">
        <v>0</v>
      </c>
      <c r="L72" s="14">
        <v>0</v>
      </c>
      <c r="M72" s="14">
        <v>0</v>
      </c>
      <c r="N72" s="14">
        <v>0</v>
      </c>
      <c r="O72" s="14">
        <v>0</v>
      </c>
      <c r="P72" s="14">
        <v>0</v>
      </c>
      <c r="Q72" s="14">
        <v>0</v>
      </c>
      <c r="R72" s="15">
        <f>$G$72*$G$8+$H$72*$H$8+$I$72*$I$8+$J$72*$J$8+$K$72*$K$8+$L$72*$L$8+$M$72*$M$8+$N$72*$N$8+$O$72*$O$8+$P$72*$P$8+$Q$72*$Q$8</f>
        <v>0</v>
      </c>
      <c r="S72" s="15">
        <v>0</v>
      </c>
      <c r="T72" s="15">
        <f>$R$72+$S$72</f>
        <v>0</v>
      </c>
    </row>
    <row r="73" spans="1:20" x14ac:dyDescent="0.3">
      <c r="A73" s="10" t="s">
        <v>264</v>
      </c>
      <c r="B73" s="11" t="s">
        <v>265</v>
      </c>
      <c r="C73" s="11"/>
      <c r="D73" s="11" t="s">
        <v>266</v>
      </c>
      <c r="E73" s="11">
        <f xml:space="preserve"> IF($T$73,1,0)</f>
        <v>0</v>
      </c>
      <c r="F73" s="11" t="s">
        <v>267</v>
      </c>
      <c r="G73" s="11">
        <v>0</v>
      </c>
      <c r="H73" s="11">
        <v>0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1">
        <v>0</v>
      </c>
      <c r="R73" s="12">
        <f>$G$73*$G$8+$H$73*$H$8+$I$73*$I$8+$J$73*$J$8+$K$73*$K$8+$L$73*$L$8+$M$73*$M$8+$N$73*$N$8+$O$73*$O$8+$P$73*$P$8+$Q$73*$Q$8</f>
        <v>0</v>
      </c>
      <c r="S73" s="12">
        <v>0</v>
      </c>
      <c r="T73" s="12">
        <f>$R$73+$S$73</f>
        <v>0</v>
      </c>
    </row>
    <row r="74" spans="1:20" x14ac:dyDescent="0.3">
      <c r="A74" s="13" t="s">
        <v>268</v>
      </c>
      <c r="B74" s="14" t="s">
        <v>269</v>
      </c>
      <c r="C74" s="14"/>
      <c r="D74" s="14" t="s">
        <v>270</v>
      </c>
      <c r="E74" s="14">
        <f xml:space="preserve"> IF($T$74,1,0)</f>
        <v>0</v>
      </c>
      <c r="F74" s="14" t="s">
        <v>271</v>
      </c>
      <c r="G74" s="14">
        <v>0</v>
      </c>
      <c r="H74" s="14">
        <v>0</v>
      </c>
      <c r="I74" s="14">
        <v>0</v>
      </c>
      <c r="J74" s="14">
        <v>0</v>
      </c>
      <c r="K74" s="14">
        <v>0</v>
      </c>
      <c r="L74" s="14">
        <v>0</v>
      </c>
      <c r="M74" s="14">
        <v>0</v>
      </c>
      <c r="N74" s="14">
        <v>0</v>
      </c>
      <c r="O74" s="14">
        <v>0</v>
      </c>
      <c r="P74" s="14">
        <v>0</v>
      </c>
      <c r="Q74" s="14">
        <v>0</v>
      </c>
      <c r="R74" s="15">
        <f>$G$74*$G$8+$H$74*$H$8+$I$74*$I$8+$J$74*$J$8+$K$74*$K$8+$L$74*$L$8+$M$74*$M$8+$N$74*$N$8+$O$74*$O$8+$P$74*$P$8+$Q$74*$Q$8</f>
        <v>0</v>
      </c>
      <c r="S74" s="15">
        <v>0</v>
      </c>
      <c r="T74" s="15">
        <f>$R$74+$S$74</f>
        <v>0</v>
      </c>
    </row>
    <row r="75" spans="1:20" x14ac:dyDescent="0.3">
      <c r="A75" s="10" t="s">
        <v>272</v>
      </c>
      <c r="B75" s="11" t="s">
        <v>273</v>
      </c>
      <c r="C75" s="11"/>
      <c r="D75" s="11" t="s">
        <v>274</v>
      </c>
      <c r="E75" s="11">
        <f xml:space="preserve"> IF($T$75,1,0)</f>
        <v>1</v>
      </c>
      <c r="F75" s="11" t="s">
        <v>275</v>
      </c>
      <c r="G75" s="11">
        <v>2</v>
      </c>
      <c r="H75" s="11">
        <v>5</v>
      </c>
      <c r="I75" s="11">
        <v>0</v>
      </c>
      <c r="J75" s="11">
        <v>0</v>
      </c>
      <c r="K75" s="11">
        <v>0</v>
      </c>
      <c r="L75" s="11">
        <v>0</v>
      </c>
      <c r="M75" s="11">
        <v>0</v>
      </c>
      <c r="N75" s="11">
        <v>0</v>
      </c>
      <c r="O75" s="11">
        <v>0</v>
      </c>
      <c r="P75" s="11">
        <v>0</v>
      </c>
      <c r="Q75" s="11">
        <v>0</v>
      </c>
      <c r="R75" s="12">
        <f>$G$75*$G$8+$H$75*$H$8+$I$75*$I$8+$J$75*$J$8+$K$75*$K$8+$L$75*$L$8+$M$75*$M$8+$N$75*$N$8+$O$75*$O$8+$P$75*$P$8+$Q$75*$Q$8</f>
        <v>13.2</v>
      </c>
      <c r="S75" s="12">
        <v>0</v>
      </c>
      <c r="T75" s="12">
        <f>$R$75+$S$75</f>
        <v>13.2</v>
      </c>
    </row>
    <row r="76" spans="1:20" x14ac:dyDescent="0.3">
      <c r="A76" s="13" t="s">
        <v>276</v>
      </c>
      <c r="B76" s="14" t="s">
        <v>277</v>
      </c>
      <c r="C76" s="14" t="s">
        <v>278</v>
      </c>
      <c r="D76" s="14" t="s">
        <v>279</v>
      </c>
      <c r="E76" s="14">
        <f xml:space="preserve"> IF($T$76,1,0)</f>
        <v>0</v>
      </c>
      <c r="F76" s="14" t="s">
        <v>280</v>
      </c>
      <c r="G76" s="14">
        <v>0</v>
      </c>
      <c r="H76" s="14">
        <v>0</v>
      </c>
      <c r="I76" s="14">
        <v>0</v>
      </c>
      <c r="J76" s="14">
        <v>0</v>
      </c>
      <c r="K76" s="14">
        <v>0</v>
      </c>
      <c r="L76" s="14">
        <v>0</v>
      </c>
      <c r="M76" s="14">
        <v>0</v>
      </c>
      <c r="N76" s="14">
        <v>0</v>
      </c>
      <c r="O76" s="14">
        <v>0</v>
      </c>
      <c r="P76" s="14">
        <v>0</v>
      </c>
      <c r="Q76" s="14">
        <v>0</v>
      </c>
      <c r="R76" s="15">
        <f>$G$76*$G$8+$H$76*$H$8+$I$76*$I$8+$J$76*$J$8+$K$76*$K$8+$L$76*$L$8+$M$76*$M$8+$N$76*$N$8+$O$76*$O$8+$P$76*$P$8+$Q$76*$Q$8</f>
        <v>0</v>
      </c>
      <c r="S76" s="15">
        <v>0</v>
      </c>
      <c r="T76" s="15">
        <f>$R$76+$S$76</f>
        <v>0</v>
      </c>
    </row>
    <row r="77" spans="1:20" x14ac:dyDescent="0.3">
      <c r="A77" s="10" t="s">
        <v>281</v>
      </c>
      <c r="B77" s="11" t="s">
        <v>282</v>
      </c>
      <c r="C77" s="11" t="s">
        <v>283</v>
      </c>
      <c r="D77" s="11" t="s">
        <v>284</v>
      </c>
      <c r="E77" s="11">
        <f xml:space="preserve"> IF($T$77,1,0)</f>
        <v>0</v>
      </c>
      <c r="F77" s="11" t="s">
        <v>285</v>
      </c>
      <c r="G77" s="11">
        <v>0</v>
      </c>
      <c r="H77" s="11">
        <v>0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1">
        <v>0</v>
      </c>
      <c r="R77" s="12">
        <f>$G$77*$G$8+$H$77*$H$8+$I$77*$I$8+$J$77*$J$8+$K$77*$K$8+$L$77*$L$8+$M$77*$M$8+$N$77*$N$8+$O$77*$O$8+$P$77*$P$8+$Q$77*$Q$8</f>
        <v>0</v>
      </c>
      <c r="S77" s="12">
        <v>0</v>
      </c>
      <c r="T77" s="12">
        <f>$R$77+$S$77</f>
        <v>0</v>
      </c>
    </row>
    <row r="78" spans="1:20" x14ac:dyDescent="0.3">
      <c r="A78" s="13" t="s">
        <v>286</v>
      </c>
      <c r="B78" s="14" t="s">
        <v>287</v>
      </c>
      <c r="C78" s="14" t="s">
        <v>278</v>
      </c>
      <c r="D78" s="14" t="s">
        <v>288</v>
      </c>
      <c r="E78" s="14">
        <f xml:space="preserve"> IF($T$78,1,0)</f>
        <v>0</v>
      </c>
      <c r="F78" s="14" t="s">
        <v>289</v>
      </c>
      <c r="G78" s="14">
        <v>0</v>
      </c>
      <c r="H78" s="14">
        <v>0</v>
      </c>
      <c r="I78" s="14">
        <v>0</v>
      </c>
      <c r="J78" s="14">
        <v>0</v>
      </c>
      <c r="K78" s="14">
        <v>0</v>
      </c>
      <c r="L78" s="14">
        <v>0</v>
      </c>
      <c r="M78" s="14">
        <v>0</v>
      </c>
      <c r="N78" s="14">
        <v>0</v>
      </c>
      <c r="O78" s="14">
        <v>0</v>
      </c>
      <c r="P78" s="14">
        <v>0</v>
      </c>
      <c r="Q78" s="14">
        <v>0</v>
      </c>
      <c r="R78" s="15">
        <f>$G$78*$G$8+$H$78*$H$8+$I$78*$I$8+$J$78*$J$8+$K$78*$K$8+$L$78*$L$8+$M$78*$M$8+$N$78*$N$8+$O$78*$O$8+$P$78*$P$8+$Q$78*$Q$8</f>
        <v>0</v>
      </c>
      <c r="S78" s="15">
        <v>0</v>
      </c>
      <c r="T78" s="15">
        <f>$R$78+$S$78</f>
        <v>0</v>
      </c>
    </row>
    <row r="79" spans="1:20" x14ac:dyDescent="0.3">
      <c r="A79" s="10" t="s">
        <v>290</v>
      </c>
      <c r="B79" s="11" t="s">
        <v>291</v>
      </c>
      <c r="C79" s="11"/>
      <c r="D79" s="11" t="s">
        <v>292</v>
      </c>
      <c r="E79" s="11">
        <f xml:space="preserve"> IF($T$79,1,0)</f>
        <v>0</v>
      </c>
      <c r="F79" s="11" t="s">
        <v>293</v>
      </c>
      <c r="G79" s="11">
        <v>0</v>
      </c>
      <c r="H79" s="11">
        <v>0</v>
      </c>
      <c r="I79" s="11">
        <v>0</v>
      </c>
      <c r="J79" s="11">
        <v>0</v>
      </c>
      <c r="K79" s="11">
        <v>0</v>
      </c>
      <c r="L79" s="11">
        <v>0</v>
      </c>
      <c r="M79" s="11">
        <v>0</v>
      </c>
      <c r="N79" s="11">
        <v>0</v>
      </c>
      <c r="O79" s="11">
        <v>0</v>
      </c>
      <c r="P79" s="11">
        <v>0</v>
      </c>
      <c r="Q79" s="11">
        <v>0</v>
      </c>
      <c r="R79" s="12">
        <f>$G$79*$G$8+$H$79*$H$8+$I$79*$I$8+$J$79*$J$8+$K$79*$K$8+$L$79*$L$8+$M$79*$M$8+$N$79*$N$8+$O$79*$O$8+$P$79*$P$8+$Q$79*$Q$8</f>
        <v>0</v>
      </c>
      <c r="S79" s="12">
        <v>0</v>
      </c>
      <c r="T79" s="12">
        <f>$R$79+$S$79</f>
        <v>0</v>
      </c>
    </row>
    <row r="80" spans="1:20" x14ac:dyDescent="0.3">
      <c r="A80" s="13" t="s">
        <v>294</v>
      </c>
      <c r="B80" s="14" t="s">
        <v>295</v>
      </c>
      <c r="C80" s="14"/>
      <c r="D80" s="14" t="s">
        <v>296</v>
      </c>
      <c r="E80" s="14">
        <f xml:space="preserve"> IF($T$80,1,0)</f>
        <v>0</v>
      </c>
      <c r="F80" s="14" t="s">
        <v>297</v>
      </c>
      <c r="G80" s="14">
        <v>0</v>
      </c>
      <c r="H80" s="14">
        <v>0</v>
      </c>
      <c r="I80" s="14">
        <v>0</v>
      </c>
      <c r="J80" s="14">
        <v>0</v>
      </c>
      <c r="K80" s="14">
        <v>0</v>
      </c>
      <c r="L80" s="14">
        <v>0</v>
      </c>
      <c r="M80" s="14">
        <v>0</v>
      </c>
      <c r="N80" s="14">
        <v>0</v>
      </c>
      <c r="O80" s="14">
        <v>0</v>
      </c>
      <c r="P80" s="14">
        <v>0</v>
      </c>
      <c r="Q80" s="14">
        <v>0</v>
      </c>
      <c r="R80" s="15">
        <f>$G$80*$G$8+$H$80*$H$8+$I$80*$I$8+$J$80*$J$8+$K$80*$K$8+$L$80*$L$8+$M$80*$M$8+$N$80*$N$8+$O$80*$O$8+$P$80*$P$8+$Q$80*$Q$8</f>
        <v>0</v>
      </c>
      <c r="S80" s="15">
        <v>0</v>
      </c>
      <c r="T80" s="15">
        <f>$R$80+$S$80</f>
        <v>0</v>
      </c>
    </row>
    <row r="81" spans="1:20" x14ac:dyDescent="0.3">
      <c r="A81" s="10" t="s">
        <v>298</v>
      </c>
      <c r="B81" s="11" t="s">
        <v>295</v>
      </c>
      <c r="C81" s="11"/>
      <c r="D81" s="11" t="s">
        <v>299</v>
      </c>
      <c r="E81" s="11">
        <f xml:space="preserve"> IF($T$81,1,0)</f>
        <v>0</v>
      </c>
      <c r="F81" s="11" t="s">
        <v>300</v>
      </c>
      <c r="G81" s="11">
        <v>0</v>
      </c>
      <c r="H81" s="11">
        <v>0</v>
      </c>
      <c r="I81" s="11">
        <v>0</v>
      </c>
      <c r="J81" s="11">
        <v>0</v>
      </c>
      <c r="K81" s="11">
        <v>0</v>
      </c>
      <c r="L81" s="11">
        <v>0</v>
      </c>
      <c r="M81" s="11">
        <v>0</v>
      </c>
      <c r="N81" s="11">
        <v>0</v>
      </c>
      <c r="O81" s="11">
        <v>0</v>
      </c>
      <c r="P81" s="11">
        <v>0</v>
      </c>
      <c r="Q81" s="11">
        <v>0</v>
      </c>
      <c r="R81" s="12">
        <f>$G$81*$G$8+$H$81*$H$8+$I$81*$I$8+$J$81*$J$8+$K$81*$K$8+$L$81*$L$8+$M$81*$M$8+$N$81*$N$8+$O$81*$O$8+$P$81*$P$8+$Q$81*$Q$8</f>
        <v>0</v>
      </c>
      <c r="S81" s="12">
        <v>0</v>
      </c>
      <c r="T81" s="12">
        <f>$R$81+$S$81</f>
        <v>0</v>
      </c>
    </row>
    <row r="82" spans="1:20" x14ac:dyDescent="0.3">
      <c r="A82" s="13" t="s">
        <v>301</v>
      </c>
      <c r="B82" s="14" t="s">
        <v>302</v>
      </c>
      <c r="C82" s="14"/>
      <c r="D82" s="14" t="s">
        <v>303</v>
      </c>
      <c r="E82" s="14">
        <f xml:space="preserve"> IF($T$82,1,0)</f>
        <v>0</v>
      </c>
      <c r="F82" s="14" t="s">
        <v>304</v>
      </c>
      <c r="G82" s="14">
        <v>0</v>
      </c>
      <c r="H82" s="14">
        <v>0</v>
      </c>
      <c r="I82" s="14">
        <v>0</v>
      </c>
      <c r="J82" s="14">
        <v>0</v>
      </c>
      <c r="K82" s="14">
        <v>0</v>
      </c>
      <c r="L82" s="14">
        <v>0</v>
      </c>
      <c r="M82" s="14">
        <v>0</v>
      </c>
      <c r="N82" s="14">
        <v>0</v>
      </c>
      <c r="O82" s="14">
        <v>0</v>
      </c>
      <c r="P82" s="14">
        <v>0</v>
      </c>
      <c r="Q82" s="14">
        <v>0</v>
      </c>
      <c r="R82" s="15">
        <f>$G$82*$G$8+$H$82*$H$8+$I$82*$I$8+$J$82*$J$8+$K$82*$K$8+$L$82*$L$8+$M$82*$M$8+$N$82*$N$8+$O$82*$O$8+$P$82*$P$8+$Q$82*$Q$8</f>
        <v>0</v>
      </c>
      <c r="S82" s="15">
        <v>0</v>
      </c>
      <c r="T82" s="15">
        <f>$R$82+$S$82</f>
        <v>0</v>
      </c>
    </row>
    <row r="83" spans="1:20" x14ac:dyDescent="0.3">
      <c r="A83" s="10" t="s">
        <v>305</v>
      </c>
      <c r="B83" s="11" t="s">
        <v>306</v>
      </c>
      <c r="C83" s="11"/>
      <c r="D83" s="11" t="s">
        <v>307</v>
      </c>
      <c r="E83" s="11">
        <f xml:space="preserve"> IF($T$83,1,0)</f>
        <v>0</v>
      </c>
      <c r="F83" s="11" t="s">
        <v>308</v>
      </c>
      <c r="G83" s="11">
        <v>0</v>
      </c>
      <c r="H83" s="11">
        <v>0</v>
      </c>
      <c r="I83" s="11">
        <v>0</v>
      </c>
      <c r="J83" s="11">
        <v>0</v>
      </c>
      <c r="K83" s="11">
        <v>0</v>
      </c>
      <c r="L83" s="11">
        <v>0</v>
      </c>
      <c r="M83" s="11">
        <v>0</v>
      </c>
      <c r="N83" s="11">
        <v>0</v>
      </c>
      <c r="O83" s="11">
        <v>0</v>
      </c>
      <c r="P83" s="11">
        <v>0</v>
      </c>
      <c r="Q83" s="11">
        <v>0</v>
      </c>
      <c r="R83" s="12">
        <f>$G$83*$G$8+$H$83*$H$8+$I$83*$I$8+$J$83*$J$8+$K$83*$K$8+$L$83*$L$8+$M$83*$M$8+$N$83*$N$8+$O$83*$O$8+$P$83*$P$8+$Q$83*$Q$8</f>
        <v>0</v>
      </c>
      <c r="S83" s="12">
        <v>0</v>
      </c>
      <c r="T83" s="12">
        <f>$R$83+$S$83</f>
        <v>0</v>
      </c>
    </row>
    <row r="84" spans="1:20" x14ac:dyDescent="0.3">
      <c r="A84" s="13" t="s">
        <v>309</v>
      </c>
      <c r="B84" s="14" t="s">
        <v>310</v>
      </c>
      <c r="C84" s="14"/>
      <c r="D84" s="14" t="s">
        <v>311</v>
      </c>
      <c r="E84" s="14">
        <f xml:space="preserve"> IF($T$84,1,0)</f>
        <v>0</v>
      </c>
      <c r="F84" s="14" t="s">
        <v>312</v>
      </c>
      <c r="G84" s="14">
        <v>0</v>
      </c>
      <c r="H84" s="14">
        <v>0</v>
      </c>
      <c r="I84" s="14">
        <v>0</v>
      </c>
      <c r="J84" s="14">
        <v>0</v>
      </c>
      <c r="K84" s="14">
        <v>0</v>
      </c>
      <c r="L84" s="14">
        <v>0</v>
      </c>
      <c r="M84" s="14">
        <v>0</v>
      </c>
      <c r="N84" s="14">
        <v>0</v>
      </c>
      <c r="O84" s="14">
        <v>0</v>
      </c>
      <c r="P84" s="14">
        <v>0</v>
      </c>
      <c r="Q84" s="14">
        <v>0</v>
      </c>
      <c r="R84" s="15">
        <f>$G$84*$G$8+$H$84*$H$8+$I$84*$I$8+$J$84*$J$8+$K$84*$K$8+$L$84*$L$8+$M$84*$M$8+$N$84*$N$8+$O$84*$O$8+$P$84*$P$8+$Q$84*$Q$8</f>
        <v>0</v>
      </c>
      <c r="S84" s="15">
        <v>0</v>
      </c>
      <c r="T84" s="15">
        <f>$R$84+$S$84</f>
        <v>0</v>
      </c>
    </row>
    <row r="85" spans="1:20" x14ac:dyDescent="0.3">
      <c r="A85" s="10" t="s">
        <v>313</v>
      </c>
      <c r="B85" s="11" t="s">
        <v>314</v>
      </c>
      <c r="C85" s="11"/>
      <c r="D85" s="11" t="s">
        <v>315</v>
      </c>
      <c r="E85" s="11">
        <f xml:space="preserve"> IF($T$85,1,0)</f>
        <v>0</v>
      </c>
      <c r="F85" s="11" t="s">
        <v>316</v>
      </c>
      <c r="G85" s="11">
        <v>0</v>
      </c>
      <c r="H85" s="11">
        <v>0</v>
      </c>
      <c r="I85" s="11">
        <v>0</v>
      </c>
      <c r="J85" s="11">
        <v>0</v>
      </c>
      <c r="K85" s="11">
        <v>0</v>
      </c>
      <c r="L85" s="11">
        <v>0</v>
      </c>
      <c r="M85" s="11">
        <v>0</v>
      </c>
      <c r="N85" s="11">
        <v>0</v>
      </c>
      <c r="O85" s="11">
        <v>0</v>
      </c>
      <c r="P85" s="11">
        <v>0</v>
      </c>
      <c r="Q85" s="11">
        <v>0</v>
      </c>
      <c r="R85" s="12">
        <f>$G$85*$G$8+$H$85*$H$8+$I$85*$I$8+$J$85*$J$8+$K$85*$K$8+$L$85*$L$8+$M$85*$M$8+$N$85*$N$8+$O$85*$O$8+$P$85*$P$8+$Q$85*$Q$8</f>
        <v>0</v>
      </c>
      <c r="S85" s="12">
        <v>0</v>
      </c>
      <c r="T85" s="12">
        <f>$R$85+$S$85</f>
        <v>0</v>
      </c>
    </row>
    <row r="86" spans="1:20" x14ac:dyDescent="0.3">
      <c r="A86" s="13" t="s">
        <v>317</v>
      </c>
      <c r="B86" s="14" t="s">
        <v>318</v>
      </c>
      <c r="C86" s="14"/>
      <c r="D86" s="14" t="s">
        <v>319</v>
      </c>
      <c r="E86" s="14">
        <f xml:space="preserve"> IF($T$86,1,0)</f>
        <v>0</v>
      </c>
      <c r="F86" s="14" t="s">
        <v>320</v>
      </c>
      <c r="G86" s="14">
        <v>0</v>
      </c>
      <c r="H86" s="14">
        <v>0</v>
      </c>
      <c r="I86" s="14">
        <v>0</v>
      </c>
      <c r="J86" s="14">
        <v>0</v>
      </c>
      <c r="K86" s="14">
        <v>0</v>
      </c>
      <c r="L86" s="14">
        <v>0</v>
      </c>
      <c r="M86" s="14">
        <v>0</v>
      </c>
      <c r="N86" s="14">
        <v>0</v>
      </c>
      <c r="O86" s="14">
        <v>0</v>
      </c>
      <c r="P86" s="14">
        <v>0</v>
      </c>
      <c r="Q86" s="14">
        <v>0</v>
      </c>
      <c r="R86" s="15">
        <f>$G$86*$G$8+$H$86*$H$8+$I$86*$I$8+$J$86*$J$8+$K$86*$K$8+$L$86*$L$8+$M$86*$M$8+$N$86*$N$8+$O$86*$O$8+$P$86*$P$8+$Q$86*$Q$8</f>
        <v>0</v>
      </c>
      <c r="S86" s="15">
        <v>0</v>
      </c>
      <c r="T86" s="15">
        <f>$R$86+$S$86</f>
        <v>0</v>
      </c>
    </row>
    <row r="87" spans="1:20" x14ac:dyDescent="0.3">
      <c r="A87" s="10" t="s">
        <v>321</v>
      </c>
      <c r="B87" s="11" t="s">
        <v>322</v>
      </c>
      <c r="C87" s="11"/>
      <c r="D87" s="11" t="s">
        <v>323</v>
      </c>
      <c r="E87" s="11">
        <f xml:space="preserve"> IF($T$87,1,0)</f>
        <v>0</v>
      </c>
      <c r="F87" s="11" t="s">
        <v>324</v>
      </c>
      <c r="G87" s="11">
        <v>0</v>
      </c>
      <c r="H87" s="11">
        <v>0</v>
      </c>
      <c r="I87" s="11">
        <v>0</v>
      </c>
      <c r="J87" s="11">
        <v>0</v>
      </c>
      <c r="K87" s="11">
        <v>0</v>
      </c>
      <c r="L87" s="11">
        <v>0</v>
      </c>
      <c r="M87" s="11">
        <v>0</v>
      </c>
      <c r="N87" s="11">
        <v>0</v>
      </c>
      <c r="O87" s="11">
        <v>0</v>
      </c>
      <c r="P87" s="11">
        <v>0</v>
      </c>
      <c r="Q87" s="11">
        <v>0</v>
      </c>
      <c r="R87" s="12">
        <f>$G$87*$G$8+$H$87*$H$8+$I$87*$I$8+$J$87*$J$8+$K$87*$K$8+$L$87*$L$8+$M$87*$M$8+$N$87*$N$8+$O$87*$O$8+$P$87*$P$8+$Q$87*$Q$8</f>
        <v>0</v>
      </c>
      <c r="S87" s="12">
        <v>0</v>
      </c>
      <c r="T87" s="12">
        <f>$R$87+$S$87</f>
        <v>0</v>
      </c>
    </row>
    <row r="88" spans="1:20" x14ac:dyDescent="0.3">
      <c r="A88" s="13" t="s">
        <v>325</v>
      </c>
      <c r="B88" s="14" t="s">
        <v>326</v>
      </c>
      <c r="C88" s="14" t="s">
        <v>243</v>
      </c>
      <c r="D88" s="14" t="s">
        <v>327</v>
      </c>
      <c r="E88" s="14">
        <f xml:space="preserve"> IF($T$88,1,0)</f>
        <v>0</v>
      </c>
      <c r="F88" s="14" t="s">
        <v>328</v>
      </c>
      <c r="G88" s="14">
        <v>0</v>
      </c>
      <c r="H88" s="14">
        <v>0</v>
      </c>
      <c r="I88" s="14">
        <v>0</v>
      </c>
      <c r="J88" s="14">
        <v>0</v>
      </c>
      <c r="K88" s="14">
        <v>0</v>
      </c>
      <c r="L88" s="14">
        <v>0</v>
      </c>
      <c r="M88" s="14">
        <v>0</v>
      </c>
      <c r="N88" s="14">
        <v>0</v>
      </c>
      <c r="O88" s="14">
        <v>0</v>
      </c>
      <c r="P88" s="14">
        <v>0</v>
      </c>
      <c r="Q88" s="14">
        <v>0</v>
      </c>
      <c r="R88" s="15">
        <f>$G$88*$G$8+$H$88*$H$8+$I$88*$I$8+$J$88*$J$8+$K$88*$K$8+$L$88*$L$8+$M$88*$M$8+$N$88*$N$8+$O$88*$O$8+$P$88*$P$8+$Q$88*$Q$8</f>
        <v>0</v>
      </c>
      <c r="S88" s="15">
        <v>0</v>
      </c>
      <c r="T88" s="15">
        <f>$R$88+$S$88</f>
        <v>0</v>
      </c>
    </row>
    <row r="89" spans="1:20" x14ac:dyDescent="0.3">
      <c r="A89" s="10" t="s">
        <v>329</v>
      </c>
      <c r="B89" s="11" t="s">
        <v>330</v>
      </c>
      <c r="C89" s="11"/>
      <c r="D89" s="11" t="s">
        <v>331</v>
      </c>
      <c r="E89" s="11">
        <f xml:space="preserve"> IF($T$89,1,0)</f>
        <v>1</v>
      </c>
      <c r="F89" s="11" t="s">
        <v>332</v>
      </c>
      <c r="G89" s="11">
        <v>1</v>
      </c>
      <c r="H89" s="11">
        <v>0</v>
      </c>
      <c r="I89" s="11">
        <v>0</v>
      </c>
      <c r="J89" s="11">
        <v>0</v>
      </c>
      <c r="K89" s="11">
        <v>0</v>
      </c>
      <c r="L89" s="11">
        <v>0</v>
      </c>
      <c r="M89" s="11">
        <v>0</v>
      </c>
      <c r="N89" s="11">
        <v>0</v>
      </c>
      <c r="O89" s="11">
        <v>0</v>
      </c>
      <c r="P89" s="11">
        <v>0</v>
      </c>
      <c r="Q89" s="11">
        <v>0</v>
      </c>
      <c r="R89" s="12">
        <f>$G$89*$G$8+$H$89*$H$8+$I$89*$I$8+$J$89*$J$8+$K$89*$K$8+$L$89*$L$8+$M$89*$M$8+$N$89*$N$8+$O$89*$O$8+$P$89*$P$8+$Q$89*$Q$8</f>
        <v>1.1000000000000001</v>
      </c>
      <c r="S89" s="12">
        <v>0</v>
      </c>
      <c r="T89" s="12">
        <f>$R$89+$S$89</f>
        <v>1.1000000000000001</v>
      </c>
    </row>
    <row r="90" spans="1:20" x14ac:dyDescent="0.3">
      <c r="A90" s="13" t="s">
        <v>333</v>
      </c>
      <c r="B90" s="14" t="s">
        <v>334</v>
      </c>
      <c r="C90" s="14"/>
      <c r="D90" s="14" t="s">
        <v>335</v>
      </c>
      <c r="E90" s="14">
        <f xml:space="preserve"> IF($T$90,1,0)</f>
        <v>0</v>
      </c>
      <c r="F90" s="14" t="s">
        <v>336</v>
      </c>
      <c r="G90" s="14">
        <v>0</v>
      </c>
      <c r="H90" s="14">
        <v>0</v>
      </c>
      <c r="I90" s="14">
        <v>0</v>
      </c>
      <c r="J90" s="14">
        <v>0</v>
      </c>
      <c r="K90" s="14">
        <v>0</v>
      </c>
      <c r="L90" s="14">
        <v>0</v>
      </c>
      <c r="M90" s="14">
        <v>0</v>
      </c>
      <c r="N90" s="14">
        <v>0</v>
      </c>
      <c r="O90" s="14">
        <v>0</v>
      </c>
      <c r="P90" s="14">
        <v>0</v>
      </c>
      <c r="Q90" s="14">
        <v>0</v>
      </c>
      <c r="R90" s="15">
        <f>$G$90*$G$8+$H$90*$H$8+$I$90*$I$8+$J$90*$J$8+$K$90*$K$8+$L$90*$L$8+$M$90*$M$8+$N$90*$N$8+$O$90*$O$8+$P$90*$P$8+$Q$90*$Q$8</f>
        <v>0</v>
      </c>
      <c r="S90" s="15">
        <v>0</v>
      </c>
      <c r="T90" s="15">
        <f>$R$90+$S$90</f>
        <v>0</v>
      </c>
    </row>
    <row r="91" spans="1:20" x14ac:dyDescent="0.3">
      <c r="A91" s="10" t="s">
        <v>337</v>
      </c>
      <c r="B91" s="11" t="s">
        <v>334</v>
      </c>
      <c r="C91" s="11"/>
      <c r="D91" s="11" t="s">
        <v>338</v>
      </c>
      <c r="E91" s="11">
        <f xml:space="preserve"> IF($T$91,1,0)</f>
        <v>0</v>
      </c>
      <c r="F91" s="11" t="s">
        <v>339</v>
      </c>
      <c r="G91" s="11">
        <v>0</v>
      </c>
      <c r="H91" s="11">
        <v>0</v>
      </c>
      <c r="I91" s="11">
        <v>0</v>
      </c>
      <c r="J91" s="11">
        <v>0</v>
      </c>
      <c r="K91" s="11">
        <v>0</v>
      </c>
      <c r="L91" s="11">
        <v>0</v>
      </c>
      <c r="M91" s="11">
        <v>0</v>
      </c>
      <c r="N91" s="11">
        <v>0</v>
      </c>
      <c r="O91" s="11">
        <v>0</v>
      </c>
      <c r="P91" s="11">
        <v>0</v>
      </c>
      <c r="Q91" s="11">
        <v>0</v>
      </c>
      <c r="R91" s="12">
        <f>$G$91*$G$8+$H$91*$H$8+$I$91*$I$8+$J$91*$J$8+$K$91*$K$8+$L$91*$L$8+$M$91*$M$8+$N$91*$N$8+$O$91*$O$8+$P$91*$P$8+$Q$91*$Q$8</f>
        <v>0</v>
      </c>
      <c r="S91" s="12">
        <v>0</v>
      </c>
      <c r="T91" s="12">
        <f>$R$91+$S$91</f>
        <v>0</v>
      </c>
    </row>
    <row r="92" spans="1:20" x14ac:dyDescent="0.3">
      <c r="A92" s="13" t="s">
        <v>340</v>
      </c>
      <c r="B92" s="14" t="s">
        <v>341</v>
      </c>
      <c r="C92" s="14" t="s">
        <v>342</v>
      </c>
      <c r="D92" s="14" t="s">
        <v>343</v>
      </c>
      <c r="E92" s="14">
        <f xml:space="preserve"> IF($T$92,1,0)</f>
        <v>0</v>
      </c>
      <c r="F92" s="14" t="s">
        <v>344</v>
      </c>
      <c r="G92" s="14">
        <v>0</v>
      </c>
      <c r="H92" s="14">
        <v>0</v>
      </c>
      <c r="I92" s="14">
        <v>0</v>
      </c>
      <c r="J92" s="14">
        <v>0</v>
      </c>
      <c r="K92" s="14">
        <v>0</v>
      </c>
      <c r="L92" s="14">
        <v>0</v>
      </c>
      <c r="M92" s="14">
        <v>0</v>
      </c>
      <c r="N92" s="14">
        <v>0</v>
      </c>
      <c r="O92" s="14">
        <v>0</v>
      </c>
      <c r="P92" s="14">
        <v>0</v>
      </c>
      <c r="Q92" s="14">
        <v>0</v>
      </c>
      <c r="R92" s="15">
        <f>$G$92*$G$8+$H$92*$H$8+$I$92*$I$8+$J$92*$J$8+$K$92*$K$8+$L$92*$L$8+$M$92*$M$8+$N$92*$N$8+$O$92*$O$8+$P$92*$P$8+$Q$92*$Q$8</f>
        <v>0</v>
      </c>
      <c r="S92" s="15">
        <v>0</v>
      </c>
      <c r="T92" s="15">
        <f>$R$92+$S$92</f>
        <v>0</v>
      </c>
    </row>
    <row r="93" spans="1:20" x14ac:dyDescent="0.3">
      <c r="A93" s="10" t="s">
        <v>345</v>
      </c>
      <c r="B93" s="11" t="s">
        <v>346</v>
      </c>
      <c r="C93" s="11"/>
      <c r="D93" s="11" t="s">
        <v>347</v>
      </c>
      <c r="E93" s="11">
        <f xml:space="preserve"> IF($T$93,1,0)</f>
        <v>1</v>
      </c>
      <c r="F93" s="11" t="s">
        <v>348</v>
      </c>
      <c r="G93" s="11">
        <v>7</v>
      </c>
      <c r="H93" s="11">
        <v>1</v>
      </c>
      <c r="I93" s="11">
        <v>0</v>
      </c>
      <c r="J93" s="11">
        <v>0</v>
      </c>
      <c r="K93" s="11">
        <v>0</v>
      </c>
      <c r="L93" s="11">
        <v>0</v>
      </c>
      <c r="M93" s="11">
        <v>0</v>
      </c>
      <c r="N93" s="11">
        <v>0</v>
      </c>
      <c r="O93" s="11">
        <v>0</v>
      </c>
      <c r="P93" s="11">
        <v>0</v>
      </c>
      <c r="Q93" s="11">
        <v>0</v>
      </c>
      <c r="R93" s="12">
        <f>$G$93*$G$8+$H$93*$H$8+$I$93*$I$8+$J$93*$J$8+$K$93*$K$8+$L$93*$L$8+$M$93*$M$8+$N$93*$N$8+$O$93*$O$8+$P$93*$P$8+$Q$93*$Q$8</f>
        <v>9.9000000000000021</v>
      </c>
      <c r="S93" s="12">
        <v>0</v>
      </c>
      <c r="T93" s="12">
        <f>$R$93+$S$93</f>
        <v>9.9000000000000021</v>
      </c>
    </row>
    <row r="94" spans="1:20" x14ac:dyDescent="0.3">
      <c r="A94" s="13" t="s">
        <v>349</v>
      </c>
      <c r="B94" s="14" t="s">
        <v>350</v>
      </c>
      <c r="C94" s="14"/>
      <c r="D94" s="14" t="s">
        <v>351</v>
      </c>
      <c r="E94" s="14">
        <f xml:space="preserve"> IF($T$94,1,0)</f>
        <v>0</v>
      </c>
      <c r="F94" s="14" t="s">
        <v>352</v>
      </c>
      <c r="G94" s="14">
        <v>0</v>
      </c>
      <c r="H94" s="14">
        <v>0</v>
      </c>
      <c r="I94" s="14">
        <v>0</v>
      </c>
      <c r="J94" s="14">
        <v>0</v>
      </c>
      <c r="K94" s="14">
        <v>0</v>
      </c>
      <c r="L94" s="14">
        <v>0</v>
      </c>
      <c r="M94" s="14">
        <v>0</v>
      </c>
      <c r="N94" s="14">
        <v>0</v>
      </c>
      <c r="O94" s="14">
        <v>0</v>
      </c>
      <c r="P94" s="14">
        <v>0</v>
      </c>
      <c r="Q94" s="14">
        <v>0</v>
      </c>
      <c r="R94" s="15">
        <f>$G$94*$G$8+$H$94*$H$8+$I$94*$I$8+$J$94*$J$8+$K$94*$K$8+$L$94*$L$8+$M$94*$M$8+$N$94*$N$8+$O$94*$O$8+$P$94*$P$8+$Q$94*$Q$8</f>
        <v>0</v>
      </c>
      <c r="S94" s="15">
        <v>0</v>
      </c>
      <c r="T94" s="15">
        <f>$R$94+$S$94</f>
        <v>0</v>
      </c>
    </row>
    <row r="95" spans="1:20" x14ac:dyDescent="0.3">
      <c r="A95" s="10" t="s">
        <v>353</v>
      </c>
      <c r="B95" s="11" t="s">
        <v>354</v>
      </c>
      <c r="C95" s="11"/>
      <c r="D95" s="11" t="s">
        <v>355</v>
      </c>
      <c r="E95" s="11">
        <f xml:space="preserve"> IF($T$95,1,0)</f>
        <v>1</v>
      </c>
      <c r="F95" s="11" t="s">
        <v>356</v>
      </c>
      <c r="G95" s="11">
        <v>0</v>
      </c>
      <c r="H95" s="11">
        <v>0</v>
      </c>
      <c r="I95" s="11">
        <v>0</v>
      </c>
      <c r="J95" s="11">
        <v>0</v>
      </c>
      <c r="K95" s="11">
        <v>0</v>
      </c>
      <c r="L95" s="11">
        <v>1</v>
      </c>
      <c r="M95" s="11">
        <v>0</v>
      </c>
      <c r="N95" s="11">
        <v>0</v>
      </c>
      <c r="O95" s="11">
        <v>1</v>
      </c>
      <c r="P95" s="11">
        <v>0</v>
      </c>
      <c r="Q95" s="11">
        <v>0</v>
      </c>
      <c r="R95" s="12">
        <f>$G$95*$G$8+$H$95*$H$8+$I$95*$I$8+$J$95*$J$8+$K$95*$K$8+$L$95*$L$8+$M$95*$M$8+$N$95*$N$8+$O$95*$O$8+$P$95*$P$8+$Q$95*$Q$8</f>
        <v>7</v>
      </c>
      <c r="S95" s="12">
        <v>0</v>
      </c>
      <c r="T95" s="12">
        <f>$R$95+$S$95</f>
        <v>7</v>
      </c>
    </row>
    <row r="96" spans="1:20" x14ac:dyDescent="0.3">
      <c r="A96" s="13" t="s">
        <v>357</v>
      </c>
      <c r="B96" s="14" t="s">
        <v>358</v>
      </c>
      <c r="C96" s="14" t="s">
        <v>34</v>
      </c>
      <c r="D96" s="14" t="s">
        <v>359</v>
      </c>
      <c r="E96" s="14">
        <f xml:space="preserve"> IF($T$96,1,0)</f>
        <v>0</v>
      </c>
      <c r="F96" s="14" t="s">
        <v>360</v>
      </c>
      <c r="G96" s="14">
        <v>0</v>
      </c>
      <c r="H96" s="14">
        <v>0</v>
      </c>
      <c r="I96" s="14">
        <v>0</v>
      </c>
      <c r="J96" s="14">
        <v>0</v>
      </c>
      <c r="K96" s="14">
        <v>0</v>
      </c>
      <c r="L96" s="14">
        <v>0</v>
      </c>
      <c r="M96" s="14">
        <v>0</v>
      </c>
      <c r="N96" s="14">
        <v>0</v>
      </c>
      <c r="O96" s="14">
        <v>0</v>
      </c>
      <c r="P96" s="14">
        <v>0</v>
      </c>
      <c r="Q96" s="14">
        <v>0</v>
      </c>
      <c r="R96" s="15">
        <f>$G$96*$G$8+$H$96*$H$8+$I$96*$I$8+$J$96*$J$8+$K$96*$K$8+$L$96*$L$8+$M$96*$M$8+$N$96*$N$8+$O$96*$O$8+$P$96*$P$8+$Q$96*$Q$8</f>
        <v>0</v>
      </c>
      <c r="S96" s="15">
        <v>0</v>
      </c>
      <c r="T96" s="15">
        <f>$R$96+$S$96</f>
        <v>0</v>
      </c>
    </row>
    <row r="97" spans="1:20" x14ac:dyDescent="0.3">
      <c r="A97" s="10" t="s">
        <v>361</v>
      </c>
      <c r="B97" s="11" t="s">
        <v>358</v>
      </c>
      <c r="C97" s="11" t="s">
        <v>34</v>
      </c>
      <c r="D97" s="11" t="s">
        <v>362</v>
      </c>
      <c r="E97" s="11">
        <f xml:space="preserve"> IF($T$97,1,0)</f>
        <v>1</v>
      </c>
      <c r="F97" s="11" t="s">
        <v>363</v>
      </c>
      <c r="G97" s="11">
        <v>0</v>
      </c>
      <c r="H97" s="11">
        <v>1</v>
      </c>
      <c r="I97" s="11">
        <v>0</v>
      </c>
      <c r="J97" s="11">
        <v>0</v>
      </c>
      <c r="K97" s="11">
        <v>0</v>
      </c>
      <c r="L97" s="11">
        <v>0</v>
      </c>
      <c r="M97" s="11">
        <v>0</v>
      </c>
      <c r="N97" s="11">
        <v>0</v>
      </c>
      <c r="O97" s="11">
        <v>0</v>
      </c>
      <c r="P97" s="11">
        <v>0</v>
      </c>
      <c r="Q97" s="11">
        <v>0</v>
      </c>
      <c r="R97" s="12">
        <f>$G$97*$G$8+$H$97*$H$8+$I$97*$I$8+$J$97*$J$8+$K$97*$K$8+$L$97*$L$8+$M$97*$M$8+$N$97*$N$8+$O$97*$O$8+$P$97*$P$8+$Q$97*$Q$8</f>
        <v>2.2000000000000002</v>
      </c>
      <c r="S97" s="12">
        <v>0</v>
      </c>
      <c r="T97" s="12">
        <f>$R$97+$S$97</f>
        <v>2.2000000000000002</v>
      </c>
    </row>
    <row r="98" spans="1:20" x14ac:dyDescent="0.3">
      <c r="A98" s="13" t="s">
        <v>364</v>
      </c>
      <c r="B98" s="14" t="s">
        <v>358</v>
      </c>
      <c r="C98" s="14"/>
      <c r="D98" s="14" t="s">
        <v>365</v>
      </c>
      <c r="E98" s="14">
        <f xml:space="preserve"> IF($T$98,1,0)</f>
        <v>1</v>
      </c>
      <c r="F98" s="14" t="s">
        <v>366</v>
      </c>
      <c r="G98" s="14">
        <v>0</v>
      </c>
      <c r="H98" s="14">
        <v>0</v>
      </c>
      <c r="I98" s="14">
        <v>0</v>
      </c>
      <c r="J98" s="14">
        <v>2</v>
      </c>
      <c r="K98" s="14">
        <v>0</v>
      </c>
      <c r="L98" s="14">
        <v>0</v>
      </c>
      <c r="M98" s="14">
        <v>0</v>
      </c>
      <c r="N98" s="14">
        <v>1</v>
      </c>
      <c r="O98" s="14">
        <v>0</v>
      </c>
      <c r="P98" s="14">
        <v>0</v>
      </c>
      <c r="Q98" s="14">
        <v>3</v>
      </c>
      <c r="R98" s="15">
        <f>$G$98*$G$8+$H$98*$H$8+$I$98*$I$8+$J$98*$J$8+$K$98*$K$8+$L$98*$L$8+$M$98*$M$8+$N$98*$N$8+$O$98*$O$8+$P$98*$P$8+$Q$98*$Q$8</f>
        <v>11</v>
      </c>
      <c r="S98" s="15">
        <v>0</v>
      </c>
      <c r="T98" s="15">
        <f>$R$98+$S$98</f>
        <v>11</v>
      </c>
    </row>
    <row r="99" spans="1:20" x14ac:dyDescent="0.3">
      <c r="A99" s="10" t="s">
        <v>367</v>
      </c>
      <c r="B99" s="11" t="s">
        <v>368</v>
      </c>
      <c r="C99" s="11" t="s">
        <v>34</v>
      </c>
      <c r="D99" s="11" t="s">
        <v>118</v>
      </c>
      <c r="E99" s="11">
        <f xml:space="preserve"> IF($T$99,1,0)</f>
        <v>1</v>
      </c>
      <c r="F99" s="11" t="s">
        <v>369</v>
      </c>
      <c r="G99" s="11">
        <v>2</v>
      </c>
      <c r="H99" s="11">
        <v>2</v>
      </c>
      <c r="I99" s="11">
        <v>0</v>
      </c>
      <c r="J99" s="11">
        <v>0</v>
      </c>
      <c r="K99" s="11">
        <v>0</v>
      </c>
      <c r="L99" s="11">
        <v>0</v>
      </c>
      <c r="M99" s="11">
        <v>0</v>
      </c>
      <c r="N99" s="11">
        <v>0</v>
      </c>
      <c r="O99" s="11">
        <v>0</v>
      </c>
      <c r="P99" s="11">
        <v>0</v>
      </c>
      <c r="Q99" s="11">
        <v>0</v>
      </c>
      <c r="R99" s="12">
        <f>$G$99*$G$8+$H$99*$H$8+$I$99*$I$8+$J$99*$J$8+$K$99*$K$8+$L$99*$L$8+$M$99*$M$8+$N$99*$N$8+$O$99*$O$8+$P$99*$P$8+$Q$99*$Q$8</f>
        <v>6.6000000000000005</v>
      </c>
      <c r="S99" s="12">
        <v>0</v>
      </c>
      <c r="T99" s="12">
        <f>$R$99+$S$99</f>
        <v>6.6000000000000005</v>
      </c>
    </row>
    <row r="100" spans="1:20" x14ac:dyDescent="0.3">
      <c r="A100" s="13" t="s">
        <v>370</v>
      </c>
      <c r="B100" s="14" t="s">
        <v>371</v>
      </c>
      <c r="C100" s="14"/>
      <c r="D100" s="14" t="s">
        <v>372</v>
      </c>
      <c r="E100" s="14">
        <f xml:space="preserve"> IF($T$100,1,0)</f>
        <v>0</v>
      </c>
      <c r="F100" s="14" t="s">
        <v>373</v>
      </c>
      <c r="G100" s="14">
        <v>0</v>
      </c>
      <c r="H100" s="14">
        <v>0</v>
      </c>
      <c r="I100" s="14">
        <v>0</v>
      </c>
      <c r="J100" s="14">
        <v>0</v>
      </c>
      <c r="K100" s="14">
        <v>0</v>
      </c>
      <c r="L100" s="14">
        <v>0</v>
      </c>
      <c r="M100" s="14">
        <v>0</v>
      </c>
      <c r="N100" s="14">
        <v>0</v>
      </c>
      <c r="O100" s="14">
        <v>0</v>
      </c>
      <c r="P100" s="14">
        <v>0</v>
      </c>
      <c r="Q100" s="14">
        <v>0</v>
      </c>
      <c r="R100" s="15">
        <f>$G$100*$G$8+$H$100*$H$8+$I$100*$I$8+$J$100*$J$8+$K$100*$K$8+$L$100*$L$8+$M$100*$M$8+$N$100*$N$8+$O$100*$O$8+$P$100*$P$8+$Q$100*$Q$8</f>
        <v>0</v>
      </c>
      <c r="S100" s="15">
        <v>0</v>
      </c>
      <c r="T100" s="15">
        <f>$R$100+$S$100</f>
        <v>0</v>
      </c>
    </row>
    <row r="101" spans="1:20" x14ac:dyDescent="0.3">
      <c r="A101" s="10" t="s">
        <v>374</v>
      </c>
      <c r="B101" s="11" t="s">
        <v>375</v>
      </c>
      <c r="C101" s="11"/>
      <c r="D101" s="11" t="s">
        <v>376</v>
      </c>
      <c r="E101" s="11">
        <f xml:space="preserve"> IF($T$101,1,0)</f>
        <v>0</v>
      </c>
      <c r="F101" s="11" t="s">
        <v>377</v>
      </c>
      <c r="G101" s="11">
        <v>0</v>
      </c>
      <c r="H101" s="11">
        <v>0</v>
      </c>
      <c r="I101" s="11">
        <v>0</v>
      </c>
      <c r="J101" s="11">
        <v>0</v>
      </c>
      <c r="K101" s="11">
        <v>0</v>
      </c>
      <c r="L101" s="11">
        <v>0</v>
      </c>
      <c r="M101" s="11">
        <v>0</v>
      </c>
      <c r="N101" s="11">
        <v>0</v>
      </c>
      <c r="O101" s="11">
        <v>0</v>
      </c>
      <c r="P101" s="11">
        <v>0</v>
      </c>
      <c r="Q101" s="11">
        <v>0</v>
      </c>
      <c r="R101" s="12">
        <f>$G$101*$G$8+$H$101*$H$8+$I$101*$I$8+$J$101*$J$8+$K$101*$K$8+$L$101*$L$8+$M$101*$M$8+$N$101*$N$8+$O$101*$O$8+$P$101*$P$8+$Q$101*$Q$8</f>
        <v>0</v>
      </c>
      <c r="S101" s="12">
        <v>0</v>
      </c>
      <c r="T101" s="12">
        <f>$R$101+$S$101</f>
        <v>0</v>
      </c>
    </row>
    <row r="102" spans="1:20" x14ac:dyDescent="0.3">
      <c r="A102" s="13" t="s">
        <v>378</v>
      </c>
      <c r="B102" s="14" t="s">
        <v>379</v>
      </c>
      <c r="C102" s="14"/>
      <c r="D102" s="14" t="s">
        <v>380</v>
      </c>
      <c r="E102" s="14">
        <f xml:space="preserve"> IF($T$102,1,0)</f>
        <v>0</v>
      </c>
      <c r="F102" s="14" t="s">
        <v>381</v>
      </c>
      <c r="G102" s="14">
        <v>0</v>
      </c>
      <c r="H102" s="14">
        <v>0</v>
      </c>
      <c r="I102" s="14">
        <v>0</v>
      </c>
      <c r="J102" s="14">
        <v>0</v>
      </c>
      <c r="K102" s="14">
        <v>0</v>
      </c>
      <c r="L102" s="14">
        <v>0</v>
      </c>
      <c r="M102" s="14">
        <v>0</v>
      </c>
      <c r="N102" s="14">
        <v>0</v>
      </c>
      <c r="O102" s="14">
        <v>0</v>
      </c>
      <c r="P102" s="14">
        <v>0</v>
      </c>
      <c r="Q102" s="14">
        <v>0</v>
      </c>
      <c r="R102" s="15">
        <f>$G$102*$G$8+$H$102*$H$8+$I$102*$I$8+$J$102*$J$8+$K$102*$K$8+$L$102*$L$8+$M$102*$M$8+$N$102*$N$8+$O$102*$O$8+$P$102*$P$8+$Q$102*$Q$8</f>
        <v>0</v>
      </c>
      <c r="S102" s="15">
        <v>0</v>
      </c>
      <c r="T102" s="15">
        <f>$R$102+$S$102</f>
        <v>0</v>
      </c>
    </row>
    <row r="103" spans="1:20" x14ac:dyDescent="0.3">
      <c r="A103" s="10" t="s">
        <v>382</v>
      </c>
      <c r="B103" s="11" t="s">
        <v>383</v>
      </c>
      <c r="C103" s="11"/>
      <c r="D103" s="11" t="s">
        <v>384</v>
      </c>
      <c r="E103" s="11">
        <f xml:space="preserve"> IF($T$103,1,0)</f>
        <v>1</v>
      </c>
      <c r="F103" s="11" t="s">
        <v>385</v>
      </c>
      <c r="G103" s="11">
        <v>0</v>
      </c>
      <c r="H103" s="11">
        <v>0</v>
      </c>
      <c r="I103" s="11">
        <v>0</v>
      </c>
      <c r="J103" s="11">
        <v>0</v>
      </c>
      <c r="K103" s="11">
        <v>0</v>
      </c>
      <c r="L103" s="11">
        <v>0</v>
      </c>
      <c r="M103" s="11">
        <v>0</v>
      </c>
      <c r="N103" s="11">
        <v>0</v>
      </c>
      <c r="O103" s="11">
        <v>0</v>
      </c>
      <c r="P103" s="11">
        <v>0</v>
      </c>
      <c r="Q103" s="11">
        <v>2</v>
      </c>
      <c r="R103" s="12">
        <f>$G$103*$G$8+$H$103*$H$8+$I$103*$I$8+$J$103*$J$8+$K$103*$K$8+$L$103*$L$8+$M$103*$M$8+$N$103*$N$8+$O$103*$O$8+$P$103*$P$8+$Q$103*$Q$8</f>
        <v>2</v>
      </c>
      <c r="S103" s="12">
        <v>0</v>
      </c>
      <c r="T103" s="12">
        <f>$R$103+$S$103</f>
        <v>2</v>
      </c>
    </row>
    <row r="104" spans="1:20" x14ac:dyDescent="0.3">
      <c r="A104" s="13" t="s">
        <v>386</v>
      </c>
      <c r="B104" s="14" t="s">
        <v>387</v>
      </c>
      <c r="C104" s="14" t="s">
        <v>278</v>
      </c>
      <c r="D104" s="14" t="s">
        <v>388</v>
      </c>
      <c r="E104" s="14">
        <f xml:space="preserve"> IF($T$104,1,0)</f>
        <v>1</v>
      </c>
      <c r="F104" s="14" t="s">
        <v>389</v>
      </c>
      <c r="G104" s="14">
        <v>5</v>
      </c>
      <c r="H104" s="14">
        <v>0</v>
      </c>
      <c r="I104" s="14">
        <v>0</v>
      </c>
      <c r="J104" s="14">
        <v>0</v>
      </c>
      <c r="K104" s="14">
        <v>0</v>
      </c>
      <c r="L104" s="14">
        <v>0</v>
      </c>
      <c r="M104" s="14">
        <v>0</v>
      </c>
      <c r="N104" s="14">
        <v>0</v>
      </c>
      <c r="O104" s="14">
        <v>0</v>
      </c>
      <c r="P104" s="14">
        <v>0</v>
      </c>
      <c r="Q104" s="14">
        <v>0</v>
      </c>
      <c r="R104" s="15">
        <f>$G$104*$G$8+$H$104*$H$8+$I$104*$I$8+$J$104*$J$8+$K$104*$K$8+$L$104*$L$8+$M$104*$M$8+$N$104*$N$8+$O$104*$O$8+$P$104*$P$8+$Q$104*$Q$8</f>
        <v>5.5</v>
      </c>
      <c r="S104" s="15">
        <v>0</v>
      </c>
      <c r="T104" s="15">
        <f>$R$104+$S$104</f>
        <v>5.5</v>
      </c>
    </row>
    <row r="105" spans="1:20" x14ac:dyDescent="0.3">
      <c r="A105" s="10" t="s">
        <v>390</v>
      </c>
      <c r="B105" s="11" t="s">
        <v>387</v>
      </c>
      <c r="C105" s="11" t="s">
        <v>34</v>
      </c>
      <c r="D105" s="11" t="s">
        <v>391</v>
      </c>
      <c r="E105" s="11">
        <f xml:space="preserve"> IF($T$105,1,0)</f>
        <v>0</v>
      </c>
      <c r="F105" s="11" t="s">
        <v>392</v>
      </c>
      <c r="G105" s="11">
        <v>0</v>
      </c>
      <c r="H105" s="11">
        <v>0</v>
      </c>
      <c r="I105" s="11">
        <v>0</v>
      </c>
      <c r="J105" s="11">
        <v>0</v>
      </c>
      <c r="K105" s="11">
        <v>0</v>
      </c>
      <c r="L105" s="11">
        <v>0</v>
      </c>
      <c r="M105" s="11">
        <v>0</v>
      </c>
      <c r="N105" s="11">
        <v>0</v>
      </c>
      <c r="O105" s="11">
        <v>0</v>
      </c>
      <c r="P105" s="11">
        <v>0</v>
      </c>
      <c r="Q105" s="11">
        <v>0</v>
      </c>
      <c r="R105" s="12">
        <f>$G$105*$G$8+$H$105*$H$8+$I$105*$I$8+$J$105*$J$8+$K$105*$K$8+$L$105*$L$8+$M$105*$M$8+$N$105*$N$8+$O$105*$O$8+$P$105*$P$8+$Q$105*$Q$8</f>
        <v>0</v>
      </c>
      <c r="S105" s="12">
        <v>0</v>
      </c>
      <c r="T105" s="12">
        <f>$R$105+$S$105</f>
        <v>0</v>
      </c>
    </row>
    <row r="106" spans="1:20" x14ac:dyDescent="0.3">
      <c r="A106" s="13" t="s">
        <v>393</v>
      </c>
      <c r="B106" s="14" t="s">
        <v>394</v>
      </c>
      <c r="C106" s="14"/>
      <c r="D106" s="14" t="s">
        <v>395</v>
      </c>
      <c r="E106" s="14">
        <f xml:space="preserve"> IF($T$106,1,0)</f>
        <v>1</v>
      </c>
      <c r="F106" s="14" t="s">
        <v>396</v>
      </c>
      <c r="G106" s="14">
        <v>0</v>
      </c>
      <c r="H106" s="14">
        <v>5</v>
      </c>
      <c r="I106" s="14">
        <v>0</v>
      </c>
      <c r="J106" s="14">
        <v>0</v>
      </c>
      <c r="K106" s="14">
        <v>0</v>
      </c>
      <c r="L106" s="14">
        <v>0</v>
      </c>
      <c r="M106" s="14">
        <v>0</v>
      </c>
      <c r="N106" s="14">
        <v>0</v>
      </c>
      <c r="O106" s="14">
        <v>0</v>
      </c>
      <c r="P106" s="14">
        <v>0</v>
      </c>
      <c r="Q106" s="14">
        <v>1</v>
      </c>
      <c r="R106" s="15">
        <f>$G$106*$G$8+$H$106*$H$8+$I$106*$I$8+$J$106*$J$8+$K$106*$K$8+$L$106*$L$8+$M$106*$M$8+$N$106*$N$8+$O$106*$O$8+$P$106*$P$8+$Q$106*$Q$8</f>
        <v>12</v>
      </c>
      <c r="S106" s="15">
        <v>0</v>
      </c>
      <c r="T106" s="15">
        <f>$R$106+$S$106</f>
        <v>12</v>
      </c>
    </row>
    <row r="107" spans="1:20" x14ac:dyDescent="0.3">
      <c r="A107" s="10" t="s">
        <v>397</v>
      </c>
      <c r="B107" s="11" t="s">
        <v>398</v>
      </c>
      <c r="C107" s="11" t="s">
        <v>243</v>
      </c>
      <c r="D107" s="11" t="s">
        <v>399</v>
      </c>
      <c r="E107" s="11">
        <f xml:space="preserve"> IF($T$107,1,0)</f>
        <v>1</v>
      </c>
      <c r="F107" s="11" t="s">
        <v>400</v>
      </c>
      <c r="G107" s="11">
        <v>3</v>
      </c>
      <c r="H107" s="11">
        <v>0</v>
      </c>
      <c r="I107" s="11">
        <v>0</v>
      </c>
      <c r="J107" s="11">
        <v>0</v>
      </c>
      <c r="K107" s="11">
        <v>0</v>
      </c>
      <c r="L107" s="11">
        <v>0</v>
      </c>
      <c r="M107" s="11">
        <v>0</v>
      </c>
      <c r="N107" s="11">
        <v>0</v>
      </c>
      <c r="O107" s="11">
        <v>0</v>
      </c>
      <c r="P107" s="11">
        <v>0</v>
      </c>
      <c r="Q107" s="11">
        <v>0</v>
      </c>
      <c r="R107" s="12">
        <f>$G$107*$G$8+$H$107*$H$8+$I$107*$I$8+$J$107*$J$8+$K$107*$K$8+$L$107*$L$8+$M$107*$M$8+$N$107*$N$8+$O$107*$O$8+$P$107*$P$8+$Q$107*$Q$8</f>
        <v>3.3000000000000003</v>
      </c>
      <c r="S107" s="12">
        <v>0</v>
      </c>
      <c r="T107" s="12">
        <f>$R$107+$S$107</f>
        <v>3.3000000000000003</v>
      </c>
    </row>
    <row r="108" spans="1:20" x14ac:dyDescent="0.3">
      <c r="A108" s="13" t="s">
        <v>401</v>
      </c>
      <c r="B108" s="14" t="s">
        <v>402</v>
      </c>
      <c r="C108" s="14"/>
      <c r="D108" s="14" t="s">
        <v>403</v>
      </c>
      <c r="E108" s="14">
        <f xml:space="preserve"> IF($T$108,1,0)</f>
        <v>1</v>
      </c>
      <c r="F108" s="14" t="s">
        <v>404</v>
      </c>
      <c r="G108" s="14">
        <v>6</v>
      </c>
      <c r="H108" s="14">
        <v>1</v>
      </c>
      <c r="I108" s="14">
        <v>0</v>
      </c>
      <c r="J108" s="14">
        <v>0</v>
      </c>
      <c r="K108" s="14">
        <v>0</v>
      </c>
      <c r="L108" s="14">
        <v>0</v>
      </c>
      <c r="M108" s="14">
        <v>0</v>
      </c>
      <c r="N108" s="14">
        <v>0</v>
      </c>
      <c r="O108" s="14">
        <v>0</v>
      </c>
      <c r="P108" s="14">
        <v>0</v>
      </c>
      <c r="Q108" s="14">
        <v>1</v>
      </c>
      <c r="R108" s="15">
        <f>$G$108*$G$8+$H$108*$H$8+$I$108*$I$8+$J$108*$J$8+$K$108*$K$8+$L$108*$L$8+$M$108*$M$8+$N$108*$N$8+$O$108*$O$8+$P$108*$P$8+$Q$108*$Q$8</f>
        <v>9.8000000000000007</v>
      </c>
      <c r="S108" s="15">
        <v>0</v>
      </c>
      <c r="T108" s="15">
        <f>$R$108+$S$108</f>
        <v>9.8000000000000007</v>
      </c>
    </row>
    <row r="109" spans="1:20" x14ac:dyDescent="0.3">
      <c r="A109" s="10" t="s">
        <v>405</v>
      </c>
      <c r="B109" s="11" t="s">
        <v>406</v>
      </c>
      <c r="C109" s="11"/>
      <c r="D109" s="11" t="s">
        <v>407</v>
      </c>
      <c r="E109" s="11">
        <f xml:space="preserve"> IF($T$109,1,0)</f>
        <v>1</v>
      </c>
      <c r="F109" s="11" t="s">
        <v>408</v>
      </c>
      <c r="G109" s="11">
        <v>2</v>
      </c>
      <c r="H109" s="11">
        <v>0</v>
      </c>
      <c r="I109" s="11">
        <v>0</v>
      </c>
      <c r="J109" s="11">
        <v>0</v>
      </c>
      <c r="K109" s="11">
        <v>0</v>
      </c>
      <c r="L109" s="11">
        <v>0</v>
      </c>
      <c r="M109" s="11">
        <v>0</v>
      </c>
      <c r="N109" s="11">
        <v>0</v>
      </c>
      <c r="O109" s="11">
        <v>0</v>
      </c>
      <c r="P109" s="11">
        <v>0</v>
      </c>
      <c r="Q109" s="11">
        <v>0</v>
      </c>
      <c r="R109" s="12">
        <f>$G$109*$G$8+$H$109*$H$8+$I$109*$I$8+$J$109*$J$8+$K$109*$K$8+$L$109*$L$8+$M$109*$M$8+$N$109*$N$8+$O$109*$O$8+$P$109*$P$8+$Q$109*$Q$8</f>
        <v>2.2000000000000002</v>
      </c>
      <c r="S109" s="12">
        <v>0</v>
      </c>
      <c r="T109" s="12">
        <f>$R$109+$S$109</f>
        <v>2.2000000000000002</v>
      </c>
    </row>
    <row r="110" spans="1:20" x14ac:dyDescent="0.3">
      <c r="A110" s="13" t="s">
        <v>409</v>
      </c>
      <c r="B110" s="14" t="s">
        <v>410</v>
      </c>
      <c r="C110" s="14"/>
      <c r="D110" s="14" t="s">
        <v>411</v>
      </c>
      <c r="E110" s="14">
        <f xml:space="preserve"> IF($T$110,1,0)</f>
        <v>0</v>
      </c>
      <c r="F110" s="14" t="s">
        <v>412</v>
      </c>
      <c r="G110" s="14">
        <v>0</v>
      </c>
      <c r="H110" s="14">
        <v>0</v>
      </c>
      <c r="I110" s="14">
        <v>0</v>
      </c>
      <c r="J110" s="14">
        <v>0</v>
      </c>
      <c r="K110" s="14">
        <v>0</v>
      </c>
      <c r="L110" s="14">
        <v>0</v>
      </c>
      <c r="M110" s="14">
        <v>0</v>
      </c>
      <c r="N110" s="14">
        <v>0</v>
      </c>
      <c r="O110" s="14">
        <v>0</v>
      </c>
      <c r="P110" s="14">
        <v>0</v>
      </c>
      <c r="Q110" s="14">
        <v>0</v>
      </c>
      <c r="R110" s="15">
        <f>$G$110*$G$8+$H$110*$H$8+$I$110*$I$8+$J$110*$J$8+$K$110*$K$8+$L$110*$L$8+$M$110*$M$8+$N$110*$N$8+$O$110*$O$8+$P$110*$P$8+$Q$110*$Q$8</f>
        <v>0</v>
      </c>
      <c r="S110" s="15">
        <v>0</v>
      </c>
      <c r="T110" s="15">
        <f>$R$110+$S$110</f>
        <v>0</v>
      </c>
    </row>
    <row r="111" spans="1:20" x14ac:dyDescent="0.3">
      <c r="A111" s="10" t="s">
        <v>413</v>
      </c>
      <c r="B111" s="11" t="s">
        <v>414</v>
      </c>
      <c r="C111" s="11"/>
      <c r="D111" s="11" t="s">
        <v>415</v>
      </c>
      <c r="E111" s="11">
        <f xml:space="preserve"> IF($T$111,1,0)</f>
        <v>0</v>
      </c>
      <c r="F111" s="11" t="s">
        <v>416</v>
      </c>
      <c r="G111" s="11">
        <v>0</v>
      </c>
      <c r="H111" s="11">
        <v>0</v>
      </c>
      <c r="I111" s="11">
        <v>0</v>
      </c>
      <c r="J111" s="11">
        <v>0</v>
      </c>
      <c r="K111" s="11">
        <v>0</v>
      </c>
      <c r="L111" s="11">
        <v>0</v>
      </c>
      <c r="M111" s="11">
        <v>0</v>
      </c>
      <c r="N111" s="11">
        <v>0</v>
      </c>
      <c r="O111" s="11">
        <v>0</v>
      </c>
      <c r="P111" s="11">
        <v>0</v>
      </c>
      <c r="Q111" s="11">
        <v>0</v>
      </c>
      <c r="R111" s="12">
        <f>$G$111*$G$8+$H$111*$H$8+$I$111*$I$8+$J$111*$J$8+$K$111*$K$8+$L$111*$L$8+$M$111*$M$8+$N$111*$N$8+$O$111*$O$8+$P$111*$P$8+$Q$111*$Q$8</f>
        <v>0</v>
      </c>
      <c r="S111" s="12">
        <v>0</v>
      </c>
      <c r="T111" s="12">
        <f>$R$111+$S$111</f>
        <v>0</v>
      </c>
    </row>
    <row r="112" spans="1:20" x14ac:dyDescent="0.3">
      <c r="A112" s="13" t="s">
        <v>417</v>
      </c>
      <c r="B112" s="14" t="s">
        <v>418</v>
      </c>
      <c r="C112" s="14"/>
      <c r="D112" s="14" t="s">
        <v>419</v>
      </c>
      <c r="E112" s="14">
        <f xml:space="preserve"> IF($T$112,1,0)</f>
        <v>0</v>
      </c>
      <c r="F112" s="14" t="s">
        <v>420</v>
      </c>
      <c r="G112" s="14">
        <v>0</v>
      </c>
      <c r="H112" s="14">
        <v>0</v>
      </c>
      <c r="I112" s="14">
        <v>0</v>
      </c>
      <c r="J112" s="14">
        <v>0</v>
      </c>
      <c r="K112" s="14">
        <v>0</v>
      </c>
      <c r="L112" s="14">
        <v>0</v>
      </c>
      <c r="M112" s="14">
        <v>0</v>
      </c>
      <c r="N112" s="14">
        <v>0</v>
      </c>
      <c r="O112" s="14">
        <v>0</v>
      </c>
      <c r="P112" s="14">
        <v>0</v>
      </c>
      <c r="Q112" s="14">
        <v>0</v>
      </c>
      <c r="R112" s="15">
        <f>$G$112*$G$8+$H$112*$H$8+$I$112*$I$8+$J$112*$J$8+$K$112*$K$8+$L$112*$L$8+$M$112*$M$8+$N$112*$N$8+$O$112*$O$8+$P$112*$P$8+$Q$112*$Q$8</f>
        <v>0</v>
      </c>
      <c r="S112" s="15">
        <v>0</v>
      </c>
      <c r="T112" s="15">
        <f>$R$112+$S$112</f>
        <v>0</v>
      </c>
    </row>
    <row r="113" spans="1:20" x14ac:dyDescent="0.3">
      <c r="A113" s="10" t="s">
        <v>421</v>
      </c>
      <c r="B113" s="11" t="s">
        <v>422</v>
      </c>
      <c r="C113" s="11"/>
      <c r="D113" s="11" t="s">
        <v>423</v>
      </c>
      <c r="E113" s="11">
        <f xml:space="preserve"> IF($T$113,1,0)</f>
        <v>0</v>
      </c>
      <c r="F113" s="11" t="s">
        <v>424</v>
      </c>
      <c r="G113" s="11">
        <v>0</v>
      </c>
      <c r="H113" s="11">
        <v>0</v>
      </c>
      <c r="I113" s="11">
        <v>0</v>
      </c>
      <c r="J113" s="11">
        <v>0</v>
      </c>
      <c r="K113" s="11">
        <v>0</v>
      </c>
      <c r="L113" s="11">
        <v>0</v>
      </c>
      <c r="M113" s="11">
        <v>0</v>
      </c>
      <c r="N113" s="11">
        <v>0</v>
      </c>
      <c r="O113" s="11">
        <v>0</v>
      </c>
      <c r="P113" s="11">
        <v>0</v>
      </c>
      <c r="Q113" s="11">
        <v>0</v>
      </c>
      <c r="R113" s="12">
        <f>$G$113*$G$8+$H$113*$H$8+$I$113*$I$8+$J$113*$J$8+$K$113*$K$8+$L$113*$L$8+$M$113*$M$8+$N$113*$N$8+$O$113*$O$8+$P$113*$P$8+$Q$113*$Q$8</f>
        <v>0</v>
      </c>
      <c r="S113" s="12">
        <v>0</v>
      </c>
      <c r="T113" s="12">
        <f>$R$113+$S$113</f>
        <v>0</v>
      </c>
    </row>
    <row r="114" spans="1:20" x14ac:dyDescent="0.3">
      <c r="A114" s="13" t="s">
        <v>425</v>
      </c>
      <c r="B114" s="14" t="s">
        <v>426</v>
      </c>
      <c r="C114" s="14" t="s">
        <v>34</v>
      </c>
      <c r="D114" s="14" t="s">
        <v>427</v>
      </c>
      <c r="E114" s="14">
        <f xml:space="preserve"> IF($T$114,1,0)</f>
        <v>0</v>
      </c>
      <c r="F114" s="14" t="s">
        <v>428</v>
      </c>
      <c r="G114" s="14">
        <v>0</v>
      </c>
      <c r="H114" s="14">
        <v>0</v>
      </c>
      <c r="I114" s="14">
        <v>0</v>
      </c>
      <c r="J114" s="14">
        <v>0</v>
      </c>
      <c r="K114" s="14">
        <v>0</v>
      </c>
      <c r="L114" s="14">
        <v>0</v>
      </c>
      <c r="M114" s="14">
        <v>0</v>
      </c>
      <c r="N114" s="14">
        <v>0</v>
      </c>
      <c r="O114" s="14">
        <v>0</v>
      </c>
      <c r="P114" s="14">
        <v>0</v>
      </c>
      <c r="Q114" s="14">
        <v>0</v>
      </c>
      <c r="R114" s="15">
        <f>$G$114*$G$8+$H$114*$H$8+$I$114*$I$8+$J$114*$J$8+$K$114*$K$8+$L$114*$L$8+$M$114*$M$8+$N$114*$N$8+$O$114*$O$8+$P$114*$P$8+$Q$114*$Q$8</f>
        <v>0</v>
      </c>
      <c r="S114" s="15">
        <v>0</v>
      </c>
      <c r="T114" s="15">
        <f>$R$114+$S$114</f>
        <v>0</v>
      </c>
    </row>
    <row r="115" spans="1:20" x14ac:dyDescent="0.3">
      <c r="A115" s="10" t="s">
        <v>429</v>
      </c>
      <c r="B115" s="11" t="s">
        <v>430</v>
      </c>
      <c r="C115" s="11"/>
      <c r="D115" s="11" t="s">
        <v>431</v>
      </c>
      <c r="E115" s="11">
        <f xml:space="preserve"> IF($T$115,1,0)</f>
        <v>0</v>
      </c>
      <c r="F115" s="11" t="s">
        <v>432</v>
      </c>
      <c r="G115" s="11">
        <v>0</v>
      </c>
      <c r="H115" s="11">
        <v>0</v>
      </c>
      <c r="I115" s="11">
        <v>0</v>
      </c>
      <c r="J115" s="11">
        <v>0</v>
      </c>
      <c r="K115" s="11">
        <v>0</v>
      </c>
      <c r="L115" s="11">
        <v>0</v>
      </c>
      <c r="M115" s="11">
        <v>0</v>
      </c>
      <c r="N115" s="11">
        <v>0</v>
      </c>
      <c r="O115" s="11">
        <v>0</v>
      </c>
      <c r="P115" s="11">
        <v>0</v>
      </c>
      <c r="Q115" s="11">
        <v>0</v>
      </c>
      <c r="R115" s="12">
        <f>$G$115*$G$8+$H$115*$H$8+$I$115*$I$8+$J$115*$J$8+$K$115*$K$8+$L$115*$L$8+$M$115*$M$8+$N$115*$N$8+$O$115*$O$8+$P$115*$P$8+$Q$115*$Q$8</f>
        <v>0</v>
      </c>
      <c r="S115" s="12">
        <v>0</v>
      </c>
      <c r="T115" s="12">
        <f>$R$115+$S$115</f>
        <v>0</v>
      </c>
    </row>
    <row r="116" spans="1:20" x14ac:dyDescent="0.3">
      <c r="A116" s="13" t="s">
        <v>433</v>
      </c>
      <c r="B116" s="14" t="s">
        <v>434</v>
      </c>
      <c r="C116" s="14" t="s">
        <v>202</v>
      </c>
      <c r="D116" s="14" t="s">
        <v>435</v>
      </c>
      <c r="E116" s="14">
        <f xml:space="preserve"> IF($T$116,1,0)</f>
        <v>0</v>
      </c>
      <c r="F116" s="14" t="s">
        <v>436</v>
      </c>
      <c r="G116" s="14">
        <v>0</v>
      </c>
      <c r="H116" s="14">
        <v>0</v>
      </c>
      <c r="I116" s="14">
        <v>0</v>
      </c>
      <c r="J116" s="14">
        <v>0</v>
      </c>
      <c r="K116" s="14">
        <v>0</v>
      </c>
      <c r="L116" s="14">
        <v>0</v>
      </c>
      <c r="M116" s="14">
        <v>0</v>
      </c>
      <c r="N116" s="14">
        <v>0</v>
      </c>
      <c r="O116" s="14">
        <v>0</v>
      </c>
      <c r="P116" s="14">
        <v>0</v>
      </c>
      <c r="Q116" s="14">
        <v>0</v>
      </c>
      <c r="R116" s="15">
        <f>$G$116*$G$8+$H$116*$H$8+$I$116*$I$8+$J$116*$J$8+$K$116*$K$8+$L$116*$L$8+$M$116*$M$8+$N$116*$N$8+$O$116*$O$8+$P$116*$P$8+$Q$116*$Q$8</f>
        <v>0</v>
      </c>
      <c r="S116" s="15">
        <v>0</v>
      </c>
      <c r="T116" s="15">
        <f>$R$116+$S$116</f>
        <v>0</v>
      </c>
    </row>
    <row r="117" spans="1:20" x14ac:dyDescent="0.3">
      <c r="A117" s="10" t="s">
        <v>437</v>
      </c>
      <c r="B117" s="11" t="s">
        <v>434</v>
      </c>
      <c r="C117" s="11"/>
      <c r="D117" s="11" t="s">
        <v>438</v>
      </c>
      <c r="E117" s="11">
        <f xml:space="preserve"> IF($T$117,1,0)</f>
        <v>0</v>
      </c>
      <c r="F117" s="11" t="s">
        <v>439</v>
      </c>
      <c r="G117" s="11">
        <v>0</v>
      </c>
      <c r="H117" s="11">
        <v>0</v>
      </c>
      <c r="I117" s="11">
        <v>0</v>
      </c>
      <c r="J117" s="11">
        <v>0</v>
      </c>
      <c r="K117" s="11">
        <v>0</v>
      </c>
      <c r="L117" s="11">
        <v>0</v>
      </c>
      <c r="M117" s="11">
        <v>0</v>
      </c>
      <c r="N117" s="11">
        <v>0</v>
      </c>
      <c r="O117" s="11">
        <v>0</v>
      </c>
      <c r="P117" s="11">
        <v>0</v>
      </c>
      <c r="Q117" s="11">
        <v>0</v>
      </c>
      <c r="R117" s="12">
        <f>$G$117*$G$8+$H$117*$H$8+$I$117*$I$8+$J$117*$J$8+$K$117*$K$8+$L$117*$L$8+$M$117*$M$8+$N$117*$N$8+$O$117*$O$8+$P$117*$P$8+$Q$117*$Q$8</f>
        <v>0</v>
      </c>
      <c r="S117" s="12">
        <v>0</v>
      </c>
      <c r="T117" s="12">
        <f>$R$117+$S$117</f>
        <v>0</v>
      </c>
    </row>
    <row r="118" spans="1:20" x14ac:dyDescent="0.3">
      <c r="A118" s="13" t="s">
        <v>440</v>
      </c>
      <c r="B118" s="14" t="s">
        <v>441</v>
      </c>
      <c r="C118" s="14" t="s">
        <v>202</v>
      </c>
      <c r="D118" s="14" t="s">
        <v>442</v>
      </c>
      <c r="E118" s="14">
        <f xml:space="preserve"> IF($T$118,1,0)</f>
        <v>0</v>
      </c>
      <c r="F118" s="14" t="s">
        <v>443</v>
      </c>
      <c r="G118" s="14">
        <v>0</v>
      </c>
      <c r="H118" s="14">
        <v>0</v>
      </c>
      <c r="I118" s="14">
        <v>0</v>
      </c>
      <c r="J118" s="14">
        <v>0</v>
      </c>
      <c r="K118" s="14">
        <v>0</v>
      </c>
      <c r="L118" s="14">
        <v>0</v>
      </c>
      <c r="M118" s="14">
        <v>0</v>
      </c>
      <c r="N118" s="14">
        <v>0</v>
      </c>
      <c r="O118" s="14">
        <v>0</v>
      </c>
      <c r="P118" s="14">
        <v>0</v>
      </c>
      <c r="Q118" s="14">
        <v>0</v>
      </c>
      <c r="R118" s="15">
        <f>$G$118*$G$8+$H$118*$H$8+$I$118*$I$8+$J$118*$J$8+$K$118*$K$8+$L$118*$L$8+$M$118*$M$8+$N$118*$N$8+$O$118*$O$8+$P$118*$P$8+$Q$118*$Q$8</f>
        <v>0</v>
      </c>
      <c r="S118" s="15">
        <v>0</v>
      </c>
      <c r="T118" s="15">
        <f>$R$118+$S$118</f>
        <v>0</v>
      </c>
    </row>
    <row r="119" spans="1:20" x14ac:dyDescent="0.3">
      <c r="A119" s="10" t="s">
        <v>444</v>
      </c>
      <c r="B119" s="11" t="s">
        <v>445</v>
      </c>
      <c r="C119" s="11"/>
      <c r="D119" s="11" t="s">
        <v>446</v>
      </c>
      <c r="E119" s="11">
        <f xml:space="preserve"> IF($T$119,1,0)</f>
        <v>0</v>
      </c>
      <c r="F119" s="11" t="s">
        <v>447</v>
      </c>
      <c r="G119" s="11">
        <v>0</v>
      </c>
      <c r="H119" s="11">
        <v>0</v>
      </c>
      <c r="I119" s="11">
        <v>0</v>
      </c>
      <c r="J119" s="11">
        <v>0</v>
      </c>
      <c r="K119" s="11">
        <v>0</v>
      </c>
      <c r="L119" s="11">
        <v>0</v>
      </c>
      <c r="M119" s="11">
        <v>0</v>
      </c>
      <c r="N119" s="11">
        <v>0</v>
      </c>
      <c r="O119" s="11">
        <v>0</v>
      </c>
      <c r="P119" s="11">
        <v>0</v>
      </c>
      <c r="Q119" s="11">
        <v>0</v>
      </c>
      <c r="R119" s="12">
        <f>$G$119*$G$8+$H$119*$H$8+$I$119*$I$8+$J$119*$J$8+$K$119*$K$8+$L$119*$L$8+$M$119*$M$8+$N$119*$N$8+$O$119*$O$8+$P$119*$P$8+$Q$119*$Q$8</f>
        <v>0</v>
      </c>
      <c r="S119" s="12">
        <v>0</v>
      </c>
      <c r="T119" s="12">
        <f>$R$119+$S$119</f>
        <v>0</v>
      </c>
    </row>
    <row r="120" spans="1:20" x14ac:dyDescent="0.3">
      <c r="A120" s="13" t="s">
        <v>448</v>
      </c>
      <c r="B120" s="14" t="s">
        <v>449</v>
      </c>
      <c r="C120" s="14"/>
      <c r="D120" s="14" t="s">
        <v>450</v>
      </c>
      <c r="E120" s="14">
        <f xml:space="preserve"> IF($T$120,1,0)</f>
        <v>0</v>
      </c>
      <c r="F120" s="14" t="s">
        <v>451</v>
      </c>
      <c r="G120" s="14">
        <v>0</v>
      </c>
      <c r="H120" s="14">
        <v>0</v>
      </c>
      <c r="I120" s="14">
        <v>0</v>
      </c>
      <c r="J120" s="14">
        <v>0</v>
      </c>
      <c r="K120" s="14">
        <v>0</v>
      </c>
      <c r="L120" s="14">
        <v>0</v>
      </c>
      <c r="M120" s="14">
        <v>0</v>
      </c>
      <c r="N120" s="14">
        <v>0</v>
      </c>
      <c r="O120" s="14">
        <v>0</v>
      </c>
      <c r="P120" s="14">
        <v>0</v>
      </c>
      <c r="Q120" s="14">
        <v>0</v>
      </c>
      <c r="R120" s="15">
        <f>$G$120*$G$8+$H$120*$H$8+$I$120*$I$8+$J$120*$J$8+$K$120*$K$8+$L$120*$L$8+$M$120*$M$8+$N$120*$N$8+$O$120*$O$8+$P$120*$P$8+$Q$120*$Q$8</f>
        <v>0</v>
      </c>
      <c r="S120" s="15">
        <v>0</v>
      </c>
      <c r="T120" s="15">
        <f>$R$120+$S$120</f>
        <v>0</v>
      </c>
    </row>
    <row r="121" spans="1:20" x14ac:dyDescent="0.3">
      <c r="A121" s="10" t="s">
        <v>452</v>
      </c>
      <c r="B121" s="11" t="s">
        <v>453</v>
      </c>
      <c r="C121" s="11"/>
      <c r="D121" s="11" t="s">
        <v>454</v>
      </c>
      <c r="E121" s="11">
        <f xml:space="preserve"> IF($T$121,1,0)</f>
        <v>1</v>
      </c>
      <c r="F121" s="11" t="s">
        <v>455</v>
      </c>
      <c r="G121" s="11">
        <v>4</v>
      </c>
      <c r="H121" s="11">
        <v>0</v>
      </c>
      <c r="I121" s="11">
        <v>1</v>
      </c>
      <c r="J121" s="11">
        <v>4</v>
      </c>
      <c r="K121" s="11">
        <v>0</v>
      </c>
      <c r="L121" s="11">
        <v>0</v>
      </c>
      <c r="M121" s="11">
        <v>0</v>
      </c>
      <c r="N121" s="11">
        <v>0</v>
      </c>
      <c r="O121" s="11">
        <v>0</v>
      </c>
      <c r="P121" s="11">
        <v>0</v>
      </c>
      <c r="Q121" s="11">
        <v>0</v>
      </c>
      <c r="R121" s="12">
        <f>$G$121*$G$8+$H$121*$H$8+$I$121*$I$8+$J$121*$J$8+$K$121*$K$8+$L$121*$L$8+$M$121*$M$8+$N$121*$N$8+$O$121*$O$8+$P$121*$P$8+$Q$121*$Q$8</f>
        <v>13.4</v>
      </c>
      <c r="S121" s="12">
        <v>0</v>
      </c>
      <c r="T121" s="12">
        <f>$R$121+$S$121</f>
        <v>13.4</v>
      </c>
    </row>
    <row r="122" spans="1:20" x14ac:dyDescent="0.3">
      <c r="A122" s="13" t="s">
        <v>456</v>
      </c>
      <c r="B122" s="14" t="s">
        <v>457</v>
      </c>
      <c r="C122" s="14"/>
      <c r="D122" s="14" t="s">
        <v>458</v>
      </c>
      <c r="E122" s="14">
        <f xml:space="preserve"> IF($T$122,1,0)</f>
        <v>0</v>
      </c>
      <c r="F122" s="14" t="s">
        <v>459</v>
      </c>
      <c r="G122" s="14">
        <v>0</v>
      </c>
      <c r="H122" s="14">
        <v>0</v>
      </c>
      <c r="I122" s="14">
        <v>0</v>
      </c>
      <c r="J122" s="14">
        <v>0</v>
      </c>
      <c r="K122" s="14">
        <v>0</v>
      </c>
      <c r="L122" s="14">
        <v>0</v>
      </c>
      <c r="M122" s="14">
        <v>0</v>
      </c>
      <c r="N122" s="14">
        <v>0</v>
      </c>
      <c r="O122" s="14">
        <v>0</v>
      </c>
      <c r="P122" s="14">
        <v>0</v>
      </c>
      <c r="Q122" s="14">
        <v>0</v>
      </c>
      <c r="R122" s="15">
        <f>$G$122*$G$8+$H$122*$H$8+$I$122*$I$8+$J$122*$J$8+$K$122*$K$8+$L$122*$L$8+$M$122*$M$8+$N$122*$N$8+$O$122*$O$8+$P$122*$P$8+$Q$122*$Q$8</f>
        <v>0</v>
      </c>
      <c r="S122" s="15">
        <v>0</v>
      </c>
      <c r="T122" s="15">
        <f>$R$122+$S$122</f>
        <v>0</v>
      </c>
    </row>
    <row r="123" spans="1:20" x14ac:dyDescent="0.3">
      <c r="A123" s="10" t="s">
        <v>460</v>
      </c>
      <c r="B123" s="11" t="s">
        <v>457</v>
      </c>
      <c r="C123" s="11"/>
      <c r="D123" s="11" t="s">
        <v>461</v>
      </c>
      <c r="E123" s="11">
        <f xml:space="preserve"> IF($T$123,1,0)</f>
        <v>0</v>
      </c>
      <c r="F123" s="11" t="s">
        <v>462</v>
      </c>
      <c r="G123" s="11">
        <v>0</v>
      </c>
      <c r="H123" s="11">
        <v>0</v>
      </c>
      <c r="I123" s="11">
        <v>0</v>
      </c>
      <c r="J123" s="11">
        <v>0</v>
      </c>
      <c r="K123" s="11">
        <v>0</v>
      </c>
      <c r="L123" s="11">
        <v>0</v>
      </c>
      <c r="M123" s="11">
        <v>0</v>
      </c>
      <c r="N123" s="11">
        <v>0</v>
      </c>
      <c r="O123" s="11">
        <v>0</v>
      </c>
      <c r="P123" s="11">
        <v>0</v>
      </c>
      <c r="Q123" s="11">
        <v>0</v>
      </c>
      <c r="R123" s="12">
        <f>$G$123*$G$8+$H$123*$H$8+$I$123*$I$8+$J$123*$J$8+$K$123*$K$8+$L$123*$L$8+$M$123*$M$8+$N$123*$N$8+$O$123*$O$8+$P$123*$P$8+$Q$123*$Q$8</f>
        <v>0</v>
      </c>
      <c r="S123" s="12">
        <v>0</v>
      </c>
      <c r="T123" s="12">
        <f>$R$123+$S$123</f>
        <v>0</v>
      </c>
    </row>
    <row r="124" spans="1:20" x14ac:dyDescent="0.3">
      <c r="A124" s="13" t="s">
        <v>463</v>
      </c>
      <c r="B124" s="14" t="s">
        <v>457</v>
      </c>
      <c r="C124" s="14" t="s">
        <v>34</v>
      </c>
      <c r="D124" s="14" t="s">
        <v>464</v>
      </c>
      <c r="E124" s="14">
        <f xml:space="preserve"> IF($T$124,1,0)</f>
        <v>1</v>
      </c>
      <c r="F124" s="14" t="s">
        <v>465</v>
      </c>
      <c r="G124" s="14">
        <v>0</v>
      </c>
      <c r="H124" s="14">
        <v>3</v>
      </c>
      <c r="I124" s="14">
        <v>0</v>
      </c>
      <c r="J124" s="14">
        <v>1</v>
      </c>
      <c r="K124" s="14">
        <v>0</v>
      </c>
      <c r="L124" s="14">
        <v>0</v>
      </c>
      <c r="M124" s="14">
        <v>0</v>
      </c>
      <c r="N124" s="14">
        <v>0</v>
      </c>
      <c r="O124" s="14">
        <v>0</v>
      </c>
      <c r="P124" s="14">
        <v>0</v>
      </c>
      <c r="Q124" s="14">
        <v>2</v>
      </c>
      <c r="R124" s="15">
        <f>$G$124*$G$8+$H$124*$H$8+$I$124*$I$8+$J$124*$J$8+$K$124*$K$8+$L$124*$L$8+$M$124*$M$8+$N$124*$N$8+$O$124*$O$8+$P$124*$P$8+$Q$124*$Q$8</f>
        <v>10.600000000000001</v>
      </c>
      <c r="S124" s="15">
        <v>0</v>
      </c>
      <c r="T124" s="15">
        <f>$R$124+$S$124</f>
        <v>10.600000000000001</v>
      </c>
    </row>
    <row r="125" spans="1:20" x14ac:dyDescent="0.3">
      <c r="A125" s="10" t="s">
        <v>466</v>
      </c>
      <c r="B125" s="11" t="s">
        <v>457</v>
      </c>
      <c r="C125" s="11"/>
      <c r="D125" s="11" t="s">
        <v>467</v>
      </c>
      <c r="E125" s="11">
        <f xml:space="preserve"> IF($T$125,1,0)</f>
        <v>1</v>
      </c>
      <c r="F125" s="11" t="s">
        <v>468</v>
      </c>
      <c r="G125" s="11">
        <v>3</v>
      </c>
      <c r="H125" s="11">
        <v>0</v>
      </c>
      <c r="I125" s="11">
        <v>1</v>
      </c>
      <c r="J125" s="11">
        <v>0</v>
      </c>
      <c r="K125" s="11">
        <v>0</v>
      </c>
      <c r="L125" s="11">
        <v>0</v>
      </c>
      <c r="M125" s="11">
        <v>0</v>
      </c>
      <c r="N125" s="11">
        <v>0</v>
      </c>
      <c r="O125" s="11">
        <v>0</v>
      </c>
      <c r="P125" s="11">
        <v>0</v>
      </c>
      <c r="Q125" s="11">
        <v>0</v>
      </c>
      <c r="R125" s="12">
        <f>$G$125*$G$8+$H$125*$H$8+$I$125*$I$8+$J$125*$J$8+$K$125*$K$8+$L$125*$L$8+$M$125*$M$8+$N$125*$N$8+$O$125*$O$8+$P$125*$P$8+$Q$125*$Q$8</f>
        <v>4.3000000000000007</v>
      </c>
      <c r="S125" s="12">
        <v>0</v>
      </c>
      <c r="T125" s="12">
        <f>$R$125+$S$125</f>
        <v>4.3000000000000007</v>
      </c>
    </row>
    <row r="126" spans="1:20" x14ac:dyDescent="0.3">
      <c r="A126" s="13" t="s">
        <v>473</v>
      </c>
      <c r="B126" s="14" t="s">
        <v>474</v>
      </c>
      <c r="C126" s="14"/>
      <c r="D126" s="14" t="s">
        <v>475</v>
      </c>
      <c r="E126" s="14">
        <f xml:space="preserve"> IF($T$126,1,0)</f>
        <v>0</v>
      </c>
      <c r="F126" s="14" t="s">
        <v>476</v>
      </c>
      <c r="G126" s="14">
        <v>0</v>
      </c>
      <c r="H126" s="14">
        <v>0</v>
      </c>
      <c r="I126" s="14">
        <v>0</v>
      </c>
      <c r="J126" s="14">
        <v>0</v>
      </c>
      <c r="K126" s="14">
        <v>0</v>
      </c>
      <c r="L126" s="14">
        <v>0</v>
      </c>
      <c r="M126" s="14">
        <v>0</v>
      </c>
      <c r="N126" s="14">
        <v>0</v>
      </c>
      <c r="O126" s="14">
        <v>0</v>
      </c>
      <c r="P126" s="14">
        <v>0</v>
      </c>
      <c r="Q126" s="14">
        <v>0</v>
      </c>
      <c r="R126" s="15">
        <f>$G$126*$G$8+$H$126*$H$8+$I$126*$I$8+$J$126*$J$8+$K$126*$K$8+$L$126*$L$8+$M$126*$M$8+$N$126*$N$8+$O$126*$O$8+$P$126*$P$8+$Q$126*$Q$8</f>
        <v>0</v>
      </c>
      <c r="S126" s="15">
        <v>0</v>
      </c>
      <c r="T126" s="15">
        <f>$R$126+$S$126</f>
        <v>0</v>
      </c>
    </row>
    <row r="127" spans="1:20" x14ac:dyDescent="0.3">
      <c r="A127" s="10" t="s">
        <v>477</v>
      </c>
      <c r="B127" s="11" t="s">
        <v>478</v>
      </c>
      <c r="C127" s="11"/>
      <c r="D127" s="11" t="s">
        <v>479</v>
      </c>
      <c r="E127" s="11">
        <f xml:space="preserve"> IF($T$127,1,0)</f>
        <v>0</v>
      </c>
      <c r="F127" s="11" t="s">
        <v>480</v>
      </c>
      <c r="G127" s="11">
        <v>0</v>
      </c>
      <c r="H127" s="11">
        <v>0</v>
      </c>
      <c r="I127" s="11">
        <v>0</v>
      </c>
      <c r="J127" s="11">
        <v>0</v>
      </c>
      <c r="K127" s="11">
        <v>0</v>
      </c>
      <c r="L127" s="11">
        <v>0</v>
      </c>
      <c r="M127" s="11">
        <v>0</v>
      </c>
      <c r="N127" s="11">
        <v>0</v>
      </c>
      <c r="O127" s="11">
        <v>0</v>
      </c>
      <c r="P127" s="11">
        <v>0</v>
      </c>
      <c r="Q127" s="11">
        <v>0</v>
      </c>
      <c r="R127" s="12">
        <f>$G$127*$G$8+$H$127*$H$8+$I$127*$I$8+$J$127*$J$8+$K$127*$K$8+$L$127*$L$8+$M$127*$M$8+$N$127*$N$8+$O$127*$O$8+$P$127*$P$8+$Q$127*$Q$8</f>
        <v>0</v>
      </c>
      <c r="S127" s="12">
        <v>0</v>
      </c>
      <c r="T127" s="12">
        <f>$R$127+$S$127</f>
        <v>0</v>
      </c>
    </row>
    <row r="128" spans="1:20" x14ac:dyDescent="0.3">
      <c r="A128" s="13" t="s">
        <v>481</v>
      </c>
      <c r="B128" s="14" t="s">
        <v>482</v>
      </c>
      <c r="C128" s="14"/>
      <c r="D128" s="14" t="s">
        <v>483</v>
      </c>
      <c r="E128" s="14">
        <f xml:space="preserve"> IF($T$128,1,0)</f>
        <v>0</v>
      </c>
      <c r="F128" s="14" t="s">
        <v>484</v>
      </c>
      <c r="G128" s="14">
        <v>0</v>
      </c>
      <c r="H128" s="14">
        <v>0</v>
      </c>
      <c r="I128" s="14">
        <v>0</v>
      </c>
      <c r="J128" s="14">
        <v>0</v>
      </c>
      <c r="K128" s="14">
        <v>0</v>
      </c>
      <c r="L128" s="14">
        <v>0</v>
      </c>
      <c r="M128" s="14">
        <v>0</v>
      </c>
      <c r="N128" s="14">
        <v>0</v>
      </c>
      <c r="O128" s="14">
        <v>0</v>
      </c>
      <c r="P128" s="14">
        <v>0</v>
      </c>
      <c r="Q128" s="14">
        <v>0</v>
      </c>
      <c r="R128" s="15">
        <f>$G$128*$G$8+$H$128*$H$8+$I$128*$I$8+$J$128*$J$8+$K$128*$K$8+$L$128*$L$8+$M$128*$M$8+$N$128*$N$8+$O$128*$O$8+$P$128*$P$8+$Q$128*$Q$8</f>
        <v>0</v>
      </c>
      <c r="S128" s="15">
        <v>0</v>
      </c>
      <c r="T128" s="15">
        <f>$R$128+$S$128</f>
        <v>0</v>
      </c>
    </row>
    <row r="129" spans="1:20" x14ac:dyDescent="0.3">
      <c r="A129" s="10" t="s">
        <v>485</v>
      </c>
      <c r="B129" s="11" t="s">
        <v>486</v>
      </c>
      <c r="C129" s="11"/>
      <c r="D129" s="11" t="s">
        <v>487</v>
      </c>
      <c r="E129" s="11">
        <f xml:space="preserve"> IF($T$129,1,0)</f>
        <v>0</v>
      </c>
      <c r="F129" s="11" t="s">
        <v>488</v>
      </c>
      <c r="G129" s="11">
        <v>0</v>
      </c>
      <c r="H129" s="11">
        <v>0</v>
      </c>
      <c r="I129" s="11">
        <v>0</v>
      </c>
      <c r="J129" s="11">
        <v>0</v>
      </c>
      <c r="K129" s="11">
        <v>0</v>
      </c>
      <c r="L129" s="11">
        <v>0</v>
      </c>
      <c r="M129" s="11">
        <v>0</v>
      </c>
      <c r="N129" s="11">
        <v>0</v>
      </c>
      <c r="O129" s="11">
        <v>0</v>
      </c>
      <c r="P129" s="11">
        <v>0</v>
      </c>
      <c r="Q129" s="11">
        <v>0</v>
      </c>
      <c r="R129" s="12">
        <f>$G$129*$G$8+$H$129*$H$8+$I$129*$I$8+$J$129*$J$8+$K$129*$K$8+$L$129*$L$8+$M$129*$M$8+$N$129*$N$8+$O$129*$O$8+$P$129*$P$8+$Q$129*$Q$8</f>
        <v>0</v>
      </c>
      <c r="S129" s="12">
        <v>0</v>
      </c>
      <c r="T129" s="12">
        <f>$R$129+$S$129</f>
        <v>0</v>
      </c>
    </row>
    <row r="130" spans="1:20" x14ac:dyDescent="0.3">
      <c r="A130" s="13" t="s">
        <v>489</v>
      </c>
      <c r="B130" s="14" t="s">
        <v>490</v>
      </c>
      <c r="C130" s="14"/>
      <c r="D130" s="14" t="s">
        <v>491</v>
      </c>
      <c r="E130" s="14">
        <f xml:space="preserve"> IF($T$130,1,0)</f>
        <v>0</v>
      </c>
      <c r="F130" s="14" t="s">
        <v>492</v>
      </c>
      <c r="G130" s="14">
        <v>0</v>
      </c>
      <c r="H130" s="14">
        <v>0</v>
      </c>
      <c r="I130" s="14">
        <v>0</v>
      </c>
      <c r="J130" s="14">
        <v>0</v>
      </c>
      <c r="K130" s="14">
        <v>0</v>
      </c>
      <c r="L130" s="14">
        <v>0</v>
      </c>
      <c r="M130" s="14">
        <v>0</v>
      </c>
      <c r="N130" s="14">
        <v>0</v>
      </c>
      <c r="O130" s="14">
        <v>0</v>
      </c>
      <c r="P130" s="14">
        <v>0</v>
      </c>
      <c r="Q130" s="14">
        <v>0</v>
      </c>
      <c r="R130" s="15">
        <f>$G$130*$G$8+$H$130*$H$8+$I$130*$I$8+$J$130*$J$8+$K$130*$K$8+$L$130*$L$8+$M$130*$M$8+$N$130*$N$8+$O$130*$O$8+$P$130*$P$8+$Q$130*$Q$8</f>
        <v>0</v>
      </c>
      <c r="S130" s="15">
        <v>0</v>
      </c>
      <c r="T130" s="15">
        <f>$R$130+$S$130</f>
        <v>0</v>
      </c>
    </row>
    <row r="131" spans="1:20" x14ac:dyDescent="0.3">
      <c r="A131" s="10" t="s">
        <v>493</v>
      </c>
      <c r="B131" s="11" t="s">
        <v>494</v>
      </c>
      <c r="C131" s="11" t="s">
        <v>34</v>
      </c>
      <c r="D131" s="11" t="s">
        <v>495</v>
      </c>
      <c r="E131" s="11">
        <f xml:space="preserve"> IF($T$131,1,0)</f>
        <v>0</v>
      </c>
      <c r="F131" s="11" t="s">
        <v>496</v>
      </c>
      <c r="G131" s="11">
        <v>0</v>
      </c>
      <c r="H131" s="11">
        <v>0</v>
      </c>
      <c r="I131" s="11">
        <v>0</v>
      </c>
      <c r="J131" s="11">
        <v>0</v>
      </c>
      <c r="K131" s="11">
        <v>0</v>
      </c>
      <c r="L131" s="11">
        <v>0</v>
      </c>
      <c r="M131" s="11">
        <v>0</v>
      </c>
      <c r="N131" s="11">
        <v>0</v>
      </c>
      <c r="O131" s="11">
        <v>0</v>
      </c>
      <c r="P131" s="11">
        <v>0</v>
      </c>
      <c r="Q131" s="11">
        <v>0</v>
      </c>
      <c r="R131" s="12">
        <f>$G$131*$G$8+$H$131*$H$8+$I$131*$I$8+$J$131*$J$8+$K$131*$K$8+$L$131*$L$8+$M$131*$M$8+$N$131*$N$8+$O$131*$O$8+$P$131*$P$8+$Q$131*$Q$8</f>
        <v>0</v>
      </c>
      <c r="S131" s="12">
        <v>0</v>
      </c>
      <c r="T131" s="12">
        <f>$R$131+$S$131</f>
        <v>0</v>
      </c>
    </row>
    <row r="132" spans="1:20" x14ac:dyDescent="0.3">
      <c r="A132" s="13" t="s">
        <v>497</v>
      </c>
      <c r="B132" s="14" t="s">
        <v>498</v>
      </c>
      <c r="C132" s="14"/>
      <c r="D132" s="14" t="s">
        <v>499</v>
      </c>
      <c r="E132" s="14">
        <f xml:space="preserve"> IF($T$132,1,0)</f>
        <v>0</v>
      </c>
      <c r="F132" s="14" t="s">
        <v>500</v>
      </c>
      <c r="G132" s="14">
        <v>0</v>
      </c>
      <c r="H132" s="14">
        <v>0</v>
      </c>
      <c r="I132" s="14">
        <v>0</v>
      </c>
      <c r="J132" s="14">
        <v>0</v>
      </c>
      <c r="K132" s="14">
        <v>0</v>
      </c>
      <c r="L132" s="14">
        <v>0</v>
      </c>
      <c r="M132" s="14">
        <v>0</v>
      </c>
      <c r="N132" s="14">
        <v>0</v>
      </c>
      <c r="O132" s="14">
        <v>0</v>
      </c>
      <c r="P132" s="14">
        <v>0</v>
      </c>
      <c r="Q132" s="14">
        <v>0</v>
      </c>
      <c r="R132" s="15">
        <f>$G$132*$G$8+$H$132*$H$8+$I$132*$I$8+$J$132*$J$8+$K$132*$K$8+$L$132*$L$8+$M$132*$M$8+$N$132*$N$8+$O$132*$O$8+$P$132*$P$8+$Q$132*$Q$8</f>
        <v>0</v>
      </c>
      <c r="S132" s="15">
        <v>0</v>
      </c>
      <c r="T132" s="15">
        <f>$R$132+$S$132</f>
        <v>0</v>
      </c>
    </row>
    <row r="133" spans="1:20" x14ac:dyDescent="0.3">
      <c r="A133" s="10" t="s">
        <v>501</v>
      </c>
      <c r="B133" s="11" t="s">
        <v>502</v>
      </c>
      <c r="C133" s="11" t="s">
        <v>34</v>
      </c>
      <c r="D133" s="11" t="s">
        <v>503</v>
      </c>
      <c r="E133" s="11">
        <f xml:space="preserve"> IF($T$133,1,0)</f>
        <v>1</v>
      </c>
      <c r="F133" s="11" t="s">
        <v>504</v>
      </c>
      <c r="G133" s="11">
        <v>1</v>
      </c>
      <c r="H133" s="11">
        <v>8</v>
      </c>
      <c r="I133" s="11">
        <v>0</v>
      </c>
      <c r="J133" s="11">
        <v>0</v>
      </c>
      <c r="K133" s="11">
        <v>0</v>
      </c>
      <c r="L133" s="11">
        <v>0</v>
      </c>
      <c r="M133" s="11">
        <v>0</v>
      </c>
      <c r="N133" s="11">
        <v>0</v>
      </c>
      <c r="O133" s="11">
        <v>0</v>
      </c>
      <c r="P133" s="11">
        <v>0</v>
      </c>
      <c r="Q133" s="11">
        <v>0</v>
      </c>
      <c r="R133" s="12">
        <f>$G$133*$G$8+$H$133*$H$8+$I$133*$I$8+$J$133*$J$8+$K$133*$K$8+$L$133*$L$8+$M$133*$M$8+$N$133*$N$8+$O$133*$O$8+$P$133*$P$8+$Q$133*$Q$8</f>
        <v>18.700000000000003</v>
      </c>
      <c r="S133" s="12">
        <v>0</v>
      </c>
      <c r="T133" s="12">
        <f>$R$133+$S$133</f>
        <v>18.700000000000003</v>
      </c>
    </row>
    <row r="134" spans="1:20" x14ac:dyDescent="0.3">
      <c r="A134" s="13" t="s">
        <v>505</v>
      </c>
      <c r="B134" s="14" t="s">
        <v>502</v>
      </c>
      <c r="C134" s="14"/>
      <c r="D134" s="14" t="s">
        <v>232</v>
      </c>
      <c r="E134" s="14">
        <f xml:space="preserve"> IF($T$134,1,0)</f>
        <v>1</v>
      </c>
      <c r="F134" s="14" t="s">
        <v>506</v>
      </c>
      <c r="G134" s="14">
        <v>2</v>
      </c>
      <c r="H134" s="14">
        <v>4</v>
      </c>
      <c r="I134" s="14">
        <v>0</v>
      </c>
      <c r="J134" s="14">
        <v>0</v>
      </c>
      <c r="K134" s="14">
        <v>0</v>
      </c>
      <c r="L134" s="14">
        <v>0</v>
      </c>
      <c r="M134" s="14">
        <v>0</v>
      </c>
      <c r="N134" s="14">
        <v>0</v>
      </c>
      <c r="O134" s="14">
        <v>0</v>
      </c>
      <c r="P134" s="14">
        <v>0</v>
      </c>
      <c r="Q134" s="14">
        <v>0</v>
      </c>
      <c r="R134" s="15">
        <f>$G$134*$G$8+$H$134*$H$8+$I$134*$I$8+$J$134*$J$8+$K$134*$K$8+$L$134*$L$8+$M$134*$M$8+$N$134*$N$8+$O$134*$O$8+$P$134*$P$8+$Q$134*$Q$8</f>
        <v>11</v>
      </c>
      <c r="S134" s="15">
        <v>0</v>
      </c>
      <c r="T134" s="15">
        <f>$R$134+$S$134</f>
        <v>11</v>
      </c>
    </row>
    <row r="135" spans="1:20" x14ac:dyDescent="0.3">
      <c r="A135" s="10" t="s">
        <v>507</v>
      </c>
      <c r="B135" s="11" t="s">
        <v>508</v>
      </c>
      <c r="C135" s="11" t="s">
        <v>65</v>
      </c>
      <c r="D135" s="11" t="s">
        <v>509</v>
      </c>
      <c r="E135" s="11">
        <f xml:space="preserve"> IF($T$135,1,0)</f>
        <v>0</v>
      </c>
      <c r="F135" s="11" t="s">
        <v>510</v>
      </c>
      <c r="G135" s="11">
        <v>0</v>
      </c>
      <c r="H135" s="11">
        <v>0</v>
      </c>
      <c r="I135" s="11">
        <v>0</v>
      </c>
      <c r="J135" s="11">
        <v>0</v>
      </c>
      <c r="K135" s="11">
        <v>0</v>
      </c>
      <c r="L135" s="11">
        <v>0</v>
      </c>
      <c r="M135" s="11">
        <v>0</v>
      </c>
      <c r="N135" s="11">
        <v>0</v>
      </c>
      <c r="O135" s="11">
        <v>0</v>
      </c>
      <c r="P135" s="11">
        <v>0</v>
      </c>
      <c r="Q135" s="11">
        <v>0</v>
      </c>
      <c r="R135" s="12">
        <f>$G$135*$G$8+$H$135*$H$8+$I$135*$I$8+$J$135*$J$8+$K$135*$K$8+$L$135*$L$8+$M$135*$M$8+$N$135*$N$8+$O$135*$O$8+$P$135*$P$8+$Q$135*$Q$8</f>
        <v>0</v>
      </c>
      <c r="S135" s="12">
        <v>0</v>
      </c>
      <c r="T135" s="12">
        <f>$R$135+$S$135</f>
        <v>0</v>
      </c>
    </row>
    <row r="136" spans="1:20" x14ac:dyDescent="0.3">
      <c r="A136" s="13" t="s">
        <v>511</v>
      </c>
      <c r="B136" s="14" t="s">
        <v>512</v>
      </c>
      <c r="C136" s="14" t="s">
        <v>513</v>
      </c>
      <c r="D136" s="14" t="s">
        <v>514</v>
      </c>
      <c r="E136" s="14">
        <f xml:space="preserve"> IF($T$136,1,0)</f>
        <v>1</v>
      </c>
      <c r="F136" s="14" t="s">
        <v>515</v>
      </c>
      <c r="G136" s="14">
        <v>6</v>
      </c>
      <c r="H136" s="14">
        <v>7</v>
      </c>
      <c r="I136" s="14">
        <v>1</v>
      </c>
      <c r="J136" s="14">
        <v>2</v>
      </c>
      <c r="K136" s="14">
        <v>0</v>
      </c>
      <c r="L136" s="14">
        <v>0</v>
      </c>
      <c r="M136" s="14">
        <v>0</v>
      </c>
      <c r="N136" s="14">
        <v>0</v>
      </c>
      <c r="O136" s="14">
        <v>0</v>
      </c>
      <c r="P136" s="14">
        <v>0</v>
      </c>
      <c r="Q136" s="14">
        <v>10</v>
      </c>
      <c r="R136" s="15">
        <f>$G$136*$G$8+$H$136*$H$8+$I$136*$I$8+$J$136*$J$8+$K$136*$K$8+$L$136*$L$8+$M$136*$M$8+$N$136*$N$8+$O$136*$O$8+$P$136*$P$8+$Q$136*$Q$8</f>
        <v>37</v>
      </c>
      <c r="S136" s="15">
        <v>0</v>
      </c>
      <c r="T136" s="15">
        <f>$R$136+$S$136</f>
        <v>37</v>
      </c>
    </row>
    <row r="137" spans="1:20" x14ac:dyDescent="0.3">
      <c r="A137" s="10" t="s">
        <v>516</v>
      </c>
      <c r="B137" s="11" t="s">
        <v>517</v>
      </c>
      <c r="C137" s="11" t="s">
        <v>65</v>
      </c>
      <c r="D137" s="11" t="s">
        <v>518</v>
      </c>
      <c r="E137" s="11">
        <f xml:space="preserve"> IF($T$137,1,0)</f>
        <v>0</v>
      </c>
      <c r="F137" s="11" t="s">
        <v>519</v>
      </c>
      <c r="G137" s="11">
        <v>0</v>
      </c>
      <c r="H137" s="11">
        <v>0</v>
      </c>
      <c r="I137" s="11">
        <v>0</v>
      </c>
      <c r="J137" s="11">
        <v>0</v>
      </c>
      <c r="K137" s="11">
        <v>0</v>
      </c>
      <c r="L137" s="11">
        <v>0</v>
      </c>
      <c r="M137" s="11">
        <v>0</v>
      </c>
      <c r="N137" s="11">
        <v>0</v>
      </c>
      <c r="O137" s="11">
        <v>0</v>
      </c>
      <c r="P137" s="11">
        <v>0</v>
      </c>
      <c r="Q137" s="11">
        <v>0</v>
      </c>
      <c r="R137" s="12">
        <f>$G$137*$G$8+$H$137*$H$8+$I$137*$I$8+$J$137*$J$8+$K$137*$K$8+$L$137*$L$8+$M$137*$M$8+$N$137*$N$8+$O$137*$O$8+$P$137*$P$8+$Q$137*$Q$8</f>
        <v>0</v>
      </c>
      <c r="S137" s="12">
        <v>0</v>
      </c>
      <c r="T137" s="12">
        <f>$R$137+$S$137</f>
        <v>0</v>
      </c>
    </row>
    <row r="138" spans="1:20" x14ac:dyDescent="0.3">
      <c r="A138" s="13" t="s">
        <v>520</v>
      </c>
      <c r="B138" s="14" t="s">
        <v>517</v>
      </c>
      <c r="C138" s="14"/>
      <c r="D138" s="14" t="s">
        <v>521</v>
      </c>
      <c r="E138" s="14">
        <f xml:space="preserve"> IF($T$138,1,0)</f>
        <v>1</v>
      </c>
      <c r="F138" s="14" t="s">
        <v>522</v>
      </c>
      <c r="G138" s="14">
        <v>1</v>
      </c>
      <c r="H138" s="14">
        <v>0</v>
      </c>
      <c r="I138" s="14">
        <v>2</v>
      </c>
      <c r="J138" s="14">
        <v>0</v>
      </c>
      <c r="K138" s="14">
        <v>0</v>
      </c>
      <c r="L138" s="14">
        <v>0</v>
      </c>
      <c r="M138" s="14">
        <v>0</v>
      </c>
      <c r="N138" s="14">
        <v>0</v>
      </c>
      <c r="O138" s="14">
        <v>0</v>
      </c>
      <c r="P138" s="14">
        <v>0</v>
      </c>
      <c r="Q138" s="14">
        <v>0</v>
      </c>
      <c r="R138" s="15">
        <f>$G$138*$G$8+$H$138*$H$8+$I$138*$I$8+$J$138*$J$8+$K$138*$K$8+$L$138*$L$8+$M$138*$M$8+$N$138*$N$8+$O$138*$O$8+$P$138*$P$8+$Q$138*$Q$8</f>
        <v>3.1</v>
      </c>
      <c r="S138" s="15">
        <v>0</v>
      </c>
      <c r="T138" s="15">
        <f>$R$138+$S$138</f>
        <v>3.1</v>
      </c>
    </row>
    <row r="139" spans="1:20" x14ac:dyDescent="0.3">
      <c r="A139" s="10" t="s">
        <v>523</v>
      </c>
      <c r="B139" s="11" t="s">
        <v>524</v>
      </c>
      <c r="C139" s="11" t="s">
        <v>65</v>
      </c>
      <c r="D139" s="11" t="s">
        <v>327</v>
      </c>
      <c r="E139" s="11">
        <f xml:space="preserve"> IF($T$139,1,0)</f>
        <v>0</v>
      </c>
      <c r="F139" s="11" t="s">
        <v>525</v>
      </c>
      <c r="G139" s="11">
        <v>0</v>
      </c>
      <c r="H139" s="11">
        <v>0</v>
      </c>
      <c r="I139" s="11">
        <v>0</v>
      </c>
      <c r="J139" s="11">
        <v>0</v>
      </c>
      <c r="K139" s="11">
        <v>0</v>
      </c>
      <c r="L139" s="11">
        <v>0</v>
      </c>
      <c r="M139" s="11">
        <v>0</v>
      </c>
      <c r="N139" s="11">
        <v>0</v>
      </c>
      <c r="O139" s="11">
        <v>0</v>
      </c>
      <c r="P139" s="11">
        <v>0</v>
      </c>
      <c r="Q139" s="11">
        <v>0</v>
      </c>
      <c r="R139" s="12">
        <f>$G$139*$G$8+$H$139*$H$8+$I$139*$I$8+$J$139*$J$8+$K$139*$K$8+$L$139*$L$8+$M$139*$M$8+$N$139*$N$8+$O$139*$O$8+$P$139*$P$8+$Q$139*$Q$8</f>
        <v>0</v>
      </c>
      <c r="S139" s="12">
        <v>0</v>
      </c>
      <c r="T139" s="12">
        <f>$R$139+$S$139</f>
        <v>0</v>
      </c>
    </row>
    <row r="140" spans="1:20" x14ac:dyDescent="0.3">
      <c r="A140" s="13" t="s">
        <v>526</v>
      </c>
      <c r="B140" s="14" t="s">
        <v>527</v>
      </c>
      <c r="C140" s="14"/>
      <c r="D140" s="14" t="s">
        <v>528</v>
      </c>
      <c r="E140" s="14">
        <f xml:space="preserve"> IF($T$140,1,0)</f>
        <v>0</v>
      </c>
      <c r="F140" s="14" t="s">
        <v>529</v>
      </c>
      <c r="G140" s="14">
        <v>0</v>
      </c>
      <c r="H140" s="14">
        <v>0</v>
      </c>
      <c r="I140" s="14">
        <v>0</v>
      </c>
      <c r="J140" s="14">
        <v>0</v>
      </c>
      <c r="K140" s="14">
        <v>0</v>
      </c>
      <c r="L140" s="14">
        <v>0</v>
      </c>
      <c r="M140" s="14">
        <v>0</v>
      </c>
      <c r="N140" s="14">
        <v>0</v>
      </c>
      <c r="O140" s="14">
        <v>0</v>
      </c>
      <c r="P140" s="14">
        <v>0</v>
      </c>
      <c r="Q140" s="14">
        <v>0</v>
      </c>
      <c r="R140" s="15">
        <f>$G$140*$G$8+$H$140*$H$8+$I$140*$I$8+$J$140*$J$8+$K$140*$K$8+$L$140*$L$8+$M$140*$M$8+$N$140*$N$8+$O$140*$O$8+$P$140*$P$8+$Q$140*$Q$8</f>
        <v>0</v>
      </c>
      <c r="S140" s="15">
        <v>0</v>
      </c>
      <c r="T140" s="15">
        <f>$R$140+$S$140</f>
        <v>0</v>
      </c>
    </row>
    <row r="141" spans="1:20" x14ac:dyDescent="0.3">
      <c r="A141" s="10" t="s">
        <v>530</v>
      </c>
      <c r="B141" s="11" t="s">
        <v>531</v>
      </c>
      <c r="C141" s="11"/>
      <c r="D141" s="11" t="s">
        <v>532</v>
      </c>
      <c r="E141" s="11">
        <f xml:space="preserve"> IF($T$141,1,0)</f>
        <v>0</v>
      </c>
      <c r="F141" s="11" t="s">
        <v>533</v>
      </c>
      <c r="G141" s="11">
        <v>0</v>
      </c>
      <c r="H141" s="11">
        <v>0</v>
      </c>
      <c r="I141" s="11">
        <v>0</v>
      </c>
      <c r="J141" s="11">
        <v>0</v>
      </c>
      <c r="K141" s="11">
        <v>0</v>
      </c>
      <c r="L141" s="11">
        <v>0</v>
      </c>
      <c r="M141" s="11">
        <v>0</v>
      </c>
      <c r="N141" s="11">
        <v>0</v>
      </c>
      <c r="O141" s="11">
        <v>0</v>
      </c>
      <c r="P141" s="11">
        <v>0</v>
      </c>
      <c r="Q141" s="11">
        <v>0</v>
      </c>
      <c r="R141" s="12">
        <f>$G$141*$G$8+$H$141*$H$8+$I$141*$I$8+$J$141*$J$8+$K$141*$K$8+$L$141*$L$8+$M$141*$M$8+$N$141*$N$8+$O$141*$O$8+$P$141*$P$8+$Q$141*$Q$8</f>
        <v>0</v>
      </c>
      <c r="S141" s="12">
        <v>0</v>
      </c>
      <c r="T141" s="12">
        <f>$R$141+$S$141</f>
        <v>0</v>
      </c>
    </row>
    <row r="142" spans="1:20" x14ac:dyDescent="0.3">
      <c r="A142" s="13" t="s">
        <v>534</v>
      </c>
      <c r="B142" s="14" t="s">
        <v>535</v>
      </c>
      <c r="C142" s="14"/>
      <c r="D142" s="14" t="s">
        <v>536</v>
      </c>
      <c r="E142" s="14">
        <f xml:space="preserve"> IF($T$142,1,0)</f>
        <v>0</v>
      </c>
      <c r="F142" s="14" t="s">
        <v>537</v>
      </c>
      <c r="G142" s="14">
        <v>0</v>
      </c>
      <c r="H142" s="14">
        <v>0</v>
      </c>
      <c r="I142" s="14">
        <v>0</v>
      </c>
      <c r="J142" s="14">
        <v>0</v>
      </c>
      <c r="K142" s="14">
        <v>0</v>
      </c>
      <c r="L142" s="14">
        <v>0</v>
      </c>
      <c r="M142" s="14">
        <v>0</v>
      </c>
      <c r="N142" s="14">
        <v>0</v>
      </c>
      <c r="O142" s="14">
        <v>0</v>
      </c>
      <c r="P142" s="14">
        <v>0</v>
      </c>
      <c r="Q142" s="14">
        <v>0</v>
      </c>
      <c r="R142" s="15">
        <f>$G$142*$G$8+$H$142*$H$8+$I$142*$I$8+$J$142*$J$8+$K$142*$K$8+$L$142*$L$8+$M$142*$M$8+$N$142*$N$8+$O$142*$O$8+$P$142*$P$8+$Q$142*$Q$8</f>
        <v>0</v>
      </c>
      <c r="S142" s="15">
        <v>0</v>
      </c>
      <c r="T142" s="15">
        <f>$R$142+$S$142</f>
        <v>0</v>
      </c>
    </row>
    <row r="143" spans="1:20" x14ac:dyDescent="0.3">
      <c r="A143" s="10" t="s">
        <v>538</v>
      </c>
      <c r="B143" s="11" t="s">
        <v>535</v>
      </c>
      <c r="C143" s="11"/>
      <c r="D143" s="11" t="s">
        <v>539</v>
      </c>
      <c r="E143" s="11">
        <f xml:space="preserve"> IF($T$143,1,0)</f>
        <v>1</v>
      </c>
      <c r="F143" s="11" t="s">
        <v>540</v>
      </c>
      <c r="G143" s="11">
        <v>0</v>
      </c>
      <c r="H143" s="11">
        <v>2</v>
      </c>
      <c r="I143" s="11">
        <v>0</v>
      </c>
      <c r="J143" s="11">
        <v>0</v>
      </c>
      <c r="K143" s="11">
        <v>0</v>
      </c>
      <c r="L143" s="11">
        <v>0</v>
      </c>
      <c r="M143" s="11">
        <v>0</v>
      </c>
      <c r="N143" s="11">
        <v>0</v>
      </c>
      <c r="O143" s="11">
        <v>0</v>
      </c>
      <c r="P143" s="11">
        <v>0</v>
      </c>
      <c r="Q143" s="11">
        <v>0</v>
      </c>
      <c r="R143" s="12">
        <f>$G$143*$G$8+$H$143*$H$8+$I$143*$I$8+$J$143*$J$8+$K$143*$K$8+$L$143*$L$8+$M$143*$M$8+$N$143*$N$8+$O$143*$O$8+$P$143*$P$8+$Q$143*$Q$8</f>
        <v>4.4000000000000004</v>
      </c>
      <c r="S143" s="12">
        <v>0</v>
      </c>
      <c r="T143" s="12">
        <f>$R$143+$S$143</f>
        <v>4.4000000000000004</v>
      </c>
    </row>
    <row r="144" spans="1:20" x14ac:dyDescent="0.3">
      <c r="A144" s="13" t="s">
        <v>541</v>
      </c>
      <c r="B144" s="14" t="s">
        <v>542</v>
      </c>
      <c r="C144" s="14"/>
      <c r="D144" s="14" t="s">
        <v>543</v>
      </c>
      <c r="E144" s="14">
        <f xml:space="preserve"> IF($T$144,1,0)</f>
        <v>0</v>
      </c>
      <c r="F144" s="14" t="s">
        <v>544</v>
      </c>
      <c r="G144" s="14">
        <v>0</v>
      </c>
      <c r="H144" s="14">
        <v>0</v>
      </c>
      <c r="I144" s="14">
        <v>0</v>
      </c>
      <c r="J144" s="14">
        <v>0</v>
      </c>
      <c r="K144" s="14">
        <v>0</v>
      </c>
      <c r="L144" s="14">
        <v>0</v>
      </c>
      <c r="M144" s="14">
        <v>0</v>
      </c>
      <c r="N144" s="14">
        <v>0</v>
      </c>
      <c r="O144" s="14">
        <v>0</v>
      </c>
      <c r="P144" s="14">
        <v>0</v>
      </c>
      <c r="Q144" s="14">
        <v>0</v>
      </c>
      <c r="R144" s="15">
        <f>$G$144*$G$8+$H$144*$H$8+$I$144*$I$8+$J$144*$J$8+$K$144*$K$8+$L$144*$L$8+$M$144*$M$8+$N$144*$N$8+$O$144*$O$8+$P$144*$P$8+$Q$144*$Q$8</f>
        <v>0</v>
      </c>
      <c r="S144" s="15">
        <v>0</v>
      </c>
      <c r="T144" s="15">
        <f>$R$144+$S$144</f>
        <v>0</v>
      </c>
    </row>
    <row r="145" spans="1:20" x14ac:dyDescent="0.3">
      <c r="A145" s="10" t="s">
        <v>545</v>
      </c>
      <c r="B145" s="11" t="s">
        <v>546</v>
      </c>
      <c r="C145" s="11"/>
      <c r="D145" s="11" t="s">
        <v>547</v>
      </c>
      <c r="E145" s="11">
        <f xml:space="preserve"> IF($T$145,1,0)</f>
        <v>0</v>
      </c>
      <c r="F145" s="11" t="s">
        <v>548</v>
      </c>
      <c r="G145" s="11">
        <v>0</v>
      </c>
      <c r="H145" s="11">
        <v>0</v>
      </c>
      <c r="I145" s="11">
        <v>0</v>
      </c>
      <c r="J145" s="11">
        <v>0</v>
      </c>
      <c r="K145" s="11">
        <v>0</v>
      </c>
      <c r="L145" s="11">
        <v>0</v>
      </c>
      <c r="M145" s="11">
        <v>0</v>
      </c>
      <c r="N145" s="11">
        <v>0</v>
      </c>
      <c r="O145" s="11">
        <v>0</v>
      </c>
      <c r="P145" s="11">
        <v>0</v>
      </c>
      <c r="Q145" s="11">
        <v>0</v>
      </c>
      <c r="R145" s="12">
        <f>$G$145*$G$8+$H$145*$H$8+$I$145*$I$8+$J$145*$J$8+$K$145*$K$8+$L$145*$L$8+$M$145*$M$8+$N$145*$N$8+$O$145*$O$8+$P$145*$P$8+$Q$145*$Q$8</f>
        <v>0</v>
      </c>
      <c r="S145" s="12">
        <v>0</v>
      </c>
      <c r="T145" s="12">
        <f>$R$145+$S$145</f>
        <v>0</v>
      </c>
    </row>
    <row r="146" spans="1:20" x14ac:dyDescent="0.3">
      <c r="A146" s="13" t="s">
        <v>549</v>
      </c>
      <c r="B146" s="14" t="s">
        <v>550</v>
      </c>
      <c r="C146" s="14" t="s">
        <v>34</v>
      </c>
      <c r="D146" s="14" t="s">
        <v>551</v>
      </c>
      <c r="E146" s="14">
        <f xml:space="preserve"> IF($T$146,1,0)</f>
        <v>1</v>
      </c>
      <c r="F146" s="14" t="s">
        <v>552</v>
      </c>
      <c r="G146" s="14">
        <v>0</v>
      </c>
      <c r="H146" s="14">
        <v>2</v>
      </c>
      <c r="I146" s="14">
        <v>0</v>
      </c>
      <c r="J146" s="14">
        <v>0</v>
      </c>
      <c r="K146" s="14">
        <v>0</v>
      </c>
      <c r="L146" s="14">
        <v>0</v>
      </c>
      <c r="M146" s="14">
        <v>0</v>
      </c>
      <c r="N146" s="14">
        <v>0</v>
      </c>
      <c r="O146" s="14">
        <v>0</v>
      </c>
      <c r="P146" s="14">
        <v>0</v>
      </c>
      <c r="Q146" s="14">
        <v>0</v>
      </c>
      <c r="R146" s="15">
        <f>$G$146*$G$8+$H$146*$H$8+$I$146*$I$8+$J$146*$J$8+$K$146*$K$8+$L$146*$L$8+$M$146*$M$8+$N$146*$N$8+$O$146*$O$8+$P$146*$P$8+$Q$146*$Q$8</f>
        <v>4.4000000000000004</v>
      </c>
      <c r="S146" s="15">
        <v>0</v>
      </c>
      <c r="T146" s="15">
        <f>$R$146+$S$146</f>
        <v>4.4000000000000004</v>
      </c>
    </row>
    <row r="147" spans="1:20" x14ac:dyDescent="0.3">
      <c r="A147" s="10" t="s">
        <v>553</v>
      </c>
      <c r="B147" s="11" t="s">
        <v>554</v>
      </c>
      <c r="C147" s="11"/>
      <c r="D147" s="11" t="s">
        <v>555</v>
      </c>
      <c r="E147" s="11">
        <f xml:space="preserve"> IF($T$147,1,0)</f>
        <v>0</v>
      </c>
      <c r="F147" s="11" t="s">
        <v>556</v>
      </c>
      <c r="G147" s="11">
        <v>0</v>
      </c>
      <c r="H147" s="11">
        <v>0</v>
      </c>
      <c r="I147" s="11">
        <v>0</v>
      </c>
      <c r="J147" s="11">
        <v>0</v>
      </c>
      <c r="K147" s="11">
        <v>0</v>
      </c>
      <c r="L147" s="11">
        <v>0</v>
      </c>
      <c r="M147" s="11">
        <v>0</v>
      </c>
      <c r="N147" s="11">
        <v>0</v>
      </c>
      <c r="O147" s="11">
        <v>0</v>
      </c>
      <c r="P147" s="11">
        <v>0</v>
      </c>
      <c r="Q147" s="11">
        <v>0</v>
      </c>
      <c r="R147" s="12">
        <f>$G$147*$G$8+$H$147*$H$8+$I$147*$I$8+$J$147*$J$8+$K$147*$K$8+$L$147*$L$8+$M$147*$M$8+$N$147*$N$8+$O$147*$O$8+$P$147*$P$8+$Q$147*$Q$8</f>
        <v>0</v>
      </c>
      <c r="S147" s="12">
        <v>0</v>
      </c>
      <c r="T147" s="12">
        <f>$R$147+$S$147</f>
        <v>0</v>
      </c>
    </row>
    <row r="148" spans="1:20" x14ac:dyDescent="0.3">
      <c r="A148" s="13" t="s">
        <v>557</v>
      </c>
      <c r="B148" s="14" t="s">
        <v>554</v>
      </c>
      <c r="C148" s="14"/>
      <c r="D148" s="14" t="s">
        <v>558</v>
      </c>
      <c r="E148" s="14">
        <f xml:space="preserve"> IF($T$148,1,0)</f>
        <v>0</v>
      </c>
      <c r="F148" s="14" t="s">
        <v>559</v>
      </c>
      <c r="G148" s="14">
        <v>0</v>
      </c>
      <c r="H148" s="14">
        <v>0</v>
      </c>
      <c r="I148" s="14">
        <v>0</v>
      </c>
      <c r="J148" s="14">
        <v>0</v>
      </c>
      <c r="K148" s="14">
        <v>0</v>
      </c>
      <c r="L148" s="14">
        <v>0</v>
      </c>
      <c r="M148" s="14">
        <v>0</v>
      </c>
      <c r="N148" s="14">
        <v>0</v>
      </c>
      <c r="O148" s="14">
        <v>0</v>
      </c>
      <c r="P148" s="14">
        <v>0</v>
      </c>
      <c r="Q148" s="14">
        <v>0</v>
      </c>
      <c r="R148" s="15">
        <f>$G$148*$G$8+$H$148*$H$8+$I$148*$I$8+$J$148*$J$8+$K$148*$K$8+$L$148*$L$8+$M$148*$M$8+$N$148*$N$8+$O$148*$O$8+$P$148*$P$8+$Q$148*$Q$8</f>
        <v>0</v>
      </c>
      <c r="S148" s="15">
        <v>0</v>
      </c>
      <c r="T148" s="15">
        <f>$R$148+$S$148</f>
        <v>0</v>
      </c>
    </row>
    <row r="149" spans="1:20" x14ac:dyDescent="0.3">
      <c r="A149" s="10" t="s">
        <v>560</v>
      </c>
      <c r="B149" s="11" t="s">
        <v>561</v>
      </c>
      <c r="C149" s="11"/>
      <c r="D149" s="11" t="s">
        <v>562</v>
      </c>
      <c r="E149" s="11">
        <f xml:space="preserve"> IF($T$149,1,0)</f>
        <v>0</v>
      </c>
      <c r="F149" s="11" t="s">
        <v>563</v>
      </c>
      <c r="G149" s="11">
        <v>0</v>
      </c>
      <c r="H149" s="11">
        <v>0</v>
      </c>
      <c r="I149" s="11">
        <v>0</v>
      </c>
      <c r="J149" s="11">
        <v>0</v>
      </c>
      <c r="K149" s="11">
        <v>0</v>
      </c>
      <c r="L149" s="11">
        <v>0</v>
      </c>
      <c r="M149" s="11">
        <v>0</v>
      </c>
      <c r="N149" s="11">
        <v>0</v>
      </c>
      <c r="O149" s="11">
        <v>0</v>
      </c>
      <c r="P149" s="11">
        <v>0</v>
      </c>
      <c r="Q149" s="11">
        <v>0</v>
      </c>
      <c r="R149" s="12">
        <f>$G$149*$G$8+$H$149*$H$8+$I$149*$I$8+$J$149*$J$8+$K$149*$K$8+$L$149*$L$8+$M$149*$M$8+$N$149*$N$8+$O$149*$O$8+$P$149*$P$8+$Q$149*$Q$8</f>
        <v>0</v>
      </c>
      <c r="S149" s="12">
        <v>0</v>
      </c>
      <c r="T149" s="12">
        <f>$R$149+$S$149</f>
        <v>0</v>
      </c>
    </row>
    <row r="150" spans="1:20" x14ac:dyDescent="0.3">
      <c r="A150" s="13" t="s">
        <v>564</v>
      </c>
      <c r="B150" s="14" t="s">
        <v>565</v>
      </c>
      <c r="C150" s="14"/>
      <c r="D150" s="14" t="s">
        <v>566</v>
      </c>
      <c r="E150" s="14">
        <f xml:space="preserve"> IF($T$150,1,0)</f>
        <v>1</v>
      </c>
      <c r="F150" s="14" t="s">
        <v>567</v>
      </c>
      <c r="G150" s="14">
        <v>0</v>
      </c>
      <c r="H150" s="14">
        <v>1</v>
      </c>
      <c r="I150" s="14">
        <v>0</v>
      </c>
      <c r="J150" s="14">
        <v>0</v>
      </c>
      <c r="K150" s="14">
        <v>0</v>
      </c>
      <c r="L150" s="14">
        <v>0</v>
      </c>
      <c r="M150" s="14">
        <v>0</v>
      </c>
      <c r="N150" s="14">
        <v>0</v>
      </c>
      <c r="O150" s="14">
        <v>0</v>
      </c>
      <c r="P150" s="14">
        <v>0</v>
      </c>
      <c r="Q150" s="14">
        <v>0</v>
      </c>
      <c r="R150" s="15">
        <f>$G$150*$G$8+$H$150*$H$8+$I$150*$I$8+$J$150*$J$8+$K$150*$K$8+$L$150*$L$8+$M$150*$M$8+$N$150*$N$8+$O$150*$O$8+$P$150*$P$8+$Q$150*$Q$8</f>
        <v>2.2000000000000002</v>
      </c>
      <c r="S150" s="15">
        <v>0</v>
      </c>
      <c r="T150" s="15">
        <f>$R$150+$S$150</f>
        <v>2.2000000000000002</v>
      </c>
    </row>
    <row r="151" spans="1:20" x14ac:dyDescent="0.3">
      <c r="A151" s="10" t="s">
        <v>568</v>
      </c>
      <c r="B151" s="11" t="s">
        <v>569</v>
      </c>
      <c r="C151" s="11"/>
      <c r="D151" s="11" t="s">
        <v>570</v>
      </c>
      <c r="E151" s="11">
        <f xml:space="preserve"> IF($T$151,1,0)</f>
        <v>1</v>
      </c>
      <c r="F151" s="11" t="s">
        <v>571</v>
      </c>
      <c r="G151" s="11">
        <v>4</v>
      </c>
      <c r="H151" s="11">
        <v>2</v>
      </c>
      <c r="I151" s="11">
        <v>0</v>
      </c>
      <c r="J151" s="11">
        <v>0</v>
      </c>
      <c r="K151" s="11">
        <v>0</v>
      </c>
      <c r="L151" s="11">
        <v>0</v>
      </c>
      <c r="M151" s="11">
        <v>0</v>
      </c>
      <c r="N151" s="11">
        <v>0</v>
      </c>
      <c r="O151" s="11">
        <v>0</v>
      </c>
      <c r="P151" s="11">
        <v>0</v>
      </c>
      <c r="Q151" s="11">
        <v>0</v>
      </c>
      <c r="R151" s="12">
        <f>$G$151*$G$8+$H$151*$H$8+$I$151*$I$8+$J$151*$J$8+$K$151*$K$8+$L$151*$L$8+$M$151*$M$8+$N$151*$N$8+$O$151*$O$8+$P$151*$P$8+$Q$151*$Q$8</f>
        <v>8.8000000000000007</v>
      </c>
      <c r="S151" s="12">
        <v>0</v>
      </c>
      <c r="T151" s="12">
        <f>$R$151+$S$151</f>
        <v>8.8000000000000007</v>
      </c>
    </row>
    <row r="152" spans="1:20" x14ac:dyDescent="0.3">
      <c r="A152" s="13" t="s">
        <v>572</v>
      </c>
      <c r="B152" s="14" t="s">
        <v>573</v>
      </c>
      <c r="C152" s="14" t="s">
        <v>34</v>
      </c>
      <c r="D152" s="14" t="s">
        <v>574</v>
      </c>
      <c r="E152" s="14">
        <f xml:space="preserve"> IF($T$152,1,0)</f>
        <v>0</v>
      </c>
      <c r="F152" s="14" t="s">
        <v>575</v>
      </c>
      <c r="G152" s="14">
        <v>0</v>
      </c>
      <c r="H152" s="14">
        <v>0</v>
      </c>
      <c r="I152" s="14">
        <v>0</v>
      </c>
      <c r="J152" s="14">
        <v>0</v>
      </c>
      <c r="K152" s="14">
        <v>0</v>
      </c>
      <c r="L152" s="14">
        <v>0</v>
      </c>
      <c r="M152" s="14">
        <v>0</v>
      </c>
      <c r="N152" s="14">
        <v>0</v>
      </c>
      <c r="O152" s="14">
        <v>0</v>
      </c>
      <c r="P152" s="14">
        <v>0</v>
      </c>
      <c r="Q152" s="14">
        <v>0</v>
      </c>
      <c r="R152" s="15">
        <f>$G$152*$G$8+$H$152*$H$8+$I$152*$I$8+$J$152*$J$8+$K$152*$K$8+$L$152*$L$8+$M$152*$M$8+$N$152*$N$8+$O$152*$O$8+$P$152*$P$8+$Q$152*$Q$8</f>
        <v>0</v>
      </c>
      <c r="S152" s="15">
        <v>0</v>
      </c>
      <c r="T152" s="15">
        <f>$R$152+$S$152</f>
        <v>0</v>
      </c>
    </row>
    <row r="153" spans="1:20" x14ac:dyDescent="0.3">
      <c r="A153" s="10" t="s">
        <v>576</v>
      </c>
      <c r="B153" s="11" t="s">
        <v>577</v>
      </c>
      <c r="C153" s="11"/>
      <c r="D153" s="11" t="s">
        <v>578</v>
      </c>
      <c r="E153" s="11">
        <f xml:space="preserve"> IF($T$153,1,0)</f>
        <v>0</v>
      </c>
      <c r="F153" s="11" t="s">
        <v>579</v>
      </c>
      <c r="G153" s="11">
        <v>0</v>
      </c>
      <c r="H153" s="11">
        <v>0</v>
      </c>
      <c r="I153" s="11">
        <v>0</v>
      </c>
      <c r="J153" s="11">
        <v>0</v>
      </c>
      <c r="K153" s="11">
        <v>0</v>
      </c>
      <c r="L153" s="11">
        <v>0</v>
      </c>
      <c r="M153" s="11">
        <v>0</v>
      </c>
      <c r="N153" s="11">
        <v>0</v>
      </c>
      <c r="O153" s="11">
        <v>0</v>
      </c>
      <c r="P153" s="11">
        <v>0</v>
      </c>
      <c r="Q153" s="11">
        <v>0</v>
      </c>
      <c r="R153" s="12">
        <f>$G$153*$G$8+$H$153*$H$8+$I$153*$I$8+$J$153*$J$8+$K$153*$K$8+$L$153*$L$8+$M$153*$M$8+$N$153*$N$8+$O$153*$O$8+$P$153*$P$8+$Q$153*$Q$8</f>
        <v>0</v>
      </c>
      <c r="S153" s="12">
        <v>0</v>
      </c>
      <c r="T153" s="12">
        <f>$R$153+$S$153</f>
        <v>0</v>
      </c>
    </row>
    <row r="154" spans="1:20" x14ac:dyDescent="0.3">
      <c r="A154" s="13" t="s">
        <v>580</v>
      </c>
      <c r="B154" s="14" t="s">
        <v>581</v>
      </c>
      <c r="C154" s="14"/>
      <c r="D154" s="14" t="s">
        <v>582</v>
      </c>
      <c r="E154" s="14">
        <f xml:space="preserve"> IF($T$154,1,0)</f>
        <v>0</v>
      </c>
      <c r="F154" s="14" t="s">
        <v>583</v>
      </c>
      <c r="G154" s="14">
        <v>0</v>
      </c>
      <c r="H154" s="14">
        <v>0</v>
      </c>
      <c r="I154" s="14">
        <v>0</v>
      </c>
      <c r="J154" s="14">
        <v>0</v>
      </c>
      <c r="K154" s="14">
        <v>0</v>
      </c>
      <c r="L154" s="14">
        <v>0</v>
      </c>
      <c r="M154" s="14">
        <v>0</v>
      </c>
      <c r="N154" s="14">
        <v>0</v>
      </c>
      <c r="O154" s="14">
        <v>0</v>
      </c>
      <c r="P154" s="14">
        <v>0</v>
      </c>
      <c r="Q154" s="14">
        <v>0</v>
      </c>
      <c r="R154" s="15">
        <f>$G$154*$G$8+$H$154*$H$8+$I$154*$I$8+$J$154*$J$8+$K$154*$K$8+$L$154*$L$8+$M$154*$M$8+$N$154*$N$8+$O$154*$O$8+$P$154*$P$8+$Q$154*$Q$8</f>
        <v>0</v>
      </c>
      <c r="S154" s="15">
        <v>0</v>
      </c>
      <c r="T154" s="15">
        <f>$R$154+$S$154</f>
        <v>0</v>
      </c>
    </row>
    <row r="155" spans="1:20" x14ac:dyDescent="0.3">
      <c r="A155" s="10" t="s">
        <v>584</v>
      </c>
      <c r="B155" s="11" t="s">
        <v>585</v>
      </c>
      <c r="C155" s="11"/>
      <c r="D155" s="11" t="s">
        <v>586</v>
      </c>
      <c r="E155" s="11">
        <f xml:space="preserve"> IF($T$155,1,0)</f>
        <v>0</v>
      </c>
      <c r="F155" s="11" t="s">
        <v>587</v>
      </c>
      <c r="G155" s="11">
        <v>0</v>
      </c>
      <c r="H155" s="11">
        <v>0</v>
      </c>
      <c r="I155" s="11">
        <v>0</v>
      </c>
      <c r="J155" s="11">
        <v>0</v>
      </c>
      <c r="K155" s="11">
        <v>0</v>
      </c>
      <c r="L155" s="11">
        <v>0</v>
      </c>
      <c r="M155" s="11">
        <v>0</v>
      </c>
      <c r="N155" s="11">
        <v>0</v>
      </c>
      <c r="O155" s="11">
        <v>0</v>
      </c>
      <c r="P155" s="11">
        <v>0</v>
      </c>
      <c r="Q155" s="11">
        <v>0</v>
      </c>
      <c r="R155" s="12">
        <f>$G$155*$G$8+$H$155*$H$8+$I$155*$I$8+$J$155*$J$8+$K$155*$K$8+$L$155*$L$8+$M$155*$M$8+$N$155*$N$8+$O$155*$O$8+$P$155*$P$8+$Q$155*$Q$8</f>
        <v>0</v>
      </c>
      <c r="S155" s="12">
        <v>0</v>
      </c>
      <c r="T155" s="12">
        <f>$R$155+$S$155</f>
        <v>0</v>
      </c>
    </row>
    <row r="156" spans="1:20" x14ac:dyDescent="0.3">
      <c r="A156" s="13" t="s">
        <v>588</v>
      </c>
      <c r="B156" s="14" t="s">
        <v>589</v>
      </c>
      <c r="C156" s="14"/>
      <c r="D156" s="14" t="s">
        <v>590</v>
      </c>
      <c r="E156" s="14">
        <f xml:space="preserve"> IF($T$156,1,0)</f>
        <v>0</v>
      </c>
      <c r="F156" s="14" t="s">
        <v>591</v>
      </c>
      <c r="G156" s="14">
        <v>0</v>
      </c>
      <c r="H156" s="14">
        <v>0</v>
      </c>
      <c r="I156" s="14">
        <v>0</v>
      </c>
      <c r="J156" s="14">
        <v>0</v>
      </c>
      <c r="K156" s="14">
        <v>0</v>
      </c>
      <c r="L156" s="14">
        <v>0</v>
      </c>
      <c r="M156" s="14">
        <v>0</v>
      </c>
      <c r="N156" s="14">
        <v>0</v>
      </c>
      <c r="O156" s="14">
        <v>0</v>
      </c>
      <c r="P156" s="14">
        <v>0</v>
      </c>
      <c r="Q156" s="14">
        <v>0</v>
      </c>
      <c r="R156" s="15">
        <f>$G$156*$G$8+$H$156*$H$8+$I$156*$I$8+$J$156*$J$8+$K$156*$K$8+$L$156*$L$8+$M$156*$M$8+$N$156*$N$8+$O$156*$O$8+$P$156*$P$8+$Q$156*$Q$8</f>
        <v>0</v>
      </c>
      <c r="S156" s="15">
        <v>0</v>
      </c>
      <c r="T156" s="15">
        <f>$R$156+$S$156</f>
        <v>0</v>
      </c>
    </row>
    <row r="157" spans="1:20" x14ac:dyDescent="0.3">
      <c r="A157" s="10" t="s">
        <v>592</v>
      </c>
      <c r="B157" s="11" t="s">
        <v>593</v>
      </c>
      <c r="C157" s="11"/>
      <c r="D157" s="11" t="s">
        <v>594</v>
      </c>
      <c r="E157" s="11">
        <f xml:space="preserve"> IF($T$157,1,0)</f>
        <v>0</v>
      </c>
      <c r="F157" s="11" t="s">
        <v>595</v>
      </c>
      <c r="G157" s="11">
        <v>0</v>
      </c>
      <c r="H157" s="11">
        <v>0</v>
      </c>
      <c r="I157" s="11">
        <v>0</v>
      </c>
      <c r="J157" s="11">
        <v>0</v>
      </c>
      <c r="K157" s="11">
        <v>0</v>
      </c>
      <c r="L157" s="11">
        <v>0</v>
      </c>
      <c r="M157" s="11">
        <v>0</v>
      </c>
      <c r="N157" s="11">
        <v>0</v>
      </c>
      <c r="O157" s="11">
        <v>0</v>
      </c>
      <c r="P157" s="11">
        <v>0</v>
      </c>
      <c r="Q157" s="11">
        <v>0</v>
      </c>
      <c r="R157" s="12">
        <f>$G$157*$G$8+$H$157*$H$8+$I$157*$I$8+$J$157*$J$8+$K$157*$K$8+$L$157*$L$8+$M$157*$M$8+$N$157*$N$8+$O$157*$O$8+$P$157*$P$8+$Q$157*$Q$8</f>
        <v>0</v>
      </c>
      <c r="S157" s="12">
        <v>0</v>
      </c>
      <c r="T157" s="12">
        <f>$R$157+$S$157</f>
        <v>0</v>
      </c>
    </row>
    <row r="158" spans="1:20" x14ac:dyDescent="0.3">
      <c r="A158" s="13" t="s">
        <v>596</v>
      </c>
      <c r="B158" s="14" t="s">
        <v>597</v>
      </c>
      <c r="C158" s="14"/>
      <c r="D158" s="14" t="s">
        <v>598</v>
      </c>
      <c r="E158" s="14">
        <f xml:space="preserve"> IF($T$158,1,0)</f>
        <v>0</v>
      </c>
      <c r="F158" s="14" t="s">
        <v>599</v>
      </c>
      <c r="G158" s="14">
        <v>0</v>
      </c>
      <c r="H158" s="14">
        <v>0</v>
      </c>
      <c r="I158" s="14">
        <v>0</v>
      </c>
      <c r="J158" s="14">
        <v>0</v>
      </c>
      <c r="K158" s="14">
        <v>0</v>
      </c>
      <c r="L158" s="14">
        <v>0</v>
      </c>
      <c r="M158" s="14">
        <v>0</v>
      </c>
      <c r="N158" s="14">
        <v>0</v>
      </c>
      <c r="O158" s="14">
        <v>0</v>
      </c>
      <c r="P158" s="14">
        <v>0</v>
      </c>
      <c r="Q158" s="14">
        <v>0</v>
      </c>
      <c r="R158" s="15">
        <f>$G$158*$G$8+$H$158*$H$8+$I$158*$I$8+$J$158*$J$8+$K$158*$K$8+$L$158*$L$8+$M$158*$M$8+$N$158*$N$8+$O$158*$O$8+$P$158*$P$8+$Q$158*$Q$8</f>
        <v>0</v>
      </c>
      <c r="S158" s="15">
        <v>0</v>
      </c>
      <c r="T158" s="15">
        <f>$R$158+$S$158</f>
        <v>0</v>
      </c>
    </row>
    <row r="159" spans="1:20" x14ac:dyDescent="0.3">
      <c r="A159" s="10" t="s">
        <v>600</v>
      </c>
      <c r="B159" s="11" t="s">
        <v>601</v>
      </c>
      <c r="C159" s="11"/>
      <c r="D159" s="11" t="s">
        <v>70</v>
      </c>
      <c r="E159" s="11">
        <f xml:space="preserve"> IF($T$159,1,0)</f>
        <v>1</v>
      </c>
      <c r="F159" s="11" t="s">
        <v>602</v>
      </c>
      <c r="G159" s="11">
        <v>4</v>
      </c>
      <c r="H159" s="11">
        <v>0</v>
      </c>
      <c r="I159" s="11">
        <v>0</v>
      </c>
      <c r="J159" s="11">
        <v>0</v>
      </c>
      <c r="K159" s="11">
        <v>0</v>
      </c>
      <c r="L159" s="11">
        <v>0</v>
      </c>
      <c r="M159" s="11">
        <v>0</v>
      </c>
      <c r="N159" s="11">
        <v>0</v>
      </c>
      <c r="O159" s="11">
        <v>0</v>
      </c>
      <c r="P159" s="11">
        <v>0</v>
      </c>
      <c r="Q159" s="11">
        <v>0</v>
      </c>
      <c r="R159" s="12">
        <f>$G$159*$G$8+$H$159*$H$8+$I$159*$I$8+$J$159*$J$8+$K$159*$K$8+$L$159*$L$8+$M$159*$M$8+$N$159*$N$8+$O$159*$O$8+$P$159*$P$8+$Q$159*$Q$8</f>
        <v>4.4000000000000004</v>
      </c>
      <c r="S159" s="12">
        <v>0</v>
      </c>
      <c r="T159" s="12">
        <f>$R$159+$S$159</f>
        <v>4.4000000000000004</v>
      </c>
    </row>
    <row r="160" spans="1:20" x14ac:dyDescent="0.3">
      <c r="A160" s="13" t="s">
        <v>603</v>
      </c>
      <c r="B160" s="14" t="s">
        <v>604</v>
      </c>
      <c r="C160" s="14"/>
      <c r="D160" s="14" t="s">
        <v>605</v>
      </c>
      <c r="E160" s="14">
        <f xml:space="preserve"> IF($T$160,1,0)</f>
        <v>0</v>
      </c>
      <c r="F160" s="14" t="s">
        <v>606</v>
      </c>
      <c r="G160" s="14">
        <v>0</v>
      </c>
      <c r="H160" s="14">
        <v>0</v>
      </c>
      <c r="I160" s="14">
        <v>0</v>
      </c>
      <c r="J160" s="14">
        <v>0</v>
      </c>
      <c r="K160" s="14">
        <v>0</v>
      </c>
      <c r="L160" s="14">
        <v>0</v>
      </c>
      <c r="M160" s="14">
        <v>0</v>
      </c>
      <c r="N160" s="14">
        <v>0</v>
      </c>
      <c r="O160" s="14">
        <v>0</v>
      </c>
      <c r="P160" s="14">
        <v>0</v>
      </c>
      <c r="Q160" s="14">
        <v>0</v>
      </c>
      <c r="R160" s="15">
        <f>$G$160*$G$8+$H$160*$H$8+$I$160*$I$8+$J$160*$J$8+$K$160*$K$8+$L$160*$L$8+$M$160*$M$8+$N$160*$N$8+$O$160*$O$8+$P$160*$P$8+$Q$160*$Q$8</f>
        <v>0</v>
      </c>
      <c r="S160" s="15">
        <v>0</v>
      </c>
      <c r="T160" s="15">
        <f>$R$160+$S$160</f>
        <v>0</v>
      </c>
    </row>
    <row r="161" spans="1:20" x14ac:dyDescent="0.3">
      <c r="A161" s="10" t="s">
        <v>607</v>
      </c>
      <c r="B161" s="11" t="s">
        <v>608</v>
      </c>
      <c r="C161" s="11"/>
      <c r="D161" s="11" t="s">
        <v>609</v>
      </c>
      <c r="E161" s="11">
        <f xml:space="preserve"> IF($T$161,1,0)</f>
        <v>0</v>
      </c>
      <c r="F161" s="11" t="s">
        <v>610</v>
      </c>
      <c r="G161" s="11">
        <v>0</v>
      </c>
      <c r="H161" s="11">
        <v>0</v>
      </c>
      <c r="I161" s="11">
        <v>0</v>
      </c>
      <c r="J161" s="11">
        <v>0</v>
      </c>
      <c r="K161" s="11">
        <v>0</v>
      </c>
      <c r="L161" s="11">
        <v>0</v>
      </c>
      <c r="M161" s="11">
        <v>0</v>
      </c>
      <c r="N161" s="11">
        <v>0</v>
      </c>
      <c r="O161" s="11">
        <v>0</v>
      </c>
      <c r="P161" s="11">
        <v>0</v>
      </c>
      <c r="Q161" s="11">
        <v>0</v>
      </c>
      <c r="R161" s="12">
        <f>$G$161*$G$8+$H$161*$H$8+$I$161*$I$8+$J$161*$J$8+$K$161*$K$8+$L$161*$L$8+$M$161*$M$8+$N$161*$N$8+$O$161*$O$8+$P$161*$P$8+$Q$161*$Q$8</f>
        <v>0</v>
      </c>
      <c r="S161" s="12">
        <v>0</v>
      </c>
      <c r="T161" s="12">
        <f>$R$161+$S$161</f>
        <v>0</v>
      </c>
    </row>
    <row r="162" spans="1:20" x14ac:dyDescent="0.3">
      <c r="A162" s="13" t="s">
        <v>611</v>
      </c>
      <c r="B162" s="14" t="s">
        <v>612</v>
      </c>
      <c r="C162" s="14"/>
      <c r="D162" s="14" t="s">
        <v>613</v>
      </c>
      <c r="E162" s="14">
        <f xml:space="preserve"> IF($T$162,1,0)</f>
        <v>0</v>
      </c>
      <c r="F162" s="14" t="s">
        <v>614</v>
      </c>
      <c r="G162" s="14">
        <v>0</v>
      </c>
      <c r="H162" s="14">
        <v>0</v>
      </c>
      <c r="I162" s="14">
        <v>0</v>
      </c>
      <c r="J162" s="14">
        <v>0</v>
      </c>
      <c r="K162" s="14">
        <v>0</v>
      </c>
      <c r="L162" s="14">
        <v>0</v>
      </c>
      <c r="M162" s="14">
        <v>0</v>
      </c>
      <c r="N162" s="14">
        <v>0</v>
      </c>
      <c r="O162" s="14">
        <v>0</v>
      </c>
      <c r="P162" s="14">
        <v>0</v>
      </c>
      <c r="Q162" s="14">
        <v>0</v>
      </c>
      <c r="R162" s="15">
        <f>$G$162*$G$8+$H$162*$H$8+$I$162*$I$8+$J$162*$J$8+$K$162*$K$8+$L$162*$L$8+$M$162*$M$8+$N$162*$N$8+$O$162*$O$8+$P$162*$P$8+$Q$162*$Q$8</f>
        <v>0</v>
      </c>
      <c r="S162" s="15">
        <v>0</v>
      </c>
      <c r="T162" s="15">
        <f>$R$162+$S$162</f>
        <v>0</v>
      </c>
    </row>
    <row r="163" spans="1:20" x14ac:dyDescent="0.3">
      <c r="A163" s="10" t="s">
        <v>615</v>
      </c>
      <c r="B163" s="11" t="s">
        <v>616</v>
      </c>
      <c r="C163" s="11"/>
      <c r="D163" s="11" t="s">
        <v>617</v>
      </c>
      <c r="E163" s="11">
        <f xml:space="preserve"> IF($T$163,1,0)</f>
        <v>0</v>
      </c>
      <c r="F163" s="11" t="s">
        <v>618</v>
      </c>
      <c r="G163" s="11">
        <v>0</v>
      </c>
      <c r="H163" s="11">
        <v>0</v>
      </c>
      <c r="I163" s="11">
        <v>0</v>
      </c>
      <c r="J163" s="11">
        <v>0</v>
      </c>
      <c r="K163" s="11">
        <v>0</v>
      </c>
      <c r="L163" s="11">
        <v>0</v>
      </c>
      <c r="M163" s="11">
        <v>0</v>
      </c>
      <c r="N163" s="11">
        <v>0</v>
      </c>
      <c r="O163" s="11">
        <v>0</v>
      </c>
      <c r="P163" s="11">
        <v>0</v>
      </c>
      <c r="Q163" s="11">
        <v>0</v>
      </c>
      <c r="R163" s="12">
        <f>$G$163*$G$8+$H$163*$H$8+$I$163*$I$8+$J$163*$J$8+$K$163*$K$8+$L$163*$L$8+$M$163*$M$8+$N$163*$N$8+$O$163*$O$8+$P$163*$P$8+$Q$163*$Q$8</f>
        <v>0</v>
      </c>
      <c r="S163" s="12">
        <v>0</v>
      </c>
      <c r="T163" s="12">
        <f>$R$163+$S$163</f>
        <v>0</v>
      </c>
    </row>
    <row r="164" spans="1:20" x14ac:dyDescent="0.3">
      <c r="A164" s="13" t="s">
        <v>619</v>
      </c>
      <c r="B164" s="14" t="s">
        <v>620</v>
      </c>
      <c r="C164" s="14" t="s">
        <v>34</v>
      </c>
      <c r="D164" s="14" t="s">
        <v>621</v>
      </c>
      <c r="E164" s="14">
        <f xml:space="preserve"> IF($T$164,1,0)</f>
        <v>0</v>
      </c>
      <c r="F164" s="14" t="s">
        <v>622</v>
      </c>
      <c r="G164" s="14">
        <v>0</v>
      </c>
      <c r="H164" s="14">
        <v>0</v>
      </c>
      <c r="I164" s="14">
        <v>0</v>
      </c>
      <c r="J164" s="14">
        <v>0</v>
      </c>
      <c r="K164" s="14">
        <v>0</v>
      </c>
      <c r="L164" s="14">
        <v>0</v>
      </c>
      <c r="M164" s="14">
        <v>0</v>
      </c>
      <c r="N164" s="14">
        <v>0</v>
      </c>
      <c r="O164" s="14">
        <v>0</v>
      </c>
      <c r="P164" s="14">
        <v>0</v>
      </c>
      <c r="Q164" s="14">
        <v>0</v>
      </c>
      <c r="R164" s="15">
        <f>$G$164*$G$8+$H$164*$H$8+$I$164*$I$8+$J$164*$J$8+$K$164*$K$8+$L$164*$L$8+$M$164*$M$8+$N$164*$N$8+$O$164*$O$8+$P$164*$P$8+$Q$164*$Q$8</f>
        <v>0</v>
      </c>
      <c r="S164" s="15">
        <v>0</v>
      </c>
      <c r="T164" s="15">
        <f>$R$164+$S$164</f>
        <v>0</v>
      </c>
    </row>
    <row r="165" spans="1:20" x14ac:dyDescent="0.3">
      <c r="A165" s="10" t="s">
        <v>623</v>
      </c>
      <c r="B165" s="11" t="s">
        <v>624</v>
      </c>
      <c r="C165" s="11"/>
      <c r="D165" s="11" t="s">
        <v>625</v>
      </c>
      <c r="E165" s="11">
        <f xml:space="preserve"> IF($T$165,1,0)</f>
        <v>0</v>
      </c>
      <c r="F165" s="11" t="s">
        <v>626</v>
      </c>
      <c r="G165" s="11">
        <v>0</v>
      </c>
      <c r="H165" s="11">
        <v>0</v>
      </c>
      <c r="I165" s="11">
        <v>0</v>
      </c>
      <c r="J165" s="11">
        <v>0</v>
      </c>
      <c r="K165" s="11">
        <v>0</v>
      </c>
      <c r="L165" s="11">
        <v>0</v>
      </c>
      <c r="M165" s="11">
        <v>0</v>
      </c>
      <c r="N165" s="11">
        <v>0</v>
      </c>
      <c r="O165" s="11">
        <v>0</v>
      </c>
      <c r="P165" s="11">
        <v>0</v>
      </c>
      <c r="Q165" s="11">
        <v>0</v>
      </c>
      <c r="R165" s="12">
        <f>$G$165*$G$8+$H$165*$H$8+$I$165*$I$8+$J$165*$J$8+$K$165*$K$8+$L$165*$L$8+$M$165*$M$8+$N$165*$N$8+$O$165*$O$8+$P$165*$P$8+$Q$165*$Q$8</f>
        <v>0</v>
      </c>
      <c r="S165" s="12">
        <v>0</v>
      </c>
      <c r="T165" s="12">
        <f>$R$165+$S$165</f>
        <v>0</v>
      </c>
    </row>
    <row r="166" spans="1:20" x14ac:dyDescent="0.3">
      <c r="A166" s="13" t="s">
        <v>627</v>
      </c>
      <c r="B166" s="14" t="s">
        <v>624</v>
      </c>
      <c r="C166" s="14"/>
      <c r="D166" s="14" t="s">
        <v>628</v>
      </c>
      <c r="E166" s="14">
        <f xml:space="preserve"> IF($T$166,1,0)</f>
        <v>0</v>
      </c>
      <c r="F166" s="14" t="s">
        <v>629</v>
      </c>
      <c r="G166" s="14">
        <v>0</v>
      </c>
      <c r="H166" s="14">
        <v>0</v>
      </c>
      <c r="I166" s="14">
        <v>0</v>
      </c>
      <c r="J166" s="14">
        <v>0</v>
      </c>
      <c r="K166" s="14">
        <v>0</v>
      </c>
      <c r="L166" s="14">
        <v>0</v>
      </c>
      <c r="M166" s="14">
        <v>0</v>
      </c>
      <c r="N166" s="14">
        <v>0</v>
      </c>
      <c r="O166" s="14">
        <v>0</v>
      </c>
      <c r="P166" s="14">
        <v>0</v>
      </c>
      <c r="Q166" s="14">
        <v>0</v>
      </c>
      <c r="R166" s="15">
        <f>$G$166*$G$8+$H$166*$H$8+$I$166*$I$8+$J$166*$J$8+$K$166*$K$8+$L$166*$L$8+$M$166*$M$8+$N$166*$N$8+$O$166*$O$8+$P$166*$P$8+$Q$166*$Q$8</f>
        <v>0</v>
      </c>
      <c r="S166" s="15">
        <v>0</v>
      </c>
      <c r="T166" s="15">
        <f>$R$166+$S$166</f>
        <v>0</v>
      </c>
    </row>
    <row r="167" spans="1:20" x14ac:dyDescent="0.3">
      <c r="A167" s="10" t="s">
        <v>630</v>
      </c>
      <c r="B167" s="11" t="s">
        <v>631</v>
      </c>
      <c r="C167" s="11"/>
      <c r="D167" s="11" t="s">
        <v>632</v>
      </c>
      <c r="E167" s="11">
        <f xml:space="preserve"> IF($T$167,1,0)</f>
        <v>1</v>
      </c>
      <c r="F167" s="11" t="s">
        <v>633</v>
      </c>
      <c r="G167" s="11">
        <v>6</v>
      </c>
      <c r="H167" s="11">
        <v>0</v>
      </c>
      <c r="I167" s="11">
        <v>0</v>
      </c>
      <c r="J167" s="11">
        <v>0</v>
      </c>
      <c r="K167" s="11">
        <v>0</v>
      </c>
      <c r="L167" s="11">
        <v>0</v>
      </c>
      <c r="M167" s="11">
        <v>0</v>
      </c>
      <c r="N167" s="11">
        <v>0</v>
      </c>
      <c r="O167" s="11">
        <v>0</v>
      </c>
      <c r="P167" s="11">
        <v>0</v>
      </c>
      <c r="Q167" s="11">
        <v>0</v>
      </c>
      <c r="R167" s="12">
        <f>$G$167*$G$8+$H$167*$H$8+$I$167*$I$8+$J$167*$J$8+$K$167*$K$8+$L$167*$L$8+$M$167*$M$8+$N$167*$N$8+$O$167*$O$8+$P$167*$P$8+$Q$167*$Q$8</f>
        <v>6.6000000000000005</v>
      </c>
      <c r="S167" s="12">
        <v>0</v>
      </c>
      <c r="T167" s="12">
        <f>$R$167+$S$167</f>
        <v>6.6000000000000005</v>
      </c>
    </row>
    <row r="168" spans="1:20" x14ac:dyDescent="0.3">
      <c r="A168" s="13" t="s">
        <v>634</v>
      </c>
      <c r="B168" s="14" t="s">
        <v>635</v>
      </c>
      <c r="C168" s="14"/>
      <c r="D168" s="14" t="s">
        <v>636</v>
      </c>
      <c r="E168" s="14">
        <f xml:space="preserve"> IF($T$168,1,0)</f>
        <v>0</v>
      </c>
      <c r="F168" s="14" t="s">
        <v>637</v>
      </c>
      <c r="G168" s="14">
        <v>0</v>
      </c>
      <c r="H168" s="14">
        <v>0</v>
      </c>
      <c r="I168" s="14">
        <v>0</v>
      </c>
      <c r="J168" s="14">
        <v>0</v>
      </c>
      <c r="K168" s="14">
        <v>0</v>
      </c>
      <c r="L168" s="14">
        <v>0</v>
      </c>
      <c r="M168" s="14">
        <v>0</v>
      </c>
      <c r="N168" s="14">
        <v>0</v>
      </c>
      <c r="O168" s="14">
        <v>0</v>
      </c>
      <c r="P168" s="14">
        <v>0</v>
      </c>
      <c r="Q168" s="14">
        <v>0</v>
      </c>
      <c r="R168" s="15">
        <f>$G$168*$G$8+$H$168*$H$8+$I$168*$I$8+$J$168*$J$8+$K$168*$K$8+$L$168*$L$8+$M$168*$M$8+$N$168*$N$8+$O$168*$O$8+$P$168*$P$8+$Q$168*$Q$8</f>
        <v>0</v>
      </c>
      <c r="S168" s="15">
        <v>0</v>
      </c>
      <c r="T168" s="15">
        <f>$R$168+$S$168</f>
        <v>0</v>
      </c>
    </row>
    <row r="169" spans="1:20" x14ac:dyDescent="0.3">
      <c r="A169" s="10" t="s">
        <v>638</v>
      </c>
      <c r="B169" s="11" t="s">
        <v>639</v>
      </c>
      <c r="C169" s="11"/>
      <c r="D169" s="11" t="s">
        <v>274</v>
      </c>
      <c r="E169" s="11">
        <f xml:space="preserve"> IF($T$169,1,0)</f>
        <v>0</v>
      </c>
      <c r="F169" s="11" t="s">
        <v>640</v>
      </c>
      <c r="G169" s="11">
        <v>0</v>
      </c>
      <c r="H169" s="11">
        <v>0</v>
      </c>
      <c r="I169" s="11">
        <v>0</v>
      </c>
      <c r="J169" s="11">
        <v>0</v>
      </c>
      <c r="K169" s="11">
        <v>0</v>
      </c>
      <c r="L169" s="11">
        <v>0</v>
      </c>
      <c r="M169" s="11">
        <v>0</v>
      </c>
      <c r="N169" s="11">
        <v>0</v>
      </c>
      <c r="O169" s="11">
        <v>0</v>
      </c>
      <c r="P169" s="11">
        <v>0</v>
      </c>
      <c r="Q169" s="11">
        <v>0</v>
      </c>
      <c r="R169" s="12">
        <f>$G$169*$G$8+$H$169*$H$8+$I$169*$I$8+$J$169*$J$8+$K$169*$K$8+$L$169*$L$8+$M$169*$M$8+$N$169*$N$8+$O$169*$O$8+$P$169*$P$8+$Q$169*$Q$8</f>
        <v>0</v>
      </c>
      <c r="S169" s="12">
        <v>0</v>
      </c>
      <c r="T169" s="12">
        <f>$R$169+$S$169</f>
        <v>0</v>
      </c>
    </row>
    <row r="170" spans="1:20" x14ac:dyDescent="0.3">
      <c r="A170" s="13" t="s">
        <v>641</v>
      </c>
      <c r="B170" s="14" t="s">
        <v>642</v>
      </c>
      <c r="C170" s="14"/>
      <c r="D170" s="14" t="s">
        <v>643</v>
      </c>
      <c r="E170" s="14">
        <f xml:space="preserve"> IF($T$170,1,0)</f>
        <v>0</v>
      </c>
      <c r="F170" s="14" t="s">
        <v>644</v>
      </c>
      <c r="G170" s="14">
        <v>0</v>
      </c>
      <c r="H170" s="14">
        <v>0</v>
      </c>
      <c r="I170" s="14">
        <v>0</v>
      </c>
      <c r="J170" s="14">
        <v>0</v>
      </c>
      <c r="K170" s="14">
        <v>0</v>
      </c>
      <c r="L170" s="14">
        <v>0</v>
      </c>
      <c r="M170" s="14">
        <v>0</v>
      </c>
      <c r="N170" s="14">
        <v>0</v>
      </c>
      <c r="O170" s="14">
        <v>0</v>
      </c>
      <c r="P170" s="14">
        <v>0</v>
      </c>
      <c r="Q170" s="14">
        <v>0</v>
      </c>
      <c r="R170" s="15">
        <f>$G$170*$G$8+$H$170*$H$8+$I$170*$I$8+$J$170*$J$8+$K$170*$K$8+$L$170*$L$8+$M$170*$M$8+$N$170*$N$8+$O$170*$O$8+$P$170*$P$8+$Q$170*$Q$8</f>
        <v>0</v>
      </c>
      <c r="S170" s="15">
        <v>0</v>
      </c>
      <c r="T170" s="15">
        <f>$R$170+$S$170</f>
        <v>0</v>
      </c>
    </row>
    <row r="171" spans="1:20" x14ac:dyDescent="0.3">
      <c r="A171" s="10" t="s">
        <v>645</v>
      </c>
      <c r="B171" s="11" t="s">
        <v>646</v>
      </c>
      <c r="C171" s="11"/>
      <c r="D171" s="11" t="s">
        <v>647</v>
      </c>
      <c r="E171" s="11">
        <f xml:space="preserve"> IF($T$171,1,0)</f>
        <v>0</v>
      </c>
      <c r="F171" s="11" t="s">
        <v>648</v>
      </c>
      <c r="G171" s="11">
        <v>0</v>
      </c>
      <c r="H171" s="11">
        <v>0</v>
      </c>
      <c r="I171" s="11">
        <v>0</v>
      </c>
      <c r="J171" s="11">
        <v>0</v>
      </c>
      <c r="K171" s="11">
        <v>0</v>
      </c>
      <c r="L171" s="11">
        <v>0</v>
      </c>
      <c r="M171" s="11">
        <v>0</v>
      </c>
      <c r="N171" s="11">
        <v>0</v>
      </c>
      <c r="O171" s="11">
        <v>0</v>
      </c>
      <c r="P171" s="11">
        <v>0</v>
      </c>
      <c r="Q171" s="11">
        <v>0</v>
      </c>
      <c r="R171" s="12">
        <f>$G$171*$G$8+$H$171*$H$8+$I$171*$I$8+$J$171*$J$8+$K$171*$K$8+$L$171*$L$8+$M$171*$M$8+$N$171*$N$8+$O$171*$O$8+$P$171*$P$8+$Q$171*$Q$8</f>
        <v>0</v>
      </c>
      <c r="S171" s="12">
        <v>0</v>
      </c>
      <c r="T171" s="12">
        <f>$R$171+$S$171</f>
        <v>0</v>
      </c>
    </row>
    <row r="172" spans="1:20" x14ac:dyDescent="0.3">
      <c r="A172" s="13" t="s">
        <v>649</v>
      </c>
      <c r="B172" s="14" t="s">
        <v>650</v>
      </c>
      <c r="C172" s="14"/>
      <c r="D172" s="14" t="s">
        <v>651</v>
      </c>
      <c r="E172" s="14">
        <f xml:space="preserve"> IF($T$172,1,0)</f>
        <v>1</v>
      </c>
      <c r="F172" s="14" t="s">
        <v>652</v>
      </c>
      <c r="G172" s="14">
        <v>0</v>
      </c>
      <c r="H172" s="14">
        <v>1</v>
      </c>
      <c r="I172" s="14">
        <v>2</v>
      </c>
      <c r="J172" s="14">
        <v>0</v>
      </c>
      <c r="K172" s="14">
        <v>0</v>
      </c>
      <c r="L172" s="14">
        <v>0</v>
      </c>
      <c r="M172" s="14">
        <v>0</v>
      </c>
      <c r="N172" s="14">
        <v>0</v>
      </c>
      <c r="O172" s="14">
        <v>0</v>
      </c>
      <c r="P172" s="14">
        <v>0</v>
      </c>
      <c r="Q172" s="14">
        <v>0</v>
      </c>
      <c r="R172" s="15">
        <f>$G$172*$G$8+$H$172*$H$8+$I$172*$I$8+$J$172*$J$8+$K$172*$K$8+$L$172*$L$8+$M$172*$M$8+$N$172*$N$8+$O$172*$O$8+$P$172*$P$8+$Q$172*$Q$8</f>
        <v>4.2</v>
      </c>
      <c r="S172" s="15">
        <v>0</v>
      </c>
      <c r="T172" s="15">
        <f>$R$172+$S$172</f>
        <v>4.2</v>
      </c>
    </row>
    <row r="173" spans="1:20" x14ac:dyDescent="0.3">
      <c r="A173" s="10" t="s">
        <v>653</v>
      </c>
      <c r="B173" s="11" t="s">
        <v>654</v>
      </c>
      <c r="C173" s="11"/>
      <c r="D173" s="11" t="s">
        <v>655</v>
      </c>
      <c r="E173" s="11">
        <f xml:space="preserve"> IF($T$173,1,0)</f>
        <v>1</v>
      </c>
      <c r="F173" s="11" t="s">
        <v>656</v>
      </c>
      <c r="G173" s="11">
        <v>2</v>
      </c>
      <c r="H173" s="11">
        <v>2</v>
      </c>
      <c r="I173" s="11">
        <v>0</v>
      </c>
      <c r="J173" s="11">
        <v>0</v>
      </c>
      <c r="K173" s="11">
        <v>0</v>
      </c>
      <c r="L173" s="11">
        <v>0</v>
      </c>
      <c r="M173" s="11">
        <v>0</v>
      </c>
      <c r="N173" s="11">
        <v>0</v>
      </c>
      <c r="O173" s="11">
        <v>0</v>
      </c>
      <c r="P173" s="11">
        <v>0</v>
      </c>
      <c r="Q173" s="11">
        <v>0</v>
      </c>
      <c r="R173" s="12">
        <f>$G$173*$G$8+$H$173*$H$8+$I$173*$I$8+$J$173*$J$8+$K$173*$K$8+$L$173*$L$8+$M$173*$M$8+$N$173*$N$8+$O$173*$O$8+$P$173*$P$8+$Q$173*$Q$8</f>
        <v>6.6000000000000005</v>
      </c>
      <c r="S173" s="12">
        <v>0</v>
      </c>
      <c r="T173" s="12">
        <f>$R$173+$S$173</f>
        <v>6.6000000000000005</v>
      </c>
    </row>
    <row r="174" spans="1:20" x14ac:dyDescent="0.3">
      <c r="A174" s="13" t="s">
        <v>657</v>
      </c>
      <c r="B174" s="14" t="s">
        <v>658</v>
      </c>
      <c r="C174" s="14"/>
      <c r="D174" s="14" t="s">
        <v>659</v>
      </c>
      <c r="E174" s="14">
        <f xml:space="preserve"> IF($T$174,1,0)</f>
        <v>0</v>
      </c>
      <c r="F174" s="14" t="s">
        <v>660</v>
      </c>
      <c r="G174" s="14">
        <v>0</v>
      </c>
      <c r="H174" s="14">
        <v>0</v>
      </c>
      <c r="I174" s="14">
        <v>0</v>
      </c>
      <c r="J174" s="14">
        <v>0</v>
      </c>
      <c r="K174" s="14">
        <v>0</v>
      </c>
      <c r="L174" s="14">
        <v>0</v>
      </c>
      <c r="M174" s="14">
        <v>0</v>
      </c>
      <c r="N174" s="14">
        <v>0</v>
      </c>
      <c r="O174" s="14">
        <v>0</v>
      </c>
      <c r="P174" s="14">
        <v>0</v>
      </c>
      <c r="Q174" s="14">
        <v>0</v>
      </c>
      <c r="R174" s="15">
        <f>$G$174*$G$8+$H$174*$H$8+$I$174*$I$8+$J$174*$J$8+$K$174*$K$8+$L$174*$L$8+$M$174*$M$8+$N$174*$N$8+$O$174*$O$8+$P$174*$P$8+$Q$174*$Q$8</f>
        <v>0</v>
      </c>
      <c r="S174" s="15">
        <v>0</v>
      </c>
      <c r="T174" s="15">
        <f>$R$174+$S$174</f>
        <v>0</v>
      </c>
    </row>
    <row r="175" spans="1:20" x14ac:dyDescent="0.3">
      <c r="A175" s="10" t="s">
        <v>661</v>
      </c>
      <c r="B175" s="11" t="s">
        <v>658</v>
      </c>
      <c r="C175" s="11" t="s">
        <v>202</v>
      </c>
      <c r="D175" s="11" t="s">
        <v>662</v>
      </c>
      <c r="E175" s="11">
        <f xml:space="preserve"> IF($T$175,1,0)</f>
        <v>0</v>
      </c>
      <c r="F175" s="11" t="s">
        <v>663</v>
      </c>
      <c r="G175" s="11">
        <v>0</v>
      </c>
      <c r="H175" s="11">
        <v>0</v>
      </c>
      <c r="I175" s="11">
        <v>0</v>
      </c>
      <c r="J175" s="11">
        <v>0</v>
      </c>
      <c r="K175" s="11">
        <v>0</v>
      </c>
      <c r="L175" s="11">
        <v>0</v>
      </c>
      <c r="M175" s="11">
        <v>0</v>
      </c>
      <c r="N175" s="11">
        <v>0</v>
      </c>
      <c r="O175" s="11">
        <v>0</v>
      </c>
      <c r="P175" s="11">
        <v>0</v>
      </c>
      <c r="Q175" s="11">
        <v>0</v>
      </c>
      <c r="R175" s="12">
        <f>$G$175*$G$8+$H$175*$H$8+$I$175*$I$8+$J$175*$J$8+$K$175*$K$8+$L$175*$L$8+$M$175*$M$8+$N$175*$N$8+$O$175*$O$8+$P$175*$P$8+$Q$175*$Q$8</f>
        <v>0</v>
      </c>
      <c r="S175" s="12">
        <v>0</v>
      </c>
      <c r="T175" s="12">
        <f>$R$175+$S$175</f>
        <v>0</v>
      </c>
    </row>
    <row r="176" spans="1:20" x14ac:dyDescent="0.3">
      <c r="A176" s="13" t="s">
        <v>664</v>
      </c>
      <c r="B176" s="14" t="s">
        <v>665</v>
      </c>
      <c r="C176" s="14"/>
      <c r="D176" s="14" t="s">
        <v>666</v>
      </c>
      <c r="E176" s="14">
        <f xml:space="preserve"> IF($T$176,1,0)</f>
        <v>0</v>
      </c>
      <c r="F176" s="14" t="s">
        <v>667</v>
      </c>
      <c r="G176" s="14">
        <v>0</v>
      </c>
      <c r="H176" s="14">
        <v>0</v>
      </c>
      <c r="I176" s="14">
        <v>0</v>
      </c>
      <c r="J176" s="14">
        <v>0</v>
      </c>
      <c r="K176" s="14">
        <v>0</v>
      </c>
      <c r="L176" s="14">
        <v>0</v>
      </c>
      <c r="M176" s="14">
        <v>0</v>
      </c>
      <c r="N176" s="14">
        <v>0</v>
      </c>
      <c r="O176" s="14">
        <v>0</v>
      </c>
      <c r="P176" s="14">
        <v>0</v>
      </c>
      <c r="Q176" s="14">
        <v>0</v>
      </c>
      <c r="R176" s="15">
        <f>$G$176*$G$8+$H$176*$H$8+$I$176*$I$8+$J$176*$J$8+$K$176*$K$8+$L$176*$L$8+$M$176*$M$8+$N$176*$N$8+$O$176*$O$8+$P$176*$P$8+$Q$176*$Q$8</f>
        <v>0</v>
      </c>
      <c r="S176" s="15">
        <v>0</v>
      </c>
      <c r="T176" s="15">
        <f>$R$176+$S$176</f>
        <v>0</v>
      </c>
    </row>
    <row r="177" spans="1:20" x14ac:dyDescent="0.3">
      <c r="A177" s="10" t="s">
        <v>668</v>
      </c>
      <c r="B177" s="11" t="s">
        <v>669</v>
      </c>
      <c r="C177" s="11"/>
      <c r="D177" s="11" t="s">
        <v>670</v>
      </c>
      <c r="E177" s="11">
        <f xml:space="preserve"> IF($T$177,1,0)</f>
        <v>1</v>
      </c>
      <c r="F177" s="11" t="s">
        <v>671</v>
      </c>
      <c r="G177" s="11">
        <v>1</v>
      </c>
      <c r="H177" s="11">
        <v>0</v>
      </c>
      <c r="I177" s="11">
        <v>1</v>
      </c>
      <c r="J177" s="11">
        <v>0</v>
      </c>
      <c r="K177" s="11">
        <v>0</v>
      </c>
      <c r="L177" s="11">
        <v>1</v>
      </c>
      <c r="M177" s="11">
        <v>1</v>
      </c>
      <c r="N177" s="11">
        <v>0</v>
      </c>
      <c r="O177" s="11">
        <v>0</v>
      </c>
      <c r="P177" s="11">
        <v>0</v>
      </c>
      <c r="Q177" s="11">
        <v>0</v>
      </c>
      <c r="R177" s="12">
        <f>$G$177*$G$8+$H$177*$H$8+$I$177*$I$8+$J$177*$J$8+$K$177*$K$8+$L$177*$L$8+$M$177*$M$8+$N$177*$N$8+$O$177*$O$8+$P$177*$P$8+$Q$177*$Q$8</f>
        <v>7.1</v>
      </c>
      <c r="S177" s="12">
        <v>0</v>
      </c>
      <c r="T177" s="12">
        <f>$R$177+$S$177</f>
        <v>7.1</v>
      </c>
    </row>
    <row r="178" spans="1:20" x14ac:dyDescent="0.3">
      <c r="A178" s="13" t="s">
        <v>672</v>
      </c>
      <c r="B178" s="14" t="s">
        <v>673</v>
      </c>
      <c r="C178" s="14"/>
      <c r="D178" s="14" t="s">
        <v>674</v>
      </c>
      <c r="E178" s="14">
        <f xml:space="preserve"> IF($T$178,1,0)</f>
        <v>0</v>
      </c>
      <c r="F178" s="14" t="s">
        <v>675</v>
      </c>
      <c r="G178" s="14">
        <v>0</v>
      </c>
      <c r="H178" s="14">
        <v>0</v>
      </c>
      <c r="I178" s="14">
        <v>0</v>
      </c>
      <c r="J178" s="14">
        <v>0</v>
      </c>
      <c r="K178" s="14">
        <v>0</v>
      </c>
      <c r="L178" s="14">
        <v>0</v>
      </c>
      <c r="M178" s="14">
        <v>0</v>
      </c>
      <c r="N178" s="14">
        <v>0</v>
      </c>
      <c r="O178" s="14">
        <v>0</v>
      </c>
      <c r="P178" s="14">
        <v>0</v>
      </c>
      <c r="Q178" s="14">
        <v>0</v>
      </c>
      <c r="R178" s="15">
        <f>$G$178*$G$8+$H$178*$H$8+$I$178*$I$8+$J$178*$J$8+$K$178*$K$8+$L$178*$L$8+$M$178*$M$8+$N$178*$N$8+$O$178*$O$8+$P$178*$P$8+$Q$178*$Q$8</f>
        <v>0</v>
      </c>
      <c r="S178" s="15">
        <v>0</v>
      </c>
      <c r="T178" s="15">
        <f>$R$178+$S$178</f>
        <v>0</v>
      </c>
    </row>
    <row r="179" spans="1:20" x14ac:dyDescent="0.3">
      <c r="A179" s="10" t="s">
        <v>676</v>
      </c>
      <c r="B179" s="11" t="s">
        <v>677</v>
      </c>
      <c r="C179" s="11"/>
      <c r="D179" s="11" t="s">
        <v>678</v>
      </c>
      <c r="E179" s="11">
        <f xml:space="preserve"> IF($T$179,1,0)</f>
        <v>0</v>
      </c>
      <c r="F179" s="11" t="s">
        <v>679</v>
      </c>
      <c r="G179" s="11">
        <v>0</v>
      </c>
      <c r="H179" s="11">
        <v>0</v>
      </c>
      <c r="I179" s="11">
        <v>0</v>
      </c>
      <c r="J179" s="11">
        <v>0</v>
      </c>
      <c r="K179" s="11">
        <v>0</v>
      </c>
      <c r="L179" s="11">
        <v>0</v>
      </c>
      <c r="M179" s="11">
        <v>0</v>
      </c>
      <c r="N179" s="11">
        <v>0</v>
      </c>
      <c r="O179" s="11">
        <v>0</v>
      </c>
      <c r="P179" s="11">
        <v>0</v>
      </c>
      <c r="Q179" s="11">
        <v>0</v>
      </c>
      <c r="R179" s="12">
        <f>$G$179*$G$8+$H$179*$H$8+$I$179*$I$8+$J$179*$J$8+$K$179*$K$8+$L$179*$L$8+$M$179*$M$8+$N$179*$N$8+$O$179*$O$8+$P$179*$P$8+$Q$179*$Q$8</f>
        <v>0</v>
      </c>
      <c r="S179" s="12">
        <v>0</v>
      </c>
      <c r="T179" s="12">
        <f>$R$179+$S$179</f>
        <v>0</v>
      </c>
    </row>
    <row r="180" spans="1:20" x14ac:dyDescent="0.3">
      <c r="A180" s="13" t="s">
        <v>680</v>
      </c>
      <c r="B180" s="14" t="s">
        <v>681</v>
      </c>
      <c r="C180" s="14"/>
      <c r="D180" s="14" t="s">
        <v>682</v>
      </c>
      <c r="E180" s="14">
        <f xml:space="preserve"> IF($T$180,1,0)</f>
        <v>0</v>
      </c>
      <c r="F180" s="14" t="s">
        <v>683</v>
      </c>
      <c r="G180" s="14">
        <v>0</v>
      </c>
      <c r="H180" s="14">
        <v>0</v>
      </c>
      <c r="I180" s="14">
        <v>0</v>
      </c>
      <c r="J180" s="14">
        <v>0</v>
      </c>
      <c r="K180" s="14">
        <v>0</v>
      </c>
      <c r="L180" s="14">
        <v>0</v>
      </c>
      <c r="M180" s="14">
        <v>0</v>
      </c>
      <c r="N180" s="14">
        <v>0</v>
      </c>
      <c r="O180" s="14">
        <v>0</v>
      </c>
      <c r="P180" s="14">
        <v>0</v>
      </c>
      <c r="Q180" s="14">
        <v>0</v>
      </c>
      <c r="R180" s="15">
        <f>$G$180*$G$8+$H$180*$H$8+$I$180*$I$8+$J$180*$J$8+$K$180*$K$8+$L$180*$L$8+$M$180*$M$8+$N$180*$N$8+$O$180*$O$8+$P$180*$P$8+$Q$180*$Q$8</f>
        <v>0</v>
      </c>
      <c r="S180" s="15">
        <v>0</v>
      </c>
      <c r="T180" s="15">
        <f>$R$180+$S$180</f>
        <v>0</v>
      </c>
    </row>
    <row r="181" spans="1:20" x14ac:dyDescent="0.3">
      <c r="A181" s="10" t="s">
        <v>684</v>
      </c>
      <c r="B181" s="11" t="s">
        <v>685</v>
      </c>
      <c r="C181" s="11"/>
      <c r="D181" s="11" t="s">
        <v>686</v>
      </c>
      <c r="E181" s="11">
        <f xml:space="preserve"> IF($T$181,1,0)</f>
        <v>0</v>
      </c>
      <c r="F181" s="11" t="s">
        <v>687</v>
      </c>
      <c r="G181" s="11">
        <v>0</v>
      </c>
      <c r="H181" s="11">
        <v>0</v>
      </c>
      <c r="I181" s="11">
        <v>0</v>
      </c>
      <c r="J181" s="11">
        <v>0</v>
      </c>
      <c r="K181" s="11">
        <v>0</v>
      </c>
      <c r="L181" s="11">
        <v>0</v>
      </c>
      <c r="M181" s="11">
        <v>0</v>
      </c>
      <c r="N181" s="11">
        <v>0</v>
      </c>
      <c r="O181" s="11">
        <v>0</v>
      </c>
      <c r="P181" s="11">
        <v>0</v>
      </c>
      <c r="Q181" s="11">
        <v>0</v>
      </c>
      <c r="R181" s="12">
        <f>$G$181*$G$8+$H$181*$H$8+$I$181*$I$8+$J$181*$J$8+$K$181*$K$8+$L$181*$L$8+$M$181*$M$8+$N$181*$N$8+$O$181*$O$8+$P$181*$P$8+$Q$181*$Q$8</f>
        <v>0</v>
      </c>
      <c r="S181" s="12">
        <v>0</v>
      </c>
      <c r="T181" s="12">
        <f>$R$181+$S$181</f>
        <v>0</v>
      </c>
    </row>
    <row r="182" spans="1:20" x14ac:dyDescent="0.3">
      <c r="A182" s="13" t="s">
        <v>688</v>
      </c>
      <c r="B182" s="14" t="s">
        <v>689</v>
      </c>
      <c r="C182" s="14"/>
      <c r="D182" s="14" t="s">
        <v>690</v>
      </c>
      <c r="E182" s="14">
        <f xml:space="preserve"> IF($T$182,1,0)</f>
        <v>0</v>
      </c>
      <c r="F182" s="14" t="s">
        <v>691</v>
      </c>
      <c r="G182" s="14">
        <v>0</v>
      </c>
      <c r="H182" s="14">
        <v>0</v>
      </c>
      <c r="I182" s="14">
        <v>0</v>
      </c>
      <c r="J182" s="14">
        <v>0</v>
      </c>
      <c r="K182" s="14">
        <v>0</v>
      </c>
      <c r="L182" s="14">
        <v>0</v>
      </c>
      <c r="M182" s="14">
        <v>0</v>
      </c>
      <c r="N182" s="14">
        <v>0</v>
      </c>
      <c r="O182" s="14">
        <v>0</v>
      </c>
      <c r="P182" s="14">
        <v>0</v>
      </c>
      <c r="Q182" s="14">
        <v>0</v>
      </c>
      <c r="R182" s="15">
        <f>$G$182*$G$8+$H$182*$H$8+$I$182*$I$8+$J$182*$J$8+$K$182*$K$8+$L$182*$L$8+$M$182*$M$8+$N$182*$N$8+$O$182*$O$8+$P$182*$P$8+$Q$182*$Q$8</f>
        <v>0</v>
      </c>
      <c r="S182" s="15">
        <v>0</v>
      </c>
      <c r="T182" s="15">
        <f>$R$182+$S$182</f>
        <v>0</v>
      </c>
    </row>
    <row r="183" spans="1:20" x14ac:dyDescent="0.3">
      <c r="A183" s="10" t="s">
        <v>692</v>
      </c>
      <c r="B183" s="11" t="s">
        <v>693</v>
      </c>
      <c r="C183" s="11" t="s">
        <v>65</v>
      </c>
      <c r="D183" s="11" t="s">
        <v>694</v>
      </c>
      <c r="E183" s="11">
        <f xml:space="preserve"> IF($T$183,1,0)</f>
        <v>1</v>
      </c>
      <c r="F183" s="11" t="s">
        <v>695</v>
      </c>
      <c r="G183" s="11">
        <v>2</v>
      </c>
      <c r="H183" s="11">
        <v>0</v>
      </c>
      <c r="I183" s="11">
        <v>1</v>
      </c>
      <c r="J183" s="11">
        <v>0</v>
      </c>
      <c r="K183" s="11">
        <v>0</v>
      </c>
      <c r="L183" s="11">
        <v>0</v>
      </c>
      <c r="M183" s="11">
        <v>0</v>
      </c>
      <c r="N183" s="11">
        <v>0</v>
      </c>
      <c r="O183" s="11">
        <v>0</v>
      </c>
      <c r="P183" s="11">
        <v>0</v>
      </c>
      <c r="Q183" s="11">
        <v>0</v>
      </c>
      <c r="R183" s="12">
        <f>$G$183*$G$8+$H$183*$H$8+$I$183*$I$8+$J$183*$J$8+$K$183*$K$8+$L$183*$L$8+$M$183*$M$8+$N$183*$N$8+$O$183*$O$8+$P$183*$P$8+$Q$183*$Q$8</f>
        <v>3.2</v>
      </c>
      <c r="S183" s="12">
        <v>0</v>
      </c>
      <c r="T183" s="12">
        <f>$R$183+$S$183</f>
        <v>3.2</v>
      </c>
    </row>
    <row r="184" spans="1:20" x14ac:dyDescent="0.3">
      <c r="A184" s="13" t="s">
        <v>696</v>
      </c>
      <c r="B184" s="14" t="s">
        <v>697</v>
      </c>
      <c r="C184" s="14"/>
      <c r="D184" s="14" t="s">
        <v>698</v>
      </c>
      <c r="E184" s="14">
        <f xml:space="preserve"> IF($T$184,1,0)</f>
        <v>1</v>
      </c>
      <c r="F184" s="14" t="s">
        <v>699</v>
      </c>
      <c r="G184" s="14">
        <v>1</v>
      </c>
      <c r="H184" s="14">
        <v>2</v>
      </c>
      <c r="I184" s="14">
        <v>0</v>
      </c>
      <c r="J184" s="14">
        <v>1</v>
      </c>
      <c r="K184" s="14">
        <v>0</v>
      </c>
      <c r="L184" s="14">
        <v>0</v>
      </c>
      <c r="M184" s="14">
        <v>0</v>
      </c>
      <c r="N184" s="14">
        <v>0</v>
      </c>
      <c r="O184" s="14">
        <v>0</v>
      </c>
      <c r="P184" s="14">
        <v>0</v>
      </c>
      <c r="Q184" s="14">
        <v>2</v>
      </c>
      <c r="R184" s="15">
        <f>$G$184*$G$8+$H$184*$H$8+$I$184*$I$8+$J$184*$J$8+$K$184*$K$8+$L$184*$L$8+$M$184*$M$8+$N$184*$N$8+$O$184*$O$8+$P$184*$P$8+$Q$184*$Q$8</f>
        <v>9.5</v>
      </c>
      <c r="S184" s="15">
        <v>0</v>
      </c>
      <c r="T184" s="15">
        <f>$R$184+$S$184</f>
        <v>9.5</v>
      </c>
    </row>
    <row r="185" spans="1:20" x14ac:dyDescent="0.3">
      <c r="A185" s="10" t="s">
        <v>700</v>
      </c>
      <c r="B185" s="11" t="s">
        <v>697</v>
      </c>
      <c r="C185" s="11"/>
      <c r="D185" s="11" t="s">
        <v>701</v>
      </c>
      <c r="E185" s="11">
        <f xml:space="preserve"> IF($T$185,1,0)</f>
        <v>0</v>
      </c>
      <c r="F185" s="11" t="s">
        <v>702</v>
      </c>
      <c r="G185" s="11">
        <v>0</v>
      </c>
      <c r="H185" s="11">
        <v>0</v>
      </c>
      <c r="I185" s="11">
        <v>0</v>
      </c>
      <c r="J185" s="11">
        <v>0</v>
      </c>
      <c r="K185" s="11">
        <v>0</v>
      </c>
      <c r="L185" s="11">
        <v>0</v>
      </c>
      <c r="M185" s="11">
        <v>0</v>
      </c>
      <c r="N185" s="11">
        <v>0</v>
      </c>
      <c r="O185" s="11">
        <v>0</v>
      </c>
      <c r="P185" s="11">
        <v>0</v>
      </c>
      <c r="Q185" s="11">
        <v>0</v>
      </c>
      <c r="R185" s="12">
        <f>$G$185*$G$8+$H$185*$H$8+$I$185*$I$8+$J$185*$J$8+$K$185*$K$8+$L$185*$L$8+$M$185*$M$8+$N$185*$N$8+$O$185*$O$8+$P$185*$P$8+$Q$185*$Q$8</f>
        <v>0</v>
      </c>
      <c r="S185" s="12">
        <v>0</v>
      </c>
      <c r="T185" s="12">
        <f>$R$185+$S$185</f>
        <v>0</v>
      </c>
    </row>
    <row r="186" spans="1:20" x14ac:dyDescent="0.3">
      <c r="A186" s="13" t="s">
        <v>703</v>
      </c>
      <c r="B186" s="14" t="s">
        <v>704</v>
      </c>
      <c r="C186" s="14"/>
      <c r="D186" s="14" t="s">
        <v>705</v>
      </c>
      <c r="E186" s="14">
        <f xml:space="preserve"> IF($T$186,1,0)</f>
        <v>0</v>
      </c>
      <c r="F186" s="14" t="s">
        <v>706</v>
      </c>
      <c r="G186" s="14">
        <v>0</v>
      </c>
      <c r="H186" s="14">
        <v>0</v>
      </c>
      <c r="I186" s="14">
        <v>0</v>
      </c>
      <c r="J186" s="14">
        <v>0</v>
      </c>
      <c r="K186" s="14">
        <v>0</v>
      </c>
      <c r="L186" s="14">
        <v>0</v>
      </c>
      <c r="M186" s="14">
        <v>0</v>
      </c>
      <c r="N186" s="14">
        <v>0</v>
      </c>
      <c r="O186" s="14">
        <v>0</v>
      </c>
      <c r="P186" s="14">
        <v>0</v>
      </c>
      <c r="Q186" s="14">
        <v>0</v>
      </c>
      <c r="R186" s="15">
        <f>$G$186*$G$8+$H$186*$H$8+$I$186*$I$8+$J$186*$J$8+$K$186*$K$8+$L$186*$L$8+$M$186*$M$8+$N$186*$N$8+$O$186*$O$8+$P$186*$P$8+$Q$186*$Q$8</f>
        <v>0</v>
      </c>
      <c r="S186" s="15">
        <v>0</v>
      </c>
      <c r="T186" s="15">
        <f>$R$186+$S$186</f>
        <v>0</v>
      </c>
    </row>
    <row r="187" spans="1:20" x14ac:dyDescent="0.3">
      <c r="A187" s="10" t="s">
        <v>707</v>
      </c>
      <c r="B187" s="11" t="s">
        <v>708</v>
      </c>
      <c r="C187" s="11"/>
      <c r="D187" s="11" t="s">
        <v>222</v>
      </c>
      <c r="E187" s="11">
        <f xml:space="preserve"> IF($T$187,1,0)</f>
        <v>0</v>
      </c>
      <c r="F187" s="11" t="s">
        <v>709</v>
      </c>
      <c r="G187" s="11">
        <v>0</v>
      </c>
      <c r="H187" s="11">
        <v>0</v>
      </c>
      <c r="I187" s="11">
        <v>0</v>
      </c>
      <c r="J187" s="11">
        <v>0</v>
      </c>
      <c r="K187" s="11">
        <v>0</v>
      </c>
      <c r="L187" s="11">
        <v>0</v>
      </c>
      <c r="M187" s="11">
        <v>0</v>
      </c>
      <c r="N187" s="11">
        <v>0</v>
      </c>
      <c r="O187" s="11">
        <v>0</v>
      </c>
      <c r="P187" s="11">
        <v>0</v>
      </c>
      <c r="Q187" s="11">
        <v>0</v>
      </c>
      <c r="R187" s="12">
        <f>$G$187*$G$8+$H$187*$H$8+$I$187*$I$8+$J$187*$J$8+$K$187*$K$8+$L$187*$L$8+$M$187*$M$8+$N$187*$N$8+$O$187*$O$8+$P$187*$P$8+$Q$187*$Q$8</f>
        <v>0</v>
      </c>
      <c r="S187" s="12">
        <v>0</v>
      </c>
      <c r="T187" s="12">
        <f>$R$187+$S$187</f>
        <v>0</v>
      </c>
    </row>
    <row r="188" spans="1:20" x14ac:dyDescent="0.3">
      <c r="A188" s="13" t="s">
        <v>710</v>
      </c>
      <c r="B188" s="14" t="s">
        <v>708</v>
      </c>
      <c r="C188" s="14"/>
      <c r="D188" s="14" t="s">
        <v>711</v>
      </c>
      <c r="E188" s="14">
        <f xml:space="preserve"> IF($T$188,1,0)</f>
        <v>0</v>
      </c>
      <c r="F188" s="14" t="s">
        <v>712</v>
      </c>
      <c r="G188" s="14">
        <v>0</v>
      </c>
      <c r="H188" s="14">
        <v>0</v>
      </c>
      <c r="I188" s="14">
        <v>0</v>
      </c>
      <c r="J188" s="14">
        <v>0</v>
      </c>
      <c r="K188" s="14">
        <v>0</v>
      </c>
      <c r="L188" s="14">
        <v>0</v>
      </c>
      <c r="M188" s="14">
        <v>0</v>
      </c>
      <c r="N188" s="14">
        <v>0</v>
      </c>
      <c r="O188" s="14">
        <v>0</v>
      </c>
      <c r="P188" s="14">
        <v>0</v>
      </c>
      <c r="Q188" s="14">
        <v>0</v>
      </c>
      <c r="R188" s="15">
        <f>$G$188*$G$8+$H$188*$H$8+$I$188*$I$8+$J$188*$J$8+$K$188*$K$8+$L$188*$L$8+$M$188*$M$8+$N$188*$N$8+$O$188*$O$8+$P$188*$P$8+$Q$188*$Q$8</f>
        <v>0</v>
      </c>
      <c r="S188" s="15">
        <v>0</v>
      </c>
      <c r="T188" s="15">
        <f>$R$188+$S$188</f>
        <v>0</v>
      </c>
    </row>
    <row r="189" spans="1:20" x14ac:dyDescent="0.3">
      <c r="A189" s="10" t="s">
        <v>713</v>
      </c>
      <c r="B189" s="11" t="s">
        <v>708</v>
      </c>
      <c r="C189" s="11"/>
      <c r="D189" s="11" t="s">
        <v>714</v>
      </c>
      <c r="E189" s="11">
        <f xml:space="preserve"> IF($T$189,1,0)</f>
        <v>1</v>
      </c>
      <c r="F189" s="11" t="s">
        <v>715</v>
      </c>
      <c r="G189" s="11">
        <v>4</v>
      </c>
      <c r="H189" s="11">
        <v>1</v>
      </c>
      <c r="I189" s="11">
        <v>0</v>
      </c>
      <c r="J189" s="11">
        <v>0</v>
      </c>
      <c r="K189" s="11">
        <v>0</v>
      </c>
      <c r="L189" s="11">
        <v>0</v>
      </c>
      <c r="M189" s="11">
        <v>0</v>
      </c>
      <c r="N189" s="11">
        <v>0</v>
      </c>
      <c r="O189" s="11">
        <v>0</v>
      </c>
      <c r="P189" s="11">
        <v>0</v>
      </c>
      <c r="Q189" s="11">
        <v>0</v>
      </c>
      <c r="R189" s="12">
        <f>$G$189*$G$8+$H$189*$H$8+$I$189*$I$8+$J$189*$J$8+$K$189*$K$8+$L$189*$L$8+$M$189*$M$8+$N$189*$N$8+$O$189*$O$8+$P$189*$P$8+$Q$189*$Q$8</f>
        <v>6.6000000000000005</v>
      </c>
      <c r="S189" s="12">
        <v>0</v>
      </c>
      <c r="T189" s="12">
        <f>$R$189+$S$189</f>
        <v>6.6000000000000005</v>
      </c>
    </row>
    <row r="190" spans="1:20" x14ac:dyDescent="0.3">
      <c r="A190" s="13" t="s">
        <v>716</v>
      </c>
      <c r="B190" s="14" t="s">
        <v>717</v>
      </c>
      <c r="C190" s="14"/>
      <c r="D190" s="14" t="s">
        <v>718</v>
      </c>
      <c r="E190" s="14">
        <f xml:space="preserve"> IF($T$190,1,0)</f>
        <v>0</v>
      </c>
      <c r="F190" s="14" t="s">
        <v>719</v>
      </c>
      <c r="G190" s="14">
        <v>0</v>
      </c>
      <c r="H190" s="14">
        <v>0</v>
      </c>
      <c r="I190" s="14">
        <v>0</v>
      </c>
      <c r="J190" s="14">
        <v>0</v>
      </c>
      <c r="K190" s="14">
        <v>0</v>
      </c>
      <c r="L190" s="14">
        <v>0</v>
      </c>
      <c r="M190" s="14">
        <v>0</v>
      </c>
      <c r="N190" s="14">
        <v>0</v>
      </c>
      <c r="O190" s="14">
        <v>0</v>
      </c>
      <c r="P190" s="14">
        <v>0</v>
      </c>
      <c r="Q190" s="14">
        <v>0</v>
      </c>
      <c r="R190" s="15">
        <f>$G$190*$G$8+$H$190*$H$8+$I$190*$I$8+$J$190*$J$8+$K$190*$K$8+$L$190*$L$8+$M$190*$M$8+$N$190*$N$8+$O$190*$O$8+$P$190*$P$8+$Q$190*$Q$8</f>
        <v>0</v>
      </c>
      <c r="S190" s="15">
        <v>0</v>
      </c>
      <c r="T190" s="15">
        <f>$R$190+$S$190</f>
        <v>0</v>
      </c>
    </row>
    <row r="191" spans="1:20" x14ac:dyDescent="0.3">
      <c r="A191" s="10" t="s">
        <v>720</v>
      </c>
      <c r="B191" s="11" t="s">
        <v>721</v>
      </c>
      <c r="C191" s="11"/>
      <c r="D191" s="11" t="s">
        <v>722</v>
      </c>
      <c r="E191" s="11">
        <f xml:space="preserve"> IF($T$191,1,0)</f>
        <v>0</v>
      </c>
      <c r="F191" s="11" t="s">
        <v>723</v>
      </c>
      <c r="G191" s="11">
        <v>0</v>
      </c>
      <c r="H191" s="11">
        <v>0</v>
      </c>
      <c r="I191" s="11">
        <v>0</v>
      </c>
      <c r="J191" s="11">
        <v>0</v>
      </c>
      <c r="K191" s="11">
        <v>0</v>
      </c>
      <c r="L191" s="11">
        <v>0</v>
      </c>
      <c r="M191" s="11">
        <v>0</v>
      </c>
      <c r="N191" s="11">
        <v>0</v>
      </c>
      <c r="O191" s="11">
        <v>0</v>
      </c>
      <c r="P191" s="11">
        <v>0</v>
      </c>
      <c r="Q191" s="11">
        <v>0</v>
      </c>
      <c r="R191" s="12">
        <f>$G$191*$G$8+$H$191*$H$8+$I$191*$I$8+$J$191*$J$8+$K$191*$K$8+$L$191*$L$8+$M$191*$M$8+$N$191*$N$8+$O$191*$O$8+$P$191*$P$8+$Q$191*$Q$8</f>
        <v>0</v>
      </c>
      <c r="S191" s="12">
        <v>0</v>
      </c>
      <c r="T191" s="12">
        <f>$R$191+$S$191</f>
        <v>0</v>
      </c>
    </row>
    <row r="192" spans="1:20" x14ac:dyDescent="0.3">
      <c r="A192" s="13" t="s">
        <v>724</v>
      </c>
      <c r="B192" s="14" t="s">
        <v>721</v>
      </c>
      <c r="C192" s="14"/>
      <c r="D192" s="14" t="s">
        <v>725</v>
      </c>
      <c r="E192" s="14">
        <f xml:space="preserve"> IF($T$192,1,0)</f>
        <v>1</v>
      </c>
      <c r="F192" s="14" t="s">
        <v>726</v>
      </c>
      <c r="G192" s="14">
        <v>7</v>
      </c>
      <c r="H192" s="14">
        <v>1</v>
      </c>
      <c r="I192" s="14">
        <v>0</v>
      </c>
      <c r="J192" s="14">
        <v>0</v>
      </c>
      <c r="K192" s="14">
        <v>0</v>
      </c>
      <c r="L192" s="14">
        <v>0</v>
      </c>
      <c r="M192" s="14">
        <v>0</v>
      </c>
      <c r="N192" s="14">
        <v>0</v>
      </c>
      <c r="O192" s="14">
        <v>0</v>
      </c>
      <c r="P192" s="14">
        <v>0</v>
      </c>
      <c r="Q192" s="14">
        <v>0</v>
      </c>
      <c r="R192" s="15">
        <f>$G$192*$G$8+$H$192*$H$8+$I$192*$I$8+$J$192*$J$8+$K$192*$K$8+$L$192*$L$8+$M$192*$M$8+$N$192*$N$8+$O$192*$O$8+$P$192*$P$8+$Q$192*$Q$8</f>
        <v>9.9000000000000021</v>
      </c>
      <c r="S192" s="15">
        <v>0</v>
      </c>
      <c r="T192" s="15">
        <f>$R$192+$S$192</f>
        <v>9.9000000000000021</v>
      </c>
    </row>
    <row r="193" spans="1:20" x14ac:dyDescent="0.3">
      <c r="A193" s="10" t="s">
        <v>727</v>
      </c>
      <c r="B193" s="11" t="s">
        <v>728</v>
      </c>
      <c r="C193" s="11"/>
      <c r="D193" s="11" t="s">
        <v>729</v>
      </c>
      <c r="E193" s="11">
        <f xml:space="preserve"> IF($T$193,1,0)</f>
        <v>0</v>
      </c>
      <c r="F193" s="11" t="s">
        <v>730</v>
      </c>
      <c r="G193" s="11">
        <v>0</v>
      </c>
      <c r="H193" s="11">
        <v>0</v>
      </c>
      <c r="I193" s="11">
        <v>0</v>
      </c>
      <c r="J193" s="11">
        <v>0</v>
      </c>
      <c r="K193" s="11">
        <v>0</v>
      </c>
      <c r="L193" s="11">
        <v>0</v>
      </c>
      <c r="M193" s="11">
        <v>0</v>
      </c>
      <c r="N193" s="11">
        <v>0</v>
      </c>
      <c r="O193" s="11">
        <v>0</v>
      </c>
      <c r="P193" s="11">
        <v>0</v>
      </c>
      <c r="Q193" s="11">
        <v>0</v>
      </c>
      <c r="R193" s="12">
        <f>$G$193*$G$8+$H$193*$H$8+$I$193*$I$8+$J$193*$J$8+$K$193*$K$8+$L$193*$L$8+$M$193*$M$8+$N$193*$N$8+$O$193*$O$8+$P$193*$P$8+$Q$193*$Q$8</f>
        <v>0</v>
      </c>
      <c r="S193" s="12">
        <v>0</v>
      </c>
      <c r="T193" s="12">
        <f>$R$193+$S$193</f>
        <v>0</v>
      </c>
    </row>
    <row r="194" spans="1:20" x14ac:dyDescent="0.3">
      <c r="A194" s="13" t="s">
        <v>731</v>
      </c>
      <c r="B194" s="14" t="s">
        <v>732</v>
      </c>
      <c r="C194" s="14"/>
      <c r="D194" s="14" t="s">
        <v>733</v>
      </c>
      <c r="E194" s="14">
        <f xml:space="preserve"> IF($T$194,1,0)</f>
        <v>0</v>
      </c>
      <c r="F194" s="14" t="s">
        <v>734</v>
      </c>
      <c r="G194" s="14">
        <v>0</v>
      </c>
      <c r="H194" s="14">
        <v>0</v>
      </c>
      <c r="I194" s="14">
        <v>0</v>
      </c>
      <c r="J194" s="14">
        <v>0</v>
      </c>
      <c r="K194" s="14">
        <v>0</v>
      </c>
      <c r="L194" s="14">
        <v>0</v>
      </c>
      <c r="M194" s="14">
        <v>0</v>
      </c>
      <c r="N194" s="14">
        <v>0</v>
      </c>
      <c r="O194" s="14">
        <v>0</v>
      </c>
      <c r="P194" s="14">
        <v>0</v>
      </c>
      <c r="Q194" s="14">
        <v>0</v>
      </c>
      <c r="R194" s="15">
        <f>$G$194*$G$8+$H$194*$H$8+$I$194*$I$8+$J$194*$J$8+$K$194*$K$8+$L$194*$L$8+$M$194*$M$8+$N$194*$N$8+$O$194*$O$8+$P$194*$P$8+$Q$194*$Q$8</f>
        <v>0</v>
      </c>
      <c r="S194" s="15">
        <v>0</v>
      </c>
      <c r="T194" s="15">
        <f>$R$194+$S$194</f>
        <v>0</v>
      </c>
    </row>
    <row r="195" spans="1:20" x14ac:dyDescent="0.3">
      <c r="A195" s="10" t="s">
        <v>735</v>
      </c>
      <c r="B195" s="11" t="s">
        <v>736</v>
      </c>
      <c r="C195" s="11"/>
      <c r="D195" s="11" t="s">
        <v>737</v>
      </c>
      <c r="E195" s="11">
        <f xml:space="preserve"> IF($T$195,1,0)</f>
        <v>0</v>
      </c>
      <c r="F195" s="11" t="s">
        <v>738</v>
      </c>
      <c r="G195" s="11">
        <v>0</v>
      </c>
      <c r="H195" s="11">
        <v>0</v>
      </c>
      <c r="I195" s="11">
        <v>0</v>
      </c>
      <c r="J195" s="11">
        <v>0</v>
      </c>
      <c r="K195" s="11">
        <v>0</v>
      </c>
      <c r="L195" s="11">
        <v>0</v>
      </c>
      <c r="M195" s="11">
        <v>0</v>
      </c>
      <c r="N195" s="11">
        <v>0</v>
      </c>
      <c r="O195" s="11">
        <v>0</v>
      </c>
      <c r="P195" s="11">
        <v>0</v>
      </c>
      <c r="Q195" s="11">
        <v>0</v>
      </c>
      <c r="R195" s="12">
        <f>$G$195*$G$8+$H$195*$H$8+$I$195*$I$8+$J$195*$J$8+$K$195*$K$8+$L$195*$L$8+$M$195*$M$8+$N$195*$N$8+$O$195*$O$8+$P$195*$P$8+$Q$195*$Q$8</f>
        <v>0</v>
      </c>
      <c r="S195" s="12">
        <v>0</v>
      </c>
      <c r="T195" s="12">
        <f>$R$195+$S$195</f>
        <v>0</v>
      </c>
    </row>
    <row r="196" spans="1:20" x14ac:dyDescent="0.3">
      <c r="A196" s="13" t="s">
        <v>739</v>
      </c>
      <c r="B196" s="14" t="s">
        <v>740</v>
      </c>
      <c r="C196" s="14" t="s">
        <v>65</v>
      </c>
      <c r="D196" s="14" t="s">
        <v>239</v>
      </c>
      <c r="E196" s="14">
        <f xml:space="preserve"> IF($T$196,1,0)</f>
        <v>0</v>
      </c>
      <c r="F196" s="14" t="s">
        <v>741</v>
      </c>
      <c r="G196" s="14">
        <v>0</v>
      </c>
      <c r="H196" s="14">
        <v>0</v>
      </c>
      <c r="I196" s="14">
        <v>0</v>
      </c>
      <c r="J196" s="14">
        <v>0</v>
      </c>
      <c r="K196" s="14">
        <v>0</v>
      </c>
      <c r="L196" s="14">
        <v>0</v>
      </c>
      <c r="M196" s="14">
        <v>0</v>
      </c>
      <c r="N196" s="14">
        <v>0</v>
      </c>
      <c r="O196" s="14">
        <v>0</v>
      </c>
      <c r="P196" s="14">
        <v>0</v>
      </c>
      <c r="Q196" s="14">
        <v>0</v>
      </c>
      <c r="R196" s="15">
        <f>$G$196*$G$8+$H$196*$H$8+$I$196*$I$8+$J$196*$J$8+$K$196*$K$8+$L$196*$L$8+$M$196*$M$8+$N$196*$N$8+$O$196*$O$8+$P$196*$P$8+$Q$196*$Q$8</f>
        <v>0</v>
      </c>
      <c r="S196" s="15">
        <v>0</v>
      </c>
      <c r="T196" s="15">
        <f>$R$196+$S$196</f>
        <v>0</v>
      </c>
    </row>
    <row r="197" spans="1:20" x14ac:dyDescent="0.3">
      <c r="A197" s="10" t="s">
        <v>742</v>
      </c>
      <c r="B197" s="11" t="s">
        <v>743</v>
      </c>
      <c r="C197" s="11"/>
      <c r="D197" s="11" t="s">
        <v>744</v>
      </c>
      <c r="E197" s="11">
        <f xml:space="preserve"> IF($T$197,1,0)</f>
        <v>0</v>
      </c>
      <c r="F197" s="11" t="s">
        <v>745</v>
      </c>
      <c r="G197" s="11">
        <v>0</v>
      </c>
      <c r="H197" s="11">
        <v>0</v>
      </c>
      <c r="I197" s="11">
        <v>0</v>
      </c>
      <c r="J197" s="11">
        <v>0</v>
      </c>
      <c r="K197" s="11">
        <v>0</v>
      </c>
      <c r="L197" s="11">
        <v>0</v>
      </c>
      <c r="M197" s="11">
        <v>0</v>
      </c>
      <c r="N197" s="11">
        <v>0</v>
      </c>
      <c r="O197" s="11">
        <v>0</v>
      </c>
      <c r="P197" s="11">
        <v>0</v>
      </c>
      <c r="Q197" s="11">
        <v>0</v>
      </c>
      <c r="R197" s="12">
        <f>$G$197*$G$8+$H$197*$H$8+$I$197*$I$8+$J$197*$J$8+$K$197*$K$8+$L$197*$L$8+$M$197*$M$8+$N$197*$N$8+$O$197*$O$8+$P$197*$P$8+$Q$197*$Q$8</f>
        <v>0</v>
      </c>
      <c r="S197" s="12">
        <v>0</v>
      </c>
      <c r="T197" s="12">
        <f>$R$197+$S$197</f>
        <v>0</v>
      </c>
    </row>
    <row r="198" spans="1:20" x14ac:dyDescent="0.3">
      <c r="A198" s="13" t="s">
        <v>746</v>
      </c>
      <c r="B198" s="14" t="s">
        <v>747</v>
      </c>
      <c r="C198" s="14"/>
      <c r="D198" s="14" t="s">
        <v>748</v>
      </c>
      <c r="E198" s="14">
        <f xml:space="preserve"> IF($T$198,1,0)</f>
        <v>0</v>
      </c>
      <c r="F198" s="14" t="s">
        <v>749</v>
      </c>
      <c r="G198" s="14">
        <v>0</v>
      </c>
      <c r="H198" s="14">
        <v>0</v>
      </c>
      <c r="I198" s="14">
        <v>0</v>
      </c>
      <c r="J198" s="14">
        <v>0</v>
      </c>
      <c r="K198" s="14">
        <v>0</v>
      </c>
      <c r="L198" s="14">
        <v>0</v>
      </c>
      <c r="M198" s="14">
        <v>0</v>
      </c>
      <c r="N198" s="14">
        <v>0</v>
      </c>
      <c r="O198" s="14">
        <v>0</v>
      </c>
      <c r="P198" s="14">
        <v>0</v>
      </c>
      <c r="Q198" s="14">
        <v>0</v>
      </c>
      <c r="R198" s="15">
        <f>$G$198*$G$8+$H$198*$H$8+$I$198*$I$8+$J$198*$J$8+$K$198*$K$8+$L$198*$L$8+$M$198*$M$8+$N$198*$N$8+$O$198*$O$8+$P$198*$P$8+$Q$198*$Q$8</f>
        <v>0</v>
      </c>
      <c r="S198" s="15">
        <v>0</v>
      </c>
      <c r="T198" s="15">
        <f>$R$198+$S$198</f>
        <v>0</v>
      </c>
    </row>
    <row r="199" spans="1:20" x14ac:dyDescent="0.3">
      <c r="A199" s="10" t="s">
        <v>750</v>
      </c>
      <c r="B199" s="11" t="s">
        <v>751</v>
      </c>
      <c r="C199" s="11"/>
      <c r="D199" s="11" t="s">
        <v>752</v>
      </c>
      <c r="E199" s="11">
        <f xml:space="preserve"> IF($T$199,1,0)</f>
        <v>0</v>
      </c>
      <c r="F199" s="11" t="s">
        <v>753</v>
      </c>
      <c r="G199" s="11">
        <v>0</v>
      </c>
      <c r="H199" s="11">
        <v>0</v>
      </c>
      <c r="I199" s="11">
        <v>0</v>
      </c>
      <c r="J199" s="11">
        <v>0</v>
      </c>
      <c r="K199" s="11">
        <v>0</v>
      </c>
      <c r="L199" s="11">
        <v>0</v>
      </c>
      <c r="M199" s="11">
        <v>0</v>
      </c>
      <c r="N199" s="11">
        <v>0</v>
      </c>
      <c r="O199" s="11">
        <v>0</v>
      </c>
      <c r="P199" s="11">
        <v>0</v>
      </c>
      <c r="Q199" s="11">
        <v>0</v>
      </c>
      <c r="R199" s="12">
        <f>$G$199*$G$8+$H$199*$H$8+$I$199*$I$8+$J$199*$J$8+$K$199*$K$8+$L$199*$L$8+$M$199*$M$8+$N$199*$N$8+$O$199*$O$8+$P$199*$P$8+$Q$199*$Q$8</f>
        <v>0</v>
      </c>
      <c r="S199" s="12">
        <v>0</v>
      </c>
      <c r="T199" s="12">
        <f>$R$199+$S$199</f>
        <v>0</v>
      </c>
    </row>
    <row r="200" spans="1:20" x14ac:dyDescent="0.3">
      <c r="A200" s="13" t="s">
        <v>754</v>
      </c>
      <c r="B200" s="14" t="s">
        <v>755</v>
      </c>
      <c r="C200" s="14"/>
      <c r="D200" s="14" t="s">
        <v>756</v>
      </c>
      <c r="E200" s="14">
        <f xml:space="preserve"> IF($T$200,1,0)</f>
        <v>0</v>
      </c>
      <c r="F200" s="14" t="s">
        <v>757</v>
      </c>
      <c r="G200" s="14">
        <v>0</v>
      </c>
      <c r="H200" s="14">
        <v>0</v>
      </c>
      <c r="I200" s="14">
        <v>0</v>
      </c>
      <c r="J200" s="14">
        <v>0</v>
      </c>
      <c r="K200" s="14">
        <v>0</v>
      </c>
      <c r="L200" s="14">
        <v>0</v>
      </c>
      <c r="M200" s="14">
        <v>0</v>
      </c>
      <c r="N200" s="14">
        <v>0</v>
      </c>
      <c r="O200" s="14">
        <v>0</v>
      </c>
      <c r="P200" s="14">
        <v>0</v>
      </c>
      <c r="Q200" s="14">
        <v>0</v>
      </c>
      <c r="R200" s="15">
        <f>$G$200*$G$8+$H$200*$H$8+$I$200*$I$8+$J$200*$J$8+$K$200*$K$8+$L$200*$L$8+$M$200*$M$8+$N$200*$N$8+$O$200*$O$8+$P$200*$P$8+$Q$200*$Q$8</f>
        <v>0</v>
      </c>
      <c r="S200" s="15">
        <v>0</v>
      </c>
      <c r="T200" s="15">
        <f>$R$200+$S$200</f>
        <v>0</v>
      </c>
    </row>
    <row r="201" spans="1:20" x14ac:dyDescent="0.3">
      <c r="A201" s="10" t="s">
        <v>758</v>
      </c>
      <c r="B201" s="11" t="s">
        <v>759</v>
      </c>
      <c r="C201" s="11"/>
      <c r="D201" s="11" t="s">
        <v>760</v>
      </c>
      <c r="E201" s="11">
        <f xml:space="preserve"> IF($T$201,1,0)</f>
        <v>0</v>
      </c>
      <c r="F201" s="11" t="s">
        <v>761</v>
      </c>
      <c r="G201" s="11">
        <v>0</v>
      </c>
      <c r="H201" s="11">
        <v>0</v>
      </c>
      <c r="I201" s="11">
        <v>0</v>
      </c>
      <c r="J201" s="11">
        <v>0</v>
      </c>
      <c r="K201" s="11">
        <v>0</v>
      </c>
      <c r="L201" s="11">
        <v>0</v>
      </c>
      <c r="M201" s="11">
        <v>0</v>
      </c>
      <c r="N201" s="11">
        <v>0</v>
      </c>
      <c r="O201" s="11">
        <v>0</v>
      </c>
      <c r="P201" s="11">
        <v>0</v>
      </c>
      <c r="Q201" s="11">
        <v>0</v>
      </c>
      <c r="R201" s="12">
        <f>$G$201*$G$8+$H$201*$H$8+$I$201*$I$8+$J$201*$J$8+$K$201*$K$8+$L$201*$L$8+$M$201*$M$8+$N$201*$N$8+$O$201*$O$8+$P$201*$P$8+$Q$201*$Q$8</f>
        <v>0</v>
      </c>
      <c r="S201" s="12">
        <v>0</v>
      </c>
      <c r="T201" s="12">
        <f>$R$201+$S$201</f>
        <v>0</v>
      </c>
    </row>
    <row r="202" spans="1:20" x14ac:dyDescent="0.3">
      <c r="A202" s="13" t="s">
        <v>762</v>
      </c>
      <c r="B202" s="14" t="s">
        <v>763</v>
      </c>
      <c r="C202" s="14"/>
      <c r="D202" s="14" t="s">
        <v>764</v>
      </c>
      <c r="E202" s="14">
        <f xml:space="preserve"> IF($T$202,1,0)</f>
        <v>0</v>
      </c>
      <c r="F202" s="14" t="s">
        <v>765</v>
      </c>
      <c r="G202" s="14">
        <v>0</v>
      </c>
      <c r="H202" s="14">
        <v>0</v>
      </c>
      <c r="I202" s="14">
        <v>0</v>
      </c>
      <c r="J202" s="14">
        <v>0</v>
      </c>
      <c r="K202" s="14">
        <v>0</v>
      </c>
      <c r="L202" s="14">
        <v>0</v>
      </c>
      <c r="M202" s="14">
        <v>0</v>
      </c>
      <c r="N202" s="14">
        <v>0</v>
      </c>
      <c r="O202" s="14">
        <v>0</v>
      </c>
      <c r="P202" s="14">
        <v>0</v>
      </c>
      <c r="Q202" s="14">
        <v>0</v>
      </c>
      <c r="R202" s="15">
        <f>$G$202*$G$8+$H$202*$H$8+$I$202*$I$8+$J$202*$J$8+$K$202*$K$8+$L$202*$L$8+$M$202*$M$8+$N$202*$N$8+$O$202*$O$8+$P$202*$P$8+$Q$202*$Q$8</f>
        <v>0</v>
      </c>
      <c r="S202" s="15">
        <v>0</v>
      </c>
      <c r="T202" s="15">
        <f>$R$202+$S$202</f>
        <v>0</v>
      </c>
    </row>
    <row r="203" spans="1:20" x14ac:dyDescent="0.3">
      <c r="A203" s="10" t="s">
        <v>766</v>
      </c>
      <c r="B203" s="11" t="s">
        <v>767</v>
      </c>
      <c r="C203" s="11"/>
      <c r="D203" s="11" t="s">
        <v>768</v>
      </c>
      <c r="E203" s="11">
        <f xml:space="preserve"> IF($T$203,1,0)</f>
        <v>0</v>
      </c>
      <c r="F203" s="11" t="s">
        <v>769</v>
      </c>
      <c r="G203" s="11">
        <v>0</v>
      </c>
      <c r="H203" s="11">
        <v>0</v>
      </c>
      <c r="I203" s="11">
        <v>0</v>
      </c>
      <c r="J203" s="11">
        <v>0</v>
      </c>
      <c r="K203" s="11">
        <v>0</v>
      </c>
      <c r="L203" s="11">
        <v>0</v>
      </c>
      <c r="M203" s="11">
        <v>0</v>
      </c>
      <c r="N203" s="11">
        <v>0</v>
      </c>
      <c r="O203" s="11">
        <v>0</v>
      </c>
      <c r="P203" s="11">
        <v>0</v>
      </c>
      <c r="Q203" s="11">
        <v>0</v>
      </c>
      <c r="R203" s="12">
        <f>$G$203*$G$8+$H$203*$H$8+$I$203*$I$8+$J$203*$J$8+$K$203*$K$8+$L$203*$L$8+$M$203*$M$8+$N$203*$N$8+$O$203*$O$8+$P$203*$P$8+$Q$203*$Q$8</f>
        <v>0</v>
      </c>
      <c r="S203" s="12">
        <v>0</v>
      </c>
      <c r="T203" s="12">
        <f>$R$203+$S$203</f>
        <v>0</v>
      </c>
    </row>
    <row r="204" spans="1:20" x14ac:dyDescent="0.3">
      <c r="A204" s="13" t="s">
        <v>770</v>
      </c>
      <c r="B204" s="14" t="s">
        <v>771</v>
      </c>
      <c r="C204" s="14"/>
      <c r="D204" s="14" t="s">
        <v>772</v>
      </c>
      <c r="E204" s="14">
        <f xml:space="preserve"> IF($T$204,1,0)</f>
        <v>0</v>
      </c>
      <c r="F204" s="14" t="s">
        <v>773</v>
      </c>
      <c r="G204" s="14">
        <v>0</v>
      </c>
      <c r="H204" s="14">
        <v>0</v>
      </c>
      <c r="I204" s="14">
        <v>0</v>
      </c>
      <c r="J204" s="14">
        <v>0</v>
      </c>
      <c r="K204" s="14">
        <v>0</v>
      </c>
      <c r="L204" s="14">
        <v>0</v>
      </c>
      <c r="M204" s="14">
        <v>0</v>
      </c>
      <c r="N204" s="14">
        <v>0</v>
      </c>
      <c r="O204" s="14">
        <v>0</v>
      </c>
      <c r="P204" s="14">
        <v>0</v>
      </c>
      <c r="Q204" s="14">
        <v>0</v>
      </c>
      <c r="R204" s="15">
        <f>$G$204*$G$8+$H$204*$H$8+$I$204*$I$8+$J$204*$J$8+$K$204*$K$8+$L$204*$L$8+$M$204*$M$8+$N$204*$N$8+$O$204*$O$8+$P$204*$P$8+$Q$204*$Q$8</f>
        <v>0</v>
      </c>
      <c r="S204" s="15">
        <v>0</v>
      </c>
      <c r="T204" s="15">
        <f>$R$204+$S$204</f>
        <v>0</v>
      </c>
    </row>
    <row r="205" spans="1:20" x14ac:dyDescent="0.3">
      <c r="A205" s="10" t="s">
        <v>774</v>
      </c>
      <c r="B205" s="11" t="s">
        <v>775</v>
      </c>
      <c r="C205" s="11"/>
      <c r="D205" s="11" t="s">
        <v>776</v>
      </c>
      <c r="E205" s="11">
        <f xml:space="preserve"> IF($T$205,1,0)</f>
        <v>1</v>
      </c>
      <c r="F205" s="11" t="s">
        <v>777</v>
      </c>
      <c r="G205" s="11">
        <v>1</v>
      </c>
      <c r="H205" s="11">
        <v>0</v>
      </c>
      <c r="I205" s="11">
        <v>0</v>
      </c>
      <c r="J205" s="11">
        <v>0</v>
      </c>
      <c r="K205" s="11">
        <v>0</v>
      </c>
      <c r="L205" s="11">
        <v>0</v>
      </c>
      <c r="M205" s="11">
        <v>0</v>
      </c>
      <c r="N205" s="11">
        <v>0</v>
      </c>
      <c r="O205" s="11">
        <v>0</v>
      </c>
      <c r="P205" s="11">
        <v>0</v>
      </c>
      <c r="Q205" s="11">
        <v>1</v>
      </c>
      <c r="R205" s="12">
        <f>$G$205*$G$8+$H$205*$H$8+$I$205*$I$8+$J$205*$J$8+$K$205*$K$8+$L$205*$L$8+$M$205*$M$8+$N$205*$N$8+$O$205*$O$8+$P$205*$P$8+$Q$205*$Q$8</f>
        <v>2.1</v>
      </c>
      <c r="S205" s="12">
        <v>0</v>
      </c>
      <c r="T205" s="12">
        <f>$R$205+$S$205</f>
        <v>2.1</v>
      </c>
    </row>
    <row r="206" spans="1:20" x14ac:dyDescent="0.3">
      <c r="A206" s="13" t="s">
        <v>778</v>
      </c>
      <c r="B206" s="14" t="s">
        <v>779</v>
      </c>
      <c r="C206" s="14"/>
      <c r="D206" s="14" t="s">
        <v>780</v>
      </c>
      <c r="E206" s="14">
        <f xml:space="preserve"> IF($T$206,1,0)</f>
        <v>0</v>
      </c>
      <c r="F206" s="14" t="s">
        <v>781</v>
      </c>
      <c r="G206" s="14">
        <v>0</v>
      </c>
      <c r="H206" s="14">
        <v>0</v>
      </c>
      <c r="I206" s="14">
        <v>0</v>
      </c>
      <c r="J206" s="14">
        <v>0</v>
      </c>
      <c r="K206" s="14">
        <v>0</v>
      </c>
      <c r="L206" s="14">
        <v>0</v>
      </c>
      <c r="M206" s="14">
        <v>0</v>
      </c>
      <c r="N206" s="14">
        <v>0</v>
      </c>
      <c r="O206" s="14">
        <v>0</v>
      </c>
      <c r="P206" s="14">
        <v>0</v>
      </c>
      <c r="Q206" s="14">
        <v>0</v>
      </c>
      <c r="R206" s="15">
        <f>$G$206*$G$8+$H$206*$H$8+$I$206*$I$8+$J$206*$J$8+$K$206*$K$8+$L$206*$L$8+$M$206*$M$8+$N$206*$N$8+$O$206*$O$8+$P$206*$P$8+$Q$206*$Q$8</f>
        <v>0</v>
      </c>
      <c r="S206" s="15">
        <v>0</v>
      </c>
      <c r="T206" s="15">
        <f>$R$206+$S$206</f>
        <v>0</v>
      </c>
    </row>
    <row r="207" spans="1:20" x14ac:dyDescent="0.3">
      <c r="A207" s="10" t="s">
        <v>782</v>
      </c>
      <c r="B207" s="11" t="s">
        <v>779</v>
      </c>
      <c r="C207" s="11"/>
      <c r="D207" s="11" t="s">
        <v>783</v>
      </c>
      <c r="E207" s="11">
        <f xml:space="preserve"> IF($T$207,1,0)</f>
        <v>0</v>
      </c>
      <c r="F207" s="11" t="s">
        <v>784</v>
      </c>
      <c r="G207" s="11">
        <v>0</v>
      </c>
      <c r="H207" s="11">
        <v>0</v>
      </c>
      <c r="I207" s="11">
        <v>0</v>
      </c>
      <c r="J207" s="11">
        <v>0</v>
      </c>
      <c r="K207" s="11">
        <v>0</v>
      </c>
      <c r="L207" s="11">
        <v>0</v>
      </c>
      <c r="M207" s="11">
        <v>0</v>
      </c>
      <c r="N207" s="11">
        <v>0</v>
      </c>
      <c r="O207" s="11">
        <v>0</v>
      </c>
      <c r="P207" s="11">
        <v>0</v>
      </c>
      <c r="Q207" s="11">
        <v>0</v>
      </c>
      <c r="R207" s="12">
        <f>$G$207*$G$8+$H$207*$H$8+$I$207*$I$8+$J$207*$J$8+$K$207*$K$8+$L$207*$L$8+$M$207*$M$8+$N$207*$N$8+$O$207*$O$8+$P$207*$P$8+$Q$207*$Q$8</f>
        <v>0</v>
      </c>
      <c r="S207" s="12">
        <v>0</v>
      </c>
      <c r="T207" s="12">
        <f>$R$207+$S$207</f>
        <v>0</v>
      </c>
    </row>
    <row r="208" spans="1:20" x14ac:dyDescent="0.3">
      <c r="A208" s="13" t="s">
        <v>785</v>
      </c>
      <c r="B208" s="14" t="s">
        <v>779</v>
      </c>
      <c r="C208" s="14"/>
      <c r="D208" s="14" t="s">
        <v>786</v>
      </c>
      <c r="E208" s="14">
        <f xml:space="preserve"> IF($T$208,1,0)</f>
        <v>1</v>
      </c>
      <c r="F208" s="14" t="s">
        <v>787</v>
      </c>
      <c r="G208" s="14">
        <v>1</v>
      </c>
      <c r="H208" s="14">
        <v>0</v>
      </c>
      <c r="I208" s="14">
        <v>0</v>
      </c>
      <c r="J208" s="14">
        <v>2</v>
      </c>
      <c r="K208" s="14">
        <v>0</v>
      </c>
      <c r="L208" s="14">
        <v>0</v>
      </c>
      <c r="M208" s="14">
        <v>0</v>
      </c>
      <c r="N208" s="14">
        <v>0</v>
      </c>
      <c r="O208" s="14">
        <v>0</v>
      </c>
      <c r="P208" s="14">
        <v>0</v>
      </c>
      <c r="Q208" s="14">
        <v>0</v>
      </c>
      <c r="R208" s="15">
        <f>$G$208*$G$8+$H$208*$H$8+$I$208*$I$8+$J$208*$J$8+$K$208*$K$8+$L$208*$L$8+$M$208*$M$8+$N$208*$N$8+$O$208*$O$8+$P$208*$P$8+$Q$208*$Q$8</f>
        <v>5.0999999999999996</v>
      </c>
      <c r="S208" s="15">
        <v>0</v>
      </c>
      <c r="T208" s="15">
        <f>$R$208+$S$208</f>
        <v>5.0999999999999996</v>
      </c>
    </row>
    <row r="209" spans="1:20" x14ac:dyDescent="0.3">
      <c r="A209" s="10" t="s">
        <v>788</v>
      </c>
      <c r="B209" s="11" t="s">
        <v>789</v>
      </c>
      <c r="C209" s="11"/>
      <c r="D209" s="11" t="s">
        <v>790</v>
      </c>
      <c r="E209" s="11">
        <f xml:space="preserve"> IF($T$209,1,0)</f>
        <v>0</v>
      </c>
      <c r="F209" s="11" t="s">
        <v>791</v>
      </c>
      <c r="G209" s="11">
        <v>0</v>
      </c>
      <c r="H209" s="11">
        <v>0</v>
      </c>
      <c r="I209" s="11">
        <v>0</v>
      </c>
      <c r="J209" s="11">
        <v>0</v>
      </c>
      <c r="K209" s="11">
        <v>0</v>
      </c>
      <c r="L209" s="11">
        <v>0</v>
      </c>
      <c r="M209" s="11">
        <v>0</v>
      </c>
      <c r="N209" s="11">
        <v>0</v>
      </c>
      <c r="O209" s="11">
        <v>0</v>
      </c>
      <c r="P209" s="11">
        <v>0</v>
      </c>
      <c r="Q209" s="11">
        <v>0</v>
      </c>
      <c r="R209" s="12">
        <f>$G$209*$G$8+$H$209*$H$8+$I$209*$I$8+$J$209*$J$8+$K$209*$K$8+$L$209*$L$8+$M$209*$M$8+$N$209*$N$8+$O$209*$O$8+$P$209*$P$8+$Q$209*$Q$8</f>
        <v>0</v>
      </c>
      <c r="S209" s="12">
        <v>0</v>
      </c>
      <c r="T209" s="12">
        <f>$R$209+$S$209</f>
        <v>0</v>
      </c>
    </row>
    <row r="210" spans="1:20" x14ac:dyDescent="0.3">
      <c r="A210" s="13" t="s">
        <v>792</v>
      </c>
      <c r="B210" s="14" t="s">
        <v>793</v>
      </c>
      <c r="C210" s="14"/>
      <c r="D210" s="14" t="s">
        <v>794</v>
      </c>
      <c r="E210" s="14">
        <f xml:space="preserve"> IF($T$210,1,0)</f>
        <v>1</v>
      </c>
      <c r="F210" s="14" t="s">
        <v>795</v>
      </c>
      <c r="G210" s="14">
        <v>0</v>
      </c>
      <c r="H210" s="14">
        <v>0</v>
      </c>
      <c r="I210" s="14">
        <v>0</v>
      </c>
      <c r="J210" s="14">
        <v>3</v>
      </c>
      <c r="K210" s="14">
        <v>0</v>
      </c>
      <c r="L210" s="14">
        <v>0</v>
      </c>
      <c r="M210" s="14">
        <v>0</v>
      </c>
      <c r="N210" s="14">
        <v>0</v>
      </c>
      <c r="O210" s="14">
        <v>0</v>
      </c>
      <c r="P210" s="14">
        <v>0</v>
      </c>
      <c r="Q210" s="14">
        <v>0</v>
      </c>
      <c r="R210" s="15">
        <f>$G$210*$G$8+$H$210*$H$8+$I$210*$I$8+$J$210*$J$8+$K$210*$K$8+$L$210*$L$8+$M$210*$M$8+$N$210*$N$8+$O$210*$O$8+$P$210*$P$8+$Q$210*$Q$8</f>
        <v>6</v>
      </c>
      <c r="S210" s="15">
        <v>0</v>
      </c>
      <c r="T210" s="15">
        <f>$R$210+$S$210</f>
        <v>6</v>
      </c>
    </row>
    <row r="211" spans="1:20" x14ac:dyDescent="0.3">
      <c r="A211" s="10" t="s">
        <v>796</v>
      </c>
      <c r="B211" s="11" t="s">
        <v>797</v>
      </c>
      <c r="C211" s="11"/>
      <c r="D211" s="11" t="s">
        <v>798</v>
      </c>
      <c r="E211" s="11">
        <f xml:space="preserve"> IF($T$211,1,0)</f>
        <v>0</v>
      </c>
      <c r="F211" s="11" t="s">
        <v>799</v>
      </c>
      <c r="G211" s="11">
        <v>0</v>
      </c>
      <c r="H211" s="11">
        <v>0</v>
      </c>
      <c r="I211" s="11">
        <v>0</v>
      </c>
      <c r="J211" s="11">
        <v>0</v>
      </c>
      <c r="K211" s="11">
        <v>0</v>
      </c>
      <c r="L211" s="11">
        <v>0</v>
      </c>
      <c r="M211" s="11">
        <v>0</v>
      </c>
      <c r="N211" s="11">
        <v>0</v>
      </c>
      <c r="O211" s="11">
        <v>0</v>
      </c>
      <c r="P211" s="11">
        <v>0</v>
      </c>
      <c r="Q211" s="11">
        <v>0</v>
      </c>
      <c r="R211" s="12">
        <f>$G$211*$G$8+$H$211*$H$8+$I$211*$I$8+$J$211*$J$8+$K$211*$K$8+$L$211*$L$8+$M$211*$M$8+$N$211*$N$8+$O$211*$O$8+$P$211*$P$8+$Q$211*$Q$8</f>
        <v>0</v>
      </c>
      <c r="S211" s="12">
        <v>0</v>
      </c>
      <c r="T211" s="12">
        <f>$R$211+$S$211</f>
        <v>0</v>
      </c>
    </row>
    <row r="212" spans="1:20" x14ac:dyDescent="0.3">
      <c r="A212" s="13" t="s">
        <v>800</v>
      </c>
      <c r="B212" s="14" t="s">
        <v>797</v>
      </c>
      <c r="C212" s="14" t="s">
        <v>34</v>
      </c>
      <c r="D212" s="14" t="s">
        <v>801</v>
      </c>
      <c r="E212" s="14">
        <f xml:space="preserve"> IF($T$212,1,0)</f>
        <v>0</v>
      </c>
      <c r="F212" s="14" t="s">
        <v>802</v>
      </c>
      <c r="G212" s="14">
        <v>0</v>
      </c>
      <c r="H212" s="14">
        <v>0</v>
      </c>
      <c r="I212" s="14">
        <v>0</v>
      </c>
      <c r="J212" s="14">
        <v>0</v>
      </c>
      <c r="K212" s="14">
        <v>0</v>
      </c>
      <c r="L212" s="14">
        <v>0</v>
      </c>
      <c r="M212" s="14">
        <v>0</v>
      </c>
      <c r="N212" s="14">
        <v>0</v>
      </c>
      <c r="O212" s="14">
        <v>0</v>
      </c>
      <c r="P212" s="14">
        <v>0</v>
      </c>
      <c r="Q212" s="14">
        <v>0</v>
      </c>
      <c r="R212" s="15">
        <f>$G$212*$G$8+$H$212*$H$8+$I$212*$I$8+$J$212*$J$8+$K$212*$K$8+$L$212*$L$8+$M$212*$M$8+$N$212*$N$8+$O$212*$O$8+$P$212*$P$8+$Q$212*$Q$8</f>
        <v>0</v>
      </c>
      <c r="S212" s="15">
        <v>0</v>
      </c>
      <c r="T212" s="15">
        <f>$R$212+$S$212</f>
        <v>0</v>
      </c>
    </row>
    <row r="213" spans="1:20" x14ac:dyDescent="0.3">
      <c r="A213" s="10" t="s">
        <v>803</v>
      </c>
      <c r="B213" s="11" t="s">
        <v>804</v>
      </c>
      <c r="C213" s="11" t="s">
        <v>34</v>
      </c>
      <c r="D213" s="11" t="s">
        <v>805</v>
      </c>
      <c r="E213" s="11">
        <f xml:space="preserve"> IF($T$213,1,0)</f>
        <v>0</v>
      </c>
      <c r="F213" s="11" t="s">
        <v>806</v>
      </c>
      <c r="G213" s="11">
        <v>0</v>
      </c>
      <c r="H213" s="11">
        <v>0</v>
      </c>
      <c r="I213" s="11">
        <v>0</v>
      </c>
      <c r="J213" s="11">
        <v>0</v>
      </c>
      <c r="K213" s="11">
        <v>0</v>
      </c>
      <c r="L213" s="11">
        <v>0</v>
      </c>
      <c r="M213" s="11">
        <v>0</v>
      </c>
      <c r="N213" s="11">
        <v>0</v>
      </c>
      <c r="O213" s="11">
        <v>0</v>
      </c>
      <c r="P213" s="11">
        <v>0</v>
      </c>
      <c r="Q213" s="11">
        <v>0</v>
      </c>
      <c r="R213" s="12">
        <f>$G$213*$G$8+$H$213*$H$8+$I$213*$I$8+$J$213*$J$8+$K$213*$K$8+$L$213*$L$8+$M$213*$M$8+$N$213*$N$8+$O$213*$O$8+$P$213*$P$8+$Q$213*$Q$8</f>
        <v>0</v>
      </c>
      <c r="S213" s="12">
        <v>0</v>
      </c>
      <c r="T213" s="12">
        <f>$R$213+$S$213</f>
        <v>0</v>
      </c>
    </row>
    <row r="214" spans="1:20" x14ac:dyDescent="0.3">
      <c r="A214" s="13" t="s">
        <v>807</v>
      </c>
      <c r="B214" s="14" t="s">
        <v>808</v>
      </c>
      <c r="C214" s="14"/>
      <c r="D214" s="14" t="s">
        <v>809</v>
      </c>
      <c r="E214" s="14">
        <f xml:space="preserve"> IF($T$214,1,0)</f>
        <v>1</v>
      </c>
      <c r="F214" s="14" t="s">
        <v>810</v>
      </c>
      <c r="G214" s="14">
        <v>0</v>
      </c>
      <c r="H214" s="14">
        <v>0</v>
      </c>
      <c r="I214" s="14">
        <v>0</v>
      </c>
      <c r="J214" s="14">
        <v>2</v>
      </c>
      <c r="K214" s="14">
        <v>0</v>
      </c>
      <c r="L214" s="14">
        <v>0</v>
      </c>
      <c r="M214" s="14">
        <v>0</v>
      </c>
      <c r="N214" s="14">
        <v>0</v>
      </c>
      <c r="O214" s="14">
        <v>1</v>
      </c>
      <c r="P214" s="14">
        <v>0</v>
      </c>
      <c r="Q214" s="14">
        <v>0</v>
      </c>
      <c r="R214" s="15">
        <f>$G$214*$G$8+$H$214*$H$8+$I$214*$I$8+$J$214*$J$8+$K$214*$K$8+$L$214*$L$8+$M$214*$M$8+$N$214*$N$8+$O$214*$O$8+$P$214*$P$8+$Q$214*$Q$8</f>
        <v>9</v>
      </c>
      <c r="S214" s="15">
        <v>0</v>
      </c>
      <c r="T214" s="15">
        <f>$R$214+$S$214</f>
        <v>9</v>
      </c>
    </row>
    <row r="215" spans="1:20" x14ac:dyDescent="0.3">
      <c r="A215" s="10" t="s">
        <v>811</v>
      </c>
      <c r="B215" s="11" t="s">
        <v>812</v>
      </c>
      <c r="C215" s="11"/>
      <c r="D215" s="11" t="s">
        <v>813</v>
      </c>
      <c r="E215" s="11">
        <f xml:space="preserve"> IF($T$215,1,0)</f>
        <v>0</v>
      </c>
      <c r="F215" s="11" t="s">
        <v>814</v>
      </c>
      <c r="G215" s="11">
        <v>0</v>
      </c>
      <c r="H215" s="11">
        <v>0</v>
      </c>
      <c r="I215" s="11">
        <v>0</v>
      </c>
      <c r="J215" s="11">
        <v>0</v>
      </c>
      <c r="K215" s="11">
        <v>0</v>
      </c>
      <c r="L215" s="11">
        <v>0</v>
      </c>
      <c r="M215" s="11">
        <v>0</v>
      </c>
      <c r="N215" s="11">
        <v>0</v>
      </c>
      <c r="O215" s="11">
        <v>0</v>
      </c>
      <c r="P215" s="11">
        <v>0</v>
      </c>
      <c r="Q215" s="11">
        <v>0</v>
      </c>
      <c r="R215" s="12">
        <f>$G$215*$G$8+$H$215*$H$8+$I$215*$I$8+$J$215*$J$8+$K$215*$K$8+$L$215*$L$8+$M$215*$M$8+$N$215*$N$8+$O$215*$O$8+$P$215*$P$8+$Q$215*$Q$8</f>
        <v>0</v>
      </c>
      <c r="S215" s="12">
        <v>0</v>
      </c>
      <c r="T215" s="12">
        <f>$R$215+$S$215</f>
        <v>0</v>
      </c>
    </row>
    <row r="216" spans="1:20" x14ac:dyDescent="0.3">
      <c r="A216" s="13" t="s">
        <v>815</v>
      </c>
      <c r="B216" s="14" t="s">
        <v>816</v>
      </c>
      <c r="C216" s="14"/>
      <c r="D216" s="14" t="s">
        <v>817</v>
      </c>
      <c r="E216" s="14">
        <f xml:space="preserve"> IF($T$216,1,0)</f>
        <v>0</v>
      </c>
      <c r="F216" s="14" t="s">
        <v>818</v>
      </c>
      <c r="G216" s="14">
        <v>0</v>
      </c>
      <c r="H216" s="14">
        <v>0</v>
      </c>
      <c r="I216" s="14">
        <v>0</v>
      </c>
      <c r="J216" s="14">
        <v>0</v>
      </c>
      <c r="K216" s="14">
        <v>0</v>
      </c>
      <c r="L216" s="14">
        <v>0</v>
      </c>
      <c r="M216" s="14">
        <v>0</v>
      </c>
      <c r="N216" s="14">
        <v>0</v>
      </c>
      <c r="O216" s="14">
        <v>0</v>
      </c>
      <c r="P216" s="14">
        <v>0</v>
      </c>
      <c r="Q216" s="14">
        <v>0</v>
      </c>
      <c r="R216" s="15">
        <f>$G$216*$G$8+$H$216*$H$8+$I$216*$I$8+$J$216*$J$8+$K$216*$K$8+$L$216*$L$8+$M$216*$M$8+$N$216*$N$8+$O$216*$O$8+$P$216*$P$8+$Q$216*$Q$8</f>
        <v>0</v>
      </c>
      <c r="S216" s="15">
        <v>0</v>
      </c>
      <c r="T216" s="15">
        <f>$R$216+$S$216</f>
        <v>0</v>
      </c>
    </row>
    <row r="217" spans="1:20" x14ac:dyDescent="0.3">
      <c r="A217" s="10" t="s">
        <v>819</v>
      </c>
      <c r="B217" s="11" t="s">
        <v>820</v>
      </c>
      <c r="C217" s="11"/>
      <c r="D217" s="11" t="s">
        <v>821</v>
      </c>
      <c r="E217" s="11">
        <f xml:space="preserve"> IF($T$217,1,0)</f>
        <v>0</v>
      </c>
      <c r="F217" s="11" t="s">
        <v>822</v>
      </c>
      <c r="G217" s="11">
        <v>0</v>
      </c>
      <c r="H217" s="11">
        <v>0</v>
      </c>
      <c r="I217" s="11">
        <v>0</v>
      </c>
      <c r="J217" s="11">
        <v>0</v>
      </c>
      <c r="K217" s="11">
        <v>0</v>
      </c>
      <c r="L217" s="11">
        <v>0</v>
      </c>
      <c r="M217" s="11">
        <v>0</v>
      </c>
      <c r="N217" s="11">
        <v>0</v>
      </c>
      <c r="O217" s="11">
        <v>0</v>
      </c>
      <c r="P217" s="11">
        <v>0</v>
      </c>
      <c r="Q217" s="11">
        <v>0</v>
      </c>
      <c r="R217" s="12">
        <f>$G$217*$G$8+$H$217*$H$8+$I$217*$I$8+$J$217*$J$8+$K$217*$K$8+$L$217*$L$8+$M$217*$M$8+$N$217*$N$8+$O$217*$O$8+$P$217*$P$8+$Q$217*$Q$8</f>
        <v>0</v>
      </c>
      <c r="S217" s="12">
        <v>0</v>
      </c>
      <c r="T217" s="12">
        <f>$R$217+$S$217</f>
        <v>0</v>
      </c>
    </row>
    <row r="218" spans="1:20" x14ac:dyDescent="0.3">
      <c r="A218" s="13" t="s">
        <v>823</v>
      </c>
      <c r="B218" s="14" t="s">
        <v>824</v>
      </c>
      <c r="C218" s="14"/>
      <c r="D218" s="14" t="s">
        <v>825</v>
      </c>
      <c r="E218" s="14">
        <f xml:space="preserve"> IF($T$218,1,0)</f>
        <v>0</v>
      </c>
      <c r="F218" s="14" t="s">
        <v>826</v>
      </c>
      <c r="G218" s="14">
        <v>0</v>
      </c>
      <c r="H218" s="14">
        <v>0</v>
      </c>
      <c r="I218" s="14">
        <v>0</v>
      </c>
      <c r="J218" s="14">
        <v>0</v>
      </c>
      <c r="K218" s="14">
        <v>0</v>
      </c>
      <c r="L218" s="14">
        <v>0</v>
      </c>
      <c r="M218" s="14">
        <v>0</v>
      </c>
      <c r="N218" s="14">
        <v>0</v>
      </c>
      <c r="O218" s="14">
        <v>0</v>
      </c>
      <c r="P218" s="14">
        <v>0</v>
      </c>
      <c r="Q218" s="14">
        <v>0</v>
      </c>
      <c r="R218" s="15">
        <f>$G$218*$G$8+$H$218*$H$8+$I$218*$I$8+$J$218*$J$8+$K$218*$K$8+$L$218*$L$8+$M$218*$M$8+$N$218*$N$8+$O$218*$O$8+$P$218*$P$8+$Q$218*$Q$8</f>
        <v>0</v>
      </c>
      <c r="S218" s="15">
        <v>0</v>
      </c>
      <c r="T218" s="15">
        <f>$R$218+$S$218</f>
        <v>0</v>
      </c>
    </row>
    <row r="219" spans="1:20" x14ac:dyDescent="0.3">
      <c r="A219" s="10" t="s">
        <v>827</v>
      </c>
      <c r="B219" s="11" t="s">
        <v>828</v>
      </c>
      <c r="C219" s="11"/>
      <c r="D219" s="11" t="s">
        <v>829</v>
      </c>
      <c r="E219" s="11">
        <f xml:space="preserve"> IF($T$219,1,0)</f>
        <v>0</v>
      </c>
      <c r="F219" s="11" t="s">
        <v>830</v>
      </c>
      <c r="G219" s="11">
        <v>0</v>
      </c>
      <c r="H219" s="11">
        <v>0</v>
      </c>
      <c r="I219" s="11">
        <v>0</v>
      </c>
      <c r="J219" s="11">
        <v>0</v>
      </c>
      <c r="K219" s="11">
        <v>0</v>
      </c>
      <c r="L219" s="11">
        <v>0</v>
      </c>
      <c r="M219" s="11">
        <v>0</v>
      </c>
      <c r="N219" s="11">
        <v>0</v>
      </c>
      <c r="O219" s="11">
        <v>0</v>
      </c>
      <c r="P219" s="11">
        <v>0</v>
      </c>
      <c r="Q219" s="11">
        <v>0</v>
      </c>
      <c r="R219" s="12">
        <f>$G$219*$G$8+$H$219*$H$8+$I$219*$I$8+$J$219*$J$8+$K$219*$K$8+$L$219*$L$8+$M$219*$M$8+$N$219*$N$8+$O$219*$O$8+$P$219*$P$8+$Q$219*$Q$8</f>
        <v>0</v>
      </c>
      <c r="S219" s="12">
        <v>0</v>
      </c>
      <c r="T219" s="12">
        <f>$R$219+$S$219</f>
        <v>0</v>
      </c>
    </row>
    <row r="220" spans="1:20" x14ac:dyDescent="0.3">
      <c r="A220" s="13" t="s">
        <v>831</v>
      </c>
      <c r="B220" s="14" t="s">
        <v>832</v>
      </c>
      <c r="C220" s="14"/>
      <c r="D220" s="14" t="s">
        <v>833</v>
      </c>
      <c r="E220" s="14">
        <f xml:space="preserve"> IF($T$220,1,0)</f>
        <v>0</v>
      </c>
      <c r="F220" s="14" t="s">
        <v>834</v>
      </c>
      <c r="G220" s="14">
        <v>0</v>
      </c>
      <c r="H220" s="14">
        <v>0</v>
      </c>
      <c r="I220" s="14">
        <v>0</v>
      </c>
      <c r="J220" s="14">
        <v>0</v>
      </c>
      <c r="K220" s="14">
        <v>0</v>
      </c>
      <c r="L220" s="14">
        <v>0</v>
      </c>
      <c r="M220" s="14">
        <v>0</v>
      </c>
      <c r="N220" s="14">
        <v>0</v>
      </c>
      <c r="O220" s="14">
        <v>0</v>
      </c>
      <c r="P220" s="14">
        <v>0</v>
      </c>
      <c r="Q220" s="14">
        <v>0</v>
      </c>
      <c r="R220" s="15">
        <f>$G$220*$G$8+$H$220*$H$8+$I$220*$I$8+$J$220*$J$8+$K$220*$K$8+$L$220*$L$8+$M$220*$M$8+$N$220*$N$8+$O$220*$O$8+$P$220*$P$8+$Q$220*$Q$8</f>
        <v>0</v>
      </c>
      <c r="S220" s="15">
        <v>0</v>
      </c>
      <c r="T220" s="15">
        <f>$R$220+$S$220</f>
        <v>0</v>
      </c>
    </row>
    <row r="221" spans="1:20" x14ac:dyDescent="0.3">
      <c r="A221" s="10" t="s">
        <v>835</v>
      </c>
      <c r="B221" s="11" t="s">
        <v>836</v>
      </c>
      <c r="C221" s="11"/>
      <c r="D221" s="11" t="s">
        <v>837</v>
      </c>
      <c r="E221" s="11">
        <f xml:space="preserve"> IF($T$221,1,0)</f>
        <v>0</v>
      </c>
      <c r="F221" s="11" t="s">
        <v>838</v>
      </c>
      <c r="G221" s="11">
        <v>0</v>
      </c>
      <c r="H221" s="11">
        <v>0</v>
      </c>
      <c r="I221" s="11">
        <v>0</v>
      </c>
      <c r="J221" s="11">
        <v>0</v>
      </c>
      <c r="K221" s="11">
        <v>0</v>
      </c>
      <c r="L221" s="11">
        <v>0</v>
      </c>
      <c r="M221" s="11">
        <v>0</v>
      </c>
      <c r="N221" s="11">
        <v>0</v>
      </c>
      <c r="O221" s="11">
        <v>0</v>
      </c>
      <c r="P221" s="11">
        <v>0</v>
      </c>
      <c r="Q221" s="11">
        <v>0</v>
      </c>
      <c r="R221" s="12">
        <f>$G$221*$G$8+$H$221*$H$8+$I$221*$I$8+$J$221*$J$8+$K$221*$K$8+$L$221*$L$8+$M$221*$M$8+$N$221*$N$8+$O$221*$O$8+$P$221*$P$8+$Q$221*$Q$8</f>
        <v>0</v>
      </c>
      <c r="S221" s="12">
        <v>0</v>
      </c>
      <c r="T221" s="12">
        <f>$R$221+$S$221</f>
        <v>0</v>
      </c>
    </row>
    <row r="222" spans="1:20" x14ac:dyDescent="0.3">
      <c r="A222" s="13" t="s">
        <v>839</v>
      </c>
      <c r="B222" s="14" t="s">
        <v>840</v>
      </c>
      <c r="C222" s="14"/>
      <c r="D222" s="14" t="s">
        <v>841</v>
      </c>
      <c r="E222" s="14">
        <f xml:space="preserve"> IF($T$222,1,0)</f>
        <v>0</v>
      </c>
      <c r="F222" s="14" t="s">
        <v>842</v>
      </c>
      <c r="G222" s="14">
        <v>0</v>
      </c>
      <c r="H222" s="14">
        <v>0</v>
      </c>
      <c r="I222" s="14">
        <v>0</v>
      </c>
      <c r="J222" s="14">
        <v>0</v>
      </c>
      <c r="K222" s="14">
        <v>0</v>
      </c>
      <c r="L222" s="14">
        <v>0</v>
      </c>
      <c r="M222" s="14">
        <v>0</v>
      </c>
      <c r="N222" s="14">
        <v>0</v>
      </c>
      <c r="O222" s="14">
        <v>0</v>
      </c>
      <c r="P222" s="14">
        <v>0</v>
      </c>
      <c r="Q222" s="14">
        <v>0</v>
      </c>
      <c r="R222" s="15">
        <f>$G$222*$G$8+$H$222*$H$8+$I$222*$I$8+$J$222*$J$8+$K$222*$K$8+$L$222*$L$8+$M$222*$M$8+$N$222*$N$8+$O$222*$O$8+$P$222*$P$8+$Q$222*$Q$8</f>
        <v>0</v>
      </c>
      <c r="S222" s="15">
        <v>0</v>
      </c>
      <c r="T222" s="15">
        <f>$R$222+$S$222</f>
        <v>0</v>
      </c>
    </row>
    <row r="223" spans="1:20" x14ac:dyDescent="0.3">
      <c r="A223" s="10" t="s">
        <v>843</v>
      </c>
      <c r="B223" s="11" t="s">
        <v>844</v>
      </c>
      <c r="C223" s="11"/>
      <c r="D223" s="11" t="s">
        <v>845</v>
      </c>
      <c r="E223" s="11">
        <f xml:space="preserve"> IF($T$223,1,0)</f>
        <v>0</v>
      </c>
      <c r="F223" s="11" t="s">
        <v>846</v>
      </c>
      <c r="G223" s="11">
        <v>0</v>
      </c>
      <c r="H223" s="11">
        <v>0</v>
      </c>
      <c r="I223" s="11">
        <v>0</v>
      </c>
      <c r="J223" s="11">
        <v>0</v>
      </c>
      <c r="K223" s="11">
        <v>0</v>
      </c>
      <c r="L223" s="11">
        <v>0</v>
      </c>
      <c r="M223" s="11">
        <v>0</v>
      </c>
      <c r="N223" s="11">
        <v>0</v>
      </c>
      <c r="O223" s="11">
        <v>0</v>
      </c>
      <c r="P223" s="11">
        <v>0</v>
      </c>
      <c r="Q223" s="11">
        <v>0</v>
      </c>
      <c r="R223" s="12">
        <f>$G$223*$G$8+$H$223*$H$8+$I$223*$I$8+$J$223*$J$8+$K$223*$K$8+$L$223*$L$8+$M$223*$M$8+$N$223*$N$8+$O$223*$O$8+$P$223*$P$8+$Q$223*$Q$8</f>
        <v>0</v>
      </c>
      <c r="S223" s="12">
        <v>0</v>
      </c>
      <c r="T223" s="12">
        <f>$R$223+$S$223</f>
        <v>0</v>
      </c>
    </row>
    <row r="224" spans="1:20" x14ac:dyDescent="0.3">
      <c r="A224" s="13" t="s">
        <v>847</v>
      </c>
      <c r="B224" s="14" t="s">
        <v>848</v>
      </c>
      <c r="C224" s="14" t="s">
        <v>202</v>
      </c>
      <c r="D224" s="14" t="s">
        <v>849</v>
      </c>
      <c r="E224" s="14">
        <f xml:space="preserve"> IF($T$224,1,0)</f>
        <v>1</v>
      </c>
      <c r="F224" s="14" t="s">
        <v>850</v>
      </c>
      <c r="G224" s="14">
        <v>0</v>
      </c>
      <c r="H224" s="14">
        <v>4</v>
      </c>
      <c r="I224" s="14">
        <v>0</v>
      </c>
      <c r="J224" s="14">
        <v>1</v>
      </c>
      <c r="K224" s="14">
        <v>0</v>
      </c>
      <c r="L224" s="14">
        <v>0</v>
      </c>
      <c r="M224" s="14">
        <v>0</v>
      </c>
      <c r="N224" s="14">
        <v>0</v>
      </c>
      <c r="O224" s="14">
        <v>0</v>
      </c>
      <c r="P224" s="14">
        <v>1</v>
      </c>
      <c r="Q224" s="14">
        <v>2</v>
      </c>
      <c r="R224" s="15">
        <f>$G$224*$G$8+$H$224*$H$8+$I$224*$I$8+$J$224*$J$8+$K$224*$K$8+$L$224*$L$8+$M$224*$M$8+$N$224*$N$8+$O$224*$O$8+$P$224*$P$8+$Q$224*$Q$8</f>
        <v>13.3</v>
      </c>
      <c r="S224" s="15">
        <v>0</v>
      </c>
      <c r="T224" s="15">
        <f>$R$224+$S$224</f>
        <v>13.3</v>
      </c>
    </row>
    <row r="225" spans="1:20" x14ac:dyDescent="0.3">
      <c r="A225" s="10" t="s">
        <v>851</v>
      </c>
      <c r="B225" s="11" t="s">
        <v>852</v>
      </c>
      <c r="C225" s="11"/>
      <c r="D225" s="11" t="s">
        <v>853</v>
      </c>
      <c r="E225" s="11">
        <f xml:space="preserve"> IF($T$225,1,0)</f>
        <v>0</v>
      </c>
      <c r="F225" s="11" t="s">
        <v>854</v>
      </c>
      <c r="G225" s="11">
        <v>0</v>
      </c>
      <c r="H225" s="11">
        <v>0</v>
      </c>
      <c r="I225" s="11">
        <v>0</v>
      </c>
      <c r="J225" s="11">
        <v>0</v>
      </c>
      <c r="K225" s="11">
        <v>0</v>
      </c>
      <c r="L225" s="11">
        <v>0</v>
      </c>
      <c r="M225" s="11">
        <v>0</v>
      </c>
      <c r="N225" s="11">
        <v>0</v>
      </c>
      <c r="O225" s="11">
        <v>0</v>
      </c>
      <c r="P225" s="11">
        <v>0</v>
      </c>
      <c r="Q225" s="11">
        <v>0</v>
      </c>
      <c r="R225" s="12">
        <f>$G$225*$G$8+$H$225*$H$8+$I$225*$I$8+$J$225*$J$8+$K$225*$K$8+$L$225*$L$8+$M$225*$M$8+$N$225*$N$8+$O$225*$O$8+$P$225*$P$8+$Q$225*$Q$8</f>
        <v>0</v>
      </c>
      <c r="S225" s="12">
        <v>0</v>
      </c>
      <c r="T225" s="12">
        <f>$R$225+$S$225</f>
        <v>0</v>
      </c>
    </row>
    <row r="226" spans="1:20" x14ac:dyDescent="0.3">
      <c r="A226" s="13" t="s">
        <v>855</v>
      </c>
      <c r="B226" s="14" t="s">
        <v>856</v>
      </c>
      <c r="C226" s="14"/>
      <c r="D226" s="14" t="s">
        <v>790</v>
      </c>
      <c r="E226" s="14">
        <f xml:space="preserve"> IF($T$226,1,0)</f>
        <v>1</v>
      </c>
      <c r="F226" s="14" t="s">
        <v>857</v>
      </c>
      <c r="G226" s="14">
        <v>4</v>
      </c>
      <c r="H226" s="14">
        <v>0</v>
      </c>
      <c r="I226" s="14">
        <v>0</v>
      </c>
      <c r="J226" s="14">
        <v>0</v>
      </c>
      <c r="K226" s="14">
        <v>0</v>
      </c>
      <c r="L226" s="14">
        <v>0</v>
      </c>
      <c r="M226" s="14">
        <v>0</v>
      </c>
      <c r="N226" s="14">
        <v>0</v>
      </c>
      <c r="O226" s="14">
        <v>0</v>
      </c>
      <c r="P226" s="14">
        <v>0</v>
      </c>
      <c r="Q226" s="14">
        <v>1</v>
      </c>
      <c r="R226" s="15">
        <f>$G$226*$G$8+$H$226*$H$8+$I$226*$I$8+$J$226*$J$8+$K$226*$K$8+$L$226*$L$8+$M$226*$M$8+$N$226*$N$8+$O$226*$O$8+$P$226*$P$8+$Q$226*$Q$8</f>
        <v>5.4</v>
      </c>
      <c r="S226" s="15">
        <v>0</v>
      </c>
      <c r="T226" s="15">
        <f>$R$226+$S$226</f>
        <v>5.4</v>
      </c>
    </row>
    <row r="227" spans="1:20" x14ac:dyDescent="0.3">
      <c r="A227" s="10" t="s">
        <v>858</v>
      </c>
      <c r="B227" s="11" t="s">
        <v>859</v>
      </c>
      <c r="C227" s="11"/>
      <c r="D227" s="11" t="s">
        <v>860</v>
      </c>
      <c r="E227" s="11">
        <f xml:space="preserve"> IF($T$227,1,0)</f>
        <v>0</v>
      </c>
      <c r="F227" s="11" t="s">
        <v>861</v>
      </c>
      <c r="G227" s="11">
        <v>0</v>
      </c>
      <c r="H227" s="11">
        <v>0</v>
      </c>
      <c r="I227" s="11">
        <v>0</v>
      </c>
      <c r="J227" s="11">
        <v>0</v>
      </c>
      <c r="K227" s="11">
        <v>0</v>
      </c>
      <c r="L227" s="11">
        <v>0</v>
      </c>
      <c r="M227" s="11">
        <v>0</v>
      </c>
      <c r="N227" s="11">
        <v>0</v>
      </c>
      <c r="O227" s="11">
        <v>0</v>
      </c>
      <c r="P227" s="11">
        <v>0</v>
      </c>
      <c r="Q227" s="11">
        <v>0</v>
      </c>
      <c r="R227" s="12">
        <f>$G$227*$G$8+$H$227*$H$8+$I$227*$I$8+$J$227*$J$8+$K$227*$K$8+$L$227*$L$8+$M$227*$M$8+$N$227*$N$8+$O$227*$O$8+$P$227*$P$8+$Q$227*$Q$8</f>
        <v>0</v>
      </c>
      <c r="S227" s="12">
        <v>0</v>
      </c>
      <c r="T227" s="12">
        <f>$R$227+$S$227</f>
        <v>0</v>
      </c>
    </row>
    <row r="228" spans="1:20" x14ac:dyDescent="0.3">
      <c r="A228" s="13" t="s">
        <v>862</v>
      </c>
      <c r="B228" s="14" t="s">
        <v>863</v>
      </c>
      <c r="C228" s="14"/>
      <c r="D228" s="14" t="s">
        <v>864</v>
      </c>
      <c r="E228" s="14">
        <f xml:space="preserve"> IF($T$228,1,0)</f>
        <v>0</v>
      </c>
      <c r="F228" s="14" t="s">
        <v>865</v>
      </c>
      <c r="G228" s="14">
        <v>0</v>
      </c>
      <c r="H228" s="14">
        <v>0</v>
      </c>
      <c r="I228" s="14">
        <v>0</v>
      </c>
      <c r="J228" s="14">
        <v>0</v>
      </c>
      <c r="K228" s="14">
        <v>0</v>
      </c>
      <c r="L228" s="14">
        <v>0</v>
      </c>
      <c r="M228" s="14">
        <v>0</v>
      </c>
      <c r="N228" s="14">
        <v>0</v>
      </c>
      <c r="O228" s="14">
        <v>0</v>
      </c>
      <c r="P228" s="14">
        <v>0</v>
      </c>
      <c r="Q228" s="14">
        <v>0</v>
      </c>
      <c r="R228" s="15">
        <f>$G$228*$G$8+$H$228*$H$8+$I$228*$I$8+$J$228*$J$8+$K$228*$K$8+$L$228*$L$8+$M$228*$M$8+$N$228*$N$8+$O$228*$O$8+$P$228*$P$8+$Q$228*$Q$8</f>
        <v>0</v>
      </c>
      <c r="S228" s="15">
        <v>0</v>
      </c>
      <c r="T228" s="15">
        <f>$R$228+$S$228</f>
        <v>0</v>
      </c>
    </row>
    <row r="229" spans="1:20" x14ac:dyDescent="0.3">
      <c r="A229" s="10" t="s">
        <v>866</v>
      </c>
      <c r="B229" s="11" t="s">
        <v>867</v>
      </c>
      <c r="C229" s="11"/>
      <c r="D229" s="11" t="s">
        <v>868</v>
      </c>
      <c r="E229" s="11">
        <f xml:space="preserve"> IF($T$229,1,0)</f>
        <v>0</v>
      </c>
      <c r="F229" s="11" t="s">
        <v>869</v>
      </c>
      <c r="G229" s="11">
        <v>0</v>
      </c>
      <c r="H229" s="11">
        <v>0</v>
      </c>
      <c r="I229" s="11">
        <v>0</v>
      </c>
      <c r="J229" s="11">
        <v>0</v>
      </c>
      <c r="K229" s="11">
        <v>0</v>
      </c>
      <c r="L229" s="11">
        <v>0</v>
      </c>
      <c r="M229" s="11">
        <v>0</v>
      </c>
      <c r="N229" s="11">
        <v>0</v>
      </c>
      <c r="O229" s="11">
        <v>0</v>
      </c>
      <c r="P229" s="11">
        <v>0</v>
      </c>
      <c r="Q229" s="11">
        <v>0</v>
      </c>
      <c r="R229" s="12">
        <f>$G$229*$G$8+$H$229*$H$8+$I$229*$I$8+$J$229*$J$8+$K$229*$K$8+$L$229*$L$8+$M$229*$M$8+$N$229*$N$8+$O$229*$O$8+$P$229*$P$8+$Q$229*$Q$8</f>
        <v>0</v>
      </c>
      <c r="S229" s="12">
        <v>0</v>
      </c>
      <c r="T229" s="12">
        <f>$R$229+$S$229</f>
        <v>0</v>
      </c>
    </row>
    <row r="230" spans="1:20" x14ac:dyDescent="0.3">
      <c r="A230" s="13" t="s">
        <v>870</v>
      </c>
      <c r="B230" s="14" t="s">
        <v>871</v>
      </c>
      <c r="C230" s="14" t="s">
        <v>243</v>
      </c>
      <c r="D230" s="14" t="s">
        <v>399</v>
      </c>
      <c r="E230" s="14">
        <f xml:space="preserve"> IF($T$230,1,0)</f>
        <v>0</v>
      </c>
      <c r="F230" s="14" t="s">
        <v>872</v>
      </c>
      <c r="G230" s="14">
        <v>0</v>
      </c>
      <c r="H230" s="14">
        <v>0</v>
      </c>
      <c r="I230" s="14">
        <v>0</v>
      </c>
      <c r="J230" s="14">
        <v>0</v>
      </c>
      <c r="K230" s="14">
        <v>0</v>
      </c>
      <c r="L230" s="14">
        <v>0</v>
      </c>
      <c r="M230" s="14">
        <v>0</v>
      </c>
      <c r="N230" s="14">
        <v>0</v>
      </c>
      <c r="O230" s="14">
        <v>0</v>
      </c>
      <c r="P230" s="14">
        <v>0</v>
      </c>
      <c r="Q230" s="14">
        <v>0</v>
      </c>
      <c r="R230" s="15">
        <f>$G$230*$G$8+$H$230*$H$8+$I$230*$I$8+$J$230*$J$8+$K$230*$K$8+$L$230*$L$8+$M$230*$M$8+$N$230*$N$8+$O$230*$O$8+$P$230*$P$8+$Q$230*$Q$8</f>
        <v>0</v>
      </c>
      <c r="S230" s="15">
        <v>0</v>
      </c>
      <c r="T230" s="15">
        <f>$R$230+$S$230</f>
        <v>0</v>
      </c>
    </row>
    <row r="231" spans="1:20" x14ac:dyDescent="0.3">
      <c r="A231" s="10" t="s">
        <v>873</v>
      </c>
      <c r="B231" s="11" t="s">
        <v>874</v>
      </c>
      <c r="C231" s="11"/>
      <c r="D231" s="11" t="s">
        <v>875</v>
      </c>
      <c r="E231" s="11">
        <f xml:space="preserve"> IF($T$231,1,0)</f>
        <v>0</v>
      </c>
      <c r="F231" s="11" t="s">
        <v>876</v>
      </c>
      <c r="G231" s="11">
        <v>0</v>
      </c>
      <c r="H231" s="11">
        <v>0</v>
      </c>
      <c r="I231" s="11">
        <v>0</v>
      </c>
      <c r="J231" s="11">
        <v>0</v>
      </c>
      <c r="K231" s="11">
        <v>0</v>
      </c>
      <c r="L231" s="11">
        <v>0</v>
      </c>
      <c r="M231" s="11">
        <v>0</v>
      </c>
      <c r="N231" s="11">
        <v>0</v>
      </c>
      <c r="O231" s="11">
        <v>0</v>
      </c>
      <c r="P231" s="11">
        <v>0</v>
      </c>
      <c r="Q231" s="11">
        <v>0</v>
      </c>
      <c r="R231" s="12">
        <f>$G$231*$G$8+$H$231*$H$8+$I$231*$I$8+$J$231*$J$8+$K$231*$K$8+$L$231*$L$8+$M$231*$M$8+$N$231*$N$8+$O$231*$O$8+$P$231*$P$8+$Q$231*$Q$8</f>
        <v>0</v>
      </c>
      <c r="S231" s="12">
        <v>0</v>
      </c>
      <c r="T231" s="12">
        <f>$R$231+$S$231</f>
        <v>0</v>
      </c>
    </row>
    <row r="232" spans="1:20" x14ac:dyDescent="0.3">
      <c r="A232" s="13" t="s">
        <v>877</v>
      </c>
      <c r="B232" s="14" t="s">
        <v>878</v>
      </c>
      <c r="C232" s="14"/>
      <c r="D232" s="14" t="s">
        <v>879</v>
      </c>
      <c r="E232" s="14">
        <f xml:space="preserve"> IF($T$232,1,0)</f>
        <v>1</v>
      </c>
      <c r="F232" s="14" t="s">
        <v>880</v>
      </c>
      <c r="G232" s="14">
        <v>0</v>
      </c>
      <c r="H232" s="14">
        <v>1</v>
      </c>
      <c r="I232" s="14">
        <v>0</v>
      </c>
      <c r="J232" s="14">
        <v>0</v>
      </c>
      <c r="K232" s="14">
        <v>0</v>
      </c>
      <c r="L232" s="14">
        <v>0</v>
      </c>
      <c r="M232" s="14">
        <v>0</v>
      </c>
      <c r="N232" s="14">
        <v>0</v>
      </c>
      <c r="O232" s="14">
        <v>0</v>
      </c>
      <c r="P232" s="14">
        <v>0</v>
      </c>
      <c r="Q232" s="14">
        <v>0</v>
      </c>
      <c r="R232" s="15">
        <f>$G$232*$G$8+$H$232*$H$8+$I$232*$I$8+$J$232*$J$8+$K$232*$K$8+$L$232*$L$8+$M$232*$M$8+$N$232*$N$8+$O$232*$O$8+$P$232*$P$8+$Q$232*$Q$8</f>
        <v>2.2000000000000002</v>
      </c>
      <c r="S232" s="15">
        <v>0</v>
      </c>
      <c r="T232" s="15">
        <f>$R$232+$S$232</f>
        <v>2.2000000000000002</v>
      </c>
    </row>
    <row r="233" spans="1:20" x14ac:dyDescent="0.3">
      <c r="A233" s="10" t="s">
        <v>881</v>
      </c>
      <c r="B233" s="11" t="s">
        <v>882</v>
      </c>
      <c r="C233" s="11"/>
      <c r="D233" s="11" t="s">
        <v>883</v>
      </c>
      <c r="E233" s="11">
        <f xml:space="preserve"> IF($T$233,1,0)</f>
        <v>1</v>
      </c>
      <c r="F233" s="11" t="s">
        <v>884</v>
      </c>
      <c r="G233" s="11">
        <v>4</v>
      </c>
      <c r="H233" s="11">
        <v>2</v>
      </c>
      <c r="I233" s="11">
        <v>0</v>
      </c>
      <c r="J233" s="11">
        <v>0</v>
      </c>
      <c r="K233" s="11">
        <v>0</v>
      </c>
      <c r="L233" s="11">
        <v>0</v>
      </c>
      <c r="M233" s="11">
        <v>0</v>
      </c>
      <c r="N233" s="11">
        <v>0</v>
      </c>
      <c r="O233" s="11">
        <v>0</v>
      </c>
      <c r="P233" s="11">
        <v>0</v>
      </c>
      <c r="Q233" s="11">
        <v>0</v>
      </c>
      <c r="R233" s="12">
        <f>$G$233*$G$8+$H$233*$H$8+$I$233*$I$8+$J$233*$J$8+$K$233*$K$8+$L$233*$L$8+$M$233*$M$8+$N$233*$N$8+$O$233*$O$8+$P$233*$P$8+$Q$233*$Q$8</f>
        <v>8.8000000000000007</v>
      </c>
      <c r="S233" s="12">
        <v>0</v>
      </c>
      <c r="T233" s="12">
        <f>$R$233+$S$233</f>
        <v>8.8000000000000007</v>
      </c>
    </row>
    <row r="234" spans="1:20" x14ac:dyDescent="0.3">
      <c r="A234" s="13" t="s">
        <v>885</v>
      </c>
      <c r="B234" s="14" t="s">
        <v>886</v>
      </c>
      <c r="C234" s="14" t="s">
        <v>887</v>
      </c>
      <c r="D234" s="14" t="s">
        <v>888</v>
      </c>
      <c r="E234" s="14">
        <f xml:space="preserve"> IF($T$234,1,0)</f>
        <v>0</v>
      </c>
      <c r="F234" s="14" t="s">
        <v>889</v>
      </c>
      <c r="G234" s="14">
        <v>0</v>
      </c>
      <c r="H234" s="14">
        <v>0</v>
      </c>
      <c r="I234" s="14">
        <v>0</v>
      </c>
      <c r="J234" s="14">
        <v>0</v>
      </c>
      <c r="K234" s="14">
        <v>0</v>
      </c>
      <c r="L234" s="14">
        <v>0</v>
      </c>
      <c r="M234" s="14">
        <v>0</v>
      </c>
      <c r="N234" s="14">
        <v>0</v>
      </c>
      <c r="O234" s="14">
        <v>0</v>
      </c>
      <c r="P234" s="14">
        <v>0</v>
      </c>
      <c r="Q234" s="14">
        <v>0</v>
      </c>
      <c r="R234" s="15">
        <f>$G$234*$G$8+$H$234*$H$8+$I$234*$I$8+$J$234*$J$8+$K$234*$K$8+$L$234*$L$8+$M$234*$M$8+$N$234*$N$8+$O$234*$O$8+$P$234*$P$8+$Q$234*$Q$8</f>
        <v>0</v>
      </c>
      <c r="S234" s="15">
        <v>0</v>
      </c>
      <c r="T234" s="15">
        <f>$R$234+$S$234</f>
        <v>0</v>
      </c>
    </row>
    <row r="235" spans="1:20" x14ac:dyDescent="0.3">
      <c r="A235" s="10" t="s">
        <v>890</v>
      </c>
      <c r="B235" s="11" t="s">
        <v>886</v>
      </c>
      <c r="C235" s="11"/>
      <c r="D235" s="11" t="s">
        <v>891</v>
      </c>
      <c r="E235" s="11">
        <f xml:space="preserve"> IF($T$235,1,0)</f>
        <v>0</v>
      </c>
      <c r="F235" s="11" t="s">
        <v>892</v>
      </c>
      <c r="G235" s="11">
        <v>0</v>
      </c>
      <c r="H235" s="11">
        <v>0</v>
      </c>
      <c r="I235" s="11">
        <v>0</v>
      </c>
      <c r="J235" s="11">
        <v>0</v>
      </c>
      <c r="K235" s="11">
        <v>0</v>
      </c>
      <c r="L235" s="11">
        <v>0</v>
      </c>
      <c r="M235" s="11">
        <v>0</v>
      </c>
      <c r="N235" s="11">
        <v>0</v>
      </c>
      <c r="O235" s="11">
        <v>0</v>
      </c>
      <c r="P235" s="11">
        <v>0</v>
      </c>
      <c r="Q235" s="11">
        <v>0</v>
      </c>
      <c r="R235" s="12">
        <f>$G$235*$G$8+$H$235*$H$8+$I$235*$I$8+$J$235*$J$8+$K$235*$K$8+$L$235*$L$8+$M$235*$M$8+$N$235*$N$8+$O$235*$O$8+$P$235*$P$8+$Q$235*$Q$8</f>
        <v>0</v>
      </c>
      <c r="S235" s="12">
        <v>0</v>
      </c>
      <c r="T235" s="12">
        <f>$R$235+$S$235</f>
        <v>0</v>
      </c>
    </row>
    <row r="236" spans="1:20" x14ac:dyDescent="0.3">
      <c r="A236" s="13" t="s">
        <v>893</v>
      </c>
      <c r="B236" s="14" t="s">
        <v>894</v>
      </c>
      <c r="C236" s="14"/>
      <c r="D236" s="14" t="s">
        <v>895</v>
      </c>
      <c r="E236" s="14">
        <f xml:space="preserve"> IF($T$236,1,0)</f>
        <v>0</v>
      </c>
      <c r="F236" s="14" t="s">
        <v>896</v>
      </c>
      <c r="G236" s="14">
        <v>0</v>
      </c>
      <c r="H236" s="14">
        <v>0</v>
      </c>
      <c r="I236" s="14">
        <v>0</v>
      </c>
      <c r="J236" s="14">
        <v>0</v>
      </c>
      <c r="K236" s="14">
        <v>0</v>
      </c>
      <c r="L236" s="14">
        <v>0</v>
      </c>
      <c r="M236" s="14">
        <v>0</v>
      </c>
      <c r="N236" s="14">
        <v>0</v>
      </c>
      <c r="O236" s="14">
        <v>0</v>
      </c>
      <c r="P236" s="14">
        <v>0</v>
      </c>
      <c r="Q236" s="14">
        <v>0</v>
      </c>
      <c r="R236" s="15">
        <f>$G$236*$G$8+$H$236*$H$8+$I$236*$I$8+$J$236*$J$8+$K$236*$K$8+$L$236*$L$8+$M$236*$M$8+$N$236*$N$8+$O$236*$O$8+$P$236*$P$8+$Q$236*$Q$8</f>
        <v>0</v>
      </c>
      <c r="S236" s="15">
        <v>0</v>
      </c>
      <c r="T236" s="15">
        <f>$R$236+$S$236</f>
        <v>0</v>
      </c>
    </row>
    <row r="237" spans="1:20" x14ac:dyDescent="0.3">
      <c r="A237" s="10" t="s">
        <v>897</v>
      </c>
      <c r="B237" s="11" t="s">
        <v>898</v>
      </c>
      <c r="C237" s="11"/>
      <c r="D237" s="11" t="s">
        <v>899</v>
      </c>
      <c r="E237" s="11">
        <f xml:space="preserve"> IF($T$237,1,0)</f>
        <v>0</v>
      </c>
      <c r="F237" s="11" t="s">
        <v>900</v>
      </c>
      <c r="G237" s="11">
        <v>0</v>
      </c>
      <c r="H237" s="11">
        <v>0</v>
      </c>
      <c r="I237" s="11">
        <v>0</v>
      </c>
      <c r="J237" s="11">
        <v>0</v>
      </c>
      <c r="K237" s="11">
        <v>0</v>
      </c>
      <c r="L237" s="11">
        <v>0</v>
      </c>
      <c r="M237" s="11">
        <v>0</v>
      </c>
      <c r="N237" s="11">
        <v>0</v>
      </c>
      <c r="O237" s="11">
        <v>0</v>
      </c>
      <c r="P237" s="11">
        <v>0</v>
      </c>
      <c r="Q237" s="11">
        <v>0</v>
      </c>
      <c r="R237" s="12">
        <f>$G$237*$G$8+$H$237*$H$8+$I$237*$I$8+$J$237*$J$8+$K$237*$K$8+$L$237*$L$8+$M$237*$M$8+$N$237*$N$8+$O$237*$O$8+$P$237*$P$8+$Q$237*$Q$8</f>
        <v>0</v>
      </c>
      <c r="S237" s="12">
        <v>0</v>
      </c>
      <c r="T237" s="12">
        <f>$R$237+$S$237</f>
        <v>0</v>
      </c>
    </row>
    <row r="238" spans="1:20" x14ac:dyDescent="0.3">
      <c r="A238" s="13" t="s">
        <v>901</v>
      </c>
      <c r="B238" s="14" t="s">
        <v>902</v>
      </c>
      <c r="C238" s="14"/>
      <c r="D238" s="14" t="s">
        <v>903</v>
      </c>
      <c r="E238" s="14">
        <f xml:space="preserve"> IF($T$238,1,0)</f>
        <v>0</v>
      </c>
      <c r="F238" s="14" t="s">
        <v>904</v>
      </c>
      <c r="G238" s="14">
        <v>0</v>
      </c>
      <c r="H238" s="14">
        <v>0</v>
      </c>
      <c r="I238" s="14">
        <v>0</v>
      </c>
      <c r="J238" s="14">
        <v>0</v>
      </c>
      <c r="K238" s="14">
        <v>0</v>
      </c>
      <c r="L238" s="14">
        <v>0</v>
      </c>
      <c r="M238" s="14">
        <v>0</v>
      </c>
      <c r="N238" s="14">
        <v>0</v>
      </c>
      <c r="O238" s="14">
        <v>0</v>
      </c>
      <c r="P238" s="14">
        <v>0</v>
      </c>
      <c r="Q238" s="14">
        <v>0</v>
      </c>
      <c r="R238" s="15">
        <f>$G$238*$G$8+$H$238*$H$8+$I$238*$I$8+$J$238*$J$8+$K$238*$K$8+$L$238*$L$8+$M$238*$M$8+$N$238*$N$8+$O$238*$O$8+$P$238*$P$8+$Q$238*$Q$8</f>
        <v>0</v>
      </c>
      <c r="S238" s="15">
        <v>0</v>
      </c>
      <c r="T238" s="15">
        <f>$R$238+$S$238</f>
        <v>0</v>
      </c>
    </row>
    <row r="239" spans="1:20" x14ac:dyDescent="0.3">
      <c r="A239" s="10" t="s">
        <v>905</v>
      </c>
      <c r="B239" s="11" t="s">
        <v>906</v>
      </c>
      <c r="C239" s="11" t="s">
        <v>283</v>
      </c>
      <c r="D239" s="11" t="s">
        <v>296</v>
      </c>
      <c r="E239" s="11">
        <f xml:space="preserve"> IF($T$239,1,0)</f>
        <v>0</v>
      </c>
      <c r="F239" s="11" t="s">
        <v>907</v>
      </c>
      <c r="G239" s="11">
        <v>0</v>
      </c>
      <c r="H239" s="11">
        <v>0</v>
      </c>
      <c r="I239" s="11">
        <v>0</v>
      </c>
      <c r="J239" s="11">
        <v>0</v>
      </c>
      <c r="K239" s="11">
        <v>0</v>
      </c>
      <c r="L239" s="11">
        <v>0</v>
      </c>
      <c r="M239" s="11">
        <v>0</v>
      </c>
      <c r="N239" s="11">
        <v>0</v>
      </c>
      <c r="O239" s="11">
        <v>0</v>
      </c>
      <c r="P239" s="11">
        <v>0</v>
      </c>
      <c r="Q239" s="11">
        <v>0</v>
      </c>
      <c r="R239" s="12">
        <f>$G$239*$G$8+$H$239*$H$8+$I$239*$I$8+$J$239*$J$8+$K$239*$K$8+$L$239*$L$8+$M$239*$M$8+$N$239*$N$8+$O$239*$O$8+$P$239*$P$8+$Q$239*$Q$8</f>
        <v>0</v>
      </c>
      <c r="S239" s="12">
        <v>0</v>
      </c>
      <c r="T239" s="12">
        <f>$R$239+$S$239</f>
        <v>0</v>
      </c>
    </row>
    <row r="240" spans="1:20" x14ac:dyDescent="0.3">
      <c r="A240" s="13" t="s">
        <v>908</v>
      </c>
      <c r="B240" s="14" t="s">
        <v>909</v>
      </c>
      <c r="C240" s="14"/>
      <c r="D240" s="14" t="s">
        <v>910</v>
      </c>
      <c r="E240" s="14">
        <f xml:space="preserve"> IF($T$240,1,0)</f>
        <v>0</v>
      </c>
      <c r="F240" s="14" t="s">
        <v>911</v>
      </c>
      <c r="G240" s="14">
        <v>0</v>
      </c>
      <c r="H240" s="14">
        <v>0</v>
      </c>
      <c r="I240" s="14">
        <v>0</v>
      </c>
      <c r="J240" s="14">
        <v>0</v>
      </c>
      <c r="K240" s="14">
        <v>0</v>
      </c>
      <c r="L240" s="14">
        <v>0</v>
      </c>
      <c r="M240" s="14">
        <v>0</v>
      </c>
      <c r="N240" s="14">
        <v>0</v>
      </c>
      <c r="O240" s="14">
        <v>0</v>
      </c>
      <c r="P240" s="14">
        <v>0</v>
      </c>
      <c r="Q240" s="14">
        <v>0</v>
      </c>
      <c r="R240" s="15">
        <f>$G$240*$G$8+$H$240*$H$8+$I$240*$I$8+$J$240*$J$8+$K$240*$K$8+$L$240*$L$8+$M$240*$M$8+$N$240*$N$8+$O$240*$O$8+$P$240*$P$8+$Q$240*$Q$8</f>
        <v>0</v>
      </c>
      <c r="S240" s="15">
        <v>0</v>
      </c>
      <c r="T240" s="15">
        <f>$R$240+$S$240</f>
        <v>0</v>
      </c>
    </row>
    <row r="241" spans="1:20" x14ac:dyDescent="0.3">
      <c r="A241" s="10" t="s">
        <v>912</v>
      </c>
      <c r="B241" s="11" t="s">
        <v>913</v>
      </c>
      <c r="C241" s="11" t="s">
        <v>65</v>
      </c>
      <c r="D241" s="11" t="s">
        <v>914</v>
      </c>
      <c r="E241" s="11">
        <f xml:space="preserve"> IF($T$241,1,0)</f>
        <v>0</v>
      </c>
      <c r="F241" s="11" t="s">
        <v>915</v>
      </c>
      <c r="G241" s="11">
        <v>0</v>
      </c>
      <c r="H241" s="11">
        <v>0</v>
      </c>
      <c r="I241" s="11">
        <v>0</v>
      </c>
      <c r="J241" s="11">
        <v>0</v>
      </c>
      <c r="K241" s="11">
        <v>0</v>
      </c>
      <c r="L241" s="11">
        <v>0</v>
      </c>
      <c r="M241" s="11">
        <v>0</v>
      </c>
      <c r="N241" s="11">
        <v>0</v>
      </c>
      <c r="O241" s="11">
        <v>0</v>
      </c>
      <c r="P241" s="11">
        <v>0</v>
      </c>
      <c r="Q241" s="11">
        <v>0</v>
      </c>
      <c r="R241" s="12">
        <f>$G$241*$G$8+$H$241*$H$8+$I$241*$I$8+$J$241*$J$8+$K$241*$K$8+$L$241*$L$8+$M$241*$M$8+$N$241*$N$8+$O$241*$O$8+$P$241*$P$8+$Q$241*$Q$8</f>
        <v>0</v>
      </c>
      <c r="S241" s="12">
        <v>0</v>
      </c>
      <c r="T241" s="12">
        <f>$R$241+$S$241</f>
        <v>0</v>
      </c>
    </row>
    <row r="242" spans="1:20" x14ac:dyDescent="0.3">
      <c r="A242" s="13" t="s">
        <v>916</v>
      </c>
      <c r="B242" s="14" t="s">
        <v>917</v>
      </c>
      <c r="C242" s="14"/>
      <c r="D242" s="14" t="s">
        <v>918</v>
      </c>
      <c r="E242" s="14">
        <f xml:space="preserve"> IF($T$242,1,0)</f>
        <v>0</v>
      </c>
      <c r="F242" s="14" t="s">
        <v>919</v>
      </c>
      <c r="G242" s="14">
        <v>0</v>
      </c>
      <c r="H242" s="14">
        <v>0</v>
      </c>
      <c r="I242" s="14">
        <v>0</v>
      </c>
      <c r="J242" s="14">
        <v>0</v>
      </c>
      <c r="K242" s="14">
        <v>0</v>
      </c>
      <c r="L242" s="14">
        <v>0</v>
      </c>
      <c r="M242" s="14">
        <v>0</v>
      </c>
      <c r="N242" s="14">
        <v>0</v>
      </c>
      <c r="O242" s="14">
        <v>0</v>
      </c>
      <c r="P242" s="14">
        <v>0</v>
      </c>
      <c r="Q242" s="14">
        <v>0</v>
      </c>
      <c r="R242" s="15">
        <f>$G$242*$G$8+$H$242*$H$8+$I$242*$I$8+$J$242*$J$8+$K$242*$K$8+$L$242*$L$8+$M$242*$M$8+$N$242*$N$8+$O$242*$O$8+$P$242*$P$8+$Q$242*$Q$8</f>
        <v>0</v>
      </c>
      <c r="S242" s="15">
        <v>0</v>
      </c>
      <c r="T242" s="15">
        <f>$R$242+$S$242</f>
        <v>0</v>
      </c>
    </row>
    <row r="243" spans="1:20" x14ac:dyDescent="0.3">
      <c r="A243" s="10" t="s">
        <v>920</v>
      </c>
      <c r="B243" s="11" t="s">
        <v>917</v>
      </c>
      <c r="C243" s="11"/>
      <c r="D243" s="11" t="s">
        <v>921</v>
      </c>
      <c r="E243" s="11">
        <f xml:space="preserve"> IF($T$243,1,0)</f>
        <v>0</v>
      </c>
      <c r="F243" s="11" t="s">
        <v>922</v>
      </c>
      <c r="G243" s="11">
        <v>0</v>
      </c>
      <c r="H243" s="11">
        <v>0</v>
      </c>
      <c r="I243" s="11">
        <v>0</v>
      </c>
      <c r="J243" s="11">
        <v>0</v>
      </c>
      <c r="K243" s="11">
        <v>0</v>
      </c>
      <c r="L243" s="11">
        <v>0</v>
      </c>
      <c r="M243" s="11">
        <v>0</v>
      </c>
      <c r="N243" s="11">
        <v>0</v>
      </c>
      <c r="O243" s="11">
        <v>0</v>
      </c>
      <c r="P243" s="11">
        <v>0</v>
      </c>
      <c r="Q243" s="11">
        <v>0</v>
      </c>
      <c r="R243" s="12">
        <f>$G$243*$G$8+$H$243*$H$8+$I$243*$I$8+$J$243*$J$8+$K$243*$K$8+$L$243*$L$8+$M$243*$M$8+$N$243*$N$8+$O$243*$O$8+$P$243*$P$8+$Q$243*$Q$8</f>
        <v>0</v>
      </c>
      <c r="S243" s="12">
        <v>0</v>
      </c>
      <c r="T243" s="12">
        <f>$R$243+$S$243</f>
        <v>0</v>
      </c>
    </row>
    <row r="244" spans="1:20" x14ac:dyDescent="0.3">
      <c r="A244" s="13" t="s">
        <v>923</v>
      </c>
      <c r="B244" s="14" t="s">
        <v>917</v>
      </c>
      <c r="C244" s="14" t="s">
        <v>34</v>
      </c>
      <c r="D244" s="14" t="s">
        <v>924</v>
      </c>
      <c r="E244" s="14">
        <f xml:space="preserve"> IF($T$244,1,0)</f>
        <v>1</v>
      </c>
      <c r="F244" s="14" t="s">
        <v>925</v>
      </c>
      <c r="G244" s="14">
        <v>0</v>
      </c>
      <c r="H244" s="14">
        <v>5</v>
      </c>
      <c r="I244" s="14">
        <v>0</v>
      </c>
      <c r="J244" s="14">
        <v>0</v>
      </c>
      <c r="K244" s="14">
        <v>0</v>
      </c>
      <c r="L244" s="14">
        <v>0</v>
      </c>
      <c r="M244" s="14">
        <v>0</v>
      </c>
      <c r="N244" s="14">
        <v>0</v>
      </c>
      <c r="O244" s="14">
        <v>0</v>
      </c>
      <c r="P244" s="14">
        <v>0</v>
      </c>
      <c r="Q244" s="14">
        <v>0</v>
      </c>
      <c r="R244" s="15">
        <f>$G$244*$G$8+$H$244*$H$8+$I$244*$I$8+$J$244*$J$8+$K$244*$K$8+$L$244*$L$8+$M$244*$M$8+$N$244*$N$8+$O$244*$O$8+$P$244*$P$8+$Q$244*$Q$8</f>
        <v>11</v>
      </c>
      <c r="S244" s="15">
        <v>0</v>
      </c>
      <c r="T244" s="15">
        <f>$R$244+$S$244</f>
        <v>11</v>
      </c>
    </row>
    <row r="245" spans="1:20" x14ac:dyDescent="0.3">
      <c r="A245" s="10" t="s">
        <v>926</v>
      </c>
      <c r="B245" s="11" t="s">
        <v>927</v>
      </c>
      <c r="C245" s="11"/>
      <c r="D245" s="11" t="s">
        <v>928</v>
      </c>
      <c r="E245" s="11">
        <f xml:space="preserve"> IF($T$245,1,0)</f>
        <v>0</v>
      </c>
      <c r="F245" s="11" t="s">
        <v>929</v>
      </c>
      <c r="G245" s="11">
        <v>0</v>
      </c>
      <c r="H245" s="11">
        <v>0</v>
      </c>
      <c r="I245" s="11">
        <v>0</v>
      </c>
      <c r="J245" s="11">
        <v>0</v>
      </c>
      <c r="K245" s="11">
        <v>0</v>
      </c>
      <c r="L245" s="11">
        <v>0</v>
      </c>
      <c r="M245" s="11">
        <v>0</v>
      </c>
      <c r="N245" s="11">
        <v>0</v>
      </c>
      <c r="O245" s="11">
        <v>0</v>
      </c>
      <c r="P245" s="11">
        <v>0</v>
      </c>
      <c r="Q245" s="11">
        <v>0</v>
      </c>
      <c r="R245" s="12">
        <f>$G$245*$G$8+$H$245*$H$8+$I$245*$I$8+$J$245*$J$8+$K$245*$K$8+$L$245*$L$8+$M$245*$M$8+$N$245*$N$8+$O$245*$O$8+$P$245*$P$8+$Q$245*$Q$8</f>
        <v>0</v>
      </c>
      <c r="S245" s="12">
        <v>0</v>
      </c>
      <c r="T245" s="12">
        <f>$R$245+$S$245</f>
        <v>0</v>
      </c>
    </row>
    <row r="246" spans="1:20" x14ac:dyDescent="0.3">
      <c r="A246" s="13" t="s">
        <v>930</v>
      </c>
      <c r="B246" s="14" t="s">
        <v>931</v>
      </c>
      <c r="C246" s="14"/>
      <c r="D246" s="14" t="s">
        <v>932</v>
      </c>
      <c r="E246" s="14">
        <f xml:space="preserve"> IF($T$246,1,0)</f>
        <v>0</v>
      </c>
      <c r="F246" s="14" t="s">
        <v>933</v>
      </c>
      <c r="G246" s="14">
        <v>0</v>
      </c>
      <c r="H246" s="14">
        <v>0</v>
      </c>
      <c r="I246" s="14">
        <v>0</v>
      </c>
      <c r="J246" s="14">
        <v>0</v>
      </c>
      <c r="K246" s="14">
        <v>0</v>
      </c>
      <c r="L246" s="14">
        <v>0</v>
      </c>
      <c r="M246" s="14">
        <v>0</v>
      </c>
      <c r="N246" s="14">
        <v>0</v>
      </c>
      <c r="O246" s="14">
        <v>0</v>
      </c>
      <c r="P246" s="14">
        <v>0</v>
      </c>
      <c r="Q246" s="14">
        <v>0</v>
      </c>
      <c r="R246" s="15">
        <f>$G$246*$G$8+$H$246*$H$8+$I$246*$I$8+$J$246*$J$8+$K$246*$K$8+$L$246*$L$8+$M$246*$M$8+$N$246*$N$8+$O$246*$O$8+$P$246*$P$8+$Q$246*$Q$8</f>
        <v>0</v>
      </c>
      <c r="S246" s="15">
        <v>0</v>
      </c>
      <c r="T246" s="15">
        <f>$R$246+$S$246</f>
        <v>0</v>
      </c>
    </row>
    <row r="247" spans="1:20" x14ac:dyDescent="0.3">
      <c r="A247" s="10" t="s">
        <v>934</v>
      </c>
      <c r="B247" s="11" t="s">
        <v>935</v>
      </c>
      <c r="C247" s="11"/>
      <c r="D247" s="11" t="s">
        <v>936</v>
      </c>
      <c r="E247" s="11">
        <f xml:space="preserve"> IF($T$247,1,0)</f>
        <v>1</v>
      </c>
      <c r="F247" s="11" t="s">
        <v>937</v>
      </c>
      <c r="G247" s="11">
        <v>5</v>
      </c>
      <c r="H247" s="11">
        <v>0</v>
      </c>
      <c r="I247" s="11">
        <v>1</v>
      </c>
      <c r="J247" s="11">
        <v>0</v>
      </c>
      <c r="K247" s="11">
        <v>0</v>
      </c>
      <c r="L247" s="11">
        <v>0</v>
      </c>
      <c r="M247" s="11">
        <v>0</v>
      </c>
      <c r="N247" s="11">
        <v>0</v>
      </c>
      <c r="O247" s="11">
        <v>0</v>
      </c>
      <c r="P247" s="11">
        <v>0</v>
      </c>
      <c r="Q247" s="11">
        <v>0</v>
      </c>
      <c r="R247" s="12">
        <f>$G$247*$G$8+$H$247*$H$8+$I$247*$I$8+$J$247*$J$8+$K$247*$K$8+$L$247*$L$8+$M$247*$M$8+$N$247*$N$8+$O$247*$O$8+$P$247*$P$8+$Q$247*$Q$8</f>
        <v>6.5</v>
      </c>
      <c r="S247" s="12">
        <v>0</v>
      </c>
      <c r="T247" s="12">
        <f>$R$247+$S$247</f>
        <v>6.5</v>
      </c>
    </row>
    <row r="248" spans="1:20" x14ac:dyDescent="0.3">
      <c r="A248" s="13" t="s">
        <v>938</v>
      </c>
      <c r="B248" s="14" t="s">
        <v>939</v>
      </c>
      <c r="C248" s="14"/>
      <c r="D248" s="14" t="s">
        <v>940</v>
      </c>
      <c r="E248" s="14">
        <f xml:space="preserve"> IF($T$248,1,0)</f>
        <v>1</v>
      </c>
      <c r="F248" s="14" t="s">
        <v>941</v>
      </c>
      <c r="G248" s="14">
        <v>1</v>
      </c>
      <c r="H248" s="14">
        <v>2</v>
      </c>
      <c r="I248" s="14">
        <v>1</v>
      </c>
      <c r="J248" s="14">
        <v>3</v>
      </c>
      <c r="K248" s="14">
        <v>0</v>
      </c>
      <c r="L248" s="14">
        <v>0</v>
      </c>
      <c r="M248" s="14">
        <v>1</v>
      </c>
      <c r="N248" s="14">
        <v>0</v>
      </c>
      <c r="O248" s="14">
        <v>0</v>
      </c>
      <c r="P248" s="14">
        <v>0</v>
      </c>
      <c r="Q248" s="14">
        <v>0</v>
      </c>
      <c r="R248" s="15">
        <f>$G$248*$G$8+$H$248*$H$8+$I$248*$I$8+$J$248*$J$8+$K$248*$K$8+$L$248*$L$8+$M$248*$M$8+$N$248*$N$8+$O$248*$O$8+$P$248*$P$8+$Q$248*$Q$8</f>
        <v>15.5</v>
      </c>
      <c r="S248" s="15">
        <v>0</v>
      </c>
      <c r="T248" s="15">
        <f>$R$248+$S$248</f>
        <v>15.5</v>
      </c>
    </row>
    <row r="249" spans="1:20" x14ac:dyDescent="0.3">
      <c r="A249" s="10" t="s">
        <v>942</v>
      </c>
      <c r="B249" s="11" t="s">
        <v>943</v>
      </c>
      <c r="C249" s="11"/>
      <c r="D249" s="11" t="s">
        <v>944</v>
      </c>
      <c r="E249" s="11">
        <f xml:space="preserve"> IF($T$249,1,0)</f>
        <v>0</v>
      </c>
      <c r="F249" s="11" t="s">
        <v>945</v>
      </c>
      <c r="G249" s="11">
        <v>0</v>
      </c>
      <c r="H249" s="11">
        <v>0</v>
      </c>
      <c r="I249" s="11">
        <v>0</v>
      </c>
      <c r="J249" s="11">
        <v>0</v>
      </c>
      <c r="K249" s="11">
        <v>0</v>
      </c>
      <c r="L249" s="11">
        <v>0</v>
      </c>
      <c r="M249" s="11">
        <v>0</v>
      </c>
      <c r="N249" s="11">
        <v>0</v>
      </c>
      <c r="O249" s="11">
        <v>0</v>
      </c>
      <c r="P249" s="11">
        <v>0</v>
      </c>
      <c r="Q249" s="11">
        <v>0</v>
      </c>
      <c r="R249" s="12">
        <f>$G$249*$G$8+$H$249*$H$8+$I$249*$I$8+$J$249*$J$8+$K$249*$K$8+$L$249*$L$8+$M$249*$M$8+$N$249*$N$8+$O$249*$O$8+$P$249*$P$8+$Q$249*$Q$8</f>
        <v>0</v>
      </c>
      <c r="S249" s="12">
        <v>0</v>
      </c>
      <c r="T249" s="12">
        <f>$R$249+$S$249</f>
        <v>0</v>
      </c>
    </row>
    <row r="250" spans="1:20" x14ac:dyDescent="0.3">
      <c r="A250" s="13" t="s">
        <v>946</v>
      </c>
      <c r="B250" s="14" t="s">
        <v>947</v>
      </c>
      <c r="C250" s="14"/>
      <c r="D250" s="14" t="s">
        <v>948</v>
      </c>
      <c r="E250" s="14">
        <f xml:space="preserve"> IF($T$250,1,0)</f>
        <v>0</v>
      </c>
      <c r="F250" s="14" t="s">
        <v>949</v>
      </c>
      <c r="G250" s="14">
        <v>0</v>
      </c>
      <c r="H250" s="14">
        <v>0</v>
      </c>
      <c r="I250" s="14">
        <v>0</v>
      </c>
      <c r="J250" s="14">
        <v>0</v>
      </c>
      <c r="K250" s="14">
        <v>0</v>
      </c>
      <c r="L250" s="14">
        <v>0</v>
      </c>
      <c r="M250" s="14">
        <v>0</v>
      </c>
      <c r="N250" s="14">
        <v>0</v>
      </c>
      <c r="O250" s="14">
        <v>0</v>
      </c>
      <c r="P250" s="14">
        <v>0</v>
      </c>
      <c r="Q250" s="14">
        <v>0</v>
      </c>
      <c r="R250" s="15">
        <f>$G$250*$G$8+$H$250*$H$8+$I$250*$I$8+$J$250*$J$8+$K$250*$K$8+$L$250*$L$8+$M$250*$M$8+$N$250*$N$8+$O$250*$O$8+$P$250*$P$8+$Q$250*$Q$8</f>
        <v>0</v>
      </c>
      <c r="S250" s="15">
        <v>0</v>
      </c>
      <c r="T250" s="15">
        <f>$R$250+$S$250</f>
        <v>0</v>
      </c>
    </row>
    <row r="251" spans="1:20" x14ac:dyDescent="0.3">
      <c r="A251" s="10" t="s">
        <v>950</v>
      </c>
      <c r="B251" s="11" t="s">
        <v>951</v>
      </c>
      <c r="C251" s="11" t="s">
        <v>34</v>
      </c>
      <c r="D251" s="11" t="s">
        <v>118</v>
      </c>
      <c r="E251" s="11">
        <f xml:space="preserve"> IF($T$251,1,0)</f>
        <v>0</v>
      </c>
      <c r="F251" s="11" t="s">
        <v>952</v>
      </c>
      <c r="G251" s="11">
        <v>0</v>
      </c>
      <c r="H251" s="11">
        <v>0</v>
      </c>
      <c r="I251" s="11">
        <v>0</v>
      </c>
      <c r="J251" s="11">
        <v>0</v>
      </c>
      <c r="K251" s="11">
        <v>0</v>
      </c>
      <c r="L251" s="11">
        <v>0</v>
      </c>
      <c r="M251" s="11">
        <v>0</v>
      </c>
      <c r="N251" s="11">
        <v>0</v>
      </c>
      <c r="O251" s="11">
        <v>0</v>
      </c>
      <c r="P251" s="11">
        <v>0</v>
      </c>
      <c r="Q251" s="11">
        <v>0</v>
      </c>
      <c r="R251" s="12">
        <f>$G$251*$G$8+$H$251*$H$8+$I$251*$I$8+$J$251*$J$8+$K$251*$K$8+$L$251*$L$8+$M$251*$M$8+$N$251*$N$8+$O$251*$O$8+$P$251*$P$8+$Q$251*$Q$8</f>
        <v>0</v>
      </c>
      <c r="S251" s="12">
        <v>0</v>
      </c>
      <c r="T251" s="12">
        <f>$R$251+$S$251</f>
        <v>0</v>
      </c>
    </row>
    <row r="252" spans="1:20" x14ac:dyDescent="0.3">
      <c r="A252" s="13" t="s">
        <v>953</v>
      </c>
      <c r="B252" s="14" t="s">
        <v>954</v>
      </c>
      <c r="C252" s="14"/>
      <c r="D252" s="14" t="s">
        <v>955</v>
      </c>
      <c r="E252" s="14">
        <f xml:space="preserve"> IF($T$252,1,0)</f>
        <v>1</v>
      </c>
      <c r="F252" s="14" t="s">
        <v>956</v>
      </c>
      <c r="G252" s="14">
        <v>6</v>
      </c>
      <c r="H252" s="14">
        <v>2</v>
      </c>
      <c r="I252" s="14">
        <v>1</v>
      </c>
      <c r="J252" s="14">
        <v>0</v>
      </c>
      <c r="K252" s="14">
        <v>0</v>
      </c>
      <c r="L252" s="14">
        <v>0</v>
      </c>
      <c r="M252" s="14">
        <v>0</v>
      </c>
      <c r="N252" s="14">
        <v>0</v>
      </c>
      <c r="O252" s="14">
        <v>0</v>
      </c>
      <c r="P252" s="14">
        <v>0</v>
      </c>
      <c r="Q252" s="14">
        <v>0</v>
      </c>
      <c r="R252" s="15">
        <f>$G$252*$G$8+$H$252*$H$8+$I$252*$I$8+$J$252*$J$8+$K$252*$K$8+$L$252*$L$8+$M$252*$M$8+$N$252*$N$8+$O$252*$O$8+$P$252*$P$8+$Q$252*$Q$8</f>
        <v>12</v>
      </c>
      <c r="S252" s="15">
        <v>0</v>
      </c>
      <c r="T252" s="15">
        <f>$R$252+$S$252</f>
        <v>12</v>
      </c>
    </row>
    <row r="253" spans="1:20" x14ac:dyDescent="0.3">
      <c r="A253" s="10" t="s">
        <v>957</v>
      </c>
      <c r="B253" s="11" t="s">
        <v>958</v>
      </c>
      <c r="C253" s="11" t="s">
        <v>65</v>
      </c>
      <c r="D253" s="11" t="s">
        <v>959</v>
      </c>
      <c r="E253" s="11">
        <f xml:space="preserve"> IF($T$253,1,0)</f>
        <v>0</v>
      </c>
      <c r="F253" s="11" t="s">
        <v>960</v>
      </c>
      <c r="G253" s="11">
        <v>0</v>
      </c>
      <c r="H253" s="11">
        <v>0</v>
      </c>
      <c r="I253" s="11">
        <v>0</v>
      </c>
      <c r="J253" s="11">
        <v>0</v>
      </c>
      <c r="K253" s="11">
        <v>0</v>
      </c>
      <c r="L253" s="11">
        <v>0</v>
      </c>
      <c r="M253" s="11">
        <v>0</v>
      </c>
      <c r="N253" s="11">
        <v>0</v>
      </c>
      <c r="O253" s="11">
        <v>0</v>
      </c>
      <c r="P253" s="11">
        <v>0</v>
      </c>
      <c r="Q253" s="11">
        <v>0</v>
      </c>
      <c r="R253" s="12">
        <f>$G$253*$G$8+$H$253*$H$8+$I$253*$I$8+$J$253*$J$8+$K$253*$K$8+$L$253*$L$8+$M$253*$M$8+$N$253*$N$8+$O$253*$O$8+$P$253*$P$8+$Q$253*$Q$8</f>
        <v>0</v>
      </c>
      <c r="S253" s="12">
        <v>0</v>
      </c>
      <c r="T253" s="12">
        <f>$R$253+$S$253</f>
        <v>0</v>
      </c>
    </row>
    <row r="254" spans="1:20" x14ac:dyDescent="0.3">
      <c r="A254" s="13" t="s">
        <v>961</v>
      </c>
      <c r="B254" s="14" t="s">
        <v>962</v>
      </c>
      <c r="C254" s="14" t="s">
        <v>202</v>
      </c>
      <c r="D254" s="14" t="s">
        <v>963</v>
      </c>
      <c r="E254" s="14">
        <f xml:space="preserve"> IF($T$254,1,0)</f>
        <v>0</v>
      </c>
      <c r="F254" s="14" t="s">
        <v>964</v>
      </c>
      <c r="G254" s="14">
        <v>0</v>
      </c>
      <c r="H254" s="14">
        <v>0</v>
      </c>
      <c r="I254" s="14">
        <v>0</v>
      </c>
      <c r="J254" s="14">
        <v>0</v>
      </c>
      <c r="K254" s="14">
        <v>0</v>
      </c>
      <c r="L254" s="14">
        <v>0</v>
      </c>
      <c r="M254" s="14">
        <v>0</v>
      </c>
      <c r="N254" s="14">
        <v>0</v>
      </c>
      <c r="O254" s="14">
        <v>0</v>
      </c>
      <c r="P254" s="14">
        <v>0</v>
      </c>
      <c r="Q254" s="14">
        <v>0</v>
      </c>
      <c r="R254" s="15">
        <f>$G$254*$G$8+$H$254*$H$8+$I$254*$I$8+$J$254*$J$8+$K$254*$K$8+$L$254*$L$8+$M$254*$M$8+$N$254*$N$8+$O$254*$O$8+$P$254*$P$8+$Q$254*$Q$8</f>
        <v>0</v>
      </c>
      <c r="S254" s="15">
        <v>0</v>
      </c>
      <c r="T254" s="15">
        <f>$R$254+$S$254</f>
        <v>0</v>
      </c>
    </row>
    <row r="255" spans="1:20" x14ac:dyDescent="0.3">
      <c r="A255" s="10" t="s">
        <v>965</v>
      </c>
      <c r="B255" s="11" t="s">
        <v>966</v>
      </c>
      <c r="C255" s="11"/>
      <c r="D255" s="11" t="s">
        <v>609</v>
      </c>
      <c r="E255" s="11">
        <f xml:space="preserve"> IF($T$255,1,0)</f>
        <v>1</v>
      </c>
      <c r="F255" s="11" t="s">
        <v>967</v>
      </c>
      <c r="G255" s="11">
        <v>6</v>
      </c>
      <c r="H255" s="11">
        <v>2</v>
      </c>
      <c r="I255" s="11">
        <v>0</v>
      </c>
      <c r="J255" s="11">
        <v>0</v>
      </c>
      <c r="K255" s="11">
        <v>0</v>
      </c>
      <c r="L255" s="11">
        <v>0</v>
      </c>
      <c r="M255" s="11">
        <v>0</v>
      </c>
      <c r="N255" s="11">
        <v>0</v>
      </c>
      <c r="O255" s="11">
        <v>0</v>
      </c>
      <c r="P255" s="11">
        <v>0</v>
      </c>
      <c r="Q255" s="11">
        <v>0</v>
      </c>
      <c r="R255" s="12">
        <f>$G$255*$G$8+$H$255*$H$8+$I$255*$I$8+$J$255*$J$8+$K$255*$K$8+$L$255*$L$8+$M$255*$M$8+$N$255*$N$8+$O$255*$O$8+$P$255*$P$8+$Q$255*$Q$8</f>
        <v>11</v>
      </c>
      <c r="S255" s="12">
        <v>0</v>
      </c>
      <c r="T255" s="12">
        <f>$R$255+$S$255</f>
        <v>11</v>
      </c>
    </row>
    <row r="256" spans="1:20" x14ac:dyDescent="0.3">
      <c r="A256" s="13" t="s">
        <v>968</v>
      </c>
      <c r="B256" s="14" t="s">
        <v>969</v>
      </c>
      <c r="C256" s="14"/>
      <c r="D256" s="14" t="s">
        <v>970</v>
      </c>
      <c r="E256" s="14">
        <f xml:space="preserve"> IF($T$256,1,0)</f>
        <v>0</v>
      </c>
      <c r="F256" s="14" t="s">
        <v>971</v>
      </c>
      <c r="G256" s="14">
        <v>0</v>
      </c>
      <c r="H256" s="14">
        <v>0</v>
      </c>
      <c r="I256" s="14">
        <v>0</v>
      </c>
      <c r="J256" s="14">
        <v>0</v>
      </c>
      <c r="K256" s="14">
        <v>0</v>
      </c>
      <c r="L256" s="14">
        <v>0</v>
      </c>
      <c r="M256" s="14">
        <v>0</v>
      </c>
      <c r="N256" s="14">
        <v>0</v>
      </c>
      <c r="O256" s="14">
        <v>0</v>
      </c>
      <c r="P256" s="14">
        <v>0</v>
      </c>
      <c r="Q256" s="14">
        <v>0</v>
      </c>
      <c r="R256" s="15">
        <f>$G$256*$G$8+$H$256*$H$8+$I$256*$I$8+$J$256*$J$8+$K$256*$K$8+$L$256*$L$8+$M$256*$M$8+$N$256*$N$8+$O$256*$O$8+$P$256*$P$8+$Q$256*$Q$8</f>
        <v>0</v>
      </c>
      <c r="S256" s="15">
        <v>0</v>
      </c>
      <c r="T256" s="15">
        <f>$R$256+$S$256</f>
        <v>0</v>
      </c>
    </row>
    <row r="257" spans="1:20" x14ac:dyDescent="0.3">
      <c r="A257" s="10" t="s">
        <v>972</v>
      </c>
      <c r="B257" s="11" t="s">
        <v>973</v>
      </c>
      <c r="C257" s="11"/>
      <c r="D257" s="11" t="s">
        <v>974</v>
      </c>
      <c r="E257" s="11">
        <f xml:space="preserve"> IF($T$257,1,0)</f>
        <v>0</v>
      </c>
      <c r="F257" s="11" t="s">
        <v>975</v>
      </c>
      <c r="G257" s="11">
        <v>0</v>
      </c>
      <c r="H257" s="11">
        <v>0</v>
      </c>
      <c r="I257" s="11">
        <v>0</v>
      </c>
      <c r="J257" s="11">
        <v>0</v>
      </c>
      <c r="K257" s="11">
        <v>0</v>
      </c>
      <c r="L257" s="11">
        <v>0</v>
      </c>
      <c r="M257" s="11">
        <v>0</v>
      </c>
      <c r="N257" s="11">
        <v>0</v>
      </c>
      <c r="O257" s="11">
        <v>0</v>
      </c>
      <c r="P257" s="11">
        <v>0</v>
      </c>
      <c r="Q257" s="11">
        <v>0</v>
      </c>
      <c r="R257" s="12">
        <f>$G$257*$G$8+$H$257*$H$8+$I$257*$I$8+$J$257*$J$8+$K$257*$K$8+$L$257*$L$8+$M$257*$M$8+$N$257*$N$8+$O$257*$O$8+$P$257*$P$8+$Q$257*$Q$8</f>
        <v>0</v>
      </c>
      <c r="S257" s="12">
        <v>0</v>
      </c>
      <c r="T257" s="12">
        <f>$R$257+$S$257</f>
        <v>0</v>
      </c>
    </row>
    <row r="258" spans="1:20" x14ac:dyDescent="0.3">
      <c r="A258" s="13" t="s">
        <v>976</v>
      </c>
      <c r="B258" s="14" t="s">
        <v>977</v>
      </c>
      <c r="C258" s="14"/>
      <c r="D258" s="14" t="s">
        <v>978</v>
      </c>
      <c r="E258" s="14">
        <f xml:space="preserve"> IF($T$258,1,0)</f>
        <v>0</v>
      </c>
      <c r="F258" s="14" t="s">
        <v>979</v>
      </c>
      <c r="G258" s="14">
        <v>0</v>
      </c>
      <c r="H258" s="14">
        <v>0</v>
      </c>
      <c r="I258" s="14">
        <v>0</v>
      </c>
      <c r="J258" s="14">
        <v>0</v>
      </c>
      <c r="K258" s="14">
        <v>0</v>
      </c>
      <c r="L258" s="14">
        <v>0</v>
      </c>
      <c r="M258" s="14">
        <v>0</v>
      </c>
      <c r="N258" s="14">
        <v>0</v>
      </c>
      <c r="O258" s="14">
        <v>0</v>
      </c>
      <c r="P258" s="14">
        <v>0</v>
      </c>
      <c r="Q258" s="14">
        <v>0</v>
      </c>
      <c r="R258" s="15">
        <f>$G$258*$G$8+$H$258*$H$8+$I$258*$I$8+$J$258*$J$8+$K$258*$K$8+$L$258*$L$8+$M$258*$M$8+$N$258*$N$8+$O$258*$O$8+$P$258*$P$8+$Q$258*$Q$8</f>
        <v>0</v>
      </c>
      <c r="S258" s="15">
        <v>0</v>
      </c>
      <c r="T258" s="15">
        <f>$R$258+$S$258</f>
        <v>0</v>
      </c>
    </row>
    <row r="259" spans="1:20" x14ac:dyDescent="0.3">
      <c r="A259" s="10" t="s">
        <v>980</v>
      </c>
      <c r="B259" s="11" t="s">
        <v>981</v>
      </c>
      <c r="C259" s="11" t="s">
        <v>34</v>
      </c>
      <c r="D259" s="11" t="s">
        <v>982</v>
      </c>
      <c r="E259" s="11">
        <f xml:space="preserve"> IF($T$259,1,0)</f>
        <v>0</v>
      </c>
      <c r="F259" s="11" t="s">
        <v>983</v>
      </c>
      <c r="G259" s="11">
        <v>0</v>
      </c>
      <c r="H259" s="11">
        <v>0</v>
      </c>
      <c r="I259" s="11">
        <v>0</v>
      </c>
      <c r="J259" s="11">
        <v>0</v>
      </c>
      <c r="K259" s="11">
        <v>0</v>
      </c>
      <c r="L259" s="11">
        <v>0</v>
      </c>
      <c r="M259" s="11">
        <v>0</v>
      </c>
      <c r="N259" s="11">
        <v>0</v>
      </c>
      <c r="O259" s="11">
        <v>0</v>
      </c>
      <c r="P259" s="11">
        <v>0</v>
      </c>
      <c r="Q259" s="11">
        <v>0</v>
      </c>
      <c r="R259" s="12">
        <f>$G$259*$G$8+$H$259*$H$8+$I$259*$I$8+$J$259*$J$8+$K$259*$K$8+$L$259*$L$8+$M$259*$M$8+$N$259*$N$8+$O$259*$O$8+$P$259*$P$8+$Q$259*$Q$8</f>
        <v>0</v>
      </c>
      <c r="S259" s="12">
        <v>0</v>
      </c>
      <c r="T259" s="12">
        <f>$R$259+$S$259</f>
        <v>0</v>
      </c>
    </row>
    <row r="260" spans="1:20" x14ac:dyDescent="0.3">
      <c r="A260" s="13" t="s">
        <v>984</v>
      </c>
      <c r="B260" s="14" t="s">
        <v>985</v>
      </c>
      <c r="C260" s="14" t="s">
        <v>202</v>
      </c>
      <c r="D260" s="14" t="s">
        <v>986</v>
      </c>
      <c r="E260" s="14">
        <f xml:space="preserve"> IF($T$260,1,0)</f>
        <v>0</v>
      </c>
      <c r="F260" s="14" t="s">
        <v>987</v>
      </c>
      <c r="G260" s="14">
        <v>0</v>
      </c>
      <c r="H260" s="14">
        <v>0</v>
      </c>
      <c r="I260" s="14">
        <v>0</v>
      </c>
      <c r="J260" s="14">
        <v>0</v>
      </c>
      <c r="K260" s="14">
        <v>0</v>
      </c>
      <c r="L260" s="14">
        <v>0</v>
      </c>
      <c r="M260" s="14">
        <v>0</v>
      </c>
      <c r="N260" s="14">
        <v>0</v>
      </c>
      <c r="O260" s="14">
        <v>0</v>
      </c>
      <c r="P260" s="14">
        <v>0</v>
      </c>
      <c r="Q260" s="14">
        <v>0</v>
      </c>
      <c r="R260" s="15">
        <f>$G$260*$G$8+$H$260*$H$8+$I$260*$I$8+$J$260*$J$8+$K$260*$K$8+$L$260*$L$8+$M$260*$M$8+$N$260*$N$8+$O$260*$O$8+$P$260*$P$8+$Q$260*$Q$8</f>
        <v>0</v>
      </c>
      <c r="S260" s="15">
        <v>0</v>
      </c>
      <c r="T260" s="15">
        <f>$R$260+$S$260</f>
        <v>0</v>
      </c>
    </row>
    <row r="261" spans="1:20" x14ac:dyDescent="0.3">
      <c r="A261" s="10" t="s">
        <v>988</v>
      </c>
      <c r="B261" s="11" t="s">
        <v>989</v>
      </c>
      <c r="C261" s="11" t="s">
        <v>887</v>
      </c>
      <c r="D261" s="11" t="s">
        <v>990</v>
      </c>
      <c r="E261" s="11">
        <f xml:space="preserve"> IF($T$261,1,0)</f>
        <v>0</v>
      </c>
      <c r="F261" s="11" t="s">
        <v>991</v>
      </c>
      <c r="G261" s="11">
        <v>0</v>
      </c>
      <c r="H261" s="11">
        <v>0</v>
      </c>
      <c r="I261" s="11">
        <v>0</v>
      </c>
      <c r="J261" s="11">
        <v>0</v>
      </c>
      <c r="K261" s="11">
        <v>0</v>
      </c>
      <c r="L261" s="11">
        <v>0</v>
      </c>
      <c r="M261" s="11">
        <v>0</v>
      </c>
      <c r="N261" s="11">
        <v>0</v>
      </c>
      <c r="O261" s="11">
        <v>0</v>
      </c>
      <c r="P261" s="11">
        <v>0</v>
      </c>
      <c r="Q261" s="11">
        <v>0</v>
      </c>
      <c r="R261" s="12">
        <f>$G$261*$G$8+$H$261*$H$8+$I$261*$I$8+$J$261*$J$8+$K$261*$K$8+$L$261*$L$8+$M$261*$M$8+$N$261*$N$8+$O$261*$O$8+$P$261*$P$8+$Q$261*$Q$8</f>
        <v>0</v>
      </c>
      <c r="S261" s="12">
        <v>0</v>
      </c>
      <c r="T261" s="12">
        <f>$R$261+$S$261</f>
        <v>0</v>
      </c>
    </row>
    <row r="262" spans="1:20" x14ac:dyDescent="0.3">
      <c r="A262" s="13" t="s">
        <v>992</v>
      </c>
      <c r="B262" s="14" t="s">
        <v>343</v>
      </c>
      <c r="C262" s="14"/>
      <c r="D262" s="14" t="s">
        <v>993</v>
      </c>
      <c r="E262" s="14">
        <f xml:space="preserve"> IF($T$262,1,0)</f>
        <v>1</v>
      </c>
      <c r="F262" s="14" t="s">
        <v>994</v>
      </c>
      <c r="G262" s="14">
        <v>0</v>
      </c>
      <c r="H262" s="14">
        <v>0</v>
      </c>
      <c r="I262" s="14">
        <v>2</v>
      </c>
      <c r="J262" s="14">
        <v>0</v>
      </c>
      <c r="K262" s="14">
        <v>0</v>
      </c>
      <c r="L262" s="14">
        <v>0</v>
      </c>
      <c r="M262" s="14">
        <v>0</v>
      </c>
      <c r="N262" s="14">
        <v>0</v>
      </c>
      <c r="O262" s="14">
        <v>0</v>
      </c>
      <c r="P262" s="14">
        <v>0</v>
      </c>
      <c r="Q262" s="14">
        <v>0</v>
      </c>
      <c r="R262" s="15">
        <f>$G$262*$G$8+$H$262*$H$8+$I$262*$I$8+$J$262*$J$8+$K$262*$K$8+$L$262*$L$8+$M$262*$M$8+$N$262*$N$8+$O$262*$O$8+$P$262*$P$8+$Q$262*$Q$8</f>
        <v>2</v>
      </c>
      <c r="S262" s="15">
        <v>0</v>
      </c>
      <c r="T262" s="15">
        <f>$R$262+$S$262</f>
        <v>2</v>
      </c>
    </row>
    <row r="263" spans="1:20" x14ac:dyDescent="0.3">
      <c r="A263" s="10" t="s">
        <v>995</v>
      </c>
      <c r="B263" s="11" t="s">
        <v>996</v>
      </c>
      <c r="C263" s="11"/>
      <c r="D263" s="11" t="s">
        <v>997</v>
      </c>
      <c r="E263" s="11">
        <f xml:space="preserve"> IF($T$263,1,0)</f>
        <v>1</v>
      </c>
      <c r="F263" s="11" t="s">
        <v>998</v>
      </c>
      <c r="G263" s="11">
        <v>1</v>
      </c>
      <c r="H263" s="11">
        <v>2</v>
      </c>
      <c r="I263" s="11">
        <v>0</v>
      </c>
      <c r="J263" s="11">
        <v>2</v>
      </c>
      <c r="K263" s="11">
        <v>0</v>
      </c>
      <c r="L263" s="11">
        <v>0</v>
      </c>
      <c r="M263" s="11">
        <v>0</v>
      </c>
      <c r="N263" s="11">
        <v>0</v>
      </c>
      <c r="O263" s="11">
        <v>0</v>
      </c>
      <c r="P263" s="11">
        <v>0</v>
      </c>
      <c r="Q263" s="11">
        <v>1</v>
      </c>
      <c r="R263" s="12">
        <f>$G$263*$G$8+$H$263*$H$8+$I$263*$I$8+$J$263*$J$8+$K$263*$K$8+$L$263*$L$8+$M$263*$M$8+$N$263*$N$8+$O$263*$O$8+$P$263*$P$8+$Q$263*$Q$8</f>
        <v>10.5</v>
      </c>
      <c r="S263" s="12">
        <v>0</v>
      </c>
      <c r="T263" s="12">
        <f>$R$263+$S$263</f>
        <v>10.5</v>
      </c>
    </row>
    <row r="264" spans="1:20" x14ac:dyDescent="0.3">
      <c r="A264" s="13" t="s">
        <v>999</v>
      </c>
      <c r="B264" s="14" t="s">
        <v>1000</v>
      </c>
      <c r="C264" s="14" t="s">
        <v>202</v>
      </c>
      <c r="D264" s="14" t="s">
        <v>1001</v>
      </c>
      <c r="E264" s="14">
        <f xml:space="preserve"> IF($T$264,1,0)</f>
        <v>0</v>
      </c>
      <c r="F264" s="14" t="s">
        <v>1002</v>
      </c>
      <c r="G264" s="14">
        <v>0</v>
      </c>
      <c r="H264" s="14">
        <v>0</v>
      </c>
      <c r="I264" s="14">
        <v>0</v>
      </c>
      <c r="J264" s="14">
        <v>0</v>
      </c>
      <c r="K264" s="14">
        <v>0</v>
      </c>
      <c r="L264" s="14">
        <v>0</v>
      </c>
      <c r="M264" s="14">
        <v>0</v>
      </c>
      <c r="N264" s="14">
        <v>0</v>
      </c>
      <c r="O264" s="14">
        <v>0</v>
      </c>
      <c r="P264" s="14">
        <v>0</v>
      </c>
      <c r="Q264" s="14">
        <v>0</v>
      </c>
      <c r="R264" s="15">
        <f>$G$264*$G$8+$H$264*$H$8+$I$264*$I$8+$J$264*$J$8+$K$264*$K$8+$L$264*$L$8+$M$264*$M$8+$N$264*$N$8+$O$264*$O$8+$P$264*$P$8+$Q$264*$Q$8</f>
        <v>0</v>
      </c>
      <c r="S264" s="15">
        <v>0</v>
      </c>
      <c r="T264" s="15">
        <f>$R$264+$S$264</f>
        <v>0</v>
      </c>
    </row>
    <row r="265" spans="1:20" x14ac:dyDescent="0.3">
      <c r="A265" s="10" t="s">
        <v>1003</v>
      </c>
      <c r="B265" s="11" t="s">
        <v>1004</v>
      </c>
      <c r="C265" s="11"/>
      <c r="D265" s="11" t="s">
        <v>1005</v>
      </c>
      <c r="E265" s="11">
        <f xml:space="preserve"> IF($T$265,1,0)</f>
        <v>1</v>
      </c>
      <c r="F265" s="11" t="s">
        <v>1006</v>
      </c>
      <c r="G265" s="11">
        <v>2</v>
      </c>
      <c r="H265" s="11">
        <v>3</v>
      </c>
      <c r="I265" s="11">
        <v>0</v>
      </c>
      <c r="J265" s="11">
        <v>0</v>
      </c>
      <c r="K265" s="11">
        <v>0</v>
      </c>
      <c r="L265" s="11">
        <v>0</v>
      </c>
      <c r="M265" s="11">
        <v>0</v>
      </c>
      <c r="N265" s="11">
        <v>0</v>
      </c>
      <c r="O265" s="11">
        <v>0</v>
      </c>
      <c r="P265" s="11">
        <v>0</v>
      </c>
      <c r="Q265" s="11">
        <v>0</v>
      </c>
      <c r="R265" s="12">
        <f>$G$265*$G$8+$H$265*$H$8+$I$265*$I$8+$J$265*$J$8+$K$265*$K$8+$L$265*$L$8+$M$265*$M$8+$N$265*$N$8+$O$265*$O$8+$P$265*$P$8+$Q$265*$Q$8</f>
        <v>8.8000000000000007</v>
      </c>
      <c r="S265" s="12">
        <v>0</v>
      </c>
      <c r="T265" s="12">
        <f>$R$265+$S$265</f>
        <v>8.8000000000000007</v>
      </c>
    </row>
    <row r="266" spans="1:20" x14ac:dyDescent="0.3">
      <c r="A266" s="13" t="s">
        <v>1007</v>
      </c>
      <c r="B266" s="14" t="s">
        <v>1004</v>
      </c>
      <c r="C266" s="14"/>
      <c r="D266" s="14" t="s">
        <v>1008</v>
      </c>
      <c r="E266" s="14">
        <f xml:space="preserve"> IF($T$266,1,0)</f>
        <v>0</v>
      </c>
      <c r="F266" s="14" t="s">
        <v>1009</v>
      </c>
      <c r="G266" s="14">
        <v>0</v>
      </c>
      <c r="H266" s="14">
        <v>0</v>
      </c>
      <c r="I266" s="14">
        <v>0</v>
      </c>
      <c r="J266" s="14">
        <v>0</v>
      </c>
      <c r="K266" s="14">
        <v>0</v>
      </c>
      <c r="L266" s="14">
        <v>0</v>
      </c>
      <c r="M266" s="14">
        <v>0</v>
      </c>
      <c r="N266" s="14">
        <v>0</v>
      </c>
      <c r="O266" s="14">
        <v>0</v>
      </c>
      <c r="P266" s="14">
        <v>0</v>
      </c>
      <c r="Q266" s="14">
        <v>0</v>
      </c>
      <c r="R266" s="15">
        <f>$G$266*$G$8+$H$266*$H$8+$I$266*$I$8+$J$266*$J$8+$K$266*$K$8+$L$266*$L$8+$M$266*$M$8+$N$266*$N$8+$O$266*$O$8+$P$266*$P$8+$Q$266*$Q$8</f>
        <v>0</v>
      </c>
      <c r="S266" s="15">
        <v>0</v>
      </c>
      <c r="T266" s="15">
        <f>$R$266+$S$266</f>
        <v>0</v>
      </c>
    </row>
    <row r="267" spans="1:20" x14ac:dyDescent="0.3">
      <c r="A267" s="10" t="s">
        <v>1010</v>
      </c>
      <c r="B267" s="11" t="s">
        <v>1011</v>
      </c>
      <c r="C267" s="11"/>
      <c r="D267" s="11" t="s">
        <v>1012</v>
      </c>
      <c r="E267" s="11">
        <f xml:space="preserve"> IF($T$267,1,0)</f>
        <v>0</v>
      </c>
      <c r="F267" s="11" t="s">
        <v>1013</v>
      </c>
      <c r="G267" s="11">
        <v>0</v>
      </c>
      <c r="H267" s="11">
        <v>0</v>
      </c>
      <c r="I267" s="11">
        <v>0</v>
      </c>
      <c r="J267" s="11">
        <v>0</v>
      </c>
      <c r="K267" s="11">
        <v>0</v>
      </c>
      <c r="L267" s="11">
        <v>0</v>
      </c>
      <c r="M267" s="11">
        <v>0</v>
      </c>
      <c r="N267" s="11">
        <v>0</v>
      </c>
      <c r="O267" s="11">
        <v>0</v>
      </c>
      <c r="P267" s="11">
        <v>0</v>
      </c>
      <c r="Q267" s="11">
        <v>0</v>
      </c>
      <c r="R267" s="12">
        <f>$G$267*$G$8+$H$267*$H$8+$I$267*$I$8+$J$267*$J$8+$K$267*$K$8+$L$267*$L$8+$M$267*$M$8+$N$267*$N$8+$O$267*$O$8+$P$267*$P$8+$Q$267*$Q$8</f>
        <v>0</v>
      </c>
      <c r="S267" s="12">
        <v>0</v>
      </c>
      <c r="T267" s="12">
        <f>$R$267+$S$267</f>
        <v>0</v>
      </c>
    </row>
    <row r="268" spans="1:20" x14ac:dyDescent="0.3">
      <c r="A268" s="13" t="s">
        <v>1014</v>
      </c>
      <c r="B268" s="14" t="s">
        <v>1015</v>
      </c>
      <c r="C268" s="14"/>
      <c r="D268" s="14" t="s">
        <v>1016</v>
      </c>
      <c r="E268" s="14">
        <f xml:space="preserve"> IF($T$268,1,0)</f>
        <v>0</v>
      </c>
      <c r="F268" s="14" t="s">
        <v>1017</v>
      </c>
      <c r="G268" s="14">
        <v>0</v>
      </c>
      <c r="H268" s="14">
        <v>0</v>
      </c>
      <c r="I268" s="14">
        <v>0</v>
      </c>
      <c r="J268" s="14">
        <v>0</v>
      </c>
      <c r="K268" s="14">
        <v>0</v>
      </c>
      <c r="L268" s="14">
        <v>0</v>
      </c>
      <c r="M268" s="14">
        <v>0</v>
      </c>
      <c r="N268" s="14">
        <v>0</v>
      </c>
      <c r="O268" s="14">
        <v>0</v>
      </c>
      <c r="P268" s="14">
        <v>0</v>
      </c>
      <c r="Q268" s="14">
        <v>0</v>
      </c>
      <c r="R268" s="15">
        <f>$G$268*$G$8+$H$268*$H$8+$I$268*$I$8+$J$268*$J$8+$K$268*$K$8+$L$268*$L$8+$M$268*$M$8+$N$268*$N$8+$O$268*$O$8+$P$268*$P$8+$Q$268*$Q$8</f>
        <v>0</v>
      </c>
      <c r="S268" s="15">
        <v>0</v>
      </c>
      <c r="T268" s="15">
        <f>$R$268+$S$268</f>
        <v>0</v>
      </c>
    </row>
    <row r="269" spans="1:20" x14ac:dyDescent="0.3">
      <c r="A269" s="10" t="s">
        <v>1018</v>
      </c>
      <c r="B269" s="11" t="s">
        <v>1015</v>
      </c>
      <c r="C269" s="11"/>
      <c r="D269" s="11" t="s">
        <v>1019</v>
      </c>
      <c r="E269" s="11">
        <f xml:space="preserve"> IF($T$269,1,0)</f>
        <v>0</v>
      </c>
      <c r="F269" s="11" t="s">
        <v>1020</v>
      </c>
      <c r="G269" s="11">
        <v>0</v>
      </c>
      <c r="H269" s="11">
        <v>0</v>
      </c>
      <c r="I269" s="11">
        <v>0</v>
      </c>
      <c r="J269" s="11">
        <v>0</v>
      </c>
      <c r="K269" s="11">
        <v>0</v>
      </c>
      <c r="L269" s="11">
        <v>0</v>
      </c>
      <c r="M269" s="11">
        <v>0</v>
      </c>
      <c r="N269" s="11">
        <v>0</v>
      </c>
      <c r="O269" s="11">
        <v>0</v>
      </c>
      <c r="P269" s="11">
        <v>0</v>
      </c>
      <c r="Q269" s="11">
        <v>0</v>
      </c>
      <c r="R269" s="12">
        <f>$G$269*$G$8+$H$269*$H$8+$I$269*$I$8+$J$269*$J$8+$K$269*$K$8+$L$269*$L$8+$M$269*$M$8+$N$269*$N$8+$O$269*$O$8+$P$269*$P$8+$Q$269*$Q$8</f>
        <v>0</v>
      </c>
      <c r="S269" s="12">
        <v>0</v>
      </c>
      <c r="T269" s="12">
        <f>$R$269+$S$269</f>
        <v>0</v>
      </c>
    </row>
    <row r="270" spans="1:20" x14ac:dyDescent="0.3">
      <c r="A270" s="13" t="s">
        <v>1021</v>
      </c>
      <c r="B270" s="14" t="s">
        <v>1022</v>
      </c>
      <c r="C270" s="14" t="s">
        <v>283</v>
      </c>
      <c r="D270" s="14" t="s">
        <v>1023</v>
      </c>
      <c r="E270" s="14">
        <f xml:space="preserve"> IF($T$270,1,0)</f>
        <v>0</v>
      </c>
      <c r="F270" s="14" t="s">
        <v>1024</v>
      </c>
      <c r="G270" s="14">
        <v>0</v>
      </c>
      <c r="H270" s="14">
        <v>0</v>
      </c>
      <c r="I270" s="14">
        <v>0</v>
      </c>
      <c r="J270" s="14">
        <v>0</v>
      </c>
      <c r="K270" s="14">
        <v>0</v>
      </c>
      <c r="L270" s="14">
        <v>0</v>
      </c>
      <c r="M270" s="14">
        <v>0</v>
      </c>
      <c r="N270" s="14">
        <v>0</v>
      </c>
      <c r="O270" s="14">
        <v>0</v>
      </c>
      <c r="P270" s="14">
        <v>0</v>
      </c>
      <c r="Q270" s="14">
        <v>0</v>
      </c>
      <c r="R270" s="15">
        <f>$G$270*$G$8+$H$270*$H$8+$I$270*$I$8+$J$270*$J$8+$K$270*$K$8+$L$270*$L$8+$M$270*$M$8+$N$270*$N$8+$O$270*$O$8+$P$270*$P$8+$Q$270*$Q$8</f>
        <v>0</v>
      </c>
      <c r="S270" s="15">
        <v>0</v>
      </c>
      <c r="T270" s="15">
        <f>$R$270+$S$270</f>
        <v>0</v>
      </c>
    </row>
    <row r="271" spans="1:20" x14ac:dyDescent="0.3">
      <c r="A271" s="10" t="s">
        <v>1025</v>
      </c>
      <c r="B271" s="11" t="s">
        <v>1026</v>
      </c>
      <c r="C271" s="11"/>
      <c r="D271" s="11" t="s">
        <v>1027</v>
      </c>
      <c r="E271" s="11">
        <f xml:space="preserve"> IF($T$271,1,0)</f>
        <v>0</v>
      </c>
      <c r="F271" s="11" t="s">
        <v>1028</v>
      </c>
      <c r="G271" s="11">
        <v>0</v>
      </c>
      <c r="H271" s="11">
        <v>0</v>
      </c>
      <c r="I271" s="11">
        <v>0</v>
      </c>
      <c r="J271" s="11">
        <v>0</v>
      </c>
      <c r="K271" s="11">
        <v>0</v>
      </c>
      <c r="L271" s="11">
        <v>0</v>
      </c>
      <c r="M271" s="11">
        <v>0</v>
      </c>
      <c r="N271" s="11">
        <v>0</v>
      </c>
      <c r="O271" s="11">
        <v>0</v>
      </c>
      <c r="P271" s="11">
        <v>0</v>
      </c>
      <c r="Q271" s="11">
        <v>0</v>
      </c>
      <c r="R271" s="12">
        <f>$G$271*$G$8+$H$271*$H$8+$I$271*$I$8+$J$271*$J$8+$K$271*$K$8+$L$271*$L$8+$M$271*$M$8+$N$271*$N$8+$O$271*$O$8+$P$271*$P$8+$Q$271*$Q$8</f>
        <v>0</v>
      </c>
      <c r="S271" s="12">
        <v>0</v>
      </c>
      <c r="T271" s="12">
        <f>$R$271+$S$271</f>
        <v>0</v>
      </c>
    </row>
    <row r="272" spans="1:20" x14ac:dyDescent="0.3">
      <c r="A272" s="13" t="s">
        <v>1029</v>
      </c>
      <c r="B272" s="14" t="s">
        <v>1030</v>
      </c>
      <c r="C272" s="14" t="s">
        <v>34</v>
      </c>
      <c r="D272" s="14" t="s">
        <v>1031</v>
      </c>
      <c r="E272" s="14">
        <f xml:space="preserve"> IF($T$272,1,0)</f>
        <v>0</v>
      </c>
      <c r="F272" s="14" t="s">
        <v>1032</v>
      </c>
      <c r="G272" s="14">
        <v>0</v>
      </c>
      <c r="H272" s="14">
        <v>0</v>
      </c>
      <c r="I272" s="14">
        <v>0</v>
      </c>
      <c r="J272" s="14">
        <v>0</v>
      </c>
      <c r="K272" s="14">
        <v>0</v>
      </c>
      <c r="L272" s="14">
        <v>0</v>
      </c>
      <c r="M272" s="14">
        <v>0</v>
      </c>
      <c r="N272" s="14">
        <v>0</v>
      </c>
      <c r="O272" s="14">
        <v>0</v>
      </c>
      <c r="P272" s="14">
        <v>0</v>
      </c>
      <c r="Q272" s="14">
        <v>0</v>
      </c>
      <c r="R272" s="15">
        <f>$G$272*$G$8+$H$272*$H$8+$I$272*$I$8+$J$272*$J$8+$K$272*$K$8+$L$272*$L$8+$M$272*$M$8+$N$272*$N$8+$O$272*$O$8+$P$272*$P$8+$Q$272*$Q$8</f>
        <v>0</v>
      </c>
      <c r="S272" s="15">
        <v>0</v>
      </c>
      <c r="T272" s="15">
        <f>$R$272+$S$272</f>
        <v>0</v>
      </c>
    </row>
    <row r="273" spans="1:20" x14ac:dyDescent="0.3">
      <c r="A273" s="10" t="s">
        <v>1033</v>
      </c>
      <c r="B273" s="11" t="s">
        <v>1030</v>
      </c>
      <c r="C273" s="11"/>
      <c r="D273" s="11" t="s">
        <v>1034</v>
      </c>
      <c r="E273" s="11">
        <f xml:space="preserve"> IF($T$273,1,0)</f>
        <v>0</v>
      </c>
      <c r="F273" s="11" t="s">
        <v>1035</v>
      </c>
      <c r="G273" s="11">
        <v>0</v>
      </c>
      <c r="H273" s="11">
        <v>0</v>
      </c>
      <c r="I273" s="11">
        <v>0</v>
      </c>
      <c r="J273" s="11">
        <v>0</v>
      </c>
      <c r="K273" s="11">
        <v>0</v>
      </c>
      <c r="L273" s="11">
        <v>0</v>
      </c>
      <c r="M273" s="11">
        <v>0</v>
      </c>
      <c r="N273" s="11">
        <v>0</v>
      </c>
      <c r="O273" s="11">
        <v>0</v>
      </c>
      <c r="P273" s="11">
        <v>0</v>
      </c>
      <c r="Q273" s="11">
        <v>0</v>
      </c>
      <c r="R273" s="12">
        <f>$G$273*$G$8+$H$273*$H$8+$I$273*$I$8+$J$273*$J$8+$K$273*$K$8+$L$273*$L$8+$M$273*$M$8+$N$273*$N$8+$O$273*$O$8+$P$273*$P$8+$Q$273*$Q$8</f>
        <v>0</v>
      </c>
      <c r="S273" s="12">
        <v>0</v>
      </c>
      <c r="T273" s="12">
        <f>$R$273+$S$273</f>
        <v>0</v>
      </c>
    </row>
    <row r="274" spans="1:20" x14ac:dyDescent="0.3">
      <c r="A274" s="13" t="s">
        <v>1036</v>
      </c>
      <c r="B274" s="14" t="s">
        <v>1037</v>
      </c>
      <c r="C274" s="14"/>
      <c r="D274" s="14" t="s">
        <v>1038</v>
      </c>
      <c r="E274" s="14">
        <f xml:space="preserve"> IF($T$274,1,0)</f>
        <v>1</v>
      </c>
      <c r="F274" s="14" t="s">
        <v>1039</v>
      </c>
      <c r="G274" s="14">
        <v>4</v>
      </c>
      <c r="H274" s="14">
        <v>0</v>
      </c>
      <c r="I274" s="14">
        <v>0</v>
      </c>
      <c r="J274" s="14">
        <v>0</v>
      </c>
      <c r="K274" s="14">
        <v>0</v>
      </c>
      <c r="L274" s="14">
        <v>0</v>
      </c>
      <c r="M274" s="14">
        <v>0</v>
      </c>
      <c r="N274" s="14">
        <v>0</v>
      </c>
      <c r="O274" s="14">
        <v>0</v>
      </c>
      <c r="P274" s="14">
        <v>0</v>
      </c>
      <c r="Q274" s="14">
        <v>0</v>
      </c>
      <c r="R274" s="15">
        <f>$G$274*$G$8+$H$274*$H$8+$I$274*$I$8+$J$274*$J$8+$K$274*$K$8+$L$274*$L$8+$M$274*$M$8+$N$274*$N$8+$O$274*$O$8+$P$274*$P$8+$Q$274*$Q$8</f>
        <v>4.4000000000000004</v>
      </c>
      <c r="S274" s="15">
        <v>0</v>
      </c>
      <c r="T274" s="15">
        <f>$R$274+$S$274</f>
        <v>4.4000000000000004</v>
      </c>
    </row>
    <row r="275" spans="1:20" x14ac:dyDescent="0.3">
      <c r="A275" s="10" t="s">
        <v>1040</v>
      </c>
      <c r="B275" s="11" t="s">
        <v>1037</v>
      </c>
      <c r="C275" s="11" t="s">
        <v>202</v>
      </c>
      <c r="D275" s="11" t="s">
        <v>1041</v>
      </c>
      <c r="E275" s="11">
        <f xml:space="preserve"> IF($T$275,1,0)</f>
        <v>0</v>
      </c>
      <c r="F275" s="11" t="s">
        <v>1042</v>
      </c>
      <c r="G275" s="11">
        <v>0</v>
      </c>
      <c r="H275" s="11">
        <v>0</v>
      </c>
      <c r="I275" s="11">
        <v>0</v>
      </c>
      <c r="J275" s="11">
        <v>0</v>
      </c>
      <c r="K275" s="11">
        <v>0</v>
      </c>
      <c r="L275" s="11">
        <v>0</v>
      </c>
      <c r="M275" s="11">
        <v>0</v>
      </c>
      <c r="N275" s="11">
        <v>0</v>
      </c>
      <c r="O275" s="11">
        <v>0</v>
      </c>
      <c r="P275" s="11">
        <v>0</v>
      </c>
      <c r="Q275" s="11">
        <v>0</v>
      </c>
      <c r="R275" s="12">
        <f>$G$275*$G$8+$H$275*$H$8+$I$275*$I$8+$J$275*$J$8+$K$275*$K$8+$L$275*$L$8+$M$275*$M$8+$N$275*$N$8+$O$275*$O$8+$P$275*$P$8+$Q$275*$Q$8</f>
        <v>0</v>
      </c>
      <c r="S275" s="12">
        <v>0</v>
      </c>
      <c r="T275" s="12">
        <f>$R$275+$S$275</f>
        <v>0</v>
      </c>
    </row>
    <row r="276" spans="1:20" x14ac:dyDescent="0.3">
      <c r="A276" s="13" t="s">
        <v>1043</v>
      </c>
      <c r="B276" s="14" t="s">
        <v>1044</v>
      </c>
      <c r="C276" s="14"/>
      <c r="D276" s="14" t="s">
        <v>1045</v>
      </c>
      <c r="E276" s="14">
        <f xml:space="preserve"> IF($T$276,1,0)</f>
        <v>0</v>
      </c>
      <c r="F276" s="14" t="s">
        <v>1046</v>
      </c>
      <c r="G276" s="14">
        <v>0</v>
      </c>
      <c r="H276" s="14">
        <v>0</v>
      </c>
      <c r="I276" s="14">
        <v>0</v>
      </c>
      <c r="J276" s="14">
        <v>0</v>
      </c>
      <c r="K276" s="14">
        <v>0</v>
      </c>
      <c r="L276" s="14">
        <v>0</v>
      </c>
      <c r="M276" s="14">
        <v>0</v>
      </c>
      <c r="N276" s="14">
        <v>0</v>
      </c>
      <c r="O276" s="14">
        <v>0</v>
      </c>
      <c r="P276" s="14">
        <v>0</v>
      </c>
      <c r="Q276" s="14">
        <v>0</v>
      </c>
      <c r="R276" s="15">
        <f>$G$276*$G$8+$H$276*$H$8+$I$276*$I$8+$J$276*$J$8+$K$276*$K$8+$L$276*$L$8+$M$276*$M$8+$N$276*$N$8+$O$276*$O$8+$P$276*$P$8+$Q$276*$Q$8</f>
        <v>0</v>
      </c>
      <c r="S276" s="15">
        <v>0</v>
      </c>
      <c r="T276" s="15">
        <f>$R$276+$S$276</f>
        <v>0</v>
      </c>
    </row>
    <row r="277" spans="1:20" x14ac:dyDescent="0.3">
      <c r="A277" s="10" t="s">
        <v>1047</v>
      </c>
      <c r="B277" s="11" t="s">
        <v>1048</v>
      </c>
      <c r="C277" s="11"/>
      <c r="D277" s="11" t="s">
        <v>1049</v>
      </c>
      <c r="E277" s="11">
        <f xml:space="preserve"> IF($T$277,1,0)</f>
        <v>0</v>
      </c>
      <c r="F277" s="11" t="s">
        <v>1050</v>
      </c>
      <c r="G277" s="11">
        <v>0</v>
      </c>
      <c r="H277" s="11">
        <v>0</v>
      </c>
      <c r="I277" s="11">
        <v>0</v>
      </c>
      <c r="J277" s="11">
        <v>0</v>
      </c>
      <c r="K277" s="11">
        <v>0</v>
      </c>
      <c r="L277" s="11">
        <v>0</v>
      </c>
      <c r="M277" s="11">
        <v>0</v>
      </c>
      <c r="N277" s="11">
        <v>0</v>
      </c>
      <c r="O277" s="11">
        <v>0</v>
      </c>
      <c r="P277" s="11">
        <v>0</v>
      </c>
      <c r="Q277" s="11">
        <v>0</v>
      </c>
      <c r="R277" s="12">
        <f>$G$277*$G$8+$H$277*$H$8+$I$277*$I$8+$J$277*$J$8+$K$277*$K$8+$L$277*$L$8+$M$277*$M$8+$N$277*$N$8+$O$277*$O$8+$P$277*$P$8+$Q$277*$Q$8</f>
        <v>0</v>
      </c>
      <c r="S277" s="12">
        <v>0</v>
      </c>
      <c r="T277" s="12">
        <f>$R$277+$S$277</f>
        <v>0</v>
      </c>
    </row>
    <row r="278" spans="1:20" x14ac:dyDescent="0.3">
      <c r="A278" s="13" t="s">
        <v>1051</v>
      </c>
      <c r="B278" s="14" t="s">
        <v>1052</v>
      </c>
      <c r="C278" s="14" t="s">
        <v>34</v>
      </c>
      <c r="D278" s="14" t="s">
        <v>1053</v>
      </c>
      <c r="E278" s="14">
        <f xml:space="preserve"> IF($T$278,1,0)</f>
        <v>0</v>
      </c>
      <c r="F278" s="14" t="s">
        <v>1054</v>
      </c>
      <c r="G278" s="14">
        <v>0</v>
      </c>
      <c r="H278" s="14">
        <v>0</v>
      </c>
      <c r="I278" s="14">
        <v>0</v>
      </c>
      <c r="J278" s="14">
        <v>0</v>
      </c>
      <c r="K278" s="14">
        <v>0</v>
      </c>
      <c r="L278" s="14">
        <v>0</v>
      </c>
      <c r="M278" s="14">
        <v>0</v>
      </c>
      <c r="N278" s="14">
        <v>0</v>
      </c>
      <c r="O278" s="14">
        <v>0</v>
      </c>
      <c r="P278" s="14">
        <v>0</v>
      </c>
      <c r="Q278" s="14">
        <v>0</v>
      </c>
      <c r="R278" s="15">
        <f>$G$278*$G$8+$H$278*$H$8+$I$278*$I$8+$J$278*$J$8+$K$278*$K$8+$L$278*$L$8+$M$278*$M$8+$N$278*$N$8+$O$278*$O$8+$P$278*$P$8+$Q$278*$Q$8</f>
        <v>0</v>
      </c>
      <c r="S278" s="15">
        <v>0</v>
      </c>
      <c r="T278" s="15">
        <f>$R$278+$S$278</f>
        <v>0</v>
      </c>
    </row>
    <row r="279" spans="1:20" x14ac:dyDescent="0.3">
      <c r="A279" s="10" t="s">
        <v>1055</v>
      </c>
      <c r="B279" s="11" t="s">
        <v>1056</v>
      </c>
      <c r="C279" s="11" t="s">
        <v>243</v>
      </c>
      <c r="D279" s="11" t="s">
        <v>1057</v>
      </c>
      <c r="E279" s="11">
        <f xml:space="preserve"> IF($T$279,1,0)</f>
        <v>0</v>
      </c>
      <c r="F279" s="11" t="s">
        <v>1058</v>
      </c>
      <c r="G279" s="11">
        <v>0</v>
      </c>
      <c r="H279" s="11">
        <v>0</v>
      </c>
      <c r="I279" s="11">
        <v>0</v>
      </c>
      <c r="J279" s="11">
        <v>0</v>
      </c>
      <c r="K279" s="11">
        <v>0</v>
      </c>
      <c r="L279" s="11">
        <v>0</v>
      </c>
      <c r="M279" s="11">
        <v>0</v>
      </c>
      <c r="N279" s="11">
        <v>0</v>
      </c>
      <c r="O279" s="11">
        <v>0</v>
      </c>
      <c r="P279" s="11">
        <v>0</v>
      </c>
      <c r="Q279" s="11">
        <v>0</v>
      </c>
      <c r="R279" s="12">
        <f>$G$279*$G$8+$H$279*$H$8+$I$279*$I$8+$J$279*$J$8+$K$279*$K$8+$L$279*$L$8+$M$279*$M$8+$N$279*$N$8+$O$279*$O$8+$P$279*$P$8+$Q$279*$Q$8</f>
        <v>0</v>
      </c>
      <c r="S279" s="12">
        <v>0</v>
      </c>
      <c r="T279" s="12">
        <f>$R$279+$S$279</f>
        <v>0</v>
      </c>
    </row>
    <row r="280" spans="1:20" x14ac:dyDescent="0.3">
      <c r="A280" s="13" t="s">
        <v>1059</v>
      </c>
      <c r="B280" s="14" t="s">
        <v>1056</v>
      </c>
      <c r="C280" s="14" t="s">
        <v>278</v>
      </c>
      <c r="D280" s="14" t="s">
        <v>1060</v>
      </c>
      <c r="E280" s="14">
        <f xml:space="preserve"> IF($T$280,1,0)</f>
        <v>0</v>
      </c>
      <c r="F280" s="14" t="s">
        <v>1061</v>
      </c>
      <c r="G280" s="14">
        <v>0</v>
      </c>
      <c r="H280" s="14">
        <v>0</v>
      </c>
      <c r="I280" s="14">
        <v>0</v>
      </c>
      <c r="J280" s="14">
        <v>0</v>
      </c>
      <c r="K280" s="14">
        <v>0</v>
      </c>
      <c r="L280" s="14">
        <v>0</v>
      </c>
      <c r="M280" s="14">
        <v>0</v>
      </c>
      <c r="N280" s="14">
        <v>0</v>
      </c>
      <c r="O280" s="14">
        <v>0</v>
      </c>
      <c r="P280" s="14">
        <v>0</v>
      </c>
      <c r="Q280" s="14">
        <v>0</v>
      </c>
      <c r="R280" s="15">
        <f>$G$280*$G$8+$H$280*$H$8+$I$280*$I$8+$J$280*$J$8+$K$280*$K$8+$L$280*$L$8+$M$280*$M$8+$N$280*$N$8+$O$280*$O$8+$P$280*$P$8+$Q$280*$Q$8</f>
        <v>0</v>
      </c>
      <c r="S280" s="15">
        <v>0</v>
      </c>
      <c r="T280" s="15">
        <f>$R$280+$S$280</f>
        <v>0</v>
      </c>
    </row>
    <row r="281" spans="1:20" x14ac:dyDescent="0.3">
      <c r="A281" s="10" t="s">
        <v>1062</v>
      </c>
      <c r="B281" s="11" t="s">
        <v>1063</v>
      </c>
      <c r="C281" s="11"/>
      <c r="D281" s="11" t="s">
        <v>1064</v>
      </c>
      <c r="E281" s="11">
        <f xml:space="preserve"> IF($T$281,1,0)</f>
        <v>0</v>
      </c>
      <c r="F281" s="11" t="s">
        <v>1065</v>
      </c>
      <c r="G281" s="11">
        <v>0</v>
      </c>
      <c r="H281" s="11">
        <v>0</v>
      </c>
      <c r="I281" s="11">
        <v>0</v>
      </c>
      <c r="J281" s="11">
        <v>0</v>
      </c>
      <c r="K281" s="11">
        <v>0</v>
      </c>
      <c r="L281" s="11">
        <v>0</v>
      </c>
      <c r="M281" s="11">
        <v>0</v>
      </c>
      <c r="N281" s="11">
        <v>0</v>
      </c>
      <c r="O281" s="11">
        <v>0</v>
      </c>
      <c r="P281" s="11">
        <v>0</v>
      </c>
      <c r="Q281" s="11">
        <v>0</v>
      </c>
      <c r="R281" s="12">
        <f>$G$281*$G$8+$H$281*$H$8+$I$281*$I$8+$J$281*$J$8+$K$281*$K$8+$L$281*$L$8+$M$281*$M$8+$N$281*$N$8+$O$281*$O$8+$P$281*$P$8+$Q$281*$Q$8</f>
        <v>0</v>
      </c>
      <c r="S281" s="12">
        <v>0</v>
      </c>
      <c r="T281" s="12">
        <f>$R$281+$S$281</f>
        <v>0</v>
      </c>
    </row>
    <row r="282" spans="1:20" x14ac:dyDescent="0.3">
      <c r="A282" s="13" t="s">
        <v>1066</v>
      </c>
      <c r="B282" s="14" t="s">
        <v>1067</v>
      </c>
      <c r="C282" s="14" t="s">
        <v>202</v>
      </c>
      <c r="D282" s="14" t="s">
        <v>1068</v>
      </c>
      <c r="E282" s="14">
        <f xml:space="preserve"> IF($T$282,1,0)</f>
        <v>0</v>
      </c>
      <c r="F282" s="14" t="s">
        <v>1069</v>
      </c>
      <c r="G282" s="14">
        <v>0</v>
      </c>
      <c r="H282" s="14">
        <v>0</v>
      </c>
      <c r="I282" s="14">
        <v>0</v>
      </c>
      <c r="J282" s="14">
        <v>0</v>
      </c>
      <c r="K282" s="14">
        <v>0</v>
      </c>
      <c r="L282" s="14">
        <v>0</v>
      </c>
      <c r="M282" s="14">
        <v>0</v>
      </c>
      <c r="N282" s="14">
        <v>0</v>
      </c>
      <c r="O282" s="14">
        <v>0</v>
      </c>
      <c r="P282" s="14">
        <v>0</v>
      </c>
      <c r="Q282" s="14">
        <v>0</v>
      </c>
      <c r="R282" s="15">
        <f>$G$282*$G$8+$H$282*$H$8+$I$282*$I$8+$J$282*$J$8+$K$282*$K$8+$L$282*$L$8+$M$282*$M$8+$N$282*$N$8+$O$282*$O$8+$P$282*$P$8+$Q$282*$Q$8</f>
        <v>0</v>
      </c>
      <c r="S282" s="15">
        <v>0</v>
      </c>
      <c r="T282" s="15">
        <f>$R$282+$S$282</f>
        <v>0</v>
      </c>
    </row>
    <row r="283" spans="1:20" x14ac:dyDescent="0.3">
      <c r="A283" s="10" t="s">
        <v>1070</v>
      </c>
      <c r="B283" s="11" t="s">
        <v>1071</v>
      </c>
      <c r="C283" s="11"/>
      <c r="D283" s="11" t="s">
        <v>1072</v>
      </c>
      <c r="E283" s="11">
        <f xml:space="preserve"> IF($T$283,1,0)</f>
        <v>0</v>
      </c>
      <c r="F283" s="11" t="s">
        <v>1073</v>
      </c>
      <c r="G283" s="11">
        <v>0</v>
      </c>
      <c r="H283" s="11">
        <v>0</v>
      </c>
      <c r="I283" s="11">
        <v>0</v>
      </c>
      <c r="J283" s="11">
        <v>0</v>
      </c>
      <c r="K283" s="11">
        <v>0</v>
      </c>
      <c r="L283" s="11">
        <v>0</v>
      </c>
      <c r="M283" s="11">
        <v>0</v>
      </c>
      <c r="N283" s="11">
        <v>0</v>
      </c>
      <c r="O283" s="11">
        <v>0</v>
      </c>
      <c r="P283" s="11">
        <v>0</v>
      </c>
      <c r="Q283" s="11">
        <v>0</v>
      </c>
      <c r="R283" s="12">
        <f>$G$283*$G$8+$H$283*$H$8+$I$283*$I$8+$J$283*$J$8+$K$283*$K$8+$L$283*$L$8+$M$283*$M$8+$N$283*$N$8+$O$283*$O$8+$P$283*$P$8+$Q$283*$Q$8</f>
        <v>0</v>
      </c>
      <c r="S283" s="12">
        <v>0</v>
      </c>
      <c r="T283" s="12">
        <f>$R$283+$S$283</f>
        <v>0</v>
      </c>
    </row>
    <row r="284" spans="1:20" x14ac:dyDescent="0.3">
      <c r="A284" s="13" t="s">
        <v>1074</v>
      </c>
      <c r="B284" s="14" t="s">
        <v>1071</v>
      </c>
      <c r="C284" s="14"/>
      <c r="D284" s="14" t="s">
        <v>1075</v>
      </c>
      <c r="E284" s="14">
        <f xml:space="preserve"> IF($T$284,1,0)</f>
        <v>1</v>
      </c>
      <c r="F284" s="14" t="s">
        <v>1076</v>
      </c>
      <c r="G284" s="14">
        <v>0</v>
      </c>
      <c r="H284" s="14">
        <v>2</v>
      </c>
      <c r="I284" s="14">
        <v>0</v>
      </c>
      <c r="J284" s="14">
        <v>0</v>
      </c>
      <c r="K284" s="14">
        <v>0</v>
      </c>
      <c r="L284" s="14">
        <v>0</v>
      </c>
      <c r="M284" s="14">
        <v>0</v>
      </c>
      <c r="N284" s="14">
        <v>0</v>
      </c>
      <c r="O284" s="14">
        <v>0</v>
      </c>
      <c r="P284" s="14">
        <v>0</v>
      </c>
      <c r="Q284" s="14">
        <v>1</v>
      </c>
      <c r="R284" s="15">
        <f>$G$284*$G$8+$H$284*$H$8+$I$284*$I$8+$J$284*$J$8+$K$284*$K$8+$L$284*$L$8+$M$284*$M$8+$N$284*$N$8+$O$284*$O$8+$P$284*$P$8+$Q$284*$Q$8</f>
        <v>5.4</v>
      </c>
      <c r="S284" s="15">
        <v>0</v>
      </c>
      <c r="T284" s="15">
        <f>$R$284+$S$284</f>
        <v>5.4</v>
      </c>
    </row>
    <row r="285" spans="1:20" x14ac:dyDescent="0.3">
      <c r="A285" s="10" t="s">
        <v>1077</v>
      </c>
      <c r="B285" s="11" t="s">
        <v>1078</v>
      </c>
      <c r="C285" s="11"/>
      <c r="D285" s="11" t="s">
        <v>1079</v>
      </c>
      <c r="E285" s="11">
        <f xml:space="preserve"> IF($T$285,1,0)</f>
        <v>0</v>
      </c>
      <c r="F285" s="11" t="s">
        <v>1080</v>
      </c>
      <c r="G285" s="11">
        <v>0</v>
      </c>
      <c r="H285" s="11">
        <v>0</v>
      </c>
      <c r="I285" s="11">
        <v>0</v>
      </c>
      <c r="J285" s="11">
        <v>0</v>
      </c>
      <c r="K285" s="11">
        <v>0</v>
      </c>
      <c r="L285" s="11">
        <v>0</v>
      </c>
      <c r="M285" s="11">
        <v>0</v>
      </c>
      <c r="N285" s="11">
        <v>0</v>
      </c>
      <c r="O285" s="11">
        <v>0</v>
      </c>
      <c r="P285" s="11">
        <v>0</v>
      </c>
      <c r="Q285" s="11">
        <v>0</v>
      </c>
      <c r="R285" s="12">
        <f>$G$285*$G$8+$H$285*$H$8+$I$285*$I$8+$J$285*$J$8+$K$285*$K$8+$L$285*$L$8+$M$285*$M$8+$N$285*$N$8+$O$285*$O$8+$P$285*$P$8+$Q$285*$Q$8</f>
        <v>0</v>
      </c>
      <c r="S285" s="12">
        <v>0</v>
      </c>
      <c r="T285" s="12">
        <f>$R$285+$S$285</f>
        <v>0</v>
      </c>
    </row>
    <row r="286" spans="1:20" x14ac:dyDescent="0.3">
      <c r="A286" s="13" t="s">
        <v>1081</v>
      </c>
      <c r="B286" s="14" t="s">
        <v>1082</v>
      </c>
      <c r="C286" s="14"/>
      <c r="D286" s="14" t="s">
        <v>1083</v>
      </c>
      <c r="E286" s="14">
        <f xml:space="preserve"> IF($T$286,1,0)</f>
        <v>0</v>
      </c>
      <c r="F286" s="14" t="s">
        <v>1084</v>
      </c>
      <c r="G286" s="14">
        <v>0</v>
      </c>
      <c r="H286" s="14">
        <v>0</v>
      </c>
      <c r="I286" s="14">
        <v>0</v>
      </c>
      <c r="J286" s="14">
        <v>0</v>
      </c>
      <c r="K286" s="14">
        <v>0</v>
      </c>
      <c r="L286" s="14">
        <v>0</v>
      </c>
      <c r="M286" s="14">
        <v>0</v>
      </c>
      <c r="N286" s="14">
        <v>0</v>
      </c>
      <c r="O286" s="14">
        <v>0</v>
      </c>
      <c r="P286" s="14">
        <v>0</v>
      </c>
      <c r="Q286" s="14">
        <v>0</v>
      </c>
      <c r="R286" s="15">
        <f>$G$286*$G$8+$H$286*$H$8+$I$286*$I$8+$J$286*$J$8+$K$286*$K$8+$L$286*$L$8+$M$286*$M$8+$N$286*$N$8+$O$286*$O$8+$P$286*$P$8+$Q$286*$Q$8</f>
        <v>0</v>
      </c>
      <c r="S286" s="15">
        <v>0</v>
      </c>
      <c r="T286" s="15">
        <f>$R$286+$S$286</f>
        <v>0</v>
      </c>
    </row>
    <row r="287" spans="1:20" x14ac:dyDescent="0.3">
      <c r="A287" s="10" t="s">
        <v>1085</v>
      </c>
      <c r="B287" s="11" t="s">
        <v>1082</v>
      </c>
      <c r="C287" s="11"/>
      <c r="D287" s="11" t="s">
        <v>1086</v>
      </c>
      <c r="E287" s="11">
        <f xml:space="preserve"> IF($T$287,1,0)</f>
        <v>0</v>
      </c>
      <c r="F287" s="11" t="s">
        <v>1087</v>
      </c>
      <c r="G287" s="11">
        <v>0</v>
      </c>
      <c r="H287" s="11">
        <v>0</v>
      </c>
      <c r="I287" s="11">
        <v>0</v>
      </c>
      <c r="J287" s="11">
        <v>0</v>
      </c>
      <c r="K287" s="11">
        <v>0</v>
      </c>
      <c r="L287" s="11">
        <v>0</v>
      </c>
      <c r="M287" s="11">
        <v>0</v>
      </c>
      <c r="N287" s="11">
        <v>0</v>
      </c>
      <c r="O287" s="11">
        <v>0</v>
      </c>
      <c r="P287" s="11">
        <v>0</v>
      </c>
      <c r="Q287" s="11">
        <v>0</v>
      </c>
      <c r="R287" s="12">
        <f>$G$287*$G$8+$H$287*$H$8+$I$287*$I$8+$J$287*$J$8+$K$287*$K$8+$L$287*$L$8+$M$287*$M$8+$N$287*$N$8+$O$287*$O$8+$P$287*$P$8+$Q$287*$Q$8</f>
        <v>0</v>
      </c>
      <c r="S287" s="12">
        <v>0</v>
      </c>
      <c r="T287" s="12">
        <f>$R$287+$S$287</f>
        <v>0</v>
      </c>
    </row>
    <row r="288" spans="1:20" x14ac:dyDescent="0.3">
      <c r="A288" s="13" t="s">
        <v>1088</v>
      </c>
      <c r="B288" s="14" t="s">
        <v>1082</v>
      </c>
      <c r="C288" s="14" t="s">
        <v>65</v>
      </c>
      <c r="D288" s="14" t="s">
        <v>1089</v>
      </c>
      <c r="E288" s="14">
        <f xml:space="preserve"> IF($T$288,1,0)</f>
        <v>1</v>
      </c>
      <c r="F288" s="14" t="s">
        <v>1090</v>
      </c>
      <c r="G288" s="14">
        <v>1</v>
      </c>
      <c r="H288" s="14">
        <v>1</v>
      </c>
      <c r="I288" s="14">
        <v>3</v>
      </c>
      <c r="J288" s="14">
        <v>0</v>
      </c>
      <c r="K288" s="14">
        <v>0</v>
      </c>
      <c r="L288" s="14">
        <v>0</v>
      </c>
      <c r="M288" s="14">
        <v>0</v>
      </c>
      <c r="N288" s="14">
        <v>0</v>
      </c>
      <c r="O288" s="14">
        <v>0</v>
      </c>
      <c r="P288" s="14">
        <v>0</v>
      </c>
      <c r="Q288" s="14">
        <v>0</v>
      </c>
      <c r="R288" s="15">
        <f>$G$288*$G$8+$H$288*$H$8+$I$288*$I$8+$J$288*$J$8+$K$288*$K$8+$L$288*$L$8+$M$288*$M$8+$N$288*$N$8+$O$288*$O$8+$P$288*$P$8+$Q$288*$Q$8</f>
        <v>6.3000000000000007</v>
      </c>
      <c r="S288" s="15">
        <v>0</v>
      </c>
      <c r="T288" s="15">
        <f>$R$288+$S$288</f>
        <v>6.3000000000000007</v>
      </c>
    </row>
    <row r="289" spans="1:20" x14ac:dyDescent="0.3">
      <c r="A289" s="10" t="s">
        <v>1091</v>
      </c>
      <c r="B289" s="11" t="s">
        <v>1082</v>
      </c>
      <c r="C289" s="11"/>
      <c r="D289" s="11" t="s">
        <v>1092</v>
      </c>
      <c r="E289" s="11">
        <f xml:space="preserve"> IF($T$289,1,0)</f>
        <v>1</v>
      </c>
      <c r="F289" s="11" t="s">
        <v>1093</v>
      </c>
      <c r="G289" s="11">
        <v>0</v>
      </c>
      <c r="H289" s="11">
        <v>0</v>
      </c>
      <c r="I289" s="11">
        <v>0</v>
      </c>
      <c r="J289" s="11">
        <v>0</v>
      </c>
      <c r="K289" s="11">
        <v>0</v>
      </c>
      <c r="L289" s="11">
        <v>0</v>
      </c>
      <c r="M289" s="11">
        <v>3</v>
      </c>
      <c r="N289" s="11">
        <v>0</v>
      </c>
      <c r="O289" s="11">
        <v>0</v>
      </c>
      <c r="P289" s="11">
        <v>0</v>
      </c>
      <c r="Q289" s="11">
        <v>0</v>
      </c>
      <c r="R289" s="12">
        <f>$G$289*$G$8+$H$289*$H$8+$I$289*$I$8+$J$289*$J$8+$K$289*$K$8+$L$289*$L$8+$M$289*$M$8+$N$289*$N$8+$O$289*$O$8+$P$289*$P$8+$Q$289*$Q$8</f>
        <v>9</v>
      </c>
      <c r="S289" s="12">
        <v>0</v>
      </c>
      <c r="T289" s="12">
        <f>$R$289+$S$289</f>
        <v>9</v>
      </c>
    </row>
    <row r="290" spans="1:20" x14ac:dyDescent="0.3">
      <c r="A290" s="13" t="s">
        <v>1094</v>
      </c>
      <c r="B290" s="14" t="s">
        <v>1095</v>
      </c>
      <c r="C290" s="14" t="s">
        <v>34</v>
      </c>
      <c r="D290" s="14" t="s">
        <v>1096</v>
      </c>
      <c r="E290" s="14">
        <f xml:space="preserve"> IF($T$290,1,0)</f>
        <v>0</v>
      </c>
      <c r="F290" s="14" t="s">
        <v>1097</v>
      </c>
      <c r="G290" s="14">
        <v>0</v>
      </c>
      <c r="H290" s="14">
        <v>0</v>
      </c>
      <c r="I290" s="14">
        <v>0</v>
      </c>
      <c r="J290" s="14">
        <v>0</v>
      </c>
      <c r="K290" s="14">
        <v>0</v>
      </c>
      <c r="L290" s="14">
        <v>0</v>
      </c>
      <c r="M290" s="14">
        <v>0</v>
      </c>
      <c r="N290" s="14">
        <v>0</v>
      </c>
      <c r="O290" s="14">
        <v>0</v>
      </c>
      <c r="P290" s="14">
        <v>0</v>
      </c>
      <c r="Q290" s="14">
        <v>0</v>
      </c>
      <c r="R290" s="15">
        <f>$G$290*$G$8+$H$290*$H$8+$I$290*$I$8+$J$290*$J$8+$K$290*$K$8+$L$290*$L$8+$M$290*$M$8+$N$290*$N$8+$O$290*$O$8+$P$290*$P$8+$Q$290*$Q$8</f>
        <v>0</v>
      </c>
      <c r="S290" s="15">
        <v>0</v>
      </c>
      <c r="T290" s="15">
        <f>$R$290+$S$290</f>
        <v>0</v>
      </c>
    </row>
    <row r="291" spans="1:20" x14ac:dyDescent="0.3">
      <c r="A291" s="10" t="s">
        <v>1098</v>
      </c>
      <c r="B291" s="11" t="s">
        <v>1099</v>
      </c>
      <c r="C291" s="11"/>
      <c r="D291" s="11" t="s">
        <v>1100</v>
      </c>
      <c r="E291" s="11">
        <f xml:space="preserve"> IF($T$291,1,0)</f>
        <v>0</v>
      </c>
      <c r="F291" s="11" t="s">
        <v>1101</v>
      </c>
      <c r="G291" s="11">
        <v>0</v>
      </c>
      <c r="H291" s="11">
        <v>0</v>
      </c>
      <c r="I291" s="11">
        <v>0</v>
      </c>
      <c r="J291" s="11">
        <v>0</v>
      </c>
      <c r="K291" s="11">
        <v>0</v>
      </c>
      <c r="L291" s="11">
        <v>0</v>
      </c>
      <c r="M291" s="11">
        <v>0</v>
      </c>
      <c r="N291" s="11">
        <v>0</v>
      </c>
      <c r="O291" s="11">
        <v>0</v>
      </c>
      <c r="P291" s="11">
        <v>0</v>
      </c>
      <c r="Q291" s="11">
        <v>0</v>
      </c>
      <c r="R291" s="12">
        <f>$G$291*$G$8+$H$291*$H$8+$I$291*$I$8+$J$291*$J$8+$K$291*$K$8+$L$291*$L$8+$M$291*$M$8+$N$291*$N$8+$O$291*$O$8+$P$291*$P$8+$Q$291*$Q$8</f>
        <v>0</v>
      </c>
      <c r="S291" s="12">
        <v>0</v>
      </c>
      <c r="T291" s="12">
        <f>$R$291+$S$291</f>
        <v>0</v>
      </c>
    </row>
    <row r="292" spans="1:20" x14ac:dyDescent="0.3">
      <c r="A292" s="13" t="s">
        <v>1102</v>
      </c>
      <c r="B292" s="14" t="s">
        <v>1103</v>
      </c>
      <c r="C292" s="14"/>
      <c r="D292" s="14" t="s">
        <v>1104</v>
      </c>
      <c r="E292" s="14">
        <f xml:space="preserve"> IF($T$292,1,0)</f>
        <v>0</v>
      </c>
      <c r="F292" s="14" t="s">
        <v>1105</v>
      </c>
      <c r="G292" s="14">
        <v>0</v>
      </c>
      <c r="H292" s="14">
        <v>0</v>
      </c>
      <c r="I292" s="14">
        <v>0</v>
      </c>
      <c r="J292" s="14">
        <v>0</v>
      </c>
      <c r="K292" s="14">
        <v>0</v>
      </c>
      <c r="L292" s="14">
        <v>0</v>
      </c>
      <c r="M292" s="14">
        <v>0</v>
      </c>
      <c r="N292" s="14">
        <v>0</v>
      </c>
      <c r="O292" s="14">
        <v>0</v>
      </c>
      <c r="P292" s="14">
        <v>0</v>
      </c>
      <c r="Q292" s="14">
        <v>0</v>
      </c>
      <c r="R292" s="15">
        <f>$G$292*$G$8+$H$292*$H$8+$I$292*$I$8+$J$292*$J$8+$K$292*$K$8+$L$292*$L$8+$M$292*$M$8+$N$292*$N$8+$O$292*$O$8+$P$292*$P$8+$Q$292*$Q$8</f>
        <v>0</v>
      </c>
      <c r="S292" s="15">
        <v>0</v>
      </c>
      <c r="T292" s="15">
        <f>$R$292+$S$292</f>
        <v>0</v>
      </c>
    </row>
    <row r="293" spans="1:20" x14ac:dyDescent="0.3">
      <c r="A293" s="10" t="s">
        <v>1106</v>
      </c>
      <c r="B293" s="11" t="s">
        <v>1107</v>
      </c>
      <c r="C293" s="11"/>
      <c r="D293" s="11" t="s">
        <v>1107</v>
      </c>
      <c r="E293" s="11">
        <f xml:space="preserve"> IF($T$293,1,0)</f>
        <v>0</v>
      </c>
      <c r="F293" s="11" t="s">
        <v>1108</v>
      </c>
      <c r="G293" s="11">
        <v>0</v>
      </c>
      <c r="H293" s="11">
        <v>0</v>
      </c>
      <c r="I293" s="11">
        <v>0</v>
      </c>
      <c r="J293" s="11">
        <v>0</v>
      </c>
      <c r="K293" s="11">
        <v>0</v>
      </c>
      <c r="L293" s="11">
        <v>0</v>
      </c>
      <c r="M293" s="11">
        <v>0</v>
      </c>
      <c r="N293" s="11">
        <v>0</v>
      </c>
      <c r="O293" s="11">
        <v>0</v>
      </c>
      <c r="P293" s="11">
        <v>0</v>
      </c>
      <c r="Q293" s="11">
        <v>0</v>
      </c>
      <c r="R293" s="12">
        <f>$G$293*$G$8+$H$293*$H$8+$I$293*$I$8+$J$293*$J$8+$K$293*$K$8+$L$293*$L$8+$M$293*$M$8+$N$293*$N$8+$O$293*$O$8+$P$293*$P$8+$Q$293*$Q$8</f>
        <v>0</v>
      </c>
      <c r="S293" s="12">
        <v>0</v>
      </c>
      <c r="T293" s="12">
        <f>$R$293+$S$293</f>
        <v>0</v>
      </c>
    </row>
    <row r="294" spans="1:20" x14ac:dyDescent="0.3">
      <c r="A294" s="13" t="s">
        <v>1109</v>
      </c>
      <c r="B294" s="14" t="s">
        <v>1110</v>
      </c>
      <c r="C294" s="14" t="s">
        <v>34</v>
      </c>
      <c r="D294" s="14" t="s">
        <v>1111</v>
      </c>
      <c r="E294" s="14">
        <f xml:space="preserve"> IF($T$294,1,0)</f>
        <v>1</v>
      </c>
      <c r="F294" s="14" t="s">
        <v>1112</v>
      </c>
      <c r="G294" s="14">
        <v>1</v>
      </c>
      <c r="H294" s="14">
        <v>4</v>
      </c>
      <c r="I294" s="14">
        <v>0</v>
      </c>
      <c r="J294" s="14">
        <v>0</v>
      </c>
      <c r="K294" s="14">
        <v>0</v>
      </c>
      <c r="L294" s="14">
        <v>0</v>
      </c>
      <c r="M294" s="14">
        <v>0</v>
      </c>
      <c r="N294" s="14">
        <v>0</v>
      </c>
      <c r="O294" s="14">
        <v>0</v>
      </c>
      <c r="P294" s="14">
        <v>0</v>
      </c>
      <c r="Q294" s="14">
        <v>0</v>
      </c>
      <c r="R294" s="15">
        <f>$G$294*$G$8+$H$294*$H$8+$I$294*$I$8+$J$294*$J$8+$K$294*$K$8+$L$294*$L$8+$M$294*$M$8+$N$294*$N$8+$O$294*$O$8+$P$294*$P$8+$Q$294*$Q$8</f>
        <v>9.9</v>
      </c>
      <c r="S294" s="15">
        <v>0</v>
      </c>
      <c r="T294" s="15">
        <f>$R$294+$S$294</f>
        <v>9.9</v>
      </c>
    </row>
    <row r="295" spans="1:20" x14ac:dyDescent="0.3">
      <c r="A295" s="10" t="s">
        <v>1113</v>
      </c>
      <c r="B295" s="11" t="s">
        <v>1114</v>
      </c>
      <c r="C295" s="11" t="s">
        <v>34</v>
      </c>
      <c r="D295" s="11" t="s">
        <v>239</v>
      </c>
      <c r="E295" s="11">
        <f xml:space="preserve"> IF($T$295,1,0)</f>
        <v>1</v>
      </c>
      <c r="F295" s="11" t="s">
        <v>1115</v>
      </c>
      <c r="G295" s="11">
        <v>2</v>
      </c>
      <c r="H295" s="11">
        <v>1</v>
      </c>
      <c r="I295" s="11">
        <v>0</v>
      </c>
      <c r="J295" s="11">
        <v>0</v>
      </c>
      <c r="K295" s="11">
        <v>0</v>
      </c>
      <c r="L295" s="11">
        <v>0</v>
      </c>
      <c r="M295" s="11">
        <v>3</v>
      </c>
      <c r="N295" s="11">
        <v>0</v>
      </c>
      <c r="O295" s="11">
        <v>0</v>
      </c>
      <c r="P295" s="11">
        <v>0</v>
      </c>
      <c r="Q295" s="11">
        <v>0</v>
      </c>
      <c r="R295" s="12">
        <f>$G$295*$G$8+$H$295*$H$8+$I$295*$I$8+$J$295*$J$8+$K$295*$K$8+$L$295*$L$8+$M$295*$M$8+$N$295*$N$8+$O$295*$O$8+$P$295*$P$8+$Q$295*$Q$8</f>
        <v>13.4</v>
      </c>
      <c r="S295" s="12">
        <v>0</v>
      </c>
      <c r="T295" s="12">
        <f>$R$295+$S$295</f>
        <v>13.4</v>
      </c>
    </row>
    <row r="296" spans="1:20" x14ac:dyDescent="0.3">
      <c r="A296" s="13" t="s">
        <v>1116</v>
      </c>
      <c r="B296" s="14" t="s">
        <v>1117</v>
      </c>
      <c r="C296" s="14"/>
      <c r="D296" s="14" t="s">
        <v>1118</v>
      </c>
      <c r="E296" s="14">
        <f xml:space="preserve"> IF($T$296,1,0)</f>
        <v>0</v>
      </c>
      <c r="F296" s="14" t="s">
        <v>1119</v>
      </c>
      <c r="G296" s="14">
        <v>0</v>
      </c>
      <c r="H296" s="14">
        <v>0</v>
      </c>
      <c r="I296" s="14">
        <v>0</v>
      </c>
      <c r="J296" s="14">
        <v>0</v>
      </c>
      <c r="K296" s="14">
        <v>0</v>
      </c>
      <c r="L296" s="14">
        <v>0</v>
      </c>
      <c r="M296" s="14">
        <v>0</v>
      </c>
      <c r="N296" s="14">
        <v>0</v>
      </c>
      <c r="O296" s="14">
        <v>0</v>
      </c>
      <c r="P296" s="14">
        <v>0</v>
      </c>
      <c r="Q296" s="14">
        <v>0</v>
      </c>
      <c r="R296" s="15">
        <f>$G$296*$G$8+$H$296*$H$8+$I$296*$I$8+$J$296*$J$8+$K$296*$K$8+$L$296*$L$8+$M$296*$M$8+$N$296*$N$8+$O$296*$O$8+$P$296*$P$8+$Q$296*$Q$8</f>
        <v>0</v>
      </c>
      <c r="S296" s="15">
        <v>0</v>
      </c>
      <c r="T296" s="15">
        <f>$R$296+$S$296</f>
        <v>0</v>
      </c>
    </row>
    <row r="297" spans="1:20" x14ac:dyDescent="0.3">
      <c r="A297" s="10" t="s">
        <v>1120</v>
      </c>
      <c r="B297" s="11" t="s">
        <v>1117</v>
      </c>
      <c r="C297" s="11"/>
      <c r="D297" s="11" t="s">
        <v>1121</v>
      </c>
      <c r="E297" s="11">
        <f xml:space="preserve"> IF($T$297,1,0)</f>
        <v>0</v>
      </c>
      <c r="F297" s="11" t="s">
        <v>1122</v>
      </c>
      <c r="G297" s="11">
        <v>0</v>
      </c>
      <c r="H297" s="11">
        <v>0</v>
      </c>
      <c r="I297" s="11">
        <v>0</v>
      </c>
      <c r="J297" s="11">
        <v>0</v>
      </c>
      <c r="K297" s="11">
        <v>0</v>
      </c>
      <c r="L297" s="11">
        <v>0</v>
      </c>
      <c r="M297" s="11">
        <v>0</v>
      </c>
      <c r="N297" s="11">
        <v>0</v>
      </c>
      <c r="O297" s="11">
        <v>0</v>
      </c>
      <c r="P297" s="11">
        <v>0</v>
      </c>
      <c r="Q297" s="11">
        <v>0</v>
      </c>
      <c r="R297" s="12">
        <f>$G$297*$G$8+$H$297*$H$8+$I$297*$I$8+$J$297*$J$8+$K$297*$K$8+$L$297*$L$8+$M$297*$M$8+$N$297*$N$8+$O$297*$O$8+$P$297*$P$8+$Q$297*$Q$8</f>
        <v>0</v>
      </c>
      <c r="S297" s="12">
        <v>0</v>
      </c>
      <c r="T297" s="12">
        <f>$R$297+$S$297</f>
        <v>0</v>
      </c>
    </row>
    <row r="298" spans="1:20" x14ac:dyDescent="0.3">
      <c r="A298" s="13" t="s">
        <v>1123</v>
      </c>
      <c r="B298" s="14" t="s">
        <v>1117</v>
      </c>
      <c r="C298" s="14"/>
      <c r="D298" s="14" t="s">
        <v>1124</v>
      </c>
      <c r="E298" s="14">
        <f xml:space="preserve"> IF($T$298,1,0)</f>
        <v>1</v>
      </c>
      <c r="F298" s="14" t="s">
        <v>1125</v>
      </c>
      <c r="G298" s="14">
        <v>7</v>
      </c>
      <c r="H298" s="14">
        <v>5</v>
      </c>
      <c r="I298" s="14">
        <v>0</v>
      </c>
      <c r="J298" s="14">
        <v>0</v>
      </c>
      <c r="K298" s="14">
        <v>0</v>
      </c>
      <c r="L298" s="14">
        <v>0</v>
      </c>
      <c r="M298" s="14">
        <v>0</v>
      </c>
      <c r="N298" s="14">
        <v>0</v>
      </c>
      <c r="O298" s="14">
        <v>0</v>
      </c>
      <c r="P298" s="14">
        <v>0</v>
      </c>
      <c r="Q298" s="14">
        <v>0</v>
      </c>
      <c r="R298" s="15">
        <f>$G$298*$G$8+$H$298*$H$8+$I$298*$I$8+$J$298*$J$8+$K$298*$K$8+$L$298*$L$8+$M$298*$M$8+$N$298*$N$8+$O$298*$O$8+$P$298*$P$8+$Q$298*$Q$8</f>
        <v>18.700000000000003</v>
      </c>
      <c r="S298" s="15">
        <v>0</v>
      </c>
      <c r="T298" s="15">
        <f>$R$298+$S$298</f>
        <v>18.700000000000003</v>
      </c>
    </row>
    <row r="299" spans="1:20" x14ac:dyDescent="0.3">
      <c r="A299" s="10" t="s">
        <v>1126</v>
      </c>
      <c r="B299" s="11" t="s">
        <v>1117</v>
      </c>
      <c r="C299" s="11"/>
      <c r="D299" s="11" t="s">
        <v>1127</v>
      </c>
      <c r="E299" s="11">
        <f xml:space="preserve"> IF($T$299,1,0)</f>
        <v>0</v>
      </c>
      <c r="F299" s="11" t="s">
        <v>1128</v>
      </c>
      <c r="G299" s="11">
        <v>0</v>
      </c>
      <c r="H299" s="11">
        <v>0</v>
      </c>
      <c r="I299" s="11">
        <v>0</v>
      </c>
      <c r="J299" s="11">
        <v>0</v>
      </c>
      <c r="K299" s="11">
        <v>0</v>
      </c>
      <c r="L299" s="11">
        <v>0</v>
      </c>
      <c r="M299" s="11">
        <v>0</v>
      </c>
      <c r="N299" s="11">
        <v>0</v>
      </c>
      <c r="O299" s="11">
        <v>0</v>
      </c>
      <c r="P299" s="11">
        <v>0</v>
      </c>
      <c r="Q299" s="11">
        <v>0</v>
      </c>
      <c r="R299" s="12">
        <f>$G$299*$G$8+$H$299*$H$8+$I$299*$I$8+$J$299*$J$8+$K$299*$K$8+$L$299*$L$8+$M$299*$M$8+$N$299*$N$8+$O$299*$O$8+$P$299*$P$8+$Q$299*$Q$8</f>
        <v>0</v>
      </c>
      <c r="S299" s="12">
        <v>0</v>
      </c>
      <c r="T299" s="12">
        <f>$R$299+$S$299</f>
        <v>0</v>
      </c>
    </row>
    <row r="300" spans="1:20" x14ac:dyDescent="0.3">
      <c r="A300" s="13" t="s">
        <v>1129</v>
      </c>
      <c r="B300" s="14" t="s">
        <v>1130</v>
      </c>
      <c r="C300" s="14" t="s">
        <v>34</v>
      </c>
      <c r="D300" s="14" t="s">
        <v>1131</v>
      </c>
      <c r="E300" s="14">
        <f xml:space="preserve"> IF($T$300,1,0)</f>
        <v>0</v>
      </c>
      <c r="F300" s="14" t="s">
        <v>1132</v>
      </c>
      <c r="G300" s="14">
        <v>0</v>
      </c>
      <c r="H300" s="14">
        <v>0</v>
      </c>
      <c r="I300" s="14">
        <v>0</v>
      </c>
      <c r="J300" s="14">
        <v>0</v>
      </c>
      <c r="K300" s="14">
        <v>0</v>
      </c>
      <c r="L300" s="14">
        <v>0</v>
      </c>
      <c r="M300" s="14">
        <v>0</v>
      </c>
      <c r="N300" s="14">
        <v>0</v>
      </c>
      <c r="O300" s="14">
        <v>0</v>
      </c>
      <c r="P300" s="14">
        <v>0</v>
      </c>
      <c r="Q300" s="14">
        <v>0</v>
      </c>
      <c r="R300" s="15">
        <f>$G$300*$G$8+$H$300*$H$8+$I$300*$I$8+$J$300*$J$8+$K$300*$K$8+$L$300*$L$8+$M$300*$M$8+$N$300*$N$8+$O$300*$O$8+$P$300*$P$8+$Q$300*$Q$8</f>
        <v>0</v>
      </c>
      <c r="S300" s="15">
        <v>0</v>
      </c>
      <c r="T300" s="15">
        <f>$R$300+$S$300</f>
        <v>0</v>
      </c>
    </row>
    <row r="301" spans="1:20" x14ac:dyDescent="0.3">
      <c r="A301" s="10" t="s">
        <v>1133</v>
      </c>
      <c r="B301" s="11" t="s">
        <v>1134</v>
      </c>
      <c r="C301" s="11"/>
      <c r="D301" s="11" t="s">
        <v>1135</v>
      </c>
      <c r="E301" s="11">
        <f xml:space="preserve"> IF($T$301,1,0)</f>
        <v>0</v>
      </c>
      <c r="F301" s="11" t="s">
        <v>1136</v>
      </c>
      <c r="G301" s="11">
        <v>0</v>
      </c>
      <c r="H301" s="11">
        <v>0</v>
      </c>
      <c r="I301" s="11">
        <v>0</v>
      </c>
      <c r="J301" s="11">
        <v>0</v>
      </c>
      <c r="K301" s="11">
        <v>0</v>
      </c>
      <c r="L301" s="11">
        <v>0</v>
      </c>
      <c r="M301" s="11">
        <v>0</v>
      </c>
      <c r="N301" s="11">
        <v>0</v>
      </c>
      <c r="O301" s="11">
        <v>0</v>
      </c>
      <c r="P301" s="11">
        <v>0</v>
      </c>
      <c r="Q301" s="11">
        <v>0</v>
      </c>
      <c r="R301" s="12">
        <f>$G$301*$G$8+$H$301*$H$8+$I$301*$I$8+$J$301*$J$8+$K$301*$K$8+$L$301*$L$8+$M$301*$M$8+$N$301*$N$8+$O$301*$O$8+$P$301*$P$8+$Q$301*$Q$8</f>
        <v>0</v>
      </c>
      <c r="S301" s="12">
        <v>0</v>
      </c>
      <c r="T301" s="12">
        <f>$R$301+$S$301</f>
        <v>0</v>
      </c>
    </row>
    <row r="302" spans="1:20" x14ac:dyDescent="0.3">
      <c r="A302" s="13" t="s">
        <v>1137</v>
      </c>
      <c r="B302" s="14" t="s">
        <v>1138</v>
      </c>
      <c r="C302" s="14"/>
      <c r="D302" s="14" t="s">
        <v>1139</v>
      </c>
      <c r="E302" s="14">
        <f xml:space="preserve"> IF($T$302,1,0)</f>
        <v>1</v>
      </c>
      <c r="F302" s="14" t="s">
        <v>1140</v>
      </c>
      <c r="G302" s="14">
        <v>0</v>
      </c>
      <c r="H302" s="14">
        <v>2</v>
      </c>
      <c r="I302" s="14">
        <v>0</v>
      </c>
      <c r="J302" s="14">
        <v>1</v>
      </c>
      <c r="K302" s="14">
        <v>0</v>
      </c>
      <c r="L302" s="14">
        <v>0</v>
      </c>
      <c r="M302" s="14">
        <v>0</v>
      </c>
      <c r="N302" s="14">
        <v>0</v>
      </c>
      <c r="O302" s="14">
        <v>0</v>
      </c>
      <c r="P302" s="14">
        <v>0</v>
      </c>
      <c r="Q302" s="14">
        <v>0</v>
      </c>
      <c r="R302" s="15">
        <f>$G$302*$G$8+$H$302*$H$8+$I$302*$I$8+$J$302*$J$8+$K$302*$K$8+$L$302*$L$8+$M$302*$M$8+$N$302*$N$8+$O$302*$O$8+$P$302*$P$8+$Q$302*$Q$8</f>
        <v>6.4</v>
      </c>
      <c r="S302" s="15">
        <v>0</v>
      </c>
      <c r="T302" s="15">
        <f>$R$302+$S$302</f>
        <v>6.4</v>
      </c>
    </row>
    <row r="303" spans="1:20" x14ac:dyDescent="0.3">
      <c r="A303" s="10" t="s">
        <v>1141</v>
      </c>
      <c r="B303" s="11" t="s">
        <v>1142</v>
      </c>
      <c r="C303" s="11" t="s">
        <v>202</v>
      </c>
      <c r="D303" s="11" t="s">
        <v>442</v>
      </c>
      <c r="E303" s="11">
        <f xml:space="preserve"> IF($T$303,1,0)</f>
        <v>0</v>
      </c>
      <c r="F303" s="11" t="s">
        <v>1143</v>
      </c>
      <c r="G303" s="11">
        <v>0</v>
      </c>
      <c r="H303" s="11">
        <v>0</v>
      </c>
      <c r="I303" s="11">
        <v>0</v>
      </c>
      <c r="J303" s="11">
        <v>0</v>
      </c>
      <c r="K303" s="11">
        <v>0</v>
      </c>
      <c r="L303" s="11">
        <v>0</v>
      </c>
      <c r="M303" s="11">
        <v>0</v>
      </c>
      <c r="N303" s="11">
        <v>0</v>
      </c>
      <c r="O303" s="11">
        <v>0</v>
      </c>
      <c r="P303" s="11">
        <v>0</v>
      </c>
      <c r="Q303" s="11">
        <v>0</v>
      </c>
      <c r="R303" s="12">
        <f>$G$303*$G$8+$H$303*$H$8+$I$303*$I$8+$J$303*$J$8+$K$303*$K$8+$L$303*$L$8+$M$303*$M$8+$N$303*$N$8+$O$303*$O$8+$P$303*$P$8+$Q$303*$Q$8</f>
        <v>0</v>
      </c>
      <c r="S303" s="12">
        <v>0</v>
      </c>
      <c r="T303" s="12">
        <f>$R$303+$S$303</f>
        <v>0</v>
      </c>
    </row>
    <row r="304" spans="1:20" x14ac:dyDescent="0.3">
      <c r="A304" s="13" t="s">
        <v>1144</v>
      </c>
      <c r="B304" s="14" t="s">
        <v>1142</v>
      </c>
      <c r="C304" s="14"/>
      <c r="D304" s="14" t="s">
        <v>1145</v>
      </c>
      <c r="E304" s="14">
        <f xml:space="preserve"> IF($T$304,1,0)</f>
        <v>1</v>
      </c>
      <c r="F304" s="14" t="s">
        <v>1146</v>
      </c>
      <c r="G304" s="14">
        <v>0</v>
      </c>
      <c r="H304" s="14">
        <v>3</v>
      </c>
      <c r="I304" s="14">
        <v>0</v>
      </c>
      <c r="J304" s="14">
        <v>0</v>
      </c>
      <c r="K304" s="14">
        <v>0</v>
      </c>
      <c r="L304" s="14">
        <v>0</v>
      </c>
      <c r="M304" s="14">
        <v>0</v>
      </c>
      <c r="N304" s="14">
        <v>1</v>
      </c>
      <c r="O304" s="14">
        <v>0</v>
      </c>
      <c r="P304" s="14">
        <v>0</v>
      </c>
      <c r="Q304" s="14">
        <v>2</v>
      </c>
      <c r="R304" s="15">
        <f>$G$304*$G$8+$H$304*$H$8+$I$304*$I$8+$J$304*$J$8+$K$304*$K$8+$L$304*$L$8+$M$304*$M$8+$N$304*$N$8+$O$304*$O$8+$P$304*$P$8+$Q$304*$Q$8</f>
        <v>12.600000000000001</v>
      </c>
      <c r="S304" s="15">
        <v>0</v>
      </c>
      <c r="T304" s="15">
        <f>$R$304+$S$304</f>
        <v>12.600000000000001</v>
      </c>
    </row>
    <row r="305" spans="1:20" x14ac:dyDescent="0.3">
      <c r="A305" s="10" t="s">
        <v>1147</v>
      </c>
      <c r="B305" s="11" t="s">
        <v>1142</v>
      </c>
      <c r="C305" s="11"/>
      <c r="D305" s="11" t="s">
        <v>138</v>
      </c>
      <c r="E305" s="11">
        <f xml:space="preserve"> IF($T$305,1,0)</f>
        <v>0</v>
      </c>
      <c r="F305" s="11" t="s">
        <v>1148</v>
      </c>
      <c r="G305" s="11">
        <v>0</v>
      </c>
      <c r="H305" s="11">
        <v>0</v>
      </c>
      <c r="I305" s="11">
        <v>0</v>
      </c>
      <c r="J305" s="11">
        <v>0</v>
      </c>
      <c r="K305" s="11">
        <v>0</v>
      </c>
      <c r="L305" s="11">
        <v>0</v>
      </c>
      <c r="M305" s="11">
        <v>0</v>
      </c>
      <c r="N305" s="11">
        <v>0</v>
      </c>
      <c r="O305" s="11">
        <v>0</v>
      </c>
      <c r="P305" s="11">
        <v>0</v>
      </c>
      <c r="Q305" s="11">
        <v>0</v>
      </c>
      <c r="R305" s="12">
        <f>$G$305*$G$8+$H$305*$H$8+$I$305*$I$8+$J$305*$J$8+$K$305*$K$8+$L$305*$L$8+$M$305*$M$8+$N$305*$N$8+$O$305*$O$8+$P$305*$P$8+$Q$305*$Q$8</f>
        <v>0</v>
      </c>
      <c r="S305" s="12">
        <v>0</v>
      </c>
      <c r="T305" s="12">
        <f>$R$305+$S$305</f>
        <v>0</v>
      </c>
    </row>
    <row r="306" spans="1:20" x14ac:dyDescent="0.3">
      <c r="A306" s="13" t="s">
        <v>1149</v>
      </c>
      <c r="B306" s="14" t="s">
        <v>1142</v>
      </c>
      <c r="C306" s="14"/>
      <c r="D306" s="14" t="s">
        <v>1150</v>
      </c>
      <c r="E306" s="14">
        <f xml:space="preserve"> IF($T$306,1,0)</f>
        <v>0</v>
      </c>
      <c r="F306" s="14" t="s">
        <v>1151</v>
      </c>
      <c r="G306" s="14">
        <v>0</v>
      </c>
      <c r="H306" s="14">
        <v>0</v>
      </c>
      <c r="I306" s="14">
        <v>0</v>
      </c>
      <c r="J306" s="14">
        <v>0</v>
      </c>
      <c r="K306" s="14">
        <v>0</v>
      </c>
      <c r="L306" s="14">
        <v>0</v>
      </c>
      <c r="M306" s="14">
        <v>0</v>
      </c>
      <c r="N306" s="14">
        <v>0</v>
      </c>
      <c r="O306" s="14">
        <v>0</v>
      </c>
      <c r="P306" s="14">
        <v>0</v>
      </c>
      <c r="Q306" s="14">
        <v>0</v>
      </c>
      <c r="R306" s="15">
        <f>$G$306*$G$8+$H$306*$H$8+$I$306*$I$8+$J$306*$J$8+$K$306*$K$8+$L$306*$L$8+$M$306*$M$8+$N$306*$N$8+$O$306*$O$8+$P$306*$P$8+$Q$306*$Q$8</f>
        <v>0</v>
      </c>
      <c r="S306" s="15">
        <v>0</v>
      </c>
      <c r="T306" s="15">
        <f>$R$306+$S$306</f>
        <v>0</v>
      </c>
    </row>
    <row r="307" spans="1:20" x14ac:dyDescent="0.3">
      <c r="A307" s="10" t="s">
        <v>1152</v>
      </c>
      <c r="B307" s="11" t="s">
        <v>1142</v>
      </c>
      <c r="C307" s="11"/>
      <c r="D307" s="11" t="s">
        <v>1153</v>
      </c>
      <c r="E307" s="11">
        <f xml:space="preserve"> IF($T$307,1,0)</f>
        <v>0</v>
      </c>
      <c r="F307" s="11" t="s">
        <v>1154</v>
      </c>
      <c r="G307" s="11">
        <v>0</v>
      </c>
      <c r="H307" s="11">
        <v>0</v>
      </c>
      <c r="I307" s="11">
        <v>0</v>
      </c>
      <c r="J307" s="11">
        <v>0</v>
      </c>
      <c r="K307" s="11">
        <v>0</v>
      </c>
      <c r="L307" s="11">
        <v>0</v>
      </c>
      <c r="M307" s="11">
        <v>0</v>
      </c>
      <c r="N307" s="11">
        <v>0</v>
      </c>
      <c r="O307" s="11">
        <v>0</v>
      </c>
      <c r="P307" s="11">
        <v>0</v>
      </c>
      <c r="Q307" s="11">
        <v>0</v>
      </c>
      <c r="R307" s="12">
        <f>$G$307*$G$8+$H$307*$H$8+$I$307*$I$8+$J$307*$J$8+$K$307*$K$8+$L$307*$L$8+$M$307*$M$8+$N$307*$N$8+$O$307*$O$8+$P$307*$P$8+$Q$307*$Q$8</f>
        <v>0</v>
      </c>
      <c r="S307" s="12">
        <v>0</v>
      </c>
      <c r="T307" s="12">
        <f>$R$307+$S$307</f>
        <v>0</v>
      </c>
    </row>
    <row r="308" spans="1:20" x14ac:dyDescent="0.3">
      <c r="A308" s="13" t="s">
        <v>1155</v>
      </c>
      <c r="B308" s="14" t="s">
        <v>1156</v>
      </c>
      <c r="C308" s="14"/>
      <c r="D308" s="14" t="s">
        <v>1157</v>
      </c>
      <c r="E308" s="14">
        <f xml:space="preserve"> IF($T$308,1,0)</f>
        <v>1</v>
      </c>
      <c r="F308" s="14" t="s">
        <v>1158</v>
      </c>
      <c r="G308" s="14">
        <v>0</v>
      </c>
      <c r="H308" s="14">
        <v>3</v>
      </c>
      <c r="I308" s="14">
        <v>0</v>
      </c>
      <c r="J308" s="14">
        <v>0</v>
      </c>
      <c r="K308" s="14">
        <v>0</v>
      </c>
      <c r="L308" s="14">
        <v>0</v>
      </c>
      <c r="M308" s="14">
        <v>0</v>
      </c>
      <c r="N308" s="14">
        <v>0</v>
      </c>
      <c r="O308" s="14">
        <v>0</v>
      </c>
      <c r="P308" s="14">
        <v>0</v>
      </c>
      <c r="Q308" s="14">
        <v>1</v>
      </c>
      <c r="R308" s="15">
        <f>$G$308*$G$8+$H$308*$H$8+$I$308*$I$8+$J$308*$J$8+$K$308*$K$8+$L$308*$L$8+$M$308*$M$8+$N$308*$N$8+$O$308*$O$8+$P$308*$P$8+$Q$308*$Q$8</f>
        <v>7.6000000000000005</v>
      </c>
      <c r="S308" s="15">
        <v>0</v>
      </c>
      <c r="T308" s="15">
        <f>$R$308+$S$308</f>
        <v>7.6000000000000005</v>
      </c>
    </row>
    <row r="309" spans="1:20" x14ac:dyDescent="0.3">
      <c r="A309" s="10" t="s">
        <v>1159</v>
      </c>
      <c r="B309" s="11" t="s">
        <v>1160</v>
      </c>
      <c r="C309" s="11"/>
      <c r="D309" s="11" t="s">
        <v>1161</v>
      </c>
      <c r="E309" s="11">
        <f xml:space="preserve"> IF($T$309,1,0)</f>
        <v>0</v>
      </c>
      <c r="F309" s="11" t="s">
        <v>1162</v>
      </c>
      <c r="G309" s="11">
        <v>0</v>
      </c>
      <c r="H309" s="11">
        <v>0</v>
      </c>
      <c r="I309" s="11">
        <v>0</v>
      </c>
      <c r="J309" s="11">
        <v>0</v>
      </c>
      <c r="K309" s="11">
        <v>0</v>
      </c>
      <c r="L309" s="11">
        <v>0</v>
      </c>
      <c r="M309" s="11">
        <v>0</v>
      </c>
      <c r="N309" s="11">
        <v>0</v>
      </c>
      <c r="O309" s="11">
        <v>0</v>
      </c>
      <c r="P309" s="11">
        <v>0</v>
      </c>
      <c r="Q309" s="11">
        <v>0</v>
      </c>
      <c r="R309" s="12">
        <f>$G$309*$G$8+$H$309*$H$8+$I$309*$I$8+$J$309*$J$8+$K$309*$K$8+$L$309*$L$8+$M$309*$M$8+$N$309*$N$8+$O$309*$O$8+$P$309*$P$8+$Q$309*$Q$8</f>
        <v>0</v>
      </c>
      <c r="S309" s="12">
        <v>0</v>
      </c>
      <c r="T309" s="12">
        <f>$R$309+$S$309</f>
        <v>0</v>
      </c>
    </row>
    <row r="310" spans="1:20" x14ac:dyDescent="0.3">
      <c r="A310" s="13" t="s">
        <v>1163</v>
      </c>
      <c r="B310" s="14" t="s">
        <v>1160</v>
      </c>
      <c r="C310" s="14"/>
      <c r="D310" s="14" t="s">
        <v>1164</v>
      </c>
      <c r="E310" s="14">
        <f xml:space="preserve"> IF($T$310,1,0)</f>
        <v>0</v>
      </c>
      <c r="F310" s="14" t="s">
        <v>1165</v>
      </c>
      <c r="G310" s="14">
        <v>0</v>
      </c>
      <c r="H310" s="14">
        <v>0</v>
      </c>
      <c r="I310" s="14">
        <v>0</v>
      </c>
      <c r="J310" s="14">
        <v>0</v>
      </c>
      <c r="K310" s="14">
        <v>0</v>
      </c>
      <c r="L310" s="14">
        <v>0</v>
      </c>
      <c r="M310" s="14">
        <v>0</v>
      </c>
      <c r="N310" s="14">
        <v>0</v>
      </c>
      <c r="O310" s="14">
        <v>0</v>
      </c>
      <c r="P310" s="14">
        <v>0</v>
      </c>
      <c r="Q310" s="14">
        <v>0</v>
      </c>
      <c r="R310" s="15">
        <f>$G$310*$G$8+$H$310*$H$8+$I$310*$I$8+$J$310*$J$8+$K$310*$K$8+$L$310*$L$8+$M$310*$M$8+$N$310*$N$8+$O$310*$O$8+$P$310*$P$8+$Q$310*$Q$8</f>
        <v>0</v>
      </c>
      <c r="S310" s="15">
        <v>0</v>
      </c>
      <c r="T310" s="15">
        <f>$R$310+$S$310</f>
        <v>0</v>
      </c>
    </row>
    <row r="311" spans="1:20" x14ac:dyDescent="0.3">
      <c r="A311" s="10" t="s">
        <v>1166</v>
      </c>
      <c r="B311" s="11" t="s">
        <v>1160</v>
      </c>
      <c r="C311" s="11" t="s">
        <v>243</v>
      </c>
      <c r="D311" s="11" t="s">
        <v>1167</v>
      </c>
      <c r="E311" s="11">
        <f xml:space="preserve"> IF($T$311,1,0)</f>
        <v>0</v>
      </c>
      <c r="F311" s="11" t="s">
        <v>1168</v>
      </c>
      <c r="G311" s="11">
        <v>0</v>
      </c>
      <c r="H311" s="11">
        <v>0</v>
      </c>
      <c r="I311" s="11">
        <v>0</v>
      </c>
      <c r="J311" s="11">
        <v>0</v>
      </c>
      <c r="K311" s="11">
        <v>0</v>
      </c>
      <c r="L311" s="11">
        <v>0</v>
      </c>
      <c r="M311" s="11">
        <v>0</v>
      </c>
      <c r="N311" s="11">
        <v>0</v>
      </c>
      <c r="O311" s="11">
        <v>0</v>
      </c>
      <c r="P311" s="11">
        <v>0</v>
      </c>
      <c r="Q311" s="11">
        <v>0</v>
      </c>
      <c r="R311" s="12">
        <f>$G$311*$G$8+$H$311*$H$8+$I$311*$I$8+$J$311*$J$8+$K$311*$K$8+$L$311*$L$8+$M$311*$M$8+$N$311*$N$8+$O$311*$O$8+$P$311*$P$8+$Q$311*$Q$8</f>
        <v>0</v>
      </c>
      <c r="S311" s="12">
        <v>0</v>
      </c>
      <c r="T311" s="12">
        <f>$R$311+$S$311</f>
        <v>0</v>
      </c>
    </row>
    <row r="312" spans="1:20" x14ac:dyDescent="0.3">
      <c r="A312" s="13" t="s">
        <v>1169</v>
      </c>
      <c r="B312" s="14" t="s">
        <v>1170</v>
      </c>
      <c r="C312" s="14"/>
      <c r="D312" s="14" t="s">
        <v>1171</v>
      </c>
      <c r="E312" s="14">
        <f xml:space="preserve"> IF($T$312,1,0)</f>
        <v>0</v>
      </c>
      <c r="F312" s="14" t="s">
        <v>1172</v>
      </c>
      <c r="G312" s="14">
        <v>0</v>
      </c>
      <c r="H312" s="14">
        <v>0</v>
      </c>
      <c r="I312" s="14">
        <v>0</v>
      </c>
      <c r="J312" s="14">
        <v>0</v>
      </c>
      <c r="K312" s="14">
        <v>0</v>
      </c>
      <c r="L312" s="14">
        <v>0</v>
      </c>
      <c r="M312" s="14">
        <v>0</v>
      </c>
      <c r="N312" s="14">
        <v>0</v>
      </c>
      <c r="O312" s="14">
        <v>0</v>
      </c>
      <c r="P312" s="14">
        <v>0</v>
      </c>
      <c r="Q312" s="14">
        <v>0</v>
      </c>
      <c r="R312" s="15">
        <f>$G$312*$G$8+$H$312*$H$8+$I$312*$I$8+$J$312*$J$8+$K$312*$K$8+$L$312*$L$8+$M$312*$M$8+$N$312*$N$8+$O$312*$O$8+$P$312*$P$8+$Q$312*$Q$8</f>
        <v>0</v>
      </c>
      <c r="S312" s="15">
        <v>0</v>
      </c>
      <c r="T312" s="15">
        <f>$R$312+$S$312</f>
        <v>0</v>
      </c>
    </row>
    <row r="313" spans="1:20" x14ac:dyDescent="0.3">
      <c r="A313" s="10" t="s">
        <v>1173</v>
      </c>
      <c r="B313" s="11" t="s">
        <v>1174</v>
      </c>
      <c r="C313" s="11"/>
      <c r="D313" s="11" t="s">
        <v>1175</v>
      </c>
      <c r="E313" s="11">
        <f xml:space="preserve"> IF($T$313,1,0)</f>
        <v>0</v>
      </c>
      <c r="F313" s="11" t="s">
        <v>1176</v>
      </c>
      <c r="G313" s="11">
        <v>0</v>
      </c>
      <c r="H313" s="11">
        <v>0</v>
      </c>
      <c r="I313" s="11">
        <v>0</v>
      </c>
      <c r="J313" s="11">
        <v>0</v>
      </c>
      <c r="K313" s="11">
        <v>0</v>
      </c>
      <c r="L313" s="11">
        <v>0</v>
      </c>
      <c r="M313" s="11">
        <v>0</v>
      </c>
      <c r="N313" s="11">
        <v>0</v>
      </c>
      <c r="O313" s="11">
        <v>0</v>
      </c>
      <c r="P313" s="11">
        <v>0</v>
      </c>
      <c r="Q313" s="11">
        <v>0</v>
      </c>
      <c r="R313" s="12">
        <f>$G$313*$G$8+$H$313*$H$8+$I$313*$I$8+$J$313*$J$8+$K$313*$K$8+$L$313*$L$8+$M$313*$M$8+$N$313*$N$8+$O$313*$O$8+$P$313*$P$8+$Q$313*$Q$8</f>
        <v>0</v>
      </c>
      <c r="S313" s="12">
        <v>0</v>
      </c>
      <c r="T313" s="12">
        <f>$R$313+$S$313</f>
        <v>0</v>
      </c>
    </row>
    <row r="314" spans="1:20" x14ac:dyDescent="0.3">
      <c r="A314" s="13" t="s">
        <v>1177</v>
      </c>
      <c r="B314" s="14" t="s">
        <v>1174</v>
      </c>
      <c r="C314" s="14" t="s">
        <v>65</v>
      </c>
      <c r="D314" s="14" t="s">
        <v>1178</v>
      </c>
      <c r="E314" s="14">
        <f xml:space="preserve"> IF($T$314,1,0)</f>
        <v>0</v>
      </c>
      <c r="F314" s="14" t="s">
        <v>1179</v>
      </c>
      <c r="G314" s="14">
        <v>0</v>
      </c>
      <c r="H314" s="14">
        <v>0</v>
      </c>
      <c r="I314" s="14">
        <v>0</v>
      </c>
      <c r="J314" s="14">
        <v>0</v>
      </c>
      <c r="K314" s="14">
        <v>0</v>
      </c>
      <c r="L314" s="14">
        <v>0</v>
      </c>
      <c r="M314" s="14">
        <v>0</v>
      </c>
      <c r="N314" s="14">
        <v>0</v>
      </c>
      <c r="O314" s="14">
        <v>0</v>
      </c>
      <c r="P314" s="14">
        <v>0</v>
      </c>
      <c r="Q314" s="14">
        <v>0</v>
      </c>
      <c r="R314" s="15">
        <f>$G$314*$G$8+$H$314*$H$8+$I$314*$I$8+$J$314*$J$8+$K$314*$K$8+$L$314*$L$8+$M$314*$M$8+$N$314*$N$8+$O$314*$O$8+$P$314*$P$8+$Q$314*$Q$8</f>
        <v>0</v>
      </c>
      <c r="S314" s="15">
        <v>0</v>
      </c>
      <c r="T314" s="15">
        <f>$R$314+$S$314</f>
        <v>0</v>
      </c>
    </row>
    <row r="315" spans="1:20" x14ac:dyDescent="0.3">
      <c r="A315" s="10" t="s">
        <v>1180</v>
      </c>
      <c r="B315" s="11" t="s">
        <v>1181</v>
      </c>
      <c r="C315" s="11"/>
      <c r="D315" s="11" t="s">
        <v>1182</v>
      </c>
      <c r="E315" s="11">
        <f xml:space="preserve"> IF($T$315,1,0)</f>
        <v>1</v>
      </c>
      <c r="F315" s="11" t="s">
        <v>1183</v>
      </c>
      <c r="G315" s="11">
        <v>0</v>
      </c>
      <c r="H315" s="11">
        <v>0</v>
      </c>
      <c r="I315" s="11">
        <v>0</v>
      </c>
      <c r="J315" s="11">
        <v>2</v>
      </c>
      <c r="K315" s="11">
        <v>0</v>
      </c>
      <c r="L315" s="11">
        <v>0</v>
      </c>
      <c r="M315" s="11">
        <v>0</v>
      </c>
      <c r="N315" s="11">
        <v>0</v>
      </c>
      <c r="O315" s="11">
        <v>0</v>
      </c>
      <c r="P315" s="11">
        <v>0</v>
      </c>
      <c r="Q315" s="11">
        <v>0</v>
      </c>
      <c r="R315" s="12">
        <f>$G$315*$G$8+$H$315*$H$8+$I$315*$I$8+$J$315*$J$8+$K$315*$K$8+$L$315*$L$8+$M$315*$M$8+$N$315*$N$8+$O$315*$O$8+$P$315*$P$8+$Q$315*$Q$8</f>
        <v>4</v>
      </c>
      <c r="S315" s="12">
        <v>0</v>
      </c>
      <c r="T315" s="12">
        <f>$R$315+$S$315</f>
        <v>4</v>
      </c>
    </row>
    <row r="316" spans="1:20" x14ac:dyDescent="0.3">
      <c r="A316" s="13" t="s">
        <v>1184</v>
      </c>
      <c r="B316" s="14" t="s">
        <v>1185</v>
      </c>
      <c r="C316" s="14" t="s">
        <v>65</v>
      </c>
      <c r="D316" s="14" t="s">
        <v>1186</v>
      </c>
      <c r="E316" s="14">
        <f xml:space="preserve"> IF($T$316,1,0)</f>
        <v>0</v>
      </c>
      <c r="F316" s="14" t="s">
        <v>1187</v>
      </c>
      <c r="G316" s="14">
        <v>0</v>
      </c>
      <c r="H316" s="14">
        <v>0</v>
      </c>
      <c r="I316" s="14">
        <v>0</v>
      </c>
      <c r="J316" s="14">
        <v>0</v>
      </c>
      <c r="K316" s="14">
        <v>0</v>
      </c>
      <c r="L316" s="14">
        <v>0</v>
      </c>
      <c r="M316" s="14">
        <v>0</v>
      </c>
      <c r="N316" s="14">
        <v>0</v>
      </c>
      <c r="O316" s="14">
        <v>0</v>
      </c>
      <c r="P316" s="14">
        <v>0</v>
      </c>
      <c r="Q316" s="14">
        <v>0</v>
      </c>
      <c r="R316" s="15">
        <f>$G$316*$G$8+$H$316*$H$8+$I$316*$I$8+$J$316*$J$8+$K$316*$K$8+$L$316*$L$8+$M$316*$M$8+$N$316*$N$8+$O$316*$O$8+$P$316*$P$8+$Q$316*$Q$8</f>
        <v>0</v>
      </c>
      <c r="S316" s="15">
        <v>0</v>
      </c>
      <c r="T316" s="15">
        <f>$R$316+$S$316</f>
        <v>0</v>
      </c>
    </row>
    <row r="317" spans="1:20" x14ac:dyDescent="0.3">
      <c r="A317" s="10" t="s">
        <v>1188</v>
      </c>
      <c r="B317" s="11" t="s">
        <v>1189</v>
      </c>
      <c r="C317" s="11"/>
      <c r="D317" s="11" t="s">
        <v>1190</v>
      </c>
      <c r="E317" s="11">
        <f xml:space="preserve"> IF($T$317,1,0)</f>
        <v>0</v>
      </c>
      <c r="F317" s="11" t="s">
        <v>1191</v>
      </c>
      <c r="G317" s="11">
        <v>0</v>
      </c>
      <c r="H317" s="11">
        <v>0</v>
      </c>
      <c r="I317" s="11">
        <v>0</v>
      </c>
      <c r="J317" s="11">
        <v>0</v>
      </c>
      <c r="K317" s="11">
        <v>0</v>
      </c>
      <c r="L317" s="11">
        <v>0</v>
      </c>
      <c r="M317" s="11">
        <v>0</v>
      </c>
      <c r="N317" s="11">
        <v>0</v>
      </c>
      <c r="O317" s="11">
        <v>0</v>
      </c>
      <c r="P317" s="11">
        <v>0</v>
      </c>
      <c r="Q317" s="11">
        <v>0</v>
      </c>
      <c r="R317" s="12">
        <f>$G$317*$G$8+$H$317*$H$8+$I$317*$I$8+$J$317*$J$8+$K$317*$K$8+$L$317*$L$8+$M$317*$M$8+$N$317*$N$8+$O$317*$O$8+$P$317*$P$8+$Q$317*$Q$8</f>
        <v>0</v>
      </c>
      <c r="S317" s="12">
        <v>0</v>
      </c>
      <c r="T317" s="12">
        <f>$R$317+$S$317</f>
        <v>0</v>
      </c>
    </row>
    <row r="318" spans="1:20" x14ac:dyDescent="0.3">
      <c r="A318" s="13" t="s">
        <v>1192</v>
      </c>
      <c r="B318" s="14" t="s">
        <v>1193</v>
      </c>
      <c r="C318" s="14"/>
      <c r="D318" s="14" t="s">
        <v>1194</v>
      </c>
      <c r="E318" s="14">
        <f xml:space="preserve"> IF($T$318,1,0)</f>
        <v>1</v>
      </c>
      <c r="F318" s="14" t="s">
        <v>1195</v>
      </c>
      <c r="G318" s="14">
        <v>1</v>
      </c>
      <c r="H318" s="14">
        <v>0</v>
      </c>
      <c r="I318" s="14">
        <v>0</v>
      </c>
      <c r="J318" s="14">
        <v>1</v>
      </c>
      <c r="K318" s="14">
        <v>0</v>
      </c>
      <c r="L318" s="14">
        <v>0</v>
      </c>
      <c r="M318" s="14">
        <v>0</v>
      </c>
      <c r="N318" s="14">
        <v>0</v>
      </c>
      <c r="O318" s="14">
        <v>0</v>
      </c>
      <c r="P318" s="14">
        <v>0</v>
      </c>
      <c r="Q318" s="14">
        <v>0</v>
      </c>
      <c r="R318" s="15">
        <f>$G$318*$G$8+$H$318*$H$8+$I$318*$I$8+$J$318*$J$8+$K$318*$K$8+$L$318*$L$8+$M$318*$M$8+$N$318*$N$8+$O$318*$O$8+$P$318*$P$8+$Q$318*$Q$8</f>
        <v>3.1</v>
      </c>
      <c r="S318" s="15">
        <v>0</v>
      </c>
      <c r="T318" s="15">
        <f>$R$318+$S$318</f>
        <v>3.1</v>
      </c>
    </row>
    <row r="319" spans="1:20" x14ac:dyDescent="0.3">
      <c r="A319" s="10" t="s">
        <v>1196</v>
      </c>
      <c r="B319" s="11" t="s">
        <v>1197</v>
      </c>
      <c r="C319" s="11"/>
      <c r="D319" s="11" t="s">
        <v>1198</v>
      </c>
      <c r="E319" s="11">
        <f xml:space="preserve"> IF($T$319,1,0)</f>
        <v>0</v>
      </c>
      <c r="F319" s="11" t="s">
        <v>1199</v>
      </c>
      <c r="G319" s="11">
        <v>0</v>
      </c>
      <c r="H319" s="11">
        <v>0</v>
      </c>
      <c r="I319" s="11">
        <v>0</v>
      </c>
      <c r="J319" s="11">
        <v>0</v>
      </c>
      <c r="K319" s="11">
        <v>0</v>
      </c>
      <c r="L319" s="11">
        <v>0</v>
      </c>
      <c r="M319" s="11">
        <v>0</v>
      </c>
      <c r="N319" s="11">
        <v>0</v>
      </c>
      <c r="O319" s="11">
        <v>0</v>
      </c>
      <c r="P319" s="11">
        <v>0</v>
      </c>
      <c r="Q319" s="11">
        <v>0</v>
      </c>
      <c r="R319" s="12">
        <f>$G$319*$G$8+$H$319*$H$8+$I$319*$I$8+$J$319*$J$8+$K$319*$K$8+$L$319*$L$8+$M$319*$M$8+$N$319*$N$8+$O$319*$O$8+$P$319*$P$8+$Q$319*$Q$8</f>
        <v>0</v>
      </c>
      <c r="S319" s="12">
        <v>0</v>
      </c>
      <c r="T319" s="12">
        <f>$R$319+$S$319</f>
        <v>0</v>
      </c>
    </row>
    <row r="320" spans="1:20" x14ac:dyDescent="0.3">
      <c r="A320" s="13" t="s">
        <v>1200</v>
      </c>
      <c r="B320" s="14" t="s">
        <v>1201</v>
      </c>
      <c r="C320" s="14"/>
      <c r="D320" s="14" t="s">
        <v>1202</v>
      </c>
      <c r="E320" s="14">
        <f xml:space="preserve"> IF($T$320,1,0)</f>
        <v>1</v>
      </c>
      <c r="F320" s="14" t="s">
        <v>1203</v>
      </c>
      <c r="G320" s="14">
        <v>0</v>
      </c>
      <c r="H320" s="14">
        <v>4</v>
      </c>
      <c r="I320" s="14">
        <v>0</v>
      </c>
      <c r="J320" s="14">
        <v>0</v>
      </c>
      <c r="K320" s="14">
        <v>0</v>
      </c>
      <c r="L320" s="14">
        <v>0</v>
      </c>
      <c r="M320" s="14">
        <v>0</v>
      </c>
      <c r="N320" s="14">
        <v>0</v>
      </c>
      <c r="O320" s="14">
        <v>0</v>
      </c>
      <c r="P320" s="14">
        <v>0</v>
      </c>
      <c r="Q320" s="14">
        <v>0</v>
      </c>
      <c r="R320" s="15">
        <f>$G$320*$G$8+$H$320*$H$8+$I$320*$I$8+$J$320*$J$8+$K$320*$K$8+$L$320*$L$8+$M$320*$M$8+$N$320*$N$8+$O$320*$O$8+$P$320*$P$8+$Q$320*$Q$8</f>
        <v>8.8000000000000007</v>
      </c>
      <c r="S320" s="15">
        <v>0</v>
      </c>
      <c r="T320" s="15">
        <f>$R$320+$S$320</f>
        <v>8.8000000000000007</v>
      </c>
    </row>
    <row r="321" spans="1:20" x14ac:dyDescent="0.3">
      <c r="A321" s="10" t="s">
        <v>1204</v>
      </c>
      <c r="B321" s="11" t="s">
        <v>1205</v>
      </c>
      <c r="C321" s="11"/>
      <c r="D321" s="11" t="s">
        <v>1206</v>
      </c>
      <c r="E321" s="11">
        <f xml:space="preserve"> IF($T$321,1,0)</f>
        <v>0</v>
      </c>
      <c r="F321" s="11" t="s">
        <v>1207</v>
      </c>
      <c r="G321" s="11">
        <v>0</v>
      </c>
      <c r="H321" s="11">
        <v>0</v>
      </c>
      <c r="I321" s="11">
        <v>0</v>
      </c>
      <c r="J321" s="11">
        <v>0</v>
      </c>
      <c r="K321" s="11">
        <v>0</v>
      </c>
      <c r="L321" s="11">
        <v>0</v>
      </c>
      <c r="M321" s="11">
        <v>0</v>
      </c>
      <c r="N321" s="11">
        <v>0</v>
      </c>
      <c r="O321" s="11">
        <v>0</v>
      </c>
      <c r="P321" s="11">
        <v>0</v>
      </c>
      <c r="Q321" s="11">
        <v>0</v>
      </c>
      <c r="R321" s="12">
        <f>$G$321*$G$8+$H$321*$H$8+$I$321*$I$8+$J$321*$J$8+$K$321*$K$8+$L$321*$L$8+$M$321*$M$8+$N$321*$N$8+$O$321*$O$8+$P$321*$P$8+$Q$321*$Q$8</f>
        <v>0</v>
      </c>
      <c r="S321" s="12">
        <v>0</v>
      </c>
      <c r="T321" s="12">
        <f>$R$321+$S$321</f>
        <v>0</v>
      </c>
    </row>
    <row r="322" spans="1:20" x14ac:dyDescent="0.3">
      <c r="A322" s="13" t="s">
        <v>1208</v>
      </c>
      <c r="B322" s="14" t="s">
        <v>1205</v>
      </c>
      <c r="C322" s="14"/>
      <c r="D322" s="14" t="s">
        <v>1209</v>
      </c>
      <c r="E322" s="14">
        <f xml:space="preserve"> IF($T$322,1,0)</f>
        <v>0</v>
      </c>
      <c r="F322" s="14" t="s">
        <v>1210</v>
      </c>
      <c r="G322" s="14">
        <v>0</v>
      </c>
      <c r="H322" s="14">
        <v>0</v>
      </c>
      <c r="I322" s="14">
        <v>0</v>
      </c>
      <c r="J322" s="14">
        <v>0</v>
      </c>
      <c r="K322" s="14">
        <v>0</v>
      </c>
      <c r="L322" s="14">
        <v>0</v>
      </c>
      <c r="M322" s="14">
        <v>0</v>
      </c>
      <c r="N322" s="14">
        <v>0</v>
      </c>
      <c r="O322" s="14">
        <v>0</v>
      </c>
      <c r="P322" s="14">
        <v>0</v>
      </c>
      <c r="Q322" s="14">
        <v>0</v>
      </c>
      <c r="R322" s="15">
        <f>$G$322*$G$8+$H$322*$H$8+$I$322*$I$8+$J$322*$J$8+$K$322*$K$8+$L$322*$L$8+$M$322*$M$8+$N$322*$N$8+$O$322*$O$8+$P$322*$P$8+$Q$322*$Q$8</f>
        <v>0</v>
      </c>
      <c r="S322" s="15">
        <v>0</v>
      </c>
      <c r="T322" s="15">
        <f>$R$322+$S$322</f>
        <v>0</v>
      </c>
    </row>
    <row r="323" spans="1:20" x14ac:dyDescent="0.3">
      <c r="A323" s="10" t="s">
        <v>1211</v>
      </c>
      <c r="B323" s="11" t="s">
        <v>1212</v>
      </c>
      <c r="C323" s="11"/>
      <c r="D323" s="11" t="s">
        <v>670</v>
      </c>
      <c r="E323" s="11">
        <f xml:space="preserve"> IF($T$323,1,0)</f>
        <v>1</v>
      </c>
      <c r="F323" s="11" t="s">
        <v>1213</v>
      </c>
      <c r="G323" s="11">
        <v>2</v>
      </c>
      <c r="H323" s="11">
        <v>6</v>
      </c>
      <c r="I323" s="11">
        <v>0</v>
      </c>
      <c r="J323" s="11">
        <v>1</v>
      </c>
      <c r="K323" s="11">
        <v>0</v>
      </c>
      <c r="L323" s="11">
        <v>0</v>
      </c>
      <c r="M323" s="11">
        <v>0</v>
      </c>
      <c r="N323" s="11">
        <v>0</v>
      </c>
      <c r="O323" s="11">
        <v>0</v>
      </c>
      <c r="P323" s="11">
        <v>0</v>
      </c>
      <c r="Q323" s="11">
        <v>0</v>
      </c>
      <c r="R323" s="12">
        <f>$G$323*$G$8+$H$323*$H$8+$I$323*$I$8+$J$323*$J$8+$K$323*$K$8+$L$323*$L$8+$M$323*$M$8+$N$323*$N$8+$O$323*$O$8+$P$323*$P$8+$Q$323*$Q$8</f>
        <v>17.400000000000002</v>
      </c>
      <c r="S323" s="12">
        <v>0</v>
      </c>
      <c r="T323" s="12">
        <f>$R$323+$S$323</f>
        <v>17.400000000000002</v>
      </c>
    </row>
    <row r="324" spans="1:20" x14ac:dyDescent="0.3">
      <c r="A324" s="13" t="s">
        <v>1214</v>
      </c>
      <c r="B324" s="14" t="s">
        <v>1215</v>
      </c>
      <c r="C324" s="14"/>
      <c r="D324" s="14" t="s">
        <v>1216</v>
      </c>
      <c r="E324" s="14">
        <f xml:space="preserve"> IF($T$324,1,0)</f>
        <v>1</v>
      </c>
      <c r="F324" s="14" t="s">
        <v>1217</v>
      </c>
      <c r="G324" s="14">
        <v>1</v>
      </c>
      <c r="H324" s="14">
        <v>7</v>
      </c>
      <c r="I324" s="14">
        <v>0</v>
      </c>
      <c r="J324" s="14">
        <v>0</v>
      </c>
      <c r="K324" s="14">
        <v>0</v>
      </c>
      <c r="L324" s="14">
        <v>0</v>
      </c>
      <c r="M324" s="14">
        <v>0</v>
      </c>
      <c r="N324" s="14">
        <v>0</v>
      </c>
      <c r="O324" s="14">
        <v>0</v>
      </c>
      <c r="P324" s="14">
        <v>0</v>
      </c>
      <c r="Q324" s="14">
        <v>0</v>
      </c>
      <c r="R324" s="15">
        <f>$G$324*$G$8+$H$324*$H$8+$I$324*$I$8+$J$324*$J$8+$K$324*$K$8+$L$324*$L$8+$M$324*$M$8+$N$324*$N$8+$O$324*$O$8+$P$324*$P$8+$Q$324*$Q$8</f>
        <v>16.500000000000004</v>
      </c>
      <c r="S324" s="15">
        <v>0</v>
      </c>
      <c r="T324" s="15">
        <f>$R$324+$S$324</f>
        <v>16.500000000000004</v>
      </c>
    </row>
    <row r="325" spans="1:20" x14ac:dyDescent="0.3">
      <c r="A325" s="10" t="s">
        <v>1218</v>
      </c>
      <c r="B325" s="11" t="s">
        <v>1219</v>
      </c>
      <c r="C325" s="11" t="s">
        <v>202</v>
      </c>
      <c r="D325" s="11" t="s">
        <v>1068</v>
      </c>
      <c r="E325" s="11">
        <f xml:space="preserve"> IF($T$325,1,0)</f>
        <v>0</v>
      </c>
      <c r="F325" s="11" t="s">
        <v>1220</v>
      </c>
      <c r="G325" s="11">
        <v>0</v>
      </c>
      <c r="H325" s="11">
        <v>0</v>
      </c>
      <c r="I325" s="11">
        <v>0</v>
      </c>
      <c r="J325" s="11">
        <v>0</v>
      </c>
      <c r="K325" s="11">
        <v>0</v>
      </c>
      <c r="L325" s="11">
        <v>0</v>
      </c>
      <c r="M325" s="11">
        <v>0</v>
      </c>
      <c r="N325" s="11">
        <v>0</v>
      </c>
      <c r="O325" s="11">
        <v>0</v>
      </c>
      <c r="P325" s="11">
        <v>0</v>
      </c>
      <c r="Q325" s="11">
        <v>0</v>
      </c>
      <c r="R325" s="12">
        <f>$G$325*$G$8+$H$325*$H$8+$I$325*$I$8+$J$325*$J$8+$K$325*$K$8+$L$325*$L$8+$M$325*$M$8+$N$325*$N$8+$O$325*$O$8+$P$325*$P$8+$Q$325*$Q$8</f>
        <v>0</v>
      </c>
      <c r="S325" s="12">
        <v>0</v>
      </c>
      <c r="T325" s="12">
        <f>$R$325+$S$325</f>
        <v>0</v>
      </c>
    </row>
    <row r="326" spans="1:20" x14ac:dyDescent="0.3">
      <c r="A326" s="13" t="s">
        <v>1221</v>
      </c>
      <c r="B326" s="14" t="s">
        <v>1222</v>
      </c>
      <c r="C326" s="14"/>
      <c r="D326" s="14" t="s">
        <v>1223</v>
      </c>
      <c r="E326" s="14">
        <f xml:space="preserve"> IF($T$326,1,0)</f>
        <v>0</v>
      </c>
      <c r="F326" s="14" t="s">
        <v>1224</v>
      </c>
      <c r="G326" s="14">
        <v>0</v>
      </c>
      <c r="H326" s="14">
        <v>0</v>
      </c>
      <c r="I326" s="14">
        <v>0</v>
      </c>
      <c r="J326" s="14">
        <v>0</v>
      </c>
      <c r="K326" s="14">
        <v>0</v>
      </c>
      <c r="L326" s="14">
        <v>0</v>
      </c>
      <c r="M326" s="14">
        <v>0</v>
      </c>
      <c r="N326" s="14">
        <v>0</v>
      </c>
      <c r="O326" s="14">
        <v>0</v>
      </c>
      <c r="P326" s="14">
        <v>0</v>
      </c>
      <c r="Q326" s="14">
        <v>0</v>
      </c>
      <c r="R326" s="15">
        <f>$G$326*$G$8+$H$326*$H$8+$I$326*$I$8+$J$326*$J$8+$K$326*$K$8+$L$326*$L$8+$M$326*$M$8+$N$326*$N$8+$O$326*$O$8+$P$326*$P$8+$Q$326*$Q$8</f>
        <v>0</v>
      </c>
      <c r="S326" s="15">
        <v>0</v>
      </c>
      <c r="T326" s="15">
        <f>$R$326+$S$326</f>
        <v>0</v>
      </c>
    </row>
    <row r="327" spans="1:20" x14ac:dyDescent="0.3">
      <c r="A327" s="10" t="s">
        <v>1225</v>
      </c>
      <c r="B327" s="11" t="s">
        <v>1226</v>
      </c>
      <c r="C327" s="11" t="s">
        <v>34</v>
      </c>
      <c r="D327" s="11" t="s">
        <v>1227</v>
      </c>
      <c r="E327" s="11">
        <f xml:space="preserve"> IF($T$327,1,0)</f>
        <v>0</v>
      </c>
      <c r="F327" s="11" t="s">
        <v>1228</v>
      </c>
      <c r="G327" s="11">
        <v>0</v>
      </c>
      <c r="H327" s="11">
        <v>0</v>
      </c>
      <c r="I327" s="11">
        <v>0</v>
      </c>
      <c r="J327" s="11">
        <v>0</v>
      </c>
      <c r="K327" s="11">
        <v>0</v>
      </c>
      <c r="L327" s="11">
        <v>0</v>
      </c>
      <c r="M327" s="11">
        <v>0</v>
      </c>
      <c r="N327" s="11">
        <v>0</v>
      </c>
      <c r="O327" s="11">
        <v>0</v>
      </c>
      <c r="P327" s="11">
        <v>0</v>
      </c>
      <c r="Q327" s="11">
        <v>0</v>
      </c>
      <c r="R327" s="12">
        <f>$G$327*$G$8+$H$327*$H$8+$I$327*$I$8+$J$327*$J$8+$K$327*$K$8+$L$327*$L$8+$M$327*$M$8+$N$327*$N$8+$O$327*$O$8+$P$327*$P$8+$Q$327*$Q$8</f>
        <v>0</v>
      </c>
      <c r="S327" s="12">
        <v>0</v>
      </c>
      <c r="T327" s="12">
        <f>$R$327+$S$327</f>
        <v>0</v>
      </c>
    </row>
    <row r="328" spans="1:20" x14ac:dyDescent="0.3">
      <c r="A328" s="13" t="s">
        <v>1229</v>
      </c>
      <c r="B328" s="14" t="s">
        <v>1230</v>
      </c>
      <c r="C328" s="14"/>
      <c r="D328" s="14" t="s">
        <v>1231</v>
      </c>
      <c r="E328" s="14">
        <f xml:space="preserve"> IF($T$328,1,0)</f>
        <v>1</v>
      </c>
      <c r="F328" s="14" t="s">
        <v>1232</v>
      </c>
      <c r="G328" s="14">
        <v>0</v>
      </c>
      <c r="H328" s="14">
        <v>0</v>
      </c>
      <c r="I328" s="14">
        <v>0</v>
      </c>
      <c r="J328" s="14">
        <v>0</v>
      </c>
      <c r="K328" s="14">
        <v>0</v>
      </c>
      <c r="L328" s="14">
        <v>1</v>
      </c>
      <c r="M328" s="14">
        <v>0</v>
      </c>
      <c r="N328" s="14">
        <v>0</v>
      </c>
      <c r="O328" s="14">
        <v>0</v>
      </c>
      <c r="P328" s="14">
        <v>0</v>
      </c>
      <c r="Q328" s="14">
        <v>0</v>
      </c>
      <c r="R328" s="15">
        <f>$G$328*$G$8+$H$328*$H$8+$I$328*$I$8+$J$328*$J$8+$K$328*$K$8+$L$328*$L$8+$M$328*$M$8+$N$328*$N$8+$O$328*$O$8+$P$328*$P$8+$Q$328*$Q$8</f>
        <v>2</v>
      </c>
      <c r="S328" s="15">
        <v>0</v>
      </c>
      <c r="T328" s="15">
        <f>$R$328+$S$328</f>
        <v>2</v>
      </c>
    </row>
    <row r="329" spans="1:20" x14ac:dyDescent="0.3">
      <c r="A329" s="10" t="s">
        <v>1233</v>
      </c>
      <c r="B329" s="11" t="s">
        <v>1230</v>
      </c>
      <c r="C329" s="11"/>
      <c r="D329" s="11" t="s">
        <v>1234</v>
      </c>
      <c r="E329" s="11">
        <f xml:space="preserve"> IF($T$329,1,0)</f>
        <v>1</v>
      </c>
      <c r="F329" s="11" t="s">
        <v>1235</v>
      </c>
      <c r="G329" s="11">
        <v>0</v>
      </c>
      <c r="H329" s="11">
        <v>2</v>
      </c>
      <c r="I329" s="11">
        <v>0</v>
      </c>
      <c r="J329" s="11">
        <v>1</v>
      </c>
      <c r="K329" s="11">
        <v>0</v>
      </c>
      <c r="L329" s="11">
        <v>0</v>
      </c>
      <c r="M329" s="11">
        <v>0</v>
      </c>
      <c r="N329" s="11">
        <v>0</v>
      </c>
      <c r="O329" s="11">
        <v>0</v>
      </c>
      <c r="P329" s="11">
        <v>0</v>
      </c>
      <c r="Q329" s="11">
        <v>0</v>
      </c>
      <c r="R329" s="12">
        <f>$G$329*$G$8+$H$329*$H$8+$I$329*$I$8+$J$329*$J$8+$K$329*$K$8+$L$329*$L$8+$M$329*$M$8+$N$329*$N$8+$O$329*$O$8+$P$329*$P$8+$Q$329*$Q$8</f>
        <v>6.4</v>
      </c>
      <c r="S329" s="12">
        <v>0</v>
      </c>
      <c r="T329" s="12">
        <f>$R$329+$S$329</f>
        <v>6.4</v>
      </c>
    </row>
    <row r="330" spans="1:20" x14ac:dyDescent="0.3">
      <c r="A330" s="13" t="s">
        <v>1236</v>
      </c>
      <c r="B330" s="14" t="s">
        <v>1237</v>
      </c>
      <c r="C330" s="14"/>
      <c r="D330" s="14" t="s">
        <v>1237</v>
      </c>
      <c r="E330" s="14">
        <f xml:space="preserve"> IF($T$330,1,0)</f>
        <v>0</v>
      </c>
      <c r="F330" s="14" t="s">
        <v>1238</v>
      </c>
      <c r="G330" s="14">
        <v>0</v>
      </c>
      <c r="H330" s="14">
        <v>0</v>
      </c>
      <c r="I330" s="14">
        <v>0</v>
      </c>
      <c r="J330" s="14">
        <v>0</v>
      </c>
      <c r="K330" s="14">
        <v>0</v>
      </c>
      <c r="L330" s="14">
        <v>0</v>
      </c>
      <c r="M330" s="14">
        <v>0</v>
      </c>
      <c r="N330" s="14">
        <v>0</v>
      </c>
      <c r="O330" s="14">
        <v>0</v>
      </c>
      <c r="P330" s="14">
        <v>0</v>
      </c>
      <c r="Q330" s="14">
        <v>0</v>
      </c>
      <c r="R330" s="15">
        <f>$G$330*$G$8+$H$330*$H$8+$I$330*$I$8+$J$330*$J$8+$K$330*$K$8+$L$330*$L$8+$M$330*$M$8+$N$330*$N$8+$O$330*$O$8+$P$330*$P$8+$Q$330*$Q$8</f>
        <v>0</v>
      </c>
      <c r="S330" s="15">
        <v>0</v>
      </c>
      <c r="T330" s="15">
        <f>$R$330+$S$330</f>
        <v>0</v>
      </c>
    </row>
    <row r="332" spans="1:20" ht="15" thickBot="1" x14ac:dyDescent="0.35">
      <c r="E332" s="5" t="s">
        <v>18</v>
      </c>
      <c r="F332" s="6" t="s">
        <v>19</v>
      </c>
      <c r="G332" s="6" t="s">
        <v>4</v>
      </c>
      <c r="H332" s="6" t="s">
        <v>1265</v>
      </c>
      <c r="I332" s="6" t="s">
        <v>6</v>
      </c>
      <c r="J332" s="6" t="s">
        <v>1266</v>
      </c>
      <c r="K332" s="6" t="s">
        <v>7</v>
      </c>
      <c r="L332" s="6" t="s">
        <v>8</v>
      </c>
      <c r="M332" s="6" t="s">
        <v>9</v>
      </c>
      <c r="N332" s="6" t="s">
        <v>10</v>
      </c>
      <c r="O332" s="6" t="s">
        <v>11</v>
      </c>
      <c r="P332" s="6" t="s">
        <v>12</v>
      </c>
      <c r="Q332" s="6" t="s">
        <v>13</v>
      </c>
      <c r="R332" s="6" t="s">
        <v>23</v>
      </c>
      <c r="S332" s="6" t="s">
        <v>26</v>
      </c>
      <c r="T332" s="6" t="s">
        <v>25</v>
      </c>
    </row>
    <row r="333" spans="1:20" ht="15" thickTop="1" x14ac:dyDescent="0.3">
      <c r="E333" s="7">
        <f xml:space="preserve"> IF($T$333,1,0)</f>
        <v>0</v>
      </c>
      <c r="F333" s="8" t="s">
        <v>27</v>
      </c>
      <c r="G333" s="8">
        <v>0</v>
      </c>
      <c r="H333" s="8">
        <v>0</v>
      </c>
      <c r="I333" s="8">
        <v>0</v>
      </c>
      <c r="J333" s="8">
        <v>0</v>
      </c>
      <c r="K333" s="8">
        <v>0</v>
      </c>
      <c r="L333" s="8">
        <v>0</v>
      </c>
      <c r="M333" s="8">
        <v>0</v>
      </c>
      <c r="N333" s="8">
        <v>0</v>
      </c>
      <c r="O333" s="8">
        <v>0</v>
      </c>
      <c r="P333" s="8">
        <v>0</v>
      </c>
      <c r="Q333" s="8">
        <v>0</v>
      </c>
      <c r="R333" s="9">
        <f>$G$333*$G$8+$H$333*$H$8+$I$333*$I$8+$J$333*$J$8+$K$333*$K$8+$L$333*$L$8+$M$333*$M$8+$N$333*$N$8+$O$333*$O$8+$P$333*$P$8+$Q$333*$Q$8</f>
        <v>0</v>
      </c>
      <c r="S333" s="9">
        <f>$T$333/2</f>
        <v>0</v>
      </c>
      <c r="T333" s="9">
        <f>$G$333*$G$8+$H$333*$H$8+$I$333*$I$8+$J$333*$J$8+$K$333*$K$8+$L$333*$L$8+$M$333*$M$8+$N$333*$N$8+$O$333*$O$8+$P$333*$P$8+$Q$333*$Q$8</f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F16E8-80FF-4E6F-AAC1-995A95CD6EB0}">
  <sheetPr codeName="Blad9"/>
  <dimension ref="A2:U339"/>
  <sheetViews>
    <sheetView workbookViewId="0">
      <selection activeCell="S4" sqref="S4"/>
    </sheetView>
  </sheetViews>
  <sheetFormatPr defaultRowHeight="14.4" x14ac:dyDescent="0.3"/>
  <cols>
    <col min="2" max="2" width="14.77734375" customWidth="1"/>
    <col min="3" max="3" width="18.77734375" customWidth="1"/>
    <col min="4" max="4" width="20.77734375" customWidth="1"/>
    <col min="5" max="5" width="14.77734375" customWidth="1"/>
    <col min="6" max="6" width="25.77734375" customWidth="1"/>
    <col min="8" max="8" width="11.109375" customWidth="1"/>
    <col min="11" max="14" width="11.44140625" customWidth="1"/>
    <col min="16" max="16" width="14.21875" customWidth="1"/>
    <col min="17" max="17" width="13.21875" customWidth="1"/>
    <col min="18" max="18" width="12.21875" customWidth="1"/>
    <col min="19" max="19" width="22.109375" customWidth="1"/>
    <col min="20" max="20" width="18.6640625" customWidth="1"/>
  </cols>
  <sheetData>
    <row r="2" spans="1:21" x14ac:dyDescent="0.3">
      <c r="A2" t="s">
        <v>1239</v>
      </c>
      <c r="F2" t="s">
        <v>20</v>
      </c>
      <c r="G2">
        <f>SUM($G$10:$G$335)+ SUM($G$338:$G$339)</f>
        <v>228</v>
      </c>
      <c r="H2">
        <f>SUM($H$10:$H$335)+ SUM($H$338:$H$339)</f>
        <v>56</v>
      </c>
      <c r="I2">
        <f>SUM($I$10:$I$335)+ SUM($I$338:$I$339)</f>
        <v>13</v>
      </c>
      <c r="J2">
        <f>SUM($J$10:$J$335)+ SUM($J$338:$J$339)</f>
        <v>1</v>
      </c>
      <c r="K2">
        <f>SUM($K$10:$K$335)+ SUM($K$338:$K$339)</f>
        <v>12</v>
      </c>
      <c r="L2">
        <f>SUM($L$10:$L$335)+ SUM($L$338:$L$339)</f>
        <v>18</v>
      </c>
      <c r="M2">
        <f>SUM($M$10:$M$335)+ SUM($M$338:$M$339)</f>
        <v>11</v>
      </c>
      <c r="N2">
        <f>SUM($N$10:$N$335)+ SUM($N$338:$N$339)</f>
        <v>2</v>
      </c>
      <c r="O2">
        <f>SUM($O$10:$O$335)+ SUM($O$338:$O$339)</f>
        <v>3</v>
      </c>
      <c r="P2">
        <f>SUM($P$10:$P$335)+ SUM($P$338:$P$339)</f>
        <v>19</v>
      </c>
    </row>
    <row r="3" spans="1:21" x14ac:dyDescent="0.3">
      <c r="A3">
        <f>SUM($E$10:$E$335)</f>
        <v>69</v>
      </c>
      <c r="F3" t="s">
        <v>21</v>
      </c>
      <c r="G3" s="3">
        <f>$G$8*G2</f>
        <v>159.6</v>
      </c>
      <c r="H3" s="3">
        <f>$H$8*H2</f>
        <v>100.8</v>
      </c>
      <c r="I3" s="3">
        <f>$I$8*I2</f>
        <v>13</v>
      </c>
      <c r="J3" s="3">
        <f>$J$8*J2</f>
        <v>4.75</v>
      </c>
      <c r="K3" s="3">
        <f>$K$8*K2</f>
        <v>24</v>
      </c>
      <c r="L3" s="3">
        <f>$L$8*L2</f>
        <v>54</v>
      </c>
      <c r="M3" s="3">
        <f>$M$8*M2</f>
        <v>44</v>
      </c>
      <c r="N3" s="3">
        <f>$N$8*N2</f>
        <v>10</v>
      </c>
      <c r="O3" s="3">
        <f>$O$8*O2</f>
        <v>1.5</v>
      </c>
      <c r="P3" s="3">
        <f>$P$8*P2</f>
        <v>19</v>
      </c>
    </row>
    <row r="8" spans="1:21" x14ac:dyDescent="0.3">
      <c r="F8" t="s">
        <v>22</v>
      </c>
      <c r="G8" s="4">
        <v>0.7</v>
      </c>
      <c r="H8" s="4">
        <v>1.8</v>
      </c>
      <c r="I8" s="4">
        <v>1</v>
      </c>
      <c r="J8" s="4">
        <v>4.75</v>
      </c>
      <c r="K8" s="4">
        <v>2</v>
      </c>
      <c r="L8" s="4">
        <v>3</v>
      </c>
      <c r="M8" s="4">
        <v>4</v>
      </c>
      <c r="N8" s="4">
        <v>5</v>
      </c>
      <c r="O8" s="4">
        <v>0.5</v>
      </c>
      <c r="P8" s="4">
        <v>1</v>
      </c>
      <c r="S8" s="3">
        <f>SUM($S$10:$S$335)</f>
        <v>421.95000000000005</v>
      </c>
      <c r="T8" s="3">
        <f>SUM($T$10:$T$335)</f>
        <v>8.6999999999999993</v>
      </c>
      <c r="U8" s="3">
        <f>SUM($U$10:$U$335)</f>
        <v>430.65</v>
      </c>
    </row>
    <row r="9" spans="1:21" ht="15" thickBot="1" x14ac:dyDescent="0.35">
      <c r="A9" s="5" t="s">
        <v>14</v>
      </c>
      <c r="B9" s="6" t="s">
        <v>15</v>
      </c>
      <c r="C9" s="6" t="s">
        <v>16</v>
      </c>
      <c r="D9" s="6" t="s">
        <v>17</v>
      </c>
      <c r="E9" s="6" t="s">
        <v>18</v>
      </c>
      <c r="F9" s="6" t="s">
        <v>19</v>
      </c>
      <c r="G9" s="6" t="s">
        <v>4</v>
      </c>
      <c r="H9" s="6" t="s">
        <v>1245</v>
      </c>
      <c r="I9" s="6" t="s">
        <v>6</v>
      </c>
      <c r="J9" s="6" t="s">
        <v>7</v>
      </c>
      <c r="K9" s="6" t="s">
        <v>8</v>
      </c>
      <c r="L9" s="6" t="s">
        <v>9</v>
      </c>
      <c r="M9" s="6" t="s">
        <v>10</v>
      </c>
      <c r="N9" s="6" t="s">
        <v>11</v>
      </c>
      <c r="O9" s="6" t="s">
        <v>12</v>
      </c>
      <c r="P9" s="6" t="s">
        <v>13</v>
      </c>
      <c r="Q9" s="6" t="s">
        <v>1247</v>
      </c>
      <c r="R9" s="6" t="s">
        <v>27</v>
      </c>
      <c r="S9" s="6" t="s">
        <v>23</v>
      </c>
      <c r="T9" s="6" t="s">
        <v>24</v>
      </c>
      <c r="U9" s="6" t="s">
        <v>25</v>
      </c>
    </row>
    <row r="10" spans="1:21" ht="15" thickTop="1" x14ac:dyDescent="0.3">
      <c r="A10" s="7" t="s">
        <v>28</v>
      </c>
      <c r="B10" s="8" t="s">
        <v>29</v>
      </c>
      <c r="C10" s="8"/>
      <c r="D10" s="8" t="s">
        <v>30</v>
      </c>
      <c r="E10" s="8">
        <f xml:space="preserve"> IF($U$10,1,0)</f>
        <v>0</v>
      </c>
      <c r="F10" s="8" t="s">
        <v>31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9">
        <v>0</v>
      </c>
      <c r="R10" s="9">
        <v>0</v>
      </c>
      <c r="S10" s="9">
        <f>$G$10*$G$8+$H$10*$H$8+$I$10*$I$8+$J$10*$J$8+$K$10*$K$8+$L$10*$L$8+$M$10*$M$8+$N$10*$N$8+$O$10*$O$8+$P$10*$P$8</f>
        <v>0</v>
      </c>
      <c r="T10" s="9">
        <f>SUM($Q$10:$R$10)</f>
        <v>0</v>
      </c>
      <c r="U10" s="9">
        <f>$S$10+$T$10</f>
        <v>0</v>
      </c>
    </row>
    <row r="11" spans="1:21" x14ac:dyDescent="0.3">
      <c r="A11" s="10" t="s">
        <v>32</v>
      </c>
      <c r="B11" s="11" t="s">
        <v>33</v>
      </c>
      <c r="C11" s="11" t="s">
        <v>34</v>
      </c>
      <c r="D11" s="11" t="s">
        <v>35</v>
      </c>
      <c r="E11" s="11">
        <f xml:space="preserve"> IF($U$11,1,0)</f>
        <v>1</v>
      </c>
      <c r="F11" s="11" t="s">
        <v>36</v>
      </c>
      <c r="G11" s="11">
        <v>0</v>
      </c>
      <c r="H11" s="11">
        <v>0</v>
      </c>
      <c r="I11" s="11">
        <v>1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2">
        <v>0</v>
      </c>
      <c r="R11" s="12">
        <v>0</v>
      </c>
      <c r="S11" s="12">
        <f>$G$11*$G$8+$H$11*$H$8+$I$11*$I$8+$J$11*$J$8+$K$11*$K$8+$L$11*$L$8+$M$11*$M$8+$N$11*$N$8+$O$11*$O$8+$P$11*$P$8</f>
        <v>1</v>
      </c>
      <c r="T11" s="12">
        <f>SUM($Q$11:$R$11)</f>
        <v>0</v>
      </c>
      <c r="U11" s="12">
        <f>$S$11+$T$11</f>
        <v>1</v>
      </c>
    </row>
    <row r="12" spans="1:21" x14ac:dyDescent="0.3">
      <c r="A12" s="13" t="s">
        <v>37</v>
      </c>
      <c r="B12" s="14" t="s">
        <v>38</v>
      </c>
      <c r="C12" s="14"/>
      <c r="D12" s="14" t="s">
        <v>39</v>
      </c>
      <c r="E12" s="14">
        <f xml:space="preserve"> IF($U$12,1,0)</f>
        <v>0</v>
      </c>
      <c r="F12" s="14" t="s">
        <v>40</v>
      </c>
      <c r="G12" s="14">
        <v>0</v>
      </c>
      <c r="H12" s="14">
        <v>0</v>
      </c>
      <c r="I12" s="14">
        <v>0</v>
      </c>
      <c r="J12" s="14">
        <v>0</v>
      </c>
      <c r="K12" s="14">
        <v>0</v>
      </c>
      <c r="L12" s="14">
        <v>0</v>
      </c>
      <c r="M12" s="14">
        <v>0</v>
      </c>
      <c r="N12" s="14">
        <v>0</v>
      </c>
      <c r="O12" s="14">
        <v>0</v>
      </c>
      <c r="P12" s="14">
        <v>0</v>
      </c>
      <c r="Q12" s="15">
        <v>0</v>
      </c>
      <c r="R12" s="15">
        <v>0</v>
      </c>
      <c r="S12" s="15">
        <f>$G$12*$G$8+$H$12*$H$8+$I$12*$I$8+$J$12*$J$8+$K$12*$K$8+$L$12*$L$8+$M$12*$M$8+$N$12*$N$8+$O$12*$O$8+$P$12*$P$8</f>
        <v>0</v>
      </c>
      <c r="T12" s="15">
        <f>SUM($Q$12:$R$12)</f>
        <v>0</v>
      </c>
      <c r="U12" s="15">
        <f>$S$12+$T$12</f>
        <v>0</v>
      </c>
    </row>
    <row r="13" spans="1:21" x14ac:dyDescent="0.3">
      <c r="A13" s="10" t="s">
        <v>41</v>
      </c>
      <c r="B13" s="11" t="s">
        <v>38</v>
      </c>
      <c r="C13" s="11"/>
      <c r="D13" s="11" t="s">
        <v>42</v>
      </c>
      <c r="E13" s="11">
        <f xml:space="preserve"> IF($U$13,1,0)</f>
        <v>0</v>
      </c>
      <c r="F13" s="11" t="s">
        <v>43</v>
      </c>
      <c r="G13" s="11">
        <v>0</v>
      </c>
      <c r="H13" s="11">
        <v>0</v>
      </c>
      <c r="I13" s="11">
        <v>0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2">
        <v>0</v>
      </c>
      <c r="R13" s="12">
        <v>0</v>
      </c>
      <c r="S13" s="12">
        <f>$G$13*$G$8+$H$13*$H$8+$I$13*$I$8+$J$13*$J$8+$K$13*$K$8+$L$13*$L$8+$M$13*$M$8+$N$13*$N$8+$O$13*$O$8+$P$13*$P$8</f>
        <v>0</v>
      </c>
      <c r="T13" s="12">
        <f>SUM($Q$13:$R$13)</f>
        <v>0</v>
      </c>
      <c r="U13" s="12">
        <f>$S$13+$T$13</f>
        <v>0</v>
      </c>
    </row>
    <row r="14" spans="1:21" x14ac:dyDescent="0.3">
      <c r="A14" s="13" t="s">
        <v>44</v>
      </c>
      <c r="B14" s="14" t="s">
        <v>45</v>
      </c>
      <c r="C14" s="14"/>
      <c r="D14" s="14" t="s">
        <v>46</v>
      </c>
      <c r="E14" s="14">
        <f xml:space="preserve"> IF($U$14,1,0)</f>
        <v>0</v>
      </c>
      <c r="F14" s="14" t="s">
        <v>47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5">
        <v>0</v>
      </c>
      <c r="R14" s="15">
        <v>0</v>
      </c>
      <c r="S14" s="15">
        <f>$G$14*$G$8+$H$14*$H$8+$I$14*$I$8+$J$14*$J$8+$K$14*$K$8+$L$14*$L$8+$M$14*$M$8+$N$14*$N$8+$O$14*$O$8+$P$14*$P$8</f>
        <v>0</v>
      </c>
      <c r="T14" s="15">
        <f>SUM($Q$14:$R$14)</f>
        <v>0</v>
      </c>
      <c r="U14" s="15">
        <f>$S$14+$T$14</f>
        <v>0</v>
      </c>
    </row>
    <row r="15" spans="1:21" x14ac:dyDescent="0.3">
      <c r="A15" s="10" t="s">
        <v>48</v>
      </c>
      <c r="B15" s="11" t="s">
        <v>45</v>
      </c>
      <c r="C15" s="11"/>
      <c r="D15" s="11" t="s">
        <v>49</v>
      </c>
      <c r="E15" s="11">
        <f xml:space="preserve"> IF($U$15,1,0)</f>
        <v>0</v>
      </c>
      <c r="F15" s="11" t="s">
        <v>50</v>
      </c>
      <c r="G15" s="11">
        <v>0</v>
      </c>
      <c r="H15" s="11">
        <v>0</v>
      </c>
      <c r="I15" s="11">
        <v>0</v>
      </c>
      <c r="J15" s="11">
        <v>0</v>
      </c>
      <c r="K15" s="11">
        <v>0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2">
        <v>0</v>
      </c>
      <c r="R15" s="12">
        <v>0</v>
      </c>
      <c r="S15" s="12">
        <f>$G$15*$G$8+$H$15*$H$8+$I$15*$I$8+$J$15*$J$8+$K$15*$K$8+$L$15*$L$8+$M$15*$M$8+$N$15*$N$8+$O$15*$O$8+$P$15*$P$8</f>
        <v>0</v>
      </c>
      <c r="T15" s="12">
        <f>SUM($Q$15:$R$15)</f>
        <v>0</v>
      </c>
      <c r="U15" s="12">
        <f>$S$15+$T$15</f>
        <v>0</v>
      </c>
    </row>
    <row r="16" spans="1:21" x14ac:dyDescent="0.3">
      <c r="A16" s="13" t="s">
        <v>51</v>
      </c>
      <c r="B16" s="14" t="s">
        <v>52</v>
      </c>
      <c r="C16" s="14"/>
      <c r="D16" s="14" t="s">
        <v>53</v>
      </c>
      <c r="E16" s="14">
        <f xml:space="preserve"> IF($U$16,1,0)</f>
        <v>1</v>
      </c>
      <c r="F16" s="14" t="s">
        <v>54</v>
      </c>
      <c r="G16" s="14">
        <v>5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4">
        <v>0</v>
      </c>
      <c r="O16" s="14">
        <v>0</v>
      </c>
      <c r="P16" s="14">
        <v>0</v>
      </c>
      <c r="Q16" s="15">
        <v>0</v>
      </c>
      <c r="R16" s="15">
        <v>0</v>
      </c>
      <c r="S16" s="15">
        <f>$G$16*$G$8+$H$16*$H$8+$I$16*$I$8+$J$16*$J$8+$K$16*$K$8+$L$16*$L$8+$M$16*$M$8+$N$16*$N$8+$O$16*$O$8+$P$16*$P$8</f>
        <v>3.5</v>
      </c>
      <c r="T16" s="15">
        <f>SUM($Q$16:$R$16)</f>
        <v>0</v>
      </c>
      <c r="U16" s="15">
        <f>$S$16+$T$16</f>
        <v>3.5</v>
      </c>
    </row>
    <row r="17" spans="1:21" x14ac:dyDescent="0.3">
      <c r="A17" s="10" t="s">
        <v>55</v>
      </c>
      <c r="B17" s="11" t="s">
        <v>56</v>
      </c>
      <c r="C17" s="11"/>
      <c r="D17" s="11" t="s">
        <v>57</v>
      </c>
      <c r="E17" s="11">
        <f xml:space="preserve"> IF($U$17,1,0)</f>
        <v>0</v>
      </c>
      <c r="F17" s="11" t="s">
        <v>58</v>
      </c>
      <c r="G17" s="11">
        <v>0</v>
      </c>
      <c r="H17" s="11">
        <v>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2">
        <v>0</v>
      </c>
      <c r="R17" s="12">
        <v>0</v>
      </c>
      <c r="S17" s="12">
        <f>$G$17*$G$8+$H$17*$H$8+$I$17*$I$8+$J$17*$J$8+$K$17*$K$8+$L$17*$L$8+$M$17*$M$8+$N$17*$N$8+$O$17*$O$8+$P$17*$P$8</f>
        <v>0</v>
      </c>
      <c r="T17" s="12">
        <f>SUM($Q$17:$R$17)</f>
        <v>0</v>
      </c>
      <c r="U17" s="12">
        <f>$S$17+$T$17</f>
        <v>0</v>
      </c>
    </row>
    <row r="18" spans="1:21" x14ac:dyDescent="0.3">
      <c r="A18" s="13" t="s">
        <v>59</v>
      </c>
      <c r="B18" s="14" t="s">
        <v>60</v>
      </c>
      <c r="C18" s="14"/>
      <c r="D18" s="14" t="s">
        <v>61</v>
      </c>
      <c r="E18" s="14">
        <f xml:space="preserve"> IF($U$18,1,0)</f>
        <v>0</v>
      </c>
      <c r="F18" s="14" t="s">
        <v>62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5">
        <v>0</v>
      </c>
      <c r="R18" s="15">
        <v>0</v>
      </c>
      <c r="S18" s="15">
        <f>$G$18*$G$8+$H$18*$H$8+$I$18*$I$8+$J$18*$J$8+$K$18*$K$8+$L$18*$L$8+$M$18*$M$8+$N$18*$N$8+$O$18*$O$8+$P$18*$P$8</f>
        <v>0</v>
      </c>
      <c r="T18" s="15">
        <f>SUM($Q$18:$R$18)</f>
        <v>0</v>
      </c>
      <c r="U18" s="15">
        <f>$S$18+$T$18</f>
        <v>0</v>
      </c>
    </row>
    <row r="19" spans="1:21" x14ac:dyDescent="0.3">
      <c r="A19" s="10" t="s">
        <v>63</v>
      </c>
      <c r="B19" s="11" t="s">
        <v>64</v>
      </c>
      <c r="C19" s="11" t="s">
        <v>65</v>
      </c>
      <c r="D19" s="11" t="s">
        <v>66</v>
      </c>
      <c r="E19" s="11">
        <f xml:space="preserve"> IF($U$19,1,0)</f>
        <v>0</v>
      </c>
      <c r="F19" s="11" t="s">
        <v>67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2">
        <v>0</v>
      </c>
      <c r="R19" s="12">
        <v>0</v>
      </c>
      <c r="S19" s="12">
        <f>$G$19*$G$8+$H$19*$H$8+$I$19*$I$8+$J$19*$J$8+$K$19*$K$8+$L$19*$L$8+$M$19*$M$8+$N$19*$N$8+$O$19*$O$8+$P$19*$P$8</f>
        <v>0</v>
      </c>
      <c r="T19" s="12">
        <f>SUM($Q$19:$R$19)</f>
        <v>0</v>
      </c>
      <c r="U19" s="12">
        <f>$S$19+$T$19</f>
        <v>0</v>
      </c>
    </row>
    <row r="20" spans="1:21" x14ac:dyDescent="0.3">
      <c r="A20" s="13" t="s">
        <v>68</v>
      </c>
      <c r="B20" s="14" t="s">
        <v>69</v>
      </c>
      <c r="C20" s="14"/>
      <c r="D20" s="14" t="s">
        <v>70</v>
      </c>
      <c r="E20" s="14">
        <f xml:space="preserve"> IF($U$20,1,0)</f>
        <v>0</v>
      </c>
      <c r="F20" s="14" t="s">
        <v>71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4">
        <v>0</v>
      </c>
      <c r="N20" s="14">
        <v>0</v>
      </c>
      <c r="O20" s="14">
        <v>0</v>
      </c>
      <c r="P20" s="14">
        <v>0</v>
      </c>
      <c r="Q20" s="15">
        <v>0</v>
      </c>
      <c r="R20" s="15">
        <v>0</v>
      </c>
      <c r="S20" s="15">
        <f>$G$20*$G$8+$H$20*$H$8+$I$20*$I$8+$J$20*$J$8+$K$20*$K$8+$L$20*$L$8+$M$20*$M$8+$N$20*$N$8+$O$20*$O$8+$P$20*$P$8</f>
        <v>0</v>
      </c>
      <c r="T20" s="15">
        <f>SUM($Q$20:$R$20)</f>
        <v>0</v>
      </c>
      <c r="U20" s="15">
        <f>$S$20+$T$20</f>
        <v>0</v>
      </c>
    </row>
    <row r="21" spans="1:21" x14ac:dyDescent="0.3">
      <c r="A21" s="10" t="s">
        <v>72</v>
      </c>
      <c r="B21" s="11" t="s">
        <v>73</v>
      </c>
      <c r="C21" s="11"/>
      <c r="D21" s="11" t="s">
        <v>74</v>
      </c>
      <c r="E21" s="11">
        <f xml:space="preserve"> IF($U$21,1,0)</f>
        <v>1</v>
      </c>
      <c r="F21" s="11" t="s">
        <v>75</v>
      </c>
      <c r="G21" s="11">
        <v>2</v>
      </c>
      <c r="H21" s="11">
        <v>0</v>
      </c>
      <c r="I21" s="11">
        <v>2</v>
      </c>
      <c r="J21" s="11">
        <v>0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2">
        <v>0</v>
      </c>
      <c r="R21" s="12">
        <v>0</v>
      </c>
      <c r="S21" s="12">
        <f>$G$21*$G$8+$H$21*$H$8+$I$21*$I$8+$J$21*$J$8+$K$21*$K$8+$L$21*$L$8+$M$21*$M$8+$N$21*$N$8+$O$21*$O$8+$P$21*$P$8</f>
        <v>3.4</v>
      </c>
      <c r="T21" s="12">
        <f>SUM($Q$21:$R$21)</f>
        <v>0</v>
      </c>
      <c r="U21" s="12">
        <f>$S$21+$T$21</f>
        <v>3.4</v>
      </c>
    </row>
    <row r="22" spans="1:21" x14ac:dyDescent="0.3">
      <c r="A22" s="13" t="s">
        <v>76</v>
      </c>
      <c r="B22" s="14" t="s">
        <v>77</v>
      </c>
      <c r="C22" s="14"/>
      <c r="D22" s="14" t="s">
        <v>78</v>
      </c>
      <c r="E22" s="14">
        <f xml:space="preserve"> IF($U$22,1,0)</f>
        <v>1</v>
      </c>
      <c r="F22" s="14" t="s">
        <v>79</v>
      </c>
      <c r="G22" s="14">
        <v>5</v>
      </c>
      <c r="H22" s="14">
        <v>0</v>
      </c>
      <c r="I22" s="14">
        <v>0</v>
      </c>
      <c r="J22" s="14">
        <v>0</v>
      </c>
      <c r="K22" s="14">
        <v>0</v>
      </c>
      <c r="L22" s="14">
        <v>0</v>
      </c>
      <c r="M22" s="14">
        <v>0</v>
      </c>
      <c r="N22" s="14">
        <v>0</v>
      </c>
      <c r="O22" s="14">
        <v>0</v>
      </c>
      <c r="P22" s="14">
        <v>2</v>
      </c>
      <c r="Q22" s="15">
        <v>0</v>
      </c>
      <c r="R22" s="15">
        <v>0</v>
      </c>
      <c r="S22" s="15">
        <f>$G$22*$G$8+$H$22*$H$8+$I$22*$I$8+$J$22*$J$8+$K$22*$K$8+$L$22*$L$8+$M$22*$M$8+$N$22*$N$8+$O$22*$O$8+$P$22*$P$8</f>
        <v>5.5</v>
      </c>
      <c r="T22" s="15">
        <f>SUM($Q$22:$R$22)</f>
        <v>0</v>
      </c>
      <c r="U22" s="15">
        <f>$S$22+$T$22</f>
        <v>5.5</v>
      </c>
    </row>
    <row r="23" spans="1:21" x14ac:dyDescent="0.3">
      <c r="A23" s="10" t="s">
        <v>80</v>
      </c>
      <c r="B23" s="11" t="s">
        <v>77</v>
      </c>
      <c r="C23" s="11" t="s">
        <v>65</v>
      </c>
      <c r="D23" s="11" t="s">
        <v>81</v>
      </c>
      <c r="E23" s="11">
        <f xml:space="preserve"> IF($U$23,1,0)</f>
        <v>0</v>
      </c>
      <c r="F23" s="11" t="s">
        <v>82</v>
      </c>
      <c r="G23" s="11">
        <v>0</v>
      </c>
      <c r="H23" s="11">
        <v>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2">
        <v>0</v>
      </c>
      <c r="R23" s="12">
        <v>0</v>
      </c>
      <c r="S23" s="12">
        <f>$G$23*$G$8+$H$23*$H$8+$I$23*$I$8+$J$23*$J$8+$K$23*$K$8+$L$23*$L$8+$M$23*$M$8+$N$23*$N$8+$O$23*$O$8+$P$23*$P$8</f>
        <v>0</v>
      </c>
      <c r="T23" s="12">
        <f>SUM($Q$23:$R$23)</f>
        <v>0</v>
      </c>
      <c r="U23" s="12">
        <f>$S$23+$T$23</f>
        <v>0</v>
      </c>
    </row>
    <row r="24" spans="1:21" x14ac:dyDescent="0.3">
      <c r="A24" s="13" t="s">
        <v>83</v>
      </c>
      <c r="B24" s="14" t="s">
        <v>84</v>
      </c>
      <c r="C24" s="14"/>
      <c r="D24" s="14" t="s">
        <v>81</v>
      </c>
      <c r="E24" s="14">
        <f xml:space="preserve"> IF($U$24,1,0)</f>
        <v>0</v>
      </c>
      <c r="F24" s="14" t="s">
        <v>85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5">
        <v>0</v>
      </c>
      <c r="R24" s="15">
        <v>0</v>
      </c>
      <c r="S24" s="15">
        <f>$G$24*$G$8+$H$24*$H$8+$I$24*$I$8+$J$24*$J$8+$K$24*$K$8+$L$24*$L$8+$M$24*$M$8+$N$24*$N$8+$O$24*$O$8+$P$24*$P$8</f>
        <v>0</v>
      </c>
      <c r="T24" s="15">
        <f>SUM($Q$24:$R$24)</f>
        <v>0</v>
      </c>
      <c r="U24" s="15">
        <f>$S$24+$T$24</f>
        <v>0</v>
      </c>
    </row>
    <row r="25" spans="1:21" x14ac:dyDescent="0.3">
      <c r="A25" s="10" t="s">
        <v>86</v>
      </c>
      <c r="B25" s="11" t="s">
        <v>87</v>
      </c>
      <c r="C25" s="11"/>
      <c r="D25" s="11" t="s">
        <v>88</v>
      </c>
      <c r="E25" s="11">
        <f xml:space="preserve"> IF($U$25,1,0)</f>
        <v>0</v>
      </c>
      <c r="F25" s="11" t="s">
        <v>89</v>
      </c>
      <c r="G25" s="11">
        <v>0</v>
      </c>
      <c r="H25" s="11">
        <v>0</v>
      </c>
      <c r="I25" s="11">
        <v>0</v>
      </c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2">
        <v>0</v>
      </c>
      <c r="R25" s="12">
        <v>0</v>
      </c>
      <c r="S25" s="12">
        <f>$G$25*$G$8+$H$25*$H$8+$I$25*$I$8+$J$25*$J$8+$K$25*$K$8+$L$25*$L$8+$M$25*$M$8+$N$25*$N$8+$O$25*$O$8+$P$25*$P$8</f>
        <v>0</v>
      </c>
      <c r="T25" s="12">
        <f>SUM($Q$25:$R$25)</f>
        <v>0</v>
      </c>
      <c r="U25" s="12">
        <f>$S$25+$T$25</f>
        <v>0</v>
      </c>
    </row>
    <row r="26" spans="1:21" x14ac:dyDescent="0.3">
      <c r="A26" s="13" t="s">
        <v>90</v>
      </c>
      <c r="B26" s="14" t="s">
        <v>91</v>
      </c>
      <c r="C26" s="14"/>
      <c r="D26" s="14" t="s">
        <v>92</v>
      </c>
      <c r="E26" s="14">
        <f xml:space="preserve"> IF($U$26,1,0)</f>
        <v>0</v>
      </c>
      <c r="F26" s="14" t="s">
        <v>93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5">
        <v>0</v>
      </c>
      <c r="R26" s="15">
        <v>0</v>
      </c>
      <c r="S26" s="15">
        <f>$G$26*$G$8+$H$26*$H$8+$I$26*$I$8+$J$26*$J$8+$K$26*$K$8+$L$26*$L$8+$M$26*$M$8+$N$26*$N$8+$O$26*$O$8+$P$26*$P$8</f>
        <v>0</v>
      </c>
      <c r="T26" s="15">
        <f>SUM($Q$26:$R$26)</f>
        <v>0</v>
      </c>
      <c r="U26" s="15">
        <f>$S$26+$T$26</f>
        <v>0</v>
      </c>
    </row>
    <row r="27" spans="1:21" x14ac:dyDescent="0.3">
      <c r="A27" s="10" t="s">
        <v>94</v>
      </c>
      <c r="B27" s="11" t="s">
        <v>95</v>
      </c>
      <c r="C27" s="11"/>
      <c r="D27" s="11" t="s">
        <v>96</v>
      </c>
      <c r="E27" s="11">
        <f xml:space="preserve"> IF($U$27,1,0)</f>
        <v>0</v>
      </c>
      <c r="F27" s="11" t="s">
        <v>97</v>
      </c>
      <c r="G27" s="11">
        <v>0</v>
      </c>
      <c r="H27" s="11">
        <v>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2">
        <v>0</v>
      </c>
      <c r="R27" s="12">
        <v>0</v>
      </c>
      <c r="S27" s="12">
        <f>$G$27*$G$8+$H$27*$H$8+$I$27*$I$8+$J$27*$J$8+$K$27*$K$8+$L$27*$L$8+$M$27*$M$8+$N$27*$N$8+$O$27*$O$8+$P$27*$P$8</f>
        <v>0</v>
      </c>
      <c r="T27" s="12">
        <f>SUM($Q$27:$R$27)</f>
        <v>0</v>
      </c>
      <c r="U27" s="12">
        <f>$S$27+$T$27</f>
        <v>0</v>
      </c>
    </row>
    <row r="28" spans="1:21" x14ac:dyDescent="0.3">
      <c r="A28" s="13" t="s">
        <v>98</v>
      </c>
      <c r="B28" s="14" t="s">
        <v>99</v>
      </c>
      <c r="C28" s="14"/>
      <c r="D28" s="14" t="s">
        <v>100</v>
      </c>
      <c r="E28" s="14">
        <f xml:space="preserve"> IF($U$28,1,0)</f>
        <v>0</v>
      </c>
      <c r="F28" s="14" t="s">
        <v>101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5">
        <v>0</v>
      </c>
      <c r="R28" s="15">
        <v>0</v>
      </c>
      <c r="S28" s="15">
        <f>$G$28*$G$8+$H$28*$H$8+$I$28*$I$8+$J$28*$J$8+$K$28*$K$8+$L$28*$L$8+$M$28*$M$8+$N$28*$N$8+$O$28*$O$8+$P$28*$P$8</f>
        <v>0</v>
      </c>
      <c r="T28" s="15">
        <f>SUM($Q$28:$R$28)</f>
        <v>0</v>
      </c>
      <c r="U28" s="15">
        <f>$S$28+$T$28</f>
        <v>0</v>
      </c>
    </row>
    <row r="29" spans="1:21" x14ac:dyDescent="0.3">
      <c r="A29" s="10" t="s">
        <v>102</v>
      </c>
      <c r="B29" s="11" t="s">
        <v>103</v>
      </c>
      <c r="C29" s="11"/>
      <c r="D29" s="11" t="s">
        <v>104</v>
      </c>
      <c r="E29" s="11">
        <f xml:space="preserve"> IF($U$29,1,0)</f>
        <v>1</v>
      </c>
      <c r="F29" s="11" t="s">
        <v>105</v>
      </c>
      <c r="G29" s="11">
        <v>3</v>
      </c>
      <c r="H29" s="11">
        <v>0</v>
      </c>
      <c r="I29" s="11">
        <v>0</v>
      </c>
      <c r="J29" s="11">
        <v>0</v>
      </c>
      <c r="K29" s="11">
        <v>0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2">
        <v>0</v>
      </c>
      <c r="R29" s="12">
        <v>0</v>
      </c>
      <c r="S29" s="12">
        <f>$G$29*$G$8+$H$29*$H$8+$I$29*$I$8+$J$29*$J$8+$K$29*$K$8+$L$29*$L$8+$M$29*$M$8+$N$29*$N$8+$O$29*$O$8+$P$29*$P$8</f>
        <v>2.0999999999999996</v>
      </c>
      <c r="T29" s="12">
        <f>SUM($Q$29:$R$29)</f>
        <v>0</v>
      </c>
      <c r="U29" s="12">
        <f>$S$29+$T$29</f>
        <v>2.0999999999999996</v>
      </c>
    </row>
    <row r="30" spans="1:21" x14ac:dyDescent="0.3">
      <c r="A30" s="13" t="s">
        <v>106</v>
      </c>
      <c r="B30" s="14" t="s">
        <v>103</v>
      </c>
      <c r="C30" s="14"/>
      <c r="D30" s="14" t="s">
        <v>107</v>
      </c>
      <c r="E30" s="14">
        <f xml:space="preserve"> IF($U$30,1,0)</f>
        <v>0</v>
      </c>
      <c r="F30" s="14" t="s">
        <v>108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5">
        <v>0</v>
      </c>
      <c r="R30" s="15">
        <v>0</v>
      </c>
      <c r="S30" s="15">
        <f>$G$30*$G$8+$H$30*$H$8+$I$30*$I$8+$J$30*$J$8+$K$30*$K$8+$L$30*$L$8+$M$30*$M$8+$N$30*$N$8+$O$30*$O$8+$P$30*$P$8</f>
        <v>0</v>
      </c>
      <c r="T30" s="15">
        <f>SUM($Q$30:$R$30)</f>
        <v>0</v>
      </c>
      <c r="U30" s="15">
        <f>$S$30+$T$30</f>
        <v>0</v>
      </c>
    </row>
    <row r="31" spans="1:21" x14ac:dyDescent="0.3">
      <c r="A31" s="10" t="s">
        <v>109</v>
      </c>
      <c r="B31" s="11" t="s">
        <v>103</v>
      </c>
      <c r="C31" s="11"/>
      <c r="D31" s="11" t="s">
        <v>110</v>
      </c>
      <c r="E31" s="11">
        <f xml:space="preserve"> IF($U$31,1,0)</f>
        <v>0</v>
      </c>
      <c r="F31" s="11" t="s">
        <v>111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2">
        <v>0</v>
      </c>
      <c r="R31" s="12">
        <v>0</v>
      </c>
      <c r="S31" s="12">
        <f>$G$31*$G$8+$H$31*$H$8+$I$31*$I$8+$J$31*$J$8+$K$31*$K$8+$L$31*$L$8+$M$31*$M$8+$N$31*$N$8+$O$31*$O$8+$P$31*$P$8</f>
        <v>0</v>
      </c>
      <c r="T31" s="12">
        <f>SUM($Q$31:$R$31)</f>
        <v>0</v>
      </c>
      <c r="U31" s="12">
        <f>$S$31+$T$31</f>
        <v>0</v>
      </c>
    </row>
    <row r="32" spans="1:21" x14ac:dyDescent="0.3">
      <c r="A32" s="13" t="s">
        <v>112</v>
      </c>
      <c r="B32" s="14" t="s">
        <v>113</v>
      </c>
      <c r="C32" s="14"/>
      <c r="D32" s="14" t="s">
        <v>114</v>
      </c>
      <c r="E32" s="14">
        <f xml:space="preserve"> IF($U$32,1,0)</f>
        <v>0</v>
      </c>
      <c r="F32" s="14" t="s">
        <v>115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5">
        <v>0</v>
      </c>
      <c r="R32" s="15">
        <v>0</v>
      </c>
      <c r="S32" s="15">
        <f>$G$32*$G$8+$H$32*$H$8+$I$32*$I$8+$J$32*$J$8+$K$32*$K$8+$L$32*$L$8+$M$32*$M$8+$N$32*$N$8+$O$32*$O$8+$P$32*$P$8</f>
        <v>0</v>
      </c>
      <c r="T32" s="15">
        <f>SUM($Q$32:$R$32)</f>
        <v>0</v>
      </c>
      <c r="U32" s="15">
        <f>$S$32+$T$32</f>
        <v>0</v>
      </c>
    </row>
    <row r="33" spans="1:21" x14ac:dyDescent="0.3">
      <c r="A33" s="10" t="s">
        <v>116</v>
      </c>
      <c r="B33" s="11" t="s">
        <v>117</v>
      </c>
      <c r="C33" s="11" t="s">
        <v>34</v>
      </c>
      <c r="D33" s="11" t="s">
        <v>118</v>
      </c>
      <c r="E33" s="11">
        <f xml:space="preserve"> IF($U$33,1,0)</f>
        <v>1</v>
      </c>
      <c r="F33" s="11" t="s">
        <v>119</v>
      </c>
      <c r="G33" s="11">
        <v>2</v>
      </c>
      <c r="H33" s="11">
        <v>0</v>
      </c>
      <c r="I33" s="11">
        <v>0</v>
      </c>
      <c r="J33" s="11">
        <v>0</v>
      </c>
      <c r="K33" s="11">
        <v>0</v>
      </c>
      <c r="L33" s="11">
        <v>0</v>
      </c>
      <c r="M33" s="11">
        <v>0</v>
      </c>
      <c r="N33" s="11">
        <v>0</v>
      </c>
      <c r="O33" s="11">
        <v>0</v>
      </c>
      <c r="P33" s="11">
        <v>0</v>
      </c>
      <c r="Q33" s="12">
        <v>0</v>
      </c>
      <c r="R33" s="12">
        <v>0</v>
      </c>
      <c r="S33" s="12">
        <f>$G$33*$G$8+$H$33*$H$8+$I$33*$I$8+$J$33*$J$8+$K$33*$K$8+$L$33*$L$8+$M$33*$M$8+$N$33*$N$8+$O$33*$O$8+$P$33*$P$8</f>
        <v>1.4</v>
      </c>
      <c r="T33" s="12">
        <f>SUM($Q$33:$R$33)</f>
        <v>0</v>
      </c>
      <c r="U33" s="12">
        <f>$S$33+$T$33</f>
        <v>1.4</v>
      </c>
    </row>
    <row r="34" spans="1:21" x14ac:dyDescent="0.3">
      <c r="A34" s="13" t="s">
        <v>120</v>
      </c>
      <c r="B34" s="14" t="s">
        <v>121</v>
      </c>
      <c r="C34" s="14"/>
      <c r="D34" s="14" t="s">
        <v>122</v>
      </c>
      <c r="E34" s="14">
        <f xml:space="preserve"> IF($U$34,1,0)</f>
        <v>0</v>
      </c>
      <c r="F34" s="14" t="s">
        <v>123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5">
        <v>0</v>
      </c>
      <c r="R34" s="15">
        <v>0</v>
      </c>
      <c r="S34" s="15">
        <f>$G$34*$G$8+$H$34*$H$8+$I$34*$I$8+$J$34*$J$8+$K$34*$K$8+$L$34*$L$8+$M$34*$M$8+$N$34*$N$8+$O$34*$O$8+$P$34*$P$8</f>
        <v>0</v>
      </c>
      <c r="T34" s="15">
        <f>SUM($Q$34:$R$34)</f>
        <v>0</v>
      </c>
      <c r="U34" s="15">
        <f>$S$34+$T$34</f>
        <v>0</v>
      </c>
    </row>
    <row r="35" spans="1:21" x14ac:dyDescent="0.3">
      <c r="A35" s="10" t="s">
        <v>124</v>
      </c>
      <c r="B35" s="11" t="s">
        <v>125</v>
      </c>
      <c r="C35" s="11"/>
      <c r="D35" s="11" t="s">
        <v>126</v>
      </c>
      <c r="E35" s="11">
        <f xml:space="preserve"> IF($U$35,1,0)</f>
        <v>0</v>
      </c>
      <c r="F35" s="11" t="s">
        <v>127</v>
      </c>
      <c r="G35" s="11">
        <v>0</v>
      </c>
      <c r="H35" s="11">
        <v>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0</v>
      </c>
      <c r="Q35" s="12">
        <v>0</v>
      </c>
      <c r="R35" s="12">
        <v>0</v>
      </c>
      <c r="S35" s="12">
        <f>$G$35*$G$8+$H$35*$H$8+$I$35*$I$8+$J$35*$J$8+$K$35*$K$8+$L$35*$L$8+$M$35*$M$8+$N$35*$N$8+$O$35*$O$8+$P$35*$P$8</f>
        <v>0</v>
      </c>
      <c r="T35" s="12">
        <f>SUM($Q$35:$R$35)</f>
        <v>0</v>
      </c>
      <c r="U35" s="12">
        <f>$S$35+$T$35</f>
        <v>0</v>
      </c>
    </row>
    <row r="36" spans="1:21" x14ac:dyDescent="0.3">
      <c r="A36" s="13" t="s">
        <v>128</v>
      </c>
      <c r="B36" s="14" t="s">
        <v>129</v>
      </c>
      <c r="C36" s="14" t="s">
        <v>34</v>
      </c>
      <c r="D36" s="14" t="s">
        <v>130</v>
      </c>
      <c r="E36" s="14">
        <f xml:space="preserve"> IF($U$36,1,0)</f>
        <v>0</v>
      </c>
      <c r="F36" s="14" t="s">
        <v>131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5">
        <v>0</v>
      </c>
      <c r="R36" s="15">
        <v>0</v>
      </c>
      <c r="S36" s="15">
        <f>$G$36*$G$8+$H$36*$H$8+$I$36*$I$8+$J$36*$J$8+$K$36*$K$8+$L$36*$L$8+$M$36*$M$8+$N$36*$N$8+$O$36*$O$8+$P$36*$P$8</f>
        <v>0</v>
      </c>
      <c r="T36" s="15">
        <f>SUM($Q$36:$R$36)</f>
        <v>0</v>
      </c>
      <c r="U36" s="15">
        <f>$S$36+$T$36</f>
        <v>0</v>
      </c>
    </row>
    <row r="37" spans="1:21" x14ac:dyDescent="0.3">
      <c r="A37" s="10" t="s">
        <v>132</v>
      </c>
      <c r="B37" s="11" t="s">
        <v>133</v>
      </c>
      <c r="C37" s="11"/>
      <c r="D37" s="11" t="s">
        <v>134</v>
      </c>
      <c r="E37" s="11">
        <f xml:space="preserve"> IF($U$37,1,0)</f>
        <v>0</v>
      </c>
      <c r="F37" s="11" t="s">
        <v>135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2">
        <v>0</v>
      </c>
      <c r="R37" s="12">
        <v>0</v>
      </c>
      <c r="S37" s="12">
        <f>$G$37*$G$8+$H$37*$H$8+$I$37*$I$8+$J$37*$J$8+$K$37*$K$8+$L$37*$L$8+$M$37*$M$8+$N$37*$N$8+$O$37*$O$8+$P$37*$P$8</f>
        <v>0</v>
      </c>
      <c r="T37" s="12">
        <f>SUM($Q$37:$R$37)</f>
        <v>0</v>
      </c>
      <c r="U37" s="12">
        <f>$S$37+$T$37</f>
        <v>0</v>
      </c>
    </row>
    <row r="38" spans="1:21" x14ac:dyDescent="0.3">
      <c r="A38" s="13" t="s">
        <v>136</v>
      </c>
      <c r="B38" s="14" t="s">
        <v>137</v>
      </c>
      <c r="C38" s="14"/>
      <c r="D38" s="14" t="s">
        <v>138</v>
      </c>
      <c r="E38" s="14">
        <f xml:space="preserve"> IF($U$38,1,0)</f>
        <v>0</v>
      </c>
      <c r="F38" s="14" t="s">
        <v>139</v>
      </c>
      <c r="G38" s="14">
        <v>0</v>
      </c>
      <c r="H38" s="14">
        <v>0</v>
      </c>
      <c r="I38" s="14">
        <v>0</v>
      </c>
      <c r="J38" s="14">
        <v>0</v>
      </c>
      <c r="K38" s="14">
        <v>0</v>
      </c>
      <c r="L38" s="14">
        <v>0</v>
      </c>
      <c r="M38" s="14">
        <v>0</v>
      </c>
      <c r="N38" s="14">
        <v>0</v>
      </c>
      <c r="O38" s="14">
        <v>0</v>
      </c>
      <c r="P38" s="14">
        <v>0</v>
      </c>
      <c r="Q38" s="15">
        <v>0</v>
      </c>
      <c r="R38" s="15">
        <v>0</v>
      </c>
      <c r="S38" s="15">
        <f>$G$38*$G$8+$H$38*$H$8+$I$38*$I$8+$J$38*$J$8+$K$38*$K$8+$L$38*$L$8+$M$38*$M$8+$N$38*$N$8+$O$38*$O$8+$P$38*$P$8</f>
        <v>0</v>
      </c>
      <c r="T38" s="15">
        <f>SUM($Q$38:$R$38)</f>
        <v>0</v>
      </c>
      <c r="U38" s="15">
        <f>$S$38+$T$38</f>
        <v>0</v>
      </c>
    </row>
    <row r="39" spans="1:21" x14ac:dyDescent="0.3">
      <c r="A39" s="10" t="s">
        <v>140</v>
      </c>
      <c r="B39" s="11" t="s">
        <v>141</v>
      </c>
      <c r="C39" s="11"/>
      <c r="D39" s="11" t="s">
        <v>142</v>
      </c>
      <c r="E39" s="11">
        <f xml:space="preserve"> IF($U$39,1,0)</f>
        <v>0</v>
      </c>
      <c r="F39" s="11" t="s">
        <v>143</v>
      </c>
      <c r="G39" s="11">
        <v>0</v>
      </c>
      <c r="H39" s="11">
        <v>0</v>
      </c>
      <c r="I39" s="11">
        <v>0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2">
        <v>0</v>
      </c>
      <c r="R39" s="12">
        <v>0</v>
      </c>
      <c r="S39" s="12">
        <f>$G$39*$G$8+$H$39*$H$8+$I$39*$I$8+$J$39*$J$8+$K$39*$K$8+$L$39*$L$8+$M$39*$M$8+$N$39*$N$8+$O$39*$O$8+$P$39*$P$8</f>
        <v>0</v>
      </c>
      <c r="T39" s="12">
        <f>SUM($Q$39:$R$39)</f>
        <v>0</v>
      </c>
      <c r="U39" s="12">
        <f>$S$39+$T$39</f>
        <v>0</v>
      </c>
    </row>
    <row r="40" spans="1:21" x14ac:dyDescent="0.3">
      <c r="A40" s="13" t="s">
        <v>144</v>
      </c>
      <c r="B40" s="14" t="s">
        <v>145</v>
      </c>
      <c r="C40" s="14"/>
      <c r="D40" s="14" t="s">
        <v>146</v>
      </c>
      <c r="E40" s="14">
        <f xml:space="preserve"> IF($U$40,1,0)</f>
        <v>0</v>
      </c>
      <c r="F40" s="14" t="s">
        <v>147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5">
        <v>0</v>
      </c>
      <c r="R40" s="15">
        <v>0</v>
      </c>
      <c r="S40" s="15">
        <f>$G$40*$G$8+$H$40*$H$8+$I$40*$I$8+$J$40*$J$8+$K$40*$K$8+$L$40*$L$8+$M$40*$M$8+$N$40*$N$8+$O$40*$O$8+$P$40*$P$8</f>
        <v>0</v>
      </c>
      <c r="T40" s="15">
        <f>SUM($Q$40:$R$40)</f>
        <v>0</v>
      </c>
      <c r="U40" s="15">
        <f>$S$40+$T$40</f>
        <v>0</v>
      </c>
    </row>
    <row r="41" spans="1:21" x14ac:dyDescent="0.3">
      <c r="A41" s="10" t="s">
        <v>148</v>
      </c>
      <c r="B41" s="11" t="s">
        <v>149</v>
      </c>
      <c r="C41" s="11"/>
      <c r="D41" s="11" t="s">
        <v>150</v>
      </c>
      <c r="E41" s="11">
        <f xml:space="preserve"> IF($U$41,1,0)</f>
        <v>0</v>
      </c>
      <c r="F41" s="11" t="s">
        <v>151</v>
      </c>
      <c r="G41" s="11">
        <v>0</v>
      </c>
      <c r="H41" s="11">
        <v>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2">
        <v>0</v>
      </c>
      <c r="R41" s="12">
        <v>0</v>
      </c>
      <c r="S41" s="12">
        <f>$G$41*$G$8+$H$41*$H$8+$I$41*$I$8+$J$41*$J$8+$K$41*$K$8+$L$41*$L$8+$M$41*$M$8+$N$41*$N$8+$O$41*$O$8+$P$41*$P$8</f>
        <v>0</v>
      </c>
      <c r="T41" s="12">
        <f>SUM($Q$41:$R$41)</f>
        <v>0</v>
      </c>
      <c r="U41" s="12">
        <f>$S$41+$T$41</f>
        <v>0</v>
      </c>
    </row>
    <row r="42" spans="1:21" x14ac:dyDescent="0.3">
      <c r="A42" s="13" t="s">
        <v>152</v>
      </c>
      <c r="B42" s="14" t="s">
        <v>153</v>
      </c>
      <c r="C42" s="14"/>
      <c r="D42" s="14" t="s">
        <v>154</v>
      </c>
      <c r="E42" s="14">
        <f xml:space="preserve"> IF($U$42,1,0)</f>
        <v>1</v>
      </c>
      <c r="F42" s="14" t="s">
        <v>155</v>
      </c>
      <c r="G42" s="14">
        <v>2</v>
      </c>
      <c r="H42" s="14">
        <v>2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2</v>
      </c>
      <c r="Q42" s="15">
        <v>0</v>
      </c>
      <c r="R42" s="15">
        <v>0</v>
      </c>
      <c r="S42" s="15">
        <f>$G$42*$G$8+$H$42*$H$8+$I$42*$I$8+$J$42*$J$8+$K$42*$K$8+$L$42*$L$8+$M$42*$M$8+$N$42*$N$8+$O$42*$O$8+$P$42*$P$8</f>
        <v>7</v>
      </c>
      <c r="T42" s="15">
        <f>SUM($Q$42:$R$42)</f>
        <v>0</v>
      </c>
      <c r="U42" s="15">
        <f>$S$42+$T$42</f>
        <v>7</v>
      </c>
    </row>
    <row r="43" spans="1:21" x14ac:dyDescent="0.3">
      <c r="A43" s="10" t="s">
        <v>156</v>
      </c>
      <c r="B43" s="11" t="s">
        <v>157</v>
      </c>
      <c r="C43" s="11" t="s">
        <v>65</v>
      </c>
      <c r="D43" s="11" t="s">
        <v>158</v>
      </c>
      <c r="E43" s="11">
        <f xml:space="preserve"> IF($U$43,1,0)</f>
        <v>0</v>
      </c>
      <c r="F43" s="11" t="s">
        <v>159</v>
      </c>
      <c r="G43" s="11">
        <v>0</v>
      </c>
      <c r="H43" s="11">
        <v>0</v>
      </c>
      <c r="I43" s="11">
        <v>0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2">
        <v>0</v>
      </c>
      <c r="R43" s="12">
        <v>0</v>
      </c>
      <c r="S43" s="12">
        <f>$G$43*$G$8+$H$43*$H$8+$I$43*$I$8+$J$43*$J$8+$K$43*$K$8+$L$43*$L$8+$M$43*$M$8+$N$43*$N$8+$O$43*$O$8+$P$43*$P$8</f>
        <v>0</v>
      </c>
      <c r="T43" s="12">
        <f>SUM($Q$43:$R$43)</f>
        <v>0</v>
      </c>
      <c r="U43" s="12">
        <f>$S$43+$T$43</f>
        <v>0</v>
      </c>
    </row>
    <row r="44" spans="1:21" x14ac:dyDescent="0.3">
      <c r="A44" s="13" t="s">
        <v>160</v>
      </c>
      <c r="B44" s="14" t="s">
        <v>161</v>
      </c>
      <c r="C44" s="14"/>
      <c r="D44" s="14" t="s">
        <v>162</v>
      </c>
      <c r="E44" s="14">
        <f xml:space="preserve"> IF($U$44,1,0)</f>
        <v>0</v>
      </c>
      <c r="F44" s="14" t="s">
        <v>163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14">
        <v>0</v>
      </c>
      <c r="P44" s="14">
        <v>0</v>
      </c>
      <c r="Q44" s="15">
        <v>0</v>
      </c>
      <c r="R44" s="15">
        <v>0</v>
      </c>
      <c r="S44" s="15">
        <f>$G$44*$G$8+$H$44*$H$8+$I$44*$I$8+$J$44*$J$8+$K$44*$K$8+$L$44*$L$8+$M$44*$M$8+$N$44*$N$8+$O$44*$O$8+$P$44*$P$8</f>
        <v>0</v>
      </c>
      <c r="T44" s="15">
        <f>SUM($Q$44:$R$44)</f>
        <v>0</v>
      </c>
      <c r="U44" s="15">
        <f>$S$44+$T$44</f>
        <v>0</v>
      </c>
    </row>
    <row r="45" spans="1:21" x14ac:dyDescent="0.3">
      <c r="A45" s="10" t="s">
        <v>164</v>
      </c>
      <c r="B45" s="11" t="s">
        <v>165</v>
      </c>
      <c r="C45" s="11"/>
      <c r="D45" s="11" t="s">
        <v>166</v>
      </c>
      <c r="E45" s="11">
        <f xml:space="preserve"> IF($U$45,1,0)</f>
        <v>0</v>
      </c>
      <c r="F45" s="11" t="s">
        <v>167</v>
      </c>
      <c r="G45" s="11">
        <v>0</v>
      </c>
      <c r="H45" s="11">
        <v>0</v>
      </c>
      <c r="I45" s="11">
        <v>0</v>
      </c>
      <c r="J45" s="11">
        <v>0</v>
      </c>
      <c r="K45" s="11">
        <v>0</v>
      </c>
      <c r="L45" s="11">
        <v>0</v>
      </c>
      <c r="M45" s="11">
        <v>0</v>
      </c>
      <c r="N45" s="11">
        <v>0</v>
      </c>
      <c r="O45" s="11">
        <v>0</v>
      </c>
      <c r="P45" s="11">
        <v>0</v>
      </c>
      <c r="Q45" s="12">
        <v>0</v>
      </c>
      <c r="R45" s="12">
        <v>0</v>
      </c>
      <c r="S45" s="12">
        <f>$G$45*$G$8+$H$45*$H$8+$I$45*$I$8+$J$45*$J$8+$K$45*$K$8+$L$45*$L$8+$M$45*$M$8+$N$45*$N$8+$O$45*$O$8+$P$45*$P$8</f>
        <v>0</v>
      </c>
      <c r="T45" s="12">
        <f>SUM($Q$45:$R$45)</f>
        <v>0</v>
      </c>
      <c r="U45" s="12">
        <f>$S$45+$T$45</f>
        <v>0</v>
      </c>
    </row>
    <row r="46" spans="1:21" x14ac:dyDescent="0.3">
      <c r="A46" s="13" t="s">
        <v>168</v>
      </c>
      <c r="B46" s="14" t="s">
        <v>169</v>
      </c>
      <c r="C46" s="14" t="s">
        <v>65</v>
      </c>
      <c r="D46" s="14" t="s">
        <v>170</v>
      </c>
      <c r="E46" s="14">
        <f xml:space="preserve"> IF($U$46,1,0)</f>
        <v>0</v>
      </c>
      <c r="F46" s="14" t="s">
        <v>171</v>
      </c>
      <c r="G46" s="14">
        <v>0</v>
      </c>
      <c r="H46" s="14">
        <v>0</v>
      </c>
      <c r="I46" s="14">
        <v>0</v>
      </c>
      <c r="J46" s="14">
        <v>0</v>
      </c>
      <c r="K46" s="14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5">
        <v>0</v>
      </c>
      <c r="R46" s="15">
        <v>0</v>
      </c>
      <c r="S46" s="15">
        <f>$G$46*$G$8+$H$46*$H$8+$I$46*$I$8+$J$46*$J$8+$K$46*$K$8+$L$46*$L$8+$M$46*$M$8+$N$46*$N$8+$O$46*$O$8+$P$46*$P$8</f>
        <v>0</v>
      </c>
      <c r="T46" s="15">
        <f>SUM($Q$46:$R$46)</f>
        <v>0</v>
      </c>
      <c r="U46" s="15">
        <f>$S$46+$T$46</f>
        <v>0</v>
      </c>
    </row>
    <row r="47" spans="1:21" x14ac:dyDescent="0.3">
      <c r="A47" s="10" t="s">
        <v>172</v>
      </c>
      <c r="B47" s="11" t="s">
        <v>173</v>
      </c>
      <c r="C47" s="11"/>
      <c r="D47" s="11" t="s">
        <v>174</v>
      </c>
      <c r="E47" s="11">
        <f xml:space="preserve"> IF($U$47,1,0)</f>
        <v>0</v>
      </c>
      <c r="F47" s="11" t="s">
        <v>175</v>
      </c>
      <c r="G47" s="11">
        <v>0</v>
      </c>
      <c r="H47" s="11">
        <v>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2">
        <v>0</v>
      </c>
      <c r="R47" s="12">
        <v>0</v>
      </c>
      <c r="S47" s="12">
        <f>$G$47*$G$8+$H$47*$H$8+$I$47*$I$8+$J$47*$J$8+$K$47*$K$8+$L$47*$L$8+$M$47*$M$8+$N$47*$N$8+$O$47*$O$8+$P$47*$P$8</f>
        <v>0</v>
      </c>
      <c r="T47" s="12">
        <f>SUM($Q$47:$R$47)</f>
        <v>0</v>
      </c>
      <c r="U47" s="12">
        <f>$S$47+$T$47</f>
        <v>0</v>
      </c>
    </row>
    <row r="48" spans="1:21" x14ac:dyDescent="0.3">
      <c r="A48" s="13" t="s">
        <v>176</v>
      </c>
      <c r="B48" s="14" t="s">
        <v>177</v>
      </c>
      <c r="C48" s="14"/>
      <c r="D48" s="14" t="s">
        <v>178</v>
      </c>
      <c r="E48" s="14">
        <f xml:space="preserve"> IF($U$48,1,0)</f>
        <v>0</v>
      </c>
      <c r="F48" s="14" t="s">
        <v>179</v>
      </c>
      <c r="G48" s="14">
        <v>0</v>
      </c>
      <c r="H48" s="14">
        <v>0</v>
      </c>
      <c r="I48" s="14">
        <v>0</v>
      </c>
      <c r="J48" s="14">
        <v>0</v>
      </c>
      <c r="K48" s="14">
        <v>0</v>
      </c>
      <c r="L48" s="14">
        <v>0</v>
      </c>
      <c r="M48" s="14">
        <v>0</v>
      </c>
      <c r="N48" s="14">
        <v>0</v>
      </c>
      <c r="O48" s="14">
        <v>0</v>
      </c>
      <c r="P48" s="14">
        <v>0</v>
      </c>
      <c r="Q48" s="15">
        <v>0</v>
      </c>
      <c r="R48" s="15">
        <v>0</v>
      </c>
      <c r="S48" s="15">
        <f>$G$48*$G$8+$H$48*$H$8+$I$48*$I$8+$J$48*$J$8+$K$48*$K$8+$L$48*$L$8+$M$48*$M$8+$N$48*$N$8+$O$48*$O$8+$P$48*$P$8</f>
        <v>0</v>
      </c>
      <c r="T48" s="15">
        <f>SUM($Q$48:$R$48)</f>
        <v>0</v>
      </c>
      <c r="U48" s="15">
        <f>$S$48+$T$48</f>
        <v>0</v>
      </c>
    </row>
    <row r="49" spans="1:21" x14ac:dyDescent="0.3">
      <c r="A49" s="10" t="s">
        <v>180</v>
      </c>
      <c r="B49" s="11" t="s">
        <v>177</v>
      </c>
      <c r="C49" s="11"/>
      <c r="D49" s="11" t="s">
        <v>181</v>
      </c>
      <c r="E49" s="11">
        <f xml:space="preserve"> IF($U$49,1,0)</f>
        <v>1</v>
      </c>
      <c r="F49" s="11" t="s">
        <v>182</v>
      </c>
      <c r="G49" s="11">
        <v>12</v>
      </c>
      <c r="H49" s="11">
        <v>0</v>
      </c>
      <c r="I49" s="11">
        <v>0</v>
      </c>
      <c r="J49" s="11">
        <v>0</v>
      </c>
      <c r="K49" s="11">
        <v>2</v>
      </c>
      <c r="L49" s="11">
        <v>2</v>
      </c>
      <c r="M49" s="11">
        <v>2</v>
      </c>
      <c r="N49" s="11">
        <v>0</v>
      </c>
      <c r="O49" s="11">
        <v>0</v>
      </c>
      <c r="P49" s="11">
        <v>0</v>
      </c>
      <c r="Q49" s="12">
        <v>0</v>
      </c>
      <c r="R49" s="12">
        <f>$T$339</f>
        <v>1.85</v>
      </c>
      <c r="S49" s="12">
        <f>$G$49*$G$8+$H$49*$H$8+$I$49*$I$8+$J$49*$J$8+$K$49*$K$8+$L$49*$L$8+$M$49*$M$8+$N$49*$N$8+$O$49*$O$8+$P$49*$P$8</f>
        <v>26.4</v>
      </c>
      <c r="T49" s="12">
        <f>SUM($Q$49:$R$49)</f>
        <v>1.85</v>
      </c>
      <c r="U49" s="12">
        <f>$S$49+$T$49</f>
        <v>28.25</v>
      </c>
    </row>
    <row r="50" spans="1:21" x14ac:dyDescent="0.3">
      <c r="A50" s="13" t="s">
        <v>183</v>
      </c>
      <c r="B50" s="14" t="s">
        <v>177</v>
      </c>
      <c r="C50" s="14"/>
      <c r="D50" s="14" t="s">
        <v>184</v>
      </c>
      <c r="E50" s="14">
        <f xml:space="preserve"> IF($U$50,1,0)</f>
        <v>0</v>
      </c>
      <c r="F50" s="14" t="s">
        <v>185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  <c r="M50" s="14">
        <v>0</v>
      </c>
      <c r="N50" s="14">
        <v>0</v>
      </c>
      <c r="O50" s="14">
        <v>0</v>
      </c>
      <c r="P50" s="14">
        <v>0</v>
      </c>
      <c r="Q50" s="15">
        <v>0</v>
      </c>
      <c r="R50" s="15">
        <v>0</v>
      </c>
      <c r="S50" s="15">
        <f>$G$50*$G$8+$H$50*$H$8+$I$50*$I$8+$J$50*$J$8+$K$50*$K$8+$L$50*$L$8+$M$50*$M$8+$N$50*$N$8+$O$50*$O$8+$P$50*$P$8</f>
        <v>0</v>
      </c>
      <c r="T50" s="15">
        <f>SUM($Q$50:$R$50)</f>
        <v>0</v>
      </c>
      <c r="U50" s="15">
        <f>$S$50+$T$50</f>
        <v>0</v>
      </c>
    </row>
    <row r="51" spans="1:21" x14ac:dyDescent="0.3">
      <c r="A51" s="10" t="s">
        <v>186</v>
      </c>
      <c r="B51" s="11" t="s">
        <v>177</v>
      </c>
      <c r="C51" s="11"/>
      <c r="D51" s="11" t="s">
        <v>187</v>
      </c>
      <c r="E51" s="11">
        <f xml:space="preserve"> IF($U$51,1,0)</f>
        <v>1</v>
      </c>
      <c r="F51" s="11" t="s">
        <v>188</v>
      </c>
      <c r="G51" s="11">
        <v>2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2">
        <v>0</v>
      </c>
      <c r="R51" s="12">
        <v>0</v>
      </c>
      <c r="S51" s="12">
        <f>$G$51*$G$8+$H$51*$H$8+$I$51*$I$8+$J$51*$J$8+$K$51*$K$8+$L$51*$L$8+$M$51*$M$8+$N$51*$N$8+$O$51*$O$8+$P$51*$P$8</f>
        <v>1.4</v>
      </c>
      <c r="T51" s="12">
        <f>SUM($Q$51:$R$51)</f>
        <v>0</v>
      </c>
      <c r="U51" s="12">
        <f>$S$51+$T$51</f>
        <v>1.4</v>
      </c>
    </row>
    <row r="52" spans="1:21" x14ac:dyDescent="0.3">
      <c r="A52" s="13" t="s">
        <v>189</v>
      </c>
      <c r="B52" s="14" t="s">
        <v>177</v>
      </c>
      <c r="C52" s="14"/>
      <c r="D52" s="14" t="s">
        <v>190</v>
      </c>
      <c r="E52" s="14">
        <f xml:space="preserve"> IF($U$52,1,0)</f>
        <v>0</v>
      </c>
      <c r="F52" s="14" t="s">
        <v>191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5">
        <v>0</v>
      </c>
      <c r="R52" s="15">
        <v>0</v>
      </c>
      <c r="S52" s="15">
        <f>$G$52*$G$8+$H$52*$H$8+$I$52*$I$8+$J$52*$J$8+$K$52*$K$8+$L$52*$L$8+$M$52*$M$8+$N$52*$N$8+$O$52*$O$8+$P$52*$P$8</f>
        <v>0</v>
      </c>
      <c r="T52" s="15">
        <f>SUM($Q$52:$R$52)</f>
        <v>0</v>
      </c>
      <c r="U52" s="15">
        <f>$S$52+$T$52</f>
        <v>0</v>
      </c>
    </row>
    <row r="53" spans="1:21" x14ac:dyDescent="0.3">
      <c r="A53" s="10" t="s">
        <v>192</v>
      </c>
      <c r="B53" s="11" t="s">
        <v>177</v>
      </c>
      <c r="C53" s="11"/>
      <c r="D53" s="11" t="s">
        <v>193</v>
      </c>
      <c r="E53" s="11">
        <f xml:space="preserve"> IF($U$53,1,0)</f>
        <v>0</v>
      </c>
      <c r="F53" s="11" t="s">
        <v>194</v>
      </c>
      <c r="G53" s="11">
        <v>0</v>
      </c>
      <c r="H53" s="11">
        <v>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2">
        <v>0</v>
      </c>
      <c r="R53" s="12">
        <v>0</v>
      </c>
      <c r="S53" s="12">
        <f>$G$53*$G$8+$H$53*$H$8+$I$53*$I$8+$J$53*$J$8+$K$53*$K$8+$L$53*$L$8+$M$53*$M$8+$N$53*$N$8+$O$53*$O$8+$P$53*$P$8</f>
        <v>0</v>
      </c>
      <c r="T53" s="12">
        <f>SUM($Q$53:$R$53)</f>
        <v>0</v>
      </c>
      <c r="U53" s="12">
        <f>$S$53+$T$53</f>
        <v>0</v>
      </c>
    </row>
    <row r="54" spans="1:21" x14ac:dyDescent="0.3">
      <c r="A54" s="13" t="s">
        <v>195</v>
      </c>
      <c r="B54" s="14" t="s">
        <v>177</v>
      </c>
      <c r="C54" s="14"/>
      <c r="D54" s="14" t="s">
        <v>196</v>
      </c>
      <c r="E54" s="14">
        <f xml:space="preserve"> IF($U$54,1,0)</f>
        <v>0</v>
      </c>
      <c r="F54" s="14" t="s">
        <v>197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5">
        <v>0</v>
      </c>
      <c r="R54" s="15">
        <v>0</v>
      </c>
      <c r="S54" s="15">
        <f>$G$54*$G$8+$H$54*$H$8+$I$54*$I$8+$J$54*$J$8+$K$54*$K$8+$L$54*$L$8+$M$54*$M$8+$N$54*$N$8+$O$54*$O$8+$P$54*$P$8</f>
        <v>0</v>
      </c>
      <c r="T54" s="15">
        <f>SUM($Q$54:$R$54)</f>
        <v>0</v>
      </c>
      <c r="U54" s="15">
        <f>$S$54+$T$54</f>
        <v>0</v>
      </c>
    </row>
    <row r="55" spans="1:21" x14ac:dyDescent="0.3">
      <c r="A55" s="10" t="s">
        <v>198</v>
      </c>
      <c r="B55" s="11" t="s">
        <v>177</v>
      </c>
      <c r="C55" s="11" t="s">
        <v>65</v>
      </c>
      <c r="D55" s="11" t="s">
        <v>199</v>
      </c>
      <c r="E55" s="11">
        <f xml:space="preserve"> IF($U$55,1,0)</f>
        <v>0</v>
      </c>
      <c r="F55" s="11" t="s">
        <v>200</v>
      </c>
      <c r="G55" s="11">
        <v>0</v>
      </c>
      <c r="H55" s="11">
        <v>0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2">
        <v>0</v>
      </c>
      <c r="R55" s="12">
        <v>0</v>
      </c>
      <c r="S55" s="12">
        <f>$G$55*$G$8+$H$55*$H$8+$I$55*$I$8+$J$55*$J$8+$K$55*$K$8+$L$55*$L$8+$M$55*$M$8+$N$55*$N$8+$O$55*$O$8+$P$55*$P$8</f>
        <v>0</v>
      </c>
      <c r="T55" s="12">
        <f>SUM($Q$55:$R$55)</f>
        <v>0</v>
      </c>
      <c r="U55" s="12">
        <f>$S$55+$T$55</f>
        <v>0</v>
      </c>
    </row>
    <row r="56" spans="1:21" x14ac:dyDescent="0.3">
      <c r="A56" s="13" t="s">
        <v>201</v>
      </c>
      <c r="B56" s="14" t="s">
        <v>177</v>
      </c>
      <c r="C56" s="14" t="s">
        <v>202</v>
      </c>
      <c r="D56" s="14" t="s">
        <v>203</v>
      </c>
      <c r="E56" s="14">
        <f xml:space="preserve"> IF($U$56,1,0)</f>
        <v>1</v>
      </c>
      <c r="F56" s="14" t="s">
        <v>204</v>
      </c>
      <c r="G56" s="14">
        <v>0</v>
      </c>
      <c r="H56" s="14">
        <v>4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5">
        <v>0</v>
      </c>
      <c r="R56" s="15">
        <v>0</v>
      </c>
      <c r="S56" s="15">
        <f>$G$56*$G$8+$H$56*$H$8+$I$56*$I$8+$J$56*$J$8+$K$56*$K$8+$L$56*$L$8+$M$56*$M$8+$N$56*$N$8+$O$56*$O$8+$P$56*$P$8</f>
        <v>7.2</v>
      </c>
      <c r="T56" s="15">
        <f>SUM($Q$56:$R$56)</f>
        <v>0</v>
      </c>
      <c r="U56" s="15">
        <f>$S$56+$T$56</f>
        <v>7.2</v>
      </c>
    </row>
    <row r="57" spans="1:21" x14ac:dyDescent="0.3">
      <c r="A57" s="10" t="s">
        <v>205</v>
      </c>
      <c r="B57" s="11" t="s">
        <v>206</v>
      </c>
      <c r="C57" s="11"/>
      <c r="D57" s="11" t="s">
        <v>207</v>
      </c>
      <c r="E57" s="11">
        <f xml:space="preserve"> IF($U$57,1,0)</f>
        <v>0</v>
      </c>
      <c r="F57" s="11" t="s">
        <v>208</v>
      </c>
      <c r="G57" s="11">
        <v>0</v>
      </c>
      <c r="H57" s="11">
        <v>0</v>
      </c>
      <c r="I57" s="11">
        <v>0</v>
      </c>
      <c r="J57" s="11">
        <v>0</v>
      </c>
      <c r="K57" s="11">
        <v>0</v>
      </c>
      <c r="L57" s="11">
        <v>0</v>
      </c>
      <c r="M57" s="11">
        <v>0</v>
      </c>
      <c r="N57" s="11">
        <v>0</v>
      </c>
      <c r="O57" s="11">
        <v>0</v>
      </c>
      <c r="P57" s="11">
        <v>0</v>
      </c>
      <c r="Q57" s="12">
        <v>0</v>
      </c>
      <c r="R57" s="12">
        <v>0</v>
      </c>
      <c r="S57" s="12">
        <f>$G$57*$G$8+$H$57*$H$8+$I$57*$I$8+$J$57*$J$8+$K$57*$K$8+$L$57*$L$8+$M$57*$M$8+$N$57*$N$8+$O$57*$O$8+$P$57*$P$8</f>
        <v>0</v>
      </c>
      <c r="T57" s="12">
        <f>SUM($Q$57:$R$57)</f>
        <v>0</v>
      </c>
      <c r="U57" s="12">
        <f>$S$57+$T$57</f>
        <v>0</v>
      </c>
    </row>
    <row r="58" spans="1:21" x14ac:dyDescent="0.3">
      <c r="A58" s="13" t="s">
        <v>209</v>
      </c>
      <c r="B58" s="14" t="s">
        <v>210</v>
      </c>
      <c r="C58" s="14"/>
      <c r="D58" s="14" t="s">
        <v>211</v>
      </c>
      <c r="E58" s="14">
        <f xml:space="preserve"> IF($U$58,1,0)</f>
        <v>1</v>
      </c>
      <c r="F58" s="14" t="s">
        <v>212</v>
      </c>
      <c r="G58" s="14">
        <v>4</v>
      </c>
      <c r="H58" s="14">
        <v>3</v>
      </c>
      <c r="I58" s="14">
        <v>0</v>
      </c>
      <c r="J58" s="14">
        <v>0</v>
      </c>
      <c r="K58" s="14">
        <v>2</v>
      </c>
      <c r="L58" s="14">
        <v>1</v>
      </c>
      <c r="M58" s="14">
        <v>0</v>
      </c>
      <c r="N58" s="14">
        <v>0</v>
      </c>
      <c r="O58" s="14">
        <v>0</v>
      </c>
      <c r="P58" s="14">
        <v>1</v>
      </c>
      <c r="Q58" s="15">
        <v>0</v>
      </c>
      <c r="R58" s="15">
        <v>0</v>
      </c>
      <c r="S58" s="15">
        <f>$G$58*$G$8+$H$58*$H$8+$I$58*$I$8+$J$58*$J$8+$K$58*$K$8+$L$58*$L$8+$M$58*$M$8+$N$58*$N$8+$O$58*$O$8+$P$58*$P$8</f>
        <v>16.2</v>
      </c>
      <c r="T58" s="15">
        <f>SUM($Q$58:$R$58)</f>
        <v>0</v>
      </c>
      <c r="U58" s="15">
        <f>$S$58+$T$58</f>
        <v>16.2</v>
      </c>
    </row>
    <row r="59" spans="1:21" x14ac:dyDescent="0.3">
      <c r="A59" s="10" t="s">
        <v>213</v>
      </c>
      <c r="B59" s="11" t="s">
        <v>210</v>
      </c>
      <c r="C59" s="11"/>
      <c r="D59" s="11" t="s">
        <v>214</v>
      </c>
      <c r="E59" s="11">
        <f xml:space="preserve"> IF($U$59,1,0)</f>
        <v>0</v>
      </c>
      <c r="F59" s="11" t="s">
        <v>215</v>
      </c>
      <c r="G59" s="11">
        <v>0</v>
      </c>
      <c r="H59" s="11">
        <v>0</v>
      </c>
      <c r="I59" s="11">
        <v>0</v>
      </c>
      <c r="J59" s="11">
        <v>0</v>
      </c>
      <c r="K59" s="11">
        <v>0</v>
      </c>
      <c r="L59" s="11">
        <v>0</v>
      </c>
      <c r="M59" s="11">
        <v>0</v>
      </c>
      <c r="N59" s="11">
        <v>0</v>
      </c>
      <c r="O59" s="11">
        <v>0</v>
      </c>
      <c r="P59" s="11">
        <v>0</v>
      </c>
      <c r="Q59" s="12">
        <v>0</v>
      </c>
      <c r="R59" s="12">
        <v>0</v>
      </c>
      <c r="S59" s="12">
        <f>$G$59*$G$8+$H$59*$H$8+$I$59*$I$8+$J$59*$J$8+$K$59*$K$8+$L$59*$L$8+$M$59*$M$8+$N$59*$N$8+$O$59*$O$8+$P$59*$P$8</f>
        <v>0</v>
      </c>
      <c r="T59" s="12">
        <f>SUM($Q$59:$R$59)</f>
        <v>0</v>
      </c>
      <c r="U59" s="12">
        <f>$S$59+$T$59</f>
        <v>0</v>
      </c>
    </row>
    <row r="60" spans="1:21" x14ac:dyDescent="0.3">
      <c r="A60" s="13" t="s">
        <v>216</v>
      </c>
      <c r="B60" s="14" t="s">
        <v>217</v>
      </c>
      <c r="C60" s="14"/>
      <c r="D60" s="14" t="s">
        <v>218</v>
      </c>
      <c r="E60" s="14">
        <f xml:space="preserve"> IF($U$60,1,0)</f>
        <v>0</v>
      </c>
      <c r="F60" s="14" t="s">
        <v>219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0</v>
      </c>
      <c r="M60" s="14">
        <v>0</v>
      </c>
      <c r="N60" s="14">
        <v>0</v>
      </c>
      <c r="O60" s="14">
        <v>0</v>
      </c>
      <c r="P60" s="14">
        <v>0</v>
      </c>
      <c r="Q60" s="15">
        <v>0</v>
      </c>
      <c r="R60" s="15">
        <v>0</v>
      </c>
      <c r="S60" s="15">
        <f>$G$60*$G$8+$H$60*$H$8+$I$60*$I$8+$J$60*$J$8+$K$60*$K$8+$L$60*$L$8+$M$60*$M$8+$N$60*$N$8+$O$60*$O$8+$P$60*$P$8</f>
        <v>0</v>
      </c>
      <c r="T60" s="15">
        <f>SUM($Q$60:$R$60)</f>
        <v>0</v>
      </c>
      <c r="U60" s="15">
        <f>$S$60+$T$60</f>
        <v>0</v>
      </c>
    </row>
    <row r="61" spans="1:21" x14ac:dyDescent="0.3">
      <c r="A61" s="10" t="s">
        <v>220</v>
      </c>
      <c r="B61" s="11" t="s">
        <v>221</v>
      </c>
      <c r="C61" s="11" t="s">
        <v>34</v>
      </c>
      <c r="D61" s="11" t="s">
        <v>222</v>
      </c>
      <c r="E61" s="11">
        <f xml:space="preserve"> IF($U$61,1,0)</f>
        <v>0</v>
      </c>
      <c r="F61" s="11" t="s">
        <v>223</v>
      </c>
      <c r="G61" s="11">
        <v>0</v>
      </c>
      <c r="H61" s="11">
        <v>0</v>
      </c>
      <c r="I61" s="11">
        <v>0</v>
      </c>
      <c r="J61" s="11">
        <v>0</v>
      </c>
      <c r="K61" s="11">
        <v>0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2">
        <v>0</v>
      </c>
      <c r="R61" s="12">
        <v>0</v>
      </c>
      <c r="S61" s="12">
        <f>$G$61*$G$8+$H$61*$H$8+$I$61*$I$8+$J$61*$J$8+$K$61*$K$8+$L$61*$L$8+$M$61*$M$8+$N$61*$N$8+$O$61*$O$8+$P$61*$P$8</f>
        <v>0</v>
      </c>
      <c r="T61" s="12">
        <f>SUM($Q$61:$R$61)</f>
        <v>0</v>
      </c>
      <c r="U61" s="12">
        <f>$S$61+$T$61</f>
        <v>0</v>
      </c>
    </row>
    <row r="62" spans="1:21" x14ac:dyDescent="0.3">
      <c r="A62" s="13" t="s">
        <v>224</v>
      </c>
      <c r="B62" s="14" t="s">
        <v>225</v>
      </c>
      <c r="C62" s="14"/>
      <c r="D62" s="14" t="s">
        <v>226</v>
      </c>
      <c r="E62" s="14">
        <f xml:space="preserve"> IF($U$62,1,0)</f>
        <v>0</v>
      </c>
      <c r="F62" s="14" t="s">
        <v>227</v>
      </c>
      <c r="G62" s="14">
        <v>0</v>
      </c>
      <c r="H62" s="14">
        <v>0</v>
      </c>
      <c r="I62" s="14">
        <v>0</v>
      </c>
      <c r="J62" s="14">
        <v>0</v>
      </c>
      <c r="K62" s="14">
        <v>0</v>
      </c>
      <c r="L62" s="14">
        <v>0</v>
      </c>
      <c r="M62" s="14">
        <v>0</v>
      </c>
      <c r="N62" s="14">
        <v>0</v>
      </c>
      <c r="O62" s="14">
        <v>0</v>
      </c>
      <c r="P62" s="14">
        <v>0</v>
      </c>
      <c r="Q62" s="15">
        <v>0</v>
      </c>
      <c r="R62" s="15">
        <v>0</v>
      </c>
      <c r="S62" s="15">
        <f>$G$62*$G$8+$H$62*$H$8+$I$62*$I$8+$J$62*$J$8+$K$62*$K$8+$L$62*$L$8+$M$62*$M$8+$N$62*$N$8+$O$62*$O$8+$P$62*$P$8</f>
        <v>0</v>
      </c>
      <c r="T62" s="15">
        <f>SUM($Q$62:$R$62)</f>
        <v>0</v>
      </c>
      <c r="U62" s="15">
        <f>$S$62+$T$62</f>
        <v>0</v>
      </c>
    </row>
    <row r="63" spans="1:21" x14ac:dyDescent="0.3">
      <c r="A63" s="10" t="s">
        <v>228</v>
      </c>
      <c r="B63" s="11" t="s">
        <v>225</v>
      </c>
      <c r="C63" s="11"/>
      <c r="D63" s="11" t="s">
        <v>229</v>
      </c>
      <c r="E63" s="11">
        <f xml:space="preserve"> IF($U$63,1,0)</f>
        <v>0</v>
      </c>
      <c r="F63" s="11" t="s">
        <v>230</v>
      </c>
      <c r="G63" s="11">
        <v>0</v>
      </c>
      <c r="H63" s="11">
        <v>0</v>
      </c>
      <c r="I63" s="11">
        <v>0</v>
      </c>
      <c r="J63" s="11">
        <v>0</v>
      </c>
      <c r="K63" s="11">
        <v>0</v>
      </c>
      <c r="L63" s="11">
        <v>0</v>
      </c>
      <c r="M63" s="11">
        <v>0</v>
      </c>
      <c r="N63" s="11">
        <v>0</v>
      </c>
      <c r="O63" s="11">
        <v>0</v>
      </c>
      <c r="P63" s="11">
        <v>0</v>
      </c>
      <c r="Q63" s="12">
        <v>0</v>
      </c>
      <c r="R63" s="12">
        <v>0</v>
      </c>
      <c r="S63" s="12">
        <f>$G$63*$G$8+$H$63*$H$8+$I$63*$I$8+$J$63*$J$8+$K$63*$K$8+$L$63*$L$8+$M$63*$M$8+$N$63*$N$8+$O$63*$O$8+$P$63*$P$8</f>
        <v>0</v>
      </c>
      <c r="T63" s="12">
        <f>SUM($Q$63:$R$63)</f>
        <v>0</v>
      </c>
      <c r="U63" s="12">
        <f>$S$63+$T$63</f>
        <v>0</v>
      </c>
    </row>
    <row r="64" spans="1:21" x14ac:dyDescent="0.3">
      <c r="A64" s="13" t="s">
        <v>231</v>
      </c>
      <c r="B64" s="14" t="s">
        <v>225</v>
      </c>
      <c r="C64" s="14"/>
      <c r="D64" s="14" t="s">
        <v>232</v>
      </c>
      <c r="E64" s="14">
        <f xml:space="preserve"> IF($U$64,1,0)</f>
        <v>0</v>
      </c>
      <c r="F64" s="14" t="s">
        <v>233</v>
      </c>
      <c r="G64" s="14">
        <v>0</v>
      </c>
      <c r="H64" s="14">
        <v>0</v>
      </c>
      <c r="I64" s="14">
        <v>0</v>
      </c>
      <c r="J64" s="14">
        <v>0</v>
      </c>
      <c r="K64" s="14">
        <v>0</v>
      </c>
      <c r="L64" s="14">
        <v>0</v>
      </c>
      <c r="M64" s="14">
        <v>0</v>
      </c>
      <c r="N64" s="14">
        <v>0</v>
      </c>
      <c r="O64" s="14">
        <v>0</v>
      </c>
      <c r="P64" s="14">
        <v>0</v>
      </c>
      <c r="Q64" s="15">
        <v>0</v>
      </c>
      <c r="R64" s="15">
        <v>0</v>
      </c>
      <c r="S64" s="15">
        <f>$G$64*$G$8+$H$64*$H$8+$I$64*$I$8+$J$64*$J$8+$K$64*$K$8+$L$64*$L$8+$M$64*$M$8+$N$64*$N$8+$O$64*$O$8+$P$64*$P$8</f>
        <v>0</v>
      </c>
      <c r="T64" s="15">
        <f>SUM($Q$64:$R$64)</f>
        <v>0</v>
      </c>
      <c r="U64" s="15">
        <f>$S$64+$T$64</f>
        <v>0</v>
      </c>
    </row>
    <row r="65" spans="1:21" x14ac:dyDescent="0.3">
      <c r="A65" s="10" t="s">
        <v>234</v>
      </c>
      <c r="B65" s="11" t="s">
        <v>235</v>
      </c>
      <c r="C65" s="11"/>
      <c r="D65" s="11" t="s">
        <v>236</v>
      </c>
      <c r="E65" s="11">
        <f xml:space="preserve"> IF($U$65,1,0)</f>
        <v>0</v>
      </c>
      <c r="F65" s="11" t="s">
        <v>237</v>
      </c>
      <c r="G65" s="11">
        <v>0</v>
      </c>
      <c r="H65" s="11">
        <v>0</v>
      </c>
      <c r="I65" s="11">
        <v>0</v>
      </c>
      <c r="J65" s="11">
        <v>0</v>
      </c>
      <c r="K65" s="11">
        <v>0</v>
      </c>
      <c r="L65" s="11">
        <v>0</v>
      </c>
      <c r="M65" s="11">
        <v>0</v>
      </c>
      <c r="N65" s="11">
        <v>0</v>
      </c>
      <c r="O65" s="11">
        <v>0</v>
      </c>
      <c r="P65" s="11">
        <v>0</v>
      </c>
      <c r="Q65" s="12">
        <v>0</v>
      </c>
      <c r="R65" s="12">
        <v>0</v>
      </c>
      <c r="S65" s="12">
        <f>$G$65*$G$8+$H$65*$H$8+$I$65*$I$8+$J$65*$J$8+$K$65*$K$8+$L$65*$L$8+$M$65*$M$8+$N$65*$N$8+$O$65*$O$8+$P$65*$P$8</f>
        <v>0</v>
      </c>
      <c r="T65" s="12">
        <f>SUM($Q$65:$R$65)</f>
        <v>0</v>
      </c>
      <c r="U65" s="12">
        <f>$S$65+$T$65</f>
        <v>0</v>
      </c>
    </row>
    <row r="66" spans="1:21" x14ac:dyDescent="0.3">
      <c r="A66" s="13" t="s">
        <v>238</v>
      </c>
      <c r="B66" s="14" t="s">
        <v>235</v>
      </c>
      <c r="C66" s="14" t="s">
        <v>34</v>
      </c>
      <c r="D66" s="14" t="s">
        <v>239</v>
      </c>
      <c r="E66" s="14">
        <f xml:space="preserve"> IF($U$66,1,0)</f>
        <v>0</v>
      </c>
      <c r="F66" s="14" t="s">
        <v>240</v>
      </c>
      <c r="G66" s="14">
        <v>0</v>
      </c>
      <c r="H66" s="14">
        <v>0</v>
      </c>
      <c r="I66" s="14">
        <v>0</v>
      </c>
      <c r="J66" s="14">
        <v>0</v>
      </c>
      <c r="K66" s="14">
        <v>0</v>
      </c>
      <c r="L66" s="14">
        <v>0</v>
      </c>
      <c r="M66" s="14">
        <v>0</v>
      </c>
      <c r="N66" s="14">
        <v>0</v>
      </c>
      <c r="O66" s="14">
        <v>0</v>
      </c>
      <c r="P66" s="14">
        <v>0</v>
      </c>
      <c r="Q66" s="15">
        <v>0</v>
      </c>
      <c r="R66" s="15">
        <v>0</v>
      </c>
      <c r="S66" s="15">
        <f>$G$66*$G$8+$H$66*$H$8+$I$66*$I$8+$J$66*$J$8+$K$66*$K$8+$L$66*$L$8+$M$66*$M$8+$N$66*$N$8+$O$66*$O$8+$P$66*$P$8</f>
        <v>0</v>
      </c>
      <c r="T66" s="15">
        <f>SUM($Q$66:$R$66)</f>
        <v>0</v>
      </c>
      <c r="U66" s="15">
        <f>$S$66+$T$66</f>
        <v>0</v>
      </c>
    </row>
    <row r="67" spans="1:21" x14ac:dyDescent="0.3">
      <c r="A67" s="10" t="s">
        <v>241</v>
      </c>
      <c r="B67" s="11" t="s">
        <v>242</v>
      </c>
      <c r="C67" s="11" t="s">
        <v>243</v>
      </c>
      <c r="D67" s="11" t="s">
        <v>244</v>
      </c>
      <c r="E67" s="11">
        <f xml:space="preserve"> IF($U$67,1,0)</f>
        <v>0</v>
      </c>
      <c r="F67" s="11" t="s">
        <v>245</v>
      </c>
      <c r="G67" s="11">
        <v>0</v>
      </c>
      <c r="H67" s="11">
        <v>0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2">
        <v>0</v>
      </c>
      <c r="R67" s="12">
        <v>0</v>
      </c>
      <c r="S67" s="12">
        <f>$G$67*$G$8+$H$67*$H$8+$I$67*$I$8+$J$67*$J$8+$K$67*$K$8+$L$67*$L$8+$M$67*$M$8+$N$67*$N$8+$O$67*$O$8+$P$67*$P$8</f>
        <v>0</v>
      </c>
      <c r="T67" s="12">
        <f>SUM($Q$67:$R$67)</f>
        <v>0</v>
      </c>
      <c r="U67" s="12">
        <f>$S$67+$T$67</f>
        <v>0</v>
      </c>
    </row>
    <row r="68" spans="1:21" x14ac:dyDescent="0.3">
      <c r="A68" s="13" t="s">
        <v>246</v>
      </c>
      <c r="B68" s="14" t="s">
        <v>242</v>
      </c>
      <c r="C68" s="14"/>
      <c r="D68" s="14" t="s">
        <v>247</v>
      </c>
      <c r="E68" s="14">
        <f xml:space="preserve"> IF($U$68,1,0)</f>
        <v>0</v>
      </c>
      <c r="F68" s="14" t="s">
        <v>248</v>
      </c>
      <c r="G68" s="14">
        <v>0</v>
      </c>
      <c r="H68" s="14">
        <v>0</v>
      </c>
      <c r="I68" s="14">
        <v>0</v>
      </c>
      <c r="J68" s="14">
        <v>0</v>
      </c>
      <c r="K68" s="14">
        <v>0</v>
      </c>
      <c r="L68" s="14">
        <v>0</v>
      </c>
      <c r="M68" s="14">
        <v>0</v>
      </c>
      <c r="N68" s="14">
        <v>0</v>
      </c>
      <c r="O68" s="14">
        <v>0</v>
      </c>
      <c r="P68" s="14">
        <v>0</v>
      </c>
      <c r="Q68" s="15">
        <v>0</v>
      </c>
      <c r="R68" s="15">
        <v>0</v>
      </c>
      <c r="S68" s="15">
        <f>$G$68*$G$8+$H$68*$H$8+$I$68*$I$8+$J$68*$J$8+$K$68*$K$8+$L$68*$L$8+$M$68*$M$8+$N$68*$N$8+$O$68*$O$8+$P$68*$P$8</f>
        <v>0</v>
      </c>
      <c r="T68" s="15">
        <f>SUM($Q$68:$R$68)</f>
        <v>0</v>
      </c>
      <c r="U68" s="15">
        <f>$S$68+$T$68</f>
        <v>0</v>
      </c>
    </row>
    <row r="69" spans="1:21" x14ac:dyDescent="0.3">
      <c r="A69" s="10" t="s">
        <v>249</v>
      </c>
      <c r="B69" s="11" t="s">
        <v>242</v>
      </c>
      <c r="C69" s="11" t="s">
        <v>34</v>
      </c>
      <c r="D69" s="11" t="s">
        <v>250</v>
      </c>
      <c r="E69" s="11">
        <f xml:space="preserve"> IF($U$69,1,0)</f>
        <v>0</v>
      </c>
      <c r="F69" s="11" t="s">
        <v>251</v>
      </c>
      <c r="G69" s="11">
        <v>0</v>
      </c>
      <c r="H69" s="11">
        <v>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2">
        <v>0</v>
      </c>
      <c r="R69" s="12">
        <v>0</v>
      </c>
      <c r="S69" s="12">
        <f>$G$69*$G$8+$H$69*$H$8+$I$69*$I$8+$J$69*$J$8+$K$69*$K$8+$L$69*$L$8+$M$69*$M$8+$N$69*$N$8+$O$69*$O$8+$P$69*$P$8</f>
        <v>0</v>
      </c>
      <c r="T69" s="12">
        <f>SUM($Q$69:$R$69)</f>
        <v>0</v>
      </c>
      <c r="U69" s="12">
        <f>$S$69+$T$69</f>
        <v>0</v>
      </c>
    </row>
    <row r="70" spans="1:21" x14ac:dyDescent="0.3">
      <c r="A70" s="13" t="s">
        <v>252</v>
      </c>
      <c r="B70" s="14" t="s">
        <v>253</v>
      </c>
      <c r="C70" s="14"/>
      <c r="D70" s="14" t="s">
        <v>254</v>
      </c>
      <c r="E70" s="14">
        <f xml:space="preserve"> IF($U$70,1,0)</f>
        <v>0</v>
      </c>
      <c r="F70" s="14" t="s">
        <v>255</v>
      </c>
      <c r="G70" s="14">
        <v>0</v>
      </c>
      <c r="H70" s="14">
        <v>0</v>
      </c>
      <c r="I70" s="14">
        <v>0</v>
      </c>
      <c r="J70" s="14">
        <v>0</v>
      </c>
      <c r="K70" s="14">
        <v>0</v>
      </c>
      <c r="L70" s="14">
        <v>0</v>
      </c>
      <c r="M70" s="14">
        <v>0</v>
      </c>
      <c r="N70" s="14">
        <v>0</v>
      </c>
      <c r="O70" s="14">
        <v>0</v>
      </c>
      <c r="P70" s="14">
        <v>0</v>
      </c>
      <c r="Q70" s="15">
        <v>0</v>
      </c>
      <c r="R70" s="15">
        <v>0</v>
      </c>
      <c r="S70" s="15">
        <f>$G$70*$G$8+$H$70*$H$8+$I$70*$I$8+$J$70*$J$8+$K$70*$K$8+$L$70*$L$8+$M$70*$M$8+$N$70*$N$8+$O$70*$O$8+$P$70*$P$8</f>
        <v>0</v>
      </c>
      <c r="T70" s="15">
        <f>SUM($Q$70:$R$70)</f>
        <v>0</v>
      </c>
      <c r="U70" s="15">
        <f>$S$70+$T$70</f>
        <v>0</v>
      </c>
    </row>
    <row r="71" spans="1:21" x14ac:dyDescent="0.3">
      <c r="A71" s="10" t="s">
        <v>256</v>
      </c>
      <c r="B71" s="11" t="s">
        <v>257</v>
      </c>
      <c r="C71" s="11"/>
      <c r="D71" s="11" t="s">
        <v>258</v>
      </c>
      <c r="E71" s="11">
        <f xml:space="preserve"> IF($U$71,1,0)</f>
        <v>0</v>
      </c>
      <c r="F71" s="11" t="s">
        <v>259</v>
      </c>
      <c r="G71" s="11">
        <v>0</v>
      </c>
      <c r="H71" s="11">
        <v>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0</v>
      </c>
      <c r="O71" s="11">
        <v>0</v>
      </c>
      <c r="P71" s="11">
        <v>0</v>
      </c>
      <c r="Q71" s="12">
        <v>0</v>
      </c>
      <c r="R71" s="12">
        <v>0</v>
      </c>
      <c r="S71" s="12">
        <f>$G$71*$G$8+$H$71*$H$8+$I$71*$I$8+$J$71*$J$8+$K$71*$K$8+$L$71*$L$8+$M$71*$M$8+$N$71*$N$8+$O$71*$O$8+$P$71*$P$8</f>
        <v>0</v>
      </c>
      <c r="T71" s="12">
        <f>SUM($Q$71:$R$71)</f>
        <v>0</v>
      </c>
      <c r="U71" s="12">
        <f>$S$71+$T$71</f>
        <v>0</v>
      </c>
    </row>
    <row r="72" spans="1:21" x14ac:dyDescent="0.3">
      <c r="A72" s="13" t="s">
        <v>1248</v>
      </c>
      <c r="B72" s="14" t="s">
        <v>1249</v>
      </c>
      <c r="C72" s="14"/>
      <c r="D72" s="14" t="s">
        <v>1250</v>
      </c>
      <c r="E72" s="14">
        <f xml:space="preserve"> IF($U$72,1,0)</f>
        <v>1</v>
      </c>
      <c r="F72" s="14" t="s">
        <v>1251</v>
      </c>
      <c r="G72" s="14">
        <v>0</v>
      </c>
      <c r="H72" s="14">
        <v>0</v>
      </c>
      <c r="I72" s="14">
        <v>0</v>
      </c>
      <c r="J72" s="14">
        <v>0</v>
      </c>
      <c r="K72" s="14">
        <v>0</v>
      </c>
      <c r="L72" s="14">
        <v>0</v>
      </c>
      <c r="M72" s="14">
        <v>1</v>
      </c>
      <c r="N72" s="14">
        <v>0</v>
      </c>
      <c r="O72" s="14">
        <v>0</v>
      </c>
      <c r="P72" s="14">
        <v>0</v>
      </c>
      <c r="Q72" s="15">
        <v>0</v>
      </c>
      <c r="R72" s="15">
        <v>0</v>
      </c>
      <c r="S72" s="15">
        <f>$G$72*$G$8+$H$72*$H$8+$I$72*$I$8+$J$72*$J$8+$K$72*$K$8+$L$72*$L$8+$M$72*$M$8+$N$72*$N$8+$O$72*$O$8+$P$72*$P$8</f>
        <v>4</v>
      </c>
      <c r="T72" s="15">
        <f>SUM($Q$72:$R$72)</f>
        <v>0</v>
      </c>
      <c r="U72" s="15">
        <f>$S$72+$T$72</f>
        <v>4</v>
      </c>
    </row>
    <row r="73" spans="1:21" x14ac:dyDescent="0.3">
      <c r="A73" s="10" t="s">
        <v>260</v>
      </c>
      <c r="B73" s="11" t="s">
        <v>261</v>
      </c>
      <c r="C73" s="11"/>
      <c r="D73" s="11" t="s">
        <v>262</v>
      </c>
      <c r="E73" s="11">
        <f xml:space="preserve"> IF($U$73,1,0)</f>
        <v>0</v>
      </c>
      <c r="F73" s="11" t="s">
        <v>263</v>
      </c>
      <c r="G73" s="11">
        <v>0</v>
      </c>
      <c r="H73" s="11">
        <v>0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2">
        <v>0</v>
      </c>
      <c r="R73" s="12">
        <v>0</v>
      </c>
      <c r="S73" s="12">
        <f>$G$73*$G$8+$H$73*$H$8+$I$73*$I$8+$J$73*$J$8+$K$73*$K$8+$L$73*$L$8+$M$73*$M$8+$N$73*$N$8+$O$73*$O$8+$P$73*$P$8</f>
        <v>0</v>
      </c>
      <c r="T73" s="12">
        <f>SUM($Q$73:$R$73)</f>
        <v>0</v>
      </c>
      <c r="U73" s="12">
        <f>$S$73+$T$73</f>
        <v>0</v>
      </c>
    </row>
    <row r="74" spans="1:21" x14ac:dyDescent="0.3">
      <c r="A74" s="13" t="s">
        <v>264</v>
      </c>
      <c r="B74" s="14" t="s">
        <v>265</v>
      </c>
      <c r="C74" s="14"/>
      <c r="D74" s="14" t="s">
        <v>266</v>
      </c>
      <c r="E74" s="14">
        <f xml:space="preserve"> IF($U$74,1,0)</f>
        <v>0</v>
      </c>
      <c r="F74" s="14" t="s">
        <v>267</v>
      </c>
      <c r="G74" s="14">
        <v>0</v>
      </c>
      <c r="H74" s="14">
        <v>0</v>
      </c>
      <c r="I74" s="14">
        <v>0</v>
      </c>
      <c r="J74" s="14">
        <v>0</v>
      </c>
      <c r="K74" s="14">
        <v>0</v>
      </c>
      <c r="L74" s="14">
        <v>0</v>
      </c>
      <c r="M74" s="14">
        <v>0</v>
      </c>
      <c r="N74" s="14">
        <v>0</v>
      </c>
      <c r="O74" s="14">
        <v>0</v>
      </c>
      <c r="P74" s="14">
        <v>0</v>
      </c>
      <c r="Q74" s="15">
        <v>0</v>
      </c>
      <c r="R74" s="15">
        <v>0</v>
      </c>
      <c r="S74" s="15">
        <f>$G$74*$G$8+$H$74*$H$8+$I$74*$I$8+$J$74*$J$8+$K$74*$K$8+$L$74*$L$8+$M$74*$M$8+$N$74*$N$8+$O$74*$O$8+$P$74*$P$8</f>
        <v>0</v>
      </c>
      <c r="T74" s="15">
        <f>SUM($Q$74:$R$74)</f>
        <v>0</v>
      </c>
      <c r="U74" s="15">
        <f>$S$74+$T$74</f>
        <v>0</v>
      </c>
    </row>
    <row r="75" spans="1:21" x14ac:dyDescent="0.3">
      <c r="A75" s="10" t="s">
        <v>268</v>
      </c>
      <c r="B75" s="11" t="s">
        <v>269</v>
      </c>
      <c r="C75" s="11"/>
      <c r="D75" s="11" t="s">
        <v>270</v>
      </c>
      <c r="E75" s="11">
        <f xml:space="preserve"> IF($U$75,1,0)</f>
        <v>0</v>
      </c>
      <c r="F75" s="11" t="s">
        <v>271</v>
      </c>
      <c r="G75" s="11">
        <v>0</v>
      </c>
      <c r="H75" s="11">
        <v>0</v>
      </c>
      <c r="I75" s="11">
        <v>0</v>
      </c>
      <c r="J75" s="11">
        <v>0</v>
      </c>
      <c r="K75" s="11">
        <v>0</v>
      </c>
      <c r="L75" s="11">
        <v>0</v>
      </c>
      <c r="M75" s="11">
        <v>0</v>
      </c>
      <c r="N75" s="11">
        <v>0</v>
      </c>
      <c r="O75" s="11">
        <v>0</v>
      </c>
      <c r="P75" s="11">
        <v>0</v>
      </c>
      <c r="Q75" s="12">
        <v>0</v>
      </c>
      <c r="R75" s="12">
        <v>0</v>
      </c>
      <c r="S75" s="12">
        <f>$G$75*$G$8+$H$75*$H$8+$I$75*$I$8+$J$75*$J$8+$K$75*$K$8+$L$75*$L$8+$M$75*$M$8+$N$75*$N$8+$O$75*$O$8+$P$75*$P$8</f>
        <v>0</v>
      </c>
      <c r="T75" s="12">
        <f>SUM($Q$75:$R$75)</f>
        <v>0</v>
      </c>
      <c r="U75" s="12">
        <f>$S$75+$T$75</f>
        <v>0</v>
      </c>
    </row>
    <row r="76" spans="1:21" x14ac:dyDescent="0.3">
      <c r="A76" s="13" t="s">
        <v>272</v>
      </c>
      <c r="B76" s="14" t="s">
        <v>273</v>
      </c>
      <c r="C76" s="14"/>
      <c r="D76" s="14" t="s">
        <v>274</v>
      </c>
      <c r="E76" s="14">
        <f xml:space="preserve"> IF($U$76,1,0)</f>
        <v>1</v>
      </c>
      <c r="F76" s="14" t="s">
        <v>275</v>
      </c>
      <c r="G76" s="14">
        <v>8</v>
      </c>
      <c r="H76" s="14">
        <v>1</v>
      </c>
      <c r="I76" s="14">
        <v>0</v>
      </c>
      <c r="J76" s="14">
        <v>0</v>
      </c>
      <c r="K76" s="14">
        <v>1</v>
      </c>
      <c r="L76" s="14">
        <v>3</v>
      </c>
      <c r="M76" s="14">
        <v>2</v>
      </c>
      <c r="N76" s="14">
        <v>0</v>
      </c>
      <c r="O76" s="14">
        <v>0</v>
      </c>
      <c r="P76" s="14">
        <v>0</v>
      </c>
      <c r="Q76" s="15">
        <v>0</v>
      </c>
      <c r="R76" s="15">
        <v>0</v>
      </c>
      <c r="S76" s="15">
        <f>$G$76*$G$8+$H$76*$H$8+$I$76*$I$8+$J$76*$J$8+$K$76*$K$8+$L$76*$L$8+$M$76*$M$8+$N$76*$N$8+$O$76*$O$8+$P$76*$P$8</f>
        <v>26.4</v>
      </c>
      <c r="T76" s="15">
        <f>SUM($Q$76:$R$76)</f>
        <v>0</v>
      </c>
      <c r="U76" s="15">
        <f>$S$76+$T$76</f>
        <v>26.4</v>
      </c>
    </row>
    <row r="77" spans="1:21" x14ac:dyDescent="0.3">
      <c r="A77" s="10" t="s">
        <v>276</v>
      </c>
      <c r="B77" s="11" t="s">
        <v>277</v>
      </c>
      <c r="C77" s="11" t="s">
        <v>278</v>
      </c>
      <c r="D77" s="11" t="s">
        <v>279</v>
      </c>
      <c r="E77" s="11">
        <f xml:space="preserve"> IF($U$77,1,0)</f>
        <v>1</v>
      </c>
      <c r="F77" s="11" t="s">
        <v>280</v>
      </c>
      <c r="G77" s="11">
        <v>2</v>
      </c>
      <c r="H77" s="11">
        <v>0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2">
        <v>0</v>
      </c>
      <c r="R77" s="12">
        <v>0</v>
      </c>
      <c r="S77" s="12">
        <f>$G$77*$G$8+$H$77*$H$8+$I$77*$I$8+$J$77*$J$8+$K$77*$K$8+$L$77*$L$8+$M$77*$M$8+$N$77*$N$8+$O$77*$O$8+$P$77*$P$8</f>
        <v>1.4</v>
      </c>
      <c r="T77" s="12">
        <f>SUM($Q$77:$R$77)</f>
        <v>0</v>
      </c>
      <c r="U77" s="12">
        <f>$S$77+$T$77</f>
        <v>1.4</v>
      </c>
    </row>
    <row r="78" spans="1:21" x14ac:dyDescent="0.3">
      <c r="A78" s="13" t="s">
        <v>281</v>
      </c>
      <c r="B78" s="14" t="s">
        <v>282</v>
      </c>
      <c r="C78" s="14" t="s">
        <v>283</v>
      </c>
      <c r="D78" s="14" t="s">
        <v>284</v>
      </c>
      <c r="E78" s="14">
        <f xml:space="preserve"> IF($U$78,1,0)</f>
        <v>0</v>
      </c>
      <c r="F78" s="14" t="s">
        <v>285</v>
      </c>
      <c r="G78" s="14">
        <v>0</v>
      </c>
      <c r="H78" s="14">
        <v>0</v>
      </c>
      <c r="I78" s="14">
        <v>0</v>
      </c>
      <c r="J78" s="14">
        <v>0</v>
      </c>
      <c r="K78" s="14">
        <v>0</v>
      </c>
      <c r="L78" s="14">
        <v>0</v>
      </c>
      <c r="M78" s="14">
        <v>0</v>
      </c>
      <c r="N78" s="14">
        <v>0</v>
      </c>
      <c r="O78" s="14">
        <v>0</v>
      </c>
      <c r="P78" s="14">
        <v>0</v>
      </c>
      <c r="Q78" s="15">
        <v>0</v>
      </c>
      <c r="R78" s="15">
        <v>0</v>
      </c>
      <c r="S78" s="15">
        <f>$G$78*$G$8+$H$78*$H$8+$I$78*$I$8+$J$78*$J$8+$K$78*$K$8+$L$78*$L$8+$M$78*$M$8+$N$78*$N$8+$O$78*$O$8+$P$78*$P$8</f>
        <v>0</v>
      </c>
      <c r="T78" s="15">
        <f>SUM($Q$78:$R$78)</f>
        <v>0</v>
      </c>
      <c r="U78" s="15">
        <f>$S$78+$T$78</f>
        <v>0</v>
      </c>
    </row>
    <row r="79" spans="1:21" x14ac:dyDescent="0.3">
      <c r="A79" s="10" t="s">
        <v>286</v>
      </c>
      <c r="B79" s="11" t="s">
        <v>287</v>
      </c>
      <c r="C79" s="11" t="s">
        <v>278</v>
      </c>
      <c r="D79" s="11" t="s">
        <v>288</v>
      </c>
      <c r="E79" s="11">
        <f xml:space="preserve"> IF($U$79,1,0)</f>
        <v>0</v>
      </c>
      <c r="F79" s="11" t="s">
        <v>289</v>
      </c>
      <c r="G79" s="11">
        <v>0</v>
      </c>
      <c r="H79" s="11">
        <v>0</v>
      </c>
      <c r="I79" s="11">
        <v>0</v>
      </c>
      <c r="J79" s="11">
        <v>0</v>
      </c>
      <c r="K79" s="11">
        <v>0</v>
      </c>
      <c r="L79" s="11">
        <v>0</v>
      </c>
      <c r="M79" s="11">
        <v>0</v>
      </c>
      <c r="N79" s="11">
        <v>0</v>
      </c>
      <c r="O79" s="11">
        <v>0</v>
      </c>
      <c r="P79" s="11">
        <v>0</v>
      </c>
      <c r="Q79" s="12">
        <v>0</v>
      </c>
      <c r="R79" s="12">
        <v>0</v>
      </c>
      <c r="S79" s="12">
        <f>$G$79*$G$8+$H$79*$H$8+$I$79*$I$8+$J$79*$J$8+$K$79*$K$8+$L$79*$L$8+$M$79*$M$8+$N$79*$N$8+$O$79*$O$8+$P$79*$P$8</f>
        <v>0</v>
      </c>
      <c r="T79" s="12">
        <f>SUM($Q$79:$R$79)</f>
        <v>0</v>
      </c>
      <c r="U79" s="12">
        <f>$S$79+$T$79</f>
        <v>0</v>
      </c>
    </row>
    <row r="80" spans="1:21" x14ac:dyDescent="0.3">
      <c r="A80" s="13" t="s">
        <v>290</v>
      </c>
      <c r="B80" s="14" t="s">
        <v>291</v>
      </c>
      <c r="C80" s="14"/>
      <c r="D80" s="14" t="s">
        <v>292</v>
      </c>
      <c r="E80" s="14">
        <f xml:space="preserve"> IF($U$80,1,0)</f>
        <v>0</v>
      </c>
      <c r="F80" s="14" t="s">
        <v>293</v>
      </c>
      <c r="G80" s="14">
        <v>0</v>
      </c>
      <c r="H80" s="14">
        <v>0</v>
      </c>
      <c r="I80" s="14">
        <v>0</v>
      </c>
      <c r="J80" s="14">
        <v>0</v>
      </c>
      <c r="K80" s="14">
        <v>0</v>
      </c>
      <c r="L80" s="14">
        <v>0</v>
      </c>
      <c r="M80" s="14">
        <v>0</v>
      </c>
      <c r="N80" s="14">
        <v>0</v>
      </c>
      <c r="O80" s="14">
        <v>0</v>
      </c>
      <c r="P80" s="14">
        <v>0</v>
      </c>
      <c r="Q80" s="15">
        <v>0</v>
      </c>
      <c r="R80" s="15">
        <v>0</v>
      </c>
      <c r="S80" s="15">
        <f>$G$80*$G$8+$H$80*$H$8+$I$80*$I$8+$J$80*$J$8+$K$80*$K$8+$L$80*$L$8+$M$80*$M$8+$N$80*$N$8+$O$80*$O$8+$P$80*$P$8</f>
        <v>0</v>
      </c>
      <c r="T80" s="15">
        <f>SUM($Q$80:$R$80)</f>
        <v>0</v>
      </c>
      <c r="U80" s="15">
        <f>$S$80+$T$80</f>
        <v>0</v>
      </c>
    </row>
    <row r="81" spans="1:21" x14ac:dyDescent="0.3">
      <c r="A81" s="10" t="s">
        <v>294</v>
      </c>
      <c r="B81" s="11" t="s">
        <v>295</v>
      </c>
      <c r="C81" s="11"/>
      <c r="D81" s="11" t="s">
        <v>296</v>
      </c>
      <c r="E81" s="11">
        <f xml:space="preserve"> IF($U$81,1,0)</f>
        <v>0</v>
      </c>
      <c r="F81" s="11" t="s">
        <v>297</v>
      </c>
      <c r="G81" s="11">
        <v>0</v>
      </c>
      <c r="H81" s="11">
        <v>0</v>
      </c>
      <c r="I81" s="11">
        <v>0</v>
      </c>
      <c r="J81" s="11">
        <v>0</v>
      </c>
      <c r="K81" s="11">
        <v>0</v>
      </c>
      <c r="L81" s="11">
        <v>0</v>
      </c>
      <c r="M81" s="11">
        <v>0</v>
      </c>
      <c r="N81" s="11">
        <v>0</v>
      </c>
      <c r="O81" s="11">
        <v>0</v>
      </c>
      <c r="P81" s="11">
        <v>0</v>
      </c>
      <c r="Q81" s="12">
        <v>0</v>
      </c>
      <c r="R81" s="12">
        <v>0</v>
      </c>
      <c r="S81" s="12">
        <f>$G$81*$G$8+$H$81*$H$8+$I$81*$I$8+$J$81*$J$8+$K$81*$K$8+$L$81*$L$8+$M$81*$M$8+$N$81*$N$8+$O$81*$O$8+$P$81*$P$8</f>
        <v>0</v>
      </c>
      <c r="T81" s="12">
        <f>SUM($Q$81:$R$81)</f>
        <v>0</v>
      </c>
      <c r="U81" s="12">
        <f>$S$81+$T$81</f>
        <v>0</v>
      </c>
    </row>
    <row r="82" spans="1:21" x14ac:dyDescent="0.3">
      <c r="A82" s="13" t="s">
        <v>298</v>
      </c>
      <c r="B82" s="14" t="s">
        <v>295</v>
      </c>
      <c r="C82" s="14"/>
      <c r="D82" s="14" t="s">
        <v>299</v>
      </c>
      <c r="E82" s="14">
        <f xml:space="preserve"> IF($U$82,1,0)</f>
        <v>0</v>
      </c>
      <c r="F82" s="14" t="s">
        <v>300</v>
      </c>
      <c r="G82" s="14">
        <v>0</v>
      </c>
      <c r="H82" s="14">
        <v>0</v>
      </c>
      <c r="I82" s="14">
        <v>0</v>
      </c>
      <c r="J82" s="14">
        <v>0</v>
      </c>
      <c r="K82" s="14">
        <v>0</v>
      </c>
      <c r="L82" s="14">
        <v>0</v>
      </c>
      <c r="M82" s="14">
        <v>0</v>
      </c>
      <c r="N82" s="14">
        <v>0</v>
      </c>
      <c r="O82" s="14">
        <v>0</v>
      </c>
      <c r="P82" s="14">
        <v>0</v>
      </c>
      <c r="Q82" s="15">
        <v>0</v>
      </c>
      <c r="R82" s="15">
        <v>0</v>
      </c>
      <c r="S82" s="15">
        <f>$G$82*$G$8+$H$82*$H$8+$I$82*$I$8+$J$82*$J$8+$K$82*$K$8+$L$82*$L$8+$M$82*$M$8+$N$82*$N$8+$O$82*$O$8+$P$82*$P$8</f>
        <v>0</v>
      </c>
      <c r="T82" s="15">
        <f>SUM($Q$82:$R$82)</f>
        <v>0</v>
      </c>
      <c r="U82" s="15">
        <f>$S$82+$T$82</f>
        <v>0</v>
      </c>
    </row>
    <row r="83" spans="1:21" x14ac:dyDescent="0.3">
      <c r="A83" s="10" t="s">
        <v>301</v>
      </c>
      <c r="B83" s="11" t="s">
        <v>302</v>
      </c>
      <c r="C83" s="11"/>
      <c r="D83" s="11" t="s">
        <v>303</v>
      </c>
      <c r="E83" s="11">
        <f xml:space="preserve"> IF($U$83,1,0)</f>
        <v>0</v>
      </c>
      <c r="F83" s="11" t="s">
        <v>304</v>
      </c>
      <c r="G83" s="11">
        <v>0</v>
      </c>
      <c r="H83" s="11">
        <v>0</v>
      </c>
      <c r="I83" s="11">
        <v>0</v>
      </c>
      <c r="J83" s="11">
        <v>0</v>
      </c>
      <c r="K83" s="11">
        <v>0</v>
      </c>
      <c r="L83" s="11">
        <v>0</v>
      </c>
      <c r="M83" s="11">
        <v>0</v>
      </c>
      <c r="N83" s="11">
        <v>0</v>
      </c>
      <c r="O83" s="11">
        <v>0</v>
      </c>
      <c r="P83" s="11">
        <v>0</v>
      </c>
      <c r="Q83" s="12">
        <v>0</v>
      </c>
      <c r="R83" s="12">
        <v>0</v>
      </c>
      <c r="S83" s="12">
        <f>$G$83*$G$8+$H$83*$H$8+$I$83*$I$8+$J$83*$J$8+$K$83*$K$8+$L$83*$L$8+$M$83*$M$8+$N$83*$N$8+$O$83*$O$8+$P$83*$P$8</f>
        <v>0</v>
      </c>
      <c r="T83" s="12">
        <f>SUM($Q$83:$R$83)</f>
        <v>0</v>
      </c>
      <c r="U83" s="12">
        <f>$S$83+$T$83</f>
        <v>0</v>
      </c>
    </row>
    <row r="84" spans="1:21" x14ac:dyDescent="0.3">
      <c r="A84" s="13" t="s">
        <v>305</v>
      </c>
      <c r="B84" s="14" t="s">
        <v>306</v>
      </c>
      <c r="C84" s="14"/>
      <c r="D84" s="14" t="s">
        <v>307</v>
      </c>
      <c r="E84" s="14">
        <f xml:space="preserve"> IF($U$84,1,0)</f>
        <v>0</v>
      </c>
      <c r="F84" s="14" t="s">
        <v>308</v>
      </c>
      <c r="G84" s="14">
        <v>0</v>
      </c>
      <c r="H84" s="14">
        <v>0</v>
      </c>
      <c r="I84" s="14">
        <v>0</v>
      </c>
      <c r="J84" s="14">
        <v>0</v>
      </c>
      <c r="K84" s="14">
        <v>0</v>
      </c>
      <c r="L84" s="14">
        <v>0</v>
      </c>
      <c r="M84" s="14">
        <v>0</v>
      </c>
      <c r="N84" s="14">
        <v>0</v>
      </c>
      <c r="O84" s="14">
        <v>0</v>
      </c>
      <c r="P84" s="14">
        <v>0</v>
      </c>
      <c r="Q84" s="15">
        <v>0</v>
      </c>
      <c r="R84" s="15">
        <v>0</v>
      </c>
      <c r="S84" s="15">
        <f>$G$84*$G$8+$H$84*$H$8+$I$84*$I$8+$J$84*$J$8+$K$84*$K$8+$L$84*$L$8+$M$84*$M$8+$N$84*$N$8+$O$84*$O$8+$P$84*$P$8</f>
        <v>0</v>
      </c>
      <c r="T84" s="15">
        <f>SUM($Q$84:$R$84)</f>
        <v>0</v>
      </c>
      <c r="U84" s="15">
        <f>$S$84+$T$84</f>
        <v>0</v>
      </c>
    </row>
    <row r="85" spans="1:21" x14ac:dyDescent="0.3">
      <c r="A85" s="10" t="s">
        <v>309</v>
      </c>
      <c r="B85" s="11" t="s">
        <v>310</v>
      </c>
      <c r="C85" s="11"/>
      <c r="D85" s="11" t="s">
        <v>311</v>
      </c>
      <c r="E85" s="11">
        <f xml:space="preserve"> IF($U$85,1,0)</f>
        <v>0</v>
      </c>
      <c r="F85" s="11" t="s">
        <v>312</v>
      </c>
      <c r="G85" s="11">
        <v>0</v>
      </c>
      <c r="H85" s="11">
        <v>0</v>
      </c>
      <c r="I85" s="11">
        <v>0</v>
      </c>
      <c r="J85" s="11">
        <v>0</v>
      </c>
      <c r="K85" s="11">
        <v>0</v>
      </c>
      <c r="L85" s="11">
        <v>0</v>
      </c>
      <c r="M85" s="11">
        <v>0</v>
      </c>
      <c r="N85" s="11">
        <v>0</v>
      </c>
      <c r="O85" s="11">
        <v>0</v>
      </c>
      <c r="P85" s="11">
        <v>0</v>
      </c>
      <c r="Q85" s="12">
        <v>0</v>
      </c>
      <c r="R85" s="12">
        <v>0</v>
      </c>
      <c r="S85" s="12">
        <f>$G$85*$G$8+$H$85*$H$8+$I$85*$I$8+$J$85*$J$8+$K$85*$K$8+$L$85*$L$8+$M$85*$M$8+$N$85*$N$8+$O$85*$O$8+$P$85*$P$8</f>
        <v>0</v>
      </c>
      <c r="T85" s="12">
        <f>SUM($Q$85:$R$85)</f>
        <v>0</v>
      </c>
      <c r="U85" s="12">
        <f>$S$85+$T$85</f>
        <v>0</v>
      </c>
    </row>
    <row r="86" spans="1:21" x14ac:dyDescent="0.3">
      <c r="A86" s="13" t="s">
        <v>313</v>
      </c>
      <c r="B86" s="14" t="s">
        <v>314</v>
      </c>
      <c r="C86" s="14"/>
      <c r="D86" s="14" t="s">
        <v>315</v>
      </c>
      <c r="E86" s="14">
        <f xml:space="preserve"> IF($U$86,1,0)</f>
        <v>1</v>
      </c>
      <c r="F86" s="14" t="s">
        <v>316</v>
      </c>
      <c r="G86" s="14">
        <v>4</v>
      </c>
      <c r="H86" s="14">
        <v>2</v>
      </c>
      <c r="I86" s="14">
        <v>0</v>
      </c>
      <c r="J86" s="14">
        <v>0</v>
      </c>
      <c r="K86" s="14">
        <v>0</v>
      </c>
      <c r="L86" s="14">
        <v>0</v>
      </c>
      <c r="M86" s="14">
        <v>0</v>
      </c>
      <c r="N86" s="14">
        <v>0</v>
      </c>
      <c r="O86" s="14">
        <v>0</v>
      </c>
      <c r="P86" s="14">
        <v>0</v>
      </c>
      <c r="Q86" s="15">
        <v>0</v>
      </c>
      <c r="R86" s="15">
        <v>0</v>
      </c>
      <c r="S86" s="15">
        <f>$G$86*$G$8+$H$86*$H$8+$I$86*$I$8+$J$86*$J$8+$K$86*$K$8+$L$86*$L$8+$M$86*$M$8+$N$86*$N$8+$O$86*$O$8+$P$86*$P$8</f>
        <v>6.4</v>
      </c>
      <c r="T86" s="15">
        <f>SUM($Q$86:$R$86)</f>
        <v>0</v>
      </c>
      <c r="U86" s="15">
        <f>$S$86+$T$86</f>
        <v>6.4</v>
      </c>
    </row>
    <row r="87" spans="1:21" x14ac:dyDescent="0.3">
      <c r="A87" s="10" t="s">
        <v>317</v>
      </c>
      <c r="B87" s="11" t="s">
        <v>318</v>
      </c>
      <c r="C87" s="11"/>
      <c r="D87" s="11" t="s">
        <v>319</v>
      </c>
      <c r="E87" s="11">
        <f xml:space="preserve"> IF($U$87,1,0)</f>
        <v>0</v>
      </c>
      <c r="F87" s="11" t="s">
        <v>320</v>
      </c>
      <c r="G87" s="11">
        <v>0</v>
      </c>
      <c r="H87" s="11">
        <v>0</v>
      </c>
      <c r="I87" s="11">
        <v>0</v>
      </c>
      <c r="J87" s="11">
        <v>0</v>
      </c>
      <c r="K87" s="11">
        <v>0</v>
      </c>
      <c r="L87" s="11">
        <v>0</v>
      </c>
      <c r="M87" s="11">
        <v>0</v>
      </c>
      <c r="N87" s="11">
        <v>0</v>
      </c>
      <c r="O87" s="11">
        <v>0</v>
      </c>
      <c r="P87" s="11">
        <v>0</v>
      </c>
      <c r="Q87" s="12">
        <v>0</v>
      </c>
      <c r="R87" s="12">
        <v>0</v>
      </c>
      <c r="S87" s="12">
        <f>$G$87*$G$8+$H$87*$H$8+$I$87*$I$8+$J$87*$J$8+$K$87*$K$8+$L$87*$L$8+$M$87*$M$8+$N$87*$N$8+$O$87*$O$8+$P$87*$P$8</f>
        <v>0</v>
      </c>
      <c r="T87" s="12">
        <f>SUM($Q$87:$R$87)</f>
        <v>0</v>
      </c>
      <c r="U87" s="12">
        <f>$S$87+$T$87</f>
        <v>0</v>
      </c>
    </row>
    <row r="88" spans="1:21" x14ac:dyDescent="0.3">
      <c r="A88" s="13" t="s">
        <v>321</v>
      </c>
      <c r="B88" s="14" t="s">
        <v>322</v>
      </c>
      <c r="C88" s="14"/>
      <c r="D88" s="14" t="s">
        <v>323</v>
      </c>
      <c r="E88" s="14">
        <f xml:space="preserve"> IF($U$88,1,0)</f>
        <v>0</v>
      </c>
      <c r="F88" s="14" t="s">
        <v>324</v>
      </c>
      <c r="G88" s="14">
        <v>0</v>
      </c>
      <c r="H88" s="14">
        <v>0</v>
      </c>
      <c r="I88" s="14">
        <v>0</v>
      </c>
      <c r="J88" s="14">
        <v>0</v>
      </c>
      <c r="K88" s="14">
        <v>0</v>
      </c>
      <c r="L88" s="14">
        <v>0</v>
      </c>
      <c r="M88" s="14">
        <v>0</v>
      </c>
      <c r="N88" s="14">
        <v>0</v>
      </c>
      <c r="O88" s="14">
        <v>0</v>
      </c>
      <c r="P88" s="14">
        <v>0</v>
      </c>
      <c r="Q88" s="15">
        <v>0</v>
      </c>
      <c r="R88" s="15">
        <v>0</v>
      </c>
      <c r="S88" s="15">
        <f>$G$88*$G$8+$H$88*$H$8+$I$88*$I$8+$J$88*$J$8+$K$88*$K$8+$L$88*$L$8+$M$88*$M$8+$N$88*$N$8+$O$88*$O$8+$P$88*$P$8</f>
        <v>0</v>
      </c>
      <c r="T88" s="15">
        <f>SUM($Q$88:$R$88)</f>
        <v>0</v>
      </c>
      <c r="U88" s="15">
        <f>$S$88+$T$88</f>
        <v>0</v>
      </c>
    </row>
    <row r="89" spans="1:21" x14ac:dyDescent="0.3">
      <c r="A89" s="10" t="s">
        <v>325</v>
      </c>
      <c r="B89" s="11" t="s">
        <v>326</v>
      </c>
      <c r="C89" s="11" t="s">
        <v>243</v>
      </c>
      <c r="D89" s="11" t="s">
        <v>327</v>
      </c>
      <c r="E89" s="11">
        <f xml:space="preserve"> IF($U$89,1,0)</f>
        <v>0</v>
      </c>
      <c r="F89" s="11" t="s">
        <v>328</v>
      </c>
      <c r="G89" s="11">
        <v>0</v>
      </c>
      <c r="H89" s="11">
        <v>0</v>
      </c>
      <c r="I89" s="11">
        <v>0</v>
      </c>
      <c r="J89" s="11">
        <v>0</v>
      </c>
      <c r="K89" s="11">
        <v>0</v>
      </c>
      <c r="L89" s="11">
        <v>0</v>
      </c>
      <c r="M89" s="11">
        <v>0</v>
      </c>
      <c r="N89" s="11">
        <v>0</v>
      </c>
      <c r="O89" s="11">
        <v>0</v>
      </c>
      <c r="P89" s="11">
        <v>0</v>
      </c>
      <c r="Q89" s="12">
        <v>0</v>
      </c>
      <c r="R89" s="12">
        <v>0</v>
      </c>
      <c r="S89" s="12">
        <f>$G$89*$G$8+$H$89*$H$8+$I$89*$I$8+$J$89*$J$8+$K$89*$K$8+$L$89*$L$8+$M$89*$M$8+$N$89*$N$8+$O$89*$O$8+$P$89*$P$8</f>
        <v>0</v>
      </c>
      <c r="T89" s="12">
        <f>SUM($Q$89:$R$89)</f>
        <v>0</v>
      </c>
      <c r="U89" s="12">
        <f>$S$89+$T$89</f>
        <v>0</v>
      </c>
    </row>
    <row r="90" spans="1:21" x14ac:dyDescent="0.3">
      <c r="A90" s="13" t="s">
        <v>329</v>
      </c>
      <c r="B90" s="14" t="s">
        <v>330</v>
      </c>
      <c r="C90" s="14"/>
      <c r="D90" s="14" t="s">
        <v>331</v>
      </c>
      <c r="E90" s="14">
        <f xml:space="preserve"> IF($U$90,1,0)</f>
        <v>1</v>
      </c>
      <c r="F90" s="14" t="s">
        <v>332</v>
      </c>
      <c r="G90" s="14">
        <v>0</v>
      </c>
      <c r="H90" s="14">
        <v>0</v>
      </c>
      <c r="I90" s="14">
        <v>0</v>
      </c>
      <c r="J90" s="14">
        <v>0</v>
      </c>
      <c r="K90" s="14">
        <v>1</v>
      </c>
      <c r="L90" s="14">
        <v>1</v>
      </c>
      <c r="M90" s="14">
        <v>0</v>
      </c>
      <c r="N90" s="14">
        <v>0</v>
      </c>
      <c r="O90" s="14">
        <v>0</v>
      </c>
      <c r="P90" s="14">
        <v>0</v>
      </c>
      <c r="Q90" s="15">
        <v>0</v>
      </c>
      <c r="R90" s="15">
        <v>0</v>
      </c>
      <c r="S90" s="15">
        <f>$G$90*$G$8+$H$90*$H$8+$I$90*$I$8+$J$90*$J$8+$K$90*$K$8+$L$90*$L$8+$M$90*$M$8+$N$90*$N$8+$O$90*$O$8+$P$90*$P$8</f>
        <v>5</v>
      </c>
      <c r="T90" s="15">
        <f>SUM($Q$90:$R$90)</f>
        <v>0</v>
      </c>
      <c r="U90" s="15">
        <f>$S$90+$T$90</f>
        <v>5</v>
      </c>
    </row>
    <row r="91" spans="1:21" x14ac:dyDescent="0.3">
      <c r="A91" s="10" t="s">
        <v>333</v>
      </c>
      <c r="B91" s="11" t="s">
        <v>334</v>
      </c>
      <c r="C91" s="11"/>
      <c r="D91" s="11" t="s">
        <v>335</v>
      </c>
      <c r="E91" s="11">
        <f xml:space="preserve"> IF($U$91,1,0)</f>
        <v>0</v>
      </c>
      <c r="F91" s="11" t="s">
        <v>336</v>
      </c>
      <c r="G91" s="11">
        <v>0</v>
      </c>
      <c r="H91" s="11">
        <v>0</v>
      </c>
      <c r="I91" s="11">
        <v>0</v>
      </c>
      <c r="J91" s="11">
        <v>0</v>
      </c>
      <c r="K91" s="11">
        <v>0</v>
      </c>
      <c r="L91" s="11">
        <v>0</v>
      </c>
      <c r="M91" s="11">
        <v>0</v>
      </c>
      <c r="N91" s="11">
        <v>0</v>
      </c>
      <c r="O91" s="11">
        <v>0</v>
      </c>
      <c r="P91" s="11">
        <v>0</v>
      </c>
      <c r="Q91" s="12">
        <v>0</v>
      </c>
      <c r="R91" s="12">
        <v>0</v>
      </c>
      <c r="S91" s="12">
        <f>$G$91*$G$8+$H$91*$H$8+$I$91*$I$8+$J$91*$J$8+$K$91*$K$8+$L$91*$L$8+$M$91*$M$8+$N$91*$N$8+$O$91*$O$8+$P$91*$P$8</f>
        <v>0</v>
      </c>
      <c r="T91" s="12">
        <f>SUM($Q$91:$R$91)</f>
        <v>0</v>
      </c>
      <c r="U91" s="12">
        <f>$S$91+$T$91</f>
        <v>0</v>
      </c>
    </row>
    <row r="92" spans="1:21" x14ac:dyDescent="0.3">
      <c r="A92" s="13" t="s">
        <v>337</v>
      </c>
      <c r="B92" s="14" t="s">
        <v>334</v>
      </c>
      <c r="C92" s="14"/>
      <c r="D92" s="14" t="s">
        <v>338</v>
      </c>
      <c r="E92" s="14">
        <f xml:space="preserve"> IF($U$92,1,0)</f>
        <v>0</v>
      </c>
      <c r="F92" s="14" t="s">
        <v>339</v>
      </c>
      <c r="G92" s="14">
        <v>0</v>
      </c>
      <c r="H92" s="14">
        <v>0</v>
      </c>
      <c r="I92" s="14">
        <v>0</v>
      </c>
      <c r="J92" s="14">
        <v>0</v>
      </c>
      <c r="K92" s="14">
        <v>0</v>
      </c>
      <c r="L92" s="14">
        <v>0</v>
      </c>
      <c r="M92" s="14">
        <v>0</v>
      </c>
      <c r="N92" s="14">
        <v>0</v>
      </c>
      <c r="O92" s="14">
        <v>0</v>
      </c>
      <c r="P92" s="14">
        <v>0</v>
      </c>
      <c r="Q92" s="15">
        <v>0</v>
      </c>
      <c r="R92" s="15">
        <v>0</v>
      </c>
      <c r="S92" s="15">
        <f>$G$92*$G$8+$H$92*$H$8+$I$92*$I$8+$J$92*$J$8+$K$92*$K$8+$L$92*$L$8+$M$92*$M$8+$N$92*$N$8+$O$92*$O$8+$P$92*$P$8</f>
        <v>0</v>
      </c>
      <c r="T92" s="15">
        <f>SUM($Q$92:$R$92)</f>
        <v>0</v>
      </c>
      <c r="U92" s="15">
        <f>$S$92+$T$92</f>
        <v>0</v>
      </c>
    </row>
    <row r="93" spans="1:21" x14ac:dyDescent="0.3">
      <c r="A93" s="10" t="s">
        <v>340</v>
      </c>
      <c r="B93" s="11" t="s">
        <v>341</v>
      </c>
      <c r="C93" s="11" t="s">
        <v>342</v>
      </c>
      <c r="D93" s="11" t="s">
        <v>343</v>
      </c>
      <c r="E93" s="11">
        <f xml:space="preserve"> IF($U$93,1,0)</f>
        <v>0</v>
      </c>
      <c r="F93" s="11" t="s">
        <v>344</v>
      </c>
      <c r="G93" s="11">
        <v>0</v>
      </c>
      <c r="H93" s="11">
        <v>0</v>
      </c>
      <c r="I93" s="11">
        <v>0</v>
      </c>
      <c r="J93" s="11">
        <v>0</v>
      </c>
      <c r="K93" s="11">
        <v>0</v>
      </c>
      <c r="L93" s="11">
        <v>0</v>
      </c>
      <c r="M93" s="11">
        <v>0</v>
      </c>
      <c r="N93" s="11">
        <v>0</v>
      </c>
      <c r="O93" s="11">
        <v>0</v>
      </c>
      <c r="P93" s="11">
        <v>0</v>
      </c>
      <c r="Q93" s="12">
        <v>0</v>
      </c>
      <c r="R93" s="12">
        <v>0</v>
      </c>
      <c r="S93" s="12">
        <f>$G$93*$G$8+$H$93*$H$8+$I$93*$I$8+$J$93*$J$8+$K$93*$K$8+$L$93*$L$8+$M$93*$M$8+$N$93*$N$8+$O$93*$O$8+$P$93*$P$8</f>
        <v>0</v>
      </c>
      <c r="T93" s="12">
        <f>SUM($Q$93:$R$93)</f>
        <v>0</v>
      </c>
      <c r="U93" s="12">
        <f>$S$93+$T$93</f>
        <v>0</v>
      </c>
    </row>
    <row r="94" spans="1:21" x14ac:dyDescent="0.3">
      <c r="A94" s="13" t="s">
        <v>345</v>
      </c>
      <c r="B94" s="14" t="s">
        <v>346</v>
      </c>
      <c r="C94" s="14"/>
      <c r="D94" s="14" t="s">
        <v>347</v>
      </c>
      <c r="E94" s="14">
        <f xml:space="preserve"> IF($U$94,1,0)</f>
        <v>0</v>
      </c>
      <c r="F94" s="14" t="s">
        <v>348</v>
      </c>
      <c r="G94" s="14">
        <v>0</v>
      </c>
      <c r="H94" s="14">
        <v>0</v>
      </c>
      <c r="I94" s="14">
        <v>0</v>
      </c>
      <c r="J94" s="14">
        <v>0</v>
      </c>
      <c r="K94" s="14">
        <v>0</v>
      </c>
      <c r="L94" s="14">
        <v>0</v>
      </c>
      <c r="M94" s="14">
        <v>0</v>
      </c>
      <c r="N94" s="14">
        <v>0</v>
      </c>
      <c r="O94" s="14">
        <v>0</v>
      </c>
      <c r="P94" s="14">
        <v>0</v>
      </c>
      <c r="Q94" s="15">
        <v>0</v>
      </c>
      <c r="R94" s="15">
        <v>0</v>
      </c>
      <c r="S94" s="15">
        <f>$G$94*$G$8+$H$94*$H$8+$I$94*$I$8+$J$94*$J$8+$K$94*$K$8+$L$94*$L$8+$M$94*$M$8+$N$94*$N$8+$O$94*$O$8+$P$94*$P$8</f>
        <v>0</v>
      </c>
      <c r="T94" s="15">
        <f>SUM($Q$94:$R$94)</f>
        <v>0</v>
      </c>
      <c r="U94" s="15">
        <f>$S$94+$T$94</f>
        <v>0</v>
      </c>
    </row>
    <row r="95" spans="1:21" x14ac:dyDescent="0.3">
      <c r="A95" s="10" t="s">
        <v>349</v>
      </c>
      <c r="B95" s="11" t="s">
        <v>350</v>
      </c>
      <c r="C95" s="11"/>
      <c r="D95" s="11" t="s">
        <v>351</v>
      </c>
      <c r="E95" s="11">
        <f xml:space="preserve"> IF($U$95,1,0)</f>
        <v>0</v>
      </c>
      <c r="F95" s="11" t="s">
        <v>352</v>
      </c>
      <c r="G95" s="11">
        <v>0</v>
      </c>
      <c r="H95" s="11">
        <v>0</v>
      </c>
      <c r="I95" s="11">
        <v>0</v>
      </c>
      <c r="J95" s="11">
        <v>0</v>
      </c>
      <c r="K95" s="11">
        <v>0</v>
      </c>
      <c r="L95" s="11">
        <v>0</v>
      </c>
      <c r="M95" s="11">
        <v>0</v>
      </c>
      <c r="N95" s="11">
        <v>0</v>
      </c>
      <c r="O95" s="11">
        <v>0</v>
      </c>
      <c r="P95" s="11">
        <v>0</v>
      </c>
      <c r="Q95" s="12">
        <v>0</v>
      </c>
      <c r="R95" s="12">
        <v>0</v>
      </c>
      <c r="S95" s="12">
        <f>$G$95*$G$8+$H$95*$H$8+$I$95*$I$8+$J$95*$J$8+$K$95*$K$8+$L$95*$L$8+$M$95*$M$8+$N$95*$N$8+$O$95*$O$8+$P$95*$P$8</f>
        <v>0</v>
      </c>
      <c r="T95" s="12">
        <f>SUM($Q$95:$R$95)</f>
        <v>0</v>
      </c>
      <c r="U95" s="12">
        <f>$S$95+$T$95</f>
        <v>0</v>
      </c>
    </row>
    <row r="96" spans="1:21" x14ac:dyDescent="0.3">
      <c r="A96" s="13" t="s">
        <v>353</v>
      </c>
      <c r="B96" s="14" t="s">
        <v>354</v>
      </c>
      <c r="C96" s="14"/>
      <c r="D96" s="14" t="s">
        <v>355</v>
      </c>
      <c r="E96" s="14">
        <f xml:space="preserve"> IF($U$96,1,0)</f>
        <v>0</v>
      </c>
      <c r="F96" s="14" t="s">
        <v>356</v>
      </c>
      <c r="G96" s="14">
        <v>0</v>
      </c>
      <c r="H96" s="14">
        <v>0</v>
      </c>
      <c r="I96" s="14">
        <v>0</v>
      </c>
      <c r="J96" s="14">
        <v>0</v>
      </c>
      <c r="K96" s="14">
        <v>0</v>
      </c>
      <c r="L96" s="14">
        <v>0</v>
      </c>
      <c r="M96" s="14">
        <v>0</v>
      </c>
      <c r="N96" s="14">
        <v>0</v>
      </c>
      <c r="O96" s="14">
        <v>0</v>
      </c>
      <c r="P96" s="14">
        <v>0</v>
      </c>
      <c r="Q96" s="15">
        <v>0</v>
      </c>
      <c r="R96" s="15">
        <v>0</v>
      </c>
      <c r="S96" s="15">
        <f>$G$96*$G$8+$H$96*$H$8+$I$96*$I$8+$J$96*$J$8+$K$96*$K$8+$L$96*$L$8+$M$96*$M$8+$N$96*$N$8+$O$96*$O$8+$P$96*$P$8</f>
        <v>0</v>
      </c>
      <c r="T96" s="15">
        <f>SUM($Q$96:$R$96)</f>
        <v>0</v>
      </c>
      <c r="U96" s="15">
        <f>$S$96+$T$96</f>
        <v>0</v>
      </c>
    </row>
    <row r="97" spans="1:21" x14ac:dyDescent="0.3">
      <c r="A97" s="10" t="s">
        <v>357</v>
      </c>
      <c r="B97" s="11" t="s">
        <v>358</v>
      </c>
      <c r="C97" s="11" t="s">
        <v>34</v>
      </c>
      <c r="D97" s="11" t="s">
        <v>359</v>
      </c>
      <c r="E97" s="11">
        <f xml:space="preserve"> IF($U$97,1,0)</f>
        <v>0</v>
      </c>
      <c r="F97" s="11" t="s">
        <v>360</v>
      </c>
      <c r="G97" s="11">
        <v>0</v>
      </c>
      <c r="H97" s="11">
        <v>0</v>
      </c>
      <c r="I97" s="11">
        <v>0</v>
      </c>
      <c r="J97" s="11">
        <v>0</v>
      </c>
      <c r="K97" s="11">
        <v>0</v>
      </c>
      <c r="L97" s="11">
        <v>0</v>
      </c>
      <c r="M97" s="11">
        <v>0</v>
      </c>
      <c r="N97" s="11">
        <v>0</v>
      </c>
      <c r="O97" s="11">
        <v>0</v>
      </c>
      <c r="P97" s="11">
        <v>0</v>
      </c>
      <c r="Q97" s="12">
        <v>0</v>
      </c>
      <c r="R97" s="12">
        <v>0</v>
      </c>
      <c r="S97" s="12">
        <f>$G$97*$G$8+$H$97*$H$8+$I$97*$I$8+$J$97*$J$8+$K$97*$K$8+$L$97*$L$8+$M$97*$M$8+$N$97*$N$8+$O$97*$O$8+$P$97*$P$8</f>
        <v>0</v>
      </c>
      <c r="T97" s="12">
        <f>SUM($Q$97:$R$97)</f>
        <v>0</v>
      </c>
      <c r="U97" s="12">
        <f>$S$97+$T$97</f>
        <v>0</v>
      </c>
    </row>
    <row r="98" spans="1:21" x14ac:dyDescent="0.3">
      <c r="A98" s="13" t="s">
        <v>361</v>
      </c>
      <c r="B98" s="14" t="s">
        <v>358</v>
      </c>
      <c r="C98" s="14" t="s">
        <v>34</v>
      </c>
      <c r="D98" s="14" t="s">
        <v>362</v>
      </c>
      <c r="E98" s="14">
        <f xml:space="preserve"> IF($U$98,1,0)</f>
        <v>1</v>
      </c>
      <c r="F98" s="14" t="s">
        <v>363</v>
      </c>
      <c r="G98" s="14">
        <v>2</v>
      </c>
      <c r="H98" s="14">
        <v>0</v>
      </c>
      <c r="I98" s="14">
        <v>0</v>
      </c>
      <c r="J98" s="14">
        <v>0</v>
      </c>
      <c r="K98" s="14">
        <v>2</v>
      </c>
      <c r="L98" s="14">
        <v>4</v>
      </c>
      <c r="M98" s="14">
        <v>3</v>
      </c>
      <c r="N98" s="14">
        <v>2</v>
      </c>
      <c r="O98" s="14">
        <v>0</v>
      </c>
      <c r="P98" s="14">
        <v>2</v>
      </c>
      <c r="Q98" s="15">
        <v>0</v>
      </c>
      <c r="R98" s="15">
        <v>0</v>
      </c>
      <c r="S98" s="15">
        <f>$G$98*$G$8+$H$98*$H$8+$I$98*$I$8+$J$98*$J$8+$K$98*$K$8+$L$98*$L$8+$M$98*$M$8+$N$98*$N$8+$O$98*$O$8+$P$98*$P$8</f>
        <v>41.4</v>
      </c>
      <c r="T98" s="15">
        <f>SUM($Q$98:$R$98)</f>
        <v>0</v>
      </c>
      <c r="U98" s="15">
        <f>$S$98+$T$98</f>
        <v>41.4</v>
      </c>
    </row>
    <row r="99" spans="1:21" x14ac:dyDescent="0.3">
      <c r="A99" s="10" t="s">
        <v>364</v>
      </c>
      <c r="B99" s="11" t="s">
        <v>358</v>
      </c>
      <c r="C99" s="11"/>
      <c r="D99" s="11" t="s">
        <v>365</v>
      </c>
      <c r="E99" s="11">
        <f xml:space="preserve"> IF($U$99,1,0)</f>
        <v>1</v>
      </c>
      <c r="F99" s="11" t="s">
        <v>366</v>
      </c>
      <c r="G99" s="11">
        <v>0</v>
      </c>
      <c r="H99" s="11">
        <v>2</v>
      </c>
      <c r="I99" s="11">
        <v>0</v>
      </c>
      <c r="J99" s="11">
        <v>0</v>
      </c>
      <c r="K99" s="11">
        <v>0</v>
      </c>
      <c r="L99" s="11">
        <v>1</v>
      </c>
      <c r="M99" s="11">
        <v>2</v>
      </c>
      <c r="N99" s="11">
        <v>0</v>
      </c>
      <c r="O99" s="11">
        <v>0</v>
      </c>
      <c r="P99" s="11">
        <v>0</v>
      </c>
      <c r="Q99" s="12">
        <f>$T$338</f>
        <v>2.5</v>
      </c>
      <c r="R99" s="12">
        <f>$T$339</f>
        <v>1.85</v>
      </c>
      <c r="S99" s="12">
        <f>$G$99*$G$8+$H$99*$H$8+$I$99*$I$8+$J$99*$J$8+$K$99*$K$8+$L$99*$L$8+$M$99*$M$8+$N$99*$N$8+$O$99*$O$8+$P$99*$P$8</f>
        <v>14.6</v>
      </c>
      <c r="T99" s="12">
        <f>SUM($Q$99:$R$99)</f>
        <v>4.3499999999999996</v>
      </c>
      <c r="U99" s="12">
        <f>$S$99+$T$99</f>
        <v>18.95</v>
      </c>
    </row>
    <row r="100" spans="1:21" x14ac:dyDescent="0.3">
      <c r="A100" s="13" t="s">
        <v>367</v>
      </c>
      <c r="B100" s="14" t="s">
        <v>368</v>
      </c>
      <c r="C100" s="14" t="s">
        <v>34</v>
      </c>
      <c r="D100" s="14" t="s">
        <v>118</v>
      </c>
      <c r="E100" s="14">
        <f xml:space="preserve"> IF($U$100,1,0)</f>
        <v>0</v>
      </c>
      <c r="F100" s="14" t="s">
        <v>369</v>
      </c>
      <c r="G100" s="14">
        <v>0</v>
      </c>
      <c r="H100" s="14">
        <v>0</v>
      </c>
      <c r="I100" s="14">
        <v>0</v>
      </c>
      <c r="J100" s="14">
        <v>0</v>
      </c>
      <c r="K100" s="14">
        <v>0</v>
      </c>
      <c r="L100" s="14">
        <v>0</v>
      </c>
      <c r="M100" s="14">
        <v>0</v>
      </c>
      <c r="N100" s="14">
        <v>0</v>
      </c>
      <c r="O100" s="14">
        <v>0</v>
      </c>
      <c r="P100" s="14">
        <v>0</v>
      </c>
      <c r="Q100" s="15">
        <v>0</v>
      </c>
      <c r="R100" s="15">
        <v>0</v>
      </c>
      <c r="S100" s="15">
        <f>$G$100*$G$8+$H$100*$H$8+$I$100*$I$8+$J$100*$J$8+$K$100*$K$8+$L$100*$L$8+$M$100*$M$8+$N$100*$N$8+$O$100*$O$8+$P$100*$P$8</f>
        <v>0</v>
      </c>
      <c r="T100" s="15">
        <f>SUM($Q$100:$R$100)</f>
        <v>0</v>
      </c>
      <c r="U100" s="15">
        <f>$S$100+$T$100</f>
        <v>0</v>
      </c>
    </row>
    <row r="101" spans="1:21" x14ac:dyDescent="0.3">
      <c r="A101" s="10" t="s">
        <v>370</v>
      </c>
      <c r="B101" s="11" t="s">
        <v>371</v>
      </c>
      <c r="C101" s="11"/>
      <c r="D101" s="11" t="s">
        <v>372</v>
      </c>
      <c r="E101" s="11">
        <f xml:space="preserve"> IF($U$101,1,0)</f>
        <v>0</v>
      </c>
      <c r="F101" s="11" t="s">
        <v>373</v>
      </c>
      <c r="G101" s="11">
        <v>0</v>
      </c>
      <c r="H101" s="11">
        <v>0</v>
      </c>
      <c r="I101" s="11">
        <v>0</v>
      </c>
      <c r="J101" s="11">
        <v>0</v>
      </c>
      <c r="K101" s="11">
        <v>0</v>
      </c>
      <c r="L101" s="11">
        <v>0</v>
      </c>
      <c r="M101" s="11">
        <v>0</v>
      </c>
      <c r="N101" s="11">
        <v>0</v>
      </c>
      <c r="O101" s="11">
        <v>0</v>
      </c>
      <c r="P101" s="11">
        <v>0</v>
      </c>
      <c r="Q101" s="12">
        <v>0</v>
      </c>
      <c r="R101" s="12">
        <v>0</v>
      </c>
      <c r="S101" s="12">
        <f>$G$101*$G$8+$H$101*$H$8+$I$101*$I$8+$J$101*$J$8+$K$101*$K$8+$L$101*$L$8+$M$101*$M$8+$N$101*$N$8+$O$101*$O$8+$P$101*$P$8</f>
        <v>0</v>
      </c>
      <c r="T101" s="12">
        <f>SUM($Q$101:$R$101)</f>
        <v>0</v>
      </c>
      <c r="U101" s="12">
        <f>$S$101+$T$101</f>
        <v>0</v>
      </c>
    </row>
    <row r="102" spans="1:21" x14ac:dyDescent="0.3">
      <c r="A102" s="13" t="s">
        <v>374</v>
      </c>
      <c r="B102" s="14" t="s">
        <v>375</v>
      </c>
      <c r="C102" s="14"/>
      <c r="D102" s="14" t="s">
        <v>376</v>
      </c>
      <c r="E102" s="14">
        <f xml:space="preserve"> IF($U$102,1,0)</f>
        <v>0</v>
      </c>
      <c r="F102" s="14" t="s">
        <v>377</v>
      </c>
      <c r="G102" s="14">
        <v>0</v>
      </c>
      <c r="H102" s="14">
        <v>0</v>
      </c>
      <c r="I102" s="14">
        <v>0</v>
      </c>
      <c r="J102" s="14">
        <v>0</v>
      </c>
      <c r="K102" s="14">
        <v>0</v>
      </c>
      <c r="L102" s="14">
        <v>0</v>
      </c>
      <c r="M102" s="14">
        <v>0</v>
      </c>
      <c r="N102" s="14">
        <v>0</v>
      </c>
      <c r="O102" s="14">
        <v>0</v>
      </c>
      <c r="P102" s="14">
        <v>0</v>
      </c>
      <c r="Q102" s="15">
        <v>0</v>
      </c>
      <c r="R102" s="15">
        <v>0</v>
      </c>
      <c r="S102" s="15">
        <f>$G$102*$G$8+$H$102*$H$8+$I$102*$I$8+$J$102*$J$8+$K$102*$K$8+$L$102*$L$8+$M$102*$M$8+$N$102*$N$8+$O$102*$O$8+$P$102*$P$8</f>
        <v>0</v>
      </c>
      <c r="T102" s="15">
        <f>SUM($Q$102:$R$102)</f>
        <v>0</v>
      </c>
      <c r="U102" s="15">
        <f>$S$102+$T$102</f>
        <v>0</v>
      </c>
    </row>
    <row r="103" spans="1:21" x14ac:dyDescent="0.3">
      <c r="A103" s="10" t="s">
        <v>378</v>
      </c>
      <c r="B103" s="11" t="s">
        <v>379</v>
      </c>
      <c r="C103" s="11"/>
      <c r="D103" s="11" t="s">
        <v>380</v>
      </c>
      <c r="E103" s="11">
        <f xml:space="preserve"> IF($U$103,1,0)</f>
        <v>0</v>
      </c>
      <c r="F103" s="11" t="s">
        <v>381</v>
      </c>
      <c r="G103" s="11">
        <v>0</v>
      </c>
      <c r="H103" s="11">
        <v>0</v>
      </c>
      <c r="I103" s="11">
        <v>0</v>
      </c>
      <c r="J103" s="11">
        <v>0</v>
      </c>
      <c r="K103" s="11">
        <v>0</v>
      </c>
      <c r="L103" s="11">
        <v>0</v>
      </c>
      <c r="M103" s="11">
        <v>0</v>
      </c>
      <c r="N103" s="11">
        <v>0</v>
      </c>
      <c r="O103" s="11">
        <v>0</v>
      </c>
      <c r="P103" s="11">
        <v>0</v>
      </c>
      <c r="Q103" s="12">
        <v>0</v>
      </c>
      <c r="R103" s="12">
        <v>0</v>
      </c>
      <c r="S103" s="12">
        <f>$G$103*$G$8+$H$103*$H$8+$I$103*$I$8+$J$103*$J$8+$K$103*$K$8+$L$103*$L$8+$M$103*$M$8+$N$103*$N$8+$O$103*$O$8+$P$103*$P$8</f>
        <v>0</v>
      </c>
      <c r="T103" s="12">
        <f>SUM($Q$103:$R$103)</f>
        <v>0</v>
      </c>
      <c r="U103" s="12">
        <f>$S$103+$T$103</f>
        <v>0</v>
      </c>
    </row>
    <row r="104" spans="1:21" x14ac:dyDescent="0.3">
      <c r="A104" s="13" t="s">
        <v>382</v>
      </c>
      <c r="B104" s="14" t="s">
        <v>383</v>
      </c>
      <c r="C104" s="14"/>
      <c r="D104" s="14" t="s">
        <v>384</v>
      </c>
      <c r="E104" s="14">
        <f xml:space="preserve"> IF($U$104,1,0)</f>
        <v>1</v>
      </c>
      <c r="F104" s="14" t="s">
        <v>385</v>
      </c>
      <c r="G104" s="14">
        <v>2</v>
      </c>
      <c r="H104" s="14">
        <v>0</v>
      </c>
      <c r="I104" s="14">
        <v>0</v>
      </c>
      <c r="J104" s="14">
        <v>0</v>
      </c>
      <c r="K104" s="14">
        <v>0</v>
      </c>
      <c r="L104" s="14">
        <v>0</v>
      </c>
      <c r="M104" s="14">
        <v>0</v>
      </c>
      <c r="N104" s="14">
        <v>0</v>
      </c>
      <c r="O104" s="14">
        <v>0</v>
      </c>
      <c r="P104" s="14">
        <v>0</v>
      </c>
      <c r="Q104" s="15">
        <v>0</v>
      </c>
      <c r="R104" s="15">
        <v>0</v>
      </c>
      <c r="S104" s="15">
        <f>$G$104*$G$8+$H$104*$H$8+$I$104*$I$8+$J$104*$J$8+$K$104*$K$8+$L$104*$L$8+$M$104*$M$8+$N$104*$N$8+$O$104*$O$8+$P$104*$P$8</f>
        <v>1.4</v>
      </c>
      <c r="T104" s="15">
        <f>SUM($Q$104:$R$104)</f>
        <v>0</v>
      </c>
      <c r="U104" s="15">
        <f>$S$104+$T$104</f>
        <v>1.4</v>
      </c>
    </row>
    <row r="105" spans="1:21" x14ac:dyDescent="0.3">
      <c r="A105" s="10" t="s">
        <v>386</v>
      </c>
      <c r="B105" s="11" t="s">
        <v>387</v>
      </c>
      <c r="C105" s="11" t="s">
        <v>278</v>
      </c>
      <c r="D105" s="11" t="s">
        <v>388</v>
      </c>
      <c r="E105" s="11">
        <f xml:space="preserve"> IF($U$105,1,0)</f>
        <v>0</v>
      </c>
      <c r="F105" s="11" t="s">
        <v>389</v>
      </c>
      <c r="G105" s="11">
        <v>0</v>
      </c>
      <c r="H105" s="11">
        <v>0</v>
      </c>
      <c r="I105" s="11">
        <v>0</v>
      </c>
      <c r="J105" s="11">
        <v>0</v>
      </c>
      <c r="K105" s="11">
        <v>0</v>
      </c>
      <c r="L105" s="11">
        <v>0</v>
      </c>
      <c r="M105" s="11">
        <v>0</v>
      </c>
      <c r="N105" s="11">
        <v>0</v>
      </c>
      <c r="O105" s="11">
        <v>0</v>
      </c>
      <c r="P105" s="11">
        <v>0</v>
      </c>
      <c r="Q105" s="12">
        <v>0</v>
      </c>
      <c r="R105" s="12">
        <v>0</v>
      </c>
      <c r="S105" s="12">
        <f>$G$105*$G$8+$H$105*$H$8+$I$105*$I$8+$J$105*$J$8+$K$105*$K$8+$L$105*$L$8+$M$105*$M$8+$N$105*$N$8+$O$105*$O$8+$P$105*$P$8</f>
        <v>0</v>
      </c>
      <c r="T105" s="12">
        <f>SUM($Q$105:$R$105)</f>
        <v>0</v>
      </c>
      <c r="U105" s="12">
        <f>$S$105+$T$105</f>
        <v>0</v>
      </c>
    </row>
    <row r="106" spans="1:21" x14ac:dyDescent="0.3">
      <c r="A106" s="13" t="s">
        <v>390</v>
      </c>
      <c r="B106" s="14" t="s">
        <v>387</v>
      </c>
      <c r="C106" s="14" t="s">
        <v>34</v>
      </c>
      <c r="D106" s="14" t="s">
        <v>391</v>
      </c>
      <c r="E106" s="14">
        <f xml:space="preserve"> IF($U$106,1,0)</f>
        <v>0</v>
      </c>
      <c r="F106" s="14" t="s">
        <v>392</v>
      </c>
      <c r="G106" s="14">
        <v>0</v>
      </c>
      <c r="H106" s="14">
        <v>0</v>
      </c>
      <c r="I106" s="14">
        <v>0</v>
      </c>
      <c r="J106" s="14">
        <v>0</v>
      </c>
      <c r="K106" s="14">
        <v>0</v>
      </c>
      <c r="L106" s="14">
        <v>0</v>
      </c>
      <c r="M106" s="14">
        <v>0</v>
      </c>
      <c r="N106" s="14">
        <v>0</v>
      </c>
      <c r="O106" s="14">
        <v>0</v>
      </c>
      <c r="P106" s="14">
        <v>0</v>
      </c>
      <c r="Q106" s="15">
        <v>0</v>
      </c>
      <c r="R106" s="15">
        <v>0</v>
      </c>
      <c r="S106" s="15">
        <f>$G$106*$G$8+$H$106*$H$8+$I$106*$I$8+$J$106*$J$8+$K$106*$K$8+$L$106*$L$8+$M$106*$M$8+$N$106*$N$8+$O$106*$O$8+$P$106*$P$8</f>
        <v>0</v>
      </c>
      <c r="T106" s="15">
        <f>SUM($Q$106:$R$106)</f>
        <v>0</v>
      </c>
      <c r="U106" s="15">
        <f>$S$106+$T$106</f>
        <v>0</v>
      </c>
    </row>
    <row r="107" spans="1:21" x14ac:dyDescent="0.3">
      <c r="A107" s="10" t="s">
        <v>393</v>
      </c>
      <c r="B107" s="11" t="s">
        <v>394</v>
      </c>
      <c r="C107" s="11"/>
      <c r="D107" s="11" t="s">
        <v>395</v>
      </c>
      <c r="E107" s="11">
        <f xml:space="preserve"> IF($U$107,1,0)</f>
        <v>1</v>
      </c>
      <c r="F107" s="11" t="s">
        <v>396</v>
      </c>
      <c r="G107" s="11">
        <v>10</v>
      </c>
      <c r="H107" s="11">
        <v>7</v>
      </c>
      <c r="I107" s="11">
        <v>0</v>
      </c>
      <c r="J107" s="11">
        <v>0</v>
      </c>
      <c r="K107" s="11">
        <v>0</v>
      </c>
      <c r="L107" s="11">
        <v>0</v>
      </c>
      <c r="M107" s="11">
        <v>0</v>
      </c>
      <c r="N107" s="11">
        <v>0</v>
      </c>
      <c r="O107" s="11">
        <v>0</v>
      </c>
      <c r="P107" s="11">
        <v>1</v>
      </c>
      <c r="Q107" s="12">
        <v>0</v>
      </c>
      <c r="R107" s="12">
        <v>0</v>
      </c>
      <c r="S107" s="12">
        <f>$G$107*$G$8+$H$107*$H$8+$I$107*$I$8+$J$107*$J$8+$K$107*$K$8+$L$107*$L$8+$M$107*$M$8+$N$107*$N$8+$O$107*$O$8+$P$107*$P$8</f>
        <v>20.6</v>
      </c>
      <c r="T107" s="12">
        <f>SUM($Q$107:$R$107)</f>
        <v>0</v>
      </c>
      <c r="U107" s="12">
        <f>$S$107+$T$107</f>
        <v>20.6</v>
      </c>
    </row>
    <row r="108" spans="1:21" x14ac:dyDescent="0.3">
      <c r="A108" s="13" t="s">
        <v>397</v>
      </c>
      <c r="B108" s="14" t="s">
        <v>398</v>
      </c>
      <c r="C108" s="14" t="s">
        <v>243</v>
      </c>
      <c r="D108" s="14" t="s">
        <v>399</v>
      </c>
      <c r="E108" s="14">
        <f xml:space="preserve"> IF($U$108,1,0)</f>
        <v>0</v>
      </c>
      <c r="F108" s="14" t="s">
        <v>400</v>
      </c>
      <c r="G108" s="14">
        <v>0</v>
      </c>
      <c r="H108" s="14">
        <v>0</v>
      </c>
      <c r="I108" s="14">
        <v>0</v>
      </c>
      <c r="J108" s="14">
        <v>0</v>
      </c>
      <c r="K108" s="14">
        <v>0</v>
      </c>
      <c r="L108" s="14">
        <v>0</v>
      </c>
      <c r="M108" s="14">
        <v>0</v>
      </c>
      <c r="N108" s="14">
        <v>0</v>
      </c>
      <c r="O108" s="14">
        <v>0</v>
      </c>
      <c r="P108" s="14">
        <v>0</v>
      </c>
      <c r="Q108" s="15">
        <v>0</v>
      </c>
      <c r="R108" s="15">
        <v>0</v>
      </c>
      <c r="S108" s="15">
        <f>$G$108*$G$8+$H$108*$H$8+$I$108*$I$8+$J$108*$J$8+$K$108*$K$8+$L$108*$L$8+$M$108*$M$8+$N$108*$N$8+$O$108*$O$8+$P$108*$P$8</f>
        <v>0</v>
      </c>
      <c r="T108" s="15">
        <f>SUM($Q$108:$R$108)</f>
        <v>0</v>
      </c>
      <c r="U108" s="15">
        <f>$S$108+$T$108</f>
        <v>0</v>
      </c>
    </row>
    <row r="109" spans="1:21" x14ac:dyDescent="0.3">
      <c r="A109" s="10" t="s">
        <v>401</v>
      </c>
      <c r="B109" s="11" t="s">
        <v>402</v>
      </c>
      <c r="C109" s="11"/>
      <c r="D109" s="11" t="s">
        <v>403</v>
      </c>
      <c r="E109" s="11">
        <f xml:space="preserve"> IF($U$109,1,0)</f>
        <v>1</v>
      </c>
      <c r="F109" s="11" t="s">
        <v>404</v>
      </c>
      <c r="G109" s="11">
        <v>3</v>
      </c>
      <c r="H109" s="11">
        <v>0</v>
      </c>
      <c r="I109" s="11">
        <v>0</v>
      </c>
      <c r="J109" s="11">
        <v>0</v>
      </c>
      <c r="K109" s="11">
        <v>0</v>
      </c>
      <c r="L109" s="11">
        <v>0</v>
      </c>
      <c r="M109" s="11">
        <v>0</v>
      </c>
      <c r="N109" s="11">
        <v>0</v>
      </c>
      <c r="O109" s="11">
        <v>0</v>
      </c>
      <c r="P109" s="11">
        <v>1</v>
      </c>
      <c r="Q109" s="12">
        <v>0</v>
      </c>
      <c r="R109" s="12">
        <v>0</v>
      </c>
      <c r="S109" s="12">
        <f>$G$109*$G$8+$H$109*$H$8+$I$109*$I$8+$J$109*$J$8+$K$109*$K$8+$L$109*$L$8+$M$109*$M$8+$N$109*$N$8+$O$109*$O$8+$P$109*$P$8</f>
        <v>3.0999999999999996</v>
      </c>
      <c r="T109" s="12">
        <f>SUM($Q$109:$R$109)</f>
        <v>0</v>
      </c>
      <c r="U109" s="12">
        <f>$S$109+$T$109</f>
        <v>3.0999999999999996</v>
      </c>
    </row>
    <row r="110" spans="1:21" x14ac:dyDescent="0.3">
      <c r="A110" s="13" t="s">
        <v>405</v>
      </c>
      <c r="B110" s="14" t="s">
        <v>406</v>
      </c>
      <c r="C110" s="14"/>
      <c r="D110" s="14" t="s">
        <v>407</v>
      </c>
      <c r="E110" s="14">
        <f xml:space="preserve"> IF($U$110,1,0)</f>
        <v>1</v>
      </c>
      <c r="F110" s="14" t="s">
        <v>408</v>
      </c>
      <c r="G110" s="14">
        <v>4</v>
      </c>
      <c r="H110" s="14">
        <v>0</v>
      </c>
      <c r="I110" s="14">
        <v>0</v>
      </c>
      <c r="J110" s="14">
        <v>0</v>
      </c>
      <c r="K110" s="14">
        <v>0</v>
      </c>
      <c r="L110" s="14">
        <v>0</v>
      </c>
      <c r="M110" s="14">
        <v>0</v>
      </c>
      <c r="N110" s="14">
        <v>0</v>
      </c>
      <c r="O110" s="14">
        <v>0</v>
      </c>
      <c r="P110" s="14">
        <v>0</v>
      </c>
      <c r="Q110" s="15">
        <v>0</v>
      </c>
      <c r="R110" s="15">
        <v>0</v>
      </c>
      <c r="S110" s="15">
        <f>$G$110*$G$8+$H$110*$H$8+$I$110*$I$8+$J$110*$J$8+$K$110*$K$8+$L$110*$L$8+$M$110*$M$8+$N$110*$N$8+$O$110*$O$8+$P$110*$P$8</f>
        <v>2.8</v>
      </c>
      <c r="T110" s="15">
        <f>SUM($Q$110:$R$110)</f>
        <v>0</v>
      </c>
      <c r="U110" s="15">
        <f>$S$110+$T$110</f>
        <v>2.8</v>
      </c>
    </row>
    <row r="111" spans="1:21" x14ac:dyDescent="0.3">
      <c r="A111" s="10" t="s">
        <v>409</v>
      </c>
      <c r="B111" s="11" t="s">
        <v>410</v>
      </c>
      <c r="C111" s="11"/>
      <c r="D111" s="11" t="s">
        <v>411</v>
      </c>
      <c r="E111" s="11">
        <f xml:space="preserve"> IF($U$111,1,0)</f>
        <v>0</v>
      </c>
      <c r="F111" s="11" t="s">
        <v>412</v>
      </c>
      <c r="G111" s="11">
        <v>0</v>
      </c>
      <c r="H111" s="11">
        <v>0</v>
      </c>
      <c r="I111" s="11">
        <v>0</v>
      </c>
      <c r="J111" s="11">
        <v>0</v>
      </c>
      <c r="K111" s="11">
        <v>0</v>
      </c>
      <c r="L111" s="11">
        <v>0</v>
      </c>
      <c r="M111" s="11">
        <v>0</v>
      </c>
      <c r="N111" s="11">
        <v>0</v>
      </c>
      <c r="O111" s="11">
        <v>0</v>
      </c>
      <c r="P111" s="11">
        <v>0</v>
      </c>
      <c r="Q111" s="12">
        <v>0</v>
      </c>
      <c r="R111" s="12">
        <v>0</v>
      </c>
      <c r="S111" s="12">
        <f>$G$111*$G$8+$H$111*$H$8+$I$111*$I$8+$J$111*$J$8+$K$111*$K$8+$L$111*$L$8+$M$111*$M$8+$N$111*$N$8+$O$111*$O$8+$P$111*$P$8</f>
        <v>0</v>
      </c>
      <c r="T111" s="12">
        <f>SUM($Q$111:$R$111)</f>
        <v>0</v>
      </c>
      <c r="U111" s="12">
        <f>$S$111+$T$111</f>
        <v>0</v>
      </c>
    </row>
    <row r="112" spans="1:21" x14ac:dyDescent="0.3">
      <c r="A112" s="13" t="s">
        <v>413</v>
      </c>
      <c r="B112" s="14" t="s">
        <v>414</v>
      </c>
      <c r="C112" s="14"/>
      <c r="D112" s="14" t="s">
        <v>415</v>
      </c>
      <c r="E112" s="14">
        <f xml:space="preserve"> IF($U$112,1,0)</f>
        <v>0</v>
      </c>
      <c r="F112" s="14" t="s">
        <v>416</v>
      </c>
      <c r="G112" s="14">
        <v>0</v>
      </c>
      <c r="H112" s="14">
        <v>0</v>
      </c>
      <c r="I112" s="14">
        <v>0</v>
      </c>
      <c r="J112" s="14">
        <v>0</v>
      </c>
      <c r="K112" s="14">
        <v>0</v>
      </c>
      <c r="L112" s="14">
        <v>0</v>
      </c>
      <c r="M112" s="14">
        <v>0</v>
      </c>
      <c r="N112" s="14">
        <v>0</v>
      </c>
      <c r="O112" s="14">
        <v>0</v>
      </c>
      <c r="P112" s="14">
        <v>0</v>
      </c>
      <c r="Q112" s="15">
        <v>0</v>
      </c>
      <c r="R112" s="15">
        <v>0</v>
      </c>
      <c r="S112" s="15">
        <f>$G$112*$G$8+$H$112*$H$8+$I$112*$I$8+$J$112*$J$8+$K$112*$K$8+$L$112*$L$8+$M$112*$M$8+$N$112*$N$8+$O$112*$O$8+$P$112*$P$8</f>
        <v>0</v>
      </c>
      <c r="T112" s="15">
        <f>SUM($Q$112:$R$112)</f>
        <v>0</v>
      </c>
      <c r="U112" s="15">
        <f>$S$112+$T$112</f>
        <v>0</v>
      </c>
    </row>
    <row r="113" spans="1:21" x14ac:dyDescent="0.3">
      <c r="A113" s="10" t="s">
        <v>417</v>
      </c>
      <c r="B113" s="11" t="s">
        <v>418</v>
      </c>
      <c r="C113" s="11"/>
      <c r="D113" s="11" t="s">
        <v>419</v>
      </c>
      <c r="E113" s="11">
        <f xml:space="preserve"> IF($U$113,1,0)</f>
        <v>0</v>
      </c>
      <c r="F113" s="11" t="s">
        <v>420</v>
      </c>
      <c r="G113" s="11">
        <v>0</v>
      </c>
      <c r="H113" s="11">
        <v>0</v>
      </c>
      <c r="I113" s="11">
        <v>0</v>
      </c>
      <c r="J113" s="11">
        <v>0</v>
      </c>
      <c r="K113" s="11">
        <v>0</v>
      </c>
      <c r="L113" s="11">
        <v>0</v>
      </c>
      <c r="M113" s="11">
        <v>0</v>
      </c>
      <c r="N113" s="11">
        <v>0</v>
      </c>
      <c r="O113" s="11">
        <v>0</v>
      </c>
      <c r="P113" s="11">
        <v>0</v>
      </c>
      <c r="Q113" s="12">
        <v>0</v>
      </c>
      <c r="R113" s="12">
        <v>0</v>
      </c>
      <c r="S113" s="12">
        <f>$G$113*$G$8+$H$113*$H$8+$I$113*$I$8+$J$113*$J$8+$K$113*$K$8+$L$113*$L$8+$M$113*$M$8+$N$113*$N$8+$O$113*$O$8+$P$113*$P$8</f>
        <v>0</v>
      </c>
      <c r="T113" s="12">
        <f>SUM($Q$113:$R$113)</f>
        <v>0</v>
      </c>
      <c r="U113" s="12">
        <f>$S$113+$T$113</f>
        <v>0</v>
      </c>
    </row>
    <row r="114" spans="1:21" x14ac:dyDescent="0.3">
      <c r="A114" s="13" t="s">
        <v>421</v>
      </c>
      <c r="B114" s="14" t="s">
        <v>422</v>
      </c>
      <c r="C114" s="14"/>
      <c r="D114" s="14" t="s">
        <v>423</v>
      </c>
      <c r="E114" s="14">
        <f xml:space="preserve"> IF($U$114,1,0)</f>
        <v>0</v>
      </c>
      <c r="F114" s="14" t="s">
        <v>424</v>
      </c>
      <c r="G114" s="14">
        <v>0</v>
      </c>
      <c r="H114" s="14">
        <v>0</v>
      </c>
      <c r="I114" s="14">
        <v>0</v>
      </c>
      <c r="J114" s="14">
        <v>0</v>
      </c>
      <c r="K114" s="14">
        <v>0</v>
      </c>
      <c r="L114" s="14">
        <v>0</v>
      </c>
      <c r="M114" s="14">
        <v>0</v>
      </c>
      <c r="N114" s="14">
        <v>0</v>
      </c>
      <c r="O114" s="14">
        <v>0</v>
      </c>
      <c r="P114" s="14">
        <v>0</v>
      </c>
      <c r="Q114" s="15">
        <v>0</v>
      </c>
      <c r="R114" s="15">
        <v>0</v>
      </c>
      <c r="S114" s="15">
        <f>$G$114*$G$8+$H$114*$H$8+$I$114*$I$8+$J$114*$J$8+$K$114*$K$8+$L$114*$L$8+$M$114*$M$8+$N$114*$N$8+$O$114*$O$8+$P$114*$P$8</f>
        <v>0</v>
      </c>
      <c r="T114" s="15">
        <f>SUM($Q$114:$R$114)</f>
        <v>0</v>
      </c>
      <c r="U114" s="15">
        <f>$S$114+$T$114</f>
        <v>0</v>
      </c>
    </row>
    <row r="115" spans="1:21" x14ac:dyDescent="0.3">
      <c r="A115" s="10" t="s">
        <v>425</v>
      </c>
      <c r="B115" s="11" t="s">
        <v>426</v>
      </c>
      <c r="C115" s="11" t="s">
        <v>34</v>
      </c>
      <c r="D115" s="11" t="s">
        <v>427</v>
      </c>
      <c r="E115" s="11">
        <f xml:space="preserve"> IF($U$115,1,0)</f>
        <v>0</v>
      </c>
      <c r="F115" s="11" t="s">
        <v>428</v>
      </c>
      <c r="G115" s="11">
        <v>0</v>
      </c>
      <c r="H115" s="11">
        <v>0</v>
      </c>
      <c r="I115" s="11">
        <v>0</v>
      </c>
      <c r="J115" s="11">
        <v>0</v>
      </c>
      <c r="K115" s="11">
        <v>0</v>
      </c>
      <c r="L115" s="11">
        <v>0</v>
      </c>
      <c r="M115" s="11">
        <v>0</v>
      </c>
      <c r="N115" s="11">
        <v>0</v>
      </c>
      <c r="O115" s="11">
        <v>0</v>
      </c>
      <c r="P115" s="11">
        <v>0</v>
      </c>
      <c r="Q115" s="12">
        <v>0</v>
      </c>
      <c r="R115" s="12">
        <v>0</v>
      </c>
      <c r="S115" s="12">
        <f>$G$115*$G$8+$H$115*$H$8+$I$115*$I$8+$J$115*$J$8+$K$115*$K$8+$L$115*$L$8+$M$115*$M$8+$N$115*$N$8+$O$115*$O$8+$P$115*$P$8</f>
        <v>0</v>
      </c>
      <c r="T115" s="12">
        <f>SUM($Q$115:$R$115)</f>
        <v>0</v>
      </c>
      <c r="U115" s="12">
        <f>$S$115+$T$115</f>
        <v>0</v>
      </c>
    </row>
    <row r="116" spans="1:21" x14ac:dyDescent="0.3">
      <c r="A116" s="13" t="s">
        <v>429</v>
      </c>
      <c r="B116" s="14" t="s">
        <v>430</v>
      </c>
      <c r="C116" s="14"/>
      <c r="D116" s="14" t="s">
        <v>431</v>
      </c>
      <c r="E116" s="14">
        <f xml:space="preserve"> IF($U$116,1,0)</f>
        <v>0</v>
      </c>
      <c r="F116" s="14" t="s">
        <v>432</v>
      </c>
      <c r="G116" s="14">
        <v>0</v>
      </c>
      <c r="H116" s="14">
        <v>0</v>
      </c>
      <c r="I116" s="14">
        <v>0</v>
      </c>
      <c r="J116" s="14">
        <v>0</v>
      </c>
      <c r="K116" s="14">
        <v>0</v>
      </c>
      <c r="L116" s="14">
        <v>0</v>
      </c>
      <c r="M116" s="14">
        <v>0</v>
      </c>
      <c r="N116" s="14">
        <v>0</v>
      </c>
      <c r="O116" s="14">
        <v>0</v>
      </c>
      <c r="P116" s="14">
        <v>0</v>
      </c>
      <c r="Q116" s="15">
        <v>0</v>
      </c>
      <c r="R116" s="15">
        <v>0</v>
      </c>
      <c r="S116" s="15">
        <f>$G$116*$G$8+$H$116*$H$8+$I$116*$I$8+$J$116*$J$8+$K$116*$K$8+$L$116*$L$8+$M$116*$M$8+$N$116*$N$8+$O$116*$O$8+$P$116*$P$8</f>
        <v>0</v>
      </c>
      <c r="T116" s="15">
        <f>SUM($Q$116:$R$116)</f>
        <v>0</v>
      </c>
      <c r="U116" s="15">
        <f>$S$116+$T$116</f>
        <v>0</v>
      </c>
    </row>
    <row r="117" spans="1:21" x14ac:dyDescent="0.3">
      <c r="A117" s="10" t="s">
        <v>1252</v>
      </c>
      <c r="B117" s="11" t="s">
        <v>1253</v>
      </c>
      <c r="C117" s="11"/>
      <c r="D117" s="11" t="s">
        <v>1254</v>
      </c>
      <c r="E117" s="11">
        <f xml:space="preserve"> IF($U$117,1,0)</f>
        <v>1</v>
      </c>
      <c r="F117" s="11" t="s">
        <v>1255</v>
      </c>
      <c r="G117" s="11">
        <v>9</v>
      </c>
      <c r="H117" s="11">
        <v>0</v>
      </c>
      <c r="I117" s="11">
        <v>0</v>
      </c>
      <c r="J117" s="11">
        <v>0</v>
      </c>
      <c r="K117" s="11">
        <v>0</v>
      </c>
      <c r="L117" s="11">
        <v>0</v>
      </c>
      <c r="M117" s="11">
        <v>0</v>
      </c>
      <c r="N117" s="11">
        <v>0</v>
      </c>
      <c r="O117" s="11">
        <v>0</v>
      </c>
      <c r="P117" s="11">
        <v>0</v>
      </c>
      <c r="Q117" s="12">
        <v>0</v>
      </c>
      <c r="R117" s="12">
        <v>0</v>
      </c>
      <c r="S117" s="12">
        <f>$G$117*$G$8+$H$117*$H$8+$I$117*$I$8+$J$117*$J$8+$K$117*$K$8+$L$117*$L$8+$M$117*$M$8+$N$117*$N$8+$O$117*$O$8+$P$117*$P$8</f>
        <v>6.3</v>
      </c>
      <c r="T117" s="12">
        <f>SUM($Q$117:$R$117)</f>
        <v>0</v>
      </c>
      <c r="U117" s="12">
        <f>$S$117+$T$117</f>
        <v>6.3</v>
      </c>
    </row>
    <row r="118" spans="1:21" x14ac:dyDescent="0.3">
      <c r="A118" s="13" t="s">
        <v>433</v>
      </c>
      <c r="B118" s="14" t="s">
        <v>434</v>
      </c>
      <c r="C118" s="14" t="s">
        <v>202</v>
      </c>
      <c r="D118" s="14" t="s">
        <v>435</v>
      </c>
      <c r="E118" s="14">
        <f xml:space="preserve"> IF($U$118,1,0)</f>
        <v>0</v>
      </c>
      <c r="F118" s="14" t="s">
        <v>436</v>
      </c>
      <c r="G118" s="14">
        <v>0</v>
      </c>
      <c r="H118" s="14">
        <v>0</v>
      </c>
      <c r="I118" s="14">
        <v>0</v>
      </c>
      <c r="J118" s="14">
        <v>0</v>
      </c>
      <c r="K118" s="14">
        <v>0</v>
      </c>
      <c r="L118" s="14">
        <v>0</v>
      </c>
      <c r="M118" s="14">
        <v>0</v>
      </c>
      <c r="N118" s="14">
        <v>0</v>
      </c>
      <c r="O118" s="14">
        <v>0</v>
      </c>
      <c r="P118" s="14">
        <v>0</v>
      </c>
      <c r="Q118" s="15">
        <v>0</v>
      </c>
      <c r="R118" s="15">
        <v>0</v>
      </c>
      <c r="S118" s="15">
        <f>$G$118*$G$8+$H$118*$H$8+$I$118*$I$8+$J$118*$J$8+$K$118*$K$8+$L$118*$L$8+$M$118*$M$8+$N$118*$N$8+$O$118*$O$8+$P$118*$P$8</f>
        <v>0</v>
      </c>
      <c r="T118" s="15">
        <f>SUM($Q$118:$R$118)</f>
        <v>0</v>
      </c>
      <c r="U118" s="15">
        <f>$S$118+$T$118</f>
        <v>0</v>
      </c>
    </row>
    <row r="119" spans="1:21" x14ac:dyDescent="0.3">
      <c r="A119" s="10" t="s">
        <v>437</v>
      </c>
      <c r="B119" s="11" t="s">
        <v>434</v>
      </c>
      <c r="C119" s="11"/>
      <c r="D119" s="11" t="s">
        <v>438</v>
      </c>
      <c r="E119" s="11">
        <f xml:space="preserve"> IF($U$119,1,0)</f>
        <v>0</v>
      </c>
      <c r="F119" s="11" t="s">
        <v>439</v>
      </c>
      <c r="G119" s="11">
        <v>0</v>
      </c>
      <c r="H119" s="11">
        <v>0</v>
      </c>
      <c r="I119" s="11">
        <v>0</v>
      </c>
      <c r="J119" s="11">
        <v>0</v>
      </c>
      <c r="K119" s="11">
        <v>0</v>
      </c>
      <c r="L119" s="11">
        <v>0</v>
      </c>
      <c r="M119" s="11">
        <v>0</v>
      </c>
      <c r="N119" s="11">
        <v>0</v>
      </c>
      <c r="O119" s="11">
        <v>0</v>
      </c>
      <c r="P119" s="11">
        <v>0</v>
      </c>
      <c r="Q119" s="12">
        <v>0</v>
      </c>
      <c r="R119" s="12">
        <v>0</v>
      </c>
      <c r="S119" s="12">
        <f>$G$119*$G$8+$H$119*$H$8+$I$119*$I$8+$J$119*$J$8+$K$119*$K$8+$L$119*$L$8+$M$119*$M$8+$N$119*$N$8+$O$119*$O$8+$P$119*$P$8</f>
        <v>0</v>
      </c>
      <c r="T119" s="12">
        <f>SUM($Q$119:$R$119)</f>
        <v>0</v>
      </c>
      <c r="U119" s="12">
        <f>$S$119+$T$119</f>
        <v>0</v>
      </c>
    </row>
    <row r="120" spans="1:21" x14ac:dyDescent="0.3">
      <c r="A120" s="13" t="s">
        <v>440</v>
      </c>
      <c r="B120" s="14" t="s">
        <v>441</v>
      </c>
      <c r="C120" s="14" t="s">
        <v>202</v>
      </c>
      <c r="D120" s="14" t="s">
        <v>442</v>
      </c>
      <c r="E120" s="14">
        <f xml:space="preserve"> IF($U$120,1,0)</f>
        <v>0</v>
      </c>
      <c r="F120" s="14" t="s">
        <v>443</v>
      </c>
      <c r="G120" s="14">
        <v>0</v>
      </c>
      <c r="H120" s="14">
        <v>0</v>
      </c>
      <c r="I120" s="14">
        <v>0</v>
      </c>
      <c r="J120" s="14">
        <v>0</v>
      </c>
      <c r="K120" s="14">
        <v>0</v>
      </c>
      <c r="L120" s="14">
        <v>0</v>
      </c>
      <c r="M120" s="14">
        <v>0</v>
      </c>
      <c r="N120" s="14">
        <v>0</v>
      </c>
      <c r="O120" s="14">
        <v>0</v>
      </c>
      <c r="P120" s="14">
        <v>0</v>
      </c>
      <c r="Q120" s="15">
        <v>0</v>
      </c>
      <c r="R120" s="15">
        <v>0</v>
      </c>
      <c r="S120" s="15">
        <f>$G$120*$G$8+$H$120*$H$8+$I$120*$I$8+$J$120*$J$8+$K$120*$K$8+$L$120*$L$8+$M$120*$M$8+$N$120*$N$8+$O$120*$O$8+$P$120*$P$8</f>
        <v>0</v>
      </c>
      <c r="T120" s="15">
        <f>SUM($Q$120:$R$120)</f>
        <v>0</v>
      </c>
      <c r="U120" s="15">
        <f>$S$120+$T$120</f>
        <v>0</v>
      </c>
    </row>
    <row r="121" spans="1:21" x14ac:dyDescent="0.3">
      <c r="A121" s="10" t="s">
        <v>444</v>
      </c>
      <c r="B121" s="11" t="s">
        <v>445</v>
      </c>
      <c r="C121" s="11"/>
      <c r="D121" s="11" t="s">
        <v>446</v>
      </c>
      <c r="E121" s="11">
        <f xml:space="preserve"> IF($U$121,1,0)</f>
        <v>0</v>
      </c>
      <c r="F121" s="11" t="s">
        <v>447</v>
      </c>
      <c r="G121" s="11">
        <v>0</v>
      </c>
      <c r="H121" s="11">
        <v>0</v>
      </c>
      <c r="I121" s="11">
        <v>0</v>
      </c>
      <c r="J121" s="11">
        <v>0</v>
      </c>
      <c r="K121" s="11">
        <v>0</v>
      </c>
      <c r="L121" s="11">
        <v>0</v>
      </c>
      <c r="M121" s="11">
        <v>0</v>
      </c>
      <c r="N121" s="11">
        <v>0</v>
      </c>
      <c r="O121" s="11">
        <v>0</v>
      </c>
      <c r="P121" s="11">
        <v>0</v>
      </c>
      <c r="Q121" s="12">
        <v>0</v>
      </c>
      <c r="R121" s="12">
        <v>0</v>
      </c>
      <c r="S121" s="12">
        <f>$G$121*$G$8+$H$121*$H$8+$I$121*$I$8+$J$121*$J$8+$K$121*$K$8+$L$121*$L$8+$M$121*$M$8+$N$121*$N$8+$O$121*$O$8+$P$121*$P$8</f>
        <v>0</v>
      </c>
      <c r="T121" s="12">
        <f>SUM($Q$121:$R$121)</f>
        <v>0</v>
      </c>
      <c r="U121" s="12">
        <f>$S$121+$T$121</f>
        <v>0</v>
      </c>
    </row>
    <row r="122" spans="1:21" x14ac:dyDescent="0.3">
      <c r="A122" s="13" t="s">
        <v>448</v>
      </c>
      <c r="B122" s="14" t="s">
        <v>449</v>
      </c>
      <c r="C122" s="14"/>
      <c r="D122" s="14" t="s">
        <v>450</v>
      </c>
      <c r="E122" s="14">
        <f xml:space="preserve"> IF($U$122,1,0)</f>
        <v>0</v>
      </c>
      <c r="F122" s="14" t="s">
        <v>451</v>
      </c>
      <c r="G122" s="14">
        <v>0</v>
      </c>
      <c r="H122" s="14">
        <v>0</v>
      </c>
      <c r="I122" s="14">
        <v>0</v>
      </c>
      <c r="J122" s="14">
        <v>0</v>
      </c>
      <c r="K122" s="14">
        <v>0</v>
      </c>
      <c r="L122" s="14">
        <v>0</v>
      </c>
      <c r="M122" s="14">
        <v>0</v>
      </c>
      <c r="N122" s="14">
        <v>0</v>
      </c>
      <c r="O122" s="14">
        <v>0</v>
      </c>
      <c r="P122" s="14">
        <v>0</v>
      </c>
      <c r="Q122" s="15">
        <v>0</v>
      </c>
      <c r="R122" s="15">
        <v>0</v>
      </c>
      <c r="S122" s="15">
        <f>$G$122*$G$8+$H$122*$H$8+$I$122*$I$8+$J$122*$J$8+$K$122*$K$8+$L$122*$L$8+$M$122*$M$8+$N$122*$N$8+$O$122*$O$8+$P$122*$P$8</f>
        <v>0</v>
      </c>
      <c r="T122" s="15">
        <f>SUM($Q$122:$R$122)</f>
        <v>0</v>
      </c>
      <c r="U122" s="15">
        <f>$S$122+$T$122</f>
        <v>0</v>
      </c>
    </row>
    <row r="123" spans="1:21" x14ac:dyDescent="0.3">
      <c r="A123" s="10" t="s">
        <v>452</v>
      </c>
      <c r="B123" s="11" t="s">
        <v>453</v>
      </c>
      <c r="C123" s="11"/>
      <c r="D123" s="11" t="s">
        <v>454</v>
      </c>
      <c r="E123" s="11">
        <f xml:space="preserve"> IF($U$123,1,0)</f>
        <v>1</v>
      </c>
      <c r="F123" s="11" t="s">
        <v>455</v>
      </c>
      <c r="G123" s="11">
        <v>16</v>
      </c>
      <c r="H123" s="11">
        <v>0</v>
      </c>
      <c r="I123" s="11">
        <v>0</v>
      </c>
      <c r="J123" s="11">
        <v>0</v>
      </c>
      <c r="K123" s="11">
        <v>0</v>
      </c>
      <c r="L123" s="11">
        <v>0</v>
      </c>
      <c r="M123" s="11">
        <v>0</v>
      </c>
      <c r="N123" s="11">
        <v>0</v>
      </c>
      <c r="O123" s="11">
        <v>0</v>
      </c>
      <c r="P123" s="11">
        <v>0</v>
      </c>
      <c r="Q123" s="12">
        <v>0</v>
      </c>
      <c r="R123" s="12">
        <v>0</v>
      </c>
      <c r="S123" s="12">
        <f>$G$123*$G$8+$H$123*$H$8+$I$123*$I$8+$J$123*$J$8+$K$123*$K$8+$L$123*$L$8+$M$123*$M$8+$N$123*$N$8+$O$123*$O$8+$P$123*$P$8</f>
        <v>11.2</v>
      </c>
      <c r="T123" s="12">
        <f>SUM($Q$123:$R$123)</f>
        <v>0</v>
      </c>
      <c r="U123" s="12">
        <f>$S$123+$T$123</f>
        <v>11.2</v>
      </c>
    </row>
    <row r="124" spans="1:21" x14ac:dyDescent="0.3">
      <c r="A124" s="13" t="s">
        <v>456</v>
      </c>
      <c r="B124" s="14" t="s">
        <v>457</v>
      </c>
      <c r="C124" s="14"/>
      <c r="D124" s="14" t="s">
        <v>458</v>
      </c>
      <c r="E124" s="14">
        <f xml:space="preserve"> IF($U$124,1,0)</f>
        <v>0</v>
      </c>
      <c r="F124" s="14" t="s">
        <v>459</v>
      </c>
      <c r="G124" s="14">
        <v>0</v>
      </c>
      <c r="H124" s="14">
        <v>0</v>
      </c>
      <c r="I124" s="14">
        <v>0</v>
      </c>
      <c r="J124" s="14">
        <v>0</v>
      </c>
      <c r="K124" s="14">
        <v>0</v>
      </c>
      <c r="L124" s="14">
        <v>0</v>
      </c>
      <c r="M124" s="14">
        <v>0</v>
      </c>
      <c r="N124" s="14">
        <v>0</v>
      </c>
      <c r="O124" s="14">
        <v>0</v>
      </c>
      <c r="P124" s="14">
        <v>0</v>
      </c>
      <c r="Q124" s="15">
        <v>0</v>
      </c>
      <c r="R124" s="15">
        <v>0</v>
      </c>
      <c r="S124" s="15">
        <f>$G$124*$G$8+$H$124*$H$8+$I$124*$I$8+$J$124*$J$8+$K$124*$K$8+$L$124*$L$8+$M$124*$M$8+$N$124*$N$8+$O$124*$O$8+$P$124*$P$8</f>
        <v>0</v>
      </c>
      <c r="T124" s="15">
        <f>SUM($Q$124:$R$124)</f>
        <v>0</v>
      </c>
      <c r="U124" s="15">
        <f>$S$124+$T$124</f>
        <v>0</v>
      </c>
    </row>
    <row r="125" spans="1:21" x14ac:dyDescent="0.3">
      <c r="A125" s="10" t="s">
        <v>460</v>
      </c>
      <c r="B125" s="11" t="s">
        <v>457</v>
      </c>
      <c r="C125" s="11"/>
      <c r="D125" s="11" t="s">
        <v>461</v>
      </c>
      <c r="E125" s="11">
        <f xml:space="preserve"> IF($U$125,1,0)</f>
        <v>0</v>
      </c>
      <c r="F125" s="11" t="s">
        <v>462</v>
      </c>
      <c r="G125" s="11">
        <v>0</v>
      </c>
      <c r="H125" s="11">
        <v>0</v>
      </c>
      <c r="I125" s="11">
        <v>0</v>
      </c>
      <c r="J125" s="11">
        <v>0</v>
      </c>
      <c r="K125" s="11">
        <v>0</v>
      </c>
      <c r="L125" s="11">
        <v>0</v>
      </c>
      <c r="M125" s="11">
        <v>0</v>
      </c>
      <c r="N125" s="11">
        <v>0</v>
      </c>
      <c r="O125" s="11">
        <v>0</v>
      </c>
      <c r="P125" s="11">
        <v>0</v>
      </c>
      <c r="Q125" s="12">
        <v>0</v>
      </c>
      <c r="R125" s="12">
        <v>0</v>
      </c>
      <c r="S125" s="12">
        <f>$G$125*$G$8+$H$125*$H$8+$I$125*$I$8+$J$125*$J$8+$K$125*$K$8+$L$125*$L$8+$M$125*$M$8+$N$125*$N$8+$O$125*$O$8+$P$125*$P$8</f>
        <v>0</v>
      </c>
      <c r="T125" s="12">
        <f>SUM($Q$125:$R$125)</f>
        <v>0</v>
      </c>
      <c r="U125" s="12">
        <f>$S$125+$T$125</f>
        <v>0</v>
      </c>
    </row>
    <row r="126" spans="1:21" x14ac:dyDescent="0.3">
      <c r="A126" s="13" t="s">
        <v>463</v>
      </c>
      <c r="B126" s="14" t="s">
        <v>457</v>
      </c>
      <c r="C126" s="14" t="s">
        <v>34</v>
      </c>
      <c r="D126" s="14" t="s">
        <v>464</v>
      </c>
      <c r="E126" s="14">
        <f xml:space="preserve"> IF($U$126,1,0)</f>
        <v>1</v>
      </c>
      <c r="F126" s="14" t="s">
        <v>465</v>
      </c>
      <c r="G126" s="14">
        <v>0</v>
      </c>
      <c r="H126" s="14">
        <v>0</v>
      </c>
      <c r="I126" s="14">
        <v>0</v>
      </c>
      <c r="J126" s="14">
        <v>0</v>
      </c>
      <c r="K126" s="14">
        <v>0</v>
      </c>
      <c r="L126" s="14">
        <v>0</v>
      </c>
      <c r="M126" s="14">
        <v>0</v>
      </c>
      <c r="N126" s="14">
        <v>0</v>
      </c>
      <c r="O126" s="14">
        <v>0</v>
      </c>
      <c r="P126" s="14">
        <v>0</v>
      </c>
      <c r="Q126" s="15">
        <f>$T$338</f>
        <v>2.5</v>
      </c>
      <c r="R126" s="15">
        <v>0</v>
      </c>
      <c r="S126" s="15">
        <f>$G$126*$G$8+$H$126*$H$8+$I$126*$I$8+$J$126*$J$8+$K$126*$K$8+$L$126*$L$8+$M$126*$M$8+$N$126*$N$8+$O$126*$O$8+$P$126*$P$8</f>
        <v>0</v>
      </c>
      <c r="T126" s="15">
        <f>SUM($Q$126:$R$126)</f>
        <v>2.5</v>
      </c>
      <c r="U126" s="15">
        <f>$S$126+$T$126</f>
        <v>2.5</v>
      </c>
    </row>
    <row r="127" spans="1:21" x14ac:dyDescent="0.3">
      <c r="A127" s="10" t="s">
        <v>466</v>
      </c>
      <c r="B127" s="11" t="s">
        <v>457</v>
      </c>
      <c r="C127" s="11"/>
      <c r="D127" s="11" t="s">
        <v>467</v>
      </c>
      <c r="E127" s="11">
        <f xml:space="preserve"> IF($U$127,1,0)</f>
        <v>0</v>
      </c>
      <c r="F127" s="11" t="s">
        <v>468</v>
      </c>
      <c r="G127" s="11">
        <v>0</v>
      </c>
      <c r="H127" s="11">
        <v>0</v>
      </c>
      <c r="I127" s="11">
        <v>0</v>
      </c>
      <c r="J127" s="11">
        <v>0</v>
      </c>
      <c r="K127" s="11">
        <v>0</v>
      </c>
      <c r="L127" s="11">
        <v>0</v>
      </c>
      <c r="M127" s="11">
        <v>0</v>
      </c>
      <c r="N127" s="11">
        <v>0</v>
      </c>
      <c r="O127" s="11">
        <v>0</v>
      </c>
      <c r="P127" s="11">
        <v>0</v>
      </c>
      <c r="Q127" s="12">
        <v>0</v>
      </c>
      <c r="R127" s="12">
        <v>0</v>
      </c>
      <c r="S127" s="12">
        <f>$G$127*$G$8+$H$127*$H$8+$I$127*$I$8+$J$127*$J$8+$K$127*$K$8+$L$127*$L$8+$M$127*$M$8+$N$127*$N$8+$O$127*$O$8+$P$127*$P$8</f>
        <v>0</v>
      </c>
      <c r="T127" s="12">
        <f>SUM($Q$127:$R$127)</f>
        <v>0</v>
      </c>
      <c r="U127" s="12">
        <f>$S$127+$T$127</f>
        <v>0</v>
      </c>
    </row>
    <row r="128" spans="1:21" x14ac:dyDescent="0.3">
      <c r="A128" s="13" t="s">
        <v>469</v>
      </c>
      <c r="B128" s="14" t="s">
        <v>470</v>
      </c>
      <c r="C128" s="14"/>
      <c r="D128" s="14" t="s">
        <v>471</v>
      </c>
      <c r="E128" s="14">
        <f xml:space="preserve"> IF($U$128,1,0)</f>
        <v>0</v>
      </c>
      <c r="F128" s="14" t="s">
        <v>472</v>
      </c>
      <c r="G128" s="14">
        <v>0</v>
      </c>
      <c r="H128" s="14">
        <v>0</v>
      </c>
      <c r="I128" s="14">
        <v>0</v>
      </c>
      <c r="J128" s="14">
        <v>0</v>
      </c>
      <c r="K128" s="14">
        <v>0</v>
      </c>
      <c r="L128" s="14">
        <v>0</v>
      </c>
      <c r="M128" s="14">
        <v>0</v>
      </c>
      <c r="N128" s="14">
        <v>0</v>
      </c>
      <c r="O128" s="14">
        <v>0</v>
      </c>
      <c r="P128" s="14">
        <v>0</v>
      </c>
      <c r="Q128" s="15">
        <v>0</v>
      </c>
      <c r="R128" s="15">
        <v>0</v>
      </c>
      <c r="S128" s="15">
        <f>$G$128*$G$8+$H$128*$H$8+$I$128*$I$8+$J$128*$J$8+$K$128*$K$8+$L$128*$L$8+$M$128*$M$8+$N$128*$N$8+$O$128*$O$8+$P$128*$P$8</f>
        <v>0</v>
      </c>
      <c r="T128" s="15">
        <f>SUM($Q$128:$R$128)</f>
        <v>0</v>
      </c>
      <c r="U128" s="15">
        <f>$S$128+$T$128</f>
        <v>0</v>
      </c>
    </row>
    <row r="129" spans="1:21" x14ac:dyDescent="0.3">
      <c r="A129" s="10" t="s">
        <v>473</v>
      </c>
      <c r="B129" s="11" t="s">
        <v>474</v>
      </c>
      <c r="C129" s="11"/>
      <c r="D129" s="11" t="s">
        <v>475</v>
      </c>
      <c r="E129" s="11">
        <f xml:space="preserve"> IF($U$129,1,0)</f>
        <v>0</v>
      </c>
      <c r="F129" s="11" t="s">
        <v>476</v>
      </c>
      <c r="G129" s="11">
        <v>0</v>
      </c>
      <c r="H129" s="11">
        <v>0</v>
      </c>
      <c r="I129" s="11">
        <v>0</v>
      </c>
      <c r="J129" s="11">
        <v>0</v>
      </c>
      <c r="K129" s="11">
        <v>0</v>
      </c>
      <c r="L129" s="11">
        <v>0</v>
      </c>
      <c r="M129" s="11">
        <v>0</v>
      </c>
      <c r="N129" s="11">
        <v>0</v>
      </c>
      <c r="O129" s="11">
        <v>0</v>
      </c>
      <c r="P129" s="11">
        <v>0</v>
      </c>
      <c r="Q129" s="12">
        <v>0</v>
      </c>
      <c r="R129" s="12">
        <v>0</v>
      </c>
      <c r="S129" s="12">
        <f>$G$129*$G$8+$H$129*$H$8+$I$129*$I$8+$J$129*$J$8+$K$129*$K$8+$L$129*$L$8+$M$129*$M$8+$N$129*$N$8+$O$129*$O$8+$P$129*$P$8</f>
        <v>0</v>
      </c>
      <c r="T129" s="12">
        <f>SUM($Q$129:$R$129)</f>
        <v>0</v>
      </c>
      <c r="U129" s="12">
        <f>$S$129+$T$129</f>
        <v>0</v>
      </c>
    </row>
    <row r="130" spans="1:21" x14ac:dyDescent="0.3">
      <c r="A130" s="13" t="s">
        <v>477</v>
      </c>
      <c r="B130" s="14" t="s">
        <v>478</v>
      </c>
      <c r="C130" s="14"/>
      <c r="D130" s="14" t="s">
        <v>479</v>
      </c>
      <c r="E130" s="14">
        <f xml:space="preserve"> IF($U$130,1,0)</f>
        <v>0</v>
      </c>
      <c r="F130" s="14" t="s">
        <v>480</v>
      </c>
      <c r="G130" s="14">
        <v>0</v>
      </c>
      <c r="H130" s="14">
        <v>0</v>
      </c>
      <c r="I130" s="14">
        <v>0</v>
      </c>
      <c r="J130" s="14">
        <v>0</v>
      </c>
      <c r="K130" s="14">
        <v>0</v>
      </c>
      <c r="L130" s="14">
        <v>0</v>
      </c>
      <c r="M130" s="14">
        <v>0</v>
      </c>
      <c r="N130" s="14">
        <v>0</v>
      </c>
      <c r="O130" s="14">
        <v>0</v>
      </c>
      <c r="P130" s="14">
        <v>0</v>
      </c>
      <c r="Q130" s="15">
        <v>0</v>
      </c>
      <c r="R130" s="15">
        <v>0</v>
      </c>
      <c r="S130" s="15">
        <f>$G$130*$G$8+$H$130*$H$8+$I$130*$I$8+$J$130*$J$8+$K$130*$K$8+$L$130*$L$8+$M$130*$M$8+$N$130*$N$8+$O$130*$O$8+$P$130*$P$8</f>
        <v>0</v>
      </c>
      <c r="T130" s="15">
        <f>SUM($Q$130:$R$130)</f>
        <v>0</v>
      </c>
      <c r="U130" s="15">
        <f>$S$130+$T$130</f>
        <v>0</v>
      </c>
    </row>
    <row r="131" spans="1:21" x14ac:dyDescent="0.3">
      <c r="A131" s="10" t="s">
        <v>481</v>
      </c>
      <c r="B131" s="11" t="s">
        <v>482</v>
      </c>
      <c r="C131" s="11"/>
      <c r="D131" s="11" t="s">
        <v>483</v>
      </c>
      <c r="E131" s="11">
        <f xml:space="preserve"> IF($U$131,1,0)</f>
        <v>0</v>
      </c>
      <c r="F131" s="11" t="s">
        <v>484</v>
      </c>
      <c r="G131" s="11">
        <v>0</v>
      </c>
      <c r="H131" s="11">
        <v>0</v>
      </c>
      <c r="I131" s="11">
        <v>0</v>
      </c>
      <c r="J131" s="11">
        <v>0</v>
      </c>
      <c r="K131" s="11">
        <v>0</v>
      </c>
      <c r="L131" s="11">
        <v>0</v>
      </c>
      <c r="M131" s="11">
        <v>0</v>
      </c>
      <c r="N131" s="11">
        <v>0</v>
      </c>
      <c r="O131" s="11">
        <v>0</v>
      </c>
      <c r="P131" s="11">
        <v>0</v>
      </c>
      <c r="Q131" s="12">
        <v>0</v>
      </c>
      <c r="R131" s="12">
        <v>0</v>
      </c>
      <c r="S131" s="12">
        <f>$G$131*$G$8+$H$131*$H$8+$I$131*$I$8+$J$131*$J$8+$K$131*$K$8+$L$131*$L$8+$M$131*$M$8+$N$131*$N$8+$O$131*$O$8+$P$131*$P$8</f>
        <v>0</v>
      </c>
      <c r="T131" s="12">
        <f>SUM($Q$131:$R$131)</f>
        <v>0</v>
      </c>
      <c r="U131" s="12">
        <f>$S$131+$T$131</f>
        <v>0</v>
      </c>
    </row>
    <row r="132" spans="1:21" x14ac:dyDescent="0.3">
      <c r="A132" s="13" t="s">
        <v>485</v>
      </c>
      <c r="B132" s="14" t="s">
        <v>486</v>
      </c>
      <c r="C132" s="14"/>
      <c r="D132" s="14" t="s">
        <v>487</v>
      </c>
      <c r="E132" s="14">
        <f xml:space="preserve"> IF($U$132,1,0)</f>
        <v>1</v>
      </c>
      <c r="F132" s="14" t="s">
        <v>488</v>
      </c>
      <c r="G132" s="14">
        <v>2</v>
      </c>
      <c r="H132" s="14">
        <v>0</v>
      </c>
      <c r="I132" s="14">
        <v>0</v>
      </c>
      <c r="J132" s="14">
        <v>0</v>
      </c>
      <c r="K132" s="14">
        <v>0</v>
      </c>
      <c r="L132" s="14">
        <v>0</v>
      </c>
      <c r="M132" s="14">
        <v>0</v>
      </c>
      <c r="N132" s="14">
        <v>0</v>
      </c>
      <c r="O132" s="14">
        <v>0</v>
      </c>
      <c r="P132" s="14">
        <v>0</v>
      </c>
      <c r="Q132" s="15">
        <v>0</v>
      </c>
      <c r="R132" s="15">
        <v>0</v>
      </c>
      <c r="S132" s="15">
        <f>$G$132*$G$8+$H$132*$H$8+$I$132*$I$8+$J$132*$J$8+$K$132*$K$8+$L$132*$L$8+$M$132*$M$8+$N$132*$N$8+$O$132*$O$8+$P$132*$P$8</f>
        <v>1.4</v>
      </c>
      <c r="T132" s="15">
        <f>SUM($Q$132:$R$132)</f>
        <v>0</v>
      </c>
      <c r="U132" s="15">
        <f>$S$132+$T$132</f>
        <v>1.4</v>
      </c>
    </row>
    <row r="133" spans="1:21" x14ac:dyDescent="0.3">
      <c r="A133" s="10" t="s">
        <v>489</v>
      </c>
      <c r="B133" s="11" t="s">
        <v>490</v>
      </c>
      <c r="C133" s="11"/>
      <c r="D133" s="11" t="s">
        <v>491</v>
      </c>
      <c r="E133" s="11">
        <f xml:space="preserve"> IF($U$133,1,0)</f>
        <v>0</v>
      </c>
      <c r="F133" s="11" t="s">
        <v>492</v>
      </c>
      <c r="G133" s="11">
        <v>0</v>
      </c>
      <c r="H133" s="11">
        <v>0</v>
      </c>
      <c r="I133" s="11">
        <v>0</v>
      </c>
      <c r="J133" s="11">
        <v>0</v>
      </c>
      <c r="K133" s="11">
        <v>0</v>
      </c>
      <c r="L133" s="11">
        <v>0</v>
      </c>
      <c r="M133" s="11">
        <v>0</v>
      </c>
      <c r="N133" s="11">
        <v>0</v>
      </c>
      <c r="O133" s="11">
        <v>0</v>
      </c>
      <c r="P133" s="11">
        <v>0</v>
      </c>
      <c r="Q133" s="12">
        <v>0</v>
      </c>
      <c r="R133" s="12">
        <v>0</v>
      </c>
      <c r="S133" s="12">
        <f>$G$133*$G$8+$H$133*$H$8+$I$133*$I$8+$J$133*$J$8+$K$133*$K$8+$L$133*$L$8+$M$133*$M$8+$N$133*$N$8+$O$133*$O$8+$P$133*$P$8</f>
        <v>0</v>
      </c>
      <c r="T133" s="12">
        <f>SUM($Q$133:$R$133)</f>
        <v>0</v>
      </c>
      <c r="U133" s="12">
        <f>$S$133+$T$133</f>
        <v>0</v>
      </c>
    </row>
    <row r="134" spans="1:21" x14ac:dyDescent="0.3">
      <c r="A134" s="13" t="s">
        <v>493</v>
      </c>
      <c r="B134" s="14" t="s">
        <v>494</v>
      </c>
      <c r="C134" s="14" t="s">
        <v>34</v>
      </c>
      <c r="D134" s="14" t="s">
        <v>495</v>
      </c>
      <c r="E134" s="14">
        <f xml:space="preserve"> IF($U$134,1,0)</f>
        <v>0</v>
      </c>
      <c r="F134" s="14" t="s">
        <v>496</v>
      </c>
      <c r="G134" s="14">
        <v>0</v>
      </c>
      <c r="H134" s="14">
        <v>0</v>
      </c>
      <c r="I134" s="14">
        <v>0</v>
      </c>
      <c r="J134" s="14">
        <v>0</v>
      </c>
      <c r="K134" s="14">
        <v>0</v>
      </c>
      <c r="L134" s="14">
        <v>0</v>
      </c>
      <c r="M134" s="14">
        <v>0</v>
      </c>
      <c r="N134" s="14">
        <v>0</v>
      </c>
      <c r="O134" s="14">
        <v>0</v>
      </c>
      <c r="P134" s="14">
        <v>0</v>
      </c>
      <c r="Q134" s="15">
        <v>0</v>
      </c>
      <c r="R134" s="15">
        <v>0</v>
      </c>
      <c r="S134" s="15">
        <f>$G$134*$G$8+$H$134*$H$8+$I$134*$I$8+$J$134*$J$8+$K$134*$K$8+$L$134*$L$8+$M$134*$M$8+$N$134*$N$8+$O$134*$O$8+$P$134*$P$8</f>
        <v>0</v>
      </c>
      <c r="T134" s="15">
        <f>SUM($Q$134:$R$134)</f>
        <v>0</v>
      </c>
      <c r="U134" s="15">
        <f>$S$134+$T$134</f>
        <v>0</v>
      </c>
    </row>
    <row r="135" spans="1:21" x14ac:dyDescent="0.3">
      <c r="A135" s="10" t="s">
        <v>497</v>
      </c>
      <c r="B135" s="11" t="s">
        <v>498</v>
      </c>
      <c r="C135" s="11"/>
      <c r="D135" s="11" t="s">
        <v>499</v>
      </c>
      <c r="E135" s="11">
        <f xml:space="preserve"> IF($U$135,1,0)</f>
        <v>0</v>
      </c>
      <c r="F135" s="11" t="s">
        <v>500</v>
      </c>
      <c r="G135" s="11">
        <v>0</v>
      </c>
      <c r="H135" s="11">
        <v>0</v>
      </c>
      <c r="I135" s="11">
        <v>0</v>
      </c>
      <c r="J135" s="11">
        <v>0</v>
      </c>
      <c r="K135" s="11">
        <v>0</v>
      </c>
      <c r="L135" s="11">
        <v>0</v>
      </c>
      <c r="M135" s="11">
        <v>0</v>
      </c>
      <c r="N135" s="11">
        <v>0</v>
      </c>
      <c r="O135" s="11">
        <v>0</v>
      </c>
      <c r="P135" s="11">
        <v>0</v>
      </c>
      <c r="Q135" s="12">
        <v>0</v>
      </c>
      <c r="R135" s="12">
        <v>0</v>
      </c>
      <c r="S135" s="12">
        <f>$G$135*$G$8+$H$135*$H$8+$I$135*$I$8+$J$135*$J$8+$K$135*$K$8+$L$135*$L$8+$M$135*$M$8+$N$135*$N$8+$O$135*$O$8+$P$135*$P$8</f>
        <v>0</v>
      </c>
      <c r="T135" s="12">
        <f>SUM($Q$135:$R$135)</f>
        <v>0</v>
      </c>
      <c r="U135" s="12">
        <f>$S$135+$T$135</f>
        <v>0</v>
      </c>
    </row>
    <row r="136" spans="1:21" x14ac:dyDescent="0.3">
      <c r="A136" s="13" t="s">
        <v>501</v>
      </c>
      <c r="B136" s="14" t="s">
        <v>502</v>
      </c>
      <c r="C136" s="14" t="s">
        <v>34</v>
      </c>
      <c r="D136" s="14" t="s">
        <v>503</v>
      </c>
      <c r="E136" s="14">
        <f xml:space="preserve"> IF($U$136,1,0)</f>
        <v>1</v>
      </c>
      <c r="F136" s="14" t="s">
        <v>504</v>
      </c>
      <c r="G136" s="14">
        <v>12</v>
      </c>
      <c r="H136" s="14">
        <v>0</v>
      </c>
      <c r="I136" s="14">
        <v>0</v>
      </c>
      <c r="J136" s="14">
        <v>0</v>
      </c>
      <c r="K136" s="14">
        <v>0</v>
      </c>
      <c r="L136" s="14">
        <v>0</v>
      </c>
      <c r="M136" s="14">
        <v>0</v>
      </c>
      <c r="N136" s="14">
        <v>0</v>
      </c>
      <c r="O136" s="14">
        <v>0</v>
      </c>
      <c r="P136" s="14">
        <v>1</v>
      </c>
      <c r="Q136" s="15">
        <v>0</v>
      </c>
      <c r="R136" s="15">
        <v>0</v>
      </c>
      <c r="S136" s="15">
        <f>$G$136*$G$8+$H$136*$H$8+$I$136*$I$8+$J$136*$J$8+$K$136*$K$8+$L$136*$L$8+$M$136*$M$8+$N$136*$N$8+$O$136*$O$8+$P$136*$P$8</f>
        <v>9.3999999999999986</v>
      </c>
      <c r="T136" s="15">
        <f>SUM($Q$136:$R$136)</f>
        <v>0</v>
      </c>
      <c r="U136" s="15">
        <f>$S$136+$T$136</f>
        <v>9.3999999999999986</v>
      </c>
    </row>
    <row r="137" spans="1:21" x14ac:dyDescent="0.3">
      <c r="A137" s="10" t="s">
        <v>505</v>
      </c>
      <c r="B137" s="11" t="s">
        <v>502</v>
      </c>
      <c r="C137" s="11"/>
      <c r="D137" s="11" t="s">
        <v>232</v>
      </c>
      <c r="E137" s="11">
        <f xml:space="preserve"> IF($U$137,1,0)</f>
        <v>0</v>
      </c>
      <c r="F137" s="11" t="s">
        <v>506</v>
      </c>
      <c r="G137" s="11">
        <v>0</v>
      </c>
      <c r="H137" s="11">
        <v>0</v>
      </c>
      <c r="I137" s="11">
        <v>0</v>
      </c>
      <c r="J137" s="11">
        <v>0</v>
      </c>
      <c r="K137" s="11">
        <v>0</v>
      </c>
      <c r="L137" s="11">
        <v>0</v>
      </c>
      <c r="M137" s="11">
        <v>0</v>
      </c>
      <c r="N137" s="11">
        <v>0</v>
      </c>
      <c r="O137" s="11">
        <v>0</v>
      </c>
      <c r="P137" s="11">
        <v>0</v>
      </c>
      <c r="Q137" s="12">
        <v>0</v>
      </c>
      <c r="R137" s="12">
        <v>0</v>
      </c>
      <c r="S137" s="12">
        <f>$G$137*$G$8+$H$137*$H$8+$I$137*$I$8+$J$137*$J$8+$K$137*$K$8+$L$137*$L$8+$M$137*$M$8+$N$137*$N$8+$O$137*$O$8+$P$137*$P$8</f>
        <v>0</v>
      </c>
      <c r="T137" s="12">
        <f>SUM($Q$137:$R$137)</f>
        <v>0</v>
      </c>
      <c r="U137" s="12">
        <f>$S$137+$T$137</f>
        <v>0</v>
      </c>
    </row>
    <row r="138" spans="1:21" x14ac:dyDescent="0.3">
      <c r="A138" s="13" t="s">
        <v>507</v>
      </c>
      <c r="B138" s="14" t="s">
        <v>508</v>
      </c>
      <c r="C138" s="14" t="s">
        <v>65</v>
      </c>
      <c r="D138" s="14" t="s">
        <v>509</v>
      </c>
      <c r="E138" s="14">
        <f xml:space="preserve"> IF($U$138,1,0)</f>
        <v>0</v>
      </c>
      <c r="F138" s="14" t="s">
        <v>510</v>
      </c>
      <c r="G138" s="14">
        <v>0</v>
      </c>
      <c r="H138" s="14">
        <v>0</v>
      </c>
      <c r="I138" s="14">
        <v>0</v>
      </c>
      <c r="J138" s="14">
        <v>0</v>
      </c>
      <c r="K138" s="14">
        <v>0</v>
      </c>
      <c r="L138" s="14">
        <v>0</v>
      </c>
      <c r="M138" s="14">
        <v>0</v>
      </c>
      <c r="N138" s="14">
        <v>0</v>
      </c>
      <c r="O138" s="14">
        <v>0</v>
      </c>
      <c r="P138" s="14">
        <v>0</v>
      </c>
      <c r="Q138" s="15">
        <v>0</v>
      </c>
      <c r="R138" s="15">
        <v>0</v>
      </c>
      <c r="S138" s="15">
        <f>$G$138*$G$8+$H$138*$H$8+$I$138*$I$8+$J$138*$J$8+$K$138*$K$8+$L$138*$L$8+$M$138*$M$8+$N$138*$N$8+$O$138*$O$8+$P$138*$P$8</f>
        <v>0</v>
      </c>
      <c r="T138" s="15">
        <f>SUM($Q$138:$R$138)</f>
        <v>0</v>
      </c>
      <c r="U138" s="15">
        <f>$S$138+$T$138</f>
        <v>0</v>
      </c>
    </row>
    <row r="139" spans="1:21" x14ac:dyDescent="0.3">
      <c r="A139" s="10" t="s">
        <v>511</v>
      </c>
      <c r="B139" s="11" t="s">
        <v>512</v>
      </c>
      <c r="C139" s="11" t="s">
        <v>513</v>
      </c>
      <c r="D139" s="11" t="s">
        <v>514</v>
      </c>
      <c r="E139" s="11">
        <f xml:space="preserve"> IF($U$139,1,0)</f>
        <v>1</v>
      </c>
      <c r="F139" s="11" t="s">
        <v>515</v>
      </c>
      <c r="G139" s="11">
        <v>0</v>
      </c>
      <c r="H139" s="11">
        <v>4</v>
      </c>
      <c r="I139" s="11">
        <v>0</v>
      </c>
      <c r="J139" s="11">
        <v>0</v>
      </c>
      <c r="K139" s="11">
        <v>0</v>
      </c>
      <c r="L139" s="11">
        <v>0</v>
      </c>
      <c r="M139" s="11">
        <v>1</v>
      </c>
      <c r="N139" s="11">
        <v>0</v>
      </c>
      <c r="O139" s="11">
        <v>0</v>
      </c>
      <c r="P139" s="11">
        <v>0</v>
      </c>
      <c r="Q139" s="12">
        <v>0</v>
      </c>
      <c r="R139" s="12">
        <v>0</v>
      </c>
      <c r="S139" s="12">
        <f>$G$139*$G$8+$H$139*$H$8+$I$139*$I$8+$J$139*$J$8+$K$139*$K$8+$L$139*$L$8+$M$139*$M$8+$N$139*$N$8+$O$139*$O$8+$P$139*$P$8</f>
        <v>11.2</v>
      </c>
      <c r="T139" s="12">
        <f>SUM($Q$139:$R$139)</f>
        <v>0</v>
      </c>
      <c r="U139" s="12">
        <f>$S$139+$T$139</f>
        <v>11.2</v>
      </c>
    </row>
    <row r="140" spans="1:21" x14ac:dyDescent="0.3">
      <c r="A140" s="13" t="s">
        <v>516</v>
      </c>
      <c r="B140" s="14" t="s">
        <v>517</v>
      </c>
      <c r="C140" s="14" t="s">
        <v>65</v>
      </c>
      <c r="D140" s="14" t="s">
        <v>518</v>
      </c>
      <c r="E140" s="14">
        <f xml:space="preserve"> IF($U$140,1,0)</f>
        <v>1</v>
      </c>
      <c r="F140" s="14" t="s">
        <v>519</v>
      </c>
      <c r="G140" s="14">
        <v>2</v>
      </c>
      <c r="H140" s="14">
        <v>0</v>
      </c>
      <c r="I140" s="14">
        <v>0</v>
      </c>
      <c r="J140" s="14">
        <v>0</v>
      </c>
      <c r="K140" s="14">
        <v>0</v>
      </c>
      <c r="L140" s="14">
        <v>0</v>
      </c>
      <c r="M140" s="14">
        <v>0</v>
      </c>
      <c r="N140" s="14">
        <v>0</v>
      </c>
      <c r="O140" s="14">
        <v>0</v>
      </c>
      <c r="P140" s="14">
        <v>0</v>
      </c>
      <c r="Q140" s="15">
        <v>0</v>
      </c>
      <c r="R140" s="15">
        <v>0</v>
      </c>
      <c r="S140" s="15">
        <f>$G$140*$G$8+$H$140*$H$8+$I$140*$I$8+$J$140*$J$8+$K$140*$K$8+$L$140*$L$8+$M$140*$M$8+$N$140*$N$8+$O$140*$O$8+$P$140*$P$8</f>
        <v>1.4</v>
      </c>
      <c r="T140" s="15">
        <f>SUM($Q$140:$R$140)</f>
        <v>0</v>
      </c>
      <c r="U140" s="15">
        <f>$S$140+$T$140</f>
        <v>1.4</v>
      </c>
    </row>
    <row r="141" spans="1:21" x14ac:dyDescent="0.3">
      <c r="A141" s="10" t="s">
        <v>520</v>
      </c>
      <c r="B141" s="11" t="s">
        <v>517</v>
      </c>
      <c r="C141" s="11"/>
      <c r="D141" s="11" t="s">
        <v>521</v>
      </c>
      <c r="E141" s="11">
        <f xml:space="preserve"> IF($U$141,1,0)</f>
        <v>1</v>
      </c>
      <c r="F141" s="11" t="s">
        <v>522</v>
      </c>
      <c r="G141" s="11">
        <v>3</v>
      </c>
      <c r="H141" s="11">
        <v>0</v>
      </c>
      <c r="I141" s="11">
        <v>1</v>
      </c>
      <c r="J141" s="11">
        <v>0</v>
      </c>
      <c r="K141" s="11">
        <v>0</v>
      </c>
      <c r="L141" s="11">
        <v>0</v>
      </c>
      <c r="M141" s="11">
        <v>0</v>
      </c>
      <c r="N141" s="11">
        <v>0</v>
      </c>
      <c r="O141" s="11">
        <v>0</v>
      </c>
      <c r="P141" s="11">
        <v>0</v>
      </c>
      <c r="Q141" s="12">
        <v>0</v>
      </c>
      <c r="R141" s="12">
        <v>0</v>
      </c>
      <c r="S141" s="12">
        <f>$G$141*$G$8+$H$141*$H$8+$I$141*$I$8+$J$141*$J$8+$K$141*$K$8+$L$141*$L$8+$M$141*$M$8+$N$141*$N$8+$O$141*$O$8+$P$141*$P$8</f>
        <v>3.0999999999999996</v>
      </c>
      <c r="T141" s="12">
        <f>SUM($Q$141:$R$141)</f>
        <v>0</v>
      </c>
      <c r="U141" s="12">
        <f>$S$141+$T$141</f>
        <v>3.0999999999999996</v>
      </c>
    </row>
    <row r="142" spans="1:21" x14ac:dyDescent="0.3">
      <c r="A142" s="13" t="s">
        <v>523</v>
      </c>
      <c r="B142" s="14" t="s">
        <v>524</v>
      </c>
      <c r="C142" s="14" t="s">
        <v>65</v>
      </c>
      <c r="D142" s="14" t="s">
        <v>327</v>
      </c>
      <c r="E142" s="14">
        <f xml:space="preserve"> IF($U$142,1,0)</f>
        <v>0</v>
      </c>
      <c r="F142" s="14" t="s">
        <v>525</v>
      </c>
      <c r="G142" s="14">
        <v>0</v>
      </c>
      <c r="H142" s="14">
        <v>0</v>
      </c>
      <c r="I142" s="14">
        <v>0</v>
      </c>
      <c r="J142" s="14">
        <v>0</v>
      </c>
      <c r="K142" s="14">
        <v>0</v>
      </c>
      <c r="L142" s="14">
        <v>0</v>
      </c>
      <c r="M142" s="14">
        <v>0</v>
      </c>
      <c r="N142" s="14">
        <v>0</v>
      </c>
      <c r="O142" s="14">
        <v>0</v>
      </c>
      <c r="P142" s="14">
        <v>0</v>
      </c>
      <c r="Q142" s="15">
        <v>0</v>
      </c>
      <c r="R142" s="15">
        <v>0</v>
      </c>
      <c r="S142" s="15">
        <f>$G$142*$G$8+$H$142*$H$8+$I$142*$I$8+$J$142*$J$8+$K$142*$K$8+$L$142*$L$8+$M$142*$M$8+$N$142*$N$8+$O$142*$O$8+$P$142*$P$8</f>
        <v>0</v>
      </c>
      <c r="T142" s="15">
        <f>SUM($Q$142:$R$142)</f>
        <v>0</v>
      </c>
      <c r="U142" s="15">
        <f>$S$142+$T$142</f>
        <v>0</v>
      </c>
    </row>
    <row r="143" spans="1:21" x14ac:dyDescent="0.3">
      <c r="A143" s="10" t="s">
        <v>526</v>
      </c>
      <c r="B143" s="11" t="s">
        <v>527</v>
      </c>
      <c r="C143" s="11"/>
      <c r="D143" s="11" t="s">
        <v>528</v>
      </c>
      <c r="E143" s="11">
        <f xml:space="preserve"> IF($U$143,1,0)</f>
        <v>0</v>
      </c>
      <c r="F143" s="11" t="s">
        <v>529</v>
      </c>
      <c r="G143" s="11">
        <v>0</v>
      </c>
      <c r="H143" s="11">
        <v>0</v>
      </c>
      <c r="I143" s="11">
        <v>0</v>
      </c>
      <c r="J143" s="11">
        <v>0</v>
      </c>
      <c r="K143" s="11">
        <v>0</v>
      </c>
      <c r="L143" s="11">
        <v>0</v>
      </c>
      <c r="M143" s="11">
        <v>0</v>
      </c>
      <c r="N143" s="11">
        <v>0</v>
      </c>
      <c r="O143" s="11">
        <v>0</v>
      </c>
      <c r="P143" s="11">
        <v>0</v>
      </c>
      <c r="Q143" s="12">
        <v>0</v>
      </c>
      <c r="R143" s="12">
        <v>0</v>
      </c>
      <c r="S143" s="12">
        <f>$G$143*$G$8+$H$143*$H$8+$I$143*$I$8+$J$143*$J$8+$K$143*$K$8+$L$143*$L$8+$M$143*$M$8+$N$143*$N$8+$O$143*$O$8+$P$143*$P$8</f>
        <v>0</v>
      </c>
      <c r="T143" s="12">
        <f>SUM($Q$143:$R$143)</f>
        <v>0</v>
      </c>
      <c r="U143" s="12">
        <f>$S$143+$T$143</f>
        <v>0</v>
      </c>
    </row>
    <row r="144" spans="1:21" x14ac:dyDescent="0.3">
      <c r="A144" s="13" t="s">
        <v>530</v>
      </c>
      <c r="B144" s="14" t="s">
        <v>531</v>
      </c>
      <c r="C144" s="14"/>
      <c r="D144" s="14" t="s">
        <v>532</v>
      </c>
      <c r="E144" s="14">
        <f xml:space="preserve"> IF($U$144,1,0)</f>
        <v>1</v>
      </c>
      <c r="F144" s="14" t="s">
        <v>533</v>
      </c>
      <c r="G144" s="14">
        <v>0</v>
      </c>
      <c r="H144" s="14">
        <v>0</v>
      </c>
      <c r="I144" s="14">
        <v>1</v>
      </c>
      <c r="J144" s="14">
        <v>0</v>
      </c>
      <c r="K144" s="14">
        <v>0</v>
      </c>
      <c r="L144" s="14">
        <v>0</v>
      </c>
      <c r="M144" s="14">
        <v>0</v>
      </c>
      <c r="N144" s="14">
        <v>0</v>
      </c>
      <c r="O144" s="14">
        <v>0</v>
      </c>
      <c r="P144" s="14">
        <v>0</v>
      </c>
      <c r="Q144" s="15">
        <v>0</v>
      </c>
      <c r="R144" s="15">
        <v>0</v>
      </c>
      <c r="S144" s="15">
        <f>$G$144*$G$8+$H$144*$H$8+$I$144*$I$8+$J$144*$J$8+$K$144*$K$8+$L$144*$L$8+$M$144*$M$8+$N$144*$N$8+$O$144*$O$8+$P$144*$P$8</f>
        <v>1</v>
      </c>
      <c r="T144" s="15">
        <f>SUM($Q$144:$R$144)</f>
        <v>0</v>
      </c>
      <c r="U144" s="15">
        <f>$S$144+$T$144</f>
        <v>1</v>
      </c>
    </row>
    <row r="145" spans="1:21" x14ac:dyDescent="0.3">
      <c r="A145" s="10" t="s">
        <v>534</v>
      </c>
      <c r="B145" s="11" t="s">
        <v>535</v>
      </c>
      <c r="C145" s="11"/>
      <c r="D145" s="11" t="s">
        <v>536</v>
      </c>
      <c r="E145" s="11">
        <f xml:space="preserve"> IF($U$145,1,0)</f>
        <v>1</v>
      </c>
      <c r="F145" s="11" t="s">
        <v>537</v>
      </c>
      <c r="G145" s="11">
        <v>3</v>
      </c>
      <c r="H145" s="11">
        <v>0</v>
      </c>
      <c r="I145" s="11">
        <v>0</v>
      </c>
      <c r="J145" s="11">
        <v>0</v>
      </c>
      <c r="K145" s="11">
        <v>0</v>
      </c>
      <c r="L145" s="11">
        <v>0</v>
      </c>
      <c r="M145" s="11">
        <v>0</v>
      </c>
      <c r="N145" s="11">
        <v>0</v>
      </c>
      <c r="O145" s="11">
        <v>0</v>
      </c>
      <c r="P145" s="11">
        <v>0</v>
      </c>
      <c r="Q145" s="12">
        <v>0</v>
      </c>
      <c r="R145" s="12">
        <v>0</v>
      </c>
      <c r="S145" s="12">
        <f>$G$145*$G$8+$H$145*$H$8+$I$145*$I$8+$J$145*$J$8+$K$145*$K$8+$L$145*$L$8+$M$145*$M$8+$N$145*$N$8+$O$145*$O$8+$P$145*$P$8</f>
        <v>2.0999999999999996</v>
      </c>
      <c r="T145" s="12">
        <f>SUM($Q$145:$R$145)</f>
        <v>0</v>
      </c>
      <c r="U145" s="12">
        <f>$S$145+$T$145</f>
        <v>2.0999999999999996</v>
      </c>
    </row>
    <row r="146" spans="1:21" x14ac:dyDescent="0.3">
      <c r="A146" s="13" t="s">
        <v>538</v>
      </c>
      <c r="B146" s="14" t="s">
        <v>535</v>
      </c>
      <c r="C146" s="14"/>
      <c r="D146" s="14" t="s">
        <v>539</v>
      </c>
      <c r="E146" s="14">
        <f xml:space="preserve"> IF($U$146,1,0)</f>
        <v>0</v>
      </c>
      <c r="F146" s="14" t="s">
        <v>540</v>
      </c>
      <c r="G146" s="14">
        <v>0</v>
      </c>
      <c r="H146" s="14">
        <v>0</v>
      </c>
      <c r="I146" s="14">
        <v>0</v>
      </c>
      <c r="J146" s="14">
        <v>0</v>
      </c>
      <c r="K146" s="14">
        <v>0</v>
      </c>
      <c r="L146" s="14">
        <v>0</v>
      </c>
      <c r="M146" s="14">
        <v>0</v>
      </c>
      <c r="N146" s="14">
        <v>0</v>
      </c>
      <c r="O146" s="14">
        <v>0</v>
      </c>
      <c r="P146" s="14">
        <v>0</v>
      </c>
      <c r="Q146" s="15">
        <v>0</v>
      </c>
      <c r="R146" s="15">
        <v>0</v>
      </c>
      <c r="S146" s="15">
        <f>$G$146*$G$8+$H$146*$H$8+$I$146*$I$8+$J$146*$J$8+$K$146*$K$8+$L$146*$L$8+$M$146*$M$8+$N$146*$N$8+$O$146*$O$8+$P$146*$P$8</f>
        <v>0</v>
      </c>
      <c r="T146" s="15">
        <f>SUM($Q$146:$R$146)</f>
        <v>0</v>
      </c>
      <c r="U146" s="15">
        <f>$S$146+$T$146</f>
        <v>0</v>
      </c>
    </row>
    <row r="147" spans="1:21" x14ac:dyDescent="0.3">
      <c r="A147" s="10" t="s">
        <v>541</v>
      </c>
      <c r="B147" s="11" t="s">
        <v>542</v>
      </c>
      <c r="C147" s="11"/>
      <c r="D147" s="11" t="s">
        <v>543</v>
      </c>
      <c r="E147" s="11">
        <f xml:space="preserve"> IF($U$147,1,0)</f>
        <v>0</v>
      </c>
      <c r="F147" s="11" t="s">
        <v>544</v>
      </c>
      <c r="G147" s="11">
        <v>0</v>
      </c>
      <c r="H147" s="11">
        <v>0</v>
      </c>
      <c r="I147" s="11">
        <v>0</v>
      </c>
      <c r="J147" s="11">
        <v>0</v>
      </c>
      <c r="K147" s="11">
        <v>0</v>
      </c>
      <c r="L147" s="11">
        <v>0</v>
      </c>
      <c r="M147" s="11">
        <v>0</v>
      </c>
      <c r="N147" s="11">
        <v>0</v>
      </c>
      <c r="O147" s="11">
        <v>0</v>
      </c>
      <c r="P147" s="11">
        <v>0</v>
      </c>
      <c r="Q147" s="12">
        <v>0</v>
      </c>
      <c r="R147" s="12">
        <v>0</v>
      </c>
      <c r="S147" s="12">
        <f>$G$147*$G$8+$H$147*$H$8+$I$147*$I$8+$J$147*$J$8+$K$147*$K$8+$L$147*$L$8+$M$147*$M$8+$N$147*$N$8+$O$147*$O$8+$P$147*$P$8</f>
        <v>0</v>
      </c>
      <c r="T147" s="12">
        <f>SUM($Q$147:$R$147)</f>
        <v>0</v>
      </c>
      <c r="U147" s="12">
        <f>$S$147+$T$147</f>
        <v>0</v>
      </c>
    </row>
    <row r="148" spans="1:21" x14ac:dyDescent="0.3">
      <c r="A148" s="13" t="s">
        <v>545</v>
      </c>
      <c r="B148" s="14" t="s">
        <v>546</v>
      </c>
      <c r="C148" s="14"/>
      <c r="D148" s="14" t="s">
        <v>547</v>
      </c>
      <c r="E148" s="14">
        <f xml:space="preserve"> IF($U$148,1,0)</f>
        <v>0</v>
      </c>
      <c r="F148" s="14" t="s">
        <v>548</v>
      </c>
      <c r="G148" s="14">
        <v>0</v>
      </c>
      <c r="H148" s="14">
        <v>0</v>
      </c>
      <c r="I148" s="14">
        <v>0</v>
      </c>
      <c r="J148" s="14">
        <v>0</v>
      </c>
      <c r="K148" s="14">
        <v>0</v>
      </c>
      <c r="L148" s="14">
        <v>0</v>
      </c>
      <c r="M148" s="14">
        <v>0</v>
      </c>
      <c r="N148" s="14">
        <v>0</v>
      </c>
      <c r="O148" s="14">
        <v>0</v>
      </c>
      <c r="P148" s="14">
        <v>0</v>
      </c>
      <c r="Q148" s="15">
        <v>0</v>
      </c>
      <c r="R148" s="15">
        <v>0</v>
      </c>
      <c r="S148" s="15">
        <f>$G$148*$G$8+$H$148*$H$8+$I$148*$I$8+$J$148*$J$8+$K$148*$K$8+$L$148*$L$8+$M$148*$M$8+$N$148*$N$8+$O$148*$O$8+$P$148*$P$8</f>
        <v>0</v>
      </c>
      <c r="T148" s="15">
        <f>SUM($Q$148:$R$148)</f>
        <v>0</v>
      </c>
      <c r="U148" s="15">
        <f>$S$148+$T$148</f>
        <v>0</v>
      </c>
    </row>
    <row r="149" spans="1:21" x14ac:dyDescent="0.3">
      <c r="A149" s="10" t="s">
        <v>549</v>
      </c>
      <c r="B149" s="11" t="s">
        <v>550</v>
      </c>
      <c r="C149" s="11" t="s">
        <v>34</v>
      </c>
      <c r="D149" s="11" t="s">
        <v>551</v>
      </c>
      <c r="E149" s="11">
        <f xml:space="preserve"> IF($U$149,1,0)</f>
        <v>1</v>
      </c>
      <c r="F149" s="11" t="s">
        <v>552</v>
      </c>
      <c r="G149" s="11">
        <v>2</v>
      </c>
      <c r="H149" s="11">
        <v>0</v>
      </c>
      <c r="I149" s="11">
        <v>0</v>
      </c>
      <c r="J149" s="11">
        <v>0</v>
      </c>
      <c r="K149" s="11">
        <v>0</v>
      </c>
      <c r="L149" s="11">
        <v>0</v>
      </c>
      <c r="M149" s="11">
        <v>0</v>
      </c>
      <c r="N149" s="11">
        <v>0</v>
      </c>
      <c r="O149" s="11">
        <v>0</v>
      </c>
      <c r="P149" s="11">
        <v>0</v>
      </c>
      <c r="Q149" s="12">
        <v>0</v>
      </c>
      <c r="R149" s="12">
        <v>0</v>
      </c>
      <c r="S149" s="12">
        <f>$G$149*$G$8+$H$149*$H$8+$I$149*$I$8+$J$149*$J$8+$K$149*$K$8+$L$149*$L$8+$M$149*$M$8+$N$149*$N$8+$O$149*$O$8+$P$149*$P$8</f>
        <v>1.4</v>
      </c>
      <c r="T149" s="12">
        <f>SUM($Q$149:$R$149)</f>
        <v>0</v>
      </c>
      <c r="U149" s="12">
        <f>$S$149+$T$149</f>
        <v>1.4</v>
      </c>
    </row>
    <row r="150" spans="1:21" x14ac:dyDescent="0.3">
      <c r="A150" s="13" t="s">
        <v>553</v>
      </c>
      <c r="B150" s="14" t="s">
        <v>554</v>
      </c>
      <c r="C150" s="14"/>
      <c r="D150" s="14" t="s">
        <v>555</v>
      </c>
      <c r="E150" s="14">
        <f xml:space="preserve"> IF($U$150,1,0)</f>
        <v>0</v>
      </c>
      <c r="F150" s="14" t="s">
        <v>556</v>
      </c>
      <c r="G150" s="14">
        <v>0</v>
      </c>
      <c r="H150" s="14">
        <v>0</v>
      </c>
      <c r="I150" s="14">
        <v>0</v>
      </c>
      <c r="J150" s="14">
        <v>0</v>
      </c>
      <c r="K150" s="14">
        <v>0</v>
      </c>
      <c r="L150" s="14">
        <v>0</v>
      </c>
      <c r="M150" s="14">
        <v>0</v>
      </c>
      <c r="N150" s="14">
        <v>0</v>
      </c>
      <c r="O150" s="14">
        <v>0</v>
      </c>
      <c r="P150" s="14">
        <v>0</v>
      </c>
      <c r="Q150" s="15">
        <v>0</v>
      </c>
      <c r="R150" s="15">
        <v>0</v>
      </c>
      <c r="S150" s="15">
        <f>$G$150*$G$8+$H$150*$H$8+$I$150*$I$8+$J$150*$J$8+$K$150*$K$8+$L$150*$L$8+$M$150*$M$8+$N$150*$N$8+$O$150*$O$8+$P$150*$P$8</f>
        <v>0</v>
      </c>
      <c r="T150" s="15">
        <f>SUM($Q$150:$R$150)</f>
        <v>0</v>
      </c>
      <c r="U150" s="15">
        <f>$S$150+$T$150</f>
        <v>0</v>
      </c>
    </row>
    <row r="151" spans="1:21" x14ac:dyDescent="0.3">
      <c r="A151" s="10" t="s">
        <v>557</v>
      </c>
      <c r="B151" s="11" t="s">
        <v>554</v>
      </c>
      <c r="C151" s="11"/>
      <c r="D151" s="11" t="s">
        <v>558</v>
      </c>
      <c r="E151" s="11">
        <f xml:space="preserve"> IF($U$151,1,0)</f>
        <v>0</v>
      </c>
      <c r="F151" s="11" t="s">
        <v>559</v>
      </c>
      <c r="G151" s="11">
        <v>0</v>
      </c>
      <c r="H151" s="11">
        <v>0</v>
      </c>
      <c r="I151" s="11">
        <v>0</v>
      </c>
      <c r="J151" s="11">
        <v>0</v>
      </c>
      <c r="K151" s="11">
        <v>0</v>
      </c>
      <c r="L151" s="11">
        <v>0</v>
      </c>
      <c r="M151" s="11">
        <v>0</v>
      </c>
      <c r="N151" s="11">
        <v>0</v>
      </c>
      <c r="O151" s="11">
        <v>0</v>
      </c>
      <c r="P151" s="11">
        <v>0</v>
      </c>
      <c r="Q151" s="12">
        <v>0</v>
      </c>
      <c r="R151" s="12">
        <v>0</v>
      </c>
      <c r="S151" s="12">
        <f>$G$151*$G$8+$H$151*$H$8+$I$151*$I$8+$J$151*$J$8+$K$151*$K$8+$L$151*$L$8+$M$151*$M$8+$N$151*$N$8+$O$151*$O$8+$P$151*$P$8</f>
        <v>0</v>
      </c>
      <c r="T151" s="12">
        <f>SUM($Q$151:$R$151)</f>
        <v>0</v>
      </c>
      <c r="U151" s="12">
        <f>$S$151+$T$151</f>
        <v>0</v>
      </c>
    </row>
    <row r="152" spans="1:21" x14ac:dyDescent="0.3">
      <c r="A152" s="13" t="s">
        <v>560</v>
      </c>
      <c r="B152" s="14" t="s">
        <v>561</v>
      </c>
      <c r="C152" s="14"/>
      <c r="D152" s="14" t="s">
        <v>562</v>
      </c>
      <c r="E152" s="14">
        <f xml:space="preserve"> IF($U$152,1,0)</f>
        <v>0</v>
      </c>
      <c r="F152" s="14" t="s">
        <v>563</v>
      </c>
      <c r="G152" s="14">
        <v>0</v>
      </c>
      <c r="H152" s="14">
        <v>0</v>
      </c>
      <c r="I152" s="14">
        <v>0</v>
      </c>
      <c r="J152" s="14">
        <v>0</v>
      </c>
      <c r="K152" s="14">
        <v>0</v>
      </c>
      <c r="L152" s="14">
        <v>0</v>
      </c>
      <c r="M152" s="14">
        <v>0</v>
      </c>
      <c r="N152" s="14">
        <v>0</v>
      </c>
      <c r="O152" s="14">
        <v>0</v>
      </c>
      <c r="P152" s="14">
        <v>0</v>
      </c>
      <c r="Q152" s="15">
        <v>0</v>
      </c>
      <c r="R152" s="15">
        <v>0</v>
      </c>
      <c r="S152" s="15">
        <f>$G$152*$G$8+$H$152*$H$8+$I$152*$I$8+$J$152*$J$8+$K$152*$K$8+$L$152*$L$8+$M$152*$M$8+$N$152*$N$8+$O$152*$O$8+$P$152*$P$8</f>
        <v>0</v>
      </c>
      <c r="T152" s="15">
        <f>SUM($Q$152:$R$152)</f>
        <v>0</v>
      </c>
      <c r="U152" s="15">
        <f>$S$152+$T$152</f>
        <v>0</v>
      </c>
    </row>
    <row r="153" spans="1:21" x14ac:dyDescent="0.3">
      <c r="A153" s="10" t="s">
        <v>564</v>
      </c>
      <c r="B153" s="11" t="s">
        <v>565</v>
      </c>
      <c r="C153" s="11"/>
      <c r="D153" s="11" t="s">
        <v>566</v>
      </c>
      <c r="E153" s="11">
        <f xml:space="preserve"> IF($U$153,1,0)</f>
        <v>1</v>
      </c>
      <c r="F153" s="11" t="s">
        <v>567</v>
      </c>
      <c r="G153" s="11">
        <v>2</v>
      </c>
      <c r="H153" s="11">
        <v>0</v>
      </c>
      <c r="I153" s="11">
        <v>0</v>
      </c>
      <c r="J153" s="11">
        <v>1</v>
      </c>
      <c r="K153" s="11">
        <v>0</v>
      </c>
      <c r="L153" s="11">
        <v>0</v>
      </c>
      <c r="M153" s="11">
        <v>0</v>
      </c>
      <c r="N153" s="11">
        <v>0</v>
      </c>
      <c r="O153" s="11">
        <v>0</v>
      </c>
      <c r="P153" s="11">
        <v>0</v>
      </c>
      <c r="Q153" s="12">
        <v>0</v>
      </c>
      <c r="R153" s="12">
        <v>0</v>
      </c>
      <c r="S153" s="12">
        <f>$G$153*$G$8+$H$153*$H$8+$I$153*$I$8+$J$153*$J$8+$K$153*$K$8+$L$153*$L$8+$M$153*$M$8+$N$153*$N$8+$O$153*$O$8+$P$153*$P$8</f>
        <v>6.15</v>
      </c>
      <c r="T153" s="12">
        <f>SUM($Q$153:$R$153)</f>
        <v>0</v>
      </c>
      <c r="U153" s="12">
        <f>$S$153+$T$153</f>
        <v>6.15</v>
      </c>
    </row>
    <row r="154" spans="1:21" x14ac:dyDescent="0.3">
      <c r="A154" s="13" t="s">
        <v>568</v>
      </c>
      <c r="B154" s="14" t="s">
        <v>569</v>
      </c>
      <c r="C154" s="14"/>
      <c r="D154" s="14" t="s">
        <v>570</v>
      </c>
      <c r="E154" s="14">
        <f xml:space="preserve"> IF($U$154,1,0)</f>
        <v>1</v>
      </c>
      <c r="F154" s="14" t="s">
        <v>571</v>
      </c>
      <c r="G154" s="14">
        <v>2</v>
      </c>
      <c r="H154" s="14">
        <v>0</v>
      </c>
      <c r="I154" s="14">
        <v>0</v>
      </c>
      <c r="J154" s="14">
        <v>0</v>
      </c>
      <c r="K154" s="14">
        <v>0</v>
      </c>
      <c r="L154" s="14">
        <v>0</v>
      </c>
      <c r="M154" s="14">
        <v>0</v>
      </c>
      <c r="N154" s="14">
        <v>0</v>
      </c>
      <c r="O154" s="14">
        <v>0</v>
      </c>
      <c r="P154" s="14">
        <v>0</v>
      </c>
      <c r="Q154" s="15">
        <v>0</v>
      </c>
      <c r="R154" s="15">
        <v>0</v>
      </c>
      <c r="S154" s="15">
        <f>$G$154*$G$8+$H$154*$H$8+$I$154*$I$8+$J$154*$J$8+$K$154*$K$8+$L$154*$L$8+$M$154*$M$8+$N$154*$N$8+$O$154*$O$8+$P$154*$P$8</f>
        <v>1.4</v>
      </c>
      <c r="T154" s="15">
        <f>SUM($Q$154:$R$154)</f>
        <v>0</v>
      </c>
      <c r="U154" s="15">
        <f>$S$154+$T$154</f>
        <v>1.4</v>
      </c>
    </row>
    <row r="155" spans="1:21" x14ac:dyDescent="0.3">
      <c r="A155" s="10" t="s">
        <v>572</v>
      </c>
      <c r="B155" s="11" t="s">
        <v>573</v>
      </c>
      <c r="C155" s="11" t="s">
        <v>34</v>
      </c>
      <c r="D155" s="11" t="s">
        <v>574</v>
      </c>
      <c r="E155" s="11">
        <f xml:space="preserve"> IF($U$155,1,0)</f>
        <v>0</v>
      </c>
      <c r="F155" s="11" t="s">
        <v>575</v>
      </c>
      <c r="G155" s="11">
        <v>0</v>
      </c>
      <c r="H155" s="11">
        <v>0</v>
      </c>
      <c r="I155" s="11">
        <v>0</v>
      </c>
      <c r="J155" s="11">
        <v>0</v>
      </c>
      <c r="K155" s="11">
        <v>0</v>
      </c>
      <c r="L155" s="11">
        <v>0</v>
      </c>
      <c r="M155" s="11">
        <v>0</v>
      </c>
      <c r="N155" s="11">
        <v>0</v>
      </c>
      <c r="O155" s="11">
        <v>0</v>
      </c>
      <c r="P155" s="11">
        <v>0</v>
      </c>
      <c r="Q155" s="12">
        <v>0</v>
      </c>
      <c r="R155" s="12">
        <v>0</v>
      </c>
      <c r="S155" s="12">
        <f>$G$155*$G$8+$H$155*$H$8+$I$155*$I$8+$J$155*$J$8+$K$155*$K$8+$L$155*$L$8+$M$155*$M$8+$N$155*$N$8+$O$155*$O$8+$P$155*$P$8</f>
        <v>0</v>
      </c>
      <c r="T155" s="12">
        <f>SUM($Q$155:$R$155)</f>
        <v>0</v>
      </c>
      <c r="U155" s="12">
        <f>$S$155+$T$155</f>
        <v>0</v>
      </c>
    </row>
    <row r="156" spans="1:21" x14ac:dyDescent="0.3">
      <c r="A156" s="13" t="s">
        <v>576</v>
      </c>
      <c r="B156" s="14" t="s">
        <v>577</v>
      </c>
      <c r="C156" s="14"/>
      <c r="D156" s="14" t="s">
        <v>578</v>
      </c>
      <c r="E156" s="14">
        <f xml:space="preserve"> IF($U$156,1,0)</f>
        <v>0</v>
      </c>
      <c r="F156" s="14" t="s">
        <v>579</v>
      </c>
      <c r="G156" s="14">
        <v>0</v>
      </c>
      <c r="H156" s="14">
        <v>0</v>
      </c>
      <c r="I156" s="14">
        <v>0</v>
      </c>
      <c r="J156" s="14">
        <v>0</v>
      </c>
      <c r="K156" s="14">
        <v>0</v>
      </c>
      <c r="L156" s="14">
        <v>0</v>
      </c>
      <c r="M156" s="14">
        <v>0</v>
      </c>
      <c r="N156" s="14">
        <v>0</v>
      </c>
      <c r="O156" s="14">
        <v>0</v>
      </c>
      <c r="P156" s="14">
        <v>0</v>
      </c>
      <c r="Q156" s="15">
        <v>0</v>
      </c>
      <c r="R156" s="15">
        <v>0</v>
      </c>
      <c r="S156" s="15">
        <f>$G$156*$G$8+$H$156*$H$8+$I$156*$I$8+$J$156*$J$8+$K$156*$K$8+$L$156*$L$8+$M$156*$M$8+$N$156*$N$8+$O$156*$O$8+$P$156*$P$8</f>
        <v>0</v>
      </c>
      <c r="T156" s="15">
        <f>SUM($Q$156:$R$156)</f>
        <v>0</v>
      </c>
      <c r="U156" s="15">
        <f>$S$156+$T$156</f>
        <v>0</v>
      </c>
    </row>
    <row r="157" spans="1:21" x14ac:dyDescent="0.3">
      <c r="A157" s="10" t="s">
        <v>580</v>
      </c>
      <c r="B157" s="11" t="s">
        <v>581</v>
      </c>
      <c r="C157" s="11"/>
      <c r="D157" s="11" t="s">
        <v>582</v>
      </c>
      <c r="E157" s="11">
        <f xml:space="preserve"> IF($U$157,1,0)</f>
        <v>1</v>
      </c>
      <c r="F157" s="11" t="s">
        <v>583</v>
      </c>
      <c r="G157" s="11">
        <v>4</v>
      </c>
      <c r="H157" s="11">
        <v>1</v>
      </c>
      <c r="I157" s="11">
        <v>1</v>
      </c>
      <c r="J157" s="11">
        <v>0</v>
      </c>
      <c r="K157" s="11">
        <v>0</v>
      </c>
      <c r="L157" s="11">
        <v>0</v>
      </c>
      <c r="M157" s="11">
        <v>0</v>
      </c>
      <c r="N157" s="11">
        <v>0</v>
      </c>
      <c r="O157" s="11">
        <v>0</v>
      </c>
      <c r="P157" s="11">
        <v>1</v>
      </c>
      <c r="Q157" s="12">
        <v>0</v>
      </c>
      <c r="R157" s="12">
        <v>0</v>
      </c>
      <c r="S157" s="12">
        <f>$G$157*$G$8+$H$157*$H$8+$I$157*$I$8+$J$157*$J$8+$K$157*$K$8+$L$157*$L$8+$M$157*$M$8+$N$157*$N$8+$O$157*$O$8+$P$157*$P$8</f>
        <v>6.6</v>
      </c>
      <c r="T157" s="12">
        <f>SUM($Q$157:$R$157)</f>
        <v>0</v>
      </c>
      <c r="U157" s="12">
        <f>$S$157+$T$157</f>
        <v>6.6</v>
      </c>
    </row>
    <row r="158" spans="1:21" x14ac:dyDescent="0.3">
      <c r="A158" s="13" t="s">
        <v>584</v>
      </c>
      <c r="B158" s="14" t="s">
        <v>585</v>
      </c>
      <c r="C158" s="14"/>
      <c r="D158" s="14" t="s">
        <v>586</v>
      </c>
      <c r="E158" s="14">
        <f xml:space="preserve"> IF($U$158,1,0)</f>
        <v>0</v>
      </c>
      <c r="F158" s="14" t="s">
        <v>587</v>
      </c>
      <c r="G158" s="14">
        <v>0</v>
      </c>
      <c r="H158" s="14">
        <v>0</v>
      </c>
      <c r="I158" s="14">
        <v>0</v>
      </c>
      <c r="J158" s="14">
        <v>0</v>
      </c>
      <c r="K158" s="14">
        <v>0</v>
      </c>
      <c r="L158" s="14">
        <v>0</v>
      </c>
      <c r="M158" s="14">
        <v>0</v>
      </c>
      <c r="N158" s="14">
        <v>0</v>
      </c>
      <c r="O158" s="14">
        <v>0</v>
      </c>
      <c r="P158" s="14">
        <v>0</v>
      </c>
      <c r="Q158" s="15">
        <v>0</v>
      </c>
      <c r="R158" s="15">
        <v>0</v>
      </c>
      <c r="S158" s="15">
        <f>$G$158*$G$8+$H$158*$H$8+$I$158*$I$8+$J$158*$J$8+$K$158*$K$8+$L$158*$L$8+$M$158*$M$8+$N$158*$N$8+$O$158*$O$8+$P$158*$P$8</f>
        <v>0</v>
      </c>
      <c r="T158" s="15">
        <f>SUM($Q$158:$R$158)</f>
        <v>0</v>
      </c>
      <c r="U158" s="15">
        <f>$S$158+$T$158</f>
        <v>0</v>
      </c>
    </row>
    <row r="159" spans="1:21" x14ac:dyDescent="0.3">
      <c r="A159" s="10" t="s">
        <v>588</v>
      </c>
      <c r="B159" s="11" t="s">
        <v>589</v>
      </c>
      <c r="C159" s="11"/>
      <c r="D159" s="11" t="s">
        <v>590</v>
      </c>
      <c r="E159" s="11">
        <f xml:space="preserve"> IF($U$159,1,0)</f>
        <v>0</v>
      </c>
      <c r="F159" s="11" t="s">
        <v>591</v>
      </c>
      <c r="G159" s="11">
        <v>0</v>
      </c>
      <c r="H159" s="11">
        <v>0</v>
      </c>
      <c r="I159" s="11">
        <v>0</v>
      </c>
      <c r="J159" s="11">
        <v>0</v>
      </c>
      <c r="K159" s="11">
        <v>0</v>
      </c>
      <c r="L159" s="11">
        <v>0</v>
      </c>
      <c r="M159" s="11">
        <v>0</v>
      </c>
      <c r="N159" s="11">
        <v>0</v>
      </c>
      <c r="O159" s="11">
        <v>0</v>
      </c>
      <c r="P159" s="11">
        <v>0</v>
      </c>
      <c r="Q159" s="12">
        <v>0</v>
      </c>
      <c r="R159" s="12">
        <v>0</v>
      </c>
      <c r="S159" s="12">
        <f>$G$159*$G$8+$H$159*$H$8+$I$159*$I$8+$J$159*$J$8+$K$159*$K$8+$L$159*$L$8+$M$159*$M$8+$N$159*$N$8+$O$159*$O$8+$P$159*$P$8</f>
        <v>0</v>
      </c>
      <c r="T159" s="12">
        <f>SUM($Q$159:$R$159)</f>
        <v>0</v>
      </c>
      <c r="U159" s="12">
        <f>$S$159+$T$159</f>
        <v>0</v>
      </c>
    </row>
    <row r="160" spans="1:21" x14ac:dyDescent="0.3">
      <c r="A160" s="13" t="s">
        <v>592</v>
      </c>
      <c r="B160" s="14" t="s">
        <v>593</v>
      </c>
      <c r="C160" s="14"/>
      <c r="D160" s="14" t="s">
        <v>594</v>
      </c>
      <c r="E160" s="14">
        <f xml:space="preserve"> IF($U$160,1,0)</f>
        <v>0</v>
      </c>
      <c r="F160" s="14" t="s">
        <v>595</v>
      </c>
      <c r="G160" s="14">
        <v>0</v>
      </c>
      <c r="H160" s="14">
        <v>0</v>
      </c>
      <c r="I160" s="14">
        <v>0</v>
      </c>
      <c r="J160" s="14">
        <v>0</v>
      </c>
      <c r="K160" s="14">
        <v>0</v>
      </c>
      <c r="L160" s="14">
        <v>0</v>
      </c>
      <c r="M160" s="14">
        <v>0</v>
      </c>
      <c r="N160" s="14">
        <v>0</v>
      </c>
      <c r="O160" s="14">
        <v>0</v>
      </c>
      <c r="P160" s="14">
        <v>0</v>
      </c>
      <c r="Q160" s="15">
        <v>0</v>
      </c>
      <c r="R160" s="15">
        <v>0</v>
      </c>
      <c r="S160" s="15">
        <f>$G$160*$G$8+$H$160*$H$8+$I$160*$I$8+$J$160*$J$8+$K$160*$K$8+$L$160*$L$8+$M$160*$M$8+$N$160*$N$8+$O$160*$O$8+$P$160*$P$8</f>
        <v>0</v>
      </c>
      <c r="T160" s="15">
        <f>SUM($Q$160:$R$160)</f>
        <v>0</v>
      </c>
      <c r="U160" s="15">
        <f>$S$160+$T$160</f>
        <v>0</v>
      </c>
    </row>
    <row r="161" spans="1:21" x14ac:dyDescent="0.3">
      <c r="A161" s="10" t="s">
        <v>596</v>
      </c>
      <c r="B161" s="11" t="s">
        <v>597</v>
      </c>
      <c r="C161" s="11"/>
      <c r="D161" s="11" t="s">
        <v>598</v>
      </c>
      <c r="E161" s="11">
        <f xml:space="preserve"> IF($U$161,1,0)</f>
        <v>0</v>
      </c>
      <c r="F161" s="11" t="s">
        <v>599</v>
      </c>
      <c r="G161" s="11">
        <v>0</v>
      </c>
      <c r="H161" s="11">
        <v>0</v>
      </c>
      <c r="I161" s="11">
        <v>0</v>
      </c>
      <c r="J161" s="11">
        <v>0</v>
      </c>
      <c r="K161" s="11">
        <v>0</v>
      </c>
      <c r="L161" s="11">
        <v>0</v>
      </c>
      <c r="M161" s="11">
        <v>0</v>
      </c>
      <c r="N161" s="11">
        <v>0</v>
      </c>
      <c r="O161" s="11">
        <v>0</v>
      </c>
      <c r="P161" s="11">
        <v>0</v>
      </c>
      <c r="Q161" s="12">
        <v>0</v>
      </c>
      <c r="R161" s="12">
        <v>0</v>
      </c>
      <c r="S161" s="12">
        <f>$G$161*$G$8+$H$161*$H$8+$I$161*$I$8+$J$161*$J$8+$K$161*$K$8+$L$161*$L$8+$M$161*$M$8+$N$161*$N$8+$O$161*$O$8+$P$161*$P$8</f>
        <v>0</v>
      </c>
      <c r="T161" s="12">
        <f>SUM($Q$161:$R$161)</f>
        <v>0</v>
      </c>
      <c r="U161" s="12">
        <f>$S$161+$T$161</f>
        <v>0</v>
      </c>
    </row>
    <row r="162" spans="1:21" x14ac:dyDescent="0.3">
      <c r="A162" s="13" t="s">
        <v>600</v>
      </c>
      <c r="B162" s="14" t="s">
        <v>601</v>
      </c>
      <c r="C162" s="14"/>
      <c r="D162" s="14" t="s">
        <v>70</v>
      </c>
      <c r="E162" s="14">
        <f xml:space="preserve"> IF($U$162,1,0)</f>
        <v>0</v>
      </c>
      <c r="F162" s="14" t="s">
        <v>602</v>
      </c>
      <c r="G162" s="14">
        <v>0</v>
      </c>
      <c r="H162" s="14">
        <v>0</v>
      </c>
      <c r="I162" s="14">
        <v>0</v>
      </c>
      <c r="J162" s="14">
        <v>0</v>
      </c>
      <c r="K162" s="14">
        <v>0</v>
      </c>
      <c r="L162" s="14">
        <v>0</v>
      </c>
      <c r="M162" s="14">
        <v>0</v>
      </c>
      <c r="N162" s="14">
        <v>0</v>
      </c>
      <c r="O162" s="14">
        <v>0</v>
      </c>
      <c r="P162" s="14">
        <v>0</v>
      </c>
      <c r="Q162" s="15">
        <v>0</v>
      </c>
      <c r="R162" s="15">
        <v>0</v>
      </c>
      <c r="S162" s="15">
        <f>$G$162*$G$8+$H$162*$H$8+$I$162*$I$8+$J$162*$J$8+$K$162*$K$8+$L$162*$L$8+$M$162*$M$8+$N$162*$N$8+$O$162*$O$8+$P$162*$P$8</f>
        <v>0</v>
      </c>
      <c r="T162" s="15">
        <f>SUM($Q$162:$R$162)</f>
        <v>0</v>
      </c>
      <c r="U162" s="15">
        <f>$S$162+$T$162</f>
        <v>0</v>
      </c>
    </row>
    <row r="163" spans="1:21" x14ac:dyDescent="0.3">
      <c r="A163" s="10" t="s">
        <v>603</v>
      </c>
      <c r="B163" s="11" t="s">
        <v>604</v>
      </c>
      <c r="C163" s="11"/>
      <c r="D163" s="11" t="s">
        <v>605</v>
      </c>
      <c r="E163" s="11">
        <f xml:space="preserve"> IF($U$163,1,0)</f>
        <v>0</v>
      </c>
      <c r="F163" s="11" t="s">
        <v>606</v>
      </c>
      <c r="G163" s="11">
        <v>0</v>
      </c>
      <c r="H163" s="11">
        <v>0</v>
      </c>
      <c r="I163" s="11">
        <v>0</v>
      </c>
      <c r="J163" s="11">
        <v>0</v>
      </c>
      <c r="K163" s="11">
        <v>0</v>
      </c>
      <c r="L163" s="11">
        <v>0</v>
      </c>
      <c r="M163" s="11">
        <v>0</v>
      </c>
      <c r="N163" s="11">
        <v>0</v>
      </c>
      <c r="O163" s="11">
        <v>0</v>
      </c>
      <c r="P163" s="11">
        <v>0</v>
      </c>
      <c r="Q163" s="12">
        <v>0</v>
      </c>
      <c r="R163" s="12">
        <v>0</v>
      </c>
      <c r="S163" s="12">
        <f>$G$163*$G$8+$H$163*$H$8+$I$163*$I$8+$J$163*$J$8+$K$163*$K$8+$L$163*$L$8+$M$163*$M$8+$N$163*$N$8+$O$163*$O$8+$P$163*$P$8</f>
        <v>0</v>
      </c>
      <c r="T163" s="12">
        <f>SUM($Q$163:$R$163)</f>
        <v>0</v>
      </c>
      <c r="U163" s="12">
        <f>$S$163+$T$163</f>
        <v>0</v>
      </c>
    </row>
    <row r="164" spans="1:21" x14ac:dyDescent="0.3">
      <c r="A164" s="13" t="s">
        <v>607</v>
      </c>
      <c r="B164" s="14" t="s">
        <v>608</v>
      </c>
      <c r="C164" s="14"/>
      <c r="D164" s="14" t="s">
        <v>609</v>
      </c>
      <c r="E164" s="14">
        <f xml:space="preserve"> IF($U$164,1,0)</f>
        <v>0</v>
      </c>
      <c r="F164" s="14" t="s">
        <v>610</v>
      </c>
      <c r="G164" s="14">
        <v>0</v>
      </c>
      <c r="H164" s="14">
        <v>0</v>
      </c>
      <c r="I164" s="14">
        <v>0</v>
      </c>
      <c r="J164" s="14">
        <v>0</v>
      </c>
      <c r="K164" s="14">
        <v>0</v>
      </c>
      <c r="L164" s="14">
        <v>0</v>
      </c>
      <c r="M164" s="14">
        <v>0</v>
      </c>
      <c r="N164" s="14">
        <v>0</v>
      </c>
      <c r="O164" s="14">
        <v>0</v>
      </c>
      <c r="P164" s="14">
        <v>0</v>
      </c>
      <c r="Q164" s="15">
        <v>0</v>
      </c>
      <c r="R164" s="15">
        <v>0</v>
      </c>
      <c r="S164" s="15">
        <f>$G$164*$G$8+$H$164*$H$8+$I$164*$I$8+$J$164*$J$8+$K$164*$K$8+$L$164*$L$8+$M$164*$M$8+$N$164*$N$8+$O$164*$O$8+$P$164*$P$8</f>
        <v>0</v>
      </c>
      <c r="T164" s="15">
        <f>SUM($Q$164:$R$164)</f>
        <v>0</v>
      </c>
      <c r="U164" s="15">
        <f>$S$164+$T$164</f>
        <v>0</v>
      </c>
    </row>
    <row r="165" spans="1:21" x14ac:dyDescent="0.3">
      <c r="A165" s="10" t="s">
        <v>611</v>
      </c>
      <c r="B165" s="11" t="s">
        <v>612</v>
      </c>
      <c r="C165" s="11"/>
      <c r="D165" s="11" t="s">
        <v>613</v>
      </c>
      <c r="E165" s="11">
        <f xml:space="preserve"> IF($U$165,1,0)</f>
        <v>0</v>
      </c>
      <c r="F165" s="11" t="s">
        <v>614</v>
      </c>
      <c r="G165" s="11">
        <v>0</v>
      </c>
      <c r="H165" s="11">
        <v>0</v>
      </c>
      <c r="I165" s="11">
        <v>0</v>
      </c>
      <c r="J165" s="11">
        <v>0</v>
      </c>
      <c r="K165" s="11">
        <v>0</v>
      </c>
      <c r="L165" s="11">
        <v>0</v>
      </c>
      <c r="M165" s="11">
        <v>0</v>
      </c>
      <c r="N165" s="11">
        <v>0</v>
      </c>
      <c r="O165" s="11">
        <v>0</v>
      </c>
      <c r="P165" s="11">
        <v>0</v>
      </c>
      <c r="Q165" s="12">
        <v>0</v>
      </c>
      <c r="R165" s="12">
        <v>0</v>
      </c>
      <c r="S165" s="12">
        <f>$G$165*$G$8+$H$165*$H$8+$I$165*$I$8+$J$165*$J$8+$K$165*$K$8+$L$165*$L$8+$M$165*$M$8+$N$165*$N$8+$O$165*$O$8+$P$165*$P$8</f>
        <v>0</v>
      </c>
      <c r="T165" s="12">
        <f>SUM($Q$165:$R$165)</f>
        <v>0</v>
      </c>
      <c r="U165" s="12">
        <f>$S$165+$T$165</f>
        <v>0</v>
      </c>
    </row>
    <row r="166" spans="1:21" x14ac:dyDescent="0.3">
      <c r="A166" s="13" t="s">
        <v>615</v>
      </c>
      <c r="B166" s="14" t="s">
        <v>616</v>
      </c>
      <c r="C166" s="14"/>
      <c r="D166" s="14" t="s">
        <v>617</v>
      </c>
      <c r="E166" s="14">
        <f xml:space="preserve"> IF($U$166,1,0)</f>
        <v>0</v>
      </c>
      <c r="F166" s="14" t="s">
        <v>618</v>
      </c>
      <c r="G166" s="14">
        <v>0</v>
      </c>
      <c r="H166" s="14">
        <v>0</v>
      </c>
      <c r="I166" s="14">
        <v>0</v>
      </c>
      <c r="J166" s="14">
        <v>0</v>
      </c>
      <c r="K166" s="14">
        <v>0</v>
      </c>
      <c r="L166" s="14">
        <v>0</v>
      </c>
      <c r="M166" s="14">
        <v>0</v>
      </c>
      <c r="N166" s="14">
        <v>0</v>
      </c>
      <c r="O166" s="14">
        <v>0</v>
      </c>
      <c r="P166" s="14">
        <v>0</v>
      </c>
      <c r="Q166" s="15">
        <v>0</v>
      </c>
      <c r="R166" s="15">
        <v>0</v>
      </c>
      <c r="S166" s="15">
        <f>$G$166*$G$8+$H$166*$H$8+$I$166*$I$8+$J$166*$J$8+$K$166*$K$8+$L$166*$L$8+$M$166*$M$8+$N$166*$N$8+$O$166*$O$8+$P$166*$P$8</f>
        <v>0</v>
      </c>
      <c r="T166" s="15">
        <f>SUM($Q$166:$R$166)</f>
        <v>0</v>
      </c>
      <c r="U166" s="15">
        <f>$S$166+$T$166</f>
        <v>0</v>
      </c>
    </row>
    <row r="167" spans="1:21" x14ac:dyDescent="0.3">
      <c r="A167" s="10" t="s">
        <v>619</v>
      </c>
      <c r="B167" s="11" t="s">
        <v>620</v>
      </c>
      <c r="C167" s="11" t="s">
        <v>34</v>
      </c>
      <c r="D167" s="11" t="s">
        <v>621</v>
      </c>
      <c r="E167" s="11">
        <f xml:space="preserve"> IF($U$167,1,0)</f>
        <v>0</v>
      </c>
      <c r="F167" s="11" t="s">
        <v>622</v>
      </c>
      <c r="G167" s="11">
        <v>0</v>
      </c>
      <c r="H167" s="11">
        <v>0</v>
      </c>
      <c r="I167" s="11">
        <v>0</v>
      </c>
      <c r="J167" s="11">
        <v>0</v>
      </c>
      <c r="K167" s="11">
        <v>0</v>
      </c>
      <c r="L167" s="11">
        <v>0</v>
      </c>
      <c r="M167" s="11">
        <v>0</v>
      </c>
      <c r="N167" s="11">
        <v>0</v>
      </c>
      <c r="O167" s="11">
        <v>0</v>
      </c>
      <c r="P167" s="11">
        <v>0</v>
      </c>
      <c r="Q167" s="12">
        <v>0</v>
      </c>
      <c r="R167" s="12">
        <v>0</v>
      </c>
      <c r="S167" s="12">
        <f>$G$167*$G$8+$H$167*$H$8+$I$167*$I$8+$J$167*$J$8+$K$167*$K$8+$L$167*$L$8+$M$167*$M$8+$N$167*$N$8+$O$167*$O$8+$P$167*$P$8</f>
        <v>0</v>
      </c>
      <c r="T167" s="12">
        <f>SUM($Q$167:$R$167)</f>
        <v>0</v>
      </c>
      <c r="U167" s="12">
        <f>$S$167+$T$167</f>
        <v>0</v>
      </c>
    </row>
    <row r="168" spans="1:21" x14ac:dyDescent="0.3">
      <c r="A168" s="13" t="s">
        <v>623</v>
      </c>
      <c r="B168" s="14" t="s">
        <v>624</v>
      </c>
      <c r="C168" s="14"/>
      <c r="D168" s="14" t="s">
        <v>625</v>
      </c>
      <c r="E168" s="14">
        <f xml:space="preserve"> IF($U$168,1,0)</f>
        <v>0</v>
      </c>
      <c r="F168" s="14" t="s">
        <v>626</v>
      </c>
      <c r="G168" s="14">
        <v>0</v>
      </c>
      <c r="H168" s="14">
        <v>0</v>
      </c>
      <c r="I168" s="14">
        <v>0</v>
      </c>
      <c r="J168" s="14">
        <v>0</v>
      </c>
      <c r="K168" s="14">
        <v>0</v>
      </c>
      <c r="L168" s="14">
        <v>0</v>
      </c>
      <c r="M168" s="14">
        <v>0</v>
      </c>
      <c r="N168" s="14">
        <v>0</v>
      </c>
      <c r="O168" s="14">
        <v>0</v>
      </c>
      <c r="P168" s="14">
        <v>0</v>
      </c>
      <c r="Q168" s="15">
        <v>0</v>
      </c>
      <c r="R168" s="15">
        <v>0</v>
      </c>
      <c r="S168" s="15">
        <f>$G$168*$G$8+$H$168*$H$8+$I$168*$I$8+$J$168*$J$8+$K$168*$K$8+$L$168*$L$8+$M$168*$M$8+$N$168*$N$8+$O$168*$O$8+$P$168*$P$8</f>
        <v>0</v>
      </c>
      <c r="T168" s="15">
        <f>SUM($Q$168:$R$168)</f>
        <v>0</v>
      </c>
      <c r="U168" s="15">
        <f>$S$168+$T$168</f>
        <v>0</v>
      </c>
    </row>
    <row r="169" spans="1:21" x14ac:dyDescent="0.3">
      <c r="A169" s="10" t="s">
        <v>627</v>
      </c>
      <c r="B169" s="11" t="s">
        <v>624</v>
      </c>
      <c r="C169" s="11"/>
      <c r="D169" s="11" t="s">
        <v>628</v>
      </c>
      <c r="E169" s="11">
        <f xml:space="preserve"> IF($U$169,1,0)</f>
        <v>0</v>
      </c>
      <c r="F169" s="11" t="s">
        <v>629</v>
      </c>
      <c r="G169" s="11">
        <v>0</v>
      </c>
      <c r="H169" s="11">
        <v>0</v>
      </c>
      <c r="I169" s="11">
        <v>0</v>
      </c>
      <c r="J169" s="11">
        <v>0</v>
      </c>
      <c r="K169" s="11">
        <v>0</v>
      </c>
      <c r="L169" s="11">
        <v>0</v>
      </c>
      <c r="M169" s="11">
        <v>0</v>
      </c>
      <c r="N169" s="11">
        <v>0</v>
      </c>
      <c r="O169" s="11">
        <v>0</v>
      </c>
      <c r="P169" s="11">
        <v>0</v>
      </c>
      <c r="Q169" s="12">
        <v>0</v>
      </c>
      <c r="R169" s="12">
        <v>0</v>
      </c>
      <c r="S169" s="12">
        <f>$G$169*$G$8+$H$169*$H$8+$I$169*$I$8+$J$169*$J$8+$K$169*$K$8+$L$169*$L$8+$M$169*$M$8+$N$169*$N$8+$O$169*$O$8+$P$169*$P$8</f>
        <v>0</v>
      </c>
      <c r="T169" s="12">
        <f>SUM($Q$169:$R$169)</f>
        <v>0</v>
      </c>
      <c r="U169" s="12">
        <f>$S$169+$T$169</f>
        <v>0</v>
      </c>
    </row>
    <row r="170" spans="1:21" x14ac:dyDescent="0.3">
      <c r="A170" s="13" t="s">
        <v>630</v>
      </c>
      <c r="B170" s="14" t="s">
        <v>631</v>
      </c>
      <c r="C170" s="14"/>
      <c r="D170" s="14" t="s">
        <v>632</v>
      </c>
      <c r="E170" s="14">
        <f xml:space="preserve"> IF($U$170,1,0)</f>
        <v>1</v>
      </c>
      <c r="F170" s="14" t="s">
        <v>633</v>
      </c>
      <c r="G170" s="14">
        <v>4</v>
      </c>
      <c r="H170" s="14">
        <v>1</v>
      </c>
      <c r="I170" s="14">
        <v>2</v>
      </c>
      <c r="J170" s="14">
        <v>0</v>
      </c>
      <c r="K170" s="14">
        <v>0</v>
      </c>
      <c r="L170" s="14">
        <v>0</v>
      </c>
      <c r="M170" s="14">
        <v>0</v>
      </c>
      <c r="N170" s="14">
        <v>0</v>
      </c>
      <c r="O170" s="14">
        <v>0</v>
      </c>
      <c r="P170" s="14">
        <v>0</v>
      </c>
      <c r="Q170" s="15">
        <v>0</v>
      </c>
      <c r="R170" s="15">
        <v>0</v>
      </c>
      <c r="S170" s="15">
        <f>$G$170*$G$8+$H$170*$H$8+$I$170*$I$8+$J$170*$J$8+$K$170*$K$8+$L$170*$L$8+$M$170*$M$8+$N$170*$N$8+$O$170*$O$8+$P$170*$P$8</f>
        <v>6.6</v>
      </c>
      <c r="T170" s="15">
        <f>SUM($Q$170:$R$170)</f>
        <v>0</v>
      </c>
      <c r="U170" s="15">
        <f>$S$170+$T$170</f>
        <v>6.6</v>
      </c>
    </row>
    <row r="171" spans="1:21" x14ac:dyDescent="0.3">
      <c r="A171" s="10" t="s">
        <v>634</v>
      </c>
      <c r="B171" s="11" t="s">
        <v>635</v>
      </c>
      <c r="C171" s="11"/>
      <c r="D171" s="11" t="s">
        <v>636</v>
      </c>
      <c r="E171" s="11">
        <f xml:space="preserve"> IF($U$171,1,0)</f>
        <v>0</v>
      </c>
      <c r="F171" s="11" t="s">
        <v>637</v>
      </c>
      <c r="G171" s="11">
        <v>0</v>
      </c>
      <c r="H171" s="11">
        <v>0</v>
      </c>
      <c r="I171" s="11">
        <v>0</v>
      </c>
      <c r="J171" s="11">
        <v>0</v>
      </c>
      <c r="K171" s="11">
        <v>0</v>
      </c>
      <c r="L171" s="11">
        <v>0</v>
      </c>
      <c r="M171" s="11">
        <v>0</v>
      </c>
      <c r="N171" s="11">
        <v>0</v>
      </c>
      <c r="O171" s="11">
        <v>0</v>
      </c>
      <c r="P171" s="11">
        <v>0</v>
      </c>
      <c r="Q171" s="12">
        <v>0</v>
      </c>
      <c r="R171" s="12">
        <v>0</v>
      </c>
      <c r="S171" s="12">
        <f>$G$171*$G$8+$H$171*$H$8+$I$171*$I$8+$J$171*$J$8+$K$171*$K$8+$L$171*$L$8+$M$171*$M$8+$N$171*$N$8+$O$171*$O$8+$P$171*$P$8</f>
        <v>0</v>
      </c>
      <c r="T171" s="12">
        <f>SUM($Q$171:$R$171)</f>
        <v>0</v>
      </c>
      <c r="U171" s="12">
        <f>$S$171+$T$171</f>
        <v>0</v>
      </c>
    </row>
    <row r="172" spans="1:21" x14ac:dyDescent="0.3">
      <c r="A172" s="13" t="s">
        <v>638</v>
      </c>
      <c r="B172" s="14" t="s">
        <v>639</v>
      </c>
      <c r="C172" s="14"/>
      <c r="D172" s="14" t="s">
        <v>274</v>
      </c>
      <c r="E172" s="14">
        <f xml:space="preserve"> IF($U$172,1,0)</f>
        <v>0</v>
      </c>
      <c r="F172" s="14" t="s">
        <v>640</v>
      </c>
      <c r="G172" s="14">
        <v>0</v>
      </c>
      <c r="H172" s="14">
        <v>0</v>
      </c>
      <c r="I172" s="14">
        <v>0</v>
      </c>
      <c r="J172" s="14">
        <v>0</v>
      </c>
      <c r="K172" s="14">
        <v>0</v>
      </c>
      <c r="L172" s="14">
        <v>0</v>
      </c>
      <c r="M172" s="14">
        <v>0</v>
      </c>
      <c r="N172" s="14">
        <v>0</v>
      </c>
      <c r="O172" s="14">
        <v>0</v>
      </c>
      <c r="P172" s="14">
        <v>0</v>
      </c>
      <c r="Q172" s="15">
        <v>0</v>
      </c>
      <c r="R172" s="15">
        <v>0</v>
      </c>
      <c r="S172" s="15">
        <f>$G$172*$G$8+$H$172*$H$8+$I$172*$I$8+$J$172*$J$8+$K$172*$K$8+$L$172*$L$8+$M$172*$M$8+$N$172*$N$8+$O$172*$O$8+$P$172*$P$8</f>
        <v>0</v>
      </c>
      <c r="T172" s="15">
        <f>SUM($Q$172:$R$172)</f>
        <v>0</v>
      </c>
      <c r="U172" s="15">
        <f>$S$172+$T$172</f>
        <v>0</v>
      </c>
    </row>
    <row r="173" spans="1:21" x14ac:dyDescent="0.3">
      <c r="A173" s="10" t="s">
        <v>641</v>
      </c>
      <c r="B173" s="11" t="s">
        <v>642</v>
      </c>
      <c r="C173" s="11"/>
      <c r="D173" s="11" t="s">
        <v>643</v>
      </c>
      <c r="E173" s="11">
        <f xml:space="preserve"> IF($U$173,1,0)</f>
        <v>0</v>
      </c>
      <c r="F173" s="11" t="s">
        <v>644</v>
      </c>
      <c r="G173" s="11">
        <v>0</v>
      </c>
      <c r="H173" s="11">
        <v>0</v>
      </c>
      <c r="I173" s="11">
        <v>0</v>
      </c>
      <c r="J173" s="11">
        <v>0</v>
      </c>
      <c r="K173" s="11">
        <v>0</v>
      </c>
      <c r="L173" s="11">
        <v>0</v>
      </c>
      <c r="M173" s="11">
        <v>0</v>
      </c>
      <c r="N173" s="11">
        <v>0</v>
      </c>
      <c r="O173" s="11">
        <v>0</v>
      </c>
      <c r="P173" s="11">
        <v>0</v>
      </c>
      <c r="Q173" s="12">
        <v>0</v>
      </c>
      <c r="R173" s="12">
        <v>0</v>
      </c>
      <c r="S173" s="12">
        <f>$G$173*$G$8+$H$173*$H$8+$I$173*$I$8+$J$173*$J$8+$K$173*$K$8+$L$173*$L$8+$M$173*$M$8+$N$173*$N$8+$O$173*$O$8+$P$173*$P$8</f>
        <v>0</v>
      </c>
      <c r="T173" s="12">
        <f>SUM($Q$173:$R$173)</f>
        <v>0</v>
      </c>
      <c r="U173" s="12">
        <f>$S$173+$T$173</f>
        <v>0</v>
      </c>
    </row>
    <row r="174" spans="1:21" x14ac:dyDescent="0.3">
      <c r="A174" s="13" t="s">
        <v>645</v>
      </c>
      <c r="B174" s="14" t="s">
        <v>646</v>
      </c>
      <c r="C174" s="14"/>
      <c r="D174" s="14" t="s">
        <v>647</v>
      </c>
      <c r="E174" s="14">
        <f xml:space="preserve"> IF($U$174,1,0)</f>
        <v>0</v>
      </c>
      <c r="F174" s="14" t="s">
        <v>648</v>
      </c>
      <c r="G174" s="14">
        <v>0</v>
      </c>
      <c r="H174" s="14">
        <v>0</v>
      </c>
      <c r="I174" s="14">
        <v>0</v>
      </c>
      <c r="J174" s="14">
        <v>0</v>
      </c>
      <c r="K174" s="14">
        <v>0</v>
      </c>
      <c r="L174" s="14">
        <v>0</v>
      </c>
      <c r="M174" s="14">
        <v>0</v>
      </c>
      <c r="N174" s="14">
        <v>0</v>
      </c>
      <c r="O174" s="14">
        <v>0</v>
      </c>
      <c r="P174" s="14">
        <v>0</v>
      </c>
      <c r="Q174" s="15">
        <v>0</v>
      </c>
      <c r="R174" s="15">
        <v>0</v>
      </c>
      <c r="S174" s="15">
        <f>$G$174*$G$8+$H$174*$H$8+$I$174*$I$8+$J$174*$J$8+$K$174*$K$8+$L$174*$L$8+$M$174*$M$8+$N$174*$N$8+$O$174*$O$8+$P$174*$P$8</f>
        <v>0</v>
      </c>
      <c r="T174" s="15">
        <f>SUM($Q$174:$R$174)</f>
        <v>0</v>
      </c>
      <c r="U174" s="15">
        <f>$S$174+$T$174</f>
        <v>0</v>
      </c>
    </row>
    <row r="175" spans="1:21" x14ac:dyDescent="0.3">
      <c r="A175" s="10" t="s">
        <v>649</v>
      </c>
      <c r="B175" s="11" t="s">
        <v>650</v>
      </c>
      <c r="C175" s="11"/>
      <c r="D175" s="11" t="s">
        <v>651</v>
      </c>
      <c r="E175" s="11">
        <f xml:space="preserve"> IF($U$175,1,0)</f>
        <v>0</v>
      </c>
      <c r="F175" s="11" t="s">
        <v>652</v>
      </c>
      <c r="G175" s="11">
        <v>0</v>
      </c>
      <c r="H175" s="11">
        <v>0</v>
      </c>
      <c r="I175" s="11">
        <v>0</v>
      </c>
      <c r="J175" s="11">
        <v>0</v>
      </c>
      <c r="K175" s="11">
        <v>0</v>
      </c>
      <c r="L175" s="11">
        <v>0</v>
      </c>
      <c r="M175" s="11">
        <v>0</v>
      </c>
      <c r="N175" s="11">
        <v>0</v>
      </c>
      <c r="O175" s="11">
        <v>0</v>
      </c>
      <c r="P175" s="11">
        <v>0</v>
      </c>
      <c r="Q175" s="12">
        <v>0</v>
      </c>
      <c r="R175" s="12">
        <v>0</v>
      </c>
      <c r="S175" s="12">
        <f>$G$175*$G$8+$H$175*$H$8+$I$175*$I$8+$J$175*$J$8+$K$175*$K$8+$L$175*$L$8+$M$175*$M$8+$N$175*$N$8+$O$175*$O$8+$P$175*$P$8</f>
        <v>0</v>
      </c>
      <c r="T175" s="12">
        <f>SUM($Q$175:$R$175)</f>
        <v>0</v>
      </c>
      <c r="U175" s="12">
        <f>$S$175+$T$175</f>
        <v>0</v>
      </c>
    </row>
    <row r="176" spans="1:21" x14ac:dyDescent="0.3">
      <c r="A176" s="13" t="s">
        <v>653</v>
      </c>
      <c r="B176" s="14" t="s">
        <v>654</v>
      </c>
      <c r="C176" s="14"/>
      <c r="D176" s="14" t="s">
        <v>655</v>
      </c>
      <c r="E176" s="14">
        <f xml:space="preserve"> IF($U$176,1,0)</f>
        <v>0</v>
      </c>
      <c r="F176" s="14" t="s">
        <v>656</v>
      </c>
      <c r="G176" s="14">
        <v>0</v>
      </c>
      <c r="H176" s="14">
        <v>0</v>
      </c>
      <c r="I176" s="14">
        <v>0</v>
      </c>
      <c r="J176" s="14">
        <v>0</v>
      </c>
      <c r="K176" s="14">
        <v>0</v>
      </c>
      <c r="L176" s="14">
        <v>0</v>
      </c>
      <c r="M176" s="14">
        <v>0</v>
      </c>
      <c r="N176" s="14">
        <v>0</v>
      </c>
      <c r="O176" s="14">
        <v>0</v>
      </c>
      <c r="P176" s="14">
        <v>0</v>
      </c>
      <c r="Q176" s="15">
        <v>0</v>
      </c>
      <c r="R176" s="15">
        <v>0</v>
      </c>
      <c r="S176" s="15">
        <f>$G$176*$G$8+$H$176*$H$8+$I$176*$I$8+$J$176*$J$8+$K$176*$K$8+$L$176*$L$8+$M$176*$M$8+$N$176*$N$8+$O$176*$O$8+$P$176*$P$8</f>
        <v>0</v>
      </c>
      <c r="T176" s="15">
        <f>SUM($Q$176:$R$176)</f>
        <v>0</v>
      </c>
      <c r="U176" s="15">
        <f>$S$176+$T$176</f>
        <v>0</v>
      </c>
    </row>
    <row r="177" spans="1:21" x14ac:dyDescent="0.3">
      <c r="A177" s="10" t="s">
        <v>657</v>
      </c>
      <c r="B177" s="11" t="s">
        <v>658</v>
      </c>
      <c r="C177" s="11"/>
      <c r="D177" s="11" t="s">
        <v>659</v>
      </c>
      <c r="E177" s="11">
        <f xml:space="preserve"> IF($U$177,1,0)</f>
        <v>0</v>
      </c>
      <c r="F177" s="11" t="s">
        <v>660</v>
      </c>
      <c r="G177" s="11">
        <v>0</v>
      </c>
      <c r="H177" s="11">
        <v>0</v>
      </c>
      <c r="I177" s="11">
        <v>0</v>
      </c>
      <c r="J177" s="11">
        <v>0</v>
      </c>
      <c r="K177" s="11">
        <v>0</v>
      </c>
      <c r="L177" s="11">
        <v>0</v>
      </c>
      <c r="M177" s="11">
        <v>0</v>
      </c>
      <c r="N177" s="11">
        <v>0</v>
      </c>
      <c r="O177" s="11">
        <v>0</v>
      </c>
      <c r="P177" s="11">
        <v>0</v>
      </c>
      <c r="Q177" s="12">
        <v>0</v>
      </c>
      <c r="R177" s="12">
        <v>0</v>
      </c>
      <c r="S177" s="12">
        <f>$G$177*$G$8+$H$177*$H$8+$I$177*$I$8+$J$177*$J$8+$K$177*$K$8+$L$177*$L$8+$M$177*$M$8+$N$177*$N$8+$O$177*$O$8+$P$177*$P$8</f>
        <v>0</v>
      </c>
      <c r="T177" s="12">
        <f>SUM($Q$177:$R$177)</f>
        <v>0</v>
      </c>
      <c r="U177" s="12">
        <f>$S$177+$T$177</f>
        <v>0</v>
      </c>
    </row>
    <row r="178" spans="1:21" x14ac:dyDescent="0.3">
      <c r="A178" s="13" t="s">
        <v>661</v>
      </c>
      <c r="B178" s="14" t="s">
        <v>658</v>
      </c>
      <c r="C178" s="14" t="s">
        <v>202</v>
      </c>
      <c r="D178" s="14" t="s">
        <v>662</v>
      </c>
      <c r="E178" s="14">
        <f xml:space="preserve"> IF($U$178,1,0)</f>
        <v>0</v>
      </c>
      <c r="F178" s="14" t="s">
        <v>663</v>
      </c>
      <c r="G178" s="14">
        <v>0</v>
      </c>
      <c r="H178" s="14">
        <v>0</v>
      </c>
      <c r="I178" s="14">
        <v>0</v>
      </c>
      <c r="J178" s="14">
        <v>0</v>
      </c>
      <c r="K178" s="14">
        <v>0</v>
      </c>
      <c r="L178" s="14">
        <v>0</v>
      </c>
      <c r="M178" s="14">
        <v>0</v>
      </c>
      <c r="N178" s="14">
        <v>0</v>
      </c>
      <c r="O178" s="14">
        <v>0</v>
      </c>
      <c r="P178" s="14">
        <v>0</v>
      </c>
      <c r="Q178" s="15">
        <v>0</v>
      </c>
      <c r="R178" s="15">
        <v>0</v>
      </c>
      <c r="S178" s="15">
        <f>$G$178*$G$8+$H$178*$H$8+$I$178*$I$8+$J$178*$J$8+$K$178*$K$8+$L$178*$L$8+$M$178*$M$8+$N$178*$N$8+$O$178*$O$8+$P$178*$P$8</f>
        <v>0</v>
      </c>
      <c r="T178" s="15">
        <f>SUM($Q$178:$R$178)</f>
        <v>0</v>
      </c>
      <c r="U178" s="15">
        <f>$S$178+$T$178</f>
        <v>0</v>
      </c>
    </row>
    <row r="179" spans="1:21" x14ac:dyDescent="0.3">
      <c r="A179" s="10" t="s">
        <v>664</v>
      </c>
      <c r="B179" s="11" t="s">
        <v>665</v>
      </c>
      <c r="C179" s="11"/>
      <c r="D179" s="11" t="s">
        <v>666</v>
      </c>
      <c r="E179" s="11">
        <f xml:space="preserve"> IF($U$179,1,0)</f>
        <v>0</v>
      </c>
      <c r="F179" s="11" t="s">
        <v>667</v>
      </c>
      <c r="G179" s="11">
        <v>0</v>
      </c>
      <c r="H179" s="11">
        <v>0</v>
      </c>
      <c r="I179" s="11">
        <v>0</v>
      </c>
      <c r="J179" s="11">
        <v>0</v>
      </c>
      <c r="K179" s="11">
        <v>0</v>
      </c>
      <c r="L179" s="11">
        <v>0</v>
      </c>
      <c r="M179" s="11">
        <v>0</v>
      </c>
      <c r="N179" s="11">
        <v>0</v>
      </c>
      <c r="O179" s="11">
        <v>0</v>
      </c>
      <c r="P179" s="11">
        <v>0</v>
      </c>
      <c r="Q179" s="12">
        <v>0</v>
      </c>
      <c r="R179" s="12">
        <v>0</v>
      </c>
      <c r="S179" s="12">
        <f>$G$179*$G$8+$H$179*$H$8+$I$179*$I$8+$J$179*$J$8+$K$179*$K$8+$L$179*$L$8+$M$179*$M$8+$N$179*$N$8+$O$179*$O$8+$P$179*$P$8</f>
        <v>0</v>
      </c>
      <c r="T179" s="12">
        <f>SUM($Q$179:$R$179)</f>
        <v>0</v>
      </c>
      <c r="U179" s="12">
        <f>$S$179+$T$179</f>
        <v>0</v>
      </c>
    </row>
    <row r="180" spans="1:21" x14ac:dyDescent="0.3">
      <c r="A180" s="13" t="s">
        <v>668</v>
      </c>
      <c r="B180" s="14" t="s">
        <v>669</v>
      </c>
      <c r="C180" s="14"/>
      <c r="D180" s="14" t="s">
        <v>670</v>
      </c>
      <c r="E180" s="14">
        <f xml:space="preserve"> IF($U$180,1,0)</f>
        <v>0</v>
      </c>
      <c r="F180" s="14" t="s">
        <v>671</v>
      </c>
      <c r="G180" s="14">
        <v>0</v>
      </c>
      <c r="H180" s="14">
        <v>0</v>
      </c>
      <c r="I180" s="14">
        <v>0</v>
      </c>
      <c r="J180" s="14">
        <v>0</v>
      </c>
      <c r="K180" s="14">
        <v>0</v>
      </c>
      <c r="L180" s="14">
        <v>0</v>
      </c>
      <c r="M180" s="14">
        <v>0</v>
      </c>
      <c r="N180" s="14">
        <v>0</v>
      </c>
      <c r="O180" s="14">
        <v>0</v>
      </c>
      <c r="P180" s="14">
        <v>0</v>
      </c>
      <c r="Q180" s="15">
        <v>0</v>
      </c>
      <c r="R180" s="15">
        <v>0</v>
      </c>
      <c r="S180" s="15">
        <f>$G$180*$G$8+$H$180*$H$8+$I$180*$I$8+$J$180*$J$8+$K$180*$K$8+$L$180*$L$8+$M$180*$M$8+$N$180*$N$8+$O$180*$O$8+$P$180*$P$8</f>
        <v>0</v>
      </c>
      <c r="T180" s="15">
        <f>SUM($Q$180:$R$180)</f>
        <v>0</v>
      </c>
      <c r="U180" s="15">
        <f>$S$180+$T$180</f>
        <v>0</v>
      </c>
    </row>
    <row r="181" spans="1:21" x14ac:dyDescent="0.3">
      <c r="A181" s="10" t="s">
        <v>672</v>
      </c>
      <c r="B181" s="11" t="s">
        <v>673</v>
      </c>
      <c r="C181" s="11"/>
      <c r="D181" s="11" t="s">
        <v>674</v>
      </c>
      <c r="E181" s="11">
        <f xml:space="preserve"> IF($U$181,1,0)</f>
        <v>0</v>
      </c>
      <c r="F181" s="11" t="s">
        <v>675</v>
      </c>
      <c r="G181" s="11">
        <v>0</v>
      </c>
      <c r="H181" s="11">
        <v>0</v>
      </c>
      <c r="I181" s="11">
        <v>0</v>
      </c>
      <c r="J181" s="11">
        <v>0</v>
      </c>
      <c r="K181" s="11">
        <v>0</v>
      </c>
      <c r="L181" s="11">
        <v>0</v>
      </c>
      <c r="M181" s="11">
        <v>0</v>
      </c>
      <c r="N181" s="11">
        <v>0</v>
      </c>
      <c r="O181" s="11">
        <v>0</v>
      </c>
      <c r="P181" s="11">
        <v>0</v>
      </c>
      <c r="Q181" s="12">
        <v>0</v>
      </c>
      <c r="R181" s="12">
        <v>0</v>
      </c>
      <c r="S181" s="12">
        <f>$G$181*$G$8+$H$181*$H$8+$I$181*$I$8+$J$181*$J$8+$K$181*$K$8+$L$181*$L$8+$M$181*$M$8+$N$181*$N$8+$O$181*$O$8+$P$181*$P$8</f>
        <v>0</v>
      </c>
      <c r="T181" s="12">
        <f>SUM($Q$181:$R$181)</f>
        <v>0</v>
      </c>
      <c r="U181" s="12">
        <f>$S$181+$T$181</f>
        <v>0</v>
      </c>
    </row>
    <row r="182" spans="1:21" x14ac:dyDescent="0.3">
      <c r="A182" s="13" t="s">
        <v>676</v>
      </c>
      <c r="B182" s="14" t="s">
        <v>677</v>
      </c>
      <c r="C182" s="14"/>
      <c r="D182" s="14" t="s">
        <v>678</v>
      </c>
      <c r="E182" s="14">
        <f xml:space="preserve"> IF($U$182,1,0)</f>
        <v>0</v>
      </c>
      <c r="F182" s="14" t="s">
        <v>679</v>
      </c>
      <c r="G182" s="14">
        <v>0</v>
      </c>
      <c r="H182" s="14">
        <v>0</v>
      </c>
      <c r="I182" s="14">
        <v>0</v>
      </c>
      <c r="J182" s="14">
        <v>0</v>
      </c>
      <c r="K182" s="14">
        <v>0</v>
      </c>
      <c r="L182" s="14">
        <v>0</v>
      </c>
      <c r="M182" s="14">
        <v>0</v>
      </c>
      <c r="N182" s="14">
        <v>0</v>
      </c>
      <c r="O182" s="14">
        <v>0</v>
      </c>
      <c r="P182" s="14">
        <v>0</v>
      </c>
      <c r="Q182" s="15">
        <v>0</v>
      </c>
      <c r="R182" s="15">
        <v>0</v>
      </c>
      <c r="S182" s="15">
        <f>$G$182*$G$8+$H$182*$H$8+$I$182*$I$8+$J$182*$J$8+$K$182*$K$8+$L$182*$L$8+$M$182*$M$8+$N$182*$N$8+$O$182*$O$8+$P$182*$P$8</f>
        <v>0</v>
      </c>
      <c r="T182" s="15">
        <f>SUM($Q$182:$R$182)</f>
        <v>0</v>
      </c>
      <c r="U182" s="15">
        <f>$S$182+$T$182</f>
        <v>0</v>
      </c>
    </row>
    <row r="183" spans="1:21" x14ac:dyDescent="0.3">
      <c r="A183" s="10" t="s">
        <v>680</v>
      </c>
      <c r="B183" s="11" t="s">
        <v>681</v>
      </c>
      <c r="C183" s="11"/>
      <c r="D183" s="11" t="s">
        <v>682</v>
      </c>
      <c r="E183" s="11">
        <f xml:space="preserve"> IF($U$183,1,0)</f>
        <v>0</v>
      </c>
      <c r="F183" s="11" t="s">
        <v>683</v>
      </c>
      <c r="G183" s="11">
        <v>0</v>
      </c>
      <c r="H183" s="11">
        <v>0</v>
      </c>
      <c r="I183" s="11">
        <v>0</v>
      </c>
      <c r="J183" s="11">
        <v>0</v>
      </c>
      <c r="K183" s="11">
        <v>0</v>
      </c>
      <c r="L183" s="11">
        <v>0</v>
      </c>
      <c r="M183" s="11">
        <v>0</v>
      </c>
      <c r="N183" s="11">
        <v>0</v>
      </c>
      <c r="O183" s="11">
        <v>0</v>
      </c>
      <c r="P183" s="11">
        <v>0</v>
      </c>
      <c r="Q183" s="12">
        <v>0</v>
      </c>
      <c r="R183" s="12">
        <v>0</v>
      </c>
      <c r="S183" s="12">
        <f>$G$183*$G$8+$H$183*$H$8+$I$183*$I$8+$J$183*$J$8+$K$183*$K$8+$L$183*$L$8+$M$183*$M$8+$N$183*$N$8+$O$183*$O$8+$P$183*$P$8</f>
        <v>0</v>
      </c>
      <c r="T183" s="12">
        <f>SUM($Q$183:$R$183)</f>
        <v>0</v>
      </c>
      <c r="U183" s="12">
        <f>$S$183+$T$183</f>
        <v>0</v>
      </c>
    </row>
    <row r="184" spans="1:21" x14ac:dyDescent="0.3">
      <c r="A184" s="13" t="s">
        <v>684</v>
      </c>
      <c r="B184" s="14" t="s">
        <v>685</v>
      </c>
      <c r="C184" s="14"/>
      <c r="D184" s="14" t="s">
        <v>686</v>
      </c>
      <c r="E184" s="14">
        <f xml:space="preserve"> IF($U$184,1,0)</f>
        <v>1</v>
      </c>
      <c r="F184" s="14" t="s">
        <v>687</v>
      </c>
      <c r="G184" s="14">
        <v>4</v>
      </c>
      <c r="H184" s="14">
        <v>0</v>
      </c>
      <c r="I184" s="14">
        <v>0</v>
      </c>
      <c r="J184" s="14">
        <v>0</v>
      </c>
      <c r="K184" s="14">
        <v>0</v>
      </c>
      <c r="L184" s="14">
        <v>0</v>
      </c>
      <c r="M184" s="14">
        <v>0</v>
      </c>
      <c r="N184" s="14">
        <v>0</v>
      </c>
      <c r="O184" s="14">
        <v>0</v>
      </c>
      <c r="P184" s="14">
        <v>0</v>
      </c>
      <c r="Q184" s="15">
        <v>0</v>
      </c>
      <c r="R184" s="15">
        <v>0</v>
      </c>
      <c r="S184" s="15">
        <f>$G$184*$G$8+$H$184*$H$8+$I$184*$I$8+$J$184*$J$8+$K$184*$K$8+$L$184*$L$8+$M$184*$M$8+$N$184*$N$8+$O$184*$O$8+$P$184*$P$8</f>
        <v>2.8</v>
      </c>
      <c r="T184" s="15">
        <f>SUM($Q$184:$R$184)</f>
        <v>0</v>
      </c>
      <c r="U184" s="15">
        <f>$S$184+$T$184</f>
        <v>2.8</v>
      </c>
    </row>
    <row r="185" spans="1:21" x14ac:dyDescent="0.3">
      <c r="A185" s="10" t="s">
        <v>688</v>
      </c>
      <c r="B185" s="11" t="s">
        <v>689</v>
      </c>
      <c r="C185" s="11"/>
      <c r="D185" s="11" t="s">
        <v>690</v>
      </c>
      <c r="E185" s="11">
        <f xml:space="preserve"> IF($U$185,1,0)</f>
        <v>1</v>
      </c>
      <c r="F185" s="11" t="s">
        <v>691</v>
      </c>
      <c r="G185" s="11">
        <v>6</v>
      </c>
      <c r="H185" s="11">
        <v>0</v>
      </c>
      <c r="I185" s="11">
        <v>0</v>
      </c>
      <c r="J185" s="11">
        <v>0</v>
      </c>
      <c r="K185" s="11">
        <v>0</v>
      </c>
      <c r="L185" s="11">
        <v>0</v>
      </c>
      <c r="M185" s="11">
        <v>0</v>
      </c>
      <c r="N185" s="11">
        <v>0</v>
      </c>
      <c r="O185" s="11">
        <v>0</v>
      </c>
      <c r="P185" s="11">
        <v>0</v>
      </c>
      <c r="Q185" s="12">
        <v>0</v>
      </c>
      <c r="R185" s="12">
        <v>0</v>
      </c>
      <c r="S185" s="12">
        <f>$G$185*$G$8+$H$185*$H$8+$I$185*$I$8+$J$185*$J$8+$K$185*$K$8+$L$185*$L$8+$M$185*$M$8+$N$185*$N$8+$O$185*$O$8+$P$185*$P$8</f>
        <v>4.1999999999999993</v>
      </c>
      <c r="T185" s="12">
        <f>SUM($Q$185:$R$185)</f>
        <v>0</v>
      </c>
      <c r="U185" s="12">
        <f>$S$185+$T$185</f>
        <v>4.1999999999999993</v>
      </c>
    </row>
    <row r="186" spans="1:21" x14ac:dyDescent="0.3">
      <c r="A186" s="13" t="s">
        <v>692</v>
      </c>
      <c r="B186" s="14" t="s">
        <v>693</v>
      </c>
      <c r="C186" s="14" t="s">
        <v>65</v>
      </c>
      <c r="D186" s="14" t="s">
        <v>694</v>
      </c>
      <c r="E186" s="14">
        <f xml:space="preserve"> IF($U$186,1,0)</f>
        <v>1</v>
      </c>
      <c r="F186" s="14" t="s">
        <v>695</v>
      </c>
      <c r="G186" s="14">
        <v>0</v>
      </c>
      <c r="H186" s="14">
        <v>0</v>
      </c>
      <c r="I186" s="14">
        <v>1</v>
      </c>
      <c r="J186" s="14">
        <v>0</v>
      </c>
      <c r="K186" s="14">
        <v>0</v>
      </c>
      <c r="L186" s="14">
        <v>0</v>
      </c>
      <c r="M186" s="14">
        <v>0</v>
      </c>
      <c r="N186" s="14">
        <v>0</v>
      </c>
      <c r="O186" s="14">
        <v>0</v>
      </c>
      <c r="P186" s="14">
        <v>0</v>
      </c>
      <c r="Q186" s="15">
        <v>0</v>
      </c>
      <c r="R186" s="15">
        <v>0</v>
      </c>
      <c r="S186" s="15">
        <f>$G$186*$G$8+$H$186*$H$8+$I$186*$I$8+$J$186*$J$8+$K$186*$K$8+$L$186*$L$8+$M$186*$M$8+$N$186*$N$8+$O$186*$O$8+$P$186*$P$8</f>
        <v>1</v>
      </c>
      <c r="T186" s="15">
        <f>SUM($Q$186:$R$186)</f>
        <v>0</v>
      </c>
      <c r="U186" s="15">
        <f>$S$186+$T$186</f>
        <v>1</v>
      </c>
    </row>
    <row r="187" spans="1:21" x14ac:dyDescent="0.3">
      <c r="A187" s="10" t="s">
        <v>696</v>
      </c>
      <c r="B187" s="11" t="s">
        <v>697</v>
      </c>
      <c r="C187" s="11"/>
      <c r="D187" s="11" t="s">
        <v>698</v>
      </c>
      <c r="E187" s="11">
        <f xml:space="preserve"> IF($U$187,1,0)</f>
        <v>1</v>
      </c>
      <c r="F187" s="11" t="s">
        <v>699</v>
      </c>
      <c r="G187" s="11">
        <v>0</v>
      </c>
      <c r="H187" s="11">
        <v>0</v>
      </c>
      <c r="I187" s="11">
        <v>0</v>
      </c>
      <c r="J187" s="11">
        <v>0</v>
      </c>
      <c r="K187" s="11">
        <v>0</v>
      </c>
      <c r="L187" s="11">
        <v>0</v>
      </c>
      <c r="M187" s="11">
        <v>0</v>
      </c>
      <c r="N187" s="11">
        <v>0</v>
      </c>
      <c r="O187" s="11">
        <v>1</v>
      </c>
      <c r="P187" s="11">
        <v>0</v>
      </c>
      <c r="Q187" s="12">
        <v>0</v>
      </c>
      <c r="R187" s="12">
        <v>0</v>
      </c>
      <c r="S187" s="12">
        <f>$G$187*$G$8+$H$187*$H$8+$I$187*$I$8+$J$187*$J$8+$K$187*$K$8+$L$187*$L$8+$M$187*$M$8+$N$187*$N$8+$O$187*$O$8+$P$187*$P$8</f>
        <v>0.5</v>
      </c>
      <c r="T187" s="12">
        <f>SUM($Q$187:$R$187)</f>
        <v>0</v>
      </c>
      <c r="U187" s="12">
        <f>$S$187+$T$187</f>
        <v>0.5</v>
      </c>
    </row>
    <row r="188" spans="1:21" x14ac:dyDescent="0.3">
      <c r="A188" s="13" t="s">
        <v>700</v>
      </c>
      <c r="B188" s="14" t="s">
        <v>697</v>
      </c>
      <c r="C188" s="14"/>
      <c r="D188" s="14" t="s">
        <v>701</v>
      </c>
      <c r="E188" s="14">
        <f xml:space="preserve"> IF($U$188,1,0)</f>
        <v>0</v>
      </c>
      <c r="F188" s="14" t="s">
        <v>702</v>
      </c>
      <c r="G188" s="14">
        <v>0</v>
      </c>
      <c r="H188" s="14">
        <v>0</v>
      </c>
      <c r="I188" s="14">
        <v>0</v>
      </c>
      <c r="J188" s="14">
        <v>0</v>
      </c>
      <c r="K188" s="14">
        <v>0</v>
      </c>
      <c r="L188" s="14">
        <v>0</v>
      </c>
      <c r="M188" s="14">
        <v>0</v>
      </c>
      <c r="N188" s="14">
        <v>0</v>
      </c>
      <c r="O188" s="14">
        <v>0</v>
      </c>
      <c r="P188" s="14">
        <v>0</v>
      </c>
      <c r="Q188" s="15">
        <v>0</v>
      </c>
      <c r="R188" s="15">
        <v>0</v>
      </c>
      <c r="S188" s="15">
        <f>$G$188*$G$8+$H$188*$H$8+$I$188*$I$8+$J$188*$J$8+$K$188*$K$8+$L$188*$L$8+$M$188*$M$8+$N$188*$N$8+$O$188*$O$8+$P$188*$P$8</f>
        <v>0</v>
      </c>
      <c r="T188" s="15">
        <f>SUM($Q$188:$R$188)</f>
        <v>0</v>
      </c>
      <c r="U188" s="15">
        <f>$S$188+$T$188</f>
        <v>0</v>
      </c>
    </row>
    <row r="189" spans="1:21" x14ac:dyDescent="0.3">
      <c r="A189" s="10" t="s">
        <v>703</v>
      </c>
      <c r="B189" s="11" t="s">
        <v>704</v>
      </c>
      <c r="C189" s="11"/>
      <c r="D189" s="11" t="s">
        <v>705</v>
      </c>
      <c r="E189" s="11">
        <f xml:space="preserve"> IF($U$189,1,0)</f>
        <v>0</v>
      </c>
      <c r="F189" s="11" t="s">
        <v>706</v>
      </c>
      <c r="G189" s="11">
        <v>0</v>
      </c>
      <c r="H189" s="11">
        <v>0</v>
      </c>
      <c r="I189" s="11">
        <v>0</v>
      </c>
      <c r="J189" s="11">
        <v>0</v>
      </c>
      <c r="K189" s="11">
        <v>0</v>
      </c>
      <c r="L189" s="11">
        <v>0</v>
      </c>
      <c r="M189" s="11">
        <v>0</v>
      </c>
      <c r="N189" s="11">
        <v>0</v>
      </c>
      <c r="O189" s="11">
        <v>0</v>
      </c>
      <c r="P189" s="11">
        <v>0</v>
      </c>
      <c r="Q189" s="12">
        <v>0</v>
      </c>
      <c r="R189" s="12">
        <v>0</v>
      </c>
      <c r="S189" s="12">
        <f>$G$189*$G$8+$H$189*$H$8+$I$189*$I$8+$J$189*$J$8+$K$189*$K$8+$L$189*$L$8+$M$189*$M$8+$N$189*$N$8+$O$189*$O$8+$P$189*$P$8</f>
        <v>0</v>
      </c>
      <c r="T189" s="12">
        <f>SUM($Q$189:$R$189)</f>
        <v>0</v>
      </c>
      <c r="U189" s="12">
        <f>$S$189+$T$189</f>
        <v>0</v>
      </c>
    </row>
    <row r="190" spans="1:21" x14ac:dyDescent="0.3">
      <c r="A190" s="13" t="s">
        <v>707</v>
      </c>
      <c r="B190" s="14" t="s">
        <v>708</v>
      </c>
      <c r="C190" s="14"/>
      <c r="D190" s="14" t="s">
        <v>222</v>
      </c>
      <c r="E190" s="14">
        <f xml:space="preserve"> IF($U$190,1,0)</f>
        <v>0</v>
      </c>
      <c r="F190" s="14" t="s">
        <v>709</v>
      </c>
      <c r="G190" s="14">
        <v>0</v>
      </c>
      <c r="H190" s="14">
        <v>0</v>
      </c>
      <c r="I190" s="14">
        <v>0</v>
      </c>
      <c r="J190" s="14">
        <v>0</v>
      </c>
      <c r="K190" s="14">
        <v>0</v>
      </c>
      <c r="L190" s="14">
        <v>0</v>
      </c>
      <c r="M190" s="14">
        <v>0</v>
      </c>
      <c r="N190" s="14">
        <v>0</v>
      </c>
      <c r="O190" s="14">
        <v>0</v>
      </c>
      <c r="P190" s="14">
        <v>0</v>
      </c>
      <c r="Q190" s="15">
        <v>0</v>
      </c>
      <c r="R190" s="15">
        <v>0</v>
      </c>
      <c r="S190" s="15">
        <f>$G$190*$G$8+$H$190*$H$8+$I$190*$I$8+$J$190*$J$8+$K$190*$K$8+$L$190*$L$8+$M$190*$M$8+$N$190*$N$8+$O$190*$O$8+$P$190*$P$8</f>
        <v>0</v>
      </c>
      <c r="T190" s="15">
        <f>SUM($Q$190:$R$190)</f>
        <v>0</v>
      </c>
      <c r="U190" s="15">
        <f>$S$190+$T$190</f>
        <v>0</v>
      </c>
    </row>
    <row r="191" spans="1:21" x14ac:dyDescent="0.3">
      <c r="A191" s="10" t="s">
        <v>710</v>
      </c>
      <c r="B191" s="11" t="s">
        <v>708</v>
      </c>
      <c r="C191" s="11"/>
      <c r="D191" s="11" t="s">
        <v>711</v>
      </c>
      <c r="E191" s="11">
        <f xml:space="preserve"> IF($U$191,1,0)</f>
        <v>0</v>
      </c>
      <c r="F191" s="11" t="s">
        <v>712</v>
      </c>
      <c r="G191" s="11">
        <v>0</v>
      </c>
      <c r="H191" s="11">
        <v>0</v>
      </c>
      <c r="I191" s="11">
        <v>0</v>
      </c>
      <c r="J191" s="11">
        <v>0</v>
      </c>
      <c r="K191" s="11">
        <v>0</v>
      </c>
      <c r="L191" s="11">
        <v>0</v>
      </c>
      <c r="M191" s="11">
        <v>0</v>
      </c>
      <c r="N191" s="11">
        <v>0</v>
      </c>
      <c r="O191" s="11">
        <v>0</v>
      </c>
      <c r="P191" s="11">
        <v>0</v>
      </c>
      <c r="Q191" s="12">
        <v>0</v>
      </c>
      <c r="R191" s="12">
        <v>0</v>
      </c>
      <c r="S191" s="12">
        <f>$G$191*$G$8+$H$191*$H$8+$I$191*$I$8+$J$191*$J$8+$K$191*$K$8+$L$191*$L$8+$M$191*$M$8+$N$191*$N$8+$O$191*$O$8+$P$191*$P$8</f>
        <v>0</v>
      </c>
      <c r="T191" s="12">
        <f>SUM($Q$191:$R$191)</f>
        <v>0</v>
      </c>
      <c r="U191" s="12">
        <f>$S$191+$T$191</f>
        <v>0</v>
      </c>
    </row>
    <row r="192" spans="1:21" x14ac:dyDescent="0.3">
      <c r="A192" s="13" t="s">
        <v>713</v>
      </c>
      <c r="B192" s="14" t="s">
        <v>708</v>
      </c>
      <c r="C192" s="14"/>
      <c r="D192" s="14" t="s">
        <v>714</v>
      </c>
      <c r="E192" s="14">
        <f xml:space="preserve"> IF($U$192,1,0)</f>
        <v>1</v>
      </c>
      <c r="F192" s="14" t="s">
        <v>715</v>
      </c>
      <c r="G192" s="14">
        <v>4</v>
      </c>
      <c r="H192" s="14">
        <v>0</v>
      </c>
      <c r="I192" s="14">
        <v>0</v>
      </c>
      <c r="J192" s="14">
        <v>0</v>
      </c>
      <c r="K192" s="14">
        <v>0</v>
      </c>
      <c r="L192" s="14">
        <v>2</v>
      </c>
      <c r="M192" s="14">
        <v>0</v>
      </c>
      <c r="N192" s="14">
        <v>0</v>
      </c>
      <c r="O192" s="14">
        <v>0</v>
      </c>
      <c r="P192" s="14">
        <v>0</v>
      </c>
      <c r="Q192" s="15">
        <v>0</v>
      </c>
      <c r="R192" s="15">
        <v>0</v>
      </c>
      <c r="S192" s="15">
        <f>$G$192*$G$8+$H$192*$H$8+$I$192*$I$8+$J$192*$J$8+$K$192*$K$8+$L$192*$L$8+$M$192*$M$8+$N$192*$N$8+$O$192*$O$8+$P$192*$P$8</f>
        <v>8.8000000000000007</v>
      </c>
      <c r="T192" s="15">
        <f>SUM($Q$192:$R$192)</f>
        <v>0</v>
      </c>
      <c r="U192" s="15">
        <f>$S$192+$T$192</f>
        <v>8.8000000000000007</v>
      </c>
    </row>
    <row r="193" spans="1:21" x14ac:dyDescent="0.3">
      <c r="A193" s="10" t="s">
        <v>716</v>
      </c>
      <c r="B193" s="11" t="s">
        <v>717</v>
      </c>
      <c r="C193" s="11"/>
      <c r="D193" s="11" t="s">
        <v>718</v>
      </c>
      <c r="E193" s="11">
        <f xml:space="preserve"> IF($U$193,1,0)</f>
        <v>0</v>
      </c>
      <c r="F193" s="11" t="s">
        <v>719</v>
      </c>
      <c r="G193" s="11">
        <v>0</v>
      </c>
      <c r="H193" s="11">
        <v>0</v>
      </c>
      <c r="I193" s="11">
        <v>0</v>
      </c>
      <c r="J193" s="11">
        <v>0</v>
      </c>
      <c r="K193" s="11">
        <v>0</v>
      </c>
      <c r="L193" s="11">
        <v>0</v>
      </c>
      <c r="M193" s="11">
        <v>0</v>
      </c>
      <c r="N193" s="11">
        <v>0</v>
      </c>
      <c r="O193" s="11">
        <v>0</v>
      </c>
      <c r="P193" s="11">
        <v>0</v>
      </c>
      <c r="Q193" s="12">
        <v>0</v>
      </c>
      <c r="R193" s="12">
        <v>0</v>
      </c>
      <c r="S193" s="12">
        <f>$G$193*$G$8+$H$193*$H$8+$I$193*$I$8+$J$193*$J$8+$K$193*$K$8+$L$193*$L$8+$M$193*$M$8+$N$193*$N$8+$O$193*$O$8+$P$193*$P$8</f>
        <v>0</v>
      </c>
      <c r="T193" s="12">
        <f>SUM($Q$193:$R$193)</f>
        <v>0</v>
      </c>
      <c r="U193" s="12">
        <f>$S$193+$T$193</f>
        <v>0</v>
      </c>
    </row>
    <row r="194" spans="1:21" x14ac:dyDescent="0.3">
      <c r="A194" s="13" t="s">
        <v>720</v>
      </c>
      <c r="B194" s="14" t="s">
        <v>721</v>
      </c>
      <c r="C194" s="14"/>
      <c r="D194" s="14" t="s">
        <v>722</v>
      </c>
      <c r="E194" s="14">
        <f xml:space="preserve"> IF($U$194,1,0)</f>
        <v>0</v>
      </c>
      <c r="F194" s="14" t="s">
        <v>723</v>
      </c>
      <c r="G194" s="14">
        <v>0</v>
      </c>
      <c r="H194" s="14">
        <v>0</v>
      </c>
      <c r="I194" s="14">
        <v>0</v>
      </c>
      <c r="J194" s="14">
        <v>0</v>
      </c>
      <c r="K194" s="14">
        <v>0</v>
      </c>
      <c r="L194" s="14">
        <v>0</v>
      </c>
      <c r="M194" s="14">
        <v>0</v>
      </c>
      <c r="N194" s="14">
        <v>0</v>
      </c>
      <c r="O194" s="14">
        <v>0</v>
      </c>
      <c r="P194" s="14">
        <v>0</v>
      </c>
      <c r="Q194" s="15">
        <v>0</v>
      </c>
      <c r="R194" s="15">
        <v>0</v>
      </c>
      <c r="S194" s="15">
        <f>$G$194*$G$8+$H$194*$H$8+$I$194*$I$8+$J$194*$J$8+$K$194*$K$8+$L$194*$L$8+$M$194*$M$8+$N$194*$N$8+$O$194*$O$8+$P$194*$P$8</f>
        <v>0</v>
      </c>
      <c r="T194" s="15">
        <f>SUM($Q$194:$R$194)</f>
        <v>0</v>
      </c>
      <c r="U194" s="15">
        <f>$S$194+$T$194</f>
        <v>0</v>
      </c>
    </row>
    <row r="195" spans="1:21" x14ac:dyDescent="0.3">
      <c r="A195" s="10" t="s">
        <v>724</v>
      </c>
      <c r="B195" s="11" t="s">
        <v>721</v>
      </c>
      <c r="C195" s="11"/>
      <c r="D195" s="11" t="s">
        <v>725</v>
      </c>
      <c r="E195" s="11">
        <f xml:space="preserve"> IF($U$195,1,0)</f>
        <v>1</v>
      </c>
      <c r="F195" s="11" t="s">
        <v>726</v>
      </c>
      <c r="G195" s="11">
        <v>2</v>
      </c>
      <c r="H195" s="11">
        <v>2</v>
      </c>
      <c r="I195" s="11">
        <v>0</v>
      </c>
      <c r="J195" s="11">
        <v>0</v>
      </c>
      <c r="K195" s="11">
        <v>0</v>
      </c>
      <c r="L195" s="11">
        <v>0</v>
      </c>
      <c r="M195" s="11">
        <v>0</v>
      </c>
      <c r="N195" s="11">
        <v>0</v>
      </c>
      <c r="O195" s="11">
        <v>0</v>
      </c>
      <c r="P195" s="11">
        <v>2</v>
      </c>
      <c r="Q195" s="12">
        <v>0</v>
      </c>
      <c r="R195" s="12">
        <v>0</v>
      </c>
      <c r="S195" s="12">
        <f>$G$195*$G$8+$H$195*$H$8+$I$195*$I$8+$J$195*$J$8+$K$195*$K$8+$L$195*$L$8+$M$195*$M$8+$N$195*$N$8+$O$195*$O$8+$P$195*$P$8</f>
        <v>7</v>
      </c>
      <c r="T195" s="12">
        <f>SUM($Q$195:$R$195)</f>
        <v>0</v>
      </c>
      <c r="U195" s="12">
        <f>$S$195+$T$195</f>
        <v>7</v>
      </c>
    </row>
    <row r="196" spans="1:21" x14ac:dyDescent="0.3">
      <c r="A196" s="13" t="s">
        <v>727</v>
      </c>
      <c r="B196" s="14" t="s">
        <v>728</v>
      </c>
      <c r="C196" s="14"/>
      <c r="D196" s="14" t="s">
        <v>729</v>
      </c>
      <c r="E196" s="14">
        <f xml:space="preserve"> IF($U$196,1,0)</f>
        <v>0</v>
      </c>
      <c r="F196" s="14" t="s">
        <v>730</v>
      </c>
      <c r="G196" s="14">
        <v>0</v>
      </c>
      <c r="H196" s="14">
        <v>0</v>
      </c>
      <c r="I196" s="14">
        <v>0</v>
      </c>
      <c r="J196" s="14">
        <v>0</v>
      </c>
      <c r="K196" s="14">
        <v>0</v>
      </c>
      <c r="L196" s="14">
        <v>0</v>
      </c>
      <c r="M196" s="14">
        <v>0</v>
      </c>
      <c r="N196" s="14">
        <v>0</v>
      </c>
      <c r="O196" s="14">
        <v>0</v>
      </c>
      <c r="P196" s="14">
        <v>0</v>
      </c>
      <c r="Q196" s="15">
        <v>0</v>
      </c>
      <c r="R196" s="15">
        <v>0</v>
      </c>
      <c r="S196" s="15">
        <f>$G$196*$G$8+$H$196*$H$8+$I$196*$I$8+$J$196*$J$8+$K$196*$K$8+$L$196*$L$8+$M$196*$M$8+$N$196*$N$8+$O$196*$O$8+$P$196*$P$8</f>
        <v>0</v>
      </c>
      <c r="T196" s="15">
        <f>SUM($Q$196:$R$196)</f>
        <v>0</v>
      </c>
      <c r="U196" s="15">
        <f>$S$196+$T$196</f>
        <v>0</v>
      </c>
    </row>
    <row r="197" spans="1:21" x14ac:dyDescent="0.3">
      <c r="A197" s="10" t="s">
        <v>731</v>
      </c>
      <c r="B197" s="11" t="s">
        <v>732</v>
      </c>
      <c r="C197" s="11"/>
      <c r="D197" s="11" t="s">
        <v>733</v>
      </c>
      <c r="E197" s="11">
        <f xml:space="preserve"> IF($U$197,1,0)</f>
        <v>0</v>
      </c>
      <c r="F197" s="11" t="s">
        <v>734</v>
      </c>
      <c r="G197" s="11">
        <v>0</v>
      </c>
      <c r="H197" s="11">
        <v>0</v>
      </c>
      <c r="I197" s="11">
        <v>0</v>
      </c>
      <c r="J197" s="11">
        <v>0</v>
      </c>
      <c r="K197" s="11">
        <v>0</v>
      </c>
      <c r="L197" s="11">
        <v>0</v>
      </c>
      <c r="M197" s="11">
        <v>0</v>
      </c>
      <c r="N197" s="11">
        <v>0</v>
      </c>
      <c r="O197" s="11">
        <v>0</v>
      </c>
      <c r="P197" s="11">
        <v>0</v>
      </c>
      <c r="Q197" s="12">
        <v>0</v>
      </c>
      <c r="R197" s="12">
        <v>0</v>
      </c>
      <c r="S197" s="12">
        <f>$G$197*$G$8+$H$197*$H$8+$I$197*$I$8+$J$197*$J$8+$K$197*$K$8+$L$197*$L$8+$M$197*$M$8+$N$197*$N$8+$O$197*$O$8+$P$197*$P$8</f>
        <v>0</v>
      </c>
      <c r="T197" s="12">
        <f>SUM($Q$197:$R$197)</f>
        <v>0</v>
      </c>
      <c r="U197" s="12">
        <f>$S$197+$T$197</f>
        <v>0</v>
      </c>
    </row>
    <row r="198" spans="1:21" x14ac:dyDescent="0.3">
      <c r="A198" s="13" t="s">
        <v>735</v>
      </c>
      <c r="B198" s="14" t="s">
        <v>736</v>
      </c>
      <c r="C198" s="14"/>
      <c r="D198" s="14" t="s">
        <v>737</v>
      </c>
      <c r="E198" s="14">
        <f xml:space="preserve"> IF($U$198,1,0)</f>
        <v>0</v>
      </c>
      <c r="F198" s="14" t="s">
        <v>738</v>
      </c>
      <c r="G198" s="14">
        <v>0</v>
      </c>
      <c r="H198" s="14">
        <v>0</v>
      </c>
      <c r="I198" s="14">
        <v>0</v>
      </c>
      <c r="J198" s="14">
        <v>0</v>
      </c>
      <c r="K198" s="14">
        <v>0</v>
      </c>
      <c r="L198" s="14">
        <v>0</v>
      </c>
      <c r="M198" s="14">
        <v>0</v>
      </c>
      <c r="N198" s="14">
        <v>0</v>
      </c>
      <c r="O198" s="14">
        <v>0</v>
      </c>
      <c r="P198" s="14">
        <v>0</v>
      </c>
      <c r="Q198" s="15">
        <v>0</v>
      </c>
      <c r="R198" s="15">
        <v>0</v>
      </c>
      <c r="S198" s="15">
        <f>$G$198*$G$8+$H$198*$H$8+$I$198*$I$8+$J$198*$J$8+$K$198*$K$8+$L$198*$L$8+$M$198*$M$8+$N$198*$N$8+$O$198*$O$8+$P$198*$P$8</f>
        <v>0</v>
      </c>
      <c r="T198" s="15">
        <f>SUM($Q$198:$R$198)</f>
        <v>0</v>
      </c>
      <c r="U198" s="15">
        <f>$S$198+$T$198</f>
        <v>0</v>
      </c>
    </row>
    <row r="199" spans="1:21" x14ac:dyDescent="0.3">
      <c r="A199" s="10" t="s">
        <v>739</v>
      </c>
      <c r="B199" s="11" t="s">
        <v>740</v>
      </c>
      <c r="C199" s="11" t="s">
        <v>65</v>
      </c>
      <c r="D199" s="11" t="s">
        <v>239</v>
      </c>
      <c r="E199" s="11">
        <f xml:space="preserve"> IF($U$199,1,0)</f>
        <v>0</v>
      </c>
      <c r="F199" s="11" t="s">
        <v>741</v>
      </c>
      <c r="G199" s="11">
        <v>0</v>
      </c>
      <c r="H199" s="11">
        <v>0</v>
      </c>
      <c r="I199" s="11">
        <v>0</v>
      </c>
      <c r="J199" s="11">
        <v>0</v>
      </c>
      <c r="K199" s="11">
        <v>0</v>
      </c>
      <c r="L199" s="11">
        <v>0</v>
      </c>
      <c r="M199" s="11">
        <v>0</v>
      </c>
      <c r="N199" s="11">
        <v>0</v>
      </c>
      <c r="O199" s="11">
        <v>0</v>
      </c>
      <c r="P199" s="11">
        <v>0</v>
      </c>
      <c r="Q199" s="12">
        <v>0</v>
      </c>
      <c r="R199" s="12">
        <v>0</v>
      </c>
      <c r="S199" s="12">
        <f>$G$199*$G$8+$H$199*$H$8+$I$199*$I$8+$J$199*$J$8+$K$199*$K$8+$L$199*$L$8+$M$199*$M$8+$N$199*$N$8+$O$199*$O$8+$P$199*$P$8</f>
        <v>0</v>
      </c>
      <c r="T199" s="12">
        <f>SUM($Q$199:$R$199)</f>
        <v>0</v>
      </c>
      <c r="U199" s="12">
        <f>$S$199+$T$199</f>
        <v>0</v>
      </c>
    </row>
    <row r="200" spans="1:21" x14ac:dyDescent="0.3">
      <c r="A200" s="13" t="s">
        <v>742</v>
      </c>
      <c r="B200" s="14" t="s">
        <v>743</v>
      </c>
      <c r="C200" s="14"/>
      <c r="D200" s="14" t="s">
        <v>744</v>
      </c>
      <c r="E200" s="14">
        <f xml:space="preserve"> IF($U$200,1,0)</f>
        <v>1</v>
      </c>
      <c r="F200" s="14" t="s">
        <v>745</v>
      </c>
      <c r="G200" s="14">
        <v>1</v>
      </c>
      <c r="H200" s="14">
        <v>6</v>
      </c>
      <c r="I200" s="14">
        <v>0</v>
      </c>
      <c r="J200" s="14">
        <v>0</v>
      </c>
      <c r="K200" s="14">
        <v>0</v>
      </c>
      <c r="L200" s="14">
        <v>1</v>
      </c>
      <c r="M200" s="14">
        <v>0</v>
      </c>
      <c r="N200" s="14">
        <v>0</v>
      </c>
      <c r="O200" s="14">
        <v>0</v>
      </c>
      <c r="P200" s="14">
        <v>0</v>
      </c>
      <c r="Q200" s="15">
        <v>0</v>
      </c>
      <c r="R200" s="15">
        <v>0</v>
      </c>
      <c r="S200" s="15">
        <f>$G$200*$G$8+$H$200*$H$8+$I$200*$I$8+$J$200*$J$8+$K$200*$K$8+$L$200*$L$8+$M$200*$M$8+$N$200*$N$8+$O$200*$O$8+$P$200*$P$8</f>
        <v>14.5</v>
      </c>
      <c r="T200" s="15">
        <f>SUM($Q$200:$R$200)</f>
        <v>0</v>
      </c>
      <c r="U200" s="15">
        <f>$S$200+$T$200</f>
        <v>14.5</v>
      </c>
    </row>
    <row r="201" spans="1:21" x14ac:dyDescent="0.3">
      <c r="A201" s="10" t="s">
        <v>746</v>
      </c>
      <c r="B201" s="11" t="s">
        <v>747</v>
      </c>
      <c r="C201" s="11"/>
      <c r="D201" s="11" t="s">
        <v>748</v>
      </c>
      <c r="E201" s="11">
        <f xml:space="preserve"> IF($U$201,1,0)</f>
        <v>0</v>
      </c>
      <c r="F201" s="11" t="s">
        <v>749</v>
      </c>
      <c r="G201" s="11">
        <v>0</v>
      </c>
      <c r="H201" s="11">
        <v>0</v>
      </c>
      <c r="I201" s="11">
        <v>0</v>
      </c>
      <c r="J201" s="11">
        <v>0</v>
      </c>
      <c r="K201" s="11">
        <v>0</v>
      </c>
      <c r="L201" s="11">
        <v>0</v>
      </c>
      <c r="M201" s="11">
        <v>0</v>
      </c>
      <c r="N201" s="11">
        <v>0</v>
      </c>
      <c r="O201" s="11">
        <v>0</v>
      </c>
      <c r="P201" s="11">
        <v>0</v>
      </c>
      <c r="Q201" s="12">
        <v>0</v>
      </c>
      <c r="R201" s="12">
        <v>0</v>
      </c>
      <c r="S201" s="12">
        <f>$G$201*$G$8+$H$201*$H$8+$I$201*$I$8+$J$201*$J$8+$K$201*$K$8+$L$201*$L$8+$M$201*$M$8+$N$201*$N$8+$O$201*$O$8+$P$201*$P$8</f>
        <v>0</v>
      </c>
      <c r="T201" s="12">
        <f>SUM($Q$201:$R$201)</f>
        <v>0</v>
      </c>
      <c r="U201" s="12">
        <f>$S$201+$T$201</f>
        <v>0</v>
      </c>
    </row>
    <row r="202" spans="1:21" x14ac:dyDescent="0.3">
      <c r="A202" s="13" t="s">
        <v>750</v>
      </c>
      <c r="B202" s="14" t="s">
        <v>751</v>
      </c>
      <c r="C202" s="14"/>
      <c r="D202" s="14" t="s">
        <v>752</v>
      </c>
      <c r="E202" s="14">
        <f xml:space="preserve"> IF($U$202,1,0)</f>
        <v>0</v>
      </c>
      <c r="F202" s="14" t="s">
        <v>753</v>
      </c>
      <c r="G202" s="14">
        <v>0</v>
      </c>
      <c r="H202" s="14">
        <v>0</v>
      </c>
      <c r="I202" s="14">
        <v>0</v>
      </c>
      <c r="J202" s="14">
        <v>0</v>
      </c>
      <c r="K202" s="14">
        <v>0</v>
      </c>
      <c r="L202" s="14">
        <v>0</v>
      </c>
      <c r="M202" s="14">
        <v>0</v>
      </c>
      <c r="N202" s="14">
        <v>0</v>
      </c>
      <c r="O202" s="14">
        <v>0</v>
      </c>
      <c r="P202" s="14">
        <v>0</v>
      </c>
      <c r="Q202" s="15">
        <v>0</v>
      </c>
      <c r="R202" s="15">
        <v>0</v>
      </c>
      <c r="S202" s="15">
        <f>$G$202*$G$8+$H$202*$H$8+$I$202*$I$8+$J$202*$J$8+$K$202*$K$8+$L$202*$L$8+$M$202*$M$8+$N$202*$N$8+$O$202*$O$8+$P$202*$P$8</f>
        <v>0</v>
      </c>
      <c r="T202" s="15">
        <f>SUM($Q$202:$R$202)</f>
        <v>0</v>
      </c>
      <c r="U202" s="15">
        <f>$S$202+$T$202</f>
        <v>0</v>
      </c>
    </row>
    <row r="203" spans="1:21" x14ac:dyDescent="0.3">
      <c r="A203" s="10" t="s">
        <v>754</v>
      </c>
      <c r="B203" s="11" t="s">
        <v>755</v>
      </c>
      <c r="C203" s="11"/>
      <c r="D203" s="11" t="s">
        <v>756</v>
      </c>
      <c r="E203" s="11">
        <f xml:space="preserve"> IF($U$203,1,0)</f>
        <v>0</v>
      </c>
      <c r="F203" s="11" t="s">
        <v>757</v>
      </c>
      <c r="G203" s="11">
        <v>0</v>
      </c>
      <c r="H203" s="11">
        <v>0</v>
      </c>
      <c r="I203" s="11">
        <v>0</v>
      </c>
      <c r="J203" s="11">
        <v>0</v>
      </c>
      <c r="K203" s="11">
        <v>0</v>
      </c>
      <c r="L203" s="11">
        <v>0</v>
      </c>
      <c r="M203" s="11">
        <v>0</v>
      </c>
      <c r="N203" s="11">
        <v>0</v>
      </c>
      <c r="O203" s="11">
        <v>0</v>
      </c>
      <c r="P203" s="11">
        <v>0</v>
      </c>
      <c r="Q203" s="12">
        <v>0</v>
      </c>
      <c r="R203" s="12">
        <v>0</v>
      </c>
      <c r="S203" s="12">
        <f>$G$203*$G$8+$H$203*$H$8+$I$203*$I$8+$J$203*$J$8+$K$203*$K$8+$L$203*$L$8+$M$203*$M$8+$N$203*$N$8+$O$203*$O$8+$P$203*$P$8</f>
        <v>0</v>
      </c>
      <c r="T203" s="12">
        <f>SUM($Q$203:$R$203)</f>
        <v>0</v>
      </c>
      <c r="U203" s="12">
        <f>$S$203+$T$203</f>
        <v>0</v>
      </c>
    </row>
    <row r="204" spans="1:21" x14ac:dyDescent="0.3">
      <c r="A204" s="13" t="s">
        <v>758</v>
      </c>
      <c r="B204" s="14" t="s">
        <v>759</v>
      </c>
      <c r="C204" s="14"/>
      <c r="D204" s="14" t="s">
        <v>760</v>
      </c>
      <c r="E204" s="14">
        <f xml:space="preserve"> IF($U$204,1,0)</f>
        <v>0</v>
      </c>
      <c r="F204" s="14" t="s">
        <v>761</v>
      </c>
      <c r="G204" s="14">
        <v>0</v>
      </c>
      <c r="H204" s="14">
        <v>0</v>
      </c>
      <c r="I204" s="14">
        <v>0</v>
      </c>
      <c r="J204" s="14">
        <v>0</v>
      </c>
      <c r="K204" s="14">
        <v>0</v>
      </c>
      <c r="L204" s="14">
        <v>0</v>
      </c>
      <c r="M204" s="14">
        <v>0</v>
      </c>
      <c r="N204" s="14">
        <v>0</v>
      </c>
      <c r="O204" s="14">
        <v>0</v>
      </c>
      <c r="P204" s="14">
        <v>0</v>
      </c>
      <c r="Q204" s="15">
        <v>0</v>
      </c>
      <c r="R204" s="15">
        <v>0</v>
      </c>
      <c r="S204" s="15">
        <f>$G$204*$G$8+$H$204*$H$8+$I$204*$I$8+$J$204*$J$8+$K$204*$K$8+$L$204*$L$8+$M$204*$M$8+$N$204*$N$8+$O$204*$O$8+$P$204*$P$8</f>
        <v>0</v>
      </c>
      <c r="T204" s="15">
        <f>SUM($Q$204:$R$204)</f>
        <v>0</v>
      </c>
      <c r="U204" s="15">
        <f>$S$204+$T$204</f>
        <v>0</v>
      </c>
    </row>
    <row r="205" spans="1:21" x14ac:dyDescent="0.3">
      <c r="A205" s="10" t="s">
        <v>762</v>
      </c>
      <c r="B205" s="11" t="s">
        <v>763</v>
      </c>
      <c r="C205" s="11"/>
      <c r="D205" s="11" t="s">
        <v>764</v>
      </c>
      <c r="E205" s="11">
        <f xml:space="preserve"> IF($U$205,1,0)</f>
        <v>0</v>
      </c>
      <c r="F205" s="11" t="s">
        <v>765</v>
      </c>
      <c r="G205" s="11">
        <v>0</v>
      </c>
      <c r="H205" s="11">
        <v>0</v>
      </c>
      <c r="I205" s="11">
        <v>0</v>
      </c>
      <c r="J205" s="11">
        <v>0</v>
      </c>
      <c r="K205" s="11">
        <v>0</v>
      </c>
      <c r="L205" s="11">
        <v>0</v>
      </c>
      <c r="M205" s="11">
        <v>0</v>
      </c>
      <c r="N205" s="11">
        <v>0</v>
      </c>
      <c r="O205" s="11">
        <v>0</v>
      </c>
      <c r="P205" s="11">
        <v>0</v>
      </c>
      <c r="Q205" s="12">
        <v>0</v>
      </c>
      <c r="R205" s="12">
        <v>0</v>
      </c>
      <c r="S205" s="12">
        <f>$G$205*$G$8+$H$205*$H$8+$I$205*$I$8+$J$205*$J$8+$K$205*$K$8+$L$205*$L$8+$M$205*$M$8+$N$205*$N$8+$O$205*$O$8+$P$205*$P$8</f>
        <v>0</v>
      </c>
      <c r="T205" s="12">
        <f>SUM($Q$205:$R$205)</f>
        <v>0</v>
      </c>
      <c r="U205" s="12">
        <f>$S$205+$T$205</f>
        <v>0</v>
      </c>
    </row>
    <row r="206" spans="1:21" x14ac:dyDescent="0.3">
      <c r="A206" s="13" t="s">
        <v>766</v>
      </c>
      <c r="B206" s="14" t="s">
        <v>767</v>
      </c>
      <c r="C206" s="14"/>
      <c r="D206" s="14" t="s">
        <v>768</v>
      </c>
      <c r="E206" s="14">
        <f xml:space="preserve"> IF($U$206,1,0)</f>
        <v>0</v>
      </c>
      <c r="F206" s="14" t="s">
        <v>769</v>
      </c>
      <c r="G206" s="14">
        <v>0</v>
      </c>
      <c r="H206" s="14">
        <v>0</v>
      </c>
      <c r="I206" s="14">
        <v>0</v>
      </c>
      <c r="J206" s="14">
        <v>0</v>
      </c>
      <c r="K206" s="14">
        <v>0</v>
      </c>
      <c r="L206" s="14">
        <v>0</v>
      </c>
      <c r="M206" s="14">
        <v>0</v>
      </c>
      <c r="N206" s="14">
        <v>0</v>
      </c>
      <c r="O206" s="14">
        <v>0</v>
      </c>
      <c r="P206" s="14">
        <v>0</v>
      </c>
      <c r="Q206" s="15">
        <v>0</v>
      </c>
      <c r="R206" s="15">
        <v>0</v>
      </c>
      <c r="S206" s="15">
        <f>$G$206*$G$8+$H$206*$H$8+$I$206*$I$8+$J$206*$J$8+$K$206*$K$8+$L$206*$L$8+$M$206*$M$8+$N$206*$N$8+$O$206*$O$8+$P$206*$P$8</f>
        <v>0</v>
      </c>
      <c r="T206" s="15">
        <f>SUM($Q$206:$R$206)</f>
        <v>0</v>
      </c>
      <c r="U206" s="15">
        <f>$S$206+$T$206</f>
        <v>0</v>
      </c>
    </row>
    <row r="207" spans="1:21" x14ac:dyDescent="0.3">
      <c r="A207" s="10" t="s">
        <v>770</v>
      </c>
      <c r="B207" s="11" t="s">
        <v>771</v>
      </c>
      <c r="C207" s="11"/>
      <c r="D207" s="11" t="s">
        <v>772</v>
      </c>
      <c r="E207" s="11">
        <f xml:space="preserve"> IF($U$207,1,0)</f>
        <v>0</v>
      </c>
      <c r="F207" s="11" t="s">
        <v>773</v>
      </c>
      <c r="G207" s="11">
        <v>0</v>
      </c>
      <c r="H207" s="11">
        <v>0</v>
      </c>
      <c r="I207" s="11">
        <v>0</v>
      </c>
      <c r="J207" s="11">
        <v>0</v>
      </c>
      <c r="K207" s="11">
        <v>0</v>
      </c>
      <c r="L207" s="11">
        <v>0</v>
      </c>
      <c r="M207" s="11">
        <v>0</v>
      </c>
      <c r="N207" s="11">
        <v>0</v>
      </c>
      <c r="O207" s="11">
        <v>0</v>
      </c>
      <c r="P207" s="11">
        <v>0</v>
      </c>
      <c r="Q207" s="12">
        <v>0</v>
      </c>
      <c r="R207" s="12">
        <v>0</v>
      </c>
      <c r="S207" s="12">
        <f>$G$207*$G$8+$H$207*$H$8+$I$207*$I$8+$J$207*$J$8+$K$207*$K$8+$L$207*$L$8+$M$207*$M$8+$N$207*$N$8+$O$207*$O$8+$P$207*$P$8</f>
        <v>0</v>
      </c>
      <c r="T207" s="12">
        <f>SUM($Q$207:$R$207)</f>
        <v>0</v>
      </c>
      <c r="U207" s="12">
        <f>$S$207+$T$207</f>
        <v>0</v>
      </c>
    </row>
    <row r="208" spans="1:21" x14ac:dyDescent="0.3">
      <c r="A208" s="13" t="s">
        <v>774</v>
      </c>
      <c r="B208" s="14" t="s">
        <v>775</v>
      </c>
      <c r="C208" s="14"/>
      <c r="D208" s="14" t="s">
        <v>776</v>
      </c>
      <c r="E208" s="14">
        <f xml:space="preserve"> IF($U$208,1,0)</f>
        <v>0</v>
      </c>
      <c r="F208" s="14" t="s">
        <v>777</v>
      </c>
      <c r="G208" s="14">
        <v>0</v>
      </c>
      <c r="H208" s="14">
        <v>0</v>
      </c>
      <c r="I208" s="14">
        <v>0</v>
      </c>
      <c r="J208" s="14">
        <v>0</v>
      </c>
      <c r="K208" s="14">
        <v>0</v>
      </c>
      <c r="L208" s="14">
        <v>0</v>
      </c>
      <c r="M208" s="14">
        <v>0</v>
      </c>
      <c r="N208" s="14">
        <v>0</v>
      </c>
      <c r="O208" s="14">
        <v>0</v>
      </c>
      <c r="P208" s="14">
        <v>0</v>
      </c>
      <c r="Q208" s="15">
        <v>0</v>
      </c>
      <c r="R208" s="15">
        <v>0</v>
      </c>
      <c r="S208" s="15">
        <f>$G$208*$G$8+$H$208*$H$8+$I$208*$I$8+$J$208*$J$8+$K$208*$K$8+$L$208*$L$8+$M$208*$M$8+$N$208*$N$8+$O$208*$O$8+$P$208*$P$8</f>
        <v>0</v>
      </c>
      <c r="T208" s="15">
        <f>SUM($Q$208:$R$208)</f>
        <v>0</v>
      </c>
      <c r="U208" s="15">
        <f>$S$208+$T$208</f>
        <v>0</v>
      </c>
    </row>
    <row r="209" spans="1:21" x14ac:dyDescent="0.3">
      <c r="A209" s="10" t="s">
        <v>778</v>
      </c>
      <c r="B209" s="11" t="s">
        <v>779</v>
      </c>
      <c r="C209" s="11"/>
      <c r="D209" s="11" t="s">
        <v>780</v>
      </c>
      <c r="E209" s="11">
        <f xml:space="preserve"> IF($U$209,1,0)</f>
        <v>0</v>
      </c>
      <c r="F209" s="11" t="s">
        <v>781</v>
      </c>
      <c r="G209" s="11">
        <v>0</v>
      </c>
      <c r="H209" s="11">
        <v>0</v>
      </c>
      <c r="I209" s="11">
        <v>0</v>
      </c>
      <c r="J209" s="11">
        <v>0</v>
      </c>
      <c r="K209" s="11">
        <v>0</v>
      </c>
      <c r="L209" s="11">
        <v>0</v>
      </c>
      <c r="M209" s="11">
        <v>0</v>
      </c>
      <c r="N209" s="11">
        <v>0</v>
      </c>
      <c r="O209" s="11">
        <v>0</v>
      </c>
      <c r="P209" s="11">
        <v>0</v>
      </c>
      <c r="Q209" s="12">
        <v>0</v>
      </c>
      <c r="R209" s="12">
        <v>0</v>
      </c>
      <c r="S209" s="12">
        <f>$G$209*$G$8+$H$209*$H$8+$I$209*$I$8+$J$209*$J$8+$K$209*$K$8+$L$209*$L$8+$M$209*$M$8+$N$209*$N$8+$O$209*$O$8+$P$209*$P$8</f>
        <v>0</v>
      </c>
      <c r="T209" s="12">
        <f>SUM($Q$209:$R$209)</f>
        <v>0</v>
      </c>
      <c r="U209" s="12">
        <f>$S$209+$T$209</f>
        <v>0</v>
      </c>
    </row>
    <row r="210" spans="1:21" x14ac:dyDescent="0.3">
      <c r="A210" s="13" t="s">
        <v>782</v>
      </c>
      <c r="B210" s="14" t="s">
        <v>779</v>
      </c>
      <c r="C210" s="14"/>
      <c r="D210" s="14" t="s">
        <v>783</v>
      </c>
      <c r="E210" s="14">
        <f xml:space="preserve"> IF($U$210,1,0)</f>
        <v>0</v>
      </c>
      <c r="F210" s="14" t="s">
        <v>784</v>
      </c>
      <c r="G210" s="14">
        <v>0</v>
      </c>
      <c r="H210" s="14">
        <v>0</v>
      </c>
      <c r="I210" s="14">
        <v>0</v>
      </c>
      <c r="J210" s="14">
        <v>0</v>
      </c>
      <c r="K210" s="14">
        <v>0</v>
      </c>
      <c r="L210" s="14">
        <v>0</v>
      </c>
      <c r="M210" s="14">
        <v>0</v>
      </c>
      <c r="N210" s="14">
        <v>0</v>
      </c>
      <c r="O210" s="14">
        <v>0</v>
      </c>
      <c r="P210" s="14">
        <v>0</v>
      </c>
      <c r="Q210" s="15">
        <v>0</v>
      </c>
      <c r="R210" s="15">
        <v>0</v>
      </c>
      <c r="S210" s="15">
        <f>$G$210*$G$8+$H$210*$H$8+$I$210*$I$8+$J$210*$J$8+$K$210*$K$8+$L$210*$L$8+$M$210*$M$8+$N$210*$N$8+$O$210*$O$8+$P$210*$P$8</f>
        <v>0</v>
      </c>
      <c r="T210" s="15">
        <f>SUM($Q$210:$R$210)</f>
        <v>0</v>
      </c>
      <c r="U210" s="15">
        <f>$S$210+$T$210</f>
        <v>0</v>
      </c>
    </row>
    <row r="211" spans="1:21" x14ac:dyDescent="0.3">
      <c r="A211" s="10" t="s">
        <v>785</v>
      </c>
      <c r="B211" s="11" t="s">
        <v>779</v>
      </c>
      <c r="C211" s="11"/>
      <c r="D211" s="11" t="s">
        <v>786</v>
      </c>
      <c r="E211" s="11">
        <f xml:space="preserve"> IF($U$211,1,0)</f>
        <v>1</v>
      </c>
      <c r="F211" s="11" t="s">
        <v>787</v>
      </c>
      <c r="G211" s="11">
        <v>1</v>
      </c>
      <c r="H211" s="11">
        <v>0</v>
      </c>
      <c r="I211" s="11">
        <v>1</v>
      </c>
      <c r="J211" s="11">
        <v>0</v>
      </c>
      <c r="K211" s="11">
        <v>0</v>
      </c>
      <c r="L211" s="11">
        <v>0</v>
      </c>
      <c r="M211" s="11">
        <v>0</v>
      </c>
      <c r="N211" s="11">
        <v>0</v>
      </c>
      <c r="O211" s="11">
        <v>0</v>
      </c>
      <c r="P211" s="11">
        <v>0</v>
      </c>
      <c r="Q211" s="12">
        <v>0</v>
      </c>
      <c r="R211" s="12">
        <v>0</v>
      </c>
      <c r="S211" s="12">
        <f>$G$211*$G$8+$H$211*$H$8+$I$211*$I$8+$J$211*$J$8+$K$211*$K$8+$L$211*$L$8+$M$211*$M$8+$N$211*$N$8+$O$211*$O$8+$P$211*$P$8</f>
        <v>1.7</v>
      </c>
      <c r="T211" s="12">
        <f>SUM($Q$211:$R$211)</f>
        <v>0</v>
      </c>
      <c r="U211" s="12">
        <f>$S$211+$T$211</f>
        <v>1.7</v>
      </c>
    </row>
    <row r="212" spans="1:21" x14ac:dyDescent="0.3">
      <c r="A212" s="13" t="s">
        <v>788</v>
      </c>
      <c r="B212" s="14" t="s">
        <v>789</v>
      </c>
      <c r="C212" s="14"/>
      <c r="D212" s="14" t="s">
        <v>790</v>
      </c>
      <c r="E212" s="14">
        <f xml:space="preserve"> IF($U$212,1,0)</f>
        <v>0</v>
      </c>
      <c r="F212" s="14" t="s">
        <v>791</v>
      </c>
      <c r="G212" s="14">
        <v>0</v>
      </c>
      <c r="H212" s="14">
        <v>0</v>
      </c>
      <c r="I212" s="14">
        <v>0</v>
      </c>
      <c r="J212" s="14">
        <v>0</v>
      </c>
      <c r="K212" s="14">
        <v>0</v>
      </c>
      <c r="L212" s="14">
        <v>0</v>
      </c>
      <c r="M212" s="14">
        <v>0</v>
      </c>
      <c r="N212" s="14">
        <v>0</v>
      </c>
      <c r="O212" s="14">
        <v>0</v>
      </c>
      <c r="P212" s="14">
        <v>0</v>
      </c>
      <c r="Q212" s="15">
        <v>0</v>
      </c>
      <c r="R212" s="15">
        <v>0</v>
      </c>
      <c r="S212" s="15">
        <f>$G$212*$G$8+$H$212*$H$8+$I$212*$I$8+$J$212*$J$8+$K$212*$K$8+$L$212*$L$8+$M$212*$M$8+$N$212*$N$8+$O$212*$O$8+$P$212*$P$8</f>
        <v>0</v>
      </c>
      <c r="T212" s="15">
        <f>SUM($Q$212:$R$212)</f>
        <v>0</v>
      </c>
      <c r="U212" s="15">
        <f>$S$212+$T$212</f>
        <v>0</v>
      </c>
    </row>
    <row r="213" spans="1:21" x14ac:dyDescent="0.3">
      <c r="A213" s="10" t="s">
        <v>792</v>
      </c>
      <c r="B213" s="11" t="s">
        <v>793</v>
      </c>
      <c r="C213" s="11"/>
      <c r="D213" s="11" t="s">
        <v>794</v>
      </c>
      <c r="E213" s="11">
        <f xml:space="preserve"> IF($U$213,1,0)</f>
        <v>0</v>
      </c>
      <c r="F213" s="11" t="s">
        <v>795</v>
      </c>
      <c r="G213" s="11">
        <v>0</v>
      </c>
      <c r="H213" s="11">
        <v>0</v>
      </c>
      <c r="I213" s="11">
        <v>0</v>
      </c>
      <c r="J213" s="11">
        <v>0</v>
      </c>
      <c r="K213" s="11">
        <v>0</v>
      </c>
      <c r="L213" s="11">
        <v>0</v>
      </c>
      <c r="M213" s="11">
        <v>0</v>
      </c>
      <c r="N213" s="11">
        <v>0</v>
      </c>
      <c r="O213" s="11">
        <v>0</v>
      </c>
      <c r="P213" s="11">
        <v>0</v>
      </c>
      <c r="Q213" s="12">
        <v>0</v>
      </c>
      <c r="R213" s="12">
        <v>0</v>
      </c>
      <c r="S213" s="12">
        <f>$G$213*$G$8+$H$213*$H$8+$I$213*$I$8+$J$213*$J$8+$K$213*$K$8+$L$213*$L$8+$M$213*$M$8+$N$213*$N$8+$O$213*$O$8+$P$213*$P$8</f>
        <v>0</v>
      </c>
      <c r="T213" s="12">
        <f>SUM($Q$213:$R$213)</f>
        <v>0</v>
      </c>
      <c r="U213" s="12">
        <f>$S$213+$T$213</f>
        <v>0</v>
      </c>
    </row>
    <row r="214" spans="1:21" x14ac:dyDescent="0.3">
      <c r="A214" s="13" t="s">
        <v>796</v>
      </c>
      <c r="B214" s="14" t="s">
        <v>797</v>
      </c>
      <c r="C214" s="14"/>
      <c r="D214" s="14" t="s">
        <v>798</v>
      </c>
      <c r="E214" s="14">
        <f xml:space="preserve"> IF($U$214,1,0)</f>
        <v>0</v>
      </c>
      <c r="F214" s="14" t="s">
        <v>799</v>
      </c>
      <c r="G214" s="14">
        <v>0</v>
      </c>
      <c r="H214" s="14">
        <v>0</v>
      </c>
      <c r="I214" s="14">
        <v>0</v>
      </c>
      <c r="J214" s="14">
        <v>0</v>
      </c>
      <c r="K214" s="14">
        <v>0</v>
      </c>
      <c r="L214" s="14">
        <v>0</v>
      </c>
      <c r="M214" s="14">
        <v>0</v>
      </c>
      <c r="N214" s="14">
        <v>0</v>
      </c>
      <c r="O214" s="14">
        <v>0</v>
      </c>
      <c r="P214" s="14">
        <v>0</v>
      </c>
      <c r="Q214" s="15">
        <v>0</v>
      </c>
      <c r="R214" s="15">
        <v>0</v>
      </c>
      <c r="S214" s="15">
        <f>$G$214*$G$8+$H$214*$H$8+$I$214*$I$8+$J$214*$J$8+$K$214*$K$8+$L$214*$L$8+$M$214*$M$8+$N$214*$N$8+$O$214*$O$8+$P$214*$P$8</f>
        <v>0</v>
      </c>
      <c r="T214" s="15">
        <f>SUM($Q$214:$R$214)</f>
        <v>0</v>
      </c>
      <c r="U214" s="15">
        <f>$S$214+$T$214</f>
        <v>0</v>
      </c>
    </row>
    <row r="215" spans="1:21" x14ac:dyDescent="0.3">
      <c r="A215" s="10" t="s">
        <v>800</v>
      </c>
      <c r="B215" s="11" t="s">
        <v>797</v>
      </c>
      <c r="C215" s="11" t="s">
        <v>34</v>
      </c>
      <c r="D215" s="11" t="s">
        <v>801</v>
      </c>
      <c r="E215" s="11">
        <f xml:space="preserve"> IF($U$215,1,0)</f>
        <v>0</v>
      </c>
      <c r="F215" s="11" t="s">
        <v>802</v>
      </c>
      <c r="G215" s="11">
        <v>0</v>
      </c>
      <c r="H215" s="11">
        <v>0</v>
      </c>
      <c r="I215" s="11">
        <v>0</v>
      </c>
      <c r="J215" s="11">
        <v>0</v>
      </c>
      <c r="K215" s="11">
        <v>0</v>
      </c>
      <c r="L215" s="11">
        <v>0</v>
      </c>
      <c r="M215" s="11">
        <v>0</v>
      </c>
      <c r="N215" s="11">
        <v>0</v>
      </c>
      <c r="O215" s="11">
        <v>0</v>
      </c>
      <c r="P215" s="11">
        <v>0</v>
      </c>
      <c r="Q215" s="12">
        <v>0</v>
      </c>
      <c r="R215" s="12">
        <v>0</v>
      </c>
      <c r="S215" s="12">
        <f>$G$215*$G$8+$H$215*$H$8+$I$215*$I$8+$J$215*$J$8+$K$215*$K$8+$L$215*$L$8+$M$215*$M$8+$N$215*$N$8+$O$215*$O$8+$P$215*$P$8</f>
        <v>0</v>
      </c>
      <c r="T215" s="12">
        <f>SUM($Q$215:$R$215)</f>
        <v>0</v>
      </c>
      <c r="U215" s="12">
        <f>$S$215+$T$215</f>
        <v>0</v>
      </c>
    </row>
    <row r="216" spans="1:21" x14ac:dyDescent="0.3">
      <c r="A216" s="13" t="s">
        <v>803</v>
      </c>
      <c r="B216" s="14" t="s">
        <v>804</v>
      </c>
      <c r="C216" s="14" t="s">
        <v>34</v>
      </c>
      <c r="D216" s="14" t="s">
        <v>805</v>
      </c>
      <c r="E216" s="14">
        <f xml:space="preserve"> IF($U$216,1,0)</f>
        <v>0</v>
      </c>
      <c r="F216" s="14" t="s">
        <v>806</v>
      </c>
      <c r="G216" s="14">
        <v>0</v>
      </c>
      <c r="H216" s="14">
        <v>0</v>
      </c>
      <c r="I216" s="14">
        <v>0</v>
      </c>
      <c r="J216" s="14">
        <v>0</v>
      </c>
      <c r="K216" s="14">
        <v>0</v>
      </c>
      <c r="L216" s="14">
        <v>0</v>
      </c>
      <c r="M216" s="14">
        <v>0</v>
      </c>
      <c r="N216" s="14">
        <v>0</v>
      </c>
      <c r="O216" s="14">
        <v>0</v>
      </c>
      <c r="P216" s="14">
        <v>0</v>
      </c>
      <c r="Q216" s="15">
        <v>0</v>
      </c>
      <c r="R216" s="15">
        <v>0</v>
      </c>
      <c r="S216" s="15">
        <f>$G$216*$G$8+$H$216*$H$8+$I$216*$I$8+$J$216*$J$8+$K$216*$K$8+$L$216*$L$8+$M$216*$M$8+$N$216*$N$8+$O$216*$O$8+$P$216*$P$8</f>
        <v>0</v>
      </c>
      <c r="T216" s="15">
        <f>SUM($Q$216:$R$216)</f>
        <v>0</v>
      </c>
      <c r="U216" s="15">
        <f>$S$216+$T$216</f>
        <v>0</v>
      </c>
    </row>
    <row r="217" spans="1:21" x14ac:dyDescent="0.3">
      <c r="A217" s="10" t="s">
        <v>807</v>
      </c>
      <c r="B217" s="11" t="s">
        <v>808</v>
      </c>
      <c r="C217" s="11"/>
      <c r="D217" s="11" t="s">
        <v>809</v>
      </c>
      <c r="E217" s="11">
        <f xml:space="preserve"> IF($U$217,1,0)</f>
        <v>0</v>
      </c>
      <c r="F217" s="11" t="s">
        <v>810</v>
      </c>
      <c r="G217" s="11">
        <v>0</v>
      </c>
      <c r="H217" s="11">
        <v>0</v>
      </c>
      <c r="I217" s="11">
        <v>0</v>
      </c>
      <c r="J217" s="11">
        <v>0</v>
      </c>
      <c r="K217" s="11">
        <v>0</v>
      </c>
      <c r="L217" s="11">
        <v>0</v>
      </c>
      <c r="M217" s="11">
        <v>0</v>
      </c>
      <c r="N217" s="11">
        <v>0</v>
      </c>
      <c r="O217" s="11">
        <v>0</v>
      </c>
      <c r="P217" s="11">
        <v>0</v>
      </c>
      <c r="Q217" s="12">
        <v>0</v>
      </c>
      <c r="R217" s="12">
        <v>0</v>
      </c>
      <c r="S217" s="12">
        <f>$G$217*$G$8+$H$217*$H$8+$I$217*$I$8+$J$217*$J$8+$K$217*$K$8+$L$217*$L$8+$M$217*$M$8+$N$217*$N$8+$O$217*$O$8+$P$217*$P$8</f>
        <v>0</v>
      </c>
      <c r="T217" s="12">
        <f>SUM($Q$217:$R$217)</f>
        <v>0</v>
      </c>
      <c r="U217" s="12">
        <f>$S$217+$T$217</f>
        <v>0</v>
      </c>
    </row>
    <row r="218" spans="1:21" x14ac:dyDescent="0.3">
      <c r="A218" s="13" t="s">
        <v>811</v>
      </c>
      <c r="B218" s="14" t="s">
        <v>812</v>
      </c>
      <c r="C218" s="14"/>
      <c r="D218" s="14" t="s">
        <v>813</v>
      </c>
      <c r="E218" s="14">
        <f xml:space="preserve"> IF($U$218,1,0)</f>
        <v>0</v>
      </c>
      <c r="F218" s="14" t="s">
        <v>814</v>
      </c>
      <c r="G218" s="14">
        <v>0</v>
      </c>
      <c r="H218" s="14">
        <v>0</v>
      </c>
      <c r="I218" s="14">
        <v>0</v>
      </c>
      <c r="J218" s="14">
        <v>0</v>
      </c>
      <c r="K218" s="14">
        <v>0</v>
      </c>
      <c r="L218" s="14">
        <v>0</v>
      </c>
      <c r="M218" s="14">
        <v>0</v>
      </c>
      <c r="N218" s="14">
        <v>0</v>
      </c>
      <c r="O218" s="14">
        <v>0</v>
      </c>
      <c r="P218" s="14">
        <v>0</v>
      </c>
      <c r="Q218" s="15">
        <v>0</v>
      </c>
      <c r="R218" s="15">
        <v>0</v>
      </c>
      <c r="S218" s="15">
        <f>$G$218*$G$8+$H$218*$H$8+$I$218*$I$8+$J$218*$J$8+$K$218*$K$8+$L$218*$L$8+$M$218*$M$8+$N$218*$N$8+$O$218*$O$8+$P$218*$P$8</f>
        <v>0</v>
      </c>
      <c r="T218" s="15">
        <f>SUM($Q$218:$R$218)</f>
        <v>0</v>
      </c>
      <c r="U218" s="15">
        <f>$S$218+$T$218</f>
        <v>0</v>
      </c>
    </row>
    <row r="219" spans="1:21" x14ac:dyDescent="0.3">
      <c r="A219" s="10" t="s">
        <v>815</v>
      </c>
      <c r="B219" s="11" t="s">
        <v>816</v>
      </c>
      <c r="C219" s="11"/>
      <c r="D219" s="11" t="s">
        <v>817</v>
      </c>
      <c r="E219" s="11">
        <f xml:space="preserve"> IF($U$219,1,0)</f>
        <v>0</v>
      </c>
      <c r="F219" s="11" t="s">
        <v>818</v>
      </c>
      <c r="G219" s="11">
        <v>0</v>
      </c>
      <c r="H219" s="11">
        <v>0</v>
      </c>
      <c r="I219" s="11">
        <v>0</v>
      </c>
      <c r="J219" s="11">
        <v>0</v>
      </c>
      <c r="K219" s="11">
        <v>0</v>
      </c>
      <c r="L219" s="11">
        <v>0</v>
      </c>
      <c r="M219" s="11">
        <v>0</v>
      </c>
      <c r="N219" s="11">
        <v>0</v>
      </c>
      <c r="O219" s="11">
        <v>0</v>
      </c>
      <c r="P219" s="11">
        <v>0</v>
      </c>
      <c r="Q219" s="12">
        <v>0</v>
      </c>
      <c r="R219" s="12">
        <v>0</v>
      </c>
      <c r="S219" s="12">
        <f>$G$219*$G$8+$H$219*$H$8+$I$219*$I$8+$J$219*$J$8+$K$219*$K$8+$L$219*$L$8+$M$219*$M$8+$N$219*$N$8+$O$219*$O$8+$P$219*$P$8</f>
        <v>0</v>
      </c>
      <c r="T219" s="12">
        <f>SUM($Q$219:$R$219)</f>
        <v>0</v>
      </c>
      <c r="U219" s="12">
        <f>$S$219+$T$219</f>
        <v>0</v>
      </c>
    </row>
    <row r="220" spans="1:21" x14ac:dyDescent="0.3">
      <c r="A220" s="13" t="s">
        <v>819</v>
      </c>
      <c r="B220" s="14" t="s">
        <v>820</v>
      </c>
      <c r="C220" s="14"/>
      <c r="D220" s="14" t="s">
        <v>821</v>
      </c>
      <c r="E220" s="14">
        <f xml:space="preserve"> IF($U$220,1,0)</f>
        <v>0</v>
      </c>
      <c r="F220" s="14" t="s">
        <v>822</v>
      </c>
      <c r="G220" s="14">
        <v>0</v>
      </c>
      <c r="H220" s="14">
        <v>0</v>
      </c>
      <c r="I220" s="14">
        <v>0</v>
      </c>
      <c r="J220" s="14">
        <v>0</v>
      </c>
      <c r="K220" s="14">
        <v>0</v>
      </c>
      <c r="L220" s="14">
        <v>0</v>
      </c>
      <c r="M220" s="14">
        <v>0</v>
      </c>
      <c r="N220" s="14">
        <v>0</v>
      </c>
      <c r="O220" s="14">
        <v>0</v>
      </c>
      <c r="P220" s="14">
        <v>0</v>
      </c>
      <c r="Q220" s="15">
        <v>0</v>
      </c>
      <c r="R220" s="15">
        <v>0</v>
      </c>
      <c r="S220" s="15">
        <f>$G$220*$G$8+$H$220*$H$8+$I$220*$I$8+$J$220*$J$8+$K$220*$K$8+$L$220*$L$8+$M$220*$M$8+$N$220*$N$8+$O$220*$O$8+$P$220*$P$8</f>
        <v>0</v>
      </c>
      <c r="T220" s="15">
        <f>SUM($Q$220:$R$220)</f>
        <v>0</v>
      </c>
      <c r="U220" s="15">
        <f>$S$220+$T$220</f>
        <v>0</v>
      </c>
    </row>
    <row r="221" spans="1:21" x14ac:dyDescent="0.3">
      <c r="A221" s="10" t="s">
        <v>823</v>
      </c>
      <c r="B221" s="11" t="s">
        <v>824</v>
      </c>
      <c r="C221" s="11"/>
      <c r="D221" s="11" t="s">
        <v>825</v>
      </c>
      <c r="E221" s="11">
        <f xml:space="preserve"> IF($U$221,1,0)</f>
        <v>0</v>
      </c>
      <c r="F221" s="11" t="s">
        <v>826</v>
      </c>
      <c r="G221" s="11">
        <v>0</v>
      </c>
      <c r="H221" s="11">
        <v>0</v>
      </c>
      <c r="I221" s="11">
        <v>0</v>
      </c>
      <c r="J221" s="11">
        <v>0</v>
      </c>
      <c r="K221" s="11">
        <v>0</v>
      </c>
      <c r="L221" s="11">
        <v>0</v>
      </c>
      <c r="M221" s="11">
        <v>0</v>
      </c>
      <c r="N221" s="11">
        <v>0</v>
      </c>
      <c r="O221" s="11">
        <v>0</v>
      </c>
      <c r="P221" s="11">
        <v>0</v>
      </c>
      <c r="Q221" s="12">
        <v>0</v>
      </c>
      <c r="R221" s="12">
        <v>0</v>
      </c>
      <c r="S221" s="12">
        <f>$G$221*$G$8+$H$221*$H$8+$I$221*$I$8+$J$221*$J$8+$K$221*$K$8+$L$221*$L$8+$M$221*$M$8+$N$221*$N$8+$O$221*$O$8+$P$221*$P$8</f>
        <v>0</v>
      </c>
      <c r="T221" s="12">
        <f>SUM($Q$221:$R$221)</f>
        <v>0</v>
      </c>
      <c r="U221" s="12">
        <f>$S$221+$T$221</f>
        <v>0</v>
      </c>
    </row>
    <row r="222" spans="1:21" x14ac:dyDescent="0.3">
      <c r="A222" s="13" t="s">
        <v>827</v>
      </c>
      <c r="B222" s="14" t="s">
        <v>828</v>
      </c>
      <c r="C222" s="14"/>
      <c r="D222" s="14" t="s">
        <v>829</v>
      </c>
      <c r="E222" s="14">
        <f xml:space="preserve"> IF($U$222,1,0)</f>
        <v>0</v>
      </c>
      <c r="F222" s="14" t="s">
        <v>830</v>
      </c>
      <c r="G222" s="14">
        <v>0</v>
      </c>
      <c r="H222" s="14">
        <v>0</v>
      </c>
      <c r="I222" s="14">
        <v>0</v>
      </c>
      <c r="J222" s="14">
        <v>0</v>
      </c>
      <c r="K222" s="14">
        <v>0</v>
      </c>
      <c r="L222" s="14">
        <v>0</v>
      </c>
      <c r="M222" s="14">
        <v>0</v>
      </c>
      <c r="N222" s="14">
        <v>0</v>
      </c>
      <c r="O222" s="14">
        <v>0</v>
      </c>
      <c r="P222" s="14">
        <v>0</v>
      </c>
      <c r="Q222" s="15">
        <v>0</v>
      </c>
      <c r="R222" s="15">
        <v>0</v>
      </c>
      <c r="S222" s="15">
        <f>$G$222*$G$8+$H$222*$H$8+$I$222*$I$8+$J$222*$J$8+$K$222*$K$8+$L$222*$L$8+$M$222*$M$8+$N$222*$N$8+$O$222*$O$8+$P$222*$P$8</f>
        <v>0</v>
      </c>
      <c r="T222" s="15">
        <f>SUM($Q$222:$R$222)</f>
        <v>0</v>
      </c>
      <c r="U222" s="15">
        <f>$S$222+$T$222</f>
        <v>0</v>
      </c>
    </row>
    <row r="223" spans="1:21" x14ac:dyDescent="0.3">
      <c r="A223" s="10" t="s">
        <v>831</v>
      </c>
      <c r="B223" s="11" t="s">
        <v>832</v>
      </c>
      <c r="C223" s="11"/>
      <c r="D223" s="11" t="s">
        <v>833</v>
      </c>
      <c r="E223" s="11">
        <f xml:space="preserve"> IF($U$223,1,0)</f>
        <v>1</v>
      </c>
      <c r="F223" s="11" t="s">
        <v>834</v>
      </c>
      <c r="G223" s="11">
        <v>5</v>
      </c>
      <c r="H223" s="11">
        <v>0</v>
      </c>
      <c r="I223" s="11">
        <v>0</v>
      </c>
      <c r="J223" s="11">
        <v>0</v>
      </c>
      <c r="K223" s="11">
        <v>0</v>
      </c>
      <c r="L223" s="11">
        <v>0</v>
      </c>
      <c r="M223" s="11">
        <v>0</v>
      </c>
      <c r="N223" s="11">
        <v>0</v>
      </c>
      <c r="O223" s="11">
        <v>0</v>
      </c>
      <c r="P223" s="11">
        <v>0</v>
      </c>
      <c r="Q223" s="12">
        <v>0</v>
      </c>
      <c r="R223" s="12">
        <v>0</v>
      </c>
      <c r="S223" s="12">
        <f>$G$223*$G$8+$H$223*$H$8+$I$223*$I$8+$J$223*$J$8+$K$223*$K$8+$L$223*$L$8+$M$223*$M$8+$N$223*$N$8+$O$223*$O$8+$P$223*$P$8</f>
        <v>3.5</v>
      </c>
      <c r="T223" s="12">
        <f>SUM($Q$223:$R$223)</f>
        <v>0</v>
      </c>
      <c r="U223" s="12">
        <f>$S$223+$T$223</f>
        <v>3.5</v>
      </c>
    </row>
    <row r="224" spans="1:21" x14ac:dyDescent="0.3">
      <c r="A224" s="13" t="s">
        <v>835</v>
      </c>
      <c r="B224" s="14" t="s">
        <v>836</v>
      </c>
      <c r="C224" s="14"/>
      <c r="D224" s="14" t="s">
        <v>837</v>
      </c>
      <c r="E224" s="14">
        <f xml:space="preserve"> IF($U$224,1,0)</f>
        <v>0</v>
      </c>
      <c r="F224" s="14" t="s">
        <v>838</v>
      </c>
      <c r="G224" s="14">
        <v>0</v>
      </c>
      <c r="H224" s="14">
        <v>0</v>
      </c>
      <c r="I224" s="14">
        <v>0</v>
      </c>
      <c r="J224" s="14">
        <v>0</v>
      </c>
      <c r="K224" s="14">
        <v>0</v>
      </c>
      <c r="L224" s="14">
        <v>0</v>
      </c>
      <c r="M224" s="14">
        <v>0</v>
      </c>
      <c r="N224" s="14">
        <v>0</v>
      </c>
      <c r="O224" s="14">
        <v>0</v>
      </c>
      <c r="P224" s="14">
        <v>0</v>
      </c>
      <c r="Q224" s="15">
        <v>0</v>
      </c>
      <c r="R224" s="15">
        <v>0</v>
      </c>
      <c r="S224" s="15">
        <f>$G$224*$G$8+$H$224*$H$8+$I$224*$I$8+$J$224*$J$8+$K$224*$K$8+$L$224*$L$8+$M$224*$M$8+$N$224*$N$8+$O$224*$O$8+$P$224*$P$8</f>
        <v>0</v>
      </c>
      <c r="T224" s="15">
        <f>SUM($Q$224:$R$224)</f>
        <v>0</v>
      </c>
      <c r="U224" s="15">
        <f>$S$224+$T$224</f>
        <v>0</v>
      </c>
    </row>
    <row r="225" spans="1:21" x14ac:dyDescent="0.3">
      <c r="A225" s="10" t="s">
        <v>839</v>
      </c>
      <c r="B225" s="11" t="s">
        <v>840</v>
      </c>
      <c r="C225" s="11"/>
      <c r="D225" s="11" t="s">
        <v>841</v>
      </c>
      <c r="E225" s="11">
        <f xml:space="preserve"> IF($U$225,1,0)</f>
        <v>0</v>
      </c>
      <c r="F225" s="11" t="s">
        <v>842</v>
      </c>
      <c r="G225" s="11">
        <v>0</v>
      </c>
      <c r="H225" s="11">
        <v>0</v>
      </c>
      <c r="I225" s="11">
        <v>0</v>
      </c>
      <c r="J225" s="11">
        <v>0</v>
      </c>
      <c r="K225" s="11">
        <v>0</v>
      </c>
      <c r="L225" s="11">
        <v>0</v>
      </c>
      <c r="M225" s="11">
        <v>0</v>
      </c>
      <c r="N225" s="11">
        <v>0</v>
      </c>
      <c r="O225" s="11">
        <v>0</v>
      </c>
      <c r="P225" s="11">
        <v>0</v>
      </c>
      <c r="Q225" s="12">
        <v>0</v>
      </c>
      <c r="R225" s="12">
        <v>0</v>
      </c>
      <c r="S225" s="12">
        <f>$G$225*$G$8+$H$225*$H$8+$I$225*$I$8+$J$225*$J$8+$K$225*$K$8+$L$225*$L$8+$M$225*$M$8+$N$225*$N$8+$O$225*$O$8+$P$225*$P$8</f>
        <v>0</v>
      </c>
      <c r="T225" s="12">
        <f>SUM($Q$225:$R$225)</f>
        <v>0</v>
      </c>
      <c r="U225" s="12">
        <f>$S$225+$T$225</f>
        <v>0</v>
      </c>
    </row>
    <row r="226" spans="1:21" x14ac:dyDescent="0.3">
      <c r="A226" s="13" t="s">
        <v>843</v>
      </c>
      <c r="B226" s="14" t="s">
        <v>844</v>
      </c>
      <c r="C226" s="14"/>
      <c r="D226" s="14" t="s">
        <v>845</v>
      </c>
      <c r="E226" s="14">
        <f xml:space="preserve"> IF($U$226,1,0)</f>
        <v>0</v>
      </c>
      <c r="F226" s="14" t="s">
        <v>846</v>
      </c>
      <c r="G226" s="14">
        <v>0</v>
      </c>
      <c r="H226" s="14">
        <v>0</v>
      </c>
      <c r="I226" s="14">
        <v>0</v>
      </c>
      <c r="J226" s="14">
        <v>0</v>
      </c>
      <c r="K226" s="14">
        <v>0</v>
      </c>
      <c r="L226" s="14">
        <v>0</v>
      </c>
      <c r="M226" s="14">
        <v>0</v>
      </c>
      <c r="N226" s="14">
        <v>0</v>
      </c>
      <c r="O226" s="14">
        <v>0</v>
      </c>
      <c r="P226" s="14">
        <v>0</v>
      </c>
      <c r="Q226" s="15">
        <v>0</v>
      </c>
      <c r="R226" s="15">
        <v>0</v>
      </c>
      <c r="S226" s="15">
        <f>$G$226*$G$8+$H$226*$H$8+$I$226*$I$8+$J$226*$J$8+$K$226*$K$8+$L$226*$L$8+$M$226*$M$8+$N$226*$N$8+$O$226*$O$8+$P$226*$P$8</f>
        <v>0</v>
      </c>
      <c r="T226" s="15">
        <f>SUM($Q$226:$R$226)</f>
        <v>0</v>
      </c>
      <c r="U226" s="15">
        <f>$S$226+$T$226</f>
        <v>0</v>
      </c>
    </row>
    <row r="227" spans="1:21" x14ac:dyDescent="0.3">
      <c r="A227" s="10" t="s">
        <v>847</v>
      </c>
      <c r="B227" s="11" t="s">
        <v>848</v>
      </c>
      <c r="C227" s="11" t="s">
        <v>202</v>
      </c>
      <c r="D227" s="11" t="s">
        <v>849</v>
      </c>
      <c r="E227" s="11">
        <f xml:space="preserve"> IF($U$227,1,0)</f>
        <v>1</v>
      </c>
      <c r="F227" s="11" t="s">
        <v>850</v>
      </c>
      <c r="G227" s="11">
        <v>0</v>
      </c>
      <c r="H227" s="11">
        <v>4</v>
      </c>
      <c r="I227" s="11">
        <v>0</v>
      </c>
      <c r="J227" s="11">
        <v>0</v>
      </c>
      <c r="K227" s="11">
        <v>0</v>
      </c>
      <c r="L227" s="11">
        <v>0</v>
      </c>
      <c r="M227" s="11">
        <v>0</v>
      </c>
      <c r="N227" s="11">
        <v>0</v>
      </c>
      <c r="O227" s="11">
        <v>0</v>
      </c>
      <c r="P227" s="11">
        <v>0</v>
      </c>
      <c r="Q227" s="12">
        <v>0</v>
      </c>
      <c r="R227" s="12">
        <v>0</v>
      </c>
      <c r="S227" s="12">
        <f>$G$227*$G$8+$H$227*$H$8+$I$227*$I$8+$J$227*$J$8+$K$227*$K$8+$L$227*$L$8+$M$227*$M$8+$N$227*$N$8+$O$227*$O$8+$P$227*$P$8</f>
        <v>7.2</v>
      </c>
      <c r="T227" s="12">
        <f>SUM($Q$227:$R$227)</f>
        <v>0</v>
      </c>
      <c r="U227" s="12">
        <f>$S$227+$T$227</f>
        <v>7.2</v>
      </c>
    </row>
    <row r="228" spans="1:21" x14ac:dyDescent="0.3">
      <c r="A228" s="13" t="s">
        <v>851</v>
      </c>
      <c r="B228" s="14" t="s">
        <v>852</v>
      </c>
      <c r="C228" s="14"/>
      <c r="D228" s="14" t="s">
        <v>853</v>
      </c>
      <c r="E228" s="14">
        <f xml:space="preserve"> IF($U$228,1,0)</f>
        <v>0</v>
      </c>
      <c r="F228" s="14" t="s">
        <v>854</v>
      </c>
      <c r="G228" s="14">
        <v>0</v>
      </c>
      <c r="H228" s="14">
        <v>0</v>
      </c>
      <c r="I228" s="14">
        <v>0</v>
      </c>
      <c r="J228" s="14">
        <v>0</v>
      </c>
      <c r="K228" s="14">
        <v>0</v>
      </c>
      <c r="L228" s="14">
        <v>0</v>
      </c>
      <c r="M228" s="14">
        <v>0</v>
      </c>
      <c r="N228" s="14">
        <v>0</v>
      </c>
      <c r="O228" s="14">
        <v>0</v>
      </c>
      <c r="P228" s="14">
        <v>0</v>
      </c>
      <c r="Q228" s="15">
        <v>0</v>
      </c>
      <c r="R228" s="15">
        <v>0</v>
      </c>
      <c r="S228" s="15">
        <f>$G$228*$G$8+$H$228*$H$8+$I$228*$I$8+$J$228*$J$8+$K$228*$K$8+$L$228*$L$8+$M$228*$M$8+$N$228*$N$8+$O$228*$O$8+$P$228*$P$8</f>
        <v>0</v>
      </c>
      <c r="T228" s="15">
        <f>SUM($Q$228:$R$228)</f>
        <v>0</v>
      </c>
      <c r="U228" s="15">
        <f>$S$228+$T$228</f>
        <v>0</v>
      </c>
    </row>
    <row r="229" spans="1:21" x14ac:dyDescent="0.3">
      <c r="A229" s="10" t="s">
        <v>855</v>
      </c>
      <c r="B229" s="11" t="s">
        <v>856</v>
      </c>
      <c r="C229" s="11"/>
      <c r="D229" s="11" t="s">
        <v>790</v>
      </c>
      <c r="E229" s="11">
        <f xml:space="preserve"> IF($U$229,1,0)</f>
        <v>0</v>
      </c>
      <c r="F229" s="11" t="s">
        <v>857</v>
      </c>
      <c r="G229" s="11">
        <v>0</v>
      </c>
      <c r="H229" s="11">
        <v>0</v>
      </c>
      <c r="I229" s="11">
        <v>0</v>
      </c>
      <c r="J229" s="11">
        <v>0</v>
      </c>
      <c r="K229" s="11">
        <v>0</v>
      </c>
      <c r="L229" s="11">
        <v>0</v>
      </c>
      <c r="M229" s="11">
        <v>0</v>
      </c>
      <c r="N229" s="11">
        <v>0</v>
      </c>
      <c r="O229" s="11">
        <v>0</v>
      </c>
      <c r="P229" s="11">
        <v>0</v>
      </c>
      <c r="Q229" s="12">
        <v>0</v>
      </c>
      <c r="R229" s="12">
        <v>0</v>
      </c>
      <c r="S229" s="12">
        <f>$G$229*$G$8+$H$229*$H$8+$I$229*$I$8+$J$229*$J$8+$K$229*$K$8+$L$229*$L$8+$M$229*$M$8+$N$229*$N$8+$O$229*$O$8+$P$229*$P$8</f>
        <v>0</v>
      </c>
      <c r="T229" s="12">
        <f>SUM($Q$229:$R$229)</f>
        <v>0</v>
      </c>
      <c r="U229" s="12">
        <f>$S$229+$T$229</f>
        <v>0</v>
      </c>
    </row>
    <row r="230" spans="1:21" x14ac:dyDescent="0.3">
      <c r="A230" s="13" t="s">
        <v>858</v>
      </c>
      <c r="B230" s="14" t="s">
        <v>859</v>
      </c>
      <c r="C230" s="14"/>
      <c r="D230" s="14" t="s">
        <v>860</v>
      </c>
      <c r="E230" s="14">
        <f xml:space="preserve"> IF($U$230,1,0)</f>
        <v>0</v>
      </c>
      <c r="F230" s="14" t="s">
        <v>861</v>
      </c>
      <c r="G230" s="14">
        <v>0</v>
      </c>
      <c r="H230" s="14">
        <v>0</v>
      </c>
      <c r="I230" s="14">
        <v>0</v>
      </c>
      <c r="J230" s="14">
        <v>0</v>
      </c>
      <c r="K230" s="14">
        <v>0</v>
      </c>
      <c r="L230" s="14">
        <v>0</v>
      </c>
      <c r="M230" s="14">
        <v>0</v>
      </c>
      <c r="N230" s="14">
        <v>0</v>
      </c>
      <c r="O230" s="14">
        <v>0</v>
      </c>
      <c r="P230" s="14">
        <v>0</v>
      </c>
      <c r="Q230" s="15">
        <v>0</v>
      </c>
      <c r="R230" s="15">
        <v>0</v>
      </c>
      <c r="S230" s="15">
        <f>$G$230*$G$8+$H$230*$H$8+$I$230*$I$8+$J$230*$J$8+$K$230*$K$8+$L$230*$L$8+$M$230*$M$8+$N$230*$N$8+$O$230*$O$8+$P$230*$P$8</f>
        <v>0</v>
      </c>
      <c r="T230" s="15">
        <f>SUM($Q$230:$R$230)</f>
        <v>0</v>
      </c>
      <c r="U230" s="15">
        <f>$S$230+$T$230</f>
        <v>0</v>
      </c>
    </row>
    <row r="231" spans="1:21" x14ac:dyDescent="0.3">
      <c r="A231" s="10" t="s">
        <v>862</v>
      </c>
      <c r="B231" s="11" t="s">
        <v>863</v>
      </c>
      <c r="C231" s="11"/>
      <c r="D231" s="11" t="s">
        <v>864</v>
      </c>
      <c r="E231" s="11">
        <f xml:space="preserve"> IF($U$231,1,0)</f>
        <v>0</v>
      </c>
      <c r="F231" s="11" t="s">
        <v>865</v>
      </c>
      <c r="G231" s="11">
        <v>0</v>
      </c>
      <c r="H231" s="11">
        <v>0</v>
      </c>
      <c r="I231" s="11">
        <v>0</v>
      </c>
      <c r="J231" s="11">
        <v>0</v>
      </c>
      <c r="K231" s="11">
        <v>0</v>
      </c>
      <c r="L231" s="11">
        <v>0</v>
      </c>
      <c r="M231" s="11">
        <v>0</v>
      </c>
      <c r="N231" s="11">
        <v>0</v>
      </c>
      <c r="O231" s="11">
        <v>0</v>
      </c>
      <c r="P231" s="11">
        <v>0</v>
      </c>
      <c r="Q231" s="12">
        <v>0</v>
      </c>
      <c r="R231" s="12">
        <v>0</v>
      </c>
      <c r="S231" s="12">
        <f>$G$231*$G$8+$H$231*$H$8+$I$231*$I$8+$J$231*$J$8+$K$231*$K$8+$L$231*$L$8+$M$231*$M$8+$N$231*$N$8+$O$231*$O$8+$P$231*$P$8</f>
        <v>0</v>
      </c>
      <c r="T231" s="12">
        <f>SUM($Q$231:$R$231)</f>
        <v>0</v>
      </c>
      <c r="U231" s="12">
        <f>$S$231+$T$231</f>
        <v>0</v>
      </c>
    </row>
    <row r="232" spans="1:21" x14ac:dyDescent="0.3">
      <c r="A232" s="13" t="s">
        <v>866</v>
      </c>
      <c r="B232" s="14" t="s">
        <v>867</v>
      </c>
      <c r="C232" s="14"/>
      <c r="D232" s="14" t="s">
        <v>868</v>
      </c>
      <c r="E232" s="14">
        <f xml:space="preserve"> IF($U$232,1,0)</f>
        <v>0</v>
      </c>
      <c r="F232" s="14" t="s">
        <v>869</v>
      </c>
      <c r="G232" s="14">
        <v>0</v>
      </c>
      <c r="H232" s="14">
        <v>0</v>
      </c>
      <c r="I232" s="14">
        <v>0</v>
      </c>
      <c r="J232" s="14">
        <v>0</v>
      </c>
      <c r="K232" s="14">
        <v>0</v>
      </c>
      <c r="L232" s="14">
        <v>0</v>
      </c>
      <c r="M232" s="14">
        <v>0</v>
      </c>
      <c r="N232" s="14">
        <v>0</v>
      </c>
      <c r="O232" s="14">
        <v>0</v>
      </c>
      <c r="P232" s="14">
        <v>0</v>
      </c>
      <c r="Q232" s="15">
        <v>0</v>
      </c>
      <c r="R232" s="15">
        <v>0</v>
      </c>
      <c r="S232" s="15">
        <f>$G$232*$G$8+$H$232*$H$8+$I$232*$I$8+$J$232*$J$8+$K$232*$K$8+$L$232*$L$8+$M$232*$M$8+$N$232*$N$8+$O$232*$O$8+$P$232*$P$8</f>
        <v>0</v>
      </c>
      <c r="T232" s="15">
        <f>SUM($Q$232:$R$232)</f>
        <v>0</v>
      </c>
      <c r="U232" s="15">
        <f>$S$232+$T$232</f>
        <v>0</v>
      </c>
    </row>
    <row r="233" spans="1:21" x14ac:dyDescent="0.3">
      <c r="A233" s="10" t="s">
        <v>870</v>
      </c>
      <c r="B233" s="11" t="s">
        <v>871</v>
      </c>
      <c r="C233" s="11" t="s">
        <v>243</v>
      </c>
      <c r="D233" s="11" t="s">
        <v>399</v>
      </c>
      <c r="E233" s="11">
        <f xml:space="preserve"> IF($U$233,1,0)</f>
        <v>0</v>
      </c>
      <c r="F233" s="11" t="s">
        <v>872</v>
      </c>
      <c r="G233" s="11">
        <v>0</v>
      </c>
      <c r="H233" s="11">
        <v>0</v>
      </c>
      <c r="I233" s="11">
        <v>0</v>
      </c>
      <c r="J233" s="11">
        <v>0</v>
      </c>
      <c r="K233" s="11">
        <v>0</v>
      </c>
      <c r="L233" s="11">
        <v>0</v>
      </c>
      <c r="M233" s="11">
        <v>0</v>
      </c>
      <c r="N233" s="11">
        <v>0</v>
      </c>
      <c r="O233" s="11">
        <v>0</v>
      </c>
      <c r="P233" s="11">
        <v>0</v>
      </c>
      <c r="Q233" s="12">
        <v>0</v>
      </c>
      <c r="R233" s="12">
        <v>0</v>
      </c>
      <c r="S233" s="12">
        <f>$G$233*$G$8+$H$233*$H$8+$I$233*$I$8+$J$233*$J$8+$K$233*$K$8+$L$233*$L$8+$M$233*$M$8+$N$233*$N$8+$O$233*$O$8+$P$233*$P$8</f>
        <v>0</v>
      </c>
      <c r="T233" s="12">
        <f>SUM($Q$233:$R$233)</f>
        <v>0</v>
      </c>
      <c r="U233" s="12">
        <f>$S$233+$T$233</f>
        <v>0</v>
      </c>
    </row>
    <row r="234" spans="1:21" x14ac:dyDescent="0.3">
      <c r="A234" s="13" t="s">
        <v>873</v>
      </c>
      <c r="B234" s="14" t="s">
        <v>874</v>
      </c>
      <c r="C234" s="14"/>
      <c r="D234" s="14" t="s">
        <v>875</v>
      </c>
      <c r="E234" s="14">
        <f xml:space="preserve"> IF($U$234,1,0)</f>
        <v>0</v>
      </c>
      <c r="F234" s="14" t="s">
        <v>876</v>
      </c>
      <c r="G234" s="14">
        <v>0</v>
      </c>
      <c r="H234" s="14">
        <v>0</v>
      </c>
      <c r="I234" s="14">
        <v>0</v>
      </c>
      <c r="J234" s="14">
        <v>0</v>
      </c>
      <c r="K234" s="14">
        <v>0</v>
      </c>
      <c r="L234" s="14">
        <v>0</v>
      </c>
      <c r="M234" s="14">
        <v>0</v>
      </c>
      <c r="N234" s="14">
        <v>0</v>
      </c>
      <c r="O234" s="14">
        <v>0</v>
      </c>
      <c r="P234" s="14">
        <v>0</v>
      </c>
      <c r="Q234" s="15">
        <v>0</v>
      </c>
      <c r="R234" s="15">
        <v>0</v>
      </c>
      <c r="S234" s="15">
        <f>$G$234*$G$8+$H$234*$H$8+$I$234*$I$8+$J$234*$J$8+$K$234*$K$8+$L$234*$L$8+$M$234*$M$8+$N$234*$N$8+$O$234*$O$8+$P$234*$P$8</f>
        <v>0</v>
      </c>
      <c r="T234" s="15">
        <f>SUM($Q$234:$R$234)</f>
        <v>0</v>
      </c>
      <c r="U234" s="15">
        <f>$S$234+$T$234</f>
        <v>0</v>
      </c>
    </row>
    <row r="235" spans="1:21" x14ac:dyDescent="0.3">
      <c r="A235" s="10" t="s">
        <v>877</v>
      </c>
      <c r="B235" s="11" t="s">
        <v>878</v>
      </c>
      <c r="C235" s="11"/>
      <c r="D235" s="11" t="s">
        <v>879</v>
      </c>
      <c r="E235" s="11">
        <f xml:space="preserve"> IF($U$235,1,0)</f>
        <v>1</v>
      </c>
      <c r="F235" s="11" t="s">
        <v>880</v>
      </c>
      <c r="G235" s="11">
        <v>2</v>
      </c>
      <c r="H235" s="11">
        <v>0</v>
      </c>
      <c r="I235" s="11">
        <v>0</v>
      </c>
      <c r="J235" s="11">
        <v>0</v>
      </c>
      <c r="K235" s="11">
        <v>0</v>
      </c>
      <c r="L235" s="11">
        <v>0</v>
      </c>
      <c r="M235" s="11">
        <v>0</v>
      </c>
      <c r="N235" s="11">
        <v>0</v>
      </c>
      <c r="O235" s="11">
        <v>0</v>
      </c>
      <c r="P235" s="11">
        <v>0</v>
      </c>
      <c r="Q235" s="12">
        <v>0</v>
      </c>
      <c r="R235" s="12">
        <v>0</v>
      </c>
      <c r="S235" s="12">
        <f>$G$235*$G$8+$H$235*$H$8+$I$235*$I$8+$J$235*$J$8+$K$235*$K$8+$L$235*$L$8+$M$235*$M$8+$N$235*$N$8+$O$235*$O$8+$P$235*$P$8</f>
        <v>1.4</v>
      </c>
      <c r="T235" s="12">
        <f>SUM($Q$235:$R$235)</f>
        <v>0</v>
      </c>
      <c r="U235" s="12">
        <f>$S$235+$T$235</f>
        <v>1.4</v>
      </c>
    </row>
    <row r="236" spans="1:21" x14ac:dyDescent="0.3">
      <c r="A236" s="13" t="s">
        <v>881</v>
      </c>
      <c r="B236" s="14" t="s">
        <v>882</v>
      </c>
      <c r="C236" s="14"/>
      <c r="D236" s="14" t="s">
        <v>883</v>
      </c>
      <c r="E236" s="14">
        <f xml:space="preserve"> IF($U$236,1,0)</f>
        <v>1</v>
      </c>
      <c r="F236" s="14" t="s">
        <v>884</v>
      </c>
      <c r="G236" s="14">
        <v>3</v>
      </c>
      <c r="H236" s="14">
        <v>2</v>
      </c>
      <c r="I236" s="14">
        <v>0</v>
      </c>
      <c r="J236" s="14">
        <v>0</v>
      </c>
      <c r="K236" s="14">
        <v>0</v>
      </c>
      <c r="L236" s="14">
        <v>0</v>
      </c>
      <c r="M236" s="14">
        <v>0</v>
      </c>
      <c r="N236" s="14">
        <v>0</v>
      </c>
      <c r="O236" s="14">
        <v>0</v>
      </c>
      <c r="P236" s="14">
        <v>0</v>
      </c>
      <c r="Q236" s="15">
        <v>0</v>
      </c>
      <c r="R236" s="15">
        <v>0</v>
      </c>
      <c r="S236" s="15">
        <f>$G$236*$G$8+$H$236*$H$8+$I$236*$I$8+$J$236*$J$8+$K$236*$K$8+$L$236*$L$8+$M$236*$M$8+$N$236*$N$8+$O$236*$O$8+$P$236*$P$8</f>
        <v>5.6999999999999993</v>
      </c>
      <c r="T236" s="15">
        <f>SUM($Q$236:$R$236)</f>
        <v>0</v>
      </c>
      <c r="U236" s="15">
        <f>$S$236+$T$236</f>
        <v>5.6999999999999993</v>
      </c>
    </row>
    <row r="237" spans="1:21" x14ac:dyDescent="0.3">
      <c r="A237" s="10" t="s">
        <v>885</v>
      </c>
      <c r="B237" s="11" t="s">
        <v>886</v>
      </c>
      <c r="C237" s="11" t="s">
        <v>887</v>
      </c>
      <c r="D237" s="11" t="s">
        <v>888</v>
      </c>
      <c r="E237" s="11">
        <f xml:space="preserve"> IF($U$237,1,0)</f>
        <v>0</v>
      </c>
      <c r="F237" s="11" t="s">
        <v>889</v>
      </c>
      <c r="G237" s="11">
        <v>0</v>
      </c>
      <c r="H237" s="11">
        <v>0</v>
      </c>
      <c r="I237" s="11">
        <v>0</v>
      </c>
      <c r="J237" s="11">
        <v>0</v>
      </c>
      <c r="K237" s="11">
        <v>0</v>
      </c>
      <c r="L237" s="11">
        <v>0</v>
      </c>
      <c r="M237" s="11">
        <v>0</v>
      </c>
      <c r="N237" s="11">
        <v>0</v>
      </c>
      <c r="O237" s="11">
        <v>0</v>
      </c>
      <c r="P237" s="11">
        <v>0</v>
      </c>
      <c r="Q237" s="12">
        <v>0</v>
      </c>
      <c r="R237" s="12">
        <v>0</v>
      </c>
      <c r="S237" s="12">
        <f>$G$237*$G$8+$H$237*$H$8+$I$237*$I$8+$J$237*$J$8+$K$237*$K$8+$L$237*$L$8+$M$237*$M$8+$N$237*$N$8+$O$237*$O$8+$P$237*$P$8</f>
        <v>0</v>
      </c>
      <c r="T237" s="12">
        <f>SUM($Q$237:$R$237)</f>
        <v>0</v>
      </c>
      <c r="U237" s="12">
        <f>$S$237+$T$237</f>
        <v>0</v>
      </c>
    </row>
    <row r="238" spans="1:21" x14ac:dyDescent="0.3">
      <c r="A238" s="13" t="s">
        <v>890</v>
      </c>
      <c r="B238" s="14" t="s">
        <v>886</v>
      </c>
      <c r="C238" s="14"/>
      <c r="D238" s="14" t="s">
        <v>891</v>
      </c>
      <c r="E238" s="14">
        <f xml:space="preserve"> IF($U$238,1,0)</f>
        <v>0</v>
      </c>
      <c r="F238" s="14" t="s">
        <v>892</v>
      </c>
      <c r="G238" s="14">
        <v>0</v>
      </c>
      <c r="H238" s="14">
        <v>0</v>
      </c>
      <c r="I238" s="14">
        <v>0</v>
      </c>
      <c r="J238" s="14">
        <v>0</v>
      </c>
      <c r="K238" s="14">
        <v>0</v>
      </c>
      <c r="L238" s="14">
        <v>0</v>
      </c>
      <c r="M238" s="14">
        <v>0</v>
      </c>
      <c r="N238" s="14">
        <v>0</v>
      </c>
      <c r="O238" s="14">
        <v>0</v>
      </c>
      <c r="P238" s="14">
        <v>0</v>
      </c>
      <c r="Q238" s="15">
        <v>0</v>
      </c>
      <c r="R238" s="15">
        <v>0</v>
      </c>
      <c r="S238" s="15">
        <f>$G$238*$G$8+$H$238*$H$8+$I$238*$I$8+$J$238*$J$8+$K$238*$K$8+$L$238*$L$8+$M$238*$M$8+$N$238*$N$8+$O$238*$O$8+$P$238*$P$8</f>
        <v>0</v>
      </c>
      <c r="T238" s="15">
        <f>SUM($Q$238:$R$238)</f>
        <v>0</v>
      </c>
      <c r="U238" s="15">
        <f>$S$238+$T$238</f>
        <v>0</v>
      </c>
    </row>
    <row r="239" spans="1:21" x14ac:dyDescent="0.3">
      <c r="A239" s="10" t="s">
        <v>893</v>
      </c>
      <c r="B239" s="11" t="s">
        <v>894</v>
      </c>
      <c r="C239" s="11"/>
      <c r="D239" s="11" t="s">
        <v>895</v>
      </c>
      <c r="E239" s="11">
        <f xml:space="preserve"> IF($U$239,1,0)</f>
        <v>0</v>
      </c>
      <c r="F239" s="11" t="s">
        <v>896</v>
      </c>
      <c r="G239" s="11">
        <v>0</v>
      </c>
      <c r="H239" s="11">
        <v>0</v>
      </c>
      <c r="I239" s="11">
        <v>0</v>
      </c>
      <c r="J239" s="11">
        <v>0</v>
      </c>
      <c r="K239" s="11">
        <v>0</v>
      </c>
      <c r="L239" s="11">
        <v>0</v>
      </c>
      <c r="M239" s="11">
        <v>0</v>
      </c>
      <c r="N239" s="11">
        <v>0</v>
      </c>
      <c r="O239" s="11">
        <v>0</v>
      </c>
      <c r="P239" s="11">
        <v>0</v>
      </c>
      <c r="Q239" s="12">
        <v>0</v>
      </c>
      <c r="R239" s="12">
        <v>0</v>
      </c>
      <c r="S239" s="12">
        <f>$G$239*$G$8+$H$239*$H$8+$I$239*$I$8+$J$239*$J$8+$K$239*$K$8+$L$239*$L$8+$M$239*$M$8+$N$239*$N$8+$O$239*$O$8+$P$239*$P$8</f>
        <v>0</v>
      </c>
      <c r="T239" s="12">
        <f>SUM($Q$239:$R$239)</f>
        <v>0</v>
      </c>
      <c r="U239" s="12">
        <f>$S$239+$T$239</f>
        <v>0</v>
      </c>
    </row>
    <row r="240" spans="1:21" x14ac:dyDescent="0.3">
      <c r="A240" s="13" t="s">
        <v>897</v>
      </c>
      <c r="B240" s="14" t="s">
        <v>898</v>
      </c>
      <c r="C240" s="14"/>
      <c r="D240" s="14" t="s">
        <v>899</v>
      </c>
      <c r="E240" s="14">
        <f xml:space="preserve"> IF($U$240,1,0)</f>
        <v>0</v>
      </c>
      <c r="F240" s="14" t="s">
        <v>900</v>
      </c>
      <c r="G240" s="14">
        <v>0</v>
      </c>
      <c r="H240" s="14">
        <v>0</v>
      </c>
      <c r="I240" s="14">
        <v>0</v>
      </c>
      <c r="J240" s="14">
        <v>0</v>
      </c>
      <c r="K240" s="14">
        <v>0</v>
      </c>
      <c r="L240" s="14">
        <v>0</v>
      </c>
      <c r="M240" s="14">
        <v>0</v>
      </c>
      <c r="N240" s="14">
        <v>0</v>
      </c>
      <c r="O240" s="14">
        <v>0</v>
      </c>
      <c r="P240" s="14">
        <v>0</v>
      </c>
      <c r="Q240" s="15">
        <v>0</v>
      </c>
      <c r="R240" s="15">
        <v>0</v>
      </c>
      <c r="S240" s="15">
        <f>$G$240*$G$8+$H$240*$H$8+$I$240*$I$8+$J$240*$J$8+$K$240*$K$8+$L$240*$L$8+$M$240*$M$8+$N$240*$N$8+$O$240*$O$8+$P$240*$P$8</f>
        <v>0</v>
      </c>
      <c r="T240" s="15">
        <f>SUM($Q$240:$R$240)</f>
        <v>0</v>
      </c>
      <c r="U240" s="15">
        <f>$S$240+$T$240</f>
        <v>0</v>
      </c>
    </row>
    <row r="241" spans="1:21" x14ac:dyDescent="0.3">
      <c r="A241" s="10" t="s">
        <v>901</v>
      </c>
      <c r="B241" s="11" t="s">
        <v>902</v>
      </c>
      <c r="C241" s="11"/>
      <c r="D241" s="11" t="s">
        <v>903</v>
      </c>
      <c r="E241" s="11">
        <f xml:space="preserve"> IF($U$241,1,0)</f>
        <v>0</v>
      </c>
      <c r="F241" s="11" t="s">
        <v>904</v>
      </c>
      <c r="G241" s="11">
        <v>0</v>
      </c>
      <c r="H241" s="11">
        <v>0</v>
      </c>
      <c r="I241" s="11">
        <v>0</v>
      </c>
      <c r="J241" s="11">
        <v>0</v>
      </c>
      <c r="K241" s="11">
        <v>0</v>
      </c>
      <c r="L241" s="11">
        <v>0</v>
      </c>
      <c r="M241" s="11">
        <v>0</v>
      </c>
      <c r="N241" s="11">
        <v>0</v>
      </c>
      <c r="O241" s="11">
        <v>0</v>
      </c>
      <c r="P241" s="11">
        <v>0</v>
      </c>
      <c r="Q241" s="12">
        <v>0</v>
      </c>
      <c r="R241" s="12">
        <v>0</v>
      </c>
      <c r="S241" s="12">
        <f>$G$241*$G$8+$H$241*$H$8+$I$241*$I$8+$J$241*$J$8+$K$241*$K$8+$L$241*$L$8+$M$241*$M$8+$N$241*$N$8+$O$241*$O$8+$P$241*$P$8</f>
        <v>0</v>
      </c>
      <c r="T241" s="12">
        <f>SUM($Q$241:$R$241)</f>
        <v>0</v>
      </c>
      <c r="U241" s="12">
        <f>$S$241+$T$241</f>
        <v>0</v>
      </c>
    </row>
    <row r="242" spans="1:21" x14ac:dyDescent="0.3">
      <c r="A242" s="13" t="s">
        <v>905</v>
      </c>
      <c r="B242" s="14" t="s">
        <v>906</v>
      </c>
      <c r="C242" s="14" t="s">
        <v>283</v>
      </c>
      <c r="D242" s="14" t="s">
        <v>296</v>
      </c>
      <c r="E242" s="14">
        <f xml:space="preserve"> IF($U$242,1,0)</f>
        <v>0</v>
      </c>
      <c r="F242" s="14" t="s">
        <v>907</v>
      </c>
      <c r="G242" s="14">
        <v>0</v>
      </c>
      <c r="H242" s="14">
        <v>0</v>
      </c>
      <c r="I242" s="14">
        <v>0</v>
      </c>
      <c r="J242" s="14">
        <v>0</v>
      </c>
      <c r="K242" s="14">
        <v>0</v>
      </c>
      <c r="L242" s="14">
        <v>0</v>
      </c>
      <c r="M242" s="14">
        <v>0</v>
      </c>
      <c r="N242" s="14">
        <v>0</v>
      </c>
      <c r="O242" s="14">
        <v>0</v>
      </c>
      <c r="P242" s="14">
        <v>0</v>
      </c>
      <c r="Q242" s="15">
        <v>0</v>
      </c>
      <c r="R242" s="15">
        <v>0</v>
      </c>
      <c r="S242" s="15">
        <f>$G$242*$G$8+$H$242*$H$8+$I$242*$I$8+$J$242*$J$8+$K$242*$K$8+$L$242*$L$8+$M$242*$M$8+$N$242*$N$8+$O$242*$O$8+$P$242*$P$8</f>
        <v>0</v>
      </c>
      <c r="T242" s="15">
        <f>SUM($Q$242:$R$242)</f>
        <v>0</v>
      </c>
      <c r="U242" s="15">
        <f>$S$242+$T$242</f>
        <v>0</v>
      </c>
    </row>
    <row r="243" spans="1:21" x14ac:dyDescent="0.3">
      <c r="A243" s="10" t="s">
        <v>908</v>
      </c>
      <c r="B243" s="11" t="s">
        <v>909</v>
      </c>
      <c r="C243" s="11"/>
      <c r="D243" s="11" t="s">
        <v>910</v>
      </c>
      <c r="E243" s="11">
        <f xml:space="preserve"> IF($U$243,1,0)</f>
        <v>0</v>
      </c>
      <c r="F243" s="11" t="s">
        <v>911</v>
      </c>
      <c r="G243" s="11">
        <v>0</v>
      </c>
      <c r="H243" s="11">
        <v>0</v>
      </c>
      <c r="I243" s="11">
        <v>0</v>
      </c>
      <c r="J243" s="11">
        <v>0</v>
      </c>
      <c r="K243" s="11">
        <v>0</v>
      </c>
      <c r="L243" s="11">
        <v>0</v>
      </c>
      <c r="M243" s="11">
        <v>0</v>
      </c>
      <c r="N243" s="11">
        <v>0</v>
      </c>
      <c r="O243" s="11">
        <v>0</v>
      </c>
      <c r="P243" s="11">
        <v>0</v>
      </c>
      <c r="Q243" s="12">
        <v>0</v>
      </c>
      <c r="R243" s="12">
        <v>0</v>
      </c>
      <c r="S243" s="12">
        <f>$G$243*$G$8+$H$243*$H$8+$I$243*$I$8+$J$243*$J$8+$K$243*$K$8+$L$243*$L$8+$M$243*$M$8+$N$243*$N$8+$O$243*$O$8+$P$243*$P$8</f>
        <v>0</v>
      </c>
      <c r="T243" s="12">
        <f>SUM($Q$243:$R$243)</f>
        <v>0</v>
      </c>
      <c r="U243" s="12">
        <f>$S$243+$T$243</f>
        <v>0</v>
      </c>
    </row>
    <row r="244" spans="1:21" x14ac:dyDescent="0.3">
      <c r="A244" s="13" t="s">
        <v>912</v>
      </c>
      <c r="B244" s="14" t="s">
        <v>913</v>
      </c>
      <c r="C244" s="14" t="s">
        <v>65</v>
      </c>
      <c r="D244" s="14" t="s">
        <v>914</v>
      </c>
      <c r="E244" s="14">
        <f xml:space="preserve"> IF($U$244,1,0)</f>
        <v>1</v>
      </c>
      <c r="F244" s="14" t="s">
        <v>915</v>
      </c>
      <c r="G244" s="14">
        <v>8</v>
      </c>
      <c r="H244" s="14">
        <v>0</v>
      </c>
      <c r="I244" s="14">
        <v>0</v>
      </c>
      <c r="J244" s="14">
        <v>0</v>
      </c>
      <c r="K244" s="14">
        <v>0</v>
      </c>
      <c r="L244" s="14">
        <v>0</v>
      </c>
      <c r="M244" s="14">
        <v>0</v>
      </c>
      <c r="N244" s="14">
        <v>0</v>
      </c>
      <c r="O244" s="14">
        <v>0</v>
      </c>
      <c r="P244" s="14">
        <v>0</v>
      </c>
      <c r="Q244" s="15">
        <v>0</v>
      </c>
      <c r="R244" s="15">
        <v>0</v>
      </c>
      <c r="S244" s="15">
        <f>$G$244*$G$8+$H$244*$H$8+$I$244*$I$8+$J$244*$J$8+$K$244*$K$8+$L$244*$L$8+$M$244*$M$8+$N$244*$N$8+$O$244*$O$8+$P$244*$P$8</f>
        <v>5.6</v>
      </c>
      <c r="T244" s="15">
        <f>SUM($Q$244:$R$244)</f>
        <v>0</v>
      </c>
      <c r="U244" s="15">
        <f>$S$244+$T$244</f>
        <v>5.6</v>
      </c>
    </row>
    <row r="245" spans="1:21" x14ac:dyDescent="0.3">
      <c r="A245" s="10" t="s">
        <v>916</v>
      </c>
      <c r="B245" s="11" t="s">
        <v>917</v>
      </c>
      <c r="C245" s="11"/>
      <c r="D245" s="11" t="s">
        <v>918</v>
      </c>
      <c r="E245" s="11">
        <f xml:space="preserve"> IF($U$245,1,0)</f>
        <v>0</v>
      </c>
      <c r="F245" s="11" t="s">
        <v>919</v>
      </c>
      <c r="G245" s="11">
        <v>0</v>
      </c>
      <c r="H245" s="11">
        <v>0</v>
      </c>
      <c r="I245" s="11">
        <v>0</v>
      </c>
      <c r="J245" s="11">
        <v>0</v>
      </c>
      <c r="K245" s="11">
        <v>0</v>
      </c>
      <c r="L245" s="11">
        <v>0</v>
      </c>
      <c r="M245" s="11">
        <v>0</v>
      </c>
      <c r="N245" s="11">
        <v>0</v>
      </c>
      <c r="O245" s="11">
        <v>0</v>
      </c>
      <c r="P245" s="11">
        <v>0</v>
      </c>
      <c r="Q245" s="12">
        <v>0</v>
      </c>
      <c r="R245" s="12">
        <v>0</v>
      </c>
      <c r="S245" s="12">
        <f>$G$245*$G$8+$H$245*$H$8+$I$245*$I$8+$J$245*$J$8+$K$245*$K$8+$L$245*$L$8+$M$245*$M$8+$N$245*$N$8+$O$245*$O$8+$P$245*$P$8</f>
        <v>0</v>
      </c>
      <c r="T245" s="12">
        <f>SUM($Q$245:$R$245)</f>
        <v>0</v>
      </c>
      <c r="U245" s="12">
        <f>$S$245+$T$245</f>
        <v>0</v>
      </c>
    </row>
    <row r="246" spans="1:21" x14ac:dyDescent="0.3">
      <c r="A246" s="13" t="s">
        <v>920</v>
      </c>
      <c r="B246" s="14" t="s">
        <v>917</v>
      </c>
      <c r="C246" s="14"/>
      <c r="D246" s="14" t="s">
        <v>921</v>
      </c>
      <c r="E246" s="14">
        <f xml:space="preserve"> IF($U$246,1,0)</f>
        <v>0</v>
      </c>
      <c r="F246" s="14" t="s">
        <v>922</v>
      </c>
      <c r="G246" s="14">
        <v>0</v>
      </c>
      <c r="H246" s="14">
        <v>0</v>
      </c>
      <c r="I246" s="14">
        <v>0</v>
      </c>
      <c r="J246" s="14">
        <v>0</v>
      </c>
      <c r="K246" s="14">
        <v>0</v>
      </c>
      <c r="L246" s="14">
        <v>0</v>
      </c>
      <c r="M246" s="14">
        <v>0</v>
      </c>
      <c r="N246" s="14">
        <v>0</v>
      </c>
      <c r="O246" s="14">
        <v>0</v>
      </c>
      <c r="P246" s="14">
        <v>0</v>
      </c>
      <c r="Q246" s="15">
        <v>0</v>
      </c>
      <c r="R246" s="15">
        <v>0</v>
      </c>
      <c r="S246" s="15">
        <f>$G$246*$G$8+$H$246*$H$8+$I$246*$I$8+$J$246*$J$8+$K$246*$K$8+$L$246*$L$8+$M$246*$M$8+$N$246*$N$8+$O$246*$O$8+$P$246*$P$8</f>
        <v>0</v>
      </c>
      <c r="T246" s="15">
        <f>SUM($Q$246:$R$246)</f>
        <v>0</v>
      </c>
      <c r="U246" s="15">
        <f>$S$246+$T$246</f>
        <v>0</v>
      </c>
    </row>
    <row r="247" spans="1:21" x14ac:dyDescent="0.3">
      <c r="A247" s="10" t="s">
        <v>923</v>
      </c>
      <c r="B247" s="11" t="s">
        <v>917</v>
      </c>
      <c r="C247" s="11" t="s">
        <v>34</v>
      </c>
      <c r="D247" s="11" t="s">
        <v>924</v>
      </c>
      <c r="E247" s="11">
        <f xml:space="preserve"> IF($U$247,1,0)</f>
        <v>0</v>
      </c>
      <c r="F247" s="11" t="s">
        <v>925</v>
      </c>
      <c r="G247" s="11">
        <v>0</v>
      </c>
      <c r="H247" s="11">
        <v>0</v>
      </c>
      <c r="I247" s="11">
        <v>0</v>
      </c>
      <c r="J247" s="11">
        <v>0</v>
      </c>
      <c r="K247" s="11">
        <v>0</v>
      </c>
      <c r="L247" s="11">
        <v>0</v>
      </c>
      <c r="M247" s="11">
        <v>0</v>
      </c>
      <c r="N247" s="11">
        <v>0</v>
      </c>
      <c r="O247" s="11">
        <v>0</v>
      </c>
      <c r="P247" s="11">
        <v>0</v>
      </c>
      <c r="Q247" s="12">
        <v>0</v>
      </c>
      <c r="R247" s="12">
        <v>0</v>
      </c>
      <c r="S247" s="12">
        <f>$G$247*$G$8+$H$247*$H$8+$I$247*$I$8+$J$247*$J$8+$K$247*$K$8+$L$247*$L$8+$M$247*$M$8+$N$247*$N$8+$O$247*$O$8+$P$247*$P$8</f>
        <v>0</v>
      </c>
      <c r="T247" s="12">
        <f>SUM($Q$247:$R$247)</f>
        <v>0</v>
      </c>
      <c r="U247" s="12">
        <f>$S$247+$T$247</f>
        <v>0</v>
      </c>
    </row>
    <row r="248" spans="1:21" x14ac:dyDescent="0.3">
      <c r="A248" s="13" t="s">
        <v>926</v>
      </c>
      <c r="B248" s="14" t="s">
        <v>927</v>
      </c>
      <c r="C248" s="14"/>
      <c r="D248" s="14" t="s">
        <v>928</v>
      </c>
      <c r="E248" s="14">
        <f xml:space="preserve"> IF($U$248,1,0)</f>
        <v>0</v>
      </c>
      <c r="F248" s="14" t="s">
        <v>929</v>
      </c>
      <c r="G248" s="14">
        <v>0</v>
      </c>
      <c r="H248" s="14">
        <v>0</v>
      </c>
      <c r="I248" s="14">
        <v>0</v>
      </c>
      <c r="J248" s="14">
        <v>0</v>
      </c>
      <c r="K248" s="14">
        <v>0</v>
      </c>
      <c r="L248" s="14">
        <v>0</v>
      </c>
      <c r="M248" s="14">
        <v>0</v>
      </c>
      <c r="N248" s="14">
        <v>0</v>
      </c>
      <c r="O248" s="14">
        <v>0</v>
      </c>
      <c r="P248" s="14">
        <v>0</v>
      </c>
      <c r="Q248" s="15">
        <v>0</v>
      </c>
      <c r="R248" s="15">
        <v>0</v>
      </c>
      <c r="S248" s="15">
        <f>$G$248*$G$8+$H$248*$H$8+$I$248*$I$8+$J$248*$J$8+$K$248*$K$8+$L$248*$L$8+$M$248*$M$8+$N$248*$N$8+$O$248*$O$8+$P$248*$P$8</f>
        <v>0</v>
      </c>
      <c r="T248" s="15">
        <f>SUM($Q$248:$R$248)</f>
        <v>0</v>
      </c>
      <c r="U248" s="15">
        <f>$S$248+$T$248</f>
        <v>0</v>
      </c>
    </row>
    <row r="249" spans="1:21" x14ac:dyDescent="0.3">
      <c r="A249" s="10" t="s">
        <v>930</v>
      </c>
      <c r="B249" s="11" t="s">
        <v>931</v>
      </c>
      <c r="C249" s="11"/>
      <c r="D249" s="11" t="s">
        <v>932</v>
      </c>
      <c r="E249" s="11">
        <f xml:space="preserve"> IF($U$249,1,0)</f>
        <v>0</v>
      </c>
      <c r="F249" s="11" t="s">
        <v>933</v>
      </c>
      <c r="G249" s="11">
        <v>0</v>
      </c>
      <c r="H249" s="11">
        <v>0</v>
      </c>
      <c r="I249" s="11">
        <v>0</v>
      </c>
      <c r="J249" s="11">
        <v>0</v>
      </c>
      <c r="K249" s="11">
        <v>0</v>
      </c>
      <c r="L249" s="11">
        <v>0</v>
      </c>
      <c r="M249" s="11">
        <v>0</v>
      </c>
      <c r="N249" s="11">
        <v>0</v>
      </c>
      <c r="O249" s="11">
        <v>0</v>
      </c>
      <c r="P249" s="11">
        <v>0</v>
      </c>
      <c r="Q249" s="12">
        <v>0</v>
      </c>
      <c r="R249" s="12">
        <v>0</v>
      </c>
      <c r="S249" s="12">
        <f>$G$249*$G$8+$H$249*$H$8+$I$249*$I$8+$J$249*$J$8+$K$249*$K$8+$L$249*$L$8+$M$249*$M$8+$N$249*$N$8+$O$249*$O$8+$P$249*$P$8</f>
        <v>0</v>
      </c>
      <c r="T249" s="12">
        <f>SUM($Q$249:$R$249)</f>
        <v>0</v>
      </c>
      <c r="U249" s="12">
        <f>$S$249+$T$249</f>
        <v>0</v>
      </c>
    </row>
    <row r="250" spans="1:21" x14ac:dyDescent="0.3">
      <c r="A250" s="13" t="s">
        <v>934</v>
      </c>
      <c r="B250" s="14" t="s">
        <v>935</v>
      </c>
      <c r="C250" s="14"/>
      <c r="D250" s="14" t="s">
        <v>936</v>
      </c>
      <c r="E250" s="14">
        <f xml:space="preserve"> IF($U$250,1,0)</f>
        <v>0</v>
      </c>
      <c r="F250" s="14" t="s">
        <v>937</v>
      </c>
      <c r="G250" s="14">
        <v>0</v>
      </c>
      <c r="H250" s="14">
        <v>0</v>
      </c>
      <c r="I250" s="14">
        <v>0</v>
      </c>
      <c r="J250" s="14">
        <v>0</v>
      </c>
      <c r="K250" s="14">
        <v>0</v>
      </c>
      <c r="L250" s="14">
        <v>0</v>
      </c>
      <c r="M250" s="14">
        <v>0</v>
      </c>
      <c r="N250" s="14">
        <v>0</v>
      </c>
      <c r="O250" s="14">
        <v>0</v>
      </c>
      <c r="P250" s="14">
        <v>0</v>
      </c>
      <c r="Q250" s="15">
        <v>0</v>
      </c>
      <c r="R250" s="15">
        <v>0</v>
      </c>
      <c r="S250" s="15">
        <f>$G$250*$G$8+$H$250*$H$8+$I$250*$I$8+$J$250*$J$8+$K$250*$K$8+$L$250*$L$8+$M$250*$M$8+$N$250*$N$8+$O$250*$O$8+$P$250*$P$8</f>
        <v>0</v>
      </c>
      <c r="T250" s="15">
        <f>SUM($Q$250:$R$250)</f>
        <v>0</v>
      </c>
      <c r="U250" s="15">
        <f>$S$250+$T$250</f>
        <v>0</v>
      </c>
    </row>
    <row r="251" spans="1:21" x14ac:dyDescent="0.3">
      <c r="A251" s="10" t="s">
        <v>938</v>
      </c>
      <c r="B251" s="11" t="s">
        <v>939</v>
      </c>
      <c r="C251" s="11"/>
      <c r="D251" s="11" t="s">
        <v>940</v>
      </c>
      <c r="E251" s="11">
        <f xml:space="preserve"> IF($U$251,1,0)</f>
        <v>1</v>
      </c>
      <c r="F251" s="11" t="s">
        <v>941</v>
      </c>
      <c r="G251" s="11">
        <v>0</v>
      </c>
      <c r="H251" s="11">
        <v>4</v>
      </c>
      <c r="I251" s="11">
        <v>1</v>
      </c>
      <c r="J251" s="11">
        <v>0</v>
      </c>
      <c r="K251" s="11">
        <v>0</v>
      </c>
      <c r="L251" s="11">
        <v>0</v>
      </c>
      <c r="M251" s="11">
        <v>0</v>
      </c>
      <c r="N251" s="11">
        <v>0</v>
      </c>
      <c r="O251" s="11">
        <v>1</v>
      </c>
      <c r="P251" s="11">
        <v>1</v>
      </c>
      <c r="Q251" s="12">
        <v>0</v>
      </c>
      <c r="R251" s="12">
        <v>0</v>
      </c>
      <c r="S251" s="12">
        <f>$G$251*$G$8+$H$251*$H$8+$I$251*$I$8+$J$251*$J$8+$K$251*$K$8+$L$251*$L$8+$M$251*$M$8+$N$251*$N$8+$O$251*$O$8+$P$251*$P$8</f>
        <v>9.6999999999999993</v>
      </c>
      <c r="T251" s="12">
        <f>SUM($Q$251:$R$251)</f>
        <v>0</v>
      </c>
      <c r="U251" s="12">
        <f>$S$251+$T$251</f>
        <v>9.6999999999999993</v>
      </c>
    </row>
    <row r="252" spans="1:21" x14ac:dyDescent="0.3">
      <c r="A252" s="13" t="s">
        <v>942</v>
      </c>
      <c r="B252" s="14" t="s">
        <v>943</v>
      </c>
      <c r="C252" s="14"/>
      <c r="D252" s="14" t="s">
        <v>944</v>
      </c>
      <c r="E252" s="14">
        <f xml:space="preserve"> IF($U$252,1,0)</f>
        <v>0</v>
      </c>
      <c r="F252" s="14" t="s">
        <v>945</v>
      </c>
      <c r="G252" s="14">
        <v>0</v>
      </c>
      <c r="H252" s="14">
        <v>0</v>
      </c>
      <c r="I252" s="14">
        <v>0</v>
      </c>
      <c r="J252" s="14">
        <v>0</v>
      </c>
      <c r="K252" s="14">
        <v>0</v>
      </c>
      <c r="L252" s="14">
        <v>0</v>
      </c>
      <c r="M252" s="14">
        <v>0</v>
      </c>
      <c r="N252" s="14">
        <v>0</v>
      </c>
      <c r="O252" s="14">
        <v>0</v>
      </c>
      <c r="P252" s="14">
        <v>0</v>
      </c>
      <c r="Q252" s="15">
        <v>0</v>
      </c>
      <c r="R252" s="15">
        <v>0</v>
      </c>
      <c r="S252" s="15">
        <f>$G$252*$G$8+$H$252*$H$8+$I$252*$I$8+$J$252*$J$8+$K$252*$K$8+$L$252*$L$8+$M$252*$M$8+$N$252*$N$8+$O$252*$O$8+$P$252*$P$8</f>
        <v>0</v>
      </c>
      <c r="T252" s="15">
        <f>SUM($Q$252:$R$252)</f>
        <v>0</v>
      </c>
      <c r="U252" s="15">
        <f>$S$252+$T$252</f>
        <v>0</v>
      </c>
    </row>
    <row r="253" spans="1:21" x14ac:dyDescent="0.3">
      <c r="A253" s="10" t="s">
        <v>946</v>
      </c>
      <c r="B253" s="11" t="s">
        <v>947</v>
      </c>
      <c r="C253" s="11"/>
      <c r="D253" s="11" t="s">
        <v>948</v>
      </c>
      <c r="E253" s="11">
        <f xml:space="preserve"> IF($U$253,1,0)</f>
        <v>1</v>
      </c>
      <c r="F253" s="11" t="s">
        <v>949</v>
      </c>
      <c r="G253" s="11">
        <v>3</v>
      </c>
      <c r="H253" s="11">
        <v>0</v>
      </c>
      <c r="I253" s="11">
        <v>0</v>
      </c>
      <c r="J253" s="11">
        <v>0</v>
      </c>
      <c r="K253" s="11">
        <v>0</v>
      </c>
      <c r="L253" s="11">
        <v>0</v>
      </c>
      <c r="M253" s="11">
        <v>0</v>
      </c>
      <c r="N253" s="11">
        <v>0</v>
      </c>
      <c r="O253" s="11">
        <v>0</v>
      </c>
      <c r="P253" s="11">
        <v>0</v>
      </c>
      <c r="Q253" s="12">
        <v>0</v>
      </c>
      <c r="R253" s="12">
        <v>0</v>
      </c>
      <c r="S253" s="12">
        <f>$G$253*$G$8+$H$253*$H$8+$I$253*$I$8+$J$253*$J$8+$K$253*$K$8+$L$253*$L$8+$M$253*$M$8+$N$253*$N$8+$O$253*$O$8+$P$253*$P$8</f>
        <v>2.0999999999999996</v>
      </c>
      <c r="T253" s="12">
        <f>SUM($Q$253:$R$253)</f>
        <v>0</v>
      </c>
      <c r="U253" s="12">
        <f>$S$253+$T$253</f>
        <v>2.0999999999999996</v>
      </c>
    </row>
    <row r="254" spans="1:21" x14ac:dyDescent="0.3">
      <c r="A254" s="13" t="s">
        <v>950</v>
      </c>
      <c r="B254" s="14" t="s">
        <v>951</v>
      </c>
      <c r="C254" s="14" t="s">
        <v>34</v>
      </c>
      <c r="D254" s="14" t="s">
        <v>118</v>
      </c>
      <c r="E254" s="14">
        <f xml:space="preserve"> IF($U$254,1,0)</f>
        <v>0</v>
      </c>
      <c r="F254" s="14" t="s">
        <v>952</v>
      </c>
      <c r="G254" s="14">
        <v>0</v>
      </c>
      <c r="H254" s="14">
        <v>0</v>
      </c>
      <c r="I254" s="14">
        <v>0</v>
      </c>
      <c r="J254" s="14">
        <v>0</v>
      </c>
      <c r="K254" s="14">
        <v>0</v>
      </c>
      <c r="L254" s="14">
        <v>0</v>
      </c>
      <c r="M254" s="14">
        <v>0</v>
      </c>
      <c r="N254" s="14">
        <v>0</v>
      </c>
      <c r="O254" s="14">
        <v>0</v>
      </c>
      <c r="P254" s="14">
        <v>0</v>
      </c>
      <c r="Q254" s="15">
        <v>0</v>
      </c>
      <c r="R254" s="15">
        <v>0</v>
      </c>
      <c r="S254" s="15">
        <f>$G$254*$G$8+$H$254*$H$8+$I$254*$I$8+$J$254*$J$8+$K$254*$K$8+$L$254*$L$8+$M$254*$M$8+$N$254*$N$8+$O$254*$O$8+$P$254*$P$8</f>
        <v>0</v>
      </c>
      <c r="T254" s="15">
        <f>SUM($Q$254:$R$254)</f>
        <v>0</v>
      </c>
      <c r="U254" s="15">
        <f>$S$254+$T$254</f>
        <v>0</v>
      </c>
    </row>
    <row r="255" spans="1:21" x14ac:dyDescent="0.3">
      <c r="A255" s="10" t="s">
        <v>953</v>
      </c>
      <c r="B255" s="11" t="s">
        <v>954</v>
      </c>
      <c r="C255" s="11"/>
      <c r="D255" s="11" t="s">
        <v>955</v>
      </c>
      <c r="E255" s="11">
        <f xml:space="preserve"> IF($U$255,1,0)</f>
        <v>1</v>
      </c>
      <c r="F255" s="11" t="s">
        <v>956</v>
      </c>
      <c r="G255" s="11">
        <v>8</v>
      </c>
      <c r="H255" s="11">
        <v>0</v>
      </c>
      <c r="I255" s="11">
        <v>0</v>
      </c>
      <c r="J255" s="11">
        <v>0</v>
      </c>
      <c r="K255" s="11">
        <v>0</v>
      </c>
      <c r="L255" s="11">
        <v>0</v>
      </c>
      <c r="M255" s="11">
        <v>0</v>
      </c>
      <c r="N255" s="11">
        <v>0</v>
      </c>
      <c r="O255" s="11">
        <v>0</v>
      </c>
      <c r="P255" s="11">
        <v>0</v>
      </c>
      <c r="Q255" s="12">
        <v>0</v>
      </c>
      <c r="R255" s="12">
        <v>0</v>
      </c>
      <c r="S255" s="12">
        <f>$G$255*$G$8+$H$255*$H$8+$I$255*$I$8+$J$255*$J$8+$K$255*$K$8+$L$255*$L$8+$M$255*$M$8+$N$255*$N$8+$O$255*$O$8+$P$255*$P$8</f>
        <v>5.6</v>
      </c>
      <c r="T255" s="12">
        <f>SUM($Q$255:$R$255)</f>
        <v>0</v>
      </c>
      <c r="U255" s="12">
        <f>$S$255+$T$255</f>
        <v>5.6</v>
      </c>
    </row>
    <row r="256" spans="1:21" x14ac:dyDescent="0.3">
      <c r="A256" s="13" t="s">
        <v>957</v>
      </c>
      <c r="B256" s="14" t="s">
        <v>958</v>
      </c>
      <c r="C256" s="14" t="s">
        <v>65</v>
      </c>
      <c r="D256" s="14" t="s">
        <v>959</v>
      </c>
      <c r="E256" s="14">
        <f xml:space="preserve"> IF($U$256,1,0)</f>
        <v>0</v>
      </c>
      <c r="F256" s="14" t="s">
        <v>960</v>
      </c>
      <c r="G256" s="14">
        <v>0</v>
      </c>
      <c r="H256" s="14">
        <v>0</v>
      </c>
      <c r="I256" s="14">
        <v>0</v>
      </c>
      <c r="J256" s="14">
        <v>0</v>
      </c>
      <c r="K256" s="14">
        <v>0</v>
      </c>
      <c r="L256" s="14">
        <v>0</v>
      </c>
      <c r="M256" s="14">
        <v>0</v>
      </c>
      <c r="N256" s="14">
        <v>0</v>
      </c>
      <c r="O256" s="14">
        <v>0</v>
      </c>
      <c r="P256" s="14">
        <v>0</v>
      </c>
      <c r="Q256" s="15">
        <v>0</v>
      </c>
      <c r="R256" s="15">
        <v>0</v>
      </c>
      <c r="S256" s="15">
        <f>$G$256*$G$8+$H$256*$H$8+$I$256*$I$8+$J$256*$J$8+$K$256*$K$8+$L$256*$L$8+$M$256*$M$8+$N$256*$N$8+$O$256*$O$8+$P$256*$P$8</f>
        <v>0</v>
      </c>
      <c r="T256" s="15">
        <f>SUM($Q$256:$R$256)</f>
        <v>0</v>
      </c>
      <c r="U256" s="15">
        <f>$S$256+$T$256</f>
        <v>0</v>
      </c>
    </row>
    <row r="257" spans="1:21" x14ac:dyDescent="0.3">
      <c r="A257" s="10" t="s">
        <v>961</v>
      </c>
      <c r="B257" s="11" t="s">
        <v>962</v>
      </c>
      <c r="C257" s="11" t="s">
        <v>202</v>
      </c>
      <c r="D257" s="11" t="s">
        <v>963</v>
      </c>
      <c r="E257" s="11">
        <f xml:space="preserve"> IF($U$257,1,0)</f>
        <v>0</v>
      </c>
      <c r="F257" s="11" t="s">
        <v>964</v>
      </c>
      <c r="G257" s="11">
        <v>0</v>
      </c>
      <c r="H257" s="11">
        <v>0</v>
      </c>
      <c r="I257" s="11">
        <v>0</v>
      </c>
      <c r="J257" s="11">
        <v>0</v>
      </c>
      <c r="K257" s="11">
        <v>0</v>
      </c>
      <c r="L257" s="11">
        <v>0</v>
      </c>
      <c r="M257" s="11">
        <v>0</v>
      </c>
      <c r="N257" s="11">
        <v>0</v>
      </c>
      <c r="O257" s="11">
        <v>0</v>
      </c>
      <c r="P257" s="11">
        <v>0</v>
      </c>
      <c r="Q257" s="12">
        <v>0</v>
      </c>
      <c r="R257" s="12">
        <v>0</v>
      </c>
      <c r="S257" s="12">
        <f>$G$257*$G$8+$H$257*$H$8+$I$257*$I$8+$J$257*$J$8+$K$257*$K$8+$L$257*$L$8+$M$257*$M$8+$N$257*$N$8+$O$257*$O$8+$P$257*$P$8</f>
        <v>0</v>
      </c>
      <c r="T257" s="12">
        <f>SUM($Q$257:$R$257)</f>
        <v>0</v>
      </c>
      <c r="U257" s="12">
        <f>$S$257+$T$257</f>
        <v>0</v>
      </c>
    </row>
    <row r="258" spans="1:21" x14ac:dyDescent="0.3">
      <c r="A258" s="13" t="s">
        <v>965</v>
      </c>
      <c r="B258" s="14" t="s">
        <v>966</v>
      </c>
      <c r="C258" s="14"/>
      <c r="D258" s="14" t="s">
        <v>609</v>
      </c>
      <c r="E258" s="14">
        <f xml:space="preserve"> IF($U$258,1,0)</f>
        <v>0</v>
      </c>
      <c r="F258" s="14" t="s">
        <v>967</v>
      </c>
      <c r="G258" s="14">
        <v>0</v>
      </c>
      <c r="H258" s="14">
        <v>0</v>
      </c>
      <c r="I258" s="14">
        <v>0</v>
      </c>
      <c r="J258" s="14">
        <v>0</v>
      </c>
      <c r="K258" s="14">
        <v>0</v>
      </c>
      <c r="L258" s="14">
        <v>0</v>
      </c>
      <c r="M258" s="14">
        <v>0</v>
      </c>
      <c r="N258" s="14">
        <v>0</v>
      </c>
      <c r="O258" s="14">
        <v>0</v>
      </c>
      <c r="P258" s="14">
        <v>0</v>
      </c>
      <c r="Q258" s="15">
        <v>0</v>
      </c>
      <c r="R258" s="15">
        <v>0</v>
      </c>
      <c r="S258" s="15">
        <f>$G$258*$G$8+$H$258*$H$8+$I$258*$I$8+$J$258*$J$8+$K$258*$K$8+$L$258*$L$8+$M$258*$M$8+$N$258*$N$8+$O$258*$O$8+$P$258*$P$8</f>
        <v>0</v>
      </c>
      <c r="T258" s="15">
        <f>SUM($Q$258:$R$258)</f>
        <v>0</v>
      </c>
      <c r="U258" s="15">
        <f>$S$258+$T$258</f>
        <v>0</v>
      </c>
    </row>
    <row r="259" spans="1:21" x14ac:dyDescent="0.3">
      <c r="A259" s="10" t="s">
        <v>968</v>
      </c>
      <c r="B259" s="11" t="s">
        <v>969</v>
      </c>
      <c r="C259" s="11"/>
      <c r="D259" s="11" t="s">
        <v>970</v>
      </c>
      <c r="E259" s="11">
        <f xml:space="preserve"> IF($U$259,1,0)</f>
        <v>1</v>
      </c>
      <c r="F259" s="11" t="s">
        <v>971</v>
      </c>
      <c r="G259" s="11">
        <v>4</v>
      </c>
      <c r="H259" s="11">
        <v>0</v>
      </c>
      <c r="I259" s="11">
        <v>0</v>
      </c>
      <c r="J259" s="11">
        <v>0</v>
      </c>
      <c r="K259" s="11">
        <v>0</v>
      </c>
      <c r="L259" s="11">
        <v>0</v>
      </c>
      <c r="M259" s="11">
        <v>0</v>
      </c>
      <c r="N259" s="11">
        <v>0</v>
      </c>
      <c r="O259" s="11">
        <v>0</v>
      </c>
      <c r="P259" s="11">
        <v>0</v>
      </c>
      <c r="Q259" s="12">
        <v>0</v>
      </c>
      <c r="R259" s="12">
        <v>0</v>
      </c>
      <c r="S259" s="12">
        <f>$G$259*$G$8+$H$259*$H$8+$I$259*$I$8+$J$259*$J$8+$K$259*$K$8+$L$259*$L$8+$M$259*$M$8+$N$259*$N$8+$O$259*$O$8+$P$259*$P$8</f>
        <v>2.8</v>
      </c>
      <c r="T259" s="12">
        <f>SUM($Q$259:$R$259)</f>
        <v>0</v>
      </c>
      <c r="U259" s="12">
        <f>$S$259+$T$259</f>
        <v>2.8</v>
      </c>
    </row>
    <row r="260" spans="1:21" x14ac:dyDescent="0.3">
      <c r="A260" s="13" t="s">
        <v>972</v>
      </c>
      <c r="B260" s="14" t="s">
        <v>973</v>
      </c>
      <c r="C260" s="14"/>
      <c r="D260" s="14" t="s">
        <v>974</v>
      </c>
      <c r="E260" s="14">
        <f xml:space="preserve"> IF($U$260,1,0)</f>
        <v>0</v>
      </c>
      <c r="F260" s="14" t="s">
        <v>975</v>
      </c>
      <c r="G260" s="14">
        <v>0</v>
      </c>
      <c r="H260" s="14">
        <v>0</v>
      </c>
      <c r="I260" s="14">
        <v>0</v>
      </c>
      <c r="J260" s="14">
        <v>0</v>
      </c>
      <c r="K260" s="14">
        <v>0</v>
      </c>
      <c r="L260" s="14">
        <v>0</v>
      </c>
      <c r="M260" s="14">
        <v>0</v>
      </c>
      <c r="N260" s="14">
        <v>0</v>
      </c>
      <c r="O260" s="14">
        <v>0</v>
      </c>
      <c r="P260" s="14">
        <v>0</v>
      </c>
      <c r="Q260" s="15">
        <v>0</v>
      </c>
      <c r="R260" s="15">
        <v>0</v>
      </c>
      <c r="S260" s="15">
        <f>$G$260*$G$8+$H$260*$H$8+$I$260*$I$8+$J$260*$J$8+$K$260*$K$8+$L$260*$L$8+$M$260*$M$8+$N$260*$N$8+$O$260*$O$8+$P$260*$P$8</f>
        <v>0</v>
      </c>
      <c r="T260" s="15">
        <f>SUM($Q$260:$R$260)</f>
        <v>0</v>
      </c>
      <c r="U260" s="15">
        <f>$S$260+$T$260</f>
        <v>0</v>
      </c>
    </row>
    <row r="261" spans="1:21" x14ac:dyDescent="0.3">
      <c r="A261" s="10" t="s">
        <v>976</v>
      </c>
      <c r="B261" s="11" t="s">
        <v>977</v>
      </c>
      <c r="C261" s="11"/>
      <c r="D261" s="11" t="s">
        <v>978</v>
      </c>
      <c r="E261" s="11">
        <f xml:space="preserve"> IF($U$261,1,0)</f>
        <v>0</v>
      </c>
      <c r="F261" s="11" t="s">
        <v>979</v>
      </c>
      <c r="G261" s="11">
        <v>0</v>
      </c>
      <c r="H261" s="11">
        <v>0</v>
      </c>
      <c r="I261" s="11">
        <v>0</v>
      </c>
      <c r="J261" s="11">
        <v>0</v>
      </c>
      <c r="K261" s="11">
        <v>0</v>
      </c>
      <c r="L261" s="11">
        <v>0</v>
      </c>
      <c r="M261" s="11">
        <v>0</v>
      </c>
      <c r="N261" s="11">
        <v>0</v>
      </c>
      <c r="O261" s="11">
        <v>0</v>
      </c>
      <c r="P261" s="11">
        <v>0</v>
      </c>
      <c r="Q261" s="12">
        <v>0</v>
      </c>
      <c r="R261" s="12">
        <v>0</v>
      </c>
      <c r="S261" s="12">
        <f>$G$261*$G$8+$H$261*$H$8+$I$261*$I$8+$J$261*$J$8+$K$261*$K$8+$L$261*$L$8+$M$261*$M$8+$N$261*$N$8+$O$261*$O$8+$P$261*$P$8</f>
        <v>0</v>
      </c>
      <c r="T261" s="12">
        <f>SUM($Q$261:$R$261)</f>
        <v>0</v>
      </c>
      <c r="U261" s="12">
        <f>$S$261+$T$261</f>
        <v>0</v>
      </c>
    </row>
    <row r="262" spans="1:21" x14ac:dyDescent="0.3">
      <c r="A262" s="13" t="s">
        <v>980</v>
      </c>
      <c r="B262" s="14" t="s">
        <v>981</v>
      </c>
      <c r="C262" s="14" t="s">
        <v>34</v>
      </c>
      <c r="D262" s="14" t="s">
        <v>982</v>
      </c>
      <c r="E262" s="14">
        <f xml:space="preserve"> IF($U$262,1,0)</f>
        <v>0</v>
      </c>
      <c r="F262" s="14" t="s">
        <v>983</v>
      </c>
      <c r="G262" s="14">
        <v>0</v>
      </c>
      <c r="H262" s="14">
        <v>0</v>
      </c>
      <c r="I262" s="14">
        <v>0</v>
      </c>
      <c r="J262" s="14">
        <v>0</v>
      </c>
      <c r="K262" s="14">
        <v>0</v>
      </c>
      <c r="L262" s="14">
        <v>0</v>
      </c>
      <c r="M262" s="14">
        <v>0</v>
      </c>
      <c r="N262" s="14">
        <v>0</v>
      </c>
      <c r="O262" s="14">
        <v>0</v>
      </c>
      <c r="P262" s="14">
        <v>0</v>
      </c>
      <c r="Q262" s="15">
        <v>0</v>
      </c>
      <c r="R262" s="15">
        <v>0</v>
      </c>
      <c r="S262" s="15">
        <f>$G$262*$G$8+$H$262*$H$8+$I$262*$I$8+$J$262*$J$8+$K$262*$K$8+$L$262*$L$8+$M$262*$M$8+$N$262*$N$8+$O$262*$O$8+$P$262*$P$8</f>
        <v>0</v>
      </c>
      <c r="T262" s="15">
        <f>SUM($Q$262:$R$262)</f>
        <v>0</v>
      </c>
      <c r="U262" s="15">
        <f>$S$262+$T$262</f>
        <v>0</v>
      </c>
    </row>
    <row r="263" spans="1:21" x14ac:dyDescent="0.3">
      <c r="A263" s="10" t="s">
        <v>984</v>
      </c>
      <c r="B263" s="11" t="s">
        <v>985</v>
      </c>
      <c r="C263" s="11" t="s">
        <v>202</v>
      </c>
      <c r="D263" s="11" t="s">
        <v>986</v>
      </c>
      <c r="E263" s="11">
        <f xml:space="preserve"> IF($U$263,1,0)</f>
        <v>0</v>
      </c>
      <c r="F263" s="11" t="s">
        <v>987</v>
      </c>
      <c r="G263" s="11">
        <v>0</v>
      </c>
      <c r="H263" s="11">
        <v>0</v>
      </c>
      <c r="I263" s="11">
        <v>0</v>
      </c>
      <c r="J263" s="11">
        <v>0</v>
      </c>
      <c r="K263" s="11">
        <v>0</v>
      </c>
      <c r="L263" s="11">
        <v>0</v>
      </c>
      <c r="M263" s="11">
        <v>0</v>
      </c>
      <c r="N263" s="11">
        <v>0</v>
      </c>
      <c r="O263" s="11">
        <v>0</v>
      </c>
      <c r="P263" s="11">
        <v>0</v>
      </c>
      <c r="Q263" s="12">
        <v>0</v>
      </c>
      <c r="R263" s="12">
        <v>0</v>
      </c>
      <c r="S263" s="12">
        <f>$G$263*$G$8+$H$263*$H$8+$I$263*$I$8+$J$263*$J$8+$K$263*$K$8+$L$263*$L$8+$M$263*$M$8+$N$263*$N$8+$O$263*$O$8+$P$263*$P$8</f>
        <v>0</v>
      </c>
      <c r="T263" s="12">
        <f>SUM($Q$263:$R$263)</f>
        <v>0</v>
      </c>
      <c r="U263" s="12">
        <f>$S$263+$T$263</f>
        <v>0</v>
      </c>
    </row>
    <row r="264" spans="1:21" x14ac:dyDescent="0.3">
      <c r="A264" s="13" t="s">
        <v>1261</v>
      </c>
      <c r="B264" s="14" t="s">
        <v>1262</v>
      </c>
      <c r="C264" s="14"/>
      <c r="D264" s="14" t="s">
        <v>1263</v>
      </c>
      <c r="E264" s="14">
        <f xml:space="preserve"> IF($U$264,1,0)</f>
        <v>1</v>
      </c>
      <c r="F264" s="14" t="s">
        <v>1264</v>
      </c>
      <c r="G264" s="14">
        <v>3</v>
      </c>
      <c r="H264" s="14">
        <v>5</v>
      </c>
      <c r="I264" s="14">
        <v>0</v>
      </c>
      <c r="J264" s="14">
        <v>0</v>
      </c>
      <c r="K264" s="14">
        <v>0</v>
      </c>
      <c r="L264" s="14">
        <v>1</v>
      </c>
      <c r="M264" s="14">
        <v>0</v>
      </c>
      <c r="N264" s="14">
        <v>0</v>
      </c>
      <c r="O264" s="14">
        <v>0</v>
      </c>
      <c r="P264" s="14">
        <v>0</v>
      </c>
      <c r="Q264" s="15">
        <v>0</v>
      </c>
      <c r="R264" s="15">
        <v>0</v>
      </c>
      <c r="S264" s="15">
        <f>$G$264*$G$8+$H$264*$H$8+$I$264*$I$8+$J$264*$J$8+$K$264*$K$8+$L$264*$L$8+$M$264*$M$8+$N$264*$N$8+$O$264*$O$8+$P$264*$P$8</f>
        <v>14.1</v>
      </c>
      <c r="T264" s="15">
        <f>SUM($Q$264:$R$264)</f>
        <v>0</v>
      </c>
      <c r="U264" s="15">
        <f>$S$264+$T$264</f>
        <v>14.1</v>
      </c>
    </row>
    <row r="265" spans="1:21" x14ac:dyDescent="0.3">
      <c r="A265" s="10" t="s">
        <v>988</v>
      </c>
      <c r="B265" s="11" t="s">
        <v>989</v>
      </c>
      <c r="C265" s="11" t="s">
        <v>887</v>
      </c>
      <c r="D265" s="11" t="s">
        <v>1060</v>
      </c>
      <c r="E265" s="11">
        <f xml:space="preserve"> IF($U$265,1,0)</f>
        <v>1</v>
      </c>
      <c r="F265" s="11" t="s">
        <v>1256</v>
      </c>
      <c r="G265" s="11">
        <v>7</v>
      </c>
      <c r="H265" s="11">
        <v>0</v>
      </c>
      <c r="I265" s="11">
        <v>0</v>
      </c>
      <c r="J265" s="11">
        <v>0</v>
      </c>
      <c r="K265" s="11">
        <v>0</v>
      </c>
      <c r="L265" s="11">
        <v>0</v>
      </c>
      <c r="M265" s="11">
        <v>0</v>
      </c>
      <c r="N265" s="11">
        <v>0</v>
      </c>
      <c r="O265" s="11">
        <v>0</v>
      </c>
      <c r="P265" s="11">
        <v>0</v>
      </c>
      <c r="Q265" s="12">
        <v>0</v>
      </c>
      <c r="R265" s="12">
        <v>0</v>
      </c>
      <c r="S265" s="12">
        <f>$G$265*$G$8+$H$265*$H$8+$I$265*$I$8+$J$265*$J$8+$K$265*$K$8+$L$265*$L$8+$M$265*$M$8+$N$265*$N$8+$O$265*$O$8+$P$265*$P$8</f>
        <v>4.8999999999999995</v>
      </c>
      <c r="T265" s="12">
        <f>SUM($Q$265:$R$265)</f>
        <v>0</v>
      </c>
      <c r="U265" s="12">
        <f>$S$265+$T$265</f>
        <v>4.8999999999999995</v>
      </c>
    </row>
    <row r="266" spans="1:21" x14ac:dyDescent="0.3">
      <c r="A266" s="13" t="s">
        <v>992</v>
      </c>
      <c r="B266" s="14" t="s">
        <v>343</v>
      </c>
      <c r="C266" s="14"/>
      <c r="D266" s="14" t="s">
        <v>993</v>
      </c>
      <c r="E266" s="14">
        <f xml:space="preserve"> IF($U$266,1,0)</f>
        <v>1</v>
      </c>
      <c r="F266" s="14" t="s">
        <v>994</v>
      </c>
      <c r="G266" s="14">
        <v>0</v>
      </c>
      <c r="H266" s="14">
        <v>0</v>
      </c>
      <c r="I266" s="14">
        <v>0</v>
      </c>
      <c r="J266" s="14">
        <v>0</v>
      </c>
      <c r="K266" s="14">
        <v>0</v>
      </c>
      <c r="L266" s="14">
        <v>0</v>
      </c>
      <c r="M266" s="14">
        <v>0</v>
      </c>
      <c r="N266" s="14">
        <v>0</v>
      </c>
      <c r="O266" s="14">
        <v>0</v>
      </c>
      <c r="P266" s="14">
        <v>1</v>
      </c>
      <c r="Q266" s="15">
        <v>0</v>
      </c>
      <c r="R266" s="15">
        <v>0</v>
      </c>
      <c r="S266" s="15">
        <f>$G$266*$G$8+$H$266*$H$8+$I$266*$I$8+$J$266*$J$8+$K$266*$K$8+$L$266*$L$8+$M$266*$M$8+$N$266*$N$8+$O$266*$O$8+$P$266*$P$8</f>
        <v>1</v>
      </c>
      <c r="T266" s="15">
        <f>SUM($Q$266:$R$266)</f>
        <v>0</v>
      </c>
      <c r="U266" s="15">
        <f>$S$266+$T$266</f>
        <v>1</v>
      </c>
    </row>
    <row r="267" spans="1:21" x14ac:dyDescent="0.3">
      <c r="A267" s="10" t="s">
        <v>995</v>
      </c>
      <c r="B267" s="11" t="s">
        <v>996</v>
      </c>
      <c r="C267" s="11"/>
      <c r="D267" s="11" t="s">
        <v>997</v>
      </c>
      <c r="E267" s="11">
        <f xml:space="preserve"> IF($U$267,1,0)</f>
        <v>0</v>
      </c>
      <c r="F267" s="11" t="s">
        <v>998</v>
      </c>
      <c r="G267" s="11">
        <v>0</v>
      </c>
      <c r="H267" s="11">
        <v>0</v>
      </c>
      <c r="I267" s="11">
        <v>0</v>
      </c>
      <c r="J267" s="11">
        <v>0</v>
      </c>
      <c r="K267" s="11">
        <v>0</v>
      </c>
      <c r="L267" s="11">
        <v>0</v>
      </c>
      <c r="M267" s="11">
        <v>0</v>
      </c>
      <c r="N267" s="11">
        <v>0</v>
      </c>
      <c r="O267" s="11">
        <v>0</v>
      </c>
      <c r="P267" s="11">
        <v>0</v>
      </c>
      <c r="Q267" s="12">
        <v>0</v>
      </c>
      <c r="R267" s="12">
        <v>0</v>
      </c>
      <c r="S267" s="12">
        <f>$G$267*$G$8+$H$267*$H$8+$I$267*$I$8+$J$267*$J$8+$K$267*$K$8+$L$267*$L$8+$M$267*$M$8+$N$267*$N$8+$O$267*$O$8+$P$267*$P$8</f>
        <v>0</v>
      </c>
      <c r="T267" s="12">
        <f>SUM($Q$267:$R$267)</f>
        <v>0</v>
      </c>
      <c r="U267" s="12">
        <f>$S$267+$T$267</f>
        <v>0</v>
      </c>
    </row>
    <row r="268" spans="1:21" x14ac:dyDescent="0.3">
      <c r="A268" s="13" t="s">
        <v>999</v>
      </c>
      <c r="B268" s="14" t="s">
        <v>1000</v>
      </c>
      <c r="C268" s="14" t="s">
        <v>202</v>
      </c>
      <c r="D268" s="14" t="s">
        <v>1001</v>
      </c>
      <c r="E268" s="14">
        <f xml:space="preserve"> IF($U$268,1,0)</f>
        <v>0</v>
      </c>
      <c r="F268" s="14" t="s">
        <v>1002</v>
      </c>
      <c r="G268" s="14">
        <v>0</v>
      </c>
      <c r="H268" s="14">
        <v>0</v>
      </c>
      <c r="I268" s="14">
        <v>0</v>
      </c>
      <c r="J268" s="14">
        <v>0</v>
      </c>
      <c r="K268" s="14">
        <v>0</v>
      </c>
      <c r="L268" s="14">
        <v>0</v>
      </c>
      <c r="M268" s="14">
        <v>0</v>
      </c>
      <c r="N268" s="14">
        <v>0</v>
      </c>
      <c r="O268" s="14">
        <v>0</v>
      </c>
      <c r="P268" s="14">
        <v>0</v>
      </c>
      <c r="Q268" s="15">
        <v>0</v>
      </c>
      <c r="R268" s="15">
        <v>0</v>
      </c>
      <c r="S268" s="15">
        <f>$G$268*$G$8+$H$268*$H$8+$I$268*$I$8+$J$268*$J$8+$K$268*$K$8+$L$268*$L$8+$M$268*$M$8+$N$268*$N$8+$O$268*$O$8+$P$268*$P$8</f>
        <v>0</v>
      </c>
      <c r="T268" s="15">
        <f>SUM($Q$268:$R$268)</f>
        <v>0</v>
      </c>
      <c r="U268" s="15">
        <f>$S$268+$T$268</f>
        <v>0</v>
      </c>
    </row>
    <row r="269" spans="1:21" x14ac:dyDescent="0.3">
      <c r="A269" s="10" t="s">
        <v>1003</v>
      </c>
      <c r="B269" s="11" t="s">
        <v>1004</v>
      </c>
      <c r="C269" s="11"/>
      <c r="D269" s="11" t="s">
        <v>1005</v>
      </c>
      <c r="E269" s="11">
        <f xml:space="preserve"> IF($U$269,1,0)</f>
        <v>0</v>
      </c>
      <c r="F269" s="11" t="s">
        <v>1006</v>
      </c>
      <c r="G269" s="11">
        <v>0</v>
      </c>
      <c r="H269" s="11">
        <v>0</v>
      </c>
      <c r="I269" s="11">
        <v>0</v>
      </c>
      <c r="J269" s="11">
        <v>0</v>
      </c>
      <c r="K269" s="11">
        <v>0</v>
      </c>
      <c r="L269" s="11">
        <v>0</v>
      </c>
      <c r="M269" s="11">
        <v>0</v>
      </c>
      <c r="N269" s="11">
        <v>0</v>
      </c>
      <c r="O269" s="11">
        <v>0</v>
      </c>
      <c r="P269" s="11">
        <v>0</v>
      </c>
      <c r="Q269" s="12">
        <v>0</v>
      </c>
      <c r="R269" s="12">
        <v>0</v>
      </c>
      <c r="S269" s="12">
        <f>$G$269*$G$8+$H$269*$H$8+$I$269*$I$8+$J$269*$J$8+$K$269*$K$8+$L$269*$L$8+$M$269*$M$8+$N$269*$N$8+$O$269*$O$8+$P$269*$P$8</f>
        <v>0</v>
      </c>
      <c r="T269" s="12">
        <f>SUM($Q$269:$R$269)</f>
        <v>0</v>
      </c>
      <c r="U269" s="12">
        <f>$S$269+$T$269</f>
        <v>0</v>
      </c>
    </row>
    <row r="270" spans="1:21" x14ac:dyDescent="0.3">
      <c r="A270" s="13" t="s">
        <v>1007</v>
      </c>
      <c r="B270" s="14" t="s">
        <v>1004</v>
      </c>
      <c r="C270" s="14"/>
      <c r="D270" s="14" t="s">
        <v>1008</v>
      </c>
      <c r="E270" s="14">
        <f xml:space="preserve"> IF($U$270,1,0)</f>
        <v>0</v>
      </c>
      <c r="F270" s="14" t="s">
        <v>1009</v>
      </c>
      <c r="G270" s="14">
        <v>0</v>
      </c>
      <c r="H270" s="14">
        <v>0</v>
      </c>
      <c r="I270" s="14">
        <v>0</v>
      </c>
      <c r="J270" s="14">
        <v>0</v>
      </c>
      <c r="K270" s="14">
        <v>0</v>
      </c>
      <c r="L270" s="14">
        <v>0</v>
      </c>
      <c r="M270" s="14">
        <v>0</v>
      </c>
      <c r="N270" s="14">
        <v>0</v>
      </c>
      <c r="O270" s="14">
        <v>0</v>
      </c>
      <c r="P270" s="14">
        <v>0</v>
      </c>
      <c r="Q270" s="15">
        <v>0</v>
      </c>
      <c r="R270" s="15">
        <v>0</v>
      </c>
      <c r="S270" s="15">
        <f>$G$270*$G$8+$H$270*$H$8+$I$270*$I$8+$J$270*$J$8+$K$270*$K$8+$L$270*$L$8+$M$270*$M$8+$N$270*$N$8+$O$270*$O$8+$P$270*$P$8</f>
        <v>0</v>
      </c>
      <c r="T270" s="15">
        <f>SUM($Q$270:$R$270)</f>
        <v>0</v>
      </c>
      <c r="U270" s="15">
        <f>$S$270+$T$270</f>
        <v>0</v>
      </c>
    </row>
    <row r="271" spans="1:21" x14ac:dyDescent="0.3">
      <c r="A271" s="10" t="s">
        <v>1010</v>
      </c>
      <c r="B271" s="11" t="s">
        <v>1011</v>
      </c>
      <c r="C271" s="11"/>
      <c r="D271" s="11" t="s">
        <v>1012</v>
      </c>
      <c r="E271" s="11">
        <f xml:space="preserve"> IF($U$271,1,0)</f>
        <v>0</v>
      </c>
      <c r="F271" s="11" t="s">
        <v>1013</v>
      </c>
      <c r="G271" s="11">
        <v>0</v>
      </c>
      <c r="H271" s="11">
        <v>0</v>
      </c>
      <c r="I271" s="11">
        <v>0</v>
      </c>
      <c r="J271" s="11">
        <v>0</v>
      </c>
      <c r="K271" s="11">
        <v>0</v>
      </c>
      <c r="L271" s="11">
        <v>0</v>
      </c>
      <c r="M271" s="11">
        <v>0</v>
      </c>
      <c r="N271" s="11">
        <v>0</v>
      </c>
      <c r="O271" s="11">
        <v>0</v>
      </c>
      <c r="P271" s="11">
        <v>0</v>
      </c>
      <c r="Q271" s="12">
        <v>0</v>
      </c>
      <c r="R271" s="12">
        <v>0</v>
      </c>
      <c r="S271" s="12">
        <f>$G$271*$G$8+$H$271*$H$8+$I$271*$I$8+$J$271*$J$8+$K$271*$K$8+$L$271*$L$8+$M$271*$M$8+$N$271*$N$8+$O$271*$O$8+$P$271*$P$8</f>
        <v>0</v>
      </c>
      <c r="T271" s="12">
        <f>SUM($Q$271:$R$271)</f>
        <v>0</v>
      </c>
      <c r="U271" s="12">
        <f>$S$271+$T$271</f>
        <v>0</v>
      </c>
    </row>
    <row r="272" spans="1:21" x14ac:dyDescent="0.3">
      <c r="A272" s="13" t="s">
        <v>1014</v>
      </c>
      <c r="B272" s="14" t="s">
        <v>1015</v>
      </c>
      <c r="C272" s="14"/>
      <c r="D272" s="14" t="s">
        <v>1016</v>
      </c>
      <c r="E272" s="14">
        <f xml:space="preserve"> IF($U$272,1,0)</f>
        <v>0</v>
      </c>
      <c r="F272" s="14" t="s">
        <v>1017</v>
      </c>
      <c r="G272" s="14">
        <v>0</v>
      </c>
      <c r="H272" s="14">
        <v>0</v>
      </c>
      <c r="I272" s="14">
        <v>0</v>
      </c>
      <c r="J272" s="14">
        <v>0</v>
      </c>
      <c r="K272" s="14">
        <v>0</v>
      </c>
      <c r="L272" s="14">
        <v>0</v>
      </c>
      <c r="M272" s="14">
        <v>0</v>
      </c>
      <c r="N272" s="14">
        <v>0</v>
      </c>
      <c r="O272" s="14">
        <v>0</v>
      </c>
      <c r="P272" s="14">
        <v>0</v>
      </c>
      <c r="Q272" s="15">
        <v>0</v>
      </c>
      <c r="R272" s="15">
        <v>0</v>
      </c>
      <c r="S272" s="15">
        <f>$G$272*$G$8+$H$272*$H$8+$I$272*$I$8+$J$272*$J$8+$K$272*$K$8+$L$272*$L$8+$M$272*$M$8+$N$272*$N$8+$O$272*$O$8+$P$272*$P$8</f>
        <v>0</v>
      </c>
      <c r="T272" s="15">
        <f>SUM($Q$272:$R$272)</f>
        <v>0</v>
      </c>
      <c r="U272" s="15">
        <f>$S$272+$T$272</f>
        <v>0</v>
      </c>
    </row>
    <row r="273" spans="1:21" x14ac:dyDescent="0.3">
      <c r="A273" s="10" t="s">
        <v>1018</v>
      </c>
      <c r="B273" s="11" t="s">
        <v>1015</v>
      </c>
      <c r="C273" s="11"/>
      <c r="D273" s="11" t="s">
        <v>1019</v>
      </c>
      <c r="E273" s="11">
        <f xml:space="preserve"> IF($U$273,1,0)</f>
        <v>0</v>
      </c>
      <c r="F273" s="11" t="s">
        <v>1020</v>
      </c>
      <c r="G273" s="11">
        <v>0</v>
      </c>
      <c r="H273" s="11">
        <v>0</v>
      </c>
      <c r="I273" s="11">
        <v>0</v>
      </c>
      <c r="J273" s="11">
        <v>0</v>
      </c>
      <c r="K273" s="11">
        <v>0</v>
      </c>
      <c r="L273" s="11">
        <v>0</v>
      </c>
      <c r="M273" s="11">
        <v>0</v>
      </c>
      <c r="N273" s="11">
        <v>0</v>
      </c>
      <c r="O273" s="11">
        <v>0</v>
      </c>
      <c r="P273" s="11">
        <v>0</v>
      </c>
      <c r="Q273" s="12">
        <v>0</v>
      </c>
      <c r="R273" s="12">
        <v>0</v>
      </c>
      <c r="S273" s="12">
        <f>$G$273*$G$8+$H$273*$H$8+$I$273*$I$8+$J$273*$J$8+$K$273*$K$8+$L$273*$L$8+$M$273*$M$8+$N$273*$N$8+$O$273*$O$8+$P$273*$P$8</f>
        <v>0</v>
      </c>
      <c r="T273" s="12">
        <f>SUM($Q$273:$R$273)</f>
        <v>0</v>
      </c>
      <c r="U273" s="12">
        <f>$S$273+$T$273</f>
        <v>0</v>
      </c>
    </row>
    <row r="274" spans="1:21" x14ac:dyDescent="0.3">
      <c r="A274" s="13" t="s">
        <v>1021</v>
      </c>
      <c r="B274" s="14" t="s">
        <v>1022</v>
      </c>
      <c r="C274" s="14" t="s">
        <v>283</v>
      </c>
      <c r="D274" s="14" t="s">
        <v>1023</v>
      </c>
      <c r="E274" s="14">
        <f xml:space="preserve"> IF($U$274,1,0)</f>
        <v>0</v>
      </c>
      <c r="F274" s="14" t="s">
        <v>1024</v>
      </c>
      <c r="G274" s="14">
        <v>0</v>
      </c>
      <c r="H274" s="14">
        <v>0</v>
      </c>
      <c r="I274" s="14">
        <v>0</v>
      </c>
      <c r="J274" s="14">
        <v>0</v>
      </c>
      <c r="K274" s="14">
        <v>0</v>
      </c>
      <c r="L274" s="14">
        <v>0</v>
      </c>
      <c r="M274" s="14">
        <v>0</v>
      </c>
      <c r="N274" s="14">
        <v>0</v>
      </c>
      <c r="O274" s="14">
        <v>0</v>
      </c>
      <c r="P274" s="14">
        <v>0</v>
      </c>
      <c r="Q274" s="15">
        <v>0</v>
      </c>
      <c r="R274" s="15">
        <v>0</v>
      </c>
      <c r="S274" s="15">
        <f>$G$274*$G$8+$H$274*$H$8+$I$274*$I$8+$J$274*$J$8+$K$274*$K$8+$L$274*$L$8+$M$274*$M$8+$N$274*$N$8+$O$274*$O$8+$P$274*$P$8</f>
        <v>0</v>
      </c>
      <c r="T274" s="15">
        <f>SUM($Q$274:$R$274)</f>
        <v>0</v>
      </c>
      <c r="U274" s="15">
        <f>$S$274+$T$274</f>
        <v>0</v>
      </c>
    </row>
    <row r="275" spans="1:21" x14ac:dyDescent="0.3">
      <c r="A275" s="10" t="s">
        <v>1025</v>
      </c>
      <c r="B275" s="11" t="s">
        <v>1026</v>
      </c>
      <c r="C275" s="11"/>
      <c r="D275" s="11" t="s">
        <v>1027</v>
      </c>
      <c r="E275" s="11">
        <f xml:space="preserve"> IF($U$275,1,0)</f>
        <v>0</v>
      </c>
      <c r="F275" s="11" t="s">
        <v>1028</v>
      </c>
      <c r="G275" s="11">
        <v>0</v>
      </c>
      <c r="H275" s="11">
        <v>0</v>
      </c>
      <c r="I275" s="11">
        <v>0</v>
      </c>
      <c r="J275" s="11">
        <v>0</v>
      </c>
      <c r="K275" s="11">
        <v>0</v>
      </c>
      <c r="L275" s="11">
        <v>0</v>
      </c>
      <c r="M275" s="11">
        <v>0</v>
      </c>
      <c r="N275" s="11">
        <v>0</v>
      </c>
      <c r="O275" s="11">
        <v>0</v>
      </c>
      <c r="P275" s="11">
        <v>0</v>
      </c>
      <c r="Q275" s="12">
        <v>0</v>
      </c>
      <c r="R275" s="12">
        <v>0</v>
      </c>
      <c r="S275" s="12">
        <f>$G$275*$G$8+$H$275*$H$8+$I$275*$I$8+$J$275*$J$8+$K$275*$K$8+$L$275*$L$8+$M$275*$M$8+$N$275*$N$8+$O$275*$O$8+$P$275*$P$8</f>
        <v>0</v>
      </c>
      <c r="T275" s="12">
        <f>SUM($Q$275:$R$275)</f>
        <v>0</v>
      </c>
      <c r="U275" s="12">
        <f>$S$275+$T$275</f>
        <v>0</v>
      </c>
    </row>
    <row r="276" spans="1:21" x14ac:dyDescent="0.3">
      <c r="A276" s="13" t="s">
        <v>1029</v>
      </c>
      <c r="B276" s="14" t="s">
        <v>1030</v>
      </c>
      <c r="C276" s="14" t="s">
        <v>34</v>
      </c>
      <c r="D276" s="14" t="s">
        <v>1031</v>
      </c>
      <c r="E276" s="14">
        <f xml:space="preserve"> IF($U$276,1,0)</f>
        <v>1</v>
      </c>
      <c r="F276" s="14" t="s">
        <v>1032</v>
      </c>
      <c r="G276" s="14">
        <v>1</v>
      </c>
      <c r="H276" s="14">
        <v>0</v>
      </c>
      <c r="I276" s="14">
        <v>1</v>
      </c>
      <c r="J276" s="14">
        <v>0</v>
      </c>
      <c r="K276" s="14">
        <v>1</v>
      </c>
      <c r="L276" s="14">
        <v>0</v>
      </c>
      <c r="M276" s="14">
        <v>0</v>
      </c>
      <c r="N276" s="14">
        <v>0</v>
      </c>
      <c r="O276" s="14">
        <v>1</v>
      </c>
      <c r="P276" s="14">
        <v>1</v>
      </c>
      <c r="Q276" s="15">
        <v>0</v>
      </c>
      <c r="R276" s="15">
        <v>0</v>
      </c>
      <c r="S276" s="15">
        <f>$G$276*$G$8+$H$276*$H$8+$I$276*$I$8+$J$276*$J$8+$K$276*$K$8+$L$276*$L$8+$M$276*$M$8+$N$276*$N$8+$O$276*$O$8+$P$276*$P$8</f>
        <v>5.2</v>
      </c>
      <c r="T276" s="15">
        <f>SUM($Q$276:$R$276)</f>
        <v>0</v>
      </c>
      <c r="U276" s="15">
        <f>$S$276+$T$276</f>
        <v>5.2</v>
      </c>
    </row>
    <row r="277" spans="1:21" x14ac:dyDescent="0.3">
      <c r="A277" s="10" t="s">
        <v>1033</v>
      </c>
      <c r="B277" s="11" t="s">
        <v>1030</v>
      </c>
      <c r="C277" s="11"/>
      <c r="D277" s="11" t="s">
        <v>1034</v>
      </c>
      <c r="E277" s="11">
        <f xml:space="preserve"> IF($U$277,1,0)</f>
        <v>0</v>
      </c>
      <c r="F277" s="11" t="s">
        <v>1035</v>
      </c>
      <c r="G277" s="11">
        <v>0</v>
      </c>
      <c r="H277" s="11">
        <v>0</v>
      </c>
      <c r="I277" s="11">
        <v>0</v>
      </c>
      <c r="J277" s="11">
        <v>0</v>
      </c>
      <c r="K277" s="11">
        <v>0</v>
      </c>
      <c r="L277" s="11">
        <v>0</v>
      </c>
      <c r="M277" s="11">
        <v>0</v>
      </c>
      <c r="N277" s="11">
        <v>0</v>
      </c>
      <c r="O277" s="11">
        <v>0</v>
      </c>
      <c r="P277" s="11">
        <v>0</v>
      </c>
      <c r="Q277" s="12">
        <v>0</v>
      </c>
      <c r="R277" s="12">
        <v>0</v>
      </c>
      <c r="S277" s="12">
        <f>$G$277*$G$8+$H$277*$H$8+$I$277*$I$8+$J$277*$J$8+$K$277*$K$8+$L$277*$L$8+$M$277*$M$8+$N$277*$N$8+$O$277*$O$8+$P$277*$P$8</f>
        <v>0</v>
      </c>
      <c r="T277" s="12">
        <f>SUM($Q$277:$R$277)</f>
        <v>0</v>
      </c>
      <c r="U277" s="12">
        <f>$S$277+$T$277</f>
        <v>0</v>
      </c>
    </row>
    <row r="278" spans="1:21" x14ac:dyDescent="0.3">
      <c r="A278" s="13" t="s">
        <v>1036</v>
      </c>
      <c r="B278" s="14" t="s">
        <v>1037</v>
      </c>
      <c r="C278" s="14"/>
      <c r="D278" s="14" t="s">
        <v>1038</v>
      </c>
      <c r="E278" s="14">
        <f xml:space="preserve"> IF($U$278,1,0)</f>
        <v>0</v>
      </c>
      <c r="F278" s="14" t="s">
        <v>1039</v>
      </c>
      <c r="G278" s="14">
        <v>0</v>
      </c>
      <c r="H278" s="14">
        <v>0</v>
      </c>
      <c r="I278" s="14">
        <v>0</v>
      </c>
      <c r="J278" s="14">
        <v>0</v>
      </c>
      <c r="K278" s="14">
        <v>0</v>
      </c>
      <c r="L278" s="14">
        <v>0</v>
      </c>
      <c r="M278" s="14">
        <v>0</v>
      </c>
      <c r="N278" s="14">
        <v>0</v>
      </c>
      <c r="O278" s="14">
        <v>0</v>
      </c>
      <c r="P278" s="14">
        <v>0</v>
      </c>
      <c r="Q278" s="15">
        <v>0</v>
      </c>
      <c r="R278" s="15">
        <v>0</v>
      </c>
      <c r="S278" s="15">
        <f>$G$278*$G$8+$H$278*$H$8+$I$278*$I$8+$J$278*$J$8+$K$278*$K$8+$L$278*$L$8+$M$278*$M$8+$N$278*$N$8+$O$278*$O$8+$P$278*$P$8</f>
        <v>0</v>
      </c>
      <c r="T278" s="15">
        <f>SUM($Q$278:$R$278)</f>
        <v>0</v>
      </c>
      <c r="U278" s="15">
        <f>$S$278+$T$278</f>
        <v>0</v>
      </c>
    </row>
    <row r="279" spans="1:21" x14ac:dyDescent="0.3">
      <c r="A279" s="10" t="s">
        <v>1040</v>
      </c>
      <c r="B279" s="11" t="s">
        <v>1037</v>
      </c>
      <c r="C279" s="11" t="s">
        <v>202</v>
      </c>
      <c r="D279" s="11" t="s">
        <v>1041</v>
      </c>
      <c r="E279" s="11">
        <f xml:space="preserve"> IF($U$279,1,0)</f>
        <v>0</v>
      </c>
      <c r="F279" s="11" t="s">
        <v>1042</v>
      </c>
      <c r="G279" s="11">
        <v>0</v>
      </c>
      <c r="H279" s="11">
        <v>0</v>
      </c>
      <c r="I279" s="11">
        <v>0</v>
      </c>
      <c r="J279" s="11">
        <v>0</v>
      </c>
      <c r="K279" s="11">
        <v>0</v>
      </c>
      <c r="L279" s="11">
        <v>0</v>
      </c>
      <c r="M279" s="11">
        <v>0</v>
      </c>
      <c r="N279" s="11">
        <v>0</v>
      </c>
      <c r="O279" s="11">
        <v>0</v>
      </c>
      <c r="P279" s="11">
        <v>0</v>
      </c>
      <c r="Q279" s="12">
        <v>0</v>
      </c>
      <c r="R279" s="12">
        <v>0</v>
      </c>
      <c r="S279" s="12">
        <f>$G$279*$G$8+$H$279*$H$8+$I$279*$I$8+$J$279*$J$8+$K$279*$K$8+$L$279*$L$8+$M$279*$M$8+$N$279*$N$8+$O$279*$O$8+$P$279*$P$8</f>
        <v>0</v>
      </c>
      <c r="T279" s="12">
        <f>SUM($Q$279:$R$279)</f>
        <v>0</v>
      </c>
      <c r="U279" s="12">
        <f>$S$279+$T$279</f>
        <v>0</v>
      </c>
    </row>
    <row r="280" spans="1:21" x14ac:dyDescent="0.3">
      <c r="A280" s="13" t="s">
        <v>1043</v>
      </c>
      <c r="B280" s="14" t="s">
        <v>1044</v>
      </c>
      <c r="C280" s="14"/>
      <c r="D280" s="14" t="s">
        <v>1045</v>
      </c>
      <c r="E280" s="14">
        <f xml:space="preserve"> IF($U$280,1,0)</f>
        <v>0</v>
      </c>
      <c r="F280" s="14" t="s">
        <v>1046</v>
      </c>
      <c r="G280" s="14">
        <v>0</v>
      </c>
      <c r="H280" s="14">
        <v>0</v>
      </c>
      <c r="I280" s="14">
        <v>0</v>
      </c>
      <c r="J280" s="14">
        <v>0</v>
      </c>
      <c r="K280" s="14">
        <v>0</v>
      </c>
      <c r="L280" s="14">
        <v>0</v>
      </c>
      <c r="M280" s="14">
        <v>0</v>
      </c>
      <c r="N280" s="14">
        <v>0</v>
      </c>
      <c r="O280" s="14">
        <v>0</v>
      </c>
      <c r="P280" s="14">
        <v>0</v>
      </c>
      <c r="Q280" s="15">
        <v>0</v>
      </c>
      <c r="R280" s="15">
        <v>0</v>
      </c>
      <c r="S280" s="15">
        <f>$G$280*$G$8+$H$280*$H$8+$I$280*$I$8+$J$280*$J$8+$K$280*$K$8+$L$280*$L$8+$M$280*$M$8+$N$280*$N$8+$O$280*$O$8+$P$280*$P$8</f>
        <v>0</v>
      </c>
      <c r="T280" s="15">
        <f>SUM($Q$280:$R$280)</f>
        <v>0</v>
      </c>
      <c r="U280" s="15">
        <f>$S$280+$T$280</f>
        <v>0</v>
      </c>
    </row>
    <row r="281" spans="1:21" x14ac:dyDescent="0.3">
      <c r="A281" s="10" t="s">
        <v>1047</v>
      </c>
      <c r="B281" s="11" t="s">
        <v>1048</v>
      </c>
      <c r="C281" s="11"/>
      <c r="D281" s="11" t="s">
        <v>1049</v>
      </c>
      <c r="E281" s="11">
        <f xml:space="preserve"> IF($U$281,1,0)</f>
        <v>1</v>
      </c>
      <c r="F281" s="11" t="s">
        <v>1050</v>
      </c>
      <c r="G281" s="11">
        <v>2</v>
      </c>
      <c r="H281" s="11">
        <v>0</v>
      </c>
      <c r="I281" s="11">
        <v>0</v>
      </c>
      <c r="J281" s="11">
        <v>0</v>
      </c>
      <c r="K281" s="11">
        <v>0</v>
      </c>
      <c r="L281" s="11">
        <v>0</v>
      </c>
      <c r="M281" s="11">
        <v>0</v>
      </c>
      <c r="N281" s="11">
        <v>0</v>
      </c>
      <c r="O281" s="11">
        <v>0</v>
      </c>
      <c r="P281" s="11">
        <v>0</v>
      </c>
      <c r="Q281" s="12">
        <v>0</v>
      </c>
      <c r="R281" s="12">
        <v>0</v>
      </c>
      <c r="S281" s="12">
        <f>$G$281*$G$8+$H$281*$H$8+$I$281*$I$8+$J$281*$J$8+$K$281*$K$8+$L$281*$L$8+$M$281*$M$8+$N$281*$N$8+$O$281*$O$8+$P$281*$P$8</f>
        <v>1.4</v>
      </c>
      <c r="T281" s="12">
        <f>SUM($Q$281:$R$281)</f>
        <v>0</v>
      </c>
      <c r="U281" s="12">
        <f>$S$281+$T$281</f>
        <v>1.4</v>
      </c>
    </row>
    <row r="282" spans="1:21" x14ac:dyDescent="0.3">
      <c r="A282" s="13" t="s">
        <v>1051</v>
      </c>
      <c r="B282" s="14" t="s">
        <v>1052</v>
      </c>
      <c r="C282" s="14" t="s">
        <v>34</v>
      </c>
      <c r="D282" s="14" t="s">
        <v>1053</v>
      </c>
      <c r="E282" s="14">
        <f xml:space="preserve"> IF($U$282,1,0)</f>
        <v>0</v>
      </c>
      <c r="F282" s="14" t="s">
        <v>1054</v>
      </c>
      <c r="G282" s="14">
        <v>0</v>
      </c>
      <c r="H282" s="14">
        <v>0</v>
      </c>
      <c r="I282" s="14">
        <v>0</v>
      </c>
      <c r="J282" s="14">
        <v>0</v>
      </c>
      <c r="K282" s="14">
        <v>0</v>
      </c>
      <c r="L282" s="14">
        <v>0</v>
      </c>
      <c r="M282" s="14">
        <v>0</v>
      </c>
      <c r="N282" s="14">
        <v>0</v>
      </c>
      <c r="O282" s="14">
        <v>0</v>
      </c>
      <c r="P282" s="14">
        <v>0</v>
      </c>
      <c r="Q282" s="15">
        <v>0</v>
      </c>
      <c r="R282" s="15">
        <v>0</v>
      </c>
      <c r="S282" s="15">
        <f>$G$282*$G$8+$H$282*$H$8+$I$282*$I$8+$J$282*$J$8+$K$282*$K$8+$L$282*$L$8+$M$282*$M$8+$N$282*$N$8+$O$282*$O$8+$P$282*$P$8</f>
        <v>0</v>
      </c>
      <c r="T282" s="15">
        <f>SUM($Q$282:$R$282)</f>
        <v>0</v>
      </c>
      <c r="U282" s="15">
        <f>$S$282+$T$282</f>
        <v>0</v>
      </c>
    </row>
    <row r="283" spans="1:21" x14ac:dyDescent="0.3">
      <c r="A283" s="10" t="s">
        <v>1055</v>
      </c>
      <c r="B283" s="11" t="s">
        <v>1056</v>
      </c>
      <c r="C283" s="11" t="s">
        <v>243</v>
      </c>
      <c r="D283" s="11" t="s">
        <v>1057</v>
      </c>
      <c r="E283" s="11">
        <f xml:space="preserve"> IF($U$283,1,0)</f>
        <v>0</v>
      </c>
      <c r="F283" s="11" t="s">
        <v>1058</v>
      </c>
      <c r="G283" s="11">
        <v>0</v>
      </c>
      <c r="H283" s="11">
        <v>0</v>
      </c>
      <c r="I283" s="11">
        <v>0</v>
      </c>
      <c r="J283" s="11">
        <v>0</v>
      </c>
      <c r="K283" s="11">
        <v>0</v>
      </c>
      <c r="L283" s="11">
        <v>0</v>
      </c>
      <c r="M283" s="11">
        <v>0</v>
      </c>
      <c r="N283" s="11">
        <v>0</v>
      </c>
      <c r="O283" s="11">
        <v>0</v>
      </c>
      <c r="P283" s="11">
        <v>0</v>
      </c>
      <c r="Q283" s="12">
        <v>0</v>
      </c>
      <c r="R283" s="12">
        <v>0</v>
      </c>
      <c r="S283" s="12">
        <f>$G$283*$G$8+$H$283*$H$8+$I$283*$I$8+$J$283*$J$8+$K$283*$K$8+$L$283*$L$8+$M$283*$M$8+$N$283*$N$8+$O$283*$O$8+$P$283*$P$8</f>
        <v>0</v>
      </c>
      <c r="T283" s="12">
        <f>SUM($Q$283:$R$283)</f>
        <v>0</v>
      </c>
      <c r="U283" s="12">
        <f>$S$283+$T$283</f>
        <v>0</v>
      </c>
    </row>
    <row r="284" spans="1:21" x14ac:dyDescent="0.3">
      <c r="A284" s="13" t="s">
        <v>1059</v>
      </c>
      <c r="B284" s="14" t="s">
        <v>1056</v>
      </c>
      <c r="C284" s="14" t="s">
        <v>278</v>
      </c>
      <c r="D284" s="14" t="s">
        <v>1060</v>
      </c>
      <c r="E284" s="14">
        <f xml:space="preserve"> IF($U$284,1,0)</f>
        <v>0</v>
      </c>
      <c r="F284" s="14" t="s">
        <v>1061</v>
      </c>
      <c r="G284" s="14">
        <v>0</v>
      </c>
      <c r="H284" s="14">
        <v>0</v>
      </c>
      <c r="I284" s="14">
        <v>0</v>
      </c>
      <c r="J284" s="14">
        <v>0</v>
      </c>
      <c r="K284" s="14">
        <v>0</v>
      </c>
      <c r="L284" s="14">
        <v>0</v>
      </c>
      <c r="M284" s="14">
        <v>0</v>
      </c>
      <c r="N284" s="14">
        <v>0</v>
      </c>
      <c r="O284" s="14">
        <v>0</v>
      </c>
      <c r="P284" s="14">
        <v>0</v>
      </c>
      <c r="Q284" s="15">
        <v>0</v>
      </c>
      <c r="R284" s="15">
        <v>0</v>
      </c>
      <c r="S284" s="15">
        <f>$G$284*$G$8+$H$284*$H$8+$I$284*$I$8+$J$284*$J$8+$K$284*$K$8+$L$284*$L$8+$M$284*$M$8+$N$284*$N$8+$O$284*$O$8+$P$284*$P$8</f>
        <v>0</v>
      </c>
      <c r="T284" s="15">
        <f>SUM($Q$284:$R$284)</f>
        <v>0</v>
      </c>
      <c r="U284" s="15">
        <f>$S$284+$T$284</f>
        <v>0</v>
      </c>
    </row>
    <row r="285" spans="1:21" x14ac:dyDescent="0.3">
      <c r="A285" s="10" t="s">
        <v>1062</v>
      </c>
      <c r="B285" s="11" t="s">
        <v>1063</v>
      </c>
      <c r="C285" s="11"/>
      <c r="D285" s="11" t="s">
        <v>1064</v>
      </c>
      <c r="E285" s="11">
        <f xml:space="preserve"> IF($U$285,1,0)</f>
        <v>0</v>
      </c>
      <c r="F285" s="11" t="s">
        <v>1065</v>
      </c>
      <c r="G285" s="11">
        <v>0</v>
      </c>
      <c r="H285" s="11">
        <v>0</v>
      </c>
      <c r="I285" s="11">
        <v>0</v>
      </c>
      <c r="J285" s="11">
        <v>0</v>
      </c>
      <c r="K285" s="11">
        <v>0</v>
      </c>
      <c r="L285" s="11">
        <v>0</v>
      </c>
      <c r="M285" s="11">
        <v>0</v>
      </c>
      <c r="N285" s="11">
        <v>0</v>
      </c>
      <c r="O285" s="11">
        <v>0</v>
      </c>
      <c r="P285" s="11">
        <v>0</v>
      </c>
      <c r="Q285" s="12">
        <v>0</v>
      </c>
      <c r="R285" s="12">
        <v>0</v>
      </c>
      <c r="S285" s="12">
        <f>$G$285*$G$8+$H$285*$H$8+$I$285*$I$8+$J$285*$J$8+$K$285*$K$8+$L$285*$L$8+$M$285*$M$8+$N$285*$N$8+$O$285*$O$8+$P$285*$P$8</f>
        <v>0</v>
      </c>
      <c r="T285" s="12">
        <f>SUM($Q$285:$R$285)</f>
        <v>0</v>
      </c>
      <c r="U285" s="12">
        <f>$S$285+$T$285</f>
        <v>0</v>
      </c>
    </row>
    <row r="286" spans="1:21" x14ac:dyDescent="0.3">
      <c r="A286" s="13" t="s">
        <v>1066</v>
      </c>
      <c r="B286" s="14" t="s">
        <v>1067</v>
      </c>
      <c r="C286" s="14" t="s">
        <v>202</v>
      </c>
      <c r="D286" s="14" t="s">
        <v>1068</v>
      </c>
      <c r="E286" s="14">
        <f xml:space="preserve"> IF($U$286,1,0)</f>
        <v>0</v>
      </c>
      <c r="F286" s="14" t="s">
        <v>1069</v>
      </c>
      <c r="G286" s="14">
        <v>0</v>
      </c>
      <c r="H286" s="14">
        <v>0</v>
      </c>
      <c r="I286" s="14">
        <v>0</v>
      </c>
      <c r="J286" s="14">
        <v>0</v>
      </c>
      <c r="K286" s="14">
        <v>0</v>
      </c>
      <c r="L286" s="14">
        <v>0</v>
      </c>
      <c r="M286" s="14">
        <v>0</v>
      </c>
      <c r="N286" s="14">
        <v>0</v>
      </c>
      <c r="O286" s="14">
        <v>0</v>
      </c>
      <c r="P286" s="14">
        <v>0</v>
      </c>
      <c r="Q286" s="15">
        <v>0</v>
      </c>
      <c r="R286" s="15">
        <v>0</v>
      </c>
      <c r="S286" s="15">
        <f>$G$286*$G$8+$H$286*$H$8+$I$286*$I$8+$J$286*$J$8+$K$286*$K$8+$L$286*$L$8+$M$286*$M$8+$N$286*$N$8+$O$286*$O$8+$P$286*$P$8</f>
        <v>0</v>
      </c>
      <c r="T286" s="15">
        <f>SUM($Q$286:$R$286)</f>
        <v>0</v>
      </c>
      <c r="U286" s="15">
        <f>$S$286+$T$286</f>
        <v>0</v>
      </c>
    </row>
    <row r="287" spans="1:21" x14ac:dyDescent="0.3">
      <c r="A287" s="10" t="s">
        <v>1070</v>
      </c>
      <c r="B287" s="11" t="s">
        <v>1071</v>
      </c>
      <c r="C287" s="11"/>
      <c r="D287" s="11" t="s">
        <v>1072</v>
      </c>
      <c r="E287" s="11">
        <f xml:space="preserve"> IF($U$287,1,0)</f>
        <v>1</v>
      </c>
      <c r="F287" s="11" t="s">
        <v>1073</v>
      </c>
      <c r="G287" s="11">
        <v>1</v>
      </c>
      <c r="H287" s="11">
        <v>0</v>
      </c>
      <c r="I287" s="11">
        <v>0</v>
      </c>
      <c r="J287" s="11">
        <v>0</v>
      </c>
      <c r="K287" s="11">
        <v>0</v>
      </c>
      <c r="L287" s="11">
        <v>0</v>
      </c>
      <c r="M287" s="11">
        <v>0</v>
      </c>
      <c r="N287" s="11">
        <v>0</v>
      </c>
      <c r="O287" s="11">
        <v>0</v>
      </c>
      <c r="P287" s="11">
        <v>0</v>
      </c>
      <c r="Q287" s="12">
        <v>0</v>
      </c>
      <c r="R287" s="12">
        <v>0</v>
      </c>
      <c r="S287" s="12">
        <f>$G$287*$G$8+$H$287*$H$8+$I$287*$I$8+$J$287*$J$8+$K$287*$K$8+$L$287*$L$8+$M$287*$M$8+$N$287*$N$8+$O$287*$O$8+$P$287*$P$8</f>
        <v>0.7</v>
      </c>
      <c r="T287" s="12">
        <f>SUM($Q$287:$R$287)</f>
        <v>0</v>
      </c>
      <c r="U287" s="12">
        <f>$S$287+$T$287</f>
        <v>0.7</v>
      </c>
    </row>
    <row r="288" spans="1:21" x14ac:dyDescent="0.3">
      <c r="A288" s="13" t="s">
        <v>1074</v>
      </c>
      <c r="B288" s="14" t="s">
        <v>1071</v>
      </c>
      <c r="C288" s="14"/>
      <c r="D288" s="14" t="s">
        <v>1075</v>
      </c>
      <c r="E288" s="14">
        <f xml:space="preserve"> IF($U$288,1,0)</f>
        <v>1</v>
      </c>
      <c r="F288" s="14" t="s">
        <v>1076</v>
      </c>
      <c r="G288" s="14">
        <v>3</v>
      </c>
      <c r="H288" s="14">
        <v>0</v>
      </c>
      <c r="I288" s="14">
        <v>0</v>
      </c>
      <c r="J288" s="14">
        <v>0</v>
      </c>
      <c r="K288" s="14">
        <v>1</v>
      </c>
      <c r="L288" s="14">
        <v>0</v>
      </c>
      <c r="M288" s="14">
        <v>0</v>
      </c>
      <c r="N288" s="14">
        <v>0</v>
      </c>
      <c r="O288" s="14">
        <v>0</v>
      </c>
      <c r="P288" s="14">
        <v>3</v>
      </c>
      <c r="Q288" s="15">
        <v>0</v>
      </c>
      <c r="R288" s="15">
        <v>0</v>
      </c>
      <c r="S288" s="15">
        <f>$G$288*$G$8+$H$288*$H$8+$I$288*$I$8+$J$288*$J$8+$K$288*$K$8+$L$288*$L$8+$M$288*$M$8+$N$288*$N$8+$O$288*$O$8+$P$288*$P$8</f>
        <v>7.1</v>
      </c>
      <c r="T288" s="15">
        <f>SUM($Q$288:$R$288)</f>
        <v>0</v>
      </c>
      <c r="U288" s="15">
        <f>$S$288+$T$288</f>
        <v>7.1</v>
      </c>
    </row>
    <row r="289" spans="1:21" x14ac:dyDescent="0.3">
      <c r="A289" s="10" t="s">
        <v>1077</v>
      </c>
      <c r="B289" s="11" t="s">
        <v>1078</v>
      </c>
      <c r="C289" s="11"/>
      <c r="D289" s="11" t="s">
        <v>1079</v>
      </c>
      <c r="E289" s="11">
        <f xml:space="preserve"> IF($U$289,1,0)</f>
        <v>0</v>
      </c>
      <c r="F289" s="11" t="s">
        <v>1080</v>
      </c>
      <c r="G289" s="11">
        <v>0</v>
      </c>
      <c r="H289" s="11">
        <v>0</v>
      </c>
      <c r="I289" s="11">
        <v>0</v>
      </c>
      <c r="J289" s="11">
        <v>0</v>
      </c>
      <c r="K289" s="11">
        <v>0</v>
      </c>
      <c r="L289" s="11">
        <v>0</v>
      </c>
      <c r="M289" s="11">
        <v>0</v>
      </c>
      <c r="N289" s="11">
        <v>0</v>
      </c>
      <c r="O289" s="11">
        <v>0</v>
      </c>
      <c r="P289" s="11">
        <v>0</v>
      </c>
      <c r="Q289" s="12">
        <v>0</v>
      </c>
      <c r="R289" s="12">
        <v>0</v>
      </c>
      <c r="S289" s="12">
        <f>$G$289*$G$8+$H$289*$H$8+$I$289*$I$8+$J$289*$J$8+$K$289*$K$8+$L$289*$L$8+$M$289*$M$8+$N$289*$N$8+$O$289*$O$8+$P$289*$P$8</f>
        <v>0</v>
      </c>
      <c r="T289" s="12">
        <f>SUM($Q$289:$R$289)</f>
        <v>0</v>
      </c>
      <c r="U289" s="12">
        <f>$S$289+$T$289</f>
        <v>0</v>
      </c>
    </row>
    <row r="290" spans="1:21" x14ac:dyDescent="0.3">
      <c r="A290" s="13" t="s">
        <v>1081</v>
      </c>
      <c r="B290" s="14" t="s">
        <v>1082</v>
      </c>
      <c r="C290" s="14"/>
      <c r="D290" s="14" t="s">
        <v>1083</v>
      </c>
      <c r="E290" s="14">
        <f xml:space="preserve"> IF($U$290,1,0)</f>
        <v>0</v>
      </c>
      <c r="F290" s="14" t="s">
        <v>1084</v>
      </c>
      <c r="G290" s="14">
        <v>0</v>
      </c>
      <c r="H290" s="14">
        <v>0</v>
      </c>
      <c r="I290" s="14">
        <v>0</v>
      </c>
      <c r="J290" s="14">
        <v>0</v>
      </c>
      <c r="K290" s="14">
        <v>0</v>
      </c>
      <c r="L290" s="14">
        <v>0</v>
      </c>
      <c r="M290" s="14">
        <v>0</v>
      </c>
      <c r="N290" s="14">
        <v>0</v>
      </c>
      <c r="O290" s="14">
        <v>0</v>
      </c>
      <c r="P290" s="14">
        <v>0</v>
      </c>
      <c r="Q290" s="15">
        <v>0</v>
      </c>
      <c r="R290" s="15">
        <v>0</v>
      </c>
      <c r="S290" s="15">
        <f>$G$290*$G$8+$H$290*$H$8+$I$290*$I$8+$J$290*$J$8+$K$290*$K$8+$L$290*$L$8+$M$290*$M$8+$N$290*$N$8+$O$290*$O$8+$P$290*$P$8</f>
        <v>0</v>
      </c>
      <c r="T290" s="15">
        <f>SUM($Q$290:$R$290)</f>
        <v>0</v>
      </c>
      <c r="U290" s="15">
        <f>$S$290+$T$290</f>
        <v>0</v>
      </c>
    </row>
    <row r="291" spans="1:21" x14ac:dyDescent="0.3">
      <c r="A291" s="10" t="s">
        <v>1085</v>
      </c>
      <c r="B291" s="11" t="s">
        <v>1082</v>
      </c>
      <c r="C291" s="11"/>
      <c r="D291" s="11" t="s">
        <v>1086</v>
      </c>
      <c r="E291" s="11">
        <f xml:space="preserve"> IF($U$291,1,0)</f>
        <v>0</v>
      </c>
      <c r="F291" s="11" t="s">
        <v>1087</v>
      </c>
      <c r="G291" s="11">
        <v>0</v>
      </c>
      <c r="H291" s="11">
        <v>0</v>
      </c>
      <c r="I291" s="11">
        <v>0</v>
      </c>
      <c r="J291" s="11">
        <v>0</v>
      </c>
      <c r="K291" s="11">
        <v>0</v>
      </c>
      <c r="L291" s="11">
        <v>0</v>
      </c>
      <c r="M291" s="11">
        <v>0</v>
      </c>
      <c r="N291" s="11">
        <v>0</v>
      </c>
      <c r="O291" s="11">
        <v>0</v>
      </c>
      <c r="P291" s="11">
        <v>0</v>
      </c>
      <c r="Q291" s="12">
        <v>0</v>
      </c>
      <c r="R291" s="12">
        <v>0</v>
      </c>
      <c r="S291" s="12">
        <f>$G$291*$G$8+$H$291*$H$8+$I$291*$I$8+$J$291*$J$8+$K$291*$K$8+$L$291*$L$8+$M$291*$M$8+$N$291*$N$8+$O$291*$O$8+$P$291*$P$8</f>
        <v>0</v>
      </c>
      <c r="T291" s="12">
        <f>SUM($Q$291:$R$291)</f>
        <v>0</v>
      </c>
      <c r="U291" s="12">
        <f>$S$291+$T$291</f>
        <v>0</v>
      </c>
    </row>
    <row r="292" spans="1:21" x14ac:dyDescent="0.3">
      <c r="A292" s="13" t="s">
        <v>1088</v>
      </c>
      <c r="B292" s="14" t="s">
        <v>1082</v>
      </c>
      <c r="C292" s="14" t="s">
        <v>65</v>
      </c>
      <c r="D292" s="14" t="s">
        <v>1089</v>
      </c>
      <c r="E292" s="14">
        <f xml:space="preserve"> IF($U$292,1,0)</f>
        <v>0</v>
      </c>
      <c r="F292" s="14" t="s">
        <v>1090</v>
      </c>
      <c r="G292" s="14">
        <v>0</v>
      </c>
      <c r="H292" s="14">
        <v>0</v>
      </c>
      <c r="I292" s="14">
        <v>0</v>
      </c>
      <c r="J292" s="14">
        <v>0</v>
      </c>
      <c r="K292" s="14">
        <v>0</v>
      </c>
      <c r="L292" s="14">
        <v>0</v>
      </c>
      <c r="M292" s="14">
        <v>0</v>
      </c>
      <c r="N292" s="14">
        <v>0</v>
      </c>
      <c r="O292" s="14">
        <v>0</v>
      </c>
      <c r="P292" s="14">
        <v>0</v>
      </c>
      <c r="Q292" s="15">
        <v>0</v>
      </c>
      <c r="R292" s="15">
        <v>0</v>
      </c>
      <c r="S292" s="15">
        <f>$G$292*$G$8+$H$292*$H$8+$I$292*$I$8+$J$292*$J$8+$K$292*$K$8+$L$292*$L$8+$M$292*$M$8+$N$292*$N$8+$O$292*$O$8+$P$292*$P$8</f>
        <v>0</v>
      </c>
      <c r="T292" s="15">
        <f>SUM($Q$292:$R$292)</f>
        <v>0</v>
      </c>
      <c r="U292" s="15">
        <f>$S$292+$T$292</f>
        <v>0</v>
      </c>
    </row>
    <row r="293" spans="1:21" x14ac:dyDescent="0.3">
      <c r="A293" s="10" t="s">
        <v>1091</v>
      </c>
      <c r="B293" s="11" t="s">
        <v>1082</v>
      </c>
      <c r="C293" s="11"/>
      <c r="D293" s="11" t="s">
        <v>1092</v>
      </c>
      <c r="E293" s="11">
        <f xml:space="preserve"> IF($U$293,1,0)</f>
        <v>0</v>
      </c>
      <c r="F293" s="11" t="s">
        <v>1093</v>
      </c>
      <c r="G293" s="11">
        <v>0</v>
      </c>
      <c r="H293" s="11">
        <v>0</v>
      </c>
      <c r="I293" s="11">
        <v>0</v>
      </c>
      <c r="J293" s="11">
        <v>0</v>
      </c>
      <c r="K293" s="11">
        <v>0</v>
      </c>
      <c r="L293" s="11">
        <v>0</v>
      </c>
      <c r="M293" s="11">
        <v>0</v>
      </c>
      <c r="N293" s="11">
        <v>0</v>
      </c>
      <c r="O293" s="11">
        <v>0</v>
      </c>
      <c r="P293" s="11">
        <v>0</v>
      </c>
      <c r="Q293" s="12">
        <v>0</v>
      </c>
      <c r="R293" s="12">
        <v>0</v>
      </c>
      <c r="S293" s="12">
        <f>$G$293*$G$8+$H$293*$H$8+$I$293*$I$8+$J$293*$J$8+$K$293*$K$8+$L$293*$L$8+$M$293*$M$8+$N$293*$N$8+$O$293*$O$8+$P$293*$P$8</f>
        <v>0</v>
      </c>
      <c r="T293" s="12">
        <f>SUM($Q$293:$R$293)</f>
        <v>0</v>
      </c>
      <c r="U293" s="12">
        <f>$S$293+$T$293</f>
        <v>0</v>
      </c>
    </row>
    <row r="294" spans="1:21" x14ac:dyDescent="0.3">
      <c r="A294" s="13" t="s">
        <v>1094</v>
      </c>
      <c r="B294" s="14" t="s">
        <v>1095</v>
      </c>
      <c r="C294" s="14" t="s">
        <v>34</v>
      </c>
      <c r="D294" s="14" t="s">
        <v>1096</v>
      </c>
      <c r="E294" s="14">
        <f xml:space="preserve"> IF($U$294,1,0)</f>
        <v>0</v>
      </c>
      <c r="F294" s="14" t="s">
        <v>1097</v>
      </c>
      <c r="G294" s="14">
        <v>0</v>
      </c>
      <c r="H294" s="14">
        <v>0</v>
      </c>
      <c r="I294" s="14">
        <v>0</v>
      </c>
      <c r="J294" s="14">
        <v>0</v>
      </c>
      <c r="K294" s="14">
        <v>0</v>
      </c>
      <c r="L294" s="14">
        <v>0</v>
      </c>
      <c r="M294" s="14">
        <v>0</v>
      </c>
      <c r="N294" s="14">
        <v>0</v>
      </c>
      <c r="O294" s="14">
        <v>0</v>
      </c>
      <c r="P294" s="14">
        <v>0</v>
      </c>
      <c r="Q294" s="15">
        <v>0</v>
      </c>
      <c r="R294" s="15">
        <v>0</v>
      </c>
      <c r="S294" s="15">
        <f>$G$294*$G$8+$H$294*$H$8+$I$294*$I$8+$J$294*$J$8+$K$294*$K$8+$L$294*$L$8+$M$294*$M$8+$N$294*$N$8+$O$294*$O$8+$P$294*$P$8</f>
        <v>0</v>
      </c>
      <c r="T294" s="15">
        <f>SUM($Q$294:$R$294)</f>
        <v>0</v>
      </c>
      <c r="U294" s="15">
        <f>$S$294+$T$294</f>
        <v>0</v>
      </c>
    </row>
    <row r="295" spans="1:21" x14ac:dyDescent="0.3">
      <c r="A295" s="10" t="s">
        <v>1098</v>
      </c>
      <c r="B295" s="11" t="s">
        <v>1099</v>
      </c>
      <c r="C295" s="11"/>
      <c r="D295" s="11" t="s">
        <v>1100</v>
      </c>
      <c r="E295" s="11">
        <f xml:space="preserve"> IF($U$295,1,0)</f>
        <v>0</v>
      </c>
      <c r="F295" s="11" t="s">
        <v>1101</v>
      </c>
      <c r="G295" s="11">
        <v>0</v>
      </c>
      <c r="H295" s="11">
        <v>0</v>
      </c>
      <c r="I295" s="11">
        <v>0</v>
      </c>
      <c r="J295" s="11">
        <v>0</v>
      </c>
      <c r="K295" s="11">
        <v>0</v>
      </c>
      <c r="L295" s="11">
        <v>0</v>
      </c>
      <c r="M295" s="11">
        <v>0</v>
      </c>
      <c r="N295" s="11">
        <v>0</v>
      </c>
      <c r="O295" s="11">
        <v>0</v>
      </c>
      <c r="P295" s="11">
        <v>0</v>
      </c>
      <c r="Q295" s="12">
        <v>0</v>
      </c>
      <c r="R295" s="12">
        <v>0</v>
      </c>
      <c r="S295" s="12">
        <f>$G$295*$G$8+$H$295*$H$8+$I$295*$I$8+$J$295*$J$8+$K$295*$K$8+$L$295*$L$8+$M$295*$M$8+$N$295*$N$8+$O$295*$O$8+$P$295*$P$8</f>
        <v>0</v>
      </c>
      <c r="T295" s="12">
        <f>SUM($Q$295:$R$295)</f>
        <v>0</v>
      </c>
      <c r="U295" s="12">
        <f>$S$295+$T$295</f>
        <v>0</v>
      </c>
    </row>
    <row r="296" spans="1:21" x14ac:dyDescent="0.3">
      <c r="A296" s="13" t="s">
        <v>1102</v>
      </c>
      <c r="B296" s="14" t="s">
        <v>1103</v>
      </c>
      <c r="C296" s="14"/>
      <c r="D296" s="14" t="s">
        <v>1104</v>
      </c>
      <c r="E296" s="14">
        <f xml:space="preserve"> IF($U$296,1,0)</f>
        <v>0</v>
      </c>
      <c r="F296" s="14" t="s">
        <v>1105</v>
      </c>
      <c r="G296" s="14">
        <v>0</v>
      </c>
      <c r="H296" s="14">
        <v>0</v>
      </c>
      <c r="I296" s="14">
        <v>0</v>
      </c>
      <c r="J296" s="14">
        <v>0</v>
      </c>
      <c r="K296" s="14">
        <v>0</v>
      </c>
      <c r="L296" s="14">
        <v>0</v>
      </c>
      <c r="M296" s="14">
        <v>0</v>
      </c>
      <c r="N296" s="14">
        <v>0</v>
      </c>
      <c r="O296" s="14">
        <v>0</v>
      </c>
      <c r="P296" s="14">
        <v>0</v>
      </c>
      <c r="Q296" s="15">
        <v>0</v>
      </c>
      <c r="R296" s="15">
        <v>0</v>
      </c>
      <c r="S296" s="15">
        <f>$G$296*$G$8+$H$296*$H$8+$I$296*$I$8+$J$296*$J$8+$K$296*$K$8+$L$296*$L$8+$M$296*$M$8+$N$296*$N$8+$O$296*$O$8+$P$296*$P$8</f>
        <v>0</v>
      </c>
      <c r="T296" s="15">
        <f>SUM($Q$296:$R$296)</f>
        <v>0</v>
      </c>
      <c r="U296" s="15">
        <f>$S$296+$T$296</f>
        <v>0</v>
      </c>
    </row>
    <row r="297" spans="1:21" x14ac:dyDescent="0.3">
      <c r="A297" s="10" t="s">
        <v>1106</v>
      </c>
      <c r="B297" s="11" t="s">
        <v>1107</v>
      </c>
      <c r="C297" s="11"/>
      <c r="D297" s="11" t="s">
        <v>1107</v>
      </c>
      <c r="E297" s="11">
        <f xml:space="preserve"> IF($U$297,1,0)</f>
        <v>0</v>
      </c>
      <c r="F297" s="11" t="s">
        <v>1108</v>
      </c>
      <c r="G297" s="11">
        <v>0</v>
      </c>
      <c r="H297" s="11">
        <v>0</v>
      </c>
      <c r="I297" s="11">
        <v>0</v>
      </c>
      <c r="J297" s="11">
        <v>0</v>
      </c>
      <c r="K297" s="11">
        <v>0</v>
      </c>
      <c r="L297" s="11">
        <v>0</v>
      </c>
      <c r="M297" s="11">
        <v>0</v>
      </c>
      <c r="N297" s="11">
        <v>0</v>
      </c>
      <c r="O297" s="11">
        <v>0</v>
      </c>
      <c r="P297" s="11">
        <v>0</v>
      </c>
      <c r="Q297" s="12">
        <v>0</v>
      </c>
      <c r="R297" s="12">
        <v>0</v>
      </c>
      <c r="S297" s="12">
        <f>$G$297*$G$8+$H$297*$H$8+$I$297*$I$8+$J$297*$J$8+$K$297*$K$8+$L$297*$L$8+$M$297*$M$8+$N$297*$N$8+$O$297*$O$8+$P$297*$P$8</f>
        <v>0</v>
      </c>
      <c r="T297" s="12">
        <f>SUM($Q$297:$R$297)</f>
        <v>0</v>
      </c>
      <c r="U297" s="12">
        <f>$S$297+$T$297</f>
        <v>0</v>
      </c>
    </row>
    <row r="298" spans="1:21" x14ac:dyDescent="0.3">
      <c r="A298" s="13" t="s">
        <v>1109</v>
      </c>
      <c r="B298" s="14" t="s">
        <v>1110</v>
      </c>
      <c r="C298" s="14" t="s">
        <v>34</v>
      </c>
      <c r="D298" s="14" t="s">
        <v>1111</v>
      </c>
      <c r="E298" s="14">
        <f xml:space="preserve"> IF($U$298,1,0)</f>
        <v>0</v>
      </c>
      <c r="F298" s="14" t="s">
        <v>1112</v>
      </c>
      <c r="G298" s="14">
        <v>0</v>
      </c>
      <c r="H298" s="14">
        <v>0</v>
      </c>
      <c r="I298" s="14">
        <v>0</v>
      </c>
      <c r="J298" s="14">
        <v>0</v>
      </c>
      <c r="K298" s="14">
        <v>0</v>
      </c>
      <c r="L298" s="14">
        <v>0</v>
      </c>
      <c r="M298" s="14">
        <v>0</v>
      </c>
      <c r="N298" s="14">
        <v>0</v>
      </c>
      <c r="O298" s="14">
        <v>0</v>
      </c>
      <c r="P298" s="14">
        <v>0</v>
      </c>
      <c r="Q298" s="15">
        <v>0</v>
      </c>
      <c r="R298" s="15">
        <v>0</v>
      </c>
      <c r="S298" s="15">
        <f>$G$298*$G$8+$H$298*$H$8+$I$298*$I$8+$J$298*$J$8+$K$298*$K$8+$L$298*$L$8+$M$298*$M$8+$N$298*$N$8+$O$298*$O$8+$P$298*$P$8</f>
        <v>0</v>
      </c>
      <c r="T298" s="15">
        <f>SUM($Q$298:$R$298)</f>
        <v>0</v>
      </c>
      <c r="U298" s="15">
        <f>$S$298+$T$298</f>
        <v>0</v>
      </c>
    </row>
    <row r="299" spans="1:21" x14ac:dyDescent="0.3">
      <c r="A299" s="10" t="s">
        <v>1113</v>
      </c>
      <c r="B299" s="11" t="s">
        <v>1114</v>
      </c>
      <c r="C299" s="11" t="s">
        <v>34</v>
      </c>
      <c r="D299" s="11" t="s">
        <v>239</v>
      </c>
      <c r="E299" s="11">
        <f xml:space="preserve"> IF($U$299,1,0)</f>
        <v>0</v>
      </c>
      <c r="F299" s="11" t="s">
        <v>1115</v>
      </c>
      <c r="G299" s="11">
        <v>0</v>
      </c>
      <c r="H299" s="11">
        <v>0</v>
      </c>
      <c r="I299" s="11">
        <v>0</v>
      </c>
      <c r="J299" s="11">
        <v>0</v>
      </c>
      <c r="K299" s="11">
        <v>0</v>
      </c>
      <c r="L299" s="11">
        <v>0</v>
      </c>
      <c r="M299" s="11">
        <v>0</v>
      </c>
      <c r="N299" s="11">
        <v>0</v>
      </c>
      <c r="O299" s="11">
        <v>0</v>
      </c>
      <c r="P299" s="11">
        <v>0</v>
      </c>
      <c r="Q299" s="12">
        <v>0</v>
      </c>
      <c r="R299" s="12">
        <v>0</v>
      </c>
      <c r="S299" s="12">
        <f>$G$299*$G$8+$H$299*$H$8+$I$299*$I$8+$J$299*$J$8+$K$299*$K$8+$L$299*$L$8+$M$299*$M$8+$N$299*$N$8+$O$299*$O$8+$P$299*$P$8</f>
        <v>0</v>
      </c>
      <c r="T299" s="12">
        <f>SUM($Q$299:$R$299)</f>
        <v>0</v>
      </c>
      <c r="U299" s="12">
        <f>$S$299+$T$299</f>
        <v>0</v>
      </c>
    </row>
    <row r="300" spans="1:21" x14ac:dyDescent="0.3">
      <c r="A300" s="13" t="s">
        <v>1257</v>
      </c>
      <c r="B300" s="14" t="s">
        <v>1117</v>
      </c>
      <c r="C300" s="14" t="s">
        <v>202</v>
      </c>
      <c r="D300" s="14" t="s">
        <v>442</v>
      </c>
      <c r="E300" s="14">
        <f xml:space="preserve"> IF($U$300,1,0)</f>
        <v>1</v>
      </c>
      <c r="F300" s="14" t="s">
        <v>1258</v>
      </c>
      <c r="G300" s="14">
        <v>4</v>
      </c>
      <c r="H300" s="14">
        <v>0</v>
      </c>
      <c r="I300" s="14">
        <v>0</v>
      </c>
      <c r="J300" s="14">
        <v>0</v>
      </c>
      <c r="K300" s="14">
        <v>0</v>
      </c>
      <c r="L300" s="14">
        <v>0</v>
      </c>
      <c r="M300" s="14">
        <v>0</v>
      </c>
      <c r="N300" s="14">
        <v>0</v>
      </c>
      <c r="O300" s="14">
        <v>0</v>
      </c>
      <c r="P300" s="14">
        <v>0</v>
      </c>
      <c r="Q300" s="15">
        <v>0</v>
      </c>
      <c r="R300" s="15">
        <v>0</v>
      </c>
      <c r="S300" s="15">
        <f>$G$300*$G$8+$H$300*$H$8+$I$300*$I$8+$J$300*$J$8+$K$300*$K$8+$L$300*$L$8+$M$300*$M$8+$N$300*$N$8+$O$300*$O$8+$P$300*$P$8</f>
        <v>2.8</v>
      </c>
      <c r="T300" s="15">
        <f>SUM($Q$300:$R$300)</f>
        <v>0</v>
      </c>
      <c r="U300" s="15">
        <f>$S$300+$T$300</f>
        <v>2.8</v>
      </c>
    </row>
    <row r="301" spans="1:21" x14ac:dyDescent="0.3">
      <c r="A301" s="10" t="s">
        <v>1116</v>
      </c>
      <c r="B301" s="11" t="s">
        <v>1117</v>
      </c>
      <c r="C301" s="11"/>
      <c r="D301" s="11" t="s">
        <v>1118</v>
      </c>
      <c r="E301" s="11">
        <f xml:space="preserve"> IF($U$301,1,0)</f>
        <v>0</v>
      </c>
      <c r="F301" s="11" t="s">
        <v>1119</v>
      </c>
      <c r="G301" s="11">
        <v>0</v>
      </c>
      <c r="H301" s="11">
        <v>0</v>
      </c>
      <c r="I301" s="11">
        <v>0</v>
      </c>
      <c r="J301" s="11">
        <v>0</v>
      </c>
      <c r="K301" s="11">
        <v>0</v>
      </c>
      <c r="L301" s="11">
        <v>0</v>
      </c>
      <c r="M301" s="11">
        <v>0</v>
      </c>
      <c r="N301" s="11">
        <v>0</v>
      </c>
      <c r="O301" s="11">
        <v>0</v>
      </c>
      <c r="P301" s="11">
        <v>0</v>
      </c>
      <c r="Q301" s="12">
        <v>0</v>
      </c>
      <c r="R301" s="12">
        <v>0</v>
      </c>
      <c r="S301" s="12">
        <f>$G$301*$G$8+$H$301*$H$8+$I$301*$I$8+$J$301*$J$8+$K$301*$K$8+$L$301*$L$8+$M$301*$M$8+$N$301*$N$8+$O$301*$O$8+$P$301*$P$8</f>
        <v>0</v>
      </c>
      <c r="T301" s="12">
        <f>SUM($Q$301:$R$301)</f>
        <v>0</v>
      </c>
      <c r="U301" s="12">
        <f>$S$301+$T$301</f>
        <v>0</v>
      </c>
    </row>
    <row r="302" spans="1:21" x14ac:dyDescent="0.3">
      <c r="A302" s="13" t="s">
        <v>1120</v>
      </c>
      <c r="B302" s="14" t="s">
        <v>1117</v>
      </c>
      <c r="C302" s="14"/>
      <c r="D302" s="14" t="s">
        <v>1121</v>
      </c>
      <c r="E302" s="14">
        <f xml:space="preserve"> IF($U$302,1,0)</f>
        <v>0</v>
      </c>
      <c r="F302" s="14" t="s">
        <v>1122</v>
      </c>
      <c r="G302" s="14">
        <v>0</v>
      </c>
      <c r="H302" s="14">
        <v>0</v>
      </c>
      <c r="I302" s="14">
        <v>0</v>
      </c>
      <c r="J302" s="14">
        <v>0</v>
      </c>
      <c r="K302" s="14">
        <v>0</v>
      </c>
      <c r="L302" s="14">
        <v>0</v>
      </c>
      <c r="M302" s="14">
        <v>0</v>
      </c>
      <c r="N302" s="14">
        <v>0</v>
      </c>
      <c r="O302" s="14">
        <v>0</v>
      </c>
      <c r="P302" s="14">
        <v>0</v>
      </c>
      <c r="Q302" s="15">
        <v>0</v>
      </c>
      <c r="R302" s="15">
        <v>0</v>
      </c>
      <c r="S302" s="15">
        <f>$G$302*$G$8+$H$302*$H$8+$I$302*$I$8+$J$302*$J$8+$K$302*$K$8+$L$302*$L$8+$M$302*$M$8+$N$302*$N$8+$O$302*$O$8+$P$302*$P$8</f>
        <v>0</v>
      </c>
      <c r="T302" s="15">
        <f>SUM($Q$302:$R$302)</f>
        <v>0</v>
      </c>
      <c r="U302" s="15">
        <f>$S$302+$T$302</f>
        <v>0</v>
      </c>
    </row>
    <row r="303" spans="1:21" x14ac:dyDescent="0.3">
      <c r="A303" s="10" t="s">
        <v>1123</v>
      </c>
      <c r="B303" s="11" t="s">
        <v>1117</v>
      </c>
      <c r="C303" s="11"/>
      <c r="D303" s="11" t="s">
        <v>1124</v>
      </c>
      <c r="E303" s="11">
        <f xml:space="preserve"> IF($U$303,1,0)</f>
        <v>0</v>
      </c>
      <c r="F303" s="11" t="s">
        <v>1125</v>
      </c>
      <c r="G303" s="11">
        <v>0</v>
      </c>
      <c r="H303" s="11">
        <v>0</v>
      </c>
      <c r="I303" s="11">
        <v>0</v>
      </c>
      <c r="J303" s="11">
        <v>0</v>
      </c>
      <c r="K303" s="11">
        <v>0</v>
      </c>
      <c r="L303" s="11">
        <v>0</v>
      </c>
      <c r="M303" s="11">
        <v>0</v>
      </c>
      <c r="N303" s="11">
        <v>0</v>
      </c>
      <c r="O303" s="11">
        <v>0</v>
      </c>
      <c r="P303" s="11">
        <v>0</v>
      </c>
      <c r="Q303" s="12">
        <v>0</v>
      </c>
      <c r="R303" s="12">
        <v>0</v>
      </c>
      <c r="S303" s="12">
        <f>$G$303*$G$8+$H$303*$H$8+$I$303*$I$8+$J$303*$J$8+$K$303*$K$8+$L$303*$L$8+$M$303*$M$8+$N$303*$N$8+$O$303*$O$8+$P$303*$P$8</f>
        <v>0</v>
      </c>
      <c r="T303" s="12">
        <f>SUM($Q$303:$R$303)</f>
        <v>0</v>
      </c>
      <c r="U303" s="12">
        <f>$S$303+$T$303</f>
        <v>0</v>
      </c>
    </row>
    <row r="304" spans="1:21" x14ac:dyDescent="0.3">
      <c r="A304" s="13" t="s">
        <v>1126</v>
      </c>
      <c r="B304" s="14" t="s">
        <v>1117</v>
      </c>
      <c r="C304" s="14"/>
      <c r="D304" s="14" t="s">
        <v>1127</v>
      </c>
      <c r="E304" s="14">
        <f xml:space="preserve"> IF($U$304,1,0)</f>
        <v>0</v>
      </c>
      <c r="F304" s="14" t="s">
        <v>1128</v>
      </c>
      <c r="G304" s="14">
        <v>0</v>
      </c>
      <c r="H304" s="14">
        <v>0</v>
      </c>
      <c r="I304" s="14">
        <v>0</v>
      </c>
      <c r="J304" s="14">
        <v>0</v>
      </c>
      <c r="K304" s="14">
        <v>0</v>
      </c>
      <c r="L304" s="14">
        <v>0</v>
      </c>
      <c r="M304" s="14">
        <v>0</v>
      </c>
      <c r="N304" s="14">
        <v>0</v>
      </c>
      <c r="O304" s="14">
        <v>0</v>
      </c>
      <c r="P304" s="14">
        <v>0</v>
      </c>
      <c r="Q304" s="15">
        <v>0</v>
      </c>
      <c r="R304" s="15">
        <v>0</v>
      </c>
      <c r="S304" s="15">
        <f>$G$304*$G$8+$H$304*$H$8+$I$304*$I$8+$J$304*$J$8+$K$304*$K$8+$L$304*$L$8+$M$304*$M$8+$N$304*$N$8+$O$304*$O$8+$P$304*$P$8</f>
        <v>0</v>
      </c>
      <c r="T304" s="15">
        <f>SUM($Q$304:$R$304)</f>
        <v>0</v>
      </c>
      <c r="U304" s="15">
        <f>$S$304+$T$304</f>
        <v>0</v>
      </c>
    </row>
    <row r="305" spans="1:21" x14ac:dyDescent="0.3">
      <c r="A305" s="10" t="s">
        <v>1129</v>
      </c>
      <c r="B305" s="11" t="s">
        <v>1130</v>
      </c>
      <c r="C305" s="11" t="s">
        <v>34</v>
      </c>
      <c r="D305" s="11" t="s">
        <v>1131</v>
      </c>
      <c r="E305" s="11">
        <f xml:space="preserve"> IF($U$305,1,0)</f>
        <v>0</v>
      </c>
      <c r="F305" s="11" t="s">
        <v>1132</v>
      </c>
      <c r="G305" s="11">
        <v>0</v>
      </c>
      <c r="H305" s="11">
        <v>0</v>
      </c>
      <c r="I305" s="11">
        <v>0</v>
      </c>
      <c r="J305" s="11">
        <v>0</v>
      </c>
      <c r="K305" s="11">
        <v>0</v>
      </c>
      <c r="L305" s="11">
        <v>0</v>
      </c>
      <c r="M305" s="11">
        <v>0</v>
      </c>
      <c r="N305" s="11">
        <v>0</v>
      </c>
      <c r="O305" s="11">
        <v>0</v>
      </c>
      <c r="P305" s="11">
        <v>0</v>
      </c>
      <c r="Q305" s="12">
        <v>0</v>
      </c>
      <c r="R305" s="12">
        <v>0</v>
      </c>
      <c r="S305" s="12">
        <f>$G$305*$G$8+$H$305*$H$8+$I$305*$I$8+$J$305*$J$8+$K$305*$K$8+$L$305*$L$8+$M$305*$M$8+$N$305*$N$8+$O$305*$O$8+$P$305*$P$8</f>
        <v>0</v>
      </c>
      <c r="T305" s="12">
        <f>SUM($Q$305:$R$305)</f>
        <v>0</v>
      </c>
      <c r="U305" s="12">
        <f>$S$305+$T$305</f>
        <v>0</v>
      </c>
    </row>
    <row r="306" spans="1:21" x14ac:dyDescent="0.3">
      <c r="A306" s="13" t="s">
        <v>1133</v>
      </c>
      <c r="B306" s="14" t="s">
        <v>1134</v>
      </c>
      <c r="C306" s="14"/>
      <c r="D306" s="14" t="s">
        <v>1135</v>
      </c>
      <c r="E306" s="14">
        <f xml:space="preserve"> IF($U$306,1,0)</f>
        <v>0</v>
      </c>
      <c r="F306" s="14" t="s">
        <v>1136</v>
      </c>
      <c r="G306" s="14">
        <v>0</v>
      </c>
      <c r="H306" s="14">
        <v>0</v>
      </c>
      <c r="I306" s="14">
        <v>0</v>
      </c>
      <c r="J306" s="14">
        <v>0</v>
      </c>
      <c r="K306" s="14">
        <v>0</v>
      </c>
      <c r="L306" s="14">
        <v>0</v>
      </c>
      <c r="M306" s="14">
        <v>0</v>
      </c>
      <c r="N306" s="14">
        <v>0</v>
      </c>
      <c r="O306" s="14">
        <v>0</v>
      </c>
      <c r="P306" s="14">
        <v>0</v>
      </c>
      <c r="Q306" s="15">
        <v>0</v>
      </c>
      <c r="R306" s="15">
        <v>0</v>
      </c>
      <c r="S306" s="15">
        <f>$G$306*$G$8+$H$306*$H$8+$I$306*$I$8+$J$306*$J$8+$K$306*$K$8+$L$306*$L$8+$M$306*$M$8+$N$306*$N$8+$O$306*$O$8+$P$306*$P$8</f>
        <v>0</v>
      </c>
      <c r="T306" s="15">
        <f>SUM($Q$306:$R$306)</f>
        <v>0</v>
      </c>
      <c r="U306" s="15">
        <f>$S$306+$T$306</f>
        <v>0</v>
      </c>
    </row>
    <row r="307" spans="1:21" x14ac:dyDescent="0.3">
      <c r="A307" s="10" t="s">
        <v>1137</v>
      </c>
      <c r="B307" s="11" t="s">
        <v>1138</v>
      </c>
      <c r="C307" s="11"/>
      <c r="D307" s="11" t="s">
        <v>1139</v>
      </c>
      <c r="E307" s="11">
        <f xml:space="preserve"> IF($U$307,1,0)</f>
        <v>0</v>
      </c>
      <c r="F307" s="11" t="s">
        <v>1140</v>
      </c>
      <c r="G307" s="11">
        <v>0</v>
      </c>
      <c r="H307" s="11">
        <v>0</v>
      </c>
      <c r="I307" s="11">
        <v>0</v>
      </c>
      <c r="J307" s="11">
        <v>0</v>
      </c>
      <c r="K307" s="11">
        <v>0</v>
      </c>
      <c r="L307" s="11">
        <v>0</v>
      </c>
      <c r="M307" s="11">
        <v>0</v>
      </c>
      <c r="N307" s="11">
        <v>0</v>
      </c>
      <c r="O307" s="11">
        <v>0</v>
      </c>
      <c r="P307" s="11">
        <v>0</v>
      </c>
      <c r="Q307" s="12">
        <v>0</v>
      </c>
      <c r="R307" s="12">
        <v>0</v>
      </c>
      <c r="S307" s="12">
        <f>$G$307*$G$8+$H$307*$H$8+$I$307*$I$8+$J$307*$J$8+$K$307*$K$8+$L$307*$L$8+$M$307*$M$8+$N$307*$N$8+$O$307*$O$8+$P$307*$P$8</f>
        <v>0</v>
      </c>
      <c r="T307" s="12">
        <f>SUM($Q$307:$R$307)</f>
        <v>0</v>
      </c>
      <c r="U307" s="12">
        <f>$S$307+$T$307</f>
        <v>0</v>
      </c>
    </row>
    <row r="308" spans="1:21" x14ac:dyDescent="0.3">
      <c r="A308" s="13" t="s">
        <v>1141</v>
      </c>
      <c r="B308" s="14" t="s">
        <v>1142</v>
      </c>
      <c r="C308" s="14" t="s">
        <v>202</v>
      </c>
      <c r="D308" s="14" t="s">
        <v>442</v>
      </c>
      <c r="E308" s="14">
        <f xml:space="preserve"> IF($U$308,1,0)</f>
        <v>0</v>
      </c>
      <c r="F308" s="14" t="s">
        <v>1143</v>
      </c>
      <c r="G308" s="14">
        <v>0</v>
      </c>
      <c r="H308" s="14">
        <v>0</v>
      </c>
      <c r="I308" s="14">
        <v>0</v>
      </c>
      <c r="J308" s="14">
        <v>0</v>
      </c>
      <c r="K308" s="14">
        <v>0</v>
      </c>
      <c r="L308" s="14">
        <v>0</v>
      </c>
      <c r="M308" s="14">
        <v>0</v>
      </c>
      <c r="N308" s="14">
        <v>0</v>
      </c>
      <c r="O308" s="14">
        <v>0</v>
      </c>
      <c r="P308" s="14">
        <v>0</v>
      </c>
      <c r="Q308" s="15">
        <v>0</v>
      </c>
      <c r="R308" s="15">
        <v>0</v>
      </c>
      <c r="S308" s="15">
        <f>$G$308*$G$8+$H$308*$H$8+$I$308*$I$8+$J$308*$J$8+$K$308*$K$8+$L$308*$L$8+$M$308*$M$8+$N$308*$N$8+$O$308*$O$8+$P$308*$P$8</f>
        <v>0</v>
      </c>
      <c r="T308" s="15">
        <f>SUM($Q$308:$R$308)</f>
        <v>0</v>
      </c>
      <c r="U308" s="15">
        <f>$S$308+$T$308</f>
        <v>0</v>
      </c>
    </row>
    <row r="309" spans="1:21" x14ac:dyDescent="0.3">
      <c r="A309" s="10" t="s">
        <v>1144</v>
      </c>
      <c r="B309" s="11" t="s">
        <v>1142</v>
      </c>
      <c r="C309" s="11"/>
      <c r="D309" s="11" t="s">
        <v>1145</v>
      </c>
      <c r="E309" s="11">
        <f xml:space="preserve"> IF($U$309,1,0)</f>
        <v>1</v>
      </c>
      <c r="F309" s="11" t="s">
        <v>1146</v>
      </c>
      <c r="G309" s="11">
        <v>3</v>
      </c>
      <c r="H309" s="11">
        <v>0</v>
      </c>
      <c r="I309" s="11">
        <v>1</v>
      </c>
      <c r="J309" s="11">
        <v>0</v>
      </c>
      <c r="K309" s="11">
        <v>0</v>
      </c>
      <c r="L309" s="11">
        <v>0</v>
      </c>
      <c r="M309" s="11">
        <v>0</v>
      </c>
      <c r="N309" s="11">
        <v>0</v>
      </c>
      <c r="O309" s="11">
        <v>0</v>
      </c>
      <c r="P309" s="11">
        <v>0</v>
      </c>
      <c r="Q309" s="12">
        <v>0</v>
      </c>
      <c r="R309" s="12">
        <v>0</v>
      </c>
      <c r="S309" s="12">
        <f>$G$309*$G$8+$H$309*$H$8+$I$309*$I$8+$J$309*$J$8+$K$309*$K$8+$L$309*$L$8+$M$309*$M$8+$N$309*$N$8+$O$309*$O$8+$P$309*$P$8</f>
        <v>3.0999999999999996</v>
      </c>
      <c r="T309" s="12">
        <f>SUM($Q$309:$R$309)</f>
        <v>0</v>
      </c>
      <c r="U309" s="12">
        <f>$S$309+$T$309</f>
        <v>3.0999999999999996</v>
      </c>
    </row>
    <row r="310" spans="1:21" x14ac:dyDescent="0.3">
      <c r="A310" s="13" t="s">
        <v>1147</v>
      </c>
      <c r="B310" s="14" t="s">
        <v>1142</v>
      </c>
      <c r="C310" s="14"/>
      <c r="D310" s="14" t="s">
        <v>138</v>
      </c>
      <c r="E310" s="14">
        <f xml:space="preserve"> IF($U$310,1,0)</f>
        <v>0</v>
      </c>
      <c r="F310" s="14" t="s">
        <v>1148</v>
      </c>
      <c r="G310" s="14">
        <v>0</v>
      </c>
      <c r="H310" s="14">
        <v>0</v>
      </c>
      <c r="I310" s="14">
        <v>0</v>
      </c>
      <c r="J310" s="14">
        <v>0</v>
      </c>
      <c r="K310" s="14">
        <v>0</v>
      </c>
      <c r="L310" s="14">
        <v>0</v>
      </c>
      <c r="M310" s="14">
        <v>0</v>
      </c>
      <c r="N310" s="14">
        <v>0</v>
      </c>
      <c r="O310" s="14">
        <v>0</v>
      </c>
      <c r="P310" s="14">
        <v>0</v>
      </c>
      <c r="Q310" s="15">
        <v>0</v>
      </c>
      <c r="R310" s="15">
        <v>0</v>
      </c>
      <c r="S310" s="15">
        <f>$G$310*$G$8+$H$310*$H$8+$I$310*$I$8+$J$310*$J$8+$K$310*$K$8+$L$310*$L$8+$M$310*$M$8+$N$310*$N$8+$O$310*$O$8+$P$310*$P$8</f>
        <v>0</v>
      </c>
      <c r="T310" s="15">
        <f>SUM($Q$310:$R$310)</f>
        <v>0</v>
      </c>
      <c r="U310" s="15">
        <f>$S$310+$T$310</f>
        <v>0</v>
      </c>
    </row>
    <row r="311" spans="1:21" x14ac:dyDescent="0.3">
      <c r="A311" s="10" t="s">
        <v>1149</v>
      </c>
      <c r="B311" s="11" t="s">
        <v>1142</v>
      </c>
      <c r="C311" s="11"/>
      <c r="D311" s="11" t="s">
        <v>1150</v>
      </c>
      <c r="E311" s="11">
        <f xml:space="preserve"> IF($U$311,1,0)</f>
        <v>0</v>
      </c>
      <c r="F311" s="11" t="s">
        <v>1151</v>
      </c>
      <c r="G311" s="11">
        <v>0</v>
      </c>
      <c r="H311" s="11">
        <v>0</v>
      </c>
      <c r="I311" s="11">
        <v>0</v>
      </c>
      <c r="J311" s="11">
        <v>0</v>
      </c>
      <c r="K311" s="11">
        <v>0</v>
      </c>
      <c r="L311" s="11">
        <v>0</v>
      </c>
      <c r="M311" s="11">
        <v>0</v>
      </c>
      <c r="N311" s="11">
        <v>0</v>
      </c>
      <c r="O311" s="11">
        <v>0</v>
      </c>
      <c r="P311" s="11">
        <v>0</v>
      </c>
      <c r="Q311" s="12">
        <v>0</v>
      </c>
      <c r="R311" s="12">
        <v>0</v>
      </c>
      <c r="S311" s="12">
        <f>$G$311*$G$8+$H$311*$H$8+$I$311*$I$8+$J$311*$J$8+$K$311*$K$8+$L$311*$L$8+$M$311*$M$8+$N$311*$N$8+$O$311*$O$8+$P$311*$P$8</f>
        <v>0</v>
      </c>
      <c r="T311" s="12">
        <f>SUM($Q$311:$R$311)</f>
        <v>0</v>
      </c>
      <c r="U311" s="12">
        <f>$S$311+$T$311</f>
        <v>0</v>
      </c>
    </row>
    <row r="312" spans="1:21" x14ac:dyDescent="0.3">
      <c r="A312" s="13" t="s">
        <v>1152</v>
      </c>
      <c r="B312" s="14" t="s">
        <v>1142</v>
      </c>
      <c r="C312" s="14"/>
      <c r="D312" s="14" t="s">
        <v>1153</v>
      </c>
      <c r="E312" s="14">
        <f xml:space="preserve"> IF($U$312,1,0)</f>
        <v>0</v>
      </c>
      <c r="F312" s="14" t="s">
        <v>1154</v>
      </c>
      <c r="G312" s="14">
        <v>0</v>
      </c>
      <c r="H312" s="14">
        <v>0</v>
      </c>
      <c r="I312" s="14">
        <v>0</v>
      </c>
      <c r="J312" s="14">
        <v>0</v>
      </c>
      <c r="K312" s="14">
        <v>0</v>
      </c>
      <c r="L312" s="14">
        <v>0</v>
      </c>
      <c r="M312" s="14">
        <v>0</v>
      </c>
      <c r="N312" s="14">
        <v>0</v>
      </c>
      <c r="O312" s="14">
        <v>0</v>
      </c>
      <c r="P312" s="14">
        <v>0</v>
      </c>
      <c r="Q312" s="15">
        <v>0</v>
      </c>
      <c r="R312" s="15">
        <v>0</v>
      </c>
      <c r="S312" s="15">
        <f>$G$312*$G$8+$H$312*$H$8+$I$312*$I$8+$J$312*$J$8+$K$312*$K$8+$L$312*$L$8+$M$312*$M$8+$N$312*$N$8+$O$312*$O$8+$P$312*$P$8</f>
        <v>0</v>
      </c>
      <c r="T312" s="15">
        <f>SUM($Q$312:$R$312)</f>
        <v>0</v>
      </c>
      <c r="U312" s="15">
        <f>$S$312+$T$312</f>
        <v>0</v>
      </c>
    </row>
    <row r="313" spans="1:21" x14ac:dyDescent="0.3">
      <c r="A313" s="10" t="s">
        <v>1155</v>
      </c>
      <c r="B313" s="11" t="s">
        <v>1156</v>
      </c>
      <c r="C313" s="11"/>
      <c r="D313" s="11" t="s">
        <v>1157</v>
      </c>
      <c r="E313" s="11">
        <f xml:space="preserve"> IF($U$313,1,0)</f>
        <v>0</v>
      </c>
      <c r="F313" s="11" t="s">
        <v>1158</v>
      </c>
      <c r="G313" s="11">
        <v>0</v>
      </c>
      <c r="H313" s="11">
        <v>0</v>
      </c>
      <c r="I313" s="11">
        <v>0</v>
      </c>
      <c r="J313" s="11">
        <v>0</v>
      </c>
      <c r="K313" s="11">
        <v>0</v>
      </c>
      <c r="L313" s="11">
        <v>0</v>
      </c>
      <c r="M313" s="11">
        <v>0</v>
      </c>
      <c r="N313" s="11">
        <v>0</v>
      </c>
      <c r="O313" s="11">
        <v>0</v>
      </c>
      <c r="P313" s="11">
        <v>0</v>
      </c>
      <c r="Q313" s="12">
        <v>0</v>
      </c>
      <c r="R313" s="12">
        <v>0</v>
      </c>
      <c r="S313" s="12">
        <f>$G$313*$G$8+$H$313*$H$8+$I$313*$I$8+$J$313*$J$8+$K$313*$K$8+$L$313*$L$8+$M$313*$M$8+$N$313*$N$8+$O$313*$O$8+$P$313*$P$8</f>
        <v>0</v>
      </c>
      <c r="T313" s="12">
        <f>SUM($Q$313:$R$313)</f>
        <v>0</v>
      </c>
      <c r="U313" s="12">
        <f>$S$313+$T$313</f>
        <v>0</v>
      </c>
    </row>
    <row r="314" spans="1:21" x14ac:dyDescent="0.3">
      <c r="A314" s="13" t="s">
        <v>1159</v>
      </c>
      <c r="B314" s="14" t="s">
        <v>1160</v>
      </c>
      <c r="C314" s="14"/>
      <c r="D314" s="14" t="s">
        <v>1161</v>
      </c>
      <c r="E314" s="14">
        <f xml:space="preserve"> IF($U$314,1,0)</f>
        <v>0</v>
      </c>
      <c r="F314" s="14" t="s">
        <v>1162</v>
      </c>
      <c r="G314" s="14">
        <v>0</v>
      </c>
      <c r="H314" s="14">
        <v>0</v>
      </c>
      <c r="I314" s="14">
        <v>0</v>
      </c>
      <c r="J314" s="14">
        <v>0</v>
      </c>
      <c r="K314" s="14">
        <v>0</v>
      </c>
      <c r="L314" s="14">
        <v>0</v>
      </c>
      <c r="M314" s="14">
        <v>0</v>
      </c>
      <c r="N314" s="14">
        <v>0</v>
      </c>
      <c r="O314" s="14">
        <v>0</v>
      </c>
      <c r="P314" s="14">
        <v>0</v>
      </c>
      <c r="Q314" s="15">
        <v>0</v>
      </c>
      <c r="R314" s="15">
        <v>0</v>
      </c>
      <c r="S314" s="15">
        <f>$G$314*$G$8+$H$314*$H$8+$I$314*$I$8+$J$314*$J$8+$K$314*$K$8+$L$314*$L$8+$M$314*$M$8+$N$314*$N$8+$O$314*$O$8+$P$314*$P$8</f>
        <v>0</v>
      </c>
      <c r="T314" s="15">
        <f>SUM($Q$314:$R$314)</f>
        <v>0</v>
      </c>
      <c r="U314" s="15">
        <f>$S$314+$T$314</f>
        <v>0</v>
      </c>
    </row>
    <row r="315" spans="1:21" x14ac:dyDescent="0.3">
      <c r="A315" s="10" t="s">
        <v>1163</v>
      </c>
      <c r="B315" s="11" t="s">
        <v>1160</v>
      </c>
      <c r="C315" s="11"/>
      <c r="D315" s="11" t="s">
        <v>1164</v>
      </c>
      <c r="E315" s="11">
        <f xml:space="preserve"> IF($U$315,1,0)</f>
        <v>0</v>
      </c>
      <c r="F315" s="11" t="s">
        <v>1165</v>
      </c>
      <c r="G315" s="11">
        <v>0</v>
      </c>
      <c r="H315" s="11">
        <v>0</v>
      </c>
      <c r="I315" s="11">
        <v>0</v>
      </c>
      <c r="J315" s="11">
        <v>0</v>
      </c>
      <c r="K315" s="11">
        <v>0</v>
      </c>
      <c r="L315" s="11">
        <v>0</v>
      </c>
      <c r="M315" s="11">
        <v>0</v>
      </c>
      <c r="N315" s="11">
        <v>0</v>
      </c>
      <c r="O315" s="11">
        <v>0</v>
      </c>
      <c r="P315" s="11">
        <v>0</v>
      </c>
      <c r="Q315" s="12">
        <v>0</v>
      </c>
      <c r="R315" s="12">
        <v>0</v>
      </c>
      <c r="S315" s="12">
        <f>$G$315*$G$8+$H$315*$H$8+$I$315*$I$8+$J$315*$J$8+$K$315*$K$8+$L$315*$L$8+$M$315*$M$8+$N$315*$N$8+$O$315*$O$8+$P$315*$P$8</f>
        <v>0</v>
      </c>
      <c r="T315" s="12">
        <f>SUM($Q$315:$R$315)</f>
        <v>0</v>
      </c>
      <c r="U315" s="12">
        <f>$S$315+$T$315</f>
        <v>0</v>
      </c>
    </row>
    <row r="316" spans="1:21" x14ac:dyDescent="0.3">
      <c r="A316" s="13" t="s">
        <v>1166</v>
      </c>
      <c r="B316" s="14" t="s">
        <v>1160</v>
      </c>
      <c r="C316" s="14" t="s">
        <v>243</v>
      </c>
      <c r="D316" s="14" t="s">
        <v>1167</v>
      </c>
      <c r="E316" s="14">
        <f xml:space="preserve"> IF($U$316,1,0)</f>
        <v>1</v>
      </c>
      <c r="F316" s="14" t="s">
        <v>1168</v>
      </c>
      <c r="G316" s="14">
        <v>1</v>
      </c>
      <c r="H316" s="14">
        <v>1</v>
      </c>
      <c r="I316" s="14">
        <v>0</v>
      </c>
      <c r="J316" s="14">
        <v>0</v>
      </c>
      <c r="K316" s="14">
        <v>0</v>
      </c>
      <c r="L316" s="14">
        <v>1</v>
      </c>
      <c r="M316" s="14">
        <v>0</v>
      </c>
      <c r="N316" s="14">
        <v>0</v>
      </c>
      <c r="O316" s="14">
        <v>0</v>
      </c>
      <c r="P316" s="14">
        <v>0</v>
      </c>
      <c r="Q316" s="15">
        <v>0</v>
      </c>
      <c r="R316" s="15">
        <v>0</v>
      </c>
      <c r="S316" s="15">
        <f>$G$316*$G$8+$H$316*$H$8+$I$316*$I$8+$J$316*$J$8+$K$316*$K$8+$L$316*$L$8+$M$316*$M$8+$N$316*$N$8+$O$316*$O$8+$P$316*$P$8</f>
        <v>5.5</v>
      </c>
      <c r="T316" s="15">
        <f>SUM($Q$316:$R$316)</f>
        <v>0</v>
      </c>
      <c r="U316" s="15">
        <f>$S$316+$T$316</f>
        <v>5.5</v>
      </c>
    </row>
    <row r="317" spans="1:21" x14ac:dyDescent="0.3">
      <c r="A317" s="10" t="s">
        <v>1169</v>
      </c>
      <c r="B317" s="11" t="s">
        <v>1170</v>
      </c>
      <c r="C317" s="11"/>
      <c r="D317" s="11" t="s">
        <v>1171</v>
      </c>
      <c r="E317" s="11">
        <f xml:space="preserve"> IF($U$317,1,0)</f>
        <v>0</v>
      </c>
      <c r="F317" s="11" t="s">
        <v>1172</v>
      </c>
      <c r="G317" s="11">
        <v>0</v>
      </c>
      <c r="H317" s="11">
        <v>0</v>
      </c>
      <c r="I317" s="11">
        <v>0</v>
      </c>
      <c r="J317" s="11">
        <v>0</v>
      </c>
      <c r="K317" s="11">
        <v>0</v>
      </c>
      <c r="L317" s="11">
        <v>0</v>
      </c>
      <c r="M317" s="11">
        <v>0</v>
      </c>
      <c r="N317" s="11">
        <v>0</v>
      </c>
      <c r="O317" s="11">
        <v>0</v>
      </c>
      <c r="P317" s="11">
        <v>0</v>
      </c>
      <c r="Q317" s="12">
        <v>0</v>
      </c>
      <c r="R317" s="12">
        <v>0</v>
      </c>
      <c r="S317" s="12">
        <f>$G$317*$G$8+$H$317*$H$8+$I$317*$I$8+$J$317*$J$8+$K$317*$K$8+$L$317*$L$8+$M$317*$M$8+$N$317*$N$8+$O$317*$O$8+$P$317*$P$8</f>
        <v>0</v>
      </c>
      <c r="T317" s="12">
        <f>SUM($Q$317:$R$317)</f>
        <v>0</v>
      </c>
      <c r="U317" s="12">
        <f>$S$317+$T$317</f>
        <v>0</v>
      </c>
    </row>
    <row r="318" spans="1:21" x14ac:dyDescent="0.3">
      <c r="A318" s="13" t="s">
        <v>1173</v>
      </c>
      <c r="B318" s="14" t="s">
        <v>1174</v>
      </c>
      <c r="C318" s="14"/>
      <c r="D318" s="14" t="s">
        <v>1175</v>
      </c>
      <c r="E318" s="14">
        <f xml:space="preserve"> IF($U$318,1,0)</f>
        <v>0</v>
      </c>
      <c r="F318" s="14" t="s">
        <v>1176</v>
      </c>
      <c r="G318" s="14">
        <v>0</v>
      </c>
      <c r="H318" s="14">
        <v>0</v>
      </c>
      <c r="I318" s="14">
        <v>0</v>
      </c>
      <c r="J318" s="14">
        <v>0</v>
      </c>
      <c r="K318" s="14">
        <v>0</v>
      </c>
      <c r="L318" s="14">
        <v>0</v>
      </c>
      <c r="M318" s="14">
        <v>0</v>
      </c>
      <c r="N318" s="14">
        <v>0</v>
      </c>
      <c r="O318" s="14">
        <v>0</v>
      </c>
      <c r="P318" s="14">
        <v>0</v>
      </c>
      <c r="Q318" s="15">
        <v>0</v>
      </c>
      <c r="R318" s="15">
        <v>0</v>
      </c>
      <c r="S318" s="15">
        <f>$G$318*$G$8+$H$318*$H$8+$I$318*$I$8+$J$318*$J$8+$K$318*$K$8+$L$318*$L$8+$M$318*$M$8+$N$318*$N$8+$O$318*$O$8+$P$318*$P$8</f>
        <v>0</v>
      </c>
      <c r="T318" s="15">
        <f>SUM($Q$318:$R$318)</f>
        <v>0</v>
      </c>
      <c r="U318" s="15">
        <f>$S$318+$T$318</f>
        <v>0</v>
      </c>
    </row>
    <row r="319" spans="1:21" x14ac:dyDescent="0.3">
      <c r="A319" s="10" t="s">
        <v>1177</v>
      </c>
      <c r="B319" s="11" t="s">
        <v>1174</v>
      </c>
      <c r="C319" s="11" t="s">
        <v>65</v>
      </c>
      <c r="D319" s="11" t="s">
        <v>1178</v>
      </c>
      <c r="E319" s="11">
        <f xml:space="preserve"> IF($U$319,1,0)</f>
        <v>0</v>
      </c>
      <c r="F319" s="11" t="s">
        <v>1179</v>
      </c>
      <c r="G319" s="11">
        <v>0</v>
      </c>
      <c r="H319" s="11">
        <v>0</v>
      </c>
      <c r="I319" s="11">
        <v>0</v>
      </c>
      <c r="J319" s="11">
        <v>0</v>
      </c>
      <c r="K319" s="11">
        <v>0</v>
      </c>
      <c r="L319" s="11">
        <v>0</v>
      </c>
      <c r="M319" s="11">
        <v>0</v>
      </c>
      <c r="N319" s="11">
        <v>0</v>
      </c>
      <c r="O319" s="11">
        <v>0</v>
      </c>
      <c r="P319" s="11">
        <v>0</v>
      </c>
      <c r="Q319" s="12">
        <v>0</v>
      </c>
      <c r="R319" s="12">
        <v>0</v>
      </c>
      <c r="S319" s="12">
        <f>$G$319*$G$8+$H$319*$H$8+$I$319*$I$8+$J$319*$J$8+$K$319*$K$8+$L$319*$L$8+$M$319*$M$8+$N$319*$N$8+$O$319*$O$8+$P$319*$P$8</f>
        <v>0</v>
      </c>
      <c r="T319" s="12">
        <f>SUM($Q$319:$R$319)</f>
        <v>0</v>
      </c>
      <c r="U319" s="12">
        <f>$S$319+$T$319</f>
        <v>0</v>
      </c>
    </row>
    <row r="320" spans="1:21" x14ac:dyDescent="0.3">
      <c r="A320" s="13" t="s">
        <v>1180</v>
      </c>
      <c r="B320" s="14" t="s">
        <v>1181</v>
      </c>
      <c r="C320" s="14"/>
      <c r="D320" s="14" t="s">
        <v>1182</v>
      </c>
      <c r="E320" s="14">
        <f xml:space="preserve"> IF($U$320,1,0)</f>
        <v>0</v>
      </c>
      <c r="F320" s="14" t="s">
        <v>1183</v>
      </c>
      <c r="G320" s="14">
        <v>0</v>
      </c>
      <c r="H320" s="14">
        <v>0</v>
      </c>
      <c r="I320" s="14">
        <v>0</v>
      </c>
      <c r="J320" s="14">
        <v>0</v>
      </c>
      <c r="K320" s="14">
        <v>0</v>
      </c>
      <c r="L320" s="14">
        <v>0</v>
      </c>
      <c r="M320" s="14">
        <v>0</v>
      </c>
      <c r="N320" s="14">
        <v>0</v>
      </c>
      <c r="O320" s="14">
        <v>0</v>
      </c>
      <c r="P320" s="14">
        <v>0</v>
      </c>
      <c r="Q320" s="15">
        <v>0</v>
      </c>
      <c r="R320" s="15">
        <v>0</v>
      </c>
      <c r="S320" s="15">
        <f>$G$320*$G$8+$H$320*$H$8+$I$320*$I$8+$J$320*$J$8+$K$320*$K$8+$L$320*$L$8+$M$320*$M$8+$N$320*$N$8+$O$320*$O$8+$P$320*$P$8</f>
        <v>0</v>
      </c>
      <c r="T320" s="15">
        <f>SUM($Q$320:$R$320)</f>
        <v>0</v>
      </c>
      <c r="U320" s="15">
        <f>$S$320+$T$320</f>
        <v>0</v>
      </c>
    </row>
    <row r="321" spans="1:21" x14ac:dyDescent="0.3">
      <c r="A321" s="10" t="s">
        <v>1184</v>
      </c>
      <c r="B321" s="11" t="s">
        <v>1185</v>
      </c>
      <c r="C321" s="11" t="s">
        <v>65</v>
      </c>
      <c r="D321" s="11" t="s">
        <v>1186</v>
      </c>
      <c r="E321" s="11">
        <f xml:space="preserve"> IF($U$321,1,0)</f>
        <v>0</v>
      </c>
      <c r="F321" s="11" t="s">
        <v>1187</v>
      </c>
      <c r="G321" s="11">
        <v>0</v>
      </c>
      <c r="H321" s="11">
        <v>0</v>
      </c>
      <c r="I321" s="11">
        <v>0</v>
      </c>
      <c r="J321" s="11">
        <v>0</v>
      </c>
      <c r="K321" s="11">
        <v>0</v>
      </c>
      <c r="L321" s="11">
        <v>0</v>
      </c>
      <c r="M321" s="11">
        <v>0</v>
      </c>
      <c r="N321" s="11">
        <v>0</v>
      </c>
      <c r="O321" s="11">
        <v>0</v>
      </c>
      <c r="P321" s="11">
        <v>0</v>
      </c>
      <c r="Q321" s="12">
        <v>0</v>
      </c>
      <c r="R321" s="12">
        <v>0</v>
      </c>
      <c r="S321" s="12">
        <f>$G$321*$G$8+$H$321*$H$8+$I$321*$I$8+$J$321*$J$8+$K$321*$K$8+$L$321*$L$8+$M$321*$M$8+$N$321*$N$8+$O$321*$O$8+$P$321*$P$8</f>
        <v>0</v>
      </c>
      <c r="T321" s="12">
        <f>SUM($Q$321:$R$321)</f>
        <v>0</v>
      </c>
      <c r="U321" s="12">
        <f>$S$321+$T$321</f>
        <v>0</v>
      </c>
    </row>
    <row r="322" spans="1:21" x14ac:dyDescent="0.3">
      <c r="A322" s="13" t="s">
        <v>1188</v>
      </c>
      <c r="B322" s="14" t="s">
        <v>1189</v>
      </c>
      <c r="C322" s="14"/>
      <c r="D322" s="14" t="s">
        <v>1190</v>
      </c>
      <c r="E322" s="14">
        <f xml:space="preserve"> IF($U$322,1,0)</f>
        <v>0</v>
      </c>
      <c r="F322" s="14" t="s">
        <v>1191</v>
      </c>
      <c r="G322" s="14">
        <v>0</v>
      </c>
      <c r="H322" s="14">
        <v>0</v>
      </c>
      <c r="I322" s="14">
        <v>0</v>
      </c>
      <c r="J322" s="14">
        <v>0</v>
      </c>
      <c r="K322" s="14">
        <v>0</v>
      </c>
      <c r="L322" s="14">
        <v>0</v>
      </c>
      <c r="M322" s="14">
        <v>0</v>
      </c>
      <c r="N322" s="14">
        <v>0</v>
      </c>
      <c r="O322" s="14">
        <v>0</v>
      </c>
      <c r="P322" s="14">
        <v>0</v>
      </c>
      <c r="Q322" s="15">
        <v>0</v>
      </c>
      <c r="R322" s="15">
        <v>0</v>
      </c>
      <c r="S322" s="15">
        <f>$G$322*$G$8+$H$322*$H$8+$I$322*$I$8+$J$322*$J$8+$K$322*$K$8+$L$322*$L$8+$M$322*$M$8+$N$322*$N$8+$O$322*$O$8+$P$322*$P$8</f>
        <v>0</v>
      </c>
      <c r="T322" s="15">
        <f>SUM($Q$322:$R$322)</f>
        <v>0</v>
      </c>
      <c r="U322" s="15">
        <f>$S$322+$T$322</f>
        <v>0</v>
      </c>
    </row>
    <row r="323" spans="1:21" x14ac:dyDescent="0.3">
      <c r="A323" s="10" t="s">
        <v>1192</v>
      </c>
      <c r="B323" s="11" t="s">
        <v>1193</v>
      </c>
      <c r="C323" s="11"/>
      <c r="D323" s="11" t="s">
        <v>1194</v>
      </c>
      <c r="E323" s="11">
        <f xml:space="preserve"> IF($U$323,1,0)</f>
        <v>1</v>
      </c>
      <c r="F323" s="11" t="s">
        <v>1195</v>
      </c>
      <c r="G323" s="11">
        <v>7</v>
      </c>
      <c r="H323" s="11">
        <v>1</v>
      </c>
      <c r="I323" s="11">
        <v>0</v>
      </c>
      <c r="J323" s="11">
        <v>0</v>
      </c>
      <c r="K323" s="11">
        <v>0</v>
      </c>
      <c r="L323" s="11">
        <v>0</v>
      </c>
      <c r="M323" s="11">
        <v>0</v>
      </c>
      <c r="N323" s="11">
        <v>0</v>
      </c>
      <c r="O323" s="11">
        <v>0</v>
      </c>
      <c r="P323" s="11">
        <v>0</v>
      </c>
      <c r="Q323" s="12">
        <v>0</v>
      </c>
      <c r="R323" s="12">
        <v>0</v>
      </c>
      <c r="S323" s="12">
        <f>$G$323*$G$8+$H$323*$H$8+$I$323*$I$8+$J$323*$J$8+$K$323*$K$8+$L$323*$L$8+$M$323*$M$8+$N$323*$N$8+$O$323*$O$8+$P$323*$P$8</f>
        <v>6.6999999999999993</v>
      </c>
      <c r="T323" s="12">
        <f>SUM($Q$323:$R$323)</f>
        <v>0</v>
      </c>
      <c r="U323" s="12">
        <f>$S$323+$T$323</f>
        <v>6.6999999999999993</v>
      </c>
    </row>
    <row r="324" spans="1:21" x14ac:dyDescent="0.3">
      <c r="A324" s="13" t="s">
        <v>1196</v>
      </c>
      <c r="B324" s="14" t="s">
        <v>1197</v>
      </c>
      <c r="C324" s="14"/>
      <c r="D324" s="14" t="s">
        <v>1198</v>
      </c>
      <c r="E324" s="14">
        <f xml:space="preserve"> IF($U$324,1,0)</f>
        <v>0</v>
      </c>
      <c r="F324" s="14" t="s">
        <v>1199</v>
      </c>
      <c r="G324" s="14">
        <v>0</v>
      </c>
      <c r="H324" s="14">
        <v>0</v>
      </c>
      <c r="I324" s="14">
        <v>0</v>
      </c>
      <c r="J324" s="14">
        <v>0</v>
      </c>
      <c r="K324" s="14">
        <v>0</v>
      </c>
      <c r="L324" s="14">
        <v>0</v>
      </c>
      <c r="M324" s="14">
        <v>0</v>
      </c>
      <c r="N324" s="14">
        <v>0</v>
      </c>
      <c r="O324" s="14">
        <v>0</v>
      </c>
      <c r="P324" s="14">
        <v>0</v>
      </c>
      <c r="Q324" s="15">
        <v>0</v>
      </c>
      <c r="R324" s="15">
        <v>0</v>
      </c>
      <c r="S324" s="15">
        <f>$G$324*$G$8+$H$324*$H$8+$I$324*$I$8+$J$324*$J$8+$K$324*$K$8+$L$324*$L$8+$M$324*$M$8+$N$324*$N$8+$O$324*$O$8+$P$324*$P$8</f>
        <v>0</v>
      </c>
      <c r="T324" s="15">
        <f>SUM($Q$324:$R$324)</f>
        <v>0</v>
      </c>
      <c r="U324" s="15">
        <f>$S$324+$T$324</f>
        <v>0</v>
      </c>
    </row>
    <row r="325" spans="1:21" x14ac:dyDescent="0.3">
      <c r="A325" s="10" t="s">
        <v>1200</v>
      </c>
      <c r="B325" s="11" t="s">
        <v>1201</v>
      </c>
      <c r="C325" s="11"/>
      <c r="D325" s="11" t="s">
        <v>1202</v>
      </c>
      <c r="E325" s="11">
        <f xml:space="preserve"> IF($U$325,1,0)</f>
        <v>0</v>
      </c>
      <c r="F325" s="11" t="s">
        <v>1203</v>
      </c>
      <c r="G325" s="11">
        <v>0</v>
      </c>
      <c r="H325" s="11">
        <v>0</v>
      </c>
      <c r="I325" s="11">
        <v>0</v>
      </c>
      <c r="J325" s="11">
        <v>0</v>
      </c>
      <c r="K325" s="11">
        <v>0</v>
      </c>
      <c r="L325" s="11">
        <v>0</v>
      </c>
      <c r="M325" s="11">
        <v>0</v>
      </c>
      <c r="N325" s="11">
        <v>0</v>
      </c>
      <c r="O325" s="11">
        <v>0</v>
      </c>
      <c r="P325" s="11">
        <v>0</v>
      </c>
      <c r="Q325" s="12">
        <v>0</v>
      </c>
      <c r="R325" s="12">
        <v>0</v>
      </c>
      <c r="S325" s="12">
        <f>$G$325*$G$8+$H$325*$H$8+$I$325*$I$8+$J$325*$J$8+$K$325*$K$8+$L$325*$L$8+$M$325*$M$8+$N$325*$N$8+$O$325*$O$8+$P$325*$P$8</f>
        <v>0</v>
      </c>
      <c r="T325" s="12">
        <f>SUM($Q$325:$R$325)</f>
        <v>0</v>
      </c>
      <c r="U325" s="12">
        <f>$S$325+$T$325</f>
        <v>0</v>
      </c>
    </row>
    <row r="326" spans="1:21" x14ac:dyDescent="0.3">
      <c r="A326" s="13" t="s">
        <v>1204</v>
      </c>
      <c r="B326" s="14" t="s">
        <v>1205</v>
      </c>
      <c r="C326" s="14"/>
      <c r="D326" s="14" t="s">
        <v>1206</v>
      </c>
      <c r="E326" s="14">
        <f xml:space="preserve"> IF($U$326,1,0)</f>
        <v>0</v>
      </c>
      <c r="F326" s="14" t="s">
        <v>1207</v>
      </c>
      <c r="G326" s="14">
        <v>0</v>
      </c>
      <c r="H326" s="14">
        <v>0</v>
      </c>
      <c r="I326" s="14">
        <v>0</v>
      </c>
      <c r="J326" s="14">
        <v>0</v>
      </c>
      <c r="K326" s="14">
        <v>0</v>
      </c>
      <c r="L326" s="14">
        <v>0</v>
      </c>
      <c r="M326" s="14">
        <v>0</v>
      </c>
      <c r="N326" s="14">
        <v>0</v>
      </c>
      <c r="O326" s="14">
        <v>0</v>
      </c>
      <c r="P326" s="14">
        <v>0</v>
      </c>
      <c r="Q326" s="15">
        <v>0</v>
      </c>
      <c r="R326" s="15">
        <v>0</v>
      </c>
      <c r="S326" s="15">
        <f>$G$326*$G$8+$H$326*$H$8+$I$326*$I$8+$J$326*$J$8+$K$326*$K$8+$L$326*$L$8+$M$326*$M$8+$N$326*$N$8+$O$326*$O$8+$P$326*$P$8</f>
        <v>0</v>
      </c>
      <c r="T326" s="15">
        <f>SUM($Q$326:$R$326)</f>
        <v>0</v>
      </c>
      <c r="U326" s="15">
        <f>$S$326+$T$326</f>
        <v>0</v>
      </c>
    </row>
    <row r="327" spans="1:21" x14ac:dyDescent="0.3">
      <c r="A327" s="10" t="s">
        <v>1208</v>
      </c>
      <c r="B327" s="11" t="s">
        <v>1205</v>
      </c>
      <c r="C327" s="11"/>
      <c r="D327" s="11" t="s">
        <v>1209</v>
      </c>
      <c r="E327" s="11">
        <f xml:space="preserve"> IF($U$327,1,0)</f>
        <v>1</v>
      </c>
      <c r="F327" s="11" t="s">
        <v>1210</v>
      </c>
      <c r="G327" s="11">
        <v>3</v>
      </c>
      <c r="H327" s="11">
        <v>2</v>
      </c>
      <c r="I327" s="11">
        <v>0</v>
      </c>
      <c r="J327" s="11">
        <v>0</v>
      </c>
      <c r="K327" s="11">
        <v>0</v>
      </c>
      <c r="L327" s="11">
        <v>0</v>
      </c>
      <c r="M327" s="11">
        <v>0</v>
      </c>
      <c r="N327" s="11">
        <v>0</v>
      </c>
      <c r="O327" s="11">
        <v>0</v>
      </c>
      <c r="P327" s="11">
        <v>0</v>
      </c>
      <c r="Q327" s="12">
        <v>0</v>
      </c>
      <c r="R327" s="12">
        <v>0</v>
      </c>
      <c r="S327" s="12">
        <f>$G$327*$G$8+$H$327*$H$8+$I$327*$I$8+$J$327*$J$8+$K$327*$K$8+$L$327*$L$8+$M$327*$M$8+$N$327*$N$8+$O$327*$O$8+$P$327*$P$8</f>
        <v>5.6999999999999993</v>
      </c>
      <c r="T327" s="12">
        <f>SUM($Q$327:$R$327)</f>
        <v>0</v>
      </c>
      <c r="U327" s="12">
        <f>$S$327+$T$327</f>
        <v>5.6999999999999993</v>
      </c>
    </row>
    <row r="328" spans="1:21" x14ac:dyDescent="0.3">
      <c r="A328" s="13" t="s">
        <v>1211</v>
      </c>
      <c r="B328" s="14" t="s">
        <v>1212</v>
      </c>
      <c r="C328" s="14"/>
      <c r="D328" s="14" t="s">
        <v>670</v>
      </c>
      <c r="E328" s="14">
        <f xml:space="preserve"> IF($U$328,1,0)</f>
        <v>1</v>
      </c>
      <c r="F328" s="14" t="s">
        <v>1213</v>
      </c>
      <c r="G328" s="14">
        <v>2</v>
      </c>
      <c r="H328" s="14">
        <v>0</v>
      </c>
      <c r="I328" s="14">
        <v>0</v>
      </c>
      <c r="J328" s="14">
        <v>0</v>
      </c>
      <c r="K328" s="14">
        <v>0</v>
      </c>
      <c r="L328" s="14">
        <v>0</v>
      </c>
      <c r="M328" s="14">
        <v>0</v>
      </c>
      <c r="N328" s="14">
        <v>0</v>
      </c>
      <c r="O328" s="14">
        <v>0</v>
      </c>
      <c r="P328" s="14">
        <v>0</v>
      </c>
      <c r="Q328" s="15">
        <v>0</v>
      </c>
      <c r="R328" s="15">
        <v>0</v>
      </c>
      <c r="S328" s="15">
        <f>$G$328*$G$8+$H$328*$H$8+$I$328*$I$8+$J$328*$J$8+$K$328*$K$8+$L$328*$L$8+$M$328*$M$8+$N$328*$N$8+$O$328*$O$8+$P$328*$P$8</f>
        <v>1.4</v>
      </c>
      <c r="T328" s="15">
        <f>SUM($Q$328:$R$328)</f>
        <v>0</v>
      </c>
      <c r="U328" s="15">
        <f>$S$328+$T$328</f>
        <v>1.4</v>
      </c>
    </row>
    <row r="329" spans="1:21" x14ac:dyDescent="0.3">
      <c r="A329" s="10" t="s">
        <v>1214</v>
      </c>
      <c r="B329" s="11" t="s">
        <v>1215</v>
      </c>
      <c r="C329" s="11"/>
      <c r="D329" s="11" t="s">
        <v>1216</v>
      </c>
      <c r="E329" s="11">
        <f xml:space="preserve"> IF($U$329,1,0)</f>
        <v>1</v>
      </c>
      <c r="F329" s="11" t="s">
        <v>1217</v>
      </c>
      <c r="G329" s="11">
        <v>4</v>
      </c>
      <c r="H329" s="11">
        <v>0</v>
      </c>
      <c r="I329" s="11">
        <v>0</v>
      </c>
      <c r="J329" s="11">
        <v>0</v>
      </c>
      <c r="K329" s="11">
        <v>1</v>
      </c>
      <c r="L329" s="11">
        <v>0</v>
      </c>
      <c r="M329" s="11">
        <v>0</v>
      </c>
      <c r="N329" s="11">
        <v>0</v>
      </c>
      <c r="O329" s="11">
        <v>0</v>
      </c>
      <c r="P329" s="11">
        <v>0</v>
      </c>
      <c r="Q329" s="12">
        <v>0</v>
      </c>
      <c r="R329" s="12">
        <v>0</v>
      </c>
      <c r="S329" s="12">
        <f>$G$329*$G$8+$H$329*$H$8+$I$329*$I$8+$J$329*$J$8+$K$329*$K$8+$L$329*$L$8+$M$329*$M$8+$N$329*$N$8+$O$329*$O$8+$P$329*$P$8</f>
        <v>4.8</v>
      </c>
      <c r="T329" s="12">
        <f>SUM($Q$329:$R$329)</f>
        <v>0</v>
      </c>
      <c r="U329" s="12">
        <f>$S$329+$T$329</f>
        <v>4.8</v>
      </c>
    </row>
    <row r="330" spans="1:21" x14ac:dyDescent="0.3">
      <c r="A330" s="13" t="s">
        <v>1218</v>
      </c>
      <c r="B330" s="14" t="s">
        <v>1219</v>
      </c>
      <c r="C330" s="14" t="s">
        <v>202</v>
      </c>
      <c r="D330" s="14" t="s">
        <v>1068</v>
      </c>
      <c r="E330" s="14">
        <f xml:space="preserve"> IF($U$330,1,0)</f>
        <v>0</v>
      </c>
      <c r="F330" s="14" t="s">
        <v>1220</v>
      </c>
      <c r="G330" s="14">
        <v>0</v>
      </c>
      <c r="H330" s="14">
        <v>0</v>
      </c>
      <c r="I330" s="14">
        <v>0</v>
      </c>
      <c r="J330" s="14">
        <v>0</v>
      </c>
      <c r="K330" s="14">
        <v>0</v>
      </c>
      <c r="L330" s="14">
        <v>0</v>
      </c>
      <c r="M330" s="14">
        <v>0</v>
      </c>
      <c r="N330" s="14">
        <v>0</v>
      </c>
      <c r="O330" s="14">
        <v>0</v>
      </c>
      <c r="P330" s="14">
        <v>0</v>
      </c>
      <c r="Q330" s="15">
        <v>0</v>
      </c>
      <c r="R330" s="15">
        <v>0</v>
      </c>
      <c r="S330" s="15">
        <f>$G$330*$G$8+$H$330*$H$8+$I$330*$I$8+$J$330*$J$8+$K$330*$K$8+$L$330*$L$8+$M$330*$M$8+$N$330*$N$8+$O$330*$O$8+$P$330*$P$8</f>
        <v>0</v>
      </c>
      <c r="T330" s="15">
        <f>SUM($Q$330:$R$330)</f>
        <v>0</v>
      </c>
      <c r="U330" s="15">
        <f>$S$330+$T$330</f>
        <v>0</v>
      </c>
    </row>
    <row r="331" spans="1:21" x14ac:dyDescent="0.3">
      <c r="A331" s="10" t="s">
        <v>1221</v>
      </c>
      <c r="B331" s="11" t="s">
        <v>1222</v>
      </c>
      <c r="C331" s="11"/>
      <c r="D331" s="11" t="s">
        <v>1223</v>
      </c>
      <c r="E331" s="11">
        <f xml:space="preserve"> IF($U$331,1,0)</f>
        <v>0</v>
      </c>
      <c r="F331" s="11" t="s">
        <v>1224</v>
      </c>
      <c r="G331" s="11">
        <v>0</v>
      </c>
      <c r="H331" s="11">
        <v>0</v>
      </c>
      <c r="I331" s="11">
        <v>0</v>
      </c>
      <c r="J331" s="11">
        <v>0</v>
      </c>
      <c r="K331" s="11">
        <v>0</v>
      </c>
      <c r="L331" s="11">
        <v>0</v>
      </c>
      <c r="M331" s="11">
        <v>0</v>
      </c>
      <c r="N331" s="11">
        <v>0</v>
      </c>
      <c r="O331" s="11">
        <v>0</v>
      </c>
      <c r="P331" s="11">
        <v>0</v>
      </c>
      <c r="Q331" s="12">
        <v>0</v>
      </c>
      <c r="R331" s="12">
        <v>0</v>
      </c>
      <c r="S331" s="12">
        <f>$G$331*$G$8+$H$331*$H$8+$I$331*$I$8+$J$331*$J$8+$K$331*$K$8+$L$331*$L$8+$M$331*$M$8+$N$331*$N$8+$O$331*$O$8+$P$331*$P$8</f>
        <v>0</v>
      </c>
      <c r="T331" s="12">
        <f>SUM($Q$331:$R$331)</f>
        <v>0</v>
      </c>
      <c r="U331" s="12">
        <f>$S$331+$T$331</f>
        <v>0</v>
      </c>
    </row>
    <row r="332" spans="1:21" x14ac:dyDescent="0.3">
      <c r="A332" s="13" t="s">
        <v>1225</v>
      </c>
      <c r="B332" s="14" t="s">
        <v>1226</v>
      </c>
      <c r="C332" s="14" t="s">
        <v>34</v>
      </c>
      <c r="D332" s="14" t="s">
        <v>1227</v>
      </c>
      <c r="E332" s="14">
        <f xml:space="preserve"> IF($U$332,1,0)</f>
        <v>0</v>
      </c>
      <c r="F332" s="14" t="s">
        <v>1228</v>
      </c>
      <c r="G332" s="14">
        <v>0</v>
      </c>
      <c r="H332" s="14">
        <v>0</v>
      </c>
      <c r="I332" s="14">
        <v>0</v>
      </c>
      <c r="J332" s="14">
        <v>0</v>
      </c>
      <c r="K332" s="14">
        <v>0</v>
      </c>
      <c r="L332" s="14">
        <v>0</v>
      </c>
      <c r="M332" s="14">
        <v>0</v>
      </c>
      <c r="N332" s="14">
        <v>0</v>
      </c>
      <c r="O332" s="14">
        <v>0</v>
      </c>
      <c r="P332" s="14">
        <v>0</v>
      </c>
      <c r="Q332" s="15">
        <v>0</v>
      </c>
      <c r="R332" s="15">
        <v>0</v>
      </c>
      <c r="S332" s="15">
        <f>$G$332*$G$8+$H$332*$H$8+$I$332*$I$8+$J$332*$J$8+$K$332*$K$8+$L$332*$L$8+$M$332*$M$8+$N$332*$N$8+$O$332*$O$8+$P$332*$P$8</f>
        <v>0</v>
      </c>
      <c r="T332" s="15">
        <f>SUM($Q$332:$R$332)</f>
        <v>0</v>
      </c>
      <c r="U332" s="15">
        <f>$S$332+$T$332</f>
        <v>0</v>
      </c>
    </row>
    <row r="333" spans="1:21" x14ac:dyDescent="0.3">
      <c r="A333" s="10" t="s">
        <v>1229</v>
      </c>
      <c r="B333" s="11" t="s">
        <v>1230</v>
      </c>
      <c r="C333" s="11"/>
      <c r="D333" s="11" t="s">
        <v>1231</v>
      </c>
      <c r="E333" s="11">
        <f xml:space="preserve"> IF($U$333,1,0)</f>
        <v>1</v>
      </c>
      <c r="F333" s="11" t="s">
        <v>1232</v>
      </c>
      <c r="G333" s="11">
        <v>0</v>
      </c>
      <c r="H333" s="11">
        <v>0</v>
      </c>
      <c r="I333" s="11">
        <v>0</v>
      </c>
      <c r="J333" s="11">
        <v>0</v>
      </c>
      <c r="K333" s="11">
        <v>1</v>
      </c>
      <c r="L333" s="11">
        <v>0</v>
      </c>
      <c r="M333" s="11">
        <v>0</v>
      </c>
      <c r="N333" s="11">
        <v>0</v>
      </c>
      <c r="O333" s="11">
        <v>0</v>
      </c>
      <c r="P333" s="11">
        <v>0</v>
      </c>
      <c r="Q333" s="12">
        <v>0</v>
      </c>
      <c r="R333" s="12">
        <v>0</v>
      </c>
      <c r="S333" s="12">
        <f>$G$333*$G$8+$H$333*$H$8+$I$333*$I$8+$J$333*$J$8+$K$333*$K$8+$L$333*$L$8+$M$333*$M$8+$N$333*$N$8+$O$333*$O$8+$P$333*$P$8</f>
        <v>2</v>
      </c>
      <c r="T333" s="12">
        <f>SUM($Q$333:$R$333)</f>
        <v>0</v>
      </c>
      <c r="U333" s="12">
        <f>$S$333+$T$333</f>
        <v>2</v>
      </c>
    </row>
    <row r="334" spans="1:21" x14ac:dyDescent="0.3">
      <c r="A334" s="13" t="s">
        <v>1233</v>
      </c>
      <c r="B334" s="14" t="s">
        <v>1230</v>
      </c>
      <c r="C334" s="14"/>
      <c r="D334" s="14" t="s">
        <v>1234</v>
      </c>
      <c r="E334" s="14">
        <f xml:space="preserve"> IF($U$334,1,0)</f>
        <v>0</v>
      </c>
      <c r="F334" s="14" t="s">
        <v>1235</v>
      </c>
      <c r="G334" s="14">
        <v>0</v>
      </c>
      <c r="H334" s="14">
        <v>0</v>
      </c>
      <c r="I334" s="14">
        <v>0</v>
      </c>
      <c r="J334" s="14">
        <v>0</v>
      </c>
      <c r="K334" s="14">
        <v>0</v>
      </c>
      <c r="L334" s="14">
        <v>0</v>
      </c>
      <c r="M334" s="14">
        <v>0</v>
      </c>
      <c r="N334" s="14">
        <v>0</v>
      </c>
      <c r="O334" s="14">
        <v>0</v>
      </c>
      <c r="P334" s="14">
        <v>0</v>
      </c>
      <c r="Q334" s="15">
        <v>0</v>
      </c>
      <c r="R334" s="15">
        <v>0</v>
      </c>
      <c r="S334" s="15">
        <f>$G$334*$G$8+$H$334*$H$8+$I$334*$I$8+$J$334*$J$8+$K$334*$K$8+$L$334*$L$8+$M$334*$M$8+$N$334*$N$8+$O$334*$O$8+$P$334*$P$8</f>
        <v>0</v>
      </c>
      <c r="T334" s="15">
        <f>SUM($Q$334:$R$334)</f>
        <v>0</v>
      </c>
      <c r="U334" s="15">
        <f>$S$334+$T$334</f>
        <v>0</v>
      </c>
    </row>
    <row r="335" spans="1:21" x14ac:dyDescent="0.3">
      <c r="A335" s="10" t="s">
        <v>1236</v>
      </c>
      <c r="B335" s="11" t="s">
        <v>1237</v>
      </c>
      <c r="C335" s="11"/>
      <c r="D335" s="11" t="s">
        <v>1237</v>
      </c>
      <c r="E335" s="11">
        <f xml:space="preserve"> IF($U$335,1,0)</f>
        <v>0</v>
      </c>
      <c r="F335" s="11" t="s">
        <v>1238</v>
      </c>
      <c r="G335" s="11">
        <v>0</v>
      </c>
      <c r="H335" s="11">
        <v>0</v>
      </c>
      <c r="I335" s="11">
        <v>0</v>
      </c>
      <c r="J335" s="11">
        <v>0</v>
      </c>
      <c r="K335" s="11">
        <v>0</v>
      </c>
      <c r="L335" s="11">
        <v>0</v>
      </c>
      <c r="M335" s="11">
        <v>0</v>
      </c>
      <c r="N335" s="11">
        <v>0</v>
      </c>
      <c r="O335" s="11">
        <v>0</v>
      </c>
      <c r="P335" s="11">
        <v>0</v>
      </c>
      <c r="Q335" s="12">
        <v>0</v>
      </c>
      <c r="R335" s="12">
        <v>0</v>
      </c>
      <c r="S335" s="12">
        <f>$G$335*$G$8+$H$335*$H$8+$I$335*$I$8+$J$335*$J$8+$K$335*$K$8+$L$335*$L$8+$M$335*$M$8+$N$335*$N$8+$O$335*$O$8+$P$335*$P$8</f>
        <v>0</v>
      </c>
      <c r="T335" s="12">
        <f>SUM($Q$335:$R$335)</f>
        <v>0</v>
      </c>
      <c r="U335" s="12">
        <f>$S$335+$T$335</f>
        <v>0</v>
      </c>
    </row>
    <row r="337" spans="5:21" ht="15" thickBot="1" x14ac:dyDescent="0.35">
      <c r="E337" s="5" t="s">
        <v>18</v>
      </c>
      <c r="F337" s="6" t="s">
        <v>19</v>
      </c>
      <c r="G337" s="6" t="s">
        <v>4</v>
      </c>
      <c r="H337" s="6" t="s">
        <v>1245</v>
      </c>
      <c r="I337" s="6" t="s">
        <v>6</v>
      </c>
      <c r="J337" s="6" t="s">
        <v>7</v>
      </c>
      <c r="K337" s="6" t="s">
        <v>8</v>
      </c>
      <c r="L337" s="6" t="s">
        <v>9</v>
      </c>
      <c r="M337" s="6" t="s">
        <v>10</v>
      </c>
      <c r="N337" s="6" t="s">
        <v>11</v>
      </c>
      <c r="O337" s="6" t="s">
        <v>12</v>
      </c>
      <c r="P337" s="6" t="s">
        <v>13</v>
      </c>
      <c r="Q337" s="6" t="s">
        <v>1259</v>
      </c>
      <c r="R337" s="6" t="s">
        <v>1260</v>
      </c>
      <c r="S337" s="6" t="s">
        <v>23</v>
      </c>
      <c r="T337" s="6" t="s">
        <v>26</v>
      </c>
      <c r="U337" s="6" t="s">
        <v>25</v>
      </c>
    </row>
    <row r="338" spans="5:21" ht="15" thickTop="1" x14ac:dyDescent="0.3">
      <c r="E338" s="7">
        <f xml:space="preserve"> IF($U$338,1,0)</f>
        <v>1</v>
      </c>
      <c r="F338" s="8" t="s">
        <v>1247</v>
      </c>
      <c r="G338" s="8">
        <v>2</v>
      </c>
      <c r="H338" s="8">
        <v>2</v>
      </c>
      <c r="I338" s="8">
        <v>0</v>
      </c>
      <c r="J338" s="8">
        <v>0</v>
      </c>
      <c r="K338" s="8">
        <v>0</v>
      </c>
      <c r="L338" s="8">
        <v>0</v>
      </c>
      <c r="M338" s="8">
        <v>0</v>
      </c>
      <c r="N338" s="8">
        <v>0</v>
      </c>
      <c r="O338" s="8">
        <v>0</v>
      </c>
      <c r="P338" s="8">
        <v>0</v>
      </c>
      <c r="Q338" s="8"/>
      <c r="R338" s="8"/>
      <c r="S338" s="9">
        <f>$G$338*$G$8+$H$338*$H$8+$I$338*$I$8+$J$338*$J$8+$K$338*$K$8+$L$338*$L$8+$M$338*$M$8+$N$338*$N$8+$O$338*$O$8+$P$338*$P$8</f>
        <v>5</v>
      </c>
      <c r="T338" s="9">
        <f>$U$338/2</f>
        <v>2.5</v>
      </c>
      <c r="U338" s="9">
        <f>$G$338*$G$8+$H$338*$H$8+$I$338*$I$8+$J$338*$J$8+$K$338*$K$8+$L$338*$L$8+$M$338*$M$8+$N$338*$N$8+$O$338*$O$8+$P$338*$P$8</f>
        <v>5</v>
      </c>
    </row>
    <row r="339" spans="5:21" x14ac:dyDescent="0.3">
      <c r="E339" s="10">
        <f xml:space="preserve"> IF($U$339,1,0)</f>
        <v>1</v>
      </c>
      <c r="F339" s="11" t="s">
        <v>27</v>
      </c>
      <c r="G339" s="11">
        <v>1</v>
      </c>
      <c r="H339" s="11">
        <v>0</v>
      </c>
      <c r="I339" s="11">
        <v>0</v>
      </c>
      <c r="J339" s="11">
        <v>0</v>
      </c>
      <c r="K339" s="11">
        <v>0</v>
      </c>
      <c r="L339" s="11">
        <v>1</v>
      </c>
      <c r="M339" s="11">
        <v>0</v>
      </c>
      <c r="N339" s="11">
        <v>0</v>
      </c>
      <c r="O339" s="11">
        <v>0</v>
      </c>
      <c r="P339" s="11">
        <v>0</v>
      </c>
      <c r="Q339" s="11"/>
      <c r="R339" s="11"/>
      <c r="S339" s="12">
        <f>$G$339*$G$8+$H$339*$H$8+$I$339*$I$8+$J$339*$J$8+$K$339*$K$8+$L$339*$L$8+$M$339*$M$8+$N$339*$N$8+$O$339*$O$8+$P$339*$P$8</f>
        <v>3.7</v>
      </c>
      <c r="T339" s="12">
        <f>$U$339/2</f>
        <v>1.85</v>
      </c>
      <c r="U339" s="12">
        <f>$G$339*$G$8+$H$339*$H$8+$I$339*$I$8+$J$339*$J$8+$K$339*$K$8+$L$339*$L$8+$M$339*$M$8+$N$339*$N$8+$O$339*$O$8+$P$339*$P$8</f>
        <v>3.7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BB126-9E16-438E-80B7-210C9C83AC88}">
  <sheetPr codeName="Blad7"/>
  <dimension ref="A2:U339"/>
  <sheetViews>
    <sheetView topLeftCell="J1" workbookViewId="0">
      <selection activeCell="J329" sqref="J329"/>
    </sheetView>
  </sheetViews>
  <sheetFormatPr defaultRowHeight="14.4" x14ac:dyDescent="0.3"/>
  <cols>
    <col min="2" max="2" width="14.77734375" customWidth="1"/>
    <col min="3" max="3" width="18.77734375" customWidth="1"/>
    <col min="4" max="4" width="20.77734375" customWidth="1"/>
    <col min="5" max="5" width="14.77734375" customWidth="1"/>
    <col min="6" max="6" width="25.77734375" customWidth="1"/>
    <col min="8" max="8" width="11.109375" customWidth="1"/>
    <col min="11" max="14" width="11.44140625" customWidth="1"/>
    <col min="16" max="16" width="14.21875" customWidth="1"/>
    <col min="17" max="17" width="13.21875" customWidth="1"/>
    <col min="18" max="18" width="12.21875" customWidth="1"/>
    <col min="19" max="19" width="22.109375" customWidth="1"/>
    <col min="20" max="20" width="18.6640625" customWidth="1"/>
  </cols>
  <sheetData>
    <row r="2" spans="1:21" x14ac:dyDescent="0.3">
      <c r="A2" t="s">
        <v>1239</v>
      </c>
      <c r="F2" t="s">
        <v>20</v>
      </c>
      <c r="G2">
        <f>SUM($G$10:$G$335)+ SUM($G$338:$G$339)</f>
        <v>228</v>
      </c>
      <c r="H2">
        <f>SUM($H$10:$H$335)+ SUM($H$338:$H$339)</f>
        <v>56</v>
      </c>
      <c r="I2">
        <f>SUM($I$10:$I$335)+ SUM($I$338:$I$339)</f>
        <v>13</v>
      </c>
      <c r="J2">
        <f>SUM($J$10:$J$335)+ SUM($J$338:$J$339)</f>
        <v>1</v>
      </c>
      <c r="K2">
        <f>SUM($K$10:$K$335)+ SUM($K$338:$K$339)</f>
        <v>12</v>
      </c>
      <c r="L2">
        <f>SUM($L$10:$L$335)+ SUM($L$338:$L$339)</f>
        <v>18</v>
      </c>
      <c r="M2">
        <f>SUM($M$10:$M$335)+ SUM($M$338:$M$339)</f>
        <v>11</v>
      </c>
      <c r="N2">
        <f>SUM($N$10:$N$335)+ SUM($N$338:$N$339)</f>
        <v>2</v>
      </c>
      <c r="O2">
        <f>SUM($O$10:$O$335)+ SUM($O$338:$O$339)</f>
        <v>3</v>
      </c>
      <c r="P2">
        <f>SUM($P$10:$P$335)+ SUM($P$338:$P$339)</f>
        <v>19</v>
      </c>
    </row>
    <row r="3" spans="1:21" x14ac:dyDescent="0.3">
      <c r="A3">
        <f>SUM($E$10:$E$335)</f>
        <v>69</v>
      </c>
      <c r="F3" t="s">
        <v>21</v>
      </c>
      <c r="G3" s="3">
        <f>$G$8*G2</f>
        <v>159.6</v>
      </c>
      <c r="H3" s="3">
        <f>$H$8*H2</f>
        <v>100.8</v>
      </c>
      <c r="I3" s="3">
        <f>$I$8*I2</f>
        <v>13</v>
      </c>
      <c r="J3" s="3">
        <f>$J$8*J2</f>
        <v>4.75</v>
      </c>
      <c r="K3" s="3">
        <f>$K$8*K2</f>
        <v>24</v>
      </c>
      <c r="L3" s="3">
        <f>$L$8*L2</f>
        <v>54</v>
      </c>
      <c r="M3" s="3">
        <f>$M$8*M2</f>
        <v>44</v>
      </c>
      <c r="N3" s="3">
        <f>$N$8*N2</f>
        <v>10</v>
      </c>
      <c r="O3" s="3">
        <f>$O$8*O2</f>
        <v>1.5</v>
      </c>
      <c r="P3" s="3">
        <f>$P$8*P2</f>
        <v>19</v>
      </c>
    </row>
    <row r="8" spans="1:21" x14ac:dyDescent="0.3">
      <c r="F8" t="s">
        <v>22</v>
      </c>
      <c r="G8" s="4">
        <v>0.7</v>
      </c>
      <c r="H8" s="4">
        <v>1.8</v>
      </c>
      <c r="I8" s="4">
        <v>1</v>
      </c>
      <c r="J8" s="4">
        <v>4.75</v>
      </c>
      <c r="K8" s="4">
        <v>2</v>
      </c>
      <c r="L8" s="4">
        <v>3</v>
      </c>
      <c r="M8" s="4">
        <v>4</v>
      </c>
      <c r="N8" s="4">
        <v>5</v>
      </c>
      <c r="O8" s="4">
        <v>0.5</v>
      </c>
      <c r="P8" s="4">
        <v>1</v>
      </c>
      <c r="S8">
        <f>SUM($S$10:$S$335)</f>
        <v>421.95000000000005</v>
      </c>
      <c r="T8">
        <f>SUM($T$10:$T$335)</f>
        <v>8.6999999999999993</v>
      </c>
      <c r="U8">
        <f>SUM($U$10:$U$335)</f>
        <v>430.65</v>
      </c>
    </row>
    <row r="9" spans="1:21" ht="15" thickBot="1" x14ac:dyDescent="0.35">
      <c r="A9" s="5" t="s">
        <v>14</v>
      </c>
      <c r="B9" s="6" t="s">
        <v>15</v>
      </c>
      <c r="C9" s="6" t="s">
        <v>16</v>
      </c>
      <c r="D9" s="6" t="s">
        <v>17</v>
      </c>
      <c r="E9" s="6" t="s">
        <v>18</v>
      </c>
      <c r="F9" s="6" t="s">
        <v>19</v>
      </c>
      <c r="G9" s="6" t="s">
        <v>4</v>
      </c>
      <c r="H9" s="6" t="s">
        <v>1245</v>
      </c>
      <c r="I9" s="6" t="s">
        <v>6</v>
      </c>
      <c r="J9" s="6" t="s">
        <v>7</v>
      </c>
      <c r="K9" s="6" t="s">
        <v>8</v>
      </c>
      <c r="L9" s="6" t="s">
        <v>9</v>
      </c>
      <c r="M9" s="6" t="s">
        <v>10</v>
      </c>
      <c r="N9" s="6" t="s">
        <v>11</v>
      </c>
      <c r="O9" s="6" t="s">
        <v>12</v>
      </c>
      <c r="P9" s="6" t="s">
        <v>13</v>
      </c>
      <c r="Q9" s="6" t="s">
        <v>1247</v>
      </c>
      <c r="R9" s="6" t="s">
        <v>27</v>
      </c>
      <c r="S9" s="6" t="s">
        <v>23</v>
      </c>
      <c r="T9" s="6" t="s">
        <v>24</v>
      </c>
      <c r="U9" s="6" t="s">
        <v>25</v>
      </c>
    </row>
    <row r="10" spans="1:21" ht="15" thickTop="1" x14ac:dyDescent="0.3">
      <c r="A10" s="7" t="s">
        <v>28</v>
      </c>
      <c r="B10" s="8" t="s">
        <v>29</v>
      </c>
      <c r="C10" s="8"/>
      <c r="D10" s="8" t="s">
        <v>30</v>
      </c>
      <c r="E10" s="8">
        <f xml:space="preserve"> IF($U$10,1,0)</f>
        <v>0</v>
      </c>
      <c r="F10" s="8" t="s">
        <v>31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9">
        <v>0</v>
      </c>
      <c r="R10" s="9">
        <v>0</v>
      </c>
      <c r="S10" s="9">
        <f>$G$10*$G$8+$H$10*$H$8+$I$10*$I$8+$J$10*$J$8+$K$10*$K$8+$L$10*$L$8+$M$10*$M$8+$N$10*$N$8+$O$10*$O$8+$P$10*$P$8</f>
        <v>0</v>
      </c>
      <c r="T10" s="9">
        <f>SUM($Q$10:$R$10)</f>
        <v>0</v>
      </c>
      <c r="U10" s="9">
        <f>$S$10+$T$10</f>
        <v>0</v>
      </c>
    </row>
    <row r="11" spans="1:21" x14ac:dyDescent="0.3">
      <c r="A11" s="10" t="s">
        <v>32</v>
      </c>
      <c r="B11" s="11" t="s">
        <v>33</v>
      </c>
      <c r="C11" s="11" t="s">
        <v>34</v>
      </c>
      <c r="D11" s="11" t="s">
        <v>35</v>
      </c>
      <c r="E11" s="11">
        <f xml:space="preserve"> IF($U$11,1,0)</f>
        <v>1</v>
      </c>
      <c r="F11" s="11" t="s">
        <v>36</v>
      </c>
      <c r="G11" s="11">
        <v>0</v>
      </c>
      <c r="H11" s="11">
        <v>0</v>
      </c>
      <c r="I11" s="11">
        <v>1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2">
        <v>0</v>
      </c>
      <c r="R11" s="12">
        <v>0</v>
      </c>
      <c r="S11" s="12">
        <f>$G$11*$G$8+$H$11*$H$8+$I$11*$I$8+$J$11*$J$8+$K$11*$K$8+$L$11*$L$8+$M$11*$M$8+$N$11*$N$8+$O$11*$O$8+$P$11*$P$8</f>
        <v>1</v>
      </c>
      <c r="T11" s="12">
        <f>SUM($Q$11:$R$11)</f>
        <v>0</v>
      </c>
      <c r="U11" s="12">
        <f>$S$11+$T$11</f>
        <v>1</v>
      </c>
    </row>
    <row r="12" spans="1:21" x14ac:dyDescent="0.3">
      <c r="A12" s="13" t="s">
        <v>37</v>
      </c>
      <c r="B12" s="14" t="s">
        <v>38</v>
      </c>
      <c r="C12" s="14"/>
      <c r="D12" s="14" t="s">
        <v>39</v>
      </c>
      <c r="E12" s="14">
        <f xml:space="preserve"> IF($U$12,1,0)</f>
        <v>0</v>
      </c>
      <c r="F12" s="14" t="s">
        <v>40</v>
      </c>
      <c r="G12" s="14">
        <v>0</v>
      </c>
      <c r="H12" s="14">
        <v>0</v>
      </c>
      <c r="I12" s="14">
        <v>0</v>
      </c>
      <c r="J12" s="14">
        <v>0</v>
      </c>
      <c r="K12" s="14">
        <v>0</v>
      </c>
      <c r="L12" s="14">
        <v>0</v>
      </c>
      <c r="M12" s="14">
        <v>0</v>
      </c>
      <c r="N12" s="14">
        <v>0</v>
      </c>
      <c r="O12" s="14">
        <v>0</v>
      </c>
      <c r="P12" s="14">
        <v>0</v>
      </c>
      <c r="Q12" s="15">
        <v>0</v>
      </c>
      <c r="R12" s="15">
        <v>0</v>
      </c>
      <c r="S12" s="15">
        <f>$G$12*$G$8+$H$12*$H$8+$I$12*$I$8+$J$12*$J$8+$K$12*$K$8+$L$12*$L$8+$M$12*$M$8+$N$12*$N$8+$O$12*$O$8+$P$12*$P$8</f>
        <v>0</v>
      </c>
      <c r="T12" s="15">
        <f>SUM($Q$12:$R$12)</f>
        <v>0</v>
      </c>
      <c r="U12" s="15">
        <f>$S$12+$T$12</f>
        <v>0</v>
      </c>
    </row>
    <row r="13" spans="1:21" x14ac:dyDescent="0.3">
      <c r="A13" s="10" t="s">
        <v>41</v>
      </c>
      <c r="B13" s="11" t="s">
        <v>38</v>
      </c>
      <c r="C13" s="11"/>
      <c r="D13" s="11" t="s">
        <v>42</v>
      </c>
      <c r="E13" s="11">
        <f xml:space="preserve"> IF($U$13,1,0)</f>
        <v>0</v>
      </c>
      <c r="F13" s="11" t="s">
        <v>43</v>
      </c>
      <c r="G13" s="11">
        <v>0</v>
      </c>
      <c r="H13" s="11">
        <v>0</v>
      </c>
      <c r="I13" s="11">
        <v>0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2">
        <v>0</v>
      </c>
      <c r="R13" s="12">
        <v>0</v>
      </c>
      <c r="S13" s="12">
        <f>$G$13*$G$8+$H$13*$H$8+$I$13*$I$8+$J$13*$J$8+$K$13*$K$8+$L$13*$L$8+$M$13*$M$8+$N$13*$N$8+$O$13*$O$8+$P$13*$P$8</f>
        <v>0</v>
      </c>
      <c r="T13" s="12">
        <f>SUM($Q$13:$R$13)</f>
        <v>0</v>
      </c>
      <c r="U13" s="12">
        <f>$S$13+$T$13</f>
        <v>0</v>
      </c>
    </row>
    <row r="14" spans="1:21" x14ac:dyDescent="0.3">
      <c r="A14" s="13" t="s">
        <v>44</v>
      </c>
      <c r="B14" s="14" t="s">
        <v>45</v>
      </c>
      <c r="C14" s="14"/>
      <c r="D14" s="14" t="s">
        <v>46</v>
      </c>
      <c r="E14" s="14">
        <f xml:space="preserve"> IF($U$14,1,0)</f>
        <v>0</v>
      </c>
      <c r="F14" s="14" t="s">
        <v>47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5">
        <v>0</v>
      </c>
      <c r="R14" s="15">
        <v>0</v>
      </c>
      <c r="S14" s="15">
        <f>$G$14*$G$8+$H$14*$H$8+$I$14*$I$8+$J$14*$J$8+$K$14*$K$8+$L$14*$L$8+$M$14*$M$8+$N$14*$N$8+$O$14*$O$8+$P$14*$P$8</f>
        <v>0</v>
      </c>
      <c r="T14" s="15">
        <f>SUM($Q$14:$R$14)</f>
        <v>0</v>
      </c>
      <c r="U14" s="15">
        <f>$S$14+$T$14</f>
        <v>0</v>
      </c>
    </row>
    <row r="15" spans="1:21" x14ac:dyDescent="0.3">
      <c r="A15" s="10" t="s">
        <v>48</v>
      </c>
      <c r="B15" s="11" t="s">
        <v>45</v>
      </c>
      <c r="C15" s="11"/>
      <c r="D15" s="11" t="s">
        <v>49</v>
      </c>
      <c r="E15" s="11">
        <f xml:space="preserve"> IF($U$15,1,0)</f>
        <v>0</v>
      </c>
      <c r="F15" s="11" t="s">
        <v>50</v>
      </c>
      <c r="G15" s="11">
        <v>0</v>
      </c>
      <c r="H15" s="11">
        <v>0</v>
      </c>
      <c r="I15" s="11">
        <v>0</v>
      </c>
      <c r="J15" s="11">
        <v>0</v>
      </c>
      <c r="K15" s="11">
        <v>0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2">
        <v>0</v>
      </c>
      <c r="R15" s="12">
        <v>0</v>
      </c>
      <c r="S15" s="12">
        <f>$G$15*$G$8+$H$15*$H$8+$I$15*$I$8+$J$15*$J$8+$K$15*$K$8+$L$15*$L$8+$M$15*$M$8+$N$15*$N$8+$O$15*$O$8+$P$15*$P$8</f>
        <v>0</v>
      </c>
      <c r="T15" s="12">
        <f>SUM($Q$15:$R$15)</f>
        <v>0</v>
      </c>
      <c r="U15" s="12">
        <f>$S$15+$T$15</f>
        <v>0</v>
      </c>
    </row>
    <row r="16" spans="1:21" x14ac:dyDescent="0.3">
      <c r="A16" s="13" t="s">
        <v>51</v>
      </c>
      <c r="B16" s="14" t="s">
        <v>52</v>
      </c>
      <c r="C16" s="14"/>
      <c r="D16" s="14" t="s">
        <v>53</v>
      </c>
      <c r="E16" s="14">
        <f xml:space="preserve"> IF($U$16,1,0)</f>
        <v>1</v>
      </c>
      <c r="F16" s="14" t="s">
        <v>54</v>
      </c>
      <c r="G16" s="14">
        <v>5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4">
        <v>0</v>
      </c>
      <c r="O16" s="14">
        <v>0</v>
      </c>
      <c r="P16" s="14">
        <v>0</v>
      </c>
      <c r="Q16" s="15">
        <v>0</v>
      </c>
      <c r="R16" s="15">
        <v>0</v>
      </c>
      <c r="S16" s="15">
        <f>$G$16*$G$8+$H$16*$H$8+$I$16*$I$8+$J$16*$J$8+$K$16*$K$8+$L$16*$L$8+$M$16*$M$8+$N$16*$N$8+$O$16*$O$8+$P$16*$P$8</f>
        <v>3.5</v>
      </c>
      <c r="T16" s="15">
        <f>SUM($Q$16:$R$16)</f>
        <v>0</v>
      </c>
      <c r="U16" s="15">
        <f>$S$16+$T$16</f>
        <v>3.5</v>
      </c>
    </row>
    <row r="17" spans="1:21" x14ac:dyDescent="0.3">
      <c r="A17" s="10" t="s">
        <v>55</v>
      </c>
      <c r="B17" s="11" t="s">
        <v>56</v>
      </c>
      <c r="C17" s="11"/>
      <c r="D17" s="11" t="s">
        <v>57</v>
      </c>
      <c r="E17" s="11">
        <f xml:space="preserve"> IF($U$17,1,0)</f>
        <v>0</v>
      </c>
      <c r="F17" s="11" t="s">
        <v>58</v>
      </c>
      <c r="G17" s="11">
        <v>0</v>
      </c>
      <c r="H17" s="11">
        <v>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2">
        <v>0</v>
      </c>
      <c r="R17" s="12">
        <v>0</v>
      </c>
      <c r="S17" s="12">
        <f>$G$17*$G$8+$H$17*$H$8+$I$17*$I$8+$J$17*$J$8+$K$17*$K$8+$L$17*$L$8+$M$17*$M$8+$N$17*$N$8+$O$17*$O$8+$P$17*$P$8</f>
        <v>0</v>
      </c>
      <c r="T17" s="12">
        <f>SUM($Q$17:$R$17)</f>
        <v>0</v>
      </c>
      <c r="U17" s="12">
        <f>$S$17+$T$17</f>
        <v>0</v>
      </c>
    </row>
    <row r="18" spans="1:21" x14ac:dyDescent="0.3">
      <c r="A18" s="13" t="s">
        <v>59</v>
      </c>
      <c r="B18" s="14" t="s">
        <v>60</v>
      </c>
      <c r="C18" s="14"/>
      <c r="D18" s="14" t="s">
        <v>61</v>
      </c>
      <c r="E18" s="14">
        <f xml:space="preserve"> IF($U$18,1,0)</f>
        <v>0</v>
      </c>
      <c r="F18" s="14" t="s">
        <v>62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5">
        <v>0</v>
      </c>
      <c r="R18" s="15">
        <v>0</v>
      </c>
      <c r="S18" s="15">
        <f>$G$18*$G$8+$H$18*$H$8+$I$18*$I$8+$J$18*$J$8+$K$18*$K$8+$L$18*$L$8+$M$18*$M$8+$N$18*$N$8+$O$18*$O$8+$P$18*$P$8</f>
        <v>0</v>
      </c>
      <c r="T18" s="15">
        <f>SUM($Q$18:$R$18)</f>
        <v>0</v>
      </c>
      <c r="U18" s="15">
        <f>$S$18+$T$18</f>
        <v>0</v>
      </c>
    </row>
    <row r="19" spans="1:21" x14ac:dyDescent="0.3">
      <c r="A19" s="10" t="s">
        <v>63</v>
      </c>
      <c r="B19" s="11" t="s">
        <v>64</v>
      </c>
      <c r="C19" s="11" t="s">
        <v>65</v>
      </c>
      <c r="D19" s="11" t="s">
        <v>66</v>
      </c>
      <c r="E19" s="11">
        <f xml:space="preserve"> IF($U$19,1,0)</f>
        <v>0</v>
      </c>
      <c r="F19" s="11" t="s">
        <v>67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2">
        <v>0</v>
      </c>
      <c r="R19" s="12">
        <v>0</v>
      </c>
      <c r="S19" s="12">
        <f>$G$19*$G$8+$H$19*$H$8+$I$19*$I$8+$J$19*$J$8+$K$19*$K$8+$L$19*$L$8+$M$19*$M$8+$N$19*$N$8+$O$19*$O$8+$P$19*$P$8</f>
        <v>0</v>
      </c>
      <c r="T19" s="12">
        <f>SUM($Q$19:$R$19)</f>
        <v>0</v>
      </c>
      <c r="U19" s="12">
        <f>$S$19+$T$19</f>
        <v>0</v>
      </c>
    </row>
    <row r="20" spans="1:21" x14ac:dyDescent="0.3">
      <c r="A20" s="13" t="s">
        <v>68</v>
      </c>
      <c r="B20" s="14" t="s">
        <v>69</v>
      </c>
      <c r="C20" s="14"/>
      <c r="D20" s="14" t="s">
        <v>70</v>
      </c>
      <c r="E20" s="14">
        <f xml:space="preserve"> IF($U$20,1,0)</f>
        <v>0</v>
      </c>
      <c r="F20" s="14" t="s">
        <v>71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4">
        <v>0</v>
      </c>
      <c r="N20" s="14">
        <v>0</v>
      </c>
      <c r="O20" s="14">
        <v>0</v>
      </c>
      <c r="P20" s="14">
        <v>0</v>
      </c>
      <c r="Q20" s="15">
        <v>0</v>
      </c>
      <c r="R20" s="15">
        <v>0</v>
      </c>
      <c r="S20" s="15">
        <f>$G$20*$G$8+$H$20*$H$8+$I$20*$I$8+$J$20*$J$8+$K$20*$K$8+$L$20*$L$8+$M$20*$M$8+$N$20*$N$8+$O$20*$O$8+$P$20*$P$8</f>
        <v>0</v>
      </c>
      <c r="T20" s="15">
        <f>SUM($Q$20:$R$20)</f>
        <v>0</v>
      </c>
      <c r="U20" s="15">
        <f>$S$20+$T$20</f>
        <v>0</v>
      </c>
    </row>
    <row r="21" spans="1:21" x14ac:dyDescent="0.3">
      <c r="A21" s="10" t="s">
        <v>72</v>
      </c>
      <c r="B21" s="11" t="s">
        <v>73</v>
      </c>
      <c r="C21" s="11"/>
      <c r="D21" s="11" t="s">
        <v>74</v>
      </c>
      <c r="E21" s="11">
        <f xml:space="preserve"> IF($U$21,1,0)</f>
        <v>1</v>
      </c>
      <c r="F21" s="11" t="s">
        <v>75</v>
      </c>
      <c r="G21" s="11">
        <v>2</v>
      </c>
      <c r="H21" s="11">
        <v>0</v>
      </c>
      <c r="I21" s="11">
        <v>2</v>
      </c>
      <c r="J21" s="11">
        <v>0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2">
        <v>0</v>
      </c>
      <c r="R21" s="12">
        <v>0</v>
      </c>
      <c r="S21" s="12">
        <f>$G$21*$G$8+$H$21*$H$8+$I$21*$I$8+$J$21*$J$8+$K$21*$K$8+$L$21*$L$8+$M$21*$M$8+$N$21*$N$8+$O$21*$O$8+$P$21*$P$8</f>
        <v>3.4</v>
      </c>
      <c r="T21" s="12">
        <f>SUM($Q$21:$R$21)</f>
        <v>0</v>
      </c>
      <c r="U21" s="12">
        <f>$S$21+$T$21</f>
        <v>3.4</v>
      </c>
    </row>
    <row r="22" spans="1:21" x14ac:dyDescent="0.3">
      <c r="A22" s="13" t="s">
        <v>76</v>
      </c>
      <c r="B22" s="14" t="s">
        <v>77</v>
      </c>
      <c r="C22" s="14"/>
      <c r="D22" s="14" t="s">
        <v>78</v>
      </c>
      <c r="E22" s="14">
        <f xml:space="preserve"> IF($U$22,1,0)</f>
        <v>1</v>
      </c>
      <c r="F22" s="14" t="s">
        <v>79</v>
      </c>
      <c r="G22" s="14">
        <v>5</v>
      </c>
      <c r="H22" s="14">
        <v>0</v>
      </c>
      <c r="I22" s="14">
        <v>0</v>
      </c>
      <c r="J22" s="14">
        <v>0</v>
      </c>
      <c r="K22" s="14">
        <v>0</v>
      </c>
      <c r="L22" s="14">
        <v>0</v>
      </c>
      <c r="M22" s="14">
        <v>0</v>
      </c>
      <c r="N22" s="14">
        <v>0</v>
      </c>
      <c r="O22" s="14">
        <v>0</v>
      </c>
      <c r="P22" s="14">
        <v>2</v>
      </c>
      <c r="Q22" s="15">
        <v>0</v>
      </c>
      <c r="R22" s="15">
        <v>0</v>
      </c>
      <c r="S22" s="15">
        <f>$G$22*$G$8+$H$22*$H$8+$I$22*$I$8+$J$22*$J$8+$K$22*$K$8+$L$22*$L$8+$M$22*$M$8+$N$22*$N$8+$O$22*$O$8+$P$22*$P$8</f>
        <v>5.5</v>
      </c>
      <c r="T22" s="15">
        <f>SUM($Q$22:$R$22)</f>
        <v>0</v>
      </c>
      <c r="U22" s="15">
        <f>$S$22+$T$22</f>
        <v>5.5</v>
      </c>
    </row>
    <row r="23" spans="1:21" x14ac:dyDescent="0.3">
      <c r="A23" s="10" t="s">
        <v>80</v>
      </c>
      <c r="B23" s="11" t="s">
        <v>77</v>
      </c>
      <c r="C23" s="11" t="s">
        <v>65</v>
      </c>
      <c r="D23" s="11" t="s">
        <v>81</v>
      </c>
      <c r="E23" s="11">
        <f xml:space="preserve"> IF($U$23,1,0)</f>
        <v>0</v>
      </c>
      <c r="F23" s="11" t="s">
        <v>82</v>
      </c>
      <c r="G23" s="11">
        <v>0</v>
      </c>
      <c r="H23" s="11">
        <v>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2">
        <v>0</v>
      </c>
      <c r="R23" s="12">
        <v>0</v>
      </c>
      <c r="S23" s="12">
        <f>$G$23*$G$8+$H$23*$H$8+$I$23*$I$8+$J$23*$J$8+$K$23*$K$8+$L$23*$L$8+$M$23*$M$8+$N$23*$N$8+$O$23*$O$8+$P$23*$P$8</f>
        <v>0</v>
      </c>
      <c r="T23" s="12">
        <f>SUM($Q$23:$R$23)</f>
        <v>0</v>
      </c>
      <c r="U23" s="12">
        <f>$S$23+$T$23</f>
        <v>0</v>
      </c>
    </row>
    <row r="24" spans="1:21" x14ac:dyDescent="0.3">
      <c r="A24" s="13" t="s">
        <v>83</v>
      </c>
      <c r="B24" s="14" t="s">
        <v>84</v>
      </c>
      <c r="C24" s="14"/>
      <c r="D24" s="14" t="s">
        <v>81</v>
      </c>
      <c r="E24" s="14">
        <f xml:space="preserve"> IF($U$24,1,0)</f>
        <v>0</v>
      </c>
      <c r="F24" s="14" t="s">
        <v>85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5">
        <v>0</v>
      </c>
      <c r="R24" s="15">
        <v>0</v>
      </c>
      <c r="S24" s="15">
        <f>$G$24*$G$8+$H$24*$H$8+$I$24*$I$8+$J$24*$J$8+$K$24*$K$8+$L$24*$L$8+$M$24*$M$8+$N$24*$N$8+$O$24*$O$8+$P$24*$P$8</f>
        <v>0</v>
      </c>
      <c r="T24" s="15">
        <f>SUM($Q$24:$R$24)</f>
        <v>0</v>
      </c>
      <c r="U24" s="15">
        <f>$S$24+$T$24</f>
        <v>0</v>
      </c>
    </row>
    <row r="25" spans="1:21" x14ac:dyDescent="0.3">
      <c r="A25" s="10" t="s">
        <v>86</v>
      </c>
      <c r="B25" s="11" t="s">
        <v>87</v>
      </c>
      <c r="C25" s="11"/>
      <c r="D25" s="11" t="s">
        <v>88</v>
      </c>
      <c r="E25" s="11">
        <f xml:space="preserve"> IF($U$25,1,0)</f>
        <v>0</v>
      </c>
      <c r="F25" s="11" t="s">
        <v>89</v>
      </c>
      <c r="G25" s="11">
        <v>0</v>
      </c>
      <c r="H25" s="11">
        <v>0</v>
      </c>
      <c r="I25" s="11">
        <v>0</v>
      </c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2">
        <v>0</v>
      </c>
      <c r="R25" s="12">
        <v>0</v>
      </c>
      <c r="S25" s="12">
        <f>$G$25*$G$8+$H$25*$H$8+$I$25*$I$8+$J$25*$J$8+$K$25*$K$8+$L$25*$L$8+$M$25*$M$8+$N$25*$N$8+$O$25*$O$8+$P$25*$P$8</f>
        <v>0</v>
      </c>
      <c r="T25" s="12">
        <f>SUM($Q$25:$R$25)</f>
        <v>0</v>
      </c>
      <c r="U25" s="12">
        <f>$S$25+$T$25</f>
        <v>0</v>
      </c>
    </row>
    <row r="26" spans="1:21" x14ac:dyDescent="0.3">
      <c r="A26" s="13" t="s">
        <v>90</v>
      </c>
      <c r="B26" s="14" t="s">
        <v>91</v>
      </c>
      <c r="C26" s="14"/>
      <c r="D26" s="14" t="s">
        <v>92</v>
      </c>
      <c r="E26" s="14">
        <f xml:space="preserve"> IF($U$26,1,0)</f>
        <v>0</v>
      </c>
      <c r="F26" s="14" t="s">
        <v>93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5">
        <v>0</v>
      </c>
      <c r="R26" s="15">
        <v>0</v>
      </c>
      <c r="S26" s="15">
        <f>$G$26*$G$8+$H$26*$H$8+$I$26*$I$8+$J$26*$J$8+$K$26*$K$8+$L$26*$L$8+$M$26*$M$8+$N$26*$N$8+$O$26*$O$8+$P$26*$P$8</f>
        <v>0</v>
      </c>
      <c r="T26" s="15">
        <f>SUM($Q$26:$R$26)</f>
        <v>0</v>
      </c>
      <c r="U26" s="15">
        <f>$S$26+$T$26</f>
        <v>0</v>
      </c>
    </row>
    <row r="27" spans="1:21" x14ac:dyDescent="0.3">
      <c r="A27" s="10" t="s">
        <v>94</v>
      </c>
      <c r="B27" s="11" t="s">
        <v>95</v>
      </c>
      <c r="C27" s="11"/>
      <c r="D27" s="11" t="s">
        <v>96</v>
      </c>
      <c r="E27" s="11">
        <f xml:space="preserve"> IF($U$27,1,0)</f>
        <v>0</v>
      </c>
      <c r="F27" s="11" t="s">
        <v>97</v>
      </c>
      <c r="G27" s="11">
        <v>0</v>
      </c>
      <c r="H27" s="11">
        <v>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2">
        <v>0</v>
      </c>
      <c r="R27" s="12">
        <v>0</v>
      </c>
      <c r="S27" s="12">
        <f>$G$27*$G$8+$H$27*$H$8+$I$27*$I$8+$J$27*$J$8+$K$27*$K$8+$L$27*$L$8+$M$27*$M$8+$N$27*$N$8+$O$27*$O$8+$P$27*$P$8</f>
        <v>0</v>
      </c>
      <c r="T27" s="12">
        <f>SUM($Q$27:$R$27)</f>
        <v>0</v>
      </c>
      <c r="U27" s="12">
        <f>$S$27+$T$27</f>
        <v>0</v>
      </c>
    </row>
    <row r="28" spans="1:21" x14ac:dyDescent="0.3">
      <c r="A28" s="13" t="s">
        <v>98</v>
      </c>
      <c r="B28" s="14" t="s">
        <v>99</v>
      </c>
      <c r="C28" s="14"/>
      <c r="D28" s="14" t="s">
        <v>100</v>
      </c>
      <c r="E28" s="14">
        <f xml:space="preserve"> IF($U$28,1,0)</f>
        <v>0</v>
      </c>
      <c r="F28" s="14" t="s">
        <v>101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5">
        <v>0</v>
      </c>
      <c r="R28" s="15">
        <v>0</v>
      </c>
      <c r="S28" s="15">
        <f>$G$28*$G$8+$H$28*$H$8+$I$28*$I$8+$J$28*$J$8+$K$28*$K$8+$L$28*$L$8+$M$28*$M$8+$N$28*$N$8+$O$28*$O$8+$P$28*$P$8</f>
        <v>0</v>
      </c>
      <c r="T28" s="15">
        <f>SUM($Q$28:$R$28)</f>
        <v>0</v>
      </c>
      <c r="U28" s="15">
        <f>$S$28+$T$28</f>
        <v>0</v>
      </c>
    </row>
    <row r="29" spans="1:21" x14ac:dyDescent="0.3">
      <c r="A29" s="10" t="s">
        <v>102</v>
      </c>
      <c r="B29" s="11" t="s">
        <v>103</v>
      </c>
      <c r="C29" s="11"/>
      <c r="D29" s="11" t="s">
        <v>104</v>
      </c>
      <c r="E29" s="11">
        <f xml:space="preserve"> IF($U$29,1,0)</f>
        <v>1</v>
      </c>
      <c r="F29" s="11" t="s">
        <v>105</v>
      </c>
      <c r="G29" s="11">
        <v>3</v>
      </c>
      <c r="H29" s="11">
        <v>0</v>
      </c>
      <c r="I29" s="11">
        <v>0</v>
      </c>
      <c r="J29" s="11">
        <v>0</v>
      </c>
      <c r="K29" s="11">
        <v>0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2">
        <v>0</v>
      </c>
      <c r="R29" s="12">
        <v>0</v>
      </c>
      <c r="S29" s="12">
        <f>$G$29*$G$8+$H$29*$H$8+$I$29*$I$8+$J$29*$J$8+$K$29*$K$8+$L$29*$L$8+$M$29*$M$8+$N$29*$N$8+$O$29*$O$8+$P$29*$P$8</f>
        <v>2.0999999999999996</v>
      </c>
      <c r="T29" s="12">
        <f>SUM($Q$29:$R$29)</f>
        <v>0</v>
      </c>
      <c r="U29" s="12">
        <f>$S$29+$T$29</f>
        <v>2.0999999999999996</v>
      </c>
    </row>
    <row r="30" spans="1:21" x14ac:dyDescent="0.3">
      <c r="A30" s="13" t="s">
        <v>106</v>
      </c>
      <c r="B30" s="14" t="s">
        <v>103</v>
      </c>
      <c r="C30" s="14"/>
      <c r="D30" s="14" t="s">
        <v>107</v>
      </c>
      <c r="E30" s="14">
        <f xml:space="preserve"> IF($U$30,1,0)</f>
        <v>0</v>
      </c>
      <c r="F30" s="14" t="s">
        <v>108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5">
        <v>0</v>
      </c>
      <c r="R30" s="15">
        <v>0</v>
      </c>
      <c r="S30" s="15">
        <f>$G$30*$G$8+$H$30*$H$8+$I$30*$I$8+$J$30*$J$8+$K$30*$K$8+$L$30*$L$8+$M$30*$M$8+$N$30*$N$8+$O$30*$O$8+$P$30*$P$8</f>
        <v>0</v>
      </c>
      <c r="T30" s="15">
        <f>SUM($Q$30:$R$30)</f>
        <v>0</v>
      </c>
      <c r="U30" s="15">
        <f>$S$30+$T$30</f>
        <v>0</v>
      </c>
    </row>
    <row r="31" spans="1:21" x14ac:dyDescent="0.3">
      <c r="A31" s="10" t="s">
        <v>109</v>
      </c>
      <c r="B31" s="11" t="s">
        <v>103</v>
      </c>
      <c r="C31" s="11"/>
      <c r="D31" s="11" t="s">
        <v>110</v>
      </c>
      <c r="E31" s="11">
        <f xml:space="preserve"> IF($U$31,1,0)</f>
        <v>0</v>
      </c>
      <c r="F31" s="11" t="s">
        <v>111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2">
        <v>0</v>
      </c>
      <c r="R31" s="12">
        <v>0</v>
      </c>
      <c r="S31" s="12">
        <f>$G$31*$G$8+$H$31*$H$8+$I$31*$I$8+$J$31*$J$8+$K$31*$K$8+$L$31*$L$8+$M$31*$M$8+$N$31*$N$8+$O$31*$O$8+$P$31*$P$8</f>
        <v>0</v>
      </c>
      <c r="T31" s="12">
        <f>SUM($Q$31:$R$31)</f>
        <v>0</v>
      </c>
      <c r="U31" s="12">
        <f>$S$31+$T$31</f>
        <v>0</v>
      </c>
    </row>
    <row r="32" spans="1:21" x14ac:dyDescent="0.3">
      <c r="A32" s="13" t="s">
        <v>112</v>
      </c>
      <c r="B32" s="14" t="s">
        <v>113</v>
      </c>
      <c r="C32" s="14"/>
      <c r="D32" s="14" t="s">
        <v>114</v>
      </c>
      <c r="E32" s="14">
        <f xml:space="preserve"> IF($U$32,1,0)</f>
        <v>0</v>
      </c>
      <c r="F32" s="14" t="s">
        <v>115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5">
        <v>0</v>
      </c>
      <c r="R32" s="15">
        <v>0</v>
      </c>
      <c r="S32" s="15">
        <f>$G$32*$G$8+$H$32*$H$8+$I$32*$I$8+$J$32*$J$8+$K$32*$K$8+$L$32*$L$8+$M$32*$M$8+$N$32*$N$8+$O$32*$O$8+$P$32*$P$8</f>
        <v>0</v>
      </c>
      <c r="T32" s="15">
        <f>SUM($Q$32:$R$32)</f>
        <v>0</v>
      </c>
      <c r="U32" s="15">
        <f>$S$32+$T$32</f>
        <v>0</v>
      </c>
    </row>
    <row r="33" spans="1:21" x14ac:dyDescent="0.3">
      <c r="A33" s="10" t="s">
        <v>116</v>
      </c>
      <c r="B33" s="11" t="s">
        <v>117</v>
      </c>
      <c r="C33" s="11" t="s">
        <v>34</v>
      </c>
      <c r="D33" s="11" t="s">
        <v>118</v>
      </c>
      <c r="E33" s="11">
        <f xml:space="preserve"> IF($U$33,1,0)</f>
        <v>1</v>
      </c>
      <c r="F33" s="11" t="s">
        <v>119</v>
      </c>
      <c r="G33" s="11">
        <v>2</v>
      </c>
      <c r="H33" s="11">
        <v>0</v>
      </c>
      <c r="I33" s="11">
        <v>0</v>
      </c>
      <c r="J33" s="11">
        <v>0</v>
      </c>
      <c r="K33" s="11">
        <v>0</v>
      </c>
      <c r="L33" s="11">
        <v>0</v>
      </c>
      <c r="M33" s="11">
        <v>0</v>
      </c>
      <c r="N33" s="11">
        <v>0</v>
      </c>
      <c r="O33" s="11">
        <v>0</v>
      </c>
      <c r="P33" s="11">
        <v>0</v>
      </c>
      <c r="Q33" s="12">
        <v>0</v>
      </c>
      <c r="R33" s="12">
        <v>0</v>
      </c>
      <c r="S33" s="12">
        <f>$G$33*$G$8+$H$33*$H$8+$I$33*$I$8+$J$33*$J$8+$K$33*$K$8+$L$33*$L$8+$M$33*$M$8+$N$33*$N$8+$O$33*$O$8+$P$33*$P$8</f>
        <v>1.4</v>
      </c>
      <c r="T33" s="12">
        <f>SUM($Q$33:$R$33)</f>
        <v>0</v>
      </c>
      <c r="U33" s="12">
        <f>$S$33+$T$33</f>
        <v>1.4</v>
      </c>
    </row>
    <row r="34" spans="1:21" x14ac:dyDescent="0.3">
      <c r="A34" s="13" t="s">
        <v>120</v>
      </c>
      <c r="B34" s="14" t="s">
        <v>121</v>
      </c>
      <c r="C34" s="14"/>
      <c r="D34" s="14" t="s">
        <v>122</v>
      </c>
      <c r="E34" s="14">
        <f xml:space="preserve"> IF($U$34,1,0)</f>
        <v>0</v>
      </c>
      <c r="F34" s="14" t="s">
        <v>123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5">
        <v>0</v>
      </c>
      <c r="R34" s="15">
        <v>0</v>
      </c>
      <c r="S34" s="15">
        <f>$G$34*$G$8+$H$34*$H$8+$I$34*$I$8+$J$34*$J$8+$K$34*$K$8+$L$34*$L$8+$M$34*$M$8+$N$34*$N$8+$O$34*$O$8+$P$34*$P$8</f>
        <v>0</v>
      </c>
      <c r="T34" s="15">
        <f>SUM($Q$34:$R$34)</f>
        <v>0</v>
      </c>
      <c r="U34" s="15">
        <f>$S$34+$T$34</f>
        <v>0</v>
      </c>
    </row>
    <row r="35" spans="1:21" x14ac:dyDescent="0.3">
      <c r="A35" s="10" t="s">
        <v>124</v>
      </c>
      <c r="B35" s="11" t="s">
        <v>125</v>
      </c>
      <c r="C35" s="11"/>
      <c r="D35" s="11" t="s">
        <v>126</v>
      </c>
      <c r="E35" s="11">
        <f xml:space="preserve"> IF($U$35,1,0)</f>
        <v>0</v>
      </c>
      <c r="F35" s="11" t="s">
        <v>127</v>
      </c>
      <c r="G35" s="11">
        <v>0</v>
      </c>
      <c r="H35" s="11">
        <v>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0</v>
      </c>
      <c r="Q35" s="12">
        <v>0</v>
      </c>
      <c r="R35" s="12">
        <v>0</v>
      </c>
      <c r="S35" s="12">
        <f>$G$35*$G$8+$H$35*$H$8+$I$35*$I$8+$J$35*$J$8+$K$35*$K$8+$L$35*$L$8+$M$35*$M$8+$N$35*$N$8+$O$35*$O$8+$P$35*$P$8</f>
        <v>0</v>
      </c>
      <c r="T35" s="12">
        <f>SUM($Q$35:$R$35)</f>
        <v>0</v>
      </c>
      <c r="U35" s="12">
        <f>$S$35+$T$35</f>
        <v>0</v>
      </c>
    </row>
    <row r="36" spans="1:21" x14ac:dyDescent="0.3">
      <c r="A36" s="13" t="s">
        <v>128</v>
      </c>
      <c r="B36" s="14" t="s">
        <v>129</v>
      </c>
      <c r="C36" s="14" t="s">
        <v>34</v>
      </c>
      <c r="D36" s="14" t="s">
        <v>130</v>
      </c>
      <c r="E36" s="14">
        <f xml:space="preserve"> IF($U$36,1,0)</f>
        <v>0</v>
      </c>
      <c r="F36" s="14" t="s">
        <v>131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5">
        <v>0</v>
      </c>
      <c r="R36" s="15">
        <v>0</v>
      </c>
      <c r="S36" s="15">
        <f>$G$36*$G$8+$H$36*$H$8+$I$36*$I$8+$J$36*$J$8+$K$36*$K$8+$L$36*$L$8+$M$36*$M$8+$N$36*$N$8+$O$36*$O$8+$P$36*$P$8</f>
        <v>0</v>
      </c>
      <c r="T36" s="15">
        <f>SUM($Q$36:$R$36)</f>
        <v>0</v>
      </c>
      <c r="U36" s="15">
        <f>$S$36+$T$36</f>
        <v>0</v>
      </c>
    </row>
    <row r="37" spans="1:21" x14ac:dyDescent="0.3">
      <c r="A37" s="10" t="s">
        <v>132</v>
      </c>
      <c r="B37" s="11" t="s">
        <v>133</v>
      </c>
      <c r="C37" s="11"/>
      <c r="D37" s="11" t="s">
        <v>134</v>
      </c>
      <c r="E37" s="11">
        <f xml:space="preserve"> IF($U$37,1,0)</f>
        <v>0</v>
      </c>
      <c r="F37" s="11" t="s">
        <v>135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2">
        <v>0</v>
      </c>
      <c r="R37" s="12">
        <v>0</v>
      </c>
      <c r="S37" s="12">
        <f>$G$37*$G$8+$H$37*$H$8+$I$37*$I$8+$J$37*$J$8+$K$37*$K$8+$L$37*$L$8+$M$37*$M$8+$N$37*$N$8+$O$37*$O$8+$P$37*$P$8</f>
        <v>0</v>
      </c>
      <c r="T37" s="12">
        <f>SUM($Q$37:$R$37)</f>
        <v>0</v>
      </c>
      <c r="U37" s="12">
        <f>$S$37+$T$37</f>
        <v>0</v>
      </c>
    </row>
    <row r="38" spans="1:21" x14ac:dyDescent="0.3">
      <c r="A38" s="13" t="s">
        <v>136</v>
      </c>
      <c r="B38" s="14" t="s">
        <v>137</v>
      </c>
      <c r="C38" s="14"/>
      <c r="D38" s="14" t="s">
        <v>138</v>
      </c>
      <c r="E38" s="14">
        <f xml:space="preserve"> IF($U$38,1,0)</f>
        <v>0</v>
      </c>
      <c r="F38" s="14" t="s">
        <v>139</v>
      </c>
      <c r="G38" s="14">
        <v>0</v>
      </c>
      <c r="H38" s="14">
        <v>0</v>
      </c>
      <c r="I38" s="14">
        <v>0</v>
      </c>
      <c r="J38" s="14">
        <v>0</v>
      </c>
      <c r="K38" s="14">
        <v>0</v>
      </c>
      <c r="L38" s="14">
        <v>0</v>
      </c>
      <c r="M38" s="14">
        <v>0</v>
      </c>
      <c r="N38" s="14">
        <v>0</v>
      </c>
      <c r="O38" s="14">
        <v>0</v>
      </c>
      <c r="P38" s="14">
        <v>0</v>
      </c>
      <c r="Q38" s="15">
        <v>0</v>
      </c>
      <c r="R38" s="15">
        <v>0</v>
      </c>
      <c r="S38" s="15">
        <f>$G$38*$G$8+$H$38*$H$8+$I$38*$I$8+$J$38*$J$8+$K$38*$K$8+$L$38*$L$8+$M$38*$M$8+$N$38*$N$8+$O$38*$O$8+$P$38*$P$8</f>
        <v>0</v>
      </c>
      <c r="T38" s="15">
        <f>SUM($Q$38:$R$38)</f>
        <v>0</v>
      </c>
      <c r="U38" s="15">
        <f>$S$38+$T$38</f>
        <v>0</v>
      </c>
    </row>
    <row r="39" spans="1:21" x14ac:dyDescent="0.3">
      <c r="A39" s="10" t="s">
        <v>140</v>
      </c>
      <c r="B39" s="11" t="s">
        <v>141</v>
      </c>
      <c r="C39" s="11"/>
      <c r="D39" s="11" t="s">
        <v>142</v>
      </c>
      <c r="E39" s="11">
        <f xml:space="preserve"> IF($U$39,1,0)</f>
        <v>0</v>
      </c>
      <c r="F39" s="11" t="s">
        <v>143</v>
      </c>
      <c r="G39" s="11">
        <v>0</v>
      </c>
      <c r="H39" s="11">
        <v>0</v>
      </c>
      <c r="I39" s="11">
        <v>0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2">
        <v>0</v>
      </c>
      <c r="R39" s="12">
        <v>0</v>
      </c>
      <c r="S39" s="12">
        <f>$G$39*$G$8+$H$39*$H$8+$I$39*$I$8+$J$39*$J$8+$K$39*$K$8+$L$39*$L$8+$M$39*$M$8+$N$39*$N$8+$O$39*$O$8+$P$39*$P$8</f>
        <v>0</v>
      </c>
      <c r="T39" s="12">
        <f>SUM($Q$39:$R$39)</f>
        <v>0</v>
      </c>
      <c r="U39" s="12">
        <f>$S$39+$T$39</f>
        <v>0</v>
      </c>
    </row>
    <row r="40" spans="1:21" x14ac:dyDescent="0.3">
      <c r="A40" s="13" t="s">
        <v>144</v>
      </c>
      <c r="B40" s="14" t="s">
        <v>145</v>
      </c>
      <c r="C40" s="14"/>
      <c r="D40" s="14" t="s">
        <v>146</v>
      </c>
      <c r="E40" s="14">
        <f xml:space="preserve"> IF($U$40,1,0)</f>
        <v>0</v>
      </c>
      <c r="F40" s="14" t="s">
        <v>147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5">
        <v>0</v>
      </c>
      <c r="R40" s="15">
        <v>0</v>
      </c>
      <c r="S40" s="15">
        <f>$G$40*$G$8+$H$40*$H$8+$I$40*$I$8+$J$40*$J$8+$K$40*$K$8+$L$40*$L$8+$M$40*$M$8+$N$40*$N$8+$O$40*$O$8+$P$40*$P$8</f>
        <v>0</v>
      </c>
      <c r="T40" s="15">
        <f>SUM($Q$40:$R$40)</f>
        <v>0</v>
      </c>
      <c r="U40" s="15">
        <f>$S$40+$T$40</f>
        <v>0</v>
      </c>
    </row>
    <row r="41" spans="1:21" x14ac:dyDescent="0.3">
      <c r="A41" s="10" t="s">
        <v>148</v>
      </c>
      <c r="B41" s="11" t="s">
        <v>149</v>
      </c>
      <c r="C41" s="11"/>
      <c r="D41" s="11" t="s">
        <v>150</v>
      </c>
      <c r="E41" s="11">
        <f xml:space="preserve"> IF($U$41,1,0)</f>
        <v>0</v>
      </c>
      <c r="F41" s="11" t="s">
        <v>151</v>
      </c>
      <c r="G41" s="11">
        <v>0</v>
      </c>
      <c r="H41" s="11">
        <v>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2">
        <v>0</v>
      </c>
      <c r="R41" s="12">
        <v>0</v>
      </c>
      <c r="S41" s="12">
        <f>$G$41*$G$8+$H$41*$H$8+$I$41*$I$8+$J$41*$J$8+$K$41*$K$8+$L$41*$L$8+$M$41*$M$8+$N$41*$N$8+$O$41*$O$8+$P$41*$P$8</f>
        <v>0</v>
      </c>
      <c r="T41" s="12">
        <f>SUM($Q$41:$R$41)</f>
        <v>0</v>
      </c>
      <c r="U41" s="12">
        <f>$S$41+$T$41</f>
        <v>0</v>
      </c>
    </row>
    <row r="42" spans="1:21" x14ac:dyDescent="0.3">
      <c r="A42" s="13" t="s">
        <v>152</v>
      </c>
      <c r="B42" s="14" t="s">
        <v>153</v>
      </c>
      <c r="C42" s="14"/>
      <c r="D42" s="14" t="s">
        <v>154</v>
      </c>
      <c r="E42" s="14">
        <f xml:space="preserve"> IF($U$42,1,0)</f>
        <v>1</v>
      </c>
      <c r="F42" s="14" t="s">
        <v>155</v>
      </c>
      <c r="G42" s="14">
        <v>2</v>
      </c>
      <c r="H42" s="14">
        <v>2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2</v>
      </c>
      <c r="Q42" s="15">
        <v>0</v>
      </c>
      <c r="R42" s="15">
        <v>0</v>
      </c>
      <c r="S42" s="15">
        <f>$G$42*$G$8+$H$42*$H$8+$I$42*$I$8+$J$42*$J$8+$K$42*$K$8+$L$42*$L$8+$M$42*$M$8+$N$42*$N$8+$O$42*$O$8+$P$42*$P$8</f>
        <v>7</v>
      </c>
      <c r="T42" s="15">
        <f>SUM($Q$42:$R$42)</f>
        <v>0</v>
      </c>
      <c r="U42" s="15">
        <f>$S$42+$T$42</f>
        <v>7</v>
      </c>
    </row>
    <row r="43" spans="1:21" x14ac:dyDescent="0.3">
      <c r="A43" s="10" t="s">
        <v>156</v>
      </c>
      <c r="B43" s="11" t="s">
        <v>157</v>
      </c>
      <c r="C43" s="11" t="s">
        <v>65</v>
      </c>
      <c r="D43" s="11" t="s">
        <v>158</v>
      </c>
      <c r="E43" s="11">
        <f xml:space="preserve"> IF($U$43,1,0)</f>
        <v>0</v>
      </c>
      <c r="F43" s="11" t="s">
        <v>159</v>
      </c>
      <c r="G43" s="11">
        <v>0</v>
      </c>
      <c r="H43" s="11">
        <v>0</v>
      </c>
      <c r="I43" s="11">
        <v>0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2">
        <v>0</v>
      </c>
      <c r="R43" s="12">
        <v>0</v>
      </c>
      <c r="S43" s="12">
        <f>$G$43*$G$8+$H$43*$H$8+$I$43*$I$8+$J$43*$J$8+$K$43*$K$8+$L$43*$L$8+$M$43*$M$8+$N$43*$N$8+$O$43*$O$8+$P$43*$P$8</f>
        <v>0</v>
      </c>
      <c r="T43" s="12">
        <f>SUM($Q$43:$R$43)</f>
        <v>0</v>
      </c>
      <c r="U43" s="12">
        <f>$S$43+$T$43</f>
        <v>0</v>
      </c>
    </row>
    <row r="44" spans="1:21" x14ac:dyDescent="0.3">
      <c r="A44" s="13" t="s">
        <v>160</v>
      </c>
      <c r="B44" s="14" t="s">
        <v>161</v>
      </c>
      <c r="C44" s="14"/>
      <c r="D44" s="14" t="s">
        <v>162</v>
      </c>
      <c r="E44" s="14">
        <f xml:space="preserve"> IF($U$44,1,0)</f>
        <v>0</v>
      </c>
      <c r="F44" s="14" t="s">
        <v>163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14">
        <v>0</v>
      </c>
      <c r="P44" s="14">
        <v>0</v>
      </c>
      <c r="Q44" s="15">
        <v>0</v>
      </c>
      <c r="R44" s="15">
        <v>0</v>
      </c>
      <c r="S44" s="15">
        <f>$G$44*$G$8+$H$44*$H$8+$I$44*$I$8+$J$44*$J$8+$K$44*$K$8+$L$44*$L$8+$M$44*$M$8+$N$44*$N$8+$O$44*$O$8+$P$44*$P$8</f>
        <v>0</v>
      </c>
      <c r="T44" s="15">
        <f>SUM($Q$44:$R$44)</f>
        <v>0</v>
      </c>
      <c r="U44" s="15">
        <f>$S$44+$T$44</f>
        <v>0</v>
      </c>
    </row>
    <row r="45" spans="1:21" x14ac:dyDescent="0.3">
      <c r="A45" s="10" t="s">
        <v>164</v>
      </c>
      <c r="B45" s="11" t="s">
        <v>165</v>
      </c>
      <c r="C45" s="11"/>
      <c r="D45" s="11" t="s">
        <v>166</v>
      </c>
      <c r="E45" s="11">
        <f xml:space="preserve"> IF($U$45,1,0)</f>
        <v>0</v>
      </c>
      <c r="F45" s="11" t="s">
        <v>167</v>
      </c>
      <c r="G45" s="11">
        <v>0</v>
      </c>
      <c r="H45" s="11">
        <v>0</v>
      </c>
      <c r="I45" s="11">
        <v>0</v>
      </c>
      <c r="J45" s="11">
        <v>0</v>
      </c>
      <c r="K45" s="11">
        <v>0</v>
      </c>
      <c r="L45" s="11">
        <v>0</v>
      </c>
      <c r="M45" s="11">
        <v>0</v>
      </c>
      <c r="N45" s="11">
        <v>0</v>
      </c>
      <c r="O45" s="11">
        <v>0</v>
      </c>
      <c r="P45" s="11">
        <v>0</v>
      </c>
      <c r="Q45" s="12">
        <v>0</v>
      </c>
      <c r="R45" s="12">
        <v>0</v>
      </c>
      <c r="S45" s="12">
        <f>$G$45*$G$8+$H$45*$H$8+$I$45*$I$8+$J$45*$J$8+$K$45*$K$8+$L$45*$L$8+$M$45*$M$8+$N$45*$N$8+$O$45*$O$8+$P$45*$P$8</f>
        <v>0</v>
      </c>
      <c r="T45" s="12">
        <f>SUM($Q$45:$R$45)</f>
        <v>0</v>
      </c>
      <c r="U45" s="12">
        <f>$S$45+$T$45</f>
        <v>0</v>
      </c>
    </row>
    <row r="46" spans="1:21" x14ac:dyDescent="0.3">
      <c r="A46" s="13" t="s">
        <v>168</v>
      </c>
      <c r="B46" s="14" t="s">
        <v>169</v>
      </c>
      <c r="C46" s="14" t="s">
        <v>65</v>
      </c>
      <c r="D46" s="14" t="s">
        <v>170</v>
      </c>
      <c r="E46" s="14">
        <f xml:space="preserve"> IF($U$46,1,0)</f>
        <v>0</v>
      </c>
      <c r="F46" s="14" t="s">
        <v>171</v>
      </c>
      <c r="G46" s="14">
        <v>0</v>
      </c>
      <c r="H46" s="14">
        <v>0</v>
      </c>
      <c r="I46" s="14">
        <v>0</v>
      </c>
      <c r="J46" s="14">
        <v>0</v>
      </c>
      <c r="K46" s="14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5">
        <v>0</v>
      </c>
      <c r="R46" s="15">
        <v>0</v>
      </c>
      <c r="S46" s="15">
        <f>$G$46*$G$8+$H$46*$H$8+$I$46*$I$8+$J$46*$J$8+$K$46*$K$8+$L$46*$L$8+$M$46*$M$8+$N$46*$N$8+$O$46*$O$8+$P$46*$P$8</f>
        <v>0</v>
      </c>
      <c r="T46" s="15">
        <f>SUM($Q$46:$R$46)</f>
        <v>0</v>
      </c>
      <c r="U46" s="15">
        <f>$S$46+$T$46</f>
        <v>0</v>
      </c>
    </row>
    <row r="47" spans="1:21" x14ac:dyDescent="0.3">
      <c r="A47" s="10" t="s">
        <v>172</v>
      </c>
      <c r="B47" s="11" t="s">
        <v>173</v>
      </c>
      <c r="C47" s="11"/>
      <c r="D47" s="11" t="s">
        <v>174</v>
      </c>
      <c r="E47" s="11">
        <f xml:space="preserve"> IF($U$47,1,0)</f>
        <v>0</v>
      </c>
      <c r="F47" s="11" t="s">
        <v>175</v>
      </c>
      <c r="G47" s="11">
        <v>0</v>
      </c>
      <c r="H47" s="11">
        <v>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2">
        <v>0</v>
      </c>
      <c r="R47" s="12">
        <v>0</v>
      </c>
      <c r="S47" s="12">
        <f>$G$47*$G$8+$H$47*$H$8+$I$47*$I$8+$J$47*$J$8+$K$47*$K$8+$L$47*$L$8+$M$47*$M$8+$N$47*$N$8+$O$47*$O$8+$P$47*$P$8</f>
        <v>0</v>
      </c>
      <c r="T47" s="12">
        <f>SUM($Q$47:$R$47)</f>
        <v>0</v>
      </c>
      <c r="U47" s="12">
        <f>$S$47+$T$47</f>
        <v>0</v>
      </c>
    </row>
    <row r="48" spans="1:21" x14ac:dyDescent="0.3">
      <c r="A48" s="13" t="s">
        <v>176</v>
      </c>
      <c r="B48" s="14" t="s">
        <v>177</v>
      </c>
      <c r="C48" s="14"/>
      <c r="D48" s="14" t="s">
        <v>178</v>
      </c>
      <c r="E48" s="14">
        <f xml:space="preserve"> IF($U$48,1,0)</f>
        <v>0</v>
      </c>
      <c r="F48" s="14" t="s">
        <v>179</v>
      </c>
      <c r="G48" s="14">
        <v>0</v>
      </c>
      <c r="H48" s="14">
        <v>0</v>
      </c>
      <c r="I48" s="14">
        <v>0</v>
      </c>
      <c r="J48" s="14">
        <v>0</v>
      </c>
      <c r="K48" s="14">
        <v>0</v>
      </c>
      <c r="L48" s="14">
        <v>0</v>
      </c>
      <c r="M48" s="14">
        <v>0</v>
      </c>
      <c r="N48" s="14">
        <v>0</v>
      </c>
      <c r="O48" s="14">
        <v>0</v>
      </c>
      <c r="P48" s="14">
        <v>0</v>
      </c>
      <c r="Q48" s="15">
        <v>0</v>
      </c>
      <c r="R48" s="15">
        <v>0</v>
      </c>
      <c r="S48" s="15">
        <f>$G$48*$G$8+$H$48*$H$8+$I$48*$I$8+$J$48*$J$8+$K$48*$K$8+$L$48*$L$8+$M$48*$M$8+$N$48*$N$8+$O$48*$O$8+$P$48*$P$8</f>
        <v>0</v>
      </c>
      <c r="T48" s="15">
        <f>SUM($Q$48:$R$48)</f>
        <v>0</v>
      </c>
      <c r="U48" s="15">
        <f>$S$48+$T$48</f>
        <v>0</v>
      </c>
    </row>
    <row r="49" spans="1:21" x14ac:dyDescent="0.3">
      <c r="A49" s="10" t="s">
        <v>180</v>
      </c>
      <c r="B49" s="11" t="s">
        <v>177</v>
      </c>
      <c r="C49" s="11"/>
      <c r="D49" s="11" t="s">
        <v>181</v>
      </c>
      <c r="E49" s="11">
        <f xml:space="preserve"> IF($U$49,1,0)</f>
        <v>1</v>
      </c>
      <c r="F49" s="11" t="s">
        <v>182</v>
      </c>
      <c r="G49" s="11">
        <v>12</v>
      </c>
      <c r="H49" s="11">
        <v>0</v>
      </c>
      <c r="I49" s="11">
        <v>0</v>
      </c>
      <c r="J49" s="11">
        <v>0</v>
      </c>
      <c r="K49" s="11">
        <v>2</v>
      </c>
      <c r="L49" s="11">
        <v>2</v>
      </c>
      <c r="M49" s="11">
        <v>2</v>
      </c>
      <c r="N49" s="11">
        <v>0</v>
      </c>
      <c r="O49" s="11">
        <v>0</v>
      </c>
      <c r="P49" s="11">
        <v>0</v>
      </c>
      <c r="Q49" s="12">
        <v>0</v>
      </c>
      <c r="R49" s="12">
        <f>$T$339</f>
        <v>1.85</v>
      </c>
      <c r="S49" s="12">
        <f>$G$49*$G$8+$H$49*$H$8+$I$49*$I$8+$J$49*$J$8+$K$49*$K$8+$L$49*$L$8+$M$49*$M$8+$N$49*$N$8+$O$49*$O$8+$P$49*$P$8</f>
        <v>26.4</v>
      </c>
      <c r="T49" s="12">
        <f>SUM($Q$49:$R$49)</f>
        <v>1.85</v>
      </c>
      <c r="U49" s="12">
        <f>$S$49+$T$49</f>
        <v>28.25</v>
      </c>
    </row>
    <row r="50" spans="1:21" x14ac:dyDescent="0.3">
      <c r="A50" s="13" t="s">
        <v>183</v>
      </c>
      <c r="B50" s="14" t="s">
        <v>177</v>
      </c>
      <c r="C50" s="14"/>
      <c r="D50" s="14" t="s">
        <v>184</v>
      </c>
      <c r="E50" s="14">
        <f xml:space="preserve"> IF($U$50,1,0)</f>
        <v>0</v>
      </c>
      <c r="F50" s="14" t="s">
        <v>185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  <c r="M50" s="14">
        <v>0</v>
      </c>
      <c r="N50" s="14">
        <v>0</v>
      </c>
      <c r="O50" s="14">
        <v>0</v>
      </c>
      <c r="P50" s="14">
        <v>0</v>
      </c>
      <c r="Q50" s="15">
        <v>0</v>
      </c>
      <c r="R50" s="15">
        <v>0</v>
      </c>
      <c r="S50" s="15">
        <f>$G$50*$G$8+$H$50*$H$8+$I$50*$I$8+$J$50*$J$8+$K$50*$K$8+$L$50*$L$8+$M$50*$M$8+$N$50*$N$8+$O$50*$O$8+$P$50*$P$8</f>
        <v>0</v>
      </c>
      <c r="T50" s="15">
        <f>SUM($Q$50:$R$50)</f>
        <v>0</v>
      </c>
      <c r="U50" s="15">
        <f>$S$50+$T$50</f>
        <v>0</v>
      </c>
    </row>
    <row r="51" spans="1:21" x14ac:dyDescent="0.3">
      <c r="A51" s="10" t="s">
        <v>186</v>
      </c>
      <c r="B51" s="11" t="s">
        <v>177</v>
      </c>
      <c r="C51" s="11"/>
      <c r="D51" s="11" t="s">
        <v>187</v>
      </c>
      <c r="E51" s="11">
        <f xml:space="preserve"> IF($U$51,1,0)</f>
        <v>1</v>
      </c>
      <c r="F51" s="11" t="s">
        <v>188</v>
      </c>
      <c r="G51" s="11">
        <v>2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2">
        <v>0</v>
      </c>
      <c r="R51" s="12">
        <v>0</v>
      </c>
      <c r="S51" s="12">
        <f>$G$51*$G$8+$H$51*$H$8+$I$51*$I$8+$J$51*$J$8+$K$51*$K$8+$L$51*$L$8+$M$51*$M$8+$N$51*$N$8+$O$51*$O$8+$P$51*$P$8</f>
        <v>1.4</v>
      </c>
      <c r="T51" s="12">
        <f>SUM($Q$51:$R$51)</f>
        <v>0</v>
      </c>
      <c r="U51" s="12">
        <f>$S$51+$T$51</f>
        <v>1.4</v>
      </c>
    </row>
    <row r="52" spans="1:21" x14ac:dyDescent="0.3">
      <c r="A52" s="13" t="s">
        <v>189</v>
      </c>
      <c r="B52" s="14" t="s">
        <v>177</v>
      </c>
      <c r="C52" s="14"/>
      <c r="D52" s="14" t="s">
        <v>190</v>
      </c>
      <c r="E52" s="14">
        <f xml:space="preserve"> IF($U$52,1,0)</f>
        <v>0</v>
      </c>
      <c r="F52" s="14" t="s">
        <v>191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5">
        <v>0</v>
      </c>
      <c r="R52" s="15">
        <v>0</v>
      </c>
      <c r="S52" s="15">
        <f>$G$52*$G$8+$H$52*$H$8+$I$52*$I$8+$J$52*$J$8+$K$52*$K$8+$L$52*$L$8+$M$52*$M$8+$N$52*$N$8+$O$52*$O$8+$P$52*$P$8</f>
        <v>0</v>
      </c>
      <c r="T52" s="15">
        <f>SUM($Q$52:$R$52)</f>
        <v>0</v>
      </c>
      <c r="U52" s="15">
        <f>$S$52+$T$52</f>
        <v>0</v>
      </c>
    </row>
    <row r="53" spans="1:21" x14ac:dyDescent="0.3">
      <c r="A53" s="10" t="s">
        <v>192</v>
      </c>
      <c r="B53" s="11" t="s">
        <v>177</v>
      </c>
      <c r="C53" s="11"/>
      <c r="D53" s="11" t="s">
        <v>193</v>
      </c>
      <c r="E53" s="11">
        <f xml:space="preserve"> IF($U$53,1,0)</f>
        <v>0</v>
      </c>
      <c r="F53" s="11" t="s">
        <v>194</v>
      </c>
      <c r="G53" s="11">
        <v>0</v>
      </c>
      <c r="H53" s="11">
        <v>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2">
        <v>0</v>
      </c>
      <c r="R53" s="12">
        <v>0</v>
      </c>
      <c r="S53" s="12">
        <f>$G$53*$G$8+$H$53*$H$8+$I$53*$I$8+$J$53*$J$8+$K$53*$K$8+$L$53*$L$8+$M$53*$M$8+$N$53*$N$8+$O$53*$O$8+$P$53*$P$8</f>
        <v>0</v>
      </c>
      <c r="T53" s="12">
        <f>SUM($Q$53:$R$53)</f>
        <v>0</v>
      </c>
      <c r="U53" s="12">
        <f>$S$53+$T$53</f>
        <v>0</v>
      </c>
    </row>
    <row r="54" spans="1:21" x14ac:dyDescent="0.3">
      <c r="A54" s="13" t="s">
        <v>195</v>
      </c>
      <c r="B54" s="14" t="s">
        <v>177</v>
      </c>
      <c r="C54" s="14"/>
      <c r="D54" s="14" t="s">
        <v>196</v>
      </c>
      <c r="E54" s="14">
        <f xml:space="preserve"> IF($U$54,1,0)</f>
        <v>0</v>
      </c>
      <c r="F54" s="14" t="s">
        <v>197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5">
        <v>0</v>
      </c>
      <c r="R54" s="15">
        <v>0</v>
      </c>
      <c r="S54" s="15">
        <f>$G$54*$G$8+$H$54*$H$8+$I$54*$I$8+$J$54*$J$8+$K$54*$K$8+$L$54*$L$8+$M$54*$M$8+$N$54*$N$8+$O$54*$O$8+$P$54*$P$8</f>
        <v>0</v>
      </c>
      <c r="T54" s="15">
        <f>SUM($Q$54:$R$54)</f>
        <v>0</v>
      </c>
      <c r="U54" s="15">
        <f>$S$54+$T$54</f>
        <v>0</v>
      </c>
    </row>
    <row r="55" spans="1:21" x14ac:dyDescent="0.3">
      <c r="A55" s="10" t="s">
        <v>198</v>
      </c>
      <c r="B55" s="11" t="s">
        <v>177</v>
      </c>
      <c r="C55" s="11" t="s">
        <v>65</v>
      </c>
      <c r="D55" s="11" t="s">
        <v>199</v>
      </c>
      <c r="E55" s="11">
        <f xml:space="preserve"> IF($U$55,1,0)</f>
        <v>0</v>
      </c>
      <c r="F55" s="11" t="s">
        <v>200</v>
      </c>
      <c r="G55" s="11">
        <v>0</v>
      </c>
      <c r="H55" s="11">
        <v>0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2">
        <v>0</v>
      </c>
      <c r="R55" s="12">
        <v>0</v>
      </c>
      <c r="S55" s="12">
        <f>$G$55*$G$8+$H$55*$H$8+$I$55*$I$8+$J$55*$J$8+$K$55*$K$8+$L$55*$L$8+$M$55*$M$8+$N$55*$N$8+$O$55*$O$8+$P$55*$P$8</f>
        <v>0</v>
      </c>
      <c r="T55" s="12">
        <f>SUM($Q$55:$R$55)</f>
        <v>0</v>
      </c>
      <c r="U55" s="12">
        <f>$S$55+$T$55</f>
        <v>0</v>
      </c>
    </row>
    <row r="56" spans="1:21" x14ac:dyDescent="0.3">
      <c r="A56" s="13" t="s">
        <v>201</v>
      </c>
      <c r="B56" s="14" t="s">
        <v>177</v>
      </c>
      <c r="C56" s="14" t="s">
        <v>202</v>
      </c>
      <c r="D56" s="14" t="s">
        <v>203</v>
      </c>
      <c r="E56" s="14">
        <f xml:space="preserve"> IF($U$56,1,0)</f>
        <v>1</v>
      </c>
      <c r="F56" s="14" t="s">
        <v>204</v>
      </c>
      <c r="G56" s="14">
        <v>0</v>
      </c>
      <c r="H56" s="14">
        <v>4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5">
        <v>0</v>
      </c>
      <c r="R56" s="15">
        <v>0</v>
      </c>
      <c r="S56" s="15">
        <f>$G$56*$G$8+$H$56*$H$8+$I$56*$I$8+$J$56*$J$8+$K$56*$K$8+$L$56*$L$8+$M$56*$M$8+$N$56*$N$8+$O$56*$O$8+$P$56*$P$8</f>
        <v>7.2</v>
      </c>
      <c r="T56" s="15">
        <f>SUM($Q$56:$R$56)</f>
        <v>0</v>
      </c>
      <c r="U56" s="15">
        <f>$S$56+$T$56</f>
        <v>7.2</v>
      </c>
    </row>
    <row r="57" spans="1:21" x14ac:dyDescent="0.3">
      <c r="A57" s="10" t="s">
        <v>205</v>
      </c>
      <c r="B57" s="11" t="s">
        <v>206</v>
      </c>
      <c r="C57" s="11"/>
      <c r="D57" s="11" t="s">
        <v>207</v>
      </c>
      <c r="E57" s="11">
        <f xml:space="preserve"> IF($U$57,1,0)</f>
        <v>0</v>
      </c>
      <c r="F57" s="11" t="s">
        <v>208</v>
      </c>
      <c r="G57" s="11">
        <v>0</v>
      </c>
      <c r="H57" s="11">
        <v>0</v>
      </c>
      <c r="I57" s="11">
        <v>0</v>
      </c>
      <c r="J57" s="11">
        <v>0</v>
      </c>
      <c r="K57" s="11">
        <v>0</v>
      </c>
      <c r="L57" s="11">
        <v>0</v>
      </c>
      <c r="M57" s="11">
        <v>0</v>
      </c>
      <c r="N57" s="11">
        <v>0</v>
      </c>
      <c r="O57" s="11">
        <v>0</v>
      </c>
      <c r="P57" s="11">
        <v>0</v>
      </c>
      <c r="Q57" s="12">
        <v>0</v>
      </c>
      <c r="R57" s="12">
        <v>0</v>
      </c>
      <c r="S57" s="12">
        <f>$G$57*$G$8+$H$57*$H$8+$I$57*$I$8+$J$57*$J$8+$K$57*$K$8+$L$57*$L$8+$M$57*$M$8+$N$57*$N$8+$O$57*$O$8+$P$57*$P$8</f>
        <v>0</v>
      </c>
      <c r="T57" s="12">
        <f>SUM($Q$57:$R$57)</f>
        <v>0</v>
      </c>
      <c r="U57" s="12">
        <f>$S$57+$T$57</f>
        <v>0</v>
      </c>
    </row>
    <row r="58" spans="1:21" x14ac:dyDescent="0.3">
      <c r="A58" s="13" t="s">
        <v>209</v>
      </c>
      <c r="B58" s="14" t="s">
        <v>210</v>
      </c>
      <c r="C58" s="14"/>
      <c r="D58" s="14" t="s">
        <v>211</v>
      </c>
      <c r="E58" s="14">
        <f xml:space="preserve"> IF($U$58,1,0)</f>
        <v>1</v>
      </c>
      <c r="F58" s="14" t="s">
        <v>212</v>
      </c>
      <c r="G58" s="14">
        <v>4</v>
      </c>
      <c r="H58" s="14">
        <v>3</v>
      </c>
      <c r="I58" s="14">
        <v>0</v>
      </c>
      <c r="J58" s="14">
        <v>0</v>
      </c>
      <c r="K58" s="14">
        <v>2</v>
      </c>
      <c r="L58" s="14">
        <v>1</v>
      </c>
      <c r="M58" s="14">
        <v>0</v>
      </c>
      <c r="N58" s="14">
        <v>0</v>
      </c>
      <c r="O58" s="14">
        <v>0</v>
      </c>
      <c r="P58" s="14">
        <v>1</v>
      </c>
      <c r="Q58" s="15">
        <v>0</v>
      </c>
      <c r="R58" s="15">
        <v>0</v>
      </c>
      <c r="S58" s="15">
        <f>$G$58*$G$8+$H$58*$H$8+$I$58*$I$8+$J$58*$J$8+$K$58*$K$8+$L$58*$L$8+$M$58*$M$8+$N$58*$N$8+$O$58*$O$8+$P$58*$P$8</f>
        <v>16.2</v>
      </c>
      <c r="T58" s="15">
        <f>SUM($Q$58:$R$58)</f>
        <v>0</v>
      </c>
      <c r="U58" s="15">
        <f>$S$58+$T$58</f>
        <v>16.2</v>
      </c>
    </row>
    <row r="59" spans="1:21" x14ac:dyDescent="0.3">
      <c r="A59" s="10" t="s">
        <v>213</v>
      </c>
      <c r="B59" s="11" t="s">
        <v>210</v>
      </c>
      <c r="C59" s="11"/>
      <c r="D59" s="11" t="s">
        <v>214</v>
      </c>
      <c r="E59" s="11">
        <f xml:space="preserve"> IF($U$59,1,0)</f>
        <v>0</v>
      </c>
      <c r="F59" s="11" t="s">
        <v>215</v>
      </c>
      <c r="G59" s="11">
        <v>0</v>
      </c>
      <c r="H59" s="11">
        <v>0</v>
      </c>
      <c r="I59" s="11">
        <v>0</v>
      </c>
      <c r="J59" s="11">
        <v>0</v>
      </c>
      <c r="K59" s="11">
        <v>0</v>
      </c>
      <c r="L59" s="11">
        <v>0</v>
      </c>
      <c r="M59" s="11">
        <v>0</v>
      </c>
      <c r="N59" s="11">
        <v>0</v>
      </c>
      <c r="O59" s="11">
        <v>0</v>
      </c>
      <c r="P59" s="11">
        <v>0</v>
      </c>
      <c r="Q59" s="12">
        <v>0</v>
      </c>
      <c r="R59" s="12">
        <v>0</v>
      </c>
      <c r="S59" s="12">
        <f>$G$59*$G$8+$H$59*$H$8+$I$59*$I$8+$J$59*$J$8+$K$59*$K$8+$L$59*$L$8+$M$59*$M$8+$N$59*$N$8+$O$59*$O$8+$P$59*$P$8</f>
        <v>0</v>
      </c>
      <c r="T59" s="12">
        <f>SUM($Q$59:$R$59)</f>
        <v>0</v>
      </c>
      <c r="U59" s="12">
        <f>$S$59+$T$59</f>
        <v>0</v>
      </c>
    </row>
    <row r="60" spans="1:21" x14ac:dyDescent="0.3">
      <c r="A60" s="13" t="s">
        <v>216</v>
      </c>
      <c r="B60" s="14" t="s">
        <v>217</v>
      </c>
      <c r="C60" s="14"/>
      <c r="D60" s="14" t="s">
        <v>218</v>
      </c>
      <c r="E60" s="14">
        <f xml:space="preserve"> IF($U$60,1,0)</f>
        <v>0</v>
      </c>
      <c r="F60" s="14" t="s">
        <v>219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0</v>
      </c>
      <c r="M60" s="14">
        <v>0</v>
      </c>
      <c r="N60" s="14">
        <v>0</v>
      </c>
      <c r="O60" s="14">
        <v>0</v>
      </c>
      <c r="P60" s="14">
        <v>0</v>
      </c>
      <c r="Q60" s="15">
        <v>0</v>
      </c>
      <c r="R60" s="15">
        <v>0</v>
      </c>
      <c r="S60" s="15">
        <f>$G$60*$G$8+$H$60*$H$8+$I$60*$I$8+$J$60*$J$8+$K$60*$K$8+$L$60*$L$8+$M$60*$M$8+$N$60*$N$8+$O$60*$O$8+$P$60*$P$8</f>
        <v>0</v>
      </c>
      <c r="T60" s="15">
        <f>SUM($Q$60:$R$60)</f>
        <v>0</v>
      </c>
      <c r="U60" s="15">
        <f>$S$60+$T$60</f>
        <v>0</v>
      </c>
    </row>
    <row r="61" spans="1:21" x14ac:dyDescent="0.3">
      <c r="A61" s="10" t="s">
        <v>220</v>
      </c>
      <c r="B61" s="11" t="s">
        <v>221</v>
      </c>
      <c r="C61" s="11" t="s">
        <v>34</v>
      </c>
      <c r="D61" s="11" t="s">
        <v>222</v>
      </c>
      <c r="E61" s="11">
        <f xml:space="preserve"> IF($U$61,1,0)</f>
        <v>0</v>
      </c>
      <c r="F61" s="11" t="s">
        <v>223</v>
      </c>
      <c r="G61" s="11">
        <v>0</v>
      </c>
      <c r="H61" s="11">
        <v>0</v>
      </c>
      <c r="I61" s="11">
        <v>0</v>
      </c>
      <c r="J61" s="11">
        <v>0</v>
      </c>
      <c r="K61" s="11">
        <v>0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2">
        <v>0</v>
      </c>
      <c r="R61" s="12">
        <v>0</v>
      </c>
      <c r="S61" s="12">
        <f>$G$61*$G$8+$H$61*$H$8+$I$61*$I$8+$J$61*$J$8+$K$61*$K$8+$L$61*$L$8+$M$61*$M$8+$N$61*$N$8+$O$61*$O$8+$P$61*$P$8</f>
        <v>0</v>
      </c>
      <c r="T61" s="12">
        <f>SUM($Q$61:$R$61)</f>
        <v>0</v>
      </c>
      <c r="U61" s="12">
        <f>$S$61+$T$61</f>
        <v>0</v>
      </c>
    </row>
    <row r="62" spans="1:21" x14ac:dyDescent="0.3">
      <c r="A62" s="13" t="s">
        <v>224</v>
      </c>
      <c r="B62" s="14" t="s">
        <v>225</v>
      </c>
      <c r="C62" s="14"/>
      <c r="D62" s="14" t="s">
        <v>226</v>
      </c>
      <c r="E62" s="14">
        <f xml:space="preserve"> IF($U$62,1,0)</f>
        <v>0</v>
      </c>
      <c r="F62" s="14" t="s">
        <v>227</v>
      </c>
      <c r="G62" s="14">
        <v>0</v>
      </c>
      <c r="H62" s="14">
        <v>0</v>
      </c>
      <c r="I62" s="14">
        <v>0</v>
      </c>
      <c r="J62" s="14">
        <v>0</v>
      </c>
      <c r="K62" s="14">
        <v>0</v>
      </c>
      <c r="L62" s="14">
        <v>0</v>
      </c>
      <c r="M62" s="14">
        <v>0</v>
      </c>
      <c r="N62" s="14">
        <v>0</v>
      </c>
      <c r="O62" s="14">
        <v>0</v>
      </c>
      <c r="P62" s="14">
        <v>0</v>
      </c>
      <c r="Q62" s="15">
        <v>0</v>
      </c>
      <c r="R62" s="15">
        <v>0</v>
      </c>
      <c r="S62" s="15">
        <f>$G$62*$G$8+$H$62*$H$8+$I$62*$I$8+$J$62*$J$8+$K$62*$K$8+$L$62*$L$8+$M$62*$M$8+$N$62*$N$8+$O$62*$O$8+$P$62*$P$8</f>
        <v>0</v>
      </c>
      <c r="T62" s="15">
        <f>SUM($Q$62:$R$62)</f>
        <v>0</v>
      </c>
      <c r="U62" s="15">
        <f>$S$62+$T$62</f>
        <v>0</v>
      </c>
    </row>
    <row r="63" spans="1:21" x14ac:dyDescent="0.3">
      <c r="A63" s="10" t="s">
        <v>228</v>
      </c>
      <c r="B63" s="11" t="s">
        <v>225</v>
      </c>
      <c r="C63" s="11"/>
      <c r="D63" s="11" t="s">
        <v>229</v>
      </c>
      <c r="E63" s="11">
        <f xml:space="preserve"> IF($U$63,1,0)</f>
        <v>0</v>
      </c>
      <c r="F63" s="11" t="s">
        <v>230</v>
      </c>
      <c r="G63" s="11">
        <v>0</v>
      </c>
      <c r="H63" s="11">
        <v>0</v>
      </c>
      <c r="I63" s="11">
        <v>0</v>
      </c>
      <c r="J63" s="11">
        <v>0</v>
      </c>
      <c r="K63" s="11">
        <v>0</v>
      </c>
      <c r="L63" s="11">
        <v>0</v>
      </c>
      <c r="M63" s="11">
        <v>0</v>
      </c>
      <c r="N63" s="11">
        <v>0</v>
      </c>
      <c r="O63" s="11">
        <v>0</v>
      </c>
      <c r="P63" s="11">
        <v>0</v>
      </c>
      <c r="Q63" s="12">
        <v>0</v>
      </c>
      <c r="R63" s="12">
        <v>0</v>
      </c>
      <c r="S63" s="12">
        <f>$G$63*$G$8+$H$63*$H$8+$I$63*$I$8+$J$63*$J$8+$K$63*$K$8+$L$63*$L$8+$M$63*$M$8+$N$63*$N$8+$O$63*$O$8+$P$63*$P$8</f>
        <v>0</v>
      </c>
      <c r="T63" s="12">
        <f>SUM($Q$63:$R$63)</f>
        <v>0</v>
      </c>
      <c r="U63" s="12">
        <f>$S$63+$T$63</f>
        <v>0</v>
      </c>
    </row>
    <row r="64" spans="1:21" x14ac:dyDescent="0.3">
      <c r="A64" s="13" t="s">
        <v>231</v>
      </c>
      <c r="B64" s="14" t="s">
        <v>225</v>
      </c>
      <c r="C64" s="14"/>
      <c r="D64" s="14" t="s">
        <v>232</v>
      </c>
      <c r="E64" s="14">
        <f xml:space="preserve"> IF($U$64,1,0)</f>
        <v>0</v>
      </c>
      <c r="F64" s="14" t="s">
        <v>233</v>
      </c>
      <c r="G64" s="14">
        <v>0</v>
      </c>
      <c r="H64" s="14">
        <v>0</v>
      </c>
      <c r="I64" s="14">
        <v>0</v>
      </c>
      <c r="J64" s="14">
        <v>0</v>
      </c>
      <c r="K64" s="14">
        <v>0</v>
      </c>
      <c r="L64" s="14">
        <v>0</v>
      </c>
      <c r="M64" s="14">
        <v>0</v>
      </c>
      <c r="N64" s="14">
        <v>0</v>
      </c>
      <c r="O64" s="14">
        <v>0</v>
      </c>
      <c r="P64" s="14">
        <v>0</v>
      </c>
      <c r="Q64" s="15">
        <v>0</v>
      </c>
      <c r="R64" s="15">
        <v>0</v>
      </c>
      <c r="S64" s="15">
        <f>$G$64*$G$8+$H$64*$H$8+$I$64*$I$8+$J$64*$J$8+$K$64*$K$8+$L$64*$L$8+$M$64*$M$8+$N$64*$N$8+$O$64*$O$8+$P$64*$P$8</f>
        <v>0</v>
      </c>
      <c r="T64" s="15">
        <f>SUM($Q$64:$R$64)</f>
        <v>0</v>
      </c>
      <c r="U64" s="15">
        <f>$S$64+$T$64</f>
        <v>0</v>
      </c>
    </row>
    <row r="65" spans="1:21" x14ac:dyDescent="0.3">
      <c r="A65" s="10" t="s">
        <v>234</v>
      </c>
      <c r="B65" s="11" t="s">
        <v>235</v>
      </c>
      <c r="C65" s="11"/>
      <c r="D65" s="11" t="s">
        <v>236</v>
      </c>
      <c r="E65" s="11">
        <f xml:space="preserve"> IF($U$65,1,0)</f>
        <v>0</v>
      </c>
      <c r="F65" s="11" t="s">
        <v>237</v>
      </c>
      <c r="G65" s="11">
        <v>0</v>
      </c>
      <c r="H65" s="11">
        <v>0</v>
      </c>
      <c r="I65" s="11">
        <v>0</v>
      </c>
      <c r="J65" s="11">
        <v>0</v>
      </c>
      <c r="K65" s="11">
        <v>0</v>
      </c>
      <c r="L65" s="11">
        <v>0</v>
      </c>
      <c r="M65" s="11">
        <v>0</v>
      </c>
      <c r="N65" s="11">
        <v>0</v>
      </c>
      <c r="O65" s="11">
        <v>0</v>
      </c>
      <c r="P65" s="11">
        <v>0</v>
      </c>
      <c r="Q65" s="12">
        <v>0</v>
      </c>
      <c r="R65" s="12">
        <v>0</v>
      </c>
      <c r="S65" s="12">
        <f>$G$65*$G$8+$H$65*$H$8+$I$65*$I$8+$J$65*$J$8+$K$65*$K$8+$L$65*$L$8+$M$65*$M$8+$N$65*$N$8+$O$65*$O$8+$P$65*$P$8</f>
        <v>0</v>
      </c>
      <c r="T65" s="12">
        <f>SUM($Q$65:$R$65)</f>
        <v>0</v>
      </c>
      <c r="U65" s="12">
        <f>$S$65+$T$65</f>
        <v>0</v>
      </c>
    </row>
    <row r="66" spans="1:21" x14ac:dyDescent="0.3">
      <c r="A66" s="13" t="s">
        <v>238</v>
      </c>
      <c r="B66" s="14" t="s">
        <v>235</v>
      </c>
      <c r="C66" s="14" t="s">
        <v>34</v>
      </c>
      <c r="D66" s="14" t="s">
        <v>239</v>
      </c>
      <c r="E66" s="14">
        <f xml:space="preserve"> IF($U$66,1,0)</f>
        <v>0</v>
      </c>
      <c r="F66" s="14" t="s">
        <v>240</v>
      </c>
      <c r="G66" s="14">
        <v>0</v>
      </c>
      <c r="H66" s="14">
        <v>0</v>
      </c>
      <c r="I66" s="14">
        <v>0</v>
      </c>
      <c r="J66" s="14">
        <v>0</v>
      </c>
      <c r="K66" s="14">
        <v>0</v>
      </c>
      <c r="L66" s="14">
        <v>0</v>
      </c>
      <c r="M66" s="14">
        <v>0</v>
      </c>
      <c r="N66" s="14">
        <v>0</v>
      </c>
      <c r="O66" s="14">
        <v>0</v>
      </c>
      <c r="P66" s="14">
        <v>0</v>
      </c>
      <c r="Q66" s="15">
        <v>0</v>
      </c>
      <c r="R66" s="15">
        <v>0</v>
      </c>
      <c r="S66" s="15">
        <f>$G$66*$G$8+$H$66*$H$8+$I$66*$I$8+$J$66*$J$8+$K$66*$K$8+$L$66*$L$8+$M$66*$M$8+$N$66*$N$8+$O$66*$O$8+$P$66*$P$8</f>
        <v>0</v>
      </c>
      <c r="T66" s="15">
        <f>SUM($Q$66:$R$66)</f>
        <v>0</v>
      </c>
      <c r="U66" s="15">
        <f>$S$66+$T$66</f>
        <v>0</v>
      </c>
    </row>
    <row r="67" spans="1:21" x14ac:dyDescent="0.3">
      <c r="A67" s="10" t="s">
        <v>241</v>
      </c>
      <c r="B67" s="11" t="s">
        <v>242</v>
      </c>
      <c r="C67" s="11" t="s">
        <v>243</v>
      </c>
      <c r="D67" s="11" t="s">
        <v>244</v>
      </c>
      <c r="E67" s="11">
        <f xml:space="preserve"> IF($U$67,1,0)</f>
        <v>0</v>
      </c>
      <c r="F67" s="11" t="s">
        <v>245</v>
      </c>
      <c r="G67" s="11">
        <v>0</v>
      </c>
      <c r="H67" s="11">
        <v>0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2">
        <v>0</v>
      </c>
      <c r="R67" s="12">
        <v>0</v>
      </c>
      <c r="S67" s="12">
        <f>$G$67*$G$8+$H$67*$H$8+$I$67*$I$8+$J$67*$J$8+$K$67*$K$8+$L$67*$L$8+$M$67*$M$8+$N$67*$N$8+$O$67*$O$8+$P$67*$P$8</f>
        <v>0</v>
      </c>
      <c r="T67" s="12">
        <f>SUM($Q$67:$R$67)</f>
        <v>0</v>
      </c>
      <c r="U67" s="12">
        <f>$S$67+$T$67</f>
        <v>0</v>
      </c>
    </row>
    <row r="68" spans="1:21" x14ac:dyDescent="0.3">
      <c r="A68" s="13" t="s">
        <v>246</v>
      </c>
      <c r="B68" s="14" t="s">
        <v>242</v>
      </c>
      <c r="C68" s="14"/>
      <c r="D68" s="14" t="s">
        <v>247</v>
      </c>
      <c r="E68" s="14">
        <f xml:space="preserve"> IF($U$68,1,0)</f>
        <v>0</v>
      </c>
      <c r="F68" s="14" t="s">
        <v>248</v>
      </c>
      <c r="G68" s="14">
        <v>0</v>
      </c>
      <c r="H68" s="14">
        <v>0</v>
      </c>
      <c r="I68" s="14">
        <v>0</v>
      </c>
      <c r="J68" s="14">
        <v>0</v>
      </c>
      <c r="K68" s="14">
        <v>0</v>
      </c>
      <c r="L68" s="14">
        <v>0</v>
      </c>
      <c r="M68" s="14">
        <v>0</v>
      </c>
      <c r="N68" s="14">
        <v>0</v>
      </c>
      <c r="O68" s="14">
        <v>0</v>
      </c>
      <c r="P68" s="14">
        <v>0</v>
      </c>
      <c r="Q68" s="15">
        <v>0</v>
      </c>
      <c r="R68" s="15">
        <v>0</v>
      </c>
      <c r="S68" s="15">
        <f>$G$68*$G$8+$H$68*$H$8+$I$68*$I$8+$J$68*$J$8+$K$68*$K$8+$L$68*$L$8+$M$68*$M$8+$N$68*$N$8+$O$68*$O$8+$P$68*$P$8</f>
        <v>0</v>
      </c>
      <c r="T68" s="15">
        <f>SUM($Q$68:$R$68)</f>
        <v>0</v>
      </c>
      <c r="U68" s="15">
        <f>$S$68+$T$68</f>
        <v>0</v>
      </c>
    </row>
    <row r="69" spans="1:21" x14ac:dyDescent="0.3">
      <c r="A69" s="10" t="s">
        <v>249</v>
      </c>
      <c r="B69" s="11" t="s">
        <v>242</v>
      </c>
      <c r="C69" s="11" t="s">
        <v>34</v>
      </c>
      <c r="D69" s="11" t="s">
        <v>250</v>
      </c>
      <c r="E69" s="11">
        <f xml:space="preserve"> IF($U$69,1,0)</f>
        <v>0</v>
      </c>
      <c r="F69" s="11" t="s">
        <v>251</v>
      </c>
      <c r="G69" s="11">
        <v>0</v>
      </c>
      <c r="H69" s="11">
        <v>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2">
        <v>0</v>
      </c>
      <c r="R69" s="12">
        <v>0</v>
      </c>
      <c r="S69" s="12">
        <f>$G$69*$G$8+$H$69*$H$8+$I$69*$I$8+$J$69*$J$8+$K$69*$K$8+$L$69*$L$8+$M$69*$M$8+$N$69*$N$8+$O$69*$O$8+$P$69*$P$8</f>
        <v>0</v>
      </c>
      <c r="T69" s="12">
        <f>SUM($Q$69:$R$69)</f>
        <v>0</v>
      </c>
      <c r="U69" s="12">
        <f>$S$69+$T$69</f>
        <v>0</v>
      </c>
    </row>
    <row r="70" spans="1:21" x14ac:dyDescent="0.3">
      <c r="A70" s="13" t="s">
        <v>252</v>
      </c>
      <c r="B70" s="14" t="s">
        <v>253</v>
      </c>
      <c r="C70" s="14"/>
      <c r="D70" s="14" t="s">
        <v>254</v>
      </c>
      <c r="E70" s="14">
        <f xml:space="preserve"> IF($U$70,1,0)</f>
        <v>0</v>
      </c>
      <c r="F70" s="14" t="s">
        <v>255</v>
      </c>
      <c r="G70" s="14">
        <v>0</v>
      </c>
      <c r="H70" s="14">
        <v>0</v>
      </c>
      <c r="I70" s="14">
        <v>0</v>
      </c>
      <c r="J70" s="14">
        <v>0</v>
      </c>
      <c r="K70" s="14">
        <v>0</v>
      </c>
      <c r="L70" s="14">
        <v>0</v>
      </c>
      <c r="M70" s="14">
        <v>0</v>
      </c>
      <c r="N70" s="14">
        <v>0</v>
      </c>
      <c r="O70" s="14">
        <v>0</v>
      </c>
      <c r="P70" s="14">
        <v>0</v>
      </c>
      <c r="Q70" s="15">
        <v>0</v>
      </c>
      <c r="R70" s="15">
        <v>0</v>
      </c>
      <c r="S70" s="15">
        <f>$G$70*$G$8+$H$70*$H$8+$I$70*$I$8+$J$70*$J$8+$K$70*$K$8+$L$70*$L$8+$M$70*$M$8+$N$70*$N$8+$O$70*$O$8+$P$70*$P$8</f>
        <v>0</v>
      </c>
      <c r="T70" s="15">
        <f>SUM($Q$70:$R$70)</f>
        <v>0</v>
      </c>
      <c r="U70" s="15">
        <f>$S$70+$T$70</f>
        <v>0</v>
      </c>
    </row>
    <row r="71" spans="1:21" x14ac:dyDescent="0.3">
      <c r="A71" s="10" t="s">
        <v>256</v>
      </c>
      <c r="B71" s="11" t="s">
        <v>257</v>
      </c>
      <c r="C71" s="11"/>
      <c r="D71" s="11" t="s">
        <v>258</v>
      </c>
      <c r="E71" s="11">
        <f xml:space="preserve"> IF($U$71,1,0)</f>
        <v>0</v>
      </c>
      <c r="F71" s="11" t="s">
        <v>259</v>
      </c>
      <c r="G71" s="11">
        <v>0</v>
      </c>
      <c r="H71" s="11">
        <v>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0</v>
      </c>
      <c r="O71" s="11">
        <v>0</v>
      </c>
      <c r="P71" s="11">
        <v>0</v>
      </c>
      <c r="Q71" s="12">
        <v>0</v>
      </c>
      <c r="R71" s="12">
        <v>0</v>
      </c>
      <c r="S71" s="12">
        <f>$G$71*$G$8+$H$71*$H$8+$I$71*$I$8+$J$71*$J$8+$K$71*$K$8+$L$71*$L$8+$M$71*$M$8+$N$71*$N$8+$O$71*$O$8+$P$71*$P$8</f>
        <v>0</v>
      </c>
      <c r="T71" s="12">
        <f>SUM($Q$71:$R$71)</f>
        <v>0</v>
      </c>
      <c r="U71" s="12">
        <f>$S$71+$T$71</f>
        <v>0</v>
      </c>
    </row>
    <row r="72" spans="1:21" x14ac:dyDescent="0.3">
      <c r="A72" s="13" t="s">
        <v>1248</v>
      </c>
      <c r="B72" s="14" t="s">
        <v>1249</v>
      </c>
      <c r="C72" s="14"/>
      <c r="D72" s="14" t="s">
        <v>1250</v>
      </c>
      <c r="E72" s="14">
        <f xml:space="preserve"> IF($U$72,1,0)</f>
        <v>1</v>
      </c>
      <c r="F72" s="14" t="s">
        <v>1251</v>
      </c>
      <c r="G72" s="14">
        <v>0</v>
      </c>
      <c r="H72" s="14">
        <v>0</v>
      </c>
      <c r="I72" s="14">
        <v>0</v>
      </c>
      <c r="J72" s="14">
        <v>0</v>
      </c>
      <c r="K72" s="14">
        <v>0</v>
      </c>
      <c r="L72" s="14">
        <v>0</v>
      </c>
      <c r="M72" s="14">
        <v>1</v>
      </c>
      <c r="N72" s="14">
        <v>0</v>
      </c>
      <c r="O72" s="14">
        <v>0</v>
      </c>
      <c r="P72" s="14">
        <v>0</v>
      </c>
      <c r="Q72" s="15">
        <v>0</v>
      </c>
      <c r="R72" s="15">
        <v>0</v>
      </c>
      <c r="S72" s="15">
        <f>$G$72*$G$8+$H$72*$H$8+$I$72*$I$8+$J$72*$J$8+$K$72*$K$8+$L$72*$L$8+$M$72*$M$8+$N$72*$N$8+$O$72*$O$8+$P$72*$P$8</f>
        <v>4</v>
      </c>
      <c r="T72" s="15">
        <f>SUM($Q$72:$R$72)</f>
        <v>0</v>
      </c>
      <c r="U72" s="15">
        <f>$S$72+$T$72</f>
        <v>4</v>
      </c>
    </row>
    <row r="73" spans="1:21" x14ac:dyDescent="0.3">
      <c r="A73" s="10" t="s">
        <v>260</v>
      </c>
      <c r="B73" s="11" t="s">
        <v>261</v>
      </c>
      <c r="C73" s="11"/>
      <c r="D73" s="11" t="s">
        <v>262</v>
      </c>
      <c r="E73" s="11">
        <f xml:space="preserve"> IF($U$73,1,0)</f>
        <v>0</v>
      </c>
      <c r="F73" s="11" t="s">
        <v>263</v>
      </c>
      <c r="G73" s="11">
        <v>0</v>
      </c>
      <c r="H73" s="11">
        <v>0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2">
        <v>0</v>
      </c>
      <c r="R73" s="12">
        <v>0</v>
      </c>
      <c r="S73" s="12">
        <f>$G$73*$G$8+$H$73*$H$8+$I$73*$I$8+$J$73*$J$8+$K$73*$K$8+$L$73*$L$8+$M$73*$M$8+$N$73*$N$8+$O$73*$O$8+$P$73*$P$8</f>
        <v>0</v>
      </c>
      <c r="T73" s="12">
        <f>SUM($Q$73:$R$73)</f>
        <v>0</v>
      </c>
      <c r="U73" s="12">
        <f>$S$73+$T$73</f>
        <v>0</v>
      </c>
    </row>
    <row r="74" spans="1:21" x14ac:dyDescent="0.3">
      <c r="A74" s="13" t="s">
        <v>264</v>
      </c>
      <c r="B74" s="14" t="s">
        <v>265</v>
      </c>
      <c r="C74" s="14"/>
      <c r="D74" s="14" t="s">
        <v>266</v>
      </c>
      <c r="E74" s="14">
        <f xml:space="preserve"> IF($U$74,1,0)</f>
        <v>0</v>
      </c>
      <c r="F74" s="14" t="s">
        <v>267</v>
      </c>
      <c r="G74" s="14">
        <v>0</v>
      </c>
      <c r="H74" s="14">
        <v>0</v>
      </c>
      <c r="I74" s="14">
        <v>0</v>
      </c>
      <c r="J74" s="14">
        <v>0</v>
      </c>
      <c r="K74" s="14">
        <v>0</v>
      </c>
      <c r="L74" s="14">
        <v>0</v>
      </c>
      <c r="M74" s="14">
        <v>0</v>
      </c>
      <c r="N74" s="14">
        <v>0</v>
      </c>
      <c r="O74" s="14">
        <v>0</v>
      </c>
      <c r="P74" s="14">
        <v>0</v>
      </c>
      <c r="Q74" s="15">
        <v>0</v>
      </c>
      <c r="R74" s="15">
        <v>0</v>
      </c>
      <c r="S74" s="15">
        <f>$G$74*$G$8+$H$74*$H$8+$I$74*$I$8+$J$74*$J$8+$K$74*$K$8+$L$74*$L$8+$M$74*$M$8+$N$74*$N$8+$O$74*$O$8+$P$74*$P$8</f>
        <v>0</v>
      </c>
      <c r="T74" s="15">
        <f>SUM($Q$74:$R$74)</f>
        <v>0</v>
      </c>
      <c r="U74" s="15">
        <f>$S$74+$T$74</f>
        <v>0</v>
      </c>
    </row>
    <row r="75" spans="1:21" x14ac:dyDescent="0.3">
      <c r="A75" s="10" t="s">
        <v>268</v>
      </c>
      <c r="B75" s="11" t="s">
        <v>269</v>
      </c>
      <c r="C75" s="11"/>
      <c r="D75" s="11" t="s">
        <v>270</v>
      </c>
      <c r="E75" s="11">
        <f xml:space="preserve"> IF($U$75,1,0)</f>
        <v>0</v>
      </c>
      <c r="F75" s="11" t="s">
        <v>271</v>
      </c>
      <c r="G75" s="11">
        <v>0</v>
      </c>
      <c r="H75" s="11">
        <v>0</v>
      </c>
      <c r="I75" s="11">
        <v>0</v>
      </c>
      <c r="J75" s="11">
        <v>0</v>
      </c>
      <c r="K75" s="11">
        <v>0</v>
      </c>
      <c r="L75" s="11">
        <v>0</v>
      </c>
      <c r="M75" s="11">
        <v>0</v>
      </c>
      <c r="N75" s="11">
        <v>0</v>
      </c>
      <c r="O75" s="11">
        <v>0</v>
      </c>
      <c r="P75" s="11">
        <v>0</v>
      </c>
      <c r="Q75" s="12">
        <v>0</v>
      </c>
      <c r="R75" s="12">
        <v>0</v>
      </c>
      <c r="S75" s="12">
        <f>$G$75*$G$8+$H$75*$H$8+$I$75*$I$8+$J$75*$J$8+$K$75*$K$8+$L$75*$L$8+$M$75*$M$8+$N$75*$N$8+$O$75*$O$8+$P$75*$P$8</f>
        <v>0</v>
      </c>
      <c r="T75" s="12">
        <f>SUM($Q$75:$R$75)</f>
        <v>0</v>
      </c>
      <c r="U75" s="12">
        <f>$S$75+$T$75</f>
        <v>0</v>
      </c>
    </row>
    <row r="76" spans="1:21" x14ac:dyDescent="0.3">
      <c r="A76" s="13" t="s">
        <v>272</v>
      </c>
      <c r="B76" s="14" t="s">
        <v>273</v>
      </c>
      <c r="C76" s="14"/>
      <c r="D76" s="14" t="s">
        <v>274</v>
      </c>
      <c r="E76" s="14">
        <f xml:space="preserve"> IF($U$76,1,0)</f>
        <v>1</v>
      </c>
      <c r="F76" s="14" t="s">
        <v>275</v>
      </c>
      <c r="G76" s="14">
        <v>8</v>
      </c>
      <c r="H76" s="14">
        <v>1</v>
      </c>
      <c r="I76" s="14">
        <v>0</v>
      </c>
      <c r="J76" s="14">
        <v>0</v>
      </c>
      <c r="K76" s="14">
        <v>1</v>
      </c>
      <c r="L76" s="14">
        <v>3</v>
      </c>
      <c r="M76" s="14">
        <v>2</v>
      </c>
      <c r="N76" s="14">
        <v>0</v>
      </c>
      <c r="O76" s="14">
        <v>0</v>
      </c>
      <c r="P76" s="14">
        <v>0</v>
      </c>
      <c r="Q76" s="15">
        <v>0</v>
      </c>
      <c r="R76" s="15">
        <v>0</v>
      </c>
      <c r="S76" s="15">
        <f>$G$76*$G$8+$H$76*$H$8+$I$76*$I$8+$J$76*$J$8+$K$76*$K$8+$L$76*$L$8+$M$76*$M$8+$N$76*$N$8+$O$76*$O$8+$P$76*$P$8</f>
        <v>26.4</v>
      </c>
      <c r="T76" s="15">
        <f>SUM($Q$76:$R$76)</f>
        <v>0</v>
      </c>
      <c r="U76" s="15">
        <f>$S$76+$T$76</f>
        <v>26.4</v>
      </c>
    </row>
    <row r="77" spans="1:21" x14ac:dyDescent="0.3">
      <c r="A77" s="10" t="s">
        <v>276</v>
      </c>
      <c r="B77" s="11" t="s">
        <v>277</v>
      </c>
      <c r="C77" s="11" t="s">
        <v>278</v>
      </c>
      <c r="D77" s="11" t="s">
        <v>279</v>
      </c>
      <c r="E77" s="11">
        <f xml:space="preserve"> IF($U$77,1,0)</f>
        <v>1</v>
      </c>
      <c r="F77" s="11" t="s">
        <v>280</v>
      </c>
      <c r="G77" s="11">
        <v>2</v>
      </c>
      <c r="H77" s="11">
        <v>0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2">
        <v>0</v>
      </c>
      <c r="R77" s="12">
        <v>0</v>
      </c>
      <c r="S77" s="12">
        <f>$G$77*$G$8+$H$77*$H$8+$I$77*$I$8+$J$77*$J$8+$K$77*$K$8+$L$77*$L$8+$M$77*$M$8+$N$77*$N$8+$O$77*$O$8+$P$77*$P$8</f>
        <v>1.4</v>
      </c>
      <c r="T77" s="12">
        <f>SUM($Q$77:$R$77)</f>
        <v>0</v>
      </c>
      <c r="U77" s="12">
        <f>$S$77+$T$77</f>
        <v>1.4</v>
      </c>
    </row>
    <row r="78" spans="1:21" x14ac:dyDescent="0.3">
      <c r="A78" s="13" t="s">
        <v>281</v>
      </c>
      <c r="B78" s="14" t="s">
        <v>282</v>
      </c>
      <c r="C78" s="14" t="s">
        <v>283</v>
      </c>
      <c r="D78" s="14" t="s">
        <v>284</v>
      </c>
      <c r="E78" s="14">
        <f xml:space="preserve"> IF($U$78,1,0)</f>
        <v>0</v>
      </c>
      <c r="F78" s="14" t="s">
        <v>285</v>
      </c>
      <c r="G78" s="14">
        <v>0</v>
      </c>
      <c r="H78" s="14">
        <v>0</v>
      </c>
      <c r="I78" s="14">
        <v>0</v>
      </c>
      <c r="J78" s="14">
        <v>0</v>
      </c>
      <c r="K78" s="14">
        <v>0</v>
      </c>
      <c r="L78" s="14">
        <v>0</v>
      </c>
      <c r="M78" s="14">
        <v>0</v>
      </c>
      <c r="N78" s="14">
        <v>0</v>
      </c>
      <c r="O78" s="14">
        <v>0</v>
      </c>
      <c r="P78" s="14">
        <v>0</v>
      </c>
      <c r="Q78" s="15">
        <v>0</v>
      </c>
      <c r="R78" s="15">
        <v>0</v>
      </c>
      <c r="S78" s="15">
        <f>$G$78*$G$8+$H$78*$H$8+$I$78*$I$8+$J$78*$J$8+$K$78*$K$8+$L$78*$L$8+$M$78*$M$8+$N$78*$N$8+$O$78*$O$8+$P$78*$P$8</f>
        <v>0</v>
      </c>
      <c r="T78" s="15">
        <f>SUM($Q$78:$R$78)</f>
        <v>0</v>
      </c>
      <c r="U78" s="15">
        <f>$S$78+$T$78</f>
        <v>0</v>
      </c>
    </row>
    <row r="79" spans="1:21" x14ac:dyDescent="0.3">
      <c r="A79" s="10" t="s">
        <v>286</v>
      </c>
      <c r="B79" s="11" t="s">
        <v>287</v>
      </c>
      <c r="C79" s="11" t="s">
        <v>278</v>
      </c>
      <c r="D79" s="11" t="s">
        <v>288</v>
      </c>
      <c r="E79" s="11">
        <f xml:space="preserve"> IF($U$79,1,0)</f>
        <v>0</v>
      </c>
      <c r="F79" s="11" t="s">
        <v>289</v>
      </c>
      <c r="G79" s="11">
        <v>0</v>
      </c>
      <c r="H79" s="11">
        <v>0</v>
      </c>
      <c r="I79" s="11">
        <v>0</v>
      </c>
      <c r="J79" s="11">
        <v>0</v>
      </c>
      <c r="K79" s="11">
        <v>0</v>
      </c>
      <c r="L79" s="11">
        <v>0</v>
      </c>
      <c r="M79" s="11">
        <v>0</v>
      </c>
      <c r="N79" s="11">
        <v>0</v>
      </c>
      <c r="O79" s="11">
        <v>0</v>
      </c>
      <c r="P79" s="11">
        <v>0</v>
      </c>
      <c r="Q79" s="12">
        <v>0</v>
      </c>
      <c r="R79" s="12">
        <v>0</v>
      </c>
      <c r="S79" s="12">
        <f>$G$79*$G$8+$H$79*$H$8+$I$79*$I$8+$J$79*$J$8+$K$79*$K$8+$L$79*$L$8+$M$79*$M$8+$N$79*$N$8+$O$79*$O$8+$P$79*$P$8</f>
        <v>0</v>
      </c>
      <c r="T79" s="12">
        <f>SUM($Q$79:$R$79)</f>
        <v>0</v>
      </c>
      <c r="U79" s="12">
        <f>$S$79+$T$79</f>
        <v>0</v>
      </c>
    </row>
    <row r="80" spans="1:21" x14ac:dyDescent="0.3">
      <c r="A80" s="13" t="s">
        <v>290</v>
      </c>
      <c r="B80" s="14" t="s">
        <v>291</v>
      </c>
      <c r="C80" s="14"/>
      <c r="D80" s="14" t="s">
        <v>292</v>
      </c>
      <c r="E80" s="14">
        <f xml:space="preserve"> IF($U$80,1,0)</f>
        <v>0</v>
      </c>
      <c r="F80" s="14" t="s">
        <v>293</v>
      </c>
      <c r="G80" s="14">
        <v>0</v>
      </c>
      <c r="H80" s="14">
        <v>0</v>
      </c>
      <c r="I80" s="14">
        <v>0</v>
      </c>
      <c r="J80" s="14">
        <v>0</v>
      </c>
      <c r="K80" s="14">
        <v>0</v>
      </c>
      <c r="L80" s="14">
        <v>0</v>
      </c>
      <c r="M80" s="14">
        <v>0</v>
      </c>
      <c r="N80" s="14">
        <v>0</v>
      </c>
      <c r="O80" s="14">
        <v>0</v>
      </c>
      <c r="P80" s="14">
        <v>0</v>
      </c>
      <c r="Q80" s="15">
        <v>0</v>
      </c>
      <c r="R80" s="15">
        <v>0</v>
      </c>
      <c r="S80" s="15">
        <f>$G$80*$G$8+$H$80*$H$8+$I$80*$I$8+$J$80*$J$8+$K$80*$K$8+$L$80*$L$8+$M$80*$M$8+$N$80*$N$8+$O$80*$O$8+$P$80*$P$8</f>
        <v>0</v>
      </c>
      <c r="T80" s="15">
        <f>SUM($Q$80:$R$80)</f>
        <v>0</v>
      </c>
      <c r="U80" s="15">
        <f>$S$80+$T$80</f>
        <v>0</v>
      </c>
    </row>
    <row r="81" spans="1:21" x14ac:dyDescent="0.3">
      <c r="A81" s="10" t="s">
        <v>294</v>
      </c>
      <c r="B81" s="11" t="s">
        <v>295</v>
      </c>
      <c r="C81" s="11"/>
      <c r="D81" s="11" t="s">
        <v>296</v>
      </c>
      <c r="E81" s="11">
        <f xml:space="preserve"> IF($U$81,1,0)</f>
        <v>0</v>
      </c>
      <c r="F81" s="11" t="s">
        <v>297</v>
      </c>
      <c r="G81" s="11">
        <v>0</v>
      </c>
      <c r="H81" s="11">
        <v>0</v>
      </c>
      <c r="I81" s="11">
        <v>0</v>
      </c>
      <c r="J81" s="11">
        <v>0</v>
      </c>
      <c r="K81" s="11">
        <v>0</v>
      </c>
      <c r="L81" s="11">
        <v>0</v>
      </c>
      <c r="M81" s="11">
        <v>0</v>
      </c>
      <c r="N81" s="11">
        <v>0</v>
      </c>
      <c r="O81" s="11">
        <v>0</v>
      </c>
      <c r="P81" s="11">
        <v>0</v>
      </c>
      <c r="Q81" s="12">
        <v>0</v>
      </c>
      <c r="R81" s="12">
        <v>0</v>
      </c>
      <c r="S81" s="12">
        <f>$G$81*$G$8+$H$81*$H$8+$I$81*$I$8+$J$81*$J$8+$K$81*$K$8+$L$81*$L$8+$M$81*$M$8+$N$81*$N$8+$O$81*$O$8+$P$81*$P$8</f>
        <v>0</v>
      </c>
      <c r="T81" s="12">
        <f>SUM($Q$81:$R$81)</f>
        <v>0</v>
      </c>
      <c r="U81" s="12">
        <f>$S$81+$T$81</f>
        <v>0</v>
      </c>
    </row>
    <row r="82" spans="1:21" x14ac:dyDescent="0.3">
      <c r="A82" s="13" t="s">
        <v>298</v>
      </c>
      <c r="B82" s="14" t="s">
        <v>295</v>
      </c>
      <c r="C82" s="14"/>
      <c r="D82" s="14" t="s">
        <v>299</v>
      </c>
      <c r="E82" s="14">
        <f xml:space="preserve"> IF($U$82,1,0)</f>
        <v>0</v>
      </c>
      <c r="F82" s="14" t="s">
        <v>300</v>
      </c>
      <c r="G82" s="14">
        <v>0</v>
      </c>
      <c r="H82" s="14">
        <v>0</v>
      </c>
      <c r="I82" s="14">
        <v>0</v>
      </c>
      <c r="J82" s="14">
        <v>0</v>
      </c>
      <c r="K82" s="14">
        <v>0</v>
      </c>
      <c r="L82" s="14">
        <v>0</v>
      </c>
      <c r="M82" s="14">
        <v>0</v>
      </c>
      <c r="N82" s="14">
        <v>0</v>
      </c>
      <c r="O82" s="14">
        <v>0</v>
      </c>
      <c r="P82" s="14">
        <v>0</v>
      </c>
      <c r="Q82" s="15">
        <v>0</v>
      </c>
      <c r="R82" s="15">
        <v>0</v>
      </c>
      <c r="S82" s="15">
        <f>$G$82*$G$8+$H$82*$H$8+$I$82*$I$8+$J$82*$J$8+$K$82*$K$8+$L$82*$L$8+$M$82*$M$8+$N$82*$N$8+$O$82*$O$8+$P$82*$P$8</f>
        <v>0</v>
      </c>
      <c r="T82" s="15">
        <f>SUM($Q$82:$R$82)</f>
        <v>0</v>
      </c>
      <c r="U82" s="15">
        <f>$S$82+$T$82</f>
        <v>0</v>
      </c>
    </row>
    <row r="83" spans="1:21" x14ac:dyDescent="0.3">
      <c r="A83" s="10" t="s">
        <v>301</v>
      </c>
      <c r="B83" s="11" t="s">
        <v>302</v>
      </c>
      <c r="C83" s="11"/>
      <c r="D83" s="11" t="s">
        <v>303</v>
      </c>
      <c r="E83" s="11">
        <f xml:space="preserve"> IF($U$83,1,0)</f>
        <v>0</v>
      </c>
      <c r="F83" s="11" t="s">
        <v>304</v>
      </c>
      <c r="G83" s="11">
        <v>0</v>
      </c>
      <c r="H83" s="11">
        <v>0</v>
      </c>
      <c r="I83" s="11">
        <v>0</v>
      </c>
      <c r="J83" s="11">
        <v>0</v>
      </c>
      <c r="K83" s="11">
        <v>0</v>
      </c>
      <c r="L83" s="11">
        <v>0</v>
      </c>
      <c r="M83" s="11">
        <v>0</v>
      </c>
      <c r="N83" s="11">
        <v>0</v>
      </c>
      <c r="O83" s="11">
        <v>0</v>
      </c>
      <c r="P83" s="11">
        <v>0</v>
      </c>
      <c r="Q83" s="12">
        <v>0</v>
      </c>
      <c r="R83" s="12">
        <v>0</v>
      </c>
      <c r="S83" s="12">
        <f>$G$83*$G$8+$H$83*$H$8+$I$83*$I$8+$J$83*$J$8+$K$83*$K$8+$L$83*$L$8+$M$83*$M$8+$N$83*$N$8+$O$83*$O$8+$P$83*$P$8</f>
        <v>0</v>
      </c>
      <c r="T83" s="12">
        <f>SUM($Q$83:$R$83)</f>
        <v>0</v>
      </c>
      <c r="U83" s="12">
        <f>$S$83+$T$83</f>
        <v>0</v>
      </c>
    </row>
    <row r="84" spans="1:21" x14ac:dyDescent="0.3">
      <c r="A84" s="13" t="s">
        <v>305</v>
      </c>
      <c r="B84" s="14" t="s">
        <v>306</v>
      </c>
      <c r="C84" s="14"/>
      <c r="D84" s="14" t="s">
        <v>307</v>
      </c>
      <c r="E84" s="14">
        <f xml:space="preserve"> IF($U$84,1,0)</f>
        <v>0</v>
      </c>
      <c r="F84" s="14" t="s">
        <v>308</v>
      </c>
      <c r="G84" s="14">
        <v>0</v>
      </c>
      <c r="H84" s="14">
        <v>0</v>
      </c>
      <c r="I84" s="14">
        <v>0</v>
      </c>
      <c r="J84" s="14">
        <v>0</v>
      </c>
      <c r="K84" s="14">
        <v>0</v>
      </c>
      <c r="L84" s="14">
        <v>0</v>
      </c>
      <c r="M84" s="14">
        <v>0</v>
      </c>
      <c r="N84" s="14">
        <v>0</v>
      </c>
      <c r="O84" s="14">
        <v>0</v>
      </c>
      <c r="P84" s="14">
        <v>0</v>
      </c>
      <c r="Q84" s="15">
        <v>0</v>
      </c>
      <c r="R84" s="15">
        <v>0</v>
      </c>
      <c r="S84" s="15">
        <f>$G$84*$G$8+$H$84*$H$8+$I$84*$I$8+$J$84*$J$8+$K$84*$K$8+$L$84*$L$8+$M$84*$M$8+$N$84*$N$8+$O$84*$O$8+$P$84*$P$8</f>
        <v>0</v>
      </c>
      <c r="T84" s="15">
        <f>SUM($Q$84:$R$84)</f>
        <v>0</v>
      </c>
      <c r="U84" s="15">
        <f>$S$84+$T$84</f>
        <v>0</v>
      </c>
    </row>
    <row r="85" spans="1:21" x14ac:dyDescent="0.3">
      <c r="A85" s="10" t="s">
        <v>309</v>
      </c>
      <c r="B85" s="11" t="s">
        <v>310</v>
      </c>
      <c r="C85" s="11"/>
      <c r="D85" s="11" t="s">
        <v>311</v>
      </c>
      <c r="E85" s="11">
        <f xml:space="preserve"> IF($U$85,1,0)</f>
        <v>0</v>
      </c>
      <c r="F85" s="11" t="s">
        <v>312</v>
      </c>
      <c r="G85" s="11">
        <v>0</v>
      </c>
      <c r="H85" s="11">
        <v>0</v>
      </c>
      <c r="I85" s="11">
        <v>0</v>
      </c>
      <c r="J85" s="11">
        <v>0</v>
      </c>
      <c r="K85" s="11">
        <v>0</v>
      </c>
      <c r="L85" s="11">
        <v>0</v>
      </c>
      <c r="M85" s="11">
        <v>0</v>
      </c>
      <c r="N85" s="11">
        <v>0</v>
      </c>
      <c r="O85" s="11">
        <v>0</v>
      </c>
      <c r="P85" s="11">
        <v>0</v>
      </c>
      <c r="Q85" s="12">
        <v>0</v>
      </c>
      <c r="R85" s="12">
        <v>0</v>
      </c>
      <c r="S85" s="12">
        <f>$G$85*$G$8+$H$85*$H$8+$I$85*$I$8+$J$85*$J$8+$K$85*$K$8+$L$85*$L$8+$M$85*$M$8+$N$85*$N$8+$O$85*$O$8+$P$85*$P$8</f>
        <v>0</v>
      </c>
      <c r="T85" s="12">
        <f>SUM($Q$85:$R$85)</f>
        <v>0</v>
      </c>
      <c r="U85" s="12">
        <f>$S$85+$T$85</f>
        <v>0</v>
      </c>
    </row>
    <row r="86" spans="1:21" x14ac:dyDescent="0.3">
      <c r="A86" s="13" t="s">
        <v>313</v>
      </c>
      <c r="B86" s="14" t="s">
        <v>314</v>
      </c>
      <c r="C86" s="14"/>
      <c r="D86" s="14" t="s">
        <v>315</v>
      </c>
      <c r="E86" s="14">
        <f xml:space="preserve"> IF($U$86,1,0)</f>
        <v>1</v>
      </c>
      <c r="F86" s="14" t="s">
        <v>316</v>
      </c>
      <c r="G86" s="14">
        <v>4</v>
      </c>
      <c r="H86" s="14">
        <v>2</v>
      </c>
      <c r="I86" s="14">
        <v>0</v>
      </c>
      <c r="J86" s="14">
        <v>0</v>
      </c>
      <c r="K86" s="14">
        <v>0</v>
      </c>
      <c r="L86" s="14">
        <v>0</v>
      </c>
      <c r="M86" s="14">
        <v>0</v>
      </c>
      <c r="N86" s="14">
        <v>0</v>
      </c>
      <c r="O86" s="14">
        <v>0</v>
      </c>
      <c r="P86" s="14">
        <v>0</v>
      </c>
      <c r="Q86" s="15">
        <v>0</v>
      </c>
      <c r="R86" s="15">
        <v>0</v>
      </c>
      <c r="S86" s="15">
        <f>$G$86*$G$8+$H$86*$H$8+$I$86*$I$8+$J$86*$J$8+$K$86*$K$8+$L$86*$L$8+$M$86*$M$8+$N$86*$N$8+$O$86*$O$8+$P$86*$P$8</f>
        <v>6.4</v>
      </c>
      <c r="T86" s="15">
        <f>SUM($Q$86:$R$86)</f>
        <v>0</v>
      </c>
      <c r="U86" s="15">
        <f>$S$86+$T$86</f>
        <v>6.4</v>
      </c>
    </row>
    <row r="87" spans="1:21" x14ac:dyDescent="0.3">
      <c r="A87" s="10" t="s">
        <v>317</v>
      </c>
      <c r="B87" s="11" t="s">
        <v>318</v>
      </c>
      <c r="C87" s="11"/>
      <c r="D87" s="11" t="s">
        <v>319</v>
      </c>
      <c r="E87" s="11">
        <f xml:space="preserve"> IF($U$87,1,0)</f>
        <v>0</v>
      </c>
      <c r="F87" s="11" t="s">
        <v>320</v>
      </c>
      <c r="G87" s="11">
        <v>0</v>
      </c>
      <c r="H87" s="11">
        <v>0</v>
      </c>
      <c r="I87" s="11">
        <v>0</v>
      </c>
      <c r="J87" s="11">
        <v>0</v>
      </c>
      <c r="K87" s="11">
        <v>0</v>
      </c>
      <c r="L87" s="11">
        <v>0</v>
      </c>
      <c r="M87" s="11">
        <v>0</v>
      </c>
      <c r="N87" s="11">
        <v>0</v>
      </c>
      <c r="O87" s="11">
        <v>0</v>
      </c>
      <c r="P87" s="11">
        <v>0</v>
      </c>
      <c r="Q87" s="12">
        <v>0</v>
      </c>
      <c r="R87" s="12">
        <v>0</v>
      </c>
      <c r="S87" s="12">
        <f>$G$87*$G$8+$H$87*$H$8+$I$87*$I$8+$J$87*$J$8+$K$87*$K$8+$L$87*$L$8+$M$87*$M$8+$N$87*$N$8+$O$87*$O$8+$P$87*$P$8</f>
        <v>0</v>
      </c>
      <c r="T87" s="12">
        <f>SUM($Q$87:$R$87)</f>
        <v>0</v>
      </c>
      <c r="U87" s="12">
        <f>$S$87+$T$87</f>
        <v>0</v>
      </c>
    </row>
    <row r="88" spans="1:21" x14ac:dyDescent="0.3">
      <c r="A88" s="13" t="s">
        <v>321</v>
      </c>
      <c r="B88" s="14" t="s">
        <v>322</v>
      </c>
      <c r="C88" s="14"/>
      <c r="D88" s="14" t="s">
        <v>323</v>
      </c>
      <c r="E88" s="14">
        <f xml:space="preserve"> IF($U$88,1,0)</f>
        <v>0</v>
      </c>
      <c r="F88" s="14" t="s">
        <v>324</v>
      </c>
      <c r="G88" s="14">
        <v>0</v>
      </c>
      <c r="H88" s="14">
        <v>0</v>
      </c>
      <c r="I88" s="14">
        <v>0</v>
      </c>
      <c r="J88" s="14">
        <v>0</v>
      </c>
      <c r="K88" s="14">
        <v>0</v>
      </c>
      <c r="L88" s="14">
        <v>0</v>
      </c>
      <c r="M88" s="14">
        <v>0</v>
      </c>
      <c r="N88" s="14">
        <v>0</v>
      </c>
      <c r="O88" s="14">
        <v>0</v>
      </c>
      <c r="P88" s="14">
        <v>0</v>
      </c>
      <c r="Q88" s="15">
        <v>0</v>
      </c>
      <c r="R88" s="15">
        <v>0</v>
      </c>
      <c r="S88" s="15">
        <f>$G$88*$G$8+$H$88*$H$8+$I$88*$I$8+$J$88*$J$8+$K$88*$K$8+$L$88*$L$8+$M$88*$M$8+$N$88*$N$8+$O$88*$O$8+$P$88*$P$8</f>
        <v>0</v>
      </c>
      <c r="T88" s="15">
        <f>SUM($Q$88:$R$88)</f>
        <v>0</v>
      </c>
      <c r="U88" s="15">
        <f>$S$88+$T$88</f>
        <v>0</v>
      </c>
    </row>
    <row r="89" spans="1:21" x14ac:dyDescent="0.3">
      <c r="A89" s="10" t="s">
        <v>325</v>
      </c>
      <c r="B89" s="11" t="s">
        <v>326</v>
      </c>
      <c r="C89" s="11" t="s">
        <v>243</v>
      </c>
      <c r="D89" s="11" t="s">
        <v>327</v>
      </c>
      <c r="E89" s="11">
        <f xml:space="preserve"> IF($U$89,1,0)</f>
        <v>0</v>
      </c>
      <c r="F89" s="11" t="s">
        <v>328</v>
      </c>
      <c r="G89" s="11">
        <v>0</v>
      </c>
      <c r="H89" s="11">
        <v>0</v>
      </c>
      <c r="I89" s="11">
        <v>0</v>
      </c>
      <c r="J89" s="11">
        <v>0</v>
      </c>
      <c r="K89" s="11">
        <v>0</v>
      </c>
      <c r="L89" s="11">
        <v>0</v>
      </c>
      <c r="M89" s="11">
        <v>0</v>
      </c>
      <c r="N89" s="11">
        <v>0</v>
      </c>
      <c r="O89" s="11">
        <v>0</v>
      </c>
      <c r="P89" s="11">
        <v>0</v>
      </c>
      <c r="Q89" s="12">
        <v>0</v>
      </c>
      <c r="R89" s="12">
        <v>0</v>
      </c>
      <c r="S89" s="12">
        <f>$G$89*$G$8+$H$89*$H$8+$I$89*$I$8+$J$89*$J$8+$K$89*$K$8+$L$89*$L$8+$M$89*$M$8+$N$89*$N$8+$O$89*$O$8+$P$89*$P$8</f>
        <v>0</v>
      </c>
      <c r="T89" s="12">
        <f>SUM($Q$89:$R$89)</f>
        <v>0</v>
      </c>
      <c r="U89" s="12">
        <f>$S$89+$T$89</f>
        <v>0</v>
      </c>
    </row>
    <row r="90" spans="1:21" x14ac:dyDescent="0.3">
      <c r="A90" s="13" t="s">
        <v>329</v>
      </c>
      <c r="B90" s="14" t="s">
        <v>330</v>
      </c>
      <c r="C90" s="14"/>
      <c r="D90" s="14" t="s">
        <v>331</v>
      </c>
      <c r="E90" s="14">
        <f xml:space="preserve"> IF($U$90,1,0)</f>
        <v>1</v>
      </c>
      <c r="F90" s="14" t="s">
        <v>332</v>
      </c>
      <c r="G90" s="14">
        <v>0</v>
      </c>
      <c r="H90" s="14">
        <v>0</v>
      </c>
      <c r="I90" s="14">
        <v>0</v>
      </c>
      <c r="J90" s="14">
        <v>0</v>
      </c>
      <c r="K90" s="14">
        <v>1</v>
      </c>
      <c r="L90" s="14">
        <v>1</v>
      </c>
      <c r="M90" s="14">
        <v>0</v>
      </c>
      <c r="N90" s="14">
        <v>0</v>
      </c>
      <c r="O90" s="14">
        <v>0</v>
      </c>
      <c r="P90" s="14">
        <v>0</v>
      </c>
      <c r="Q90" s="15">
        <v>0</v>
      </c>
      <c r="R90" s="15">
        <v>0</v>
      </c>
      <c r="S90" s="15">
        <f>$G$90*$G$8+$H$90*$H$8+$I$90*$I$8+$J$90*$J$8+$K$90*$K$8+$L$90*$L$8+$M$90*$M$8+$N$90*$N$8+$O$90*$O$8+$P$90*$P$8</f>
        <v>5</v>
      </c>
      <c r="T90" s="15">
        <f>SUM($Q$90:$R$90)</f>
        <v>0</v>
      </c>
      <c r="U90" s="15">
        <f>$S$90+$T$90</f>
        <v>5</v>
      </c>
    </row>
    <row r="91" spans="1:21" x14ac:dyDescent="0.3">
      <c r="A91" s="10" t="s">
        <v>333</v>
      </c>
      <c r="B91" s="11" t="s">
        <v>334</v>
      </c>
      <c r="C91" s="11"/>
      <c r="D91" s="11" t="s">
        <v>335</v>
      </c>
      <c r="E91" s="11">
        <f xml:space="preserve"> IF($U$91,1,0)</f>
        <v>0</v>
      </c>
      <c r="F91" s="11" t="s">
        <v>336</v>
      </c>
      <c r="G91" s="11">
        <v>0</v>
      </c>
      <c r="H91" s="11">
        <v>0</v>
      </c>
      <c r="I91" s="11">
        <v>0</v>
      </c>
      <c r="J91" s="11">
        <v>0</v>
      </c>
      <c r="K91" s="11">
        <v>0</v>
      </c>
      <c r="L91" s="11">
        <v>0</v>
      </c>
      <c r="M91" s="11">
        <v>0</v>
      </c>
      <c r="N91" s="11">
        <v>0</v>
      </c>
      <c r="O91" s="11">
        <v>0</v>
      </c>
      <c r="P91" s="11">
        <v>0</v>
      </c>
      <c r="Q91" s="12">
        <v>0</v>
      </c>
      <c r="R91" s="12">
        <v>0</v>
      </c>
      <c r="S91" s="12">
        <f>$G$91*$G$8+$H$91*$H$8+$I$91*$I$8+$J$91*$J$8+$K$91*$K$8+$L$91*$L$8+$M$91*$M$8+$N$91*$N$8+$O$91*$O$8+$P$91*$P$8</f>
        <v>0</v>
      </c>
      <c r="T91" s="12">
        <f>SUM($Q$91:$R$91)</f>
        <v>0</v>
      </c>
      <c r="U91" s="12">
        <f>$S$91+$T$91</f>
        <v>0</v>
      </c>
    </row>
    <row r="92" spans="1:21" x14ac:dyDescent="0.3">
      <c r="A92" s="13" t="s">
        <v>337</v>
      </c>
      <c r="B92" s="14" t="s">
        <v>334</v>
      </c>
      <c r="C92" s="14"/>
      <c r="D92" s="14" t="s">
        <v>338</v>
      </c>
      <c r="E92" s="14">
        <f xml:space="preserve"> IF($U$92,1,0)</f>
        <v>0</v>
      </c>
      <c r="F92" s="14" t="s">
        <v>339</v>
      </c>
      <c r="G92" s="14">
        <v>0</v>
      </c>
      <c r="H92" s="14">
        <v>0</v>
      </c>
      <c r="I92" s="14">
        <v>0</v>
      </c>
      <c r="J92" s="14">
        <v>0</v>
      </c>
      <c r="K92" s="14">
        <v>0</v>
      </c>
      <c r="L92" s="14">
        <v>0</v>
      </c>
      <c r="M92" s="14">
        <v>0</v>
      </c>
      <c r="N92" s="14">
        <v>0</v>
      </c>
      <c r="O92" s="14">
        <v>0</v>
      </c>
      <c r="P92" s="14">
        <v>0</v>
      </c>
      <c r="Q92" s="15">
        <v>0</v>
      </c>
      <c r="R92" s="15">
        <v>0</v>
      </c>
      <c r="S92" s="15">
        <f>$G$92*$G$8+$H$92*$H$8+$I$92*$I$8+$J$92*$J$8+$K$92*$K$8+$L$92*$L$8+$M$92*$M$8+$N$92*$N$8+$O$92*$O$8+$P$92*$P$8</f>
        <v>0</v>
      </c>
      <c r="T92" s="15">
        <f>SUM($Q$92:$R$92)</f>
        <v>0</v>
      </c>
      <c r="U92" s="15">
        <f>$S$92+$T$92</f>
        <v>0</v>
      </c>
    </row>
    <row r="93" spans="1:21" x14ac:dyDescent="0.3">
      <c r="A93" s="10" t="s">
        <v>340</v>
      </c>
      <c r="B93" s="11" t="s">
        <v>341</v>
      </c>
      <c r="C93" s="11" t="s">
        <v>342</v>
      </c>
      <c r="D93" s="11" t="s">
        <v>343</v>
      </c>
      <c r="E93" s="11">
        <f xml:space="preserve"> IF($U$93,1,0)</f>
        <v>0</v>
      </c>
      <c r="F93" s="11" t="s">
        <v>344</v>
      </c>
      <c r="G93" s="11">
        <v>0</v>
      </c>
      <c r="H93" s="11">
        <v>0</v>
      </c>
      <c r="I93" s="11">
        <v>0</v>
      </c>
      <c r="J93" s="11">
        <v>0</v>
      </c>
      <c r="K93" s="11">
        <v>0</v>
      </c>
      <c r="L93" s="11">
        <v>0</v>
      </c>
      <c r="M93" s="11">
        <v>0</v>
      </c>
      <c r="N93" s="11">
        <v>0</v>
      </c>
      <c r="O93" s="11">
        <v>0</v>
      </c>
      <c r="P93" s="11">
        <v>0</v>
      </c>
      <c r="Q93" s="12">
        <v>0</v>
      </c>
      <c r="R93" s="12">
        <v>0</v>
      </c>
      <c r="S93" s="12">
        <f>$G$93*$G$8+$H$93*$H$8+$I$93*$I$8+$J$93*$J$8+$K$93*$K$8+$L$93*$L$8+$M$93*$M$8+$N$93*$N$8+$O$93*$O$8+$P$93*$P$8</f>
        <v>0</v>
      </c>
      <c r="T93" s="12">
        <f>SUM($Q$93:$R$93)</f>
        <v>0</v>
      </c>
      <c r="U93" s="12">
        <f>$S$93+$T$93</f>
        <v>0</v>
      </c>
    </row>
    <row r="94" spans="1:21" x14ac:dyDescent="0.3">
      <c r="A94" s="13" t="s">
        <v>345</v>
      </c>
      <c r="B94" s="14" t="s">
        <v>346</v>
      </c>
      <c r="C94" s="14"/>
      <c r="D94" s="14" t="s">
        <v>347</v>
      </c>
      <c r="E94" s="14">
        <f xml:space="preserve"> IF($U$94,1,0)</f>
        <v>0</v>
      </c>
      <c r="F94" s="14" t="s">
        <v>348</v>
      </c>
      <c r="G94" s="14">
        <v>0</v>
      </c>
      <c r="H94" s="14">
        <v>0</v>
      </c>
      <c r="I94" s="14">
        <v>0</v>
      </c>
      <c r="J94" s="14">
        <v>0</v>
      </c>
      <c r="K94" s="14">
        <v>0</v>
      </c>
      <c r="L94" s="14">
        <v>0</v>
      </c>
      <c r="M94" s="14">
        <v>0</v>
      </c>
      <c r="N94" s="14">
        <v>0</v>
      </c>
      <c r="O94" s="14">
        <v>0</v>
      </c>
      <c r="P94" s="14">
        <v>0</v>
      </c>
      <c r="Q94" s="15">
        <v>0</v>
      </c>
      <c r="R94" s="15">
        <v>0</v>
      </c>
      <c r="S94" s="15">
        <f>$G$94*$G$8+$H$94*$H$8+$I$94*$I$8+$J$94*$J$8+$K$94*$K$8+$L$94*$L$8+$M$94*$M$8+$N$94*$N$8+$O$94*$O$8+$P$94*$P$8</f>
        <v>0</v>
      </c>
      <c r="T94" s="15">
        <f>SUM($Q$94:$R$94)</f>
        <v>0</v>
      </c>
      <c r="U94" s="15">
        <f>$S$94+$T$94</f>
        <v>0</v>
      </c>
    </row>
    <row r="95" spans="1:21" x14ac:dyDescent="0.3">
      <c r="A95" s="10" t="s">
        <v>349</v>
      </c>
      <c r="B95" s="11" t="s">
        <v>350</v>
      </c>
      <c r="C95" s="11"/>
      <c r="D95" s="11" t="s">
        <v>351</v>
      </c>
      <c r="E95" s="11">
        <f xml:space="preserve"> IF($U$95,1,0)</f>
        <v>0</v>
      </c>
      <c r="F95" s="11" t="s">
        <v>352</v>
      </c>
      <c r="G95" s="11">
        <v>0</v>
      </c>
      <c r="H95" s="11">
        <v>0</v>
      </c>
      <c r="I95" s="11">
        <v>0</v>
      </c>
      <c r="J95" s="11">
        <v>0</v>
      </c>
      <c r="K95" s="11">
        <v>0</v>
      </c>
      <c r="L95" s="11">
        <v>0</v>
      </c>
      <c r="M95" s="11">
        <v>0</v>
      </c>
      <c r="N95" s="11">
        <v>0</v>
      </c>
      <c r="O95" s="11">
        <v>0</v>
      </c>
      <c r="P95" s="11">
        <v>0</v>
      </c>
      <c r="Q95" s="12">
        <v>0</v>
      </c>
      <c r="R95" s="12">
        <v>0</v>
      </c>
      <c r="S95" s="12">
        <f>$G$95*$G$8+$H$95*$H$8+$I$95*$I$8+$J$95*$J$8+$K$95*$K$8+$L$95*$L$8+$M$95*$M$8+$N$95*$N$8+$O$95*$O$8+$P$95*$P$8</f>
        <v>0</v>
      </c>
      <c r="T95" s="12">
        <f>SUM($Q$95:$R$95)</f>
        <v>0</v>
      </c>
      <c r="U95" s="12">
        <f>$S$95+$T$95</f>
        <v>0</v>
      </c>
    </row>
    <row r="96" spans="1:21" x14ac:dyDescent="0.3">
      <c r="A96" s="13" t="s">
        <v>353</v>
      </c>
      <c r="B96" s="14" t="s">
        <v>354</v>
      </c>
      <c r="C96" s="14"/>
      <c r="D96" s="14" t="s">
        <v>355</v>
      </c>
      <c r="E96" s="14">
        <f xml:space="preserve"> IF($U$96,1,0)</f>
        <v>0</v>
      </c>
      <c r="F96" s="14" t="s">
        <v>356</v>
      </c>
      <c r="G96" s="14">
        <v>0</v>
      </c>
      <c r="H96" s="14">
        <v>0</v>
      </c>
      <c r="I96" s="14">
        <v>0</v>
      </c>
      <c r="J96" s="14">
        <v>0</v>
      </c>
      <c r="K96" s="14">
        <v>0</v>
      </c>
      <c r="L96" s="14">
        <v>0</v>
      </c>
      <c r="M96" s="14">
        <v>0</v>
      </c>
      <c r="N96" s="14">
        <v>0</v>
      </c>
      <c r="O96" s="14">
        <v>0</v>
      </c>
      <c r="P96" s="14">
        <v>0</v>
      </c>
      <c r="Q96" s="15">
        <v>0</v>
      </c>
      <c r="R96" s="15">
        <v>0</v>
      </c>
      <c r="S96" s="15">
        <f>$G$96*$G$8+$H$96*$H$8+$I$96*$I$8+$J$96*$J$8+$K$96*$K$8+$L$96*$L$8+$M$96*$M$8+$N$96*$N$8+$O$96*$O$8+$P$96*$P$8</f>
        <v>0</v>
      </c>
      <c r="T96" s="15">
        <f>SUM($Q$96:$R$96)</f>
        <v>0</v>
      </c>
      <c r="U96" s="15">
        <f>$S$96+$T$96</f>
        <v>0</v>
      </c>
    </row>
    <row r="97" spans="1:21" x14ac:dyDescent="0.3">
      <c r="A97" s="10" t="s">
        <v>357</v>
      </c>
      <c r="B97" s="11" t="s">
        <v>358</v>
      </c>
      <c r="C97" s="11" t="s">
        <v>34</v>
      </c>
      <c r="D97" s="11" t="s">
        <v>359</v>
      </c>
      <c r="E97" s="11">
        <f xml:space="preserve"> IF($U$97,1,0)</f>
        <v>0</v>
      </c>
      <c r="F97" s="11" t="s">
        <v>360</v>
      </c>
      <c r="G97" s="11">
        <v>0</v>
      </c>
      <c r="H97" s="11">
        <v>0</v>
      </c>
      <c r="I97" s="11">
        <v>0</v>
      </c>
      <c r="J97" s="11">
        <v>0</v>
      </c>
      <c r="K97" s="11">
        <v>0</v>
      </c>
      <c r="L97" s="11">
        <v>0</v>
      </c>
      <c r="M97" s="11">
        <v>0</v>
      </c>
      <c r="N97" s="11">
        <v>0</v>
      </c>
      <c r="O97" s="11">
        <v>0</v>
      </c>
      <c r="P97" s="11">
        <v>0</v>
      </c>
      <c r="Q97" s="12">
        <v>0</v>
      </c>
      <c r="R97" s="12">
        <v>0</v>
      </c>
      <c r="S97" s="12">
        <f>$G$97*$G$8+$H$97*$H$8+$I$97*$I$8+$J$97*$J$8+$K$97*$K$8+$L$97*$L$8+$M$97*$M$8+$N$97*$N$8+$O$97*$O$8+$P$97*$P$8</f>
        <v>0</v>
      </c>
      <c r="T97" s="12">
        <f>SUM($Q$97:$R$97)</f>
        <v>0</v>
      </c>
      <c r="U97" s="12">
        <f>$S$97+$T$97</f>
        <v>0</v>
      </c>
    </row>
    <row r="98" spans="1:21" x14ac:dyDescent="0.3">
      <c r="A98" s="13" t="s">
        <v>361</v>
      </c>
      <c r="B98" s="14" t="s">
        <v>358</v>
      </c>
      <c r="C98" s="14" t="s">
        <v>34</v>
      </c>
      <c r="D98" s="14" t="s">
        <v>362</v>
      </c>
      <c r="E98" s="14">
        <f xml:space="preserve"> IF($U$98,1,0)</f>
        <v>1</v>
      </c>
      <c r="F98" s="14" t="s">
        <v>363</v>
      </c>
      <c r="G98" s="14">
        <v>2</v>
      </c>
      <c r="H98" s="14">
        <v>0</v>
      </c>
      <c r="I98" s="14">
        <v>0</v>
      </c>
      <c r="J98" s="14">
        <v>0</v>
      </c>
      <c r="K98" s="14">
        <v>2</v>
      </c>
      <c r="L98" s="14">
        <v>4</v>
      </c>
      <c r="M98" s="14">
        <v>3</v>
      </c>
      <c r="N98" s="14">
        <v>2</v>
      </c>
      <c r="O98" s="14">
        <v>0</v>
      </c>
      <c r="P98" s="14">
        <v>2</v>
      </c>
      <c r="Q98" s="15">
        <v>0</v>
      </c>
      <c r="R98" s="15">
        <v>0</v>
      </c>
      <c r="S98" s="15">
        <f>$G$98*$G$8+$H$98*$H$8+$I$98*$I$8+$J$98*$J$8+$K$98*$K$8+$L$98*$L$8+$M$98*$M$8+$N$98*$N$8+$O$98*$O$8+$P$98*$P$8</f>
        <v>41.4</v>
      </c>
      <c r="T98" s="15">
        <f>SUM($Q$98:$R$98)</f>
        <v>0</v>
      </c>
      <c r="U98" s="15">
        <f>$S$98+$T$98</f>
        <v>41.4</v>
      </c>
    </row>
    <row r="99" spans="1:21" x14ac:dyDescent="0.3">
      <c r="A99" s="10" t="s">
        <v>364</v>
      </c>
      <c r="B99" s="11" t="s">
        <v>358</v>
      </c>
      <c r="C99" s="11"/>
      <c r="D99" s="11" t="s">
        <v>365</v>
      </c>
      <c r="E99" s="11">
        <f xml:space="preserve"> IF($U$99,1,0)</f>
        <v>1</v>
      </c>
      <c r="F99" s="11" t="s">
        <v>366</v>
      </c>
      <c r="G99" s="11">
        <v>0</v>
      </c>
      <c r="H99" s="11">
        <v>2</v>
      </c>
      <c r="I99" s="11">
        <v>0</v>
      </c>
      <c r="J99" s="11">
        <v>0</v>
      </c>
      <c r="K99" s="11">
        <v>0</v>
      </c>
      <c r="L99" s="11">
        <v>1</v>
      </c>
      <c r="M99" s="11">
        <v>2</v>
      </c>
      <c r="N99" s="11">
        <v>0</v>
      </c>
      <c r="O99" s="11">
        <v>0</v>
      </c>
      <c r="P99" s="11">
        <v>0</v>
      </c>
      <c r="Q99" s="12">
        <f>$T$338</f>
        <v>2.5</v>
      </c>
      <c r="R99" s="12">
        <f>$T$339</f>
        <v>1.85</v>
      </c>
      <c r="S99" s="12">
        <f>$G$99*$G$8+$H$99*$H$8+$I$99*$I$8+$J$99*$J$8+$K$99*$K$8+$L$99*$L$8+$M$99*$M$8+$N$99*$N$8+$O$99*$O$8+$P$99*$P$8</f>
        <v>14.6</v>
      </c>
      <c r="T99" s="12">
        <f>SUM($Q$99:$R$99)</f>
        <v>4.3499999999999996</v>
      </c>
      <c r="U99" s="12">
        <f>$S$99+$T$99</f>
        <v>18.95</v>
      </c>
    </row>
    <row r="100" spans="1:21" x14ac:dyDescent="0.3">
      <c r="A100" s="13" t="s">
        <v>367</v>
      </c>
      <c r="B100" s="14" t="s">
        <v>368</v>
      </c>
      <c r="C100" s="14" t="s">
        <v>34</v>
      </c>
      <c r="D100" s="14" t="s">
        <v>118</v>
      </c>
      <c r="E100" s="14">
        <f xml:space="preserve"> IF($U$100,1,0)</f>
        <v>0</v>
      </c>
      <c r="F100" s="14" t="s">
        <v>369</v>
      </c>
      <c r="G100" s="14">
        <v>0</v>
      </c>
      <c r="H100" s="14">
        <v>0</v>
      </c>
      <c r="I100" s="14">
        <v>0</v>
      </c>
      <c r="J100" s="14">
        <v>0</v>
      </c>
      <c r="K100" s="14">
        <v>0</v>
      </c>
      <c r="L100" s="14">
        <v>0</v>
      </c>
      <c r="M100" s="14">
        <v>0</v>
      </c>
      <c r="N100" s="14">
        <v>0</v>
      </c>
      <c r="O100" s="14">
        <v>0</v>
      </c>
      <c r="P100" s="14">
        <v>0</v>
      </c>
      <c r="Q100" s="15">
        <v>0</v>
      </c>
      <c r="R100" s="15">
        <v>0</v>
      </c>
      <c r="S100" s="15">
        <f>$G$100*$G$8+$H$100*$H$8+$I$100*$I$8+$J$100*$J$8+$K$100*$K$8+$L$100*$L$8+$M$100*$M$8+$N$100*$N$8+$O$100*$O$8+$P$100*$P$8</f>
        <v>0</v>
      </c>
      <c r="T100" s="15">
        <f>SUM($Q$100:$R$100)</f>
        <v>0</v>
      </c>
      <c r="U100" s="15">
        <f>$S$100+$T$100</f>
        <v>0</v>
      </c>
    </row>
    <row r="101" spans="1:21" x14ac:dyDescent="0.3">
      <c r="A101" s="10" t="s">
        <v>370</v>
      </c>
      <c r="B101" s="11" t="s">
        <v>371</v>
      </c>
      <c r="C101" s="11"/>
      <c r="D101" s="11" t="s">
        <v>372</v>
      </c>
      <c r="E101" s="11">
        <f xml:space="preserve"> IF($U$101,1,0)</f>
        <v>0</v>
      </c>
      <c r="F101" s="11" t="s">
        <v>373</v>
      </c>
      <c r="G101" s="11">
        <v>0</v>
      </c>
      <c r="H101" s="11">
        <v>0</v>
      </c>
      <c r="I101" s="11">
        <v>0</v>
      </c>
      <c r="J101" s="11">
        <v>0</v>
      </c>
      <c r="K101" s="11">
        <v>0</v>
      </c>
      <c r="L101" s="11">
        <v>0</v>
      </c>
      <c r="M101" s="11">
        <v>0</v>
      </c>
      <c r="N101" s="11">
        <v>0</v>
      </c>
      <c r="O101" s="11">
        <v>0</v>
      </c>
      <c r="P101" s="11">
        <v>0</v>
      </c>
      <c r="Q101" s="12">
        <v>0</v>
      </c>
      <c r="R101" s="12">
        <v>0</v>
      </c>
      <c r="S101" s="12">
        <f>$G$101*$G$8+$H$101*$H$8+$I$101*$I$8+$J$101*$J$8+$K$101*$K$8+$L$101*$L$8+$M$101*$M$8+$N$101*$N$8+$O$101*$O$8+$P$101*$P$8</f>
        <v>0</v>
      </c>
      <c r="T101" s="12">
        <f>SUM($Q$101:$R$101)</f>
        <v>0</v>
      </c>
      <c r="U101" s="12">
        <f>$S$101+$T$101</f>
        <v>0</v>
      </c>
    </row>
    <row r="102" spans="1:21" x14ac:dyDescent="0.3">
      <c r="A102" s="13" t="s">
        <v>374</v>
      </c>
      <c r="B102" s="14" t="s">
        <v>375</v>
      </c>
      <c r="C102" s="14"/>
      <c r="D102" s="14" t="s">
        <v>376</v>
      </c>
      <c r="E102" s="14">
        <f xml:space="preserve"> IF($U$102,1,0)</f>
        <v>0</v>
      </c>
      <c r="F102" s="14" t="s">
        <v>377</v>
      </c>
      <c r="G102" s="14">
        <v>0</v>
      </c>
      <c r="H102" s="14">
        <v>0</v>
      </c>
      <c r="I102" s="14">
        <v>0</v>
      </c>
      <c r="J102" s="14">
        <v>0</v>
      </c>
      <c r="K102" s="14">
        <v>0</v>
      </c>
      <c r="L102" s="14">
        <v>0</v>
      </c>
      <c r="M102" s="14">
        <v>0</v>
      </c>
      <c r="N102" s="14">
        <v>0</v>
      </c>
      <c r="O102" s="14">
        <v>0</v>
      </c>
      <c r="P102" s="14">
        <v>0</v>
      </c>
      <c r="Q102" s="15">
        <v>0</v>
      </c>
      <c r="R102" s="15">
        <v>0</v>
      </c>
      <c r="S102" s="15">
        <f>$G$102*$G$8+$H$102*$H$8+$I$102*$I$8+$J$102*$J$8+$K$102*$K$8+$L$102*$L$8+$M$102*$M$8+$N$102*$N$8+$O$102*$O$8+$P$102*$P$8</f>
        <v>0</v>
      </c>
      <c r="T102" s="15">
        <f>SUM($Q$102:$R$102)</f>
        <v>0</v>
      </c>
      <c r="U102" s="15">
        <f>$S$102+$T$102</f>
        <v>0</v>
      </c>
    </row>
    <row r="103" spans="1:21" x14ac:dyDescent="0.3">
      <c r="A103" s="10" t="s">
        <v>378</v>
      </c>
      <c r="B103" s="11" t="s">
        <v>379</v>
      </c>
      <c r="C103" s="11"/>
      <c r="D103" s="11" t="s">
        <v>380</v>
      </c>
      <c r="E103" s="11">
        <f xml:space="preserve"> IF($U$103,1,0)</f>
        <v>0</v>
      </c>
      <c r="F103" s="11" t="s">
        <v>381</v>
      </c>
      <c r="G103" s="11">
        <v>0</v>
      </c>
      <c r="H103" s="11">
        <v>0</v>
      </c>
      <c r="I103" s="11">
        <v>0</v>
      </c>
      <c r="J103" s="11">
        <v>0</v>
      </c>
      <c r="K103" s="11">
        <v>0</v>
      </c>
      <c r="L103" s="11">
        <v>0</v>
      </c>
      <c r="M103" s="11">
        <v>0</v>
      </c>
      <c r="N103" s="11">
        <v>0</v>
      </c>
      <c r="O103" s="11">
        <v>0</v>
      </c>
      <c r="P103" s="11">
        <v>0</v>
      </c>
      <c r="Q103" s="12">
        <v>0</v>
      </c>
      <c r="R103" s="12">
        <v>0</v>
      </c>
      <c r="S103" s="12">
        <f>$G$103*$G$8+$H$103*$H$8+$I$103*$I$8+$J$103*$J$8+$K$103*$K$8+$L$103*$L$8+$M$103*$M$8+$N$103*$N$8+$O$103*$O$8+$P$103*$P$8</f>
        <v>0</v>
      </c>
      <c r="T103" s="12">
        <f>SUM($Q$103:$R$103)</f>
        <v>0</v>
      </c>
      <c r="U103" s="12">
        <f>$S$103+$T$103</f>
        <v>0</v>
      </c>
    </row>
    <row r="104" spans="1:21" x14ac:dyDescent="0.3">
      <c r="A104" s="13" t="s">
        <v>382</v>
      </c>
      <c r="B104" s="14" t="s">
        <v>383</v>
      </c>
      <c r="C104" s="14"/>
      <c r="D104" s="14" t="s">
        <v>384</v>
      </c>
      <c r="E104" s="14">
        <f xml:space="preserve"> IF($U$104,1,0)</f>
        <v>1</v>
      </c>
      <c r="F104" s="14" t="s">
        <v>385</v>
      </c>
      <c r="G104" s="14">
        <v>2</v>
      </c>
      <c r="H104" s="14">
        <v>0</v>
      </c>
      <c r="I104" s="14">
        <v>0</v>
      </c>
      <c r="J104" s="14">
        <v>0</v>
      </c>
      <c r="K104" s="14">
        <v>0</v>
      </c>
      <c r="L104" s="14">
        <v>0</v>
      </c>
      <c r="M104" s="14">
        <v>0</v>
      </c>
      <c r="N104" s="14">
        <v>0</v>
      </c>
      <c r="O104" s="14">
        <v>0</v>
      </c>
      <c r="P104" s="14">
        <v>0</v>
      </c>
      <c r="Q104" s="15">
        <v>0</v>
      </c>
      <c r="R104" s="15">
        <v>0</v>
      </c>
      <c r="S104" s="15">
        <f>$G$104*$G$8+$H$104*$H$8+$I$104*$I$8+$J$104*$J$8+$K$104*$K$8+$L$104*$L$8+$M$104*$M$8+$N$104*$N$8+$O$104*$O$8+$P$104*$P$8</f>
        <v>1.4</v>
      </c>
      <c r="T104" s="15">
        <f>SUM($Q$104:$R$104)</f>
        <v>0</v>
      </c>
      <c r="U104" s="15">
        <f>$S$104+$T$104</f>
        <v>1.4</v>
      </c>
    </row>
    <row r="105" spans="1:21" x14ac:dyDescent="0.3">
      <c r="A105" s="10" t="s">
        <v>386</v>
      </c>
      <c r="B105" s="11" t="s">
        <v>387</v>
      </c>
      <c r="C105" s="11" t="s">
        <v>278</v>
      </c>
      <c r="D105" s="11" t="s">
        <v>388</v>
      </c>
      <c r="E105" s="11">
        <f xml:space="preserve"> IF($U$105,1,0)</f>
        <v>0</v>
      </c>
      <c r="F105" s="11" t="s">
        <v>389</v>
      </c>
      <c r="G105" s="11">
        <v>0</v>
      </c>
      <c r="H105" s="11">
        <v>0</v>
      </c>
      <c r="I105" s="11">
        <v>0</v>
      </c>
      <c r="J105" s="11">
        <v>0</v>
      </c>
      <c r="K105" s="11">
        <v>0</v>
      </c>
      <c r="L105" s="11">
        <v>0</v>
      </c>
      <c r="M105" s="11">
        <v>0</v>
      </c>
      <c r="N105" s="11">
        <v>0</v>
      </c>
      <c r="O105" s="11">
        <v>0</v>
      </c>
      <c r="P105" s="11">
        <v>0</v>
      </c>
      <c r="Q105" s="12">
        <v>0</v>
      </c>
      <c r="R105" s="12">
        <v>0</v>
      </c>
      <c r="S105" s="12">
        <f>$G$105*$G$8+$H$105*$H$8+$I$105*$I$8+$J$105*$J$8+$K$105*$K$8+$L$105*$L$8+$M$105*$M$8+$N$105*$N$8+$O$105*$O$8+$P$105*$P$8</f>
        <v>0</v>
      </c>
      <c r="T105" s="12">
        <f>SUM($Q$105:$R$105)</f>
        <v>0</v>
      </c>
      <c r="U105" s="12">
        <f>$S$105+$T$105</f>
        <v>0</v>
      </c>
    </row>
    <row r="106" spans="1:21" x14ac:dyDescent="0.3">
      <c r="A106" s="13" t="s">
        <v>390</v>
      </c>
      <c r="B106" s="14" t="s">
        <v>387</v>
      </c>
      <c r="C106" s="14" t="s">
        <v>34</v>
      </c>
      <c r="D106" s="14" t="s">
        <v>391</v>
      </c>
      <c r="E106" s="14">
        <f xml:space="preserve"> IF($U$106,1,0)</f>
        <v>0</v>
      </c>
      <c r="F106" s="14" t="s">
        <v>392</v>
      </c>
      <c r="G106" s="14">
        <v>0</v>
      </c>
      <c r="H106" s="14">
        <v>0</v>
      </c>
      <c r="I106" s="14">
        <v>0</v>
      </c>
      <c r="J106" s="14">
        <v>0</v>
      </c>
      <c r="K106" s="14">
        <v>0</v>
      </c>
      <c r="L106" s="14">
        <v>0</v>
      </c>
      <c r="M106" s="14">
        <v>0</v>
      </c>
      <c r="N106" s="14">
        <v>0</v>
      </c>
      <c r="O106" s="14">
        <v>0</v>
      </c>
      <c r="P106" s="14">
        <v>0</v>
      </c>
      <c r="Q106" s="15">
        <v>0</v>
      </c>
      <c r="R106" s="15">
        <v>0</v>
      </c>
      <c r="S106" s="15">
        <f>$G$106*$G$8+$H$106*$H$8+$I$106*$I$8+$J$106*$J$8+$K$106*$K$8+$L$106*$L$8+$M$106*$M$8+$N$106*$N$8+$O$106*$O$8+$P$106*$P$8</f>
        <v>0</v>
      </c>
      <c r="T106" s="15">
        <f>SUM($Q$106:$R$106)</f>
        <v>0</v>
      </c>
      <c r="U106" s="15">
        <f>$S$106+$T$106</f>
        <v>0</v>
      </c>
    </row>
    <row r="107" spans="1:21" x14ac:dyDescent="0.3">
      <c r="A107" s="10" t="s">
        <v>393</v>
      </c>
      <c r="B107" s="11" t="s">
        <v>394</v>
      </c>
      <c r="C107" s="11"/>
      <c r="D107" s="11" t="s">
        <v>395</v>
      </c>
      <c r="E107" s="11">
        <f xml:space="preserve"> IF($U$107,1,0)</f>
        <v>1</v>
      </c>
      <c r="F107" s="11" t="s">
        <v>396</v>
      </c>
      <c r="G107" s="11">
        <v>10</v>
      </c>
      <c r="H107" s="11">
        <v>7</v>
      </c>
      <c r="I107" s="11">
        <v>0</v>
      </c>
      <c r="J107" s="11">
        <v>0</v>
      </c>
      <c r="K107" s="11">
        <v>0</v>
      </c>
      <c r="L107" s="11">
        <v>0</v>
      </c>
      <c r="M107" s="11">
        <v>0</v>
      </c>
      <c r="N107" s="11">
        <v>0</v>
      </c>
      <c r="O107" s="11">
        <v>0</v>
      </c>
      <c r="P107" s="11">
        <v>1</v>
      </c>
      <c r="Q107" s="12">
        <v>0</v>
      </c>
      <c r="R107" s="12">
        <v>0</v>
      </c>
      <c r="S107" s="12">
        <f>$G$107*$G$8+$H$107*$H$8+$I$107*$I$8+$J$107*$J$8+$K$107*$K$8+$L$107*$L$8+$M$107*$M$8+$N$107*$N$8+$O$107*$O$8+$P$107*$P$8</f>
        <v>20.6</v>
      </c>
      <c r="T107" s="12">
        <f>SUM($Q$107:$R$107)</f>
        <v>0</v>
      </c>
      <c r="U107" s="12">
        <f>$S$107+$T$107</f>
        <v>20.6</v>
      </c>
    </row>
    <row r="108" spans="1:21" x14ac:dyDescent="0.3">
      <c r="A108" s="13" t="s">
        <v>397</v>
      </c>
      <c r="B108" s="14" t="s">
        <v>398</v>
      </c>
      <c r="C108" s="14" t="s">
        <v>243</v>
      </c>
      <c r="D108" s="14" t="s">
        <v>399</v>
      </c>
      <c r="E108" s="14">
        <f xml:space="preserve"> IF($U$108,1,0)</f>
        <v>0</v>
      </c>
      <c r="F108" s="14" t="s">
        <v>400</v>
      </c>
      <c r="G108" s="14">
        <v>0</v>
      </c>
      <c r="H108" s="14">
        <v>0</v>
      </c>
      <c r="I108" s="14">
        <v>0</v>
      </c>
      <c r="J108" s="14">
        <v>0</v>
      </c>
      <c r="K108" s="14">
        <v>0</v>
      </c>
      <c r="L108" s="14">
        <v>0</v>
      </c>
      <c r="M108" s="14">
        <v>0</v>
      </c>
      <c r="N108" s="14">
        <v>0</v>
      </c>
      <c r="O108" s="14">
        <v>0</v>
      </c>
      <c r="P108" s="14">
        <v>0</v>
      </c>
      <c r="Q108" s="15">
        <v>0</v>
      </c>
      <c r="R108" s="15">
        <v>0</v>
      </c>
      <c r="S108" s="15">
        <f>$G$108*$G$8+$H$108*$H$8+$I$108*$I$8+$J$108*$J$8+$K$108*$K$8+$L$108*$L$8+$M$108*$M$8+$N$108*$N$8+$O$108*$O$8+$P$108*$P$8</f>
        <v>0</v>
      </c>
      <c r="T108" s="15">
        <f>SUM($Q$108:$R$108)</f>
        <v>0</v>
      </c>
      <c r="U108" s="15">
        <f>$S$108+$T$108</f>
        <v>0</v>
      </c>
    </row>
    <row r="109" spans="1:21" x14ac:dyDescent="0.3">
      <c r="A109" s="10" t="s">
        <v>401</v>
      </c>
      <c r="B109" s="11" t="s">
        <v>402</v>
      </c>
      <c r="C109" s="11"/>
      <c r="D109" s="11" t="s">
        <v>403</v>
      </c>
      <c r="E109" s="11">
        <f xml:space="preserve"> IF($U$109,1,0)</f>
        <v>1</v>
      </c>
      <c r="F109" s="11" t="s">
        <v>404</v>
      </c>
      <c r="G109" s="11">
        <v>3</v>
      </c>
      <c r="H109" s="11">
        <v>0</v>
      </c>
      <c r="I109" s="11">
        <v>0</v>
      </c>
      <c r="J109" s="11">
        <v>0</v>
      </c>
      <c r="K109" s="11">
        <v>0</v>
      </c>
      <c r="L109" s="11">
        <v>0</v>
      </c>
      <c r="M109" s="11">
        <v>0</v>
      </c>
      <c r="N109" s="11">
        <v>0</v>
      </c>
      <c r="O109" s="11">
        <v>0</v>
      </c>
      <c r="P109" s="11">
        <v>1</v>
      </c>
      <c r="Q109" s="12">
        <v>0</v>
      </c>
      <c r="R109" s="12">
        <v>0</v>
      </c>
      <c r="S109" s="12">
        <f>$G$109*$G$8+$H$109*$H$8+$I$109*$I$8+$J$109*$J$8+$K$109*$K$8+$L$109*$L$8+$M$109*$M$8+$N$109*$N$8+$O$109*$O$8+$P$109*$P$8</f>
        <v>3.0999999999999996</v>
      </c>
      <c r="T109" s="12">
        <f>SUM($Q$109:$R$109)</f>
        <v>0</v>
      </c>
      <c r="U109" s="12">
        <f>$S$109+$T$109</f>
        <v>3.0999999999999996</v>
      </c>
    </row>
    <row r="110" spans="1:21" x14ac:dyDescent="0.3">
      <c r="A110" s="13" t="s">
        <v>405</v>
      </c>
      <c r="B110" s="14" t="s">
        <v>406</v>
      </c>
      <c r="C110" s="14"/>
      <c r="D110" s="14" t="s">
        <v>407</v>
      </c>
      <c r="E110" s="14">
        <f xml:space="preserve"> IF($U$110,1,0)</f>
        <v>1</v>
      </c>
      <c r="F110" s="14" t="s">
        <v>408</v>
      </c>
      <c r="G110" s="14">
        <v>4</v>
      </c>
      <c r="H110" s="14">
        <v>0</v>
      </c>
      <c r="I110" s="14">
        <v>0</v>
      </c>
      <c r="J110" s="14">
        <v>0</v>
      </c>
      <c r="K110" s="14">
        <v>0</v>
      </c>
      <c r="L110" s="14">
        <v>0</v>
      </c>
      <c r="M110" s="14">
        <v>0</v>
      </c>
      <c r="N110" s="14">
        <v>0</v>
      </c>
      <c r="O110" s="14">
        <v>0</v>
      </c>
      <c r="P110" s="14">
        <v>0</v>
      </c>
      <c r="Q110" s="15">
        <v>0</v>
      </c>
      <c r="R110" s="15">
        <v>0</v>
      </c>
      <c r="S110" s="15">
        <f>$G$110*$G$8+$H$110*$H$8+$I$110*$I$8+$J$110*$J$8+$K$110*$K$8+$L$110*$L$8+$M$110*$M$8+$N$110*$N$8+$O$110*$O$8+$P$110*$P$8</f>
        <v>2.8</v>
      </c>
      <c r="T110" s="15">
        <f>SUM($Q$110:$R$110)</f>
        <v>0</v>
      </c>
      <c r="U110" s="15">
        <f>$S$110+$T$110</f>
        <v>2.8</v>
      </c>
    </row>
    <row r="111" spans="1:21" x14ac:dyDescent="0.3">
      <c r="A111" s="10" t="s">
        <v>409</v>
      </c>
      <c r="B111" s="11" t="s">
        <v>410</v>
      </c>
      <c r="C111" s="11"/>
      <c r="D111" s="11" t="s">
        <v>411</v>
      </c>
      <c r="E111" s="11">
        <f xml:space="preserve"> IF($U$111,1,0)</f>
        <v>0</v>
      </c>
      <c r="F111" s="11" t="s">
        <v>412</v>
      </c>
      <c r="G111" s="11">
        <v>0</v>
      </c>
      <c r="H111" s="11">
        <v>0</v>
      </c>
      <c r="I111" s="11">
        <v>0</v>
      </c>
      <c r="J111" s="11">
        <v>0</v>
      </c>
      <c r="K111" s="11">
        <v>0</v>
      </c>
      <c r="L111" s="11">
        <v>0</v>
      </c>
      <c r="M111" s="11">
        <v>0</v>
      </c>
      <c r="N111" s="11">
        <v>0</v>
      </c>
      <c r="O111" s="11">
        <v>0</v>
      </c>
      <c r="P111" s="11">
        <v>0</v>
      </c>
      <c r="Q111" s="12">
        <v>0</v>
      </c>
      <c r="R111" s="12">
        <v>0</v>
      </c>
      <c r="S111" s="12">
        <f>$G$111*$G$8+$H$111*$H$8+$I$111*$I$8+$J$111*$J$8+$K$111*$K$8+$L$111*$L$8+$M$111*$M$8+$N$111*$N$8+$O$111*$O$8+$P$111*$P$8</f>
        <v>0</v>
      </c>
      <c r="T111" s="12">
        <f>SUM($Q$111:$R$111)</f>
        <v>0</v>
      </c>
      <c r="U111" s="12">
        <f>$S$111+$T$111</f>
        <v>0</v>
      </c>
    </row>
    <row r="112" spans="1:21" x14ac:dyDescent="0.3">
      <c r="A112" s="13" t="s">
        <v>413</v>
      </c>
      <c r="B112" s="14" t="s">
        <v>414</v>
      </c>
      <c r="C112" s="14"/>
      <c r="D112" s="14" t="s">
        <v>415</v>
      </c>
      <c r="E112" s="14">
        <f xml:space="preserve"> IF($U$112,1,0)</f>
        <v>0</v>
      </c>
      <c r="F112" s="14" t="s">
        <v>416</v>
      </c>
      <c r="G112" s="14">
        <v>0</v>
      </c>
      <c r="H112" s="14">
        <v>0</v>
      </c>
      <c r="I112" s="14">
        <v>0</v>
      </c>
      <c r="J112" s="14">
        <v>0</v>
      </c>
      <c r="K112" s="14">
        <v>0</v>
      </c>
      <c r="L112" s="14">
        <v>0</v>
      </c>
      <c r="M112" s="14">
        <v>0</v>
      </c>
      <c r="N112" s="14">
        <v>0</v>
      </c>
      <c r="O112" s="14">
        <v>0</v>
      </c>
      <c r="P112" s="14">
        <v>0</v>
      </c>
      <c r="Q112" s="15">
        <v>0</v>
      </c>
      <c r="R112" s="15">
        <v>0</v>
      </c>
      <c r="S112" s="15">
        <f>$G$112*$G$8+$H$112*$H$8+$I$112*$I$8+$J$112*$J$8+$K$112*$K$8+$L$112*$L$8+$M$112*$M$8+$N$112*$N$8+$O$112*$O$8+$P$112*$P$8</f>
        <v>0</v>
      </c>
      <c r="T112" s="15">
        <f>SUM($Q$112:$R$112)</f>
        <v>0</v>
      </c>
      <c r="U112" s="15">
        <f>$S$112+$T$112</f>
        <v>0</v>
      </c>
    </row>
    <row r="113" spans="1:21" x14ac:dyDescent="0.3">
      <c r="A113" s="10" t="s">
        <v>417</v>
      </c>
      <c r="B113" s="11" t="s">
        <v>418</v>
      </c>
      <c r="C113" s="11"/>
      <c r="D113" s="11" t="s">
        <v>419</v>
      </c>
      <c r="E113" s="11">
        <f xml:space="preserve"> IF($U$113,1,0)</f>
        <v>0</v>
      </c>
      <c r="F113" s="11" t="s">
        <v>420</v>
      </c>
      <c r="G113" s="11">
        <v>0</v>
      </c>
      <c r="H113" s="11">
        <v>0</v>
      </c>
      <c r="I113" s="11">
        <v>0</v>
      </c>
      <c r="J113" s="11">
        <v>0</v>
      </c>
      <c r="K113" s="11">
        <v>0</v>
      </c>
      <c r="L113" s="11">
        <v>0</v>
      </c>
      <c r="M113" s="11">
        <v>0</v>
      </c>
      <c r="N113" s="11">
        <v>0</v>
      </c>
      <c r="O113" s="11">
        <v>0</v>
      </c>
      <c r="P113" s="11">
        <v>0</v>
      </c>
      <c r="Q113" s="12">
        <v>0</v>
      </c>
      <c r="R113" s="12">
        <v>0</v>
      </c>
      <c r="S113" s="12">
        <f>$G$113*$G$8+$H$113*$H$8+$I$113*$I$8+$J$113*$J$8+$K$113*$K$8+$L$113*$L$8+$M$113*$M$8+$N$113*$N$8+$O$113*$O$8+$P$113*$P$8</f>
        <v>0</v>
      </c>
      <c r="T113" s="12">
        <f>SUM($Q$113:$R$113)</f>
        <v>0</v>
      </c>
      <c r="U113" s="12">
        <f>$S$113+$T$113</f>
        <v>0</v>
      </c>
    </row>
    <row r="114" spans="1:21" x14ac:dyDescent="0.3">
      <c r="A114" s="13" t="s">
        <v>421</v>
      </c>
      <c r="B114" s="14" t="s">
        <v>422</v>
      </c>
      <c r="C114" s="14"/>
      <c r="D114" s="14" t="s">
        <v>423</v>
      </c>
      <c r="E114" s="14">
        <f xml:space="preserve"> IF($U$114,1,0)</f>
        <v>0</v>
      </c>
      <c r="F114" s="14" t="s">
        <v>424</v>
      </c>
      <c r="G114" s="14">
        <v>0</v>
      </c>
      <c r="H114" s="14">
        <v>0</v>
      </c>
      <c r="I114" s="14">
        <v>0</v>
      </c>
      <c r="J114" s="14">
        <v>0</v>
      </c>
      <c r="K114" s="14">
        <v>0</v>
      </c>
      <c r="L114" s="14">
        <v>0</v>
      </c>
      <c r="M114" s="14">
        <v>0</v>
      </c>
      <c r="N114" s="14">
        <v>0</v>
      </c>
      <c r="O114" s="14">
        <v>0</v>
      </c>
      <c r="P114" s="14">
        <v>0</v>
      </c>
      <c r="Q114" s="15">
        <v>0</v>
      </c>
      <c r="R114" s="15">
        <v>0</v>
      </c>
      <c r="S114" s="15">
        <f>$G$114*$G$8+$H$114*$H$8+$I$114*$I$8+$J$114*$J$8+$K$114*$K$8+$L$114*$L$8+$M$114*$M$8+$N$114*$N$8+$O$114*$O$8+$P$114*$P$8</f>
        <v>0</v>
      </c>
      <c r="T114" s="15">
        <f>SUM($Q$114:$R$114)</f>
        <v>0</v>
      </c>
      <c r="U114" s="15">
        <f>$S$114+$T$114</f>
        <v>0</v>
      </c>
    </row>
    <row r="115" spans="1:21" x14ac:dyDescent="0.3">
      <c r="A115" s="10" t="s">
        <v>425</v>
      </c>
      <c r="B115" s="11" t="s">
        <v>426</v>
      </c>
      <c r="C115" s="11" t="s">
        <v>34</v>
      </c>
      <c r="D115" s="11" t="s">
        <v>427</v>
      </c>
      <c r="E115" s="11">
        <f xml:space="preserve"> IF($U$115,1,0)</f>
        <v>0</v>
      </c>
      <c r="F115" s="11" t="s">
        <v>428</v>
      </c>
      <c r="G115" s="11">
        <v>0</v>
      </c>
      <c r="H115" s="11">
        <v>0</v>
      </c>
      <c r="I115" s="11">
        <v>0</v>
      </c>
      <c r="J115" s="11">
        <v>0</v>
      </c>
      <c r="K115" s="11">
        <v>0</v>
      </c>
      <c r="L115" s="11">
        <v>0</v>
      </c>
      <c r="M115" s="11">
        <v>0</v>
      </c>
      <c r="N115" s="11">
        <v>0</v>
      </c>
      <c r="O115" s="11">
        <v>0</v>
      </c>
      <c r="P115" s="11">
        <v>0</v>
      </c>
      <c r="Q115" s="12">
        <v>0</v>
      </c>
      <c r="R115" s="12">
        <v>0</v>
      </c>
      <c r="S115" s="12">
        <f>$G$115*$G$8+$H$115*$H$8+$I$115*$I$8+$J$115*$J$8+$K$115*$K$8+$L$115*$L$8+$M$115*$M$8+$N$115*$N$8+$O$115*$O$8+$P$115*$P$8</f>
        <v>0</v>
      </c>
      <c r="T115" s="12">
        <f>SUM($Q$115:$R$115)</f>
        <v>0</v>
      </c>
      <c r="U115" s="12">
        <f>$S$115+$T$115</f>
        <v>0</v>
      </c>
    </row>
    <row r="116" spans="1:21" x14ac:dyDescent="0.3">
      <c r="A116" s="13" t="s">
        <v>429</v>
      </c>
      <c r="B116" s="14" t="s">
        <v>430</v>
      </c>
      <c r="C116" s="14"/>
      <c r="D116" s="14" t="s">
        <v>431</v>
      </c>
      <c r="E116" s="14">
        <f xml:space="preserve"> IF($U$116,1,0)</f>
        <v>0</v>
      </c>
      <c r="F116" s="14" t="s">
        <v>432</v>
      </c>
      <c r="G116" s="14">
        <v>0</v>
      </c>
      <c r="H116" s="14">
        <v>0</v>
      </c>
      <c r="I116" s="14">
        <v>0</v>
      </c>
      <c r="J116" s="14">
        <v>0</v>
      </c>
      <c r="K116" s="14">
        <v>0</v>
      </c>
      <c r="L116" s="14">
        <v>0</v>
      </c>
      <c r="M116" s="14">
        <v>0</v>
      </c>
      <c r="N116" s="14">
        <v>0</v>
      </c>
      <c r="O116" s="14">
        <v>0</v>
      </c>
      <c r="P116" s="14">
        <v>0</v>
      </c>
      <c r="Q116" s="15">
        <v>0</v>
      </c>
      <c r="R116" s="15">
        <v>0</v>
      </c>
      <c r="S116" s="15">
        <f>$G$116*$G$8+$H$116*$H$8+$I$116*$I$8+$J$116*$J$8+$K$116*$K$8+$L$116*$L$8+$M$116*$M$8+$N$116*$N$8+$O$116*$O$8+$P$116*$P$8</f>
        <v>0</v>
      </c>
      <c r="T116" s="15">
        <f>SUM($Q$116:$R$116)</f>
        <v>0</v>
      </c>
      <c r="U116" s="15">
        <f>$S$116+$T$116</f>
        <v>0</v>
      </c>
    </row>
    <row r="117" spans="1:21" x14ac:dyDescent="0.3">
      <c r="A117" s="10" t="s">
        <v>1252</v>
      </c>
      <c r="B117" s="11" t="s">
        <v>1253</v>
      </c>
      <c r="C117" s="11"/>
      <c r="D117" s="11" t="s">
        <v>1254</v>
      </c>
      <c r="E117" s="11">
        <f xml:space="preserve"> IF($U$117,1,0)</f>
        <v>1</v>
      </c>
      <c r="F117" s="11" t="s">
        <v>1255</v>
      </c>
      <c r="G117" s="11">
        <v>9</v>
      </c>
      <c r="H117" s="11">
        <v>0</v>
      </c>
      <c r="I117" s="11">
        <v>0</v>
      </c>
      <c r="J117" s="11">
        <v>0</v>
      </c>
      <c r="K117" s="11">
        <v>0</v>
      </c>
      <c r="L117" s="11">
        <v>0</v>
      </c>
      <c r="M117" s="11">
        <v>0</v>
      </c>
      <c r="N117" s="11">
        <v>0</v>
      </c>
      <c r="O117" s="11">
        <v>0</v>
      </c>
      <c r="P117" s="11">
        <v>0</v>
      </c>
      <c r="Q117" s="12">
        <v>0</v>
      </c>
      <c r="R117" s="12">
        <v>0</v>
      </c>
      <c r="S117" s="12">
        <f>$G$117*$G$8+$H$117*$H$8+$I$117*$I$8+$J$117*$J$8+$K$117*$K$8+$L$117*$L$8+$M$117*$M$8+$N$117*$N$8+$O$117*$O$8+$P$117*$P$8</f>
        <v>6.3</v>
      </c>
      <c r="T117" s="12">
        <f>SUM($Q$117:$R$117)</f>
        <v>0</v>
      </c>
      <c r="U117" s="12">
        <f>$S$117+$T$117</f>
        <v>6.3</v>
      </c>
    </row>
    <row r="118" spans="1:21" x14ac:dyDescent="0.3">
      <c r="A118" s="13" t="s">
        <v>433</v>
      </c>
      <c r="B118" s="14" t="s">
        <v>434</v>
      </c>
      <c r="C118" s="14" t="s">
        <v>202</v>
      </c>
      <c r="D118" s="14" t="s">
        <v>435</v>
      </c>
      <c r="E118" s="14">
        <f xml:space="preserve"> IF($U$118,1,0)</f>
        <v>0</v>
      </c>
      <c r="F118" s="14" t="s">
        <v>436</v>
      </c>
      <c r="G118" s="14">
        <v>0</v>
      </c>
      <c r="H118" s="14">
        <v>0</v>
      </c>
      <c r="I118" s="14">
        <v>0</v>
      </c>
      <c r="J118" s="14">
        <v>0</v>
      </c>
      <c r="K118" s="14">
        <v>0</v>
      </c>
      <c r="L118" s="14">
        <v>0</v>
      </c>
      <c r="M118" s="14">
        <v>0</v>
      </c>
      <c r="N118" s="14">
        <v>0</v>
      </c>
      <c r="O118" s="14">
        <v>0</v>
      </c>
      <c r="P118" s="14">
        <v>0</v>
      </c>
      <c r="Q118" s="15">
        <v>0</v>
      </c>
      <c r="R118" s="15">
        <v>0</v>
      </c>
      <c r="S118" s="15">
        <f>$G$118*$G$8+$H$118*$H$8+$I$118*$I$8+$J$118*$J$8+$K$118*$K$8+$L$118*$L$8+$M$118*$M$8+$N$118*$N$8+$O$118*$O$8+$P$118*$P$8</f>
        <v>0</v>
      </c>
      <c r="T118" s="15">
        <f>SUM($Q$118:$R$118)</f>
        <v>0</v>
      </c>
      <c r="U118" s="15">
        <f>$S$118+$T$118</f>
        <v>0</v>
      </c>
    </row>
    <row r="119" spans="1:21" x14ac:dyDescent="0.3">
      <c r="A119" s="10" t="s">
        <v>437</v>
      </c>
      <c r="B119" s="11" t="s">
        <v>434</v>
      </c>
      <c r="C119" s="11"/>
      <c r="D119" s="11" t="s">
        <v>438</v>
      </c>
      <c r="E119" s="11">
        <f xml:space="preserve"> IF($U$119,1,0)</f>
        <v>0</v>
      </c>
      <c r="F119" s="11" t="s">
        <v>439</v>
      </c>
      <c r="G119" s="11">
        <v>0</v>
      </c>
      <c r="H119" s="11">
        <v>0</v>
      </c>
      <c r="I119" s="11">
        <v>0</v>
      </c>
      <c r="J119" s="11">
        <v>0</v>
      </c>
      <c r="K119" s="11">
        <v>0</v>
      </c>
      <c r="L119" s="11">
        <v>0</v>
      </c>
      <c r="M119" s="11">
        <v>0</v>
      </c>
      <c r="N119" s="11">
        <v>0</v>
      </c>
      <c r="O119" s="11">
        <v>0</v>
      </c>
      <c r="P119" s="11">
        <v>0</v>
      </c>
      <c r="Q119" s="12">
        <v>0</v>
      </c>
      <c r="R119" s="12">
        <v>0</v>
      </c>
      <c r="S119" s="12">
        <f>$G$119*$G$8+$H$119*$H$8+$I$119*$I$8+$J$119*$J$8+$K$119*$K$8+$L$119*$L$8+$M$119*$M$8+$N$119*$N$8+$O$119*$O$8+$P$119*$P$8</f>
        <v>0</v>
      </c>
      <c r="T119" s="12">
        <f>SUM($Q$119:$R$119)</f>
        <v>0</v>
      </c>
      <c r="U119" s="12">
        <f>$S$119+$T$119</f>
        <v>0</v>
      </c>
    </row>
    <row r="120" spans="1:21" x14ac:dyDescent="0.3">
      <c r="A120" s="13" t="s">
        <v>440</v>
      </c>
      <c r="B120" s="14" t="s">
        <v>441</v>
      </c>
      <c r="C120" s="14" t="s">
        <v>202</v>
      </c>
      <c r="D120" s="14" t="s">
        <v>442</v>
      </c>
      <c r="E120" s="14">
        <f xml:space="preserve"> IF($U$120,1,0)</f>
        <v>0</v>
      </c>
      <c r="F120" s="14" t="s">
        <v>443</v>
      </c>
      <c r="G120" s="14">
        <v>0</v>
      </c>
      <c r="H120" s="14">
        <v>0</v>
      </c>
      <c r="I120" s="14">
        <v>0</v>
      </c>
      <c r="J120" s="14">
        <v>0</v>
      </c>
      <c r="K120" s="14">
        <v>0</v>
      </c>
      <c r="L120" s="14">
        <v>0</v>
      </c>
      <c r="M120" s="14">
        <v>0</v>
      </c>
      <c r="N120" s="14">
        <v>0</v>
      </c>
      <c r="O120" s="14">
        <v>0</v>
      </c>
      <c r="P120" s="14">
        <v>0</v>
      </c>
      <c r="Q120" s="15">
        <v>0</v>
      </c>
      <c r="R120" s="15">
        <v>0</v>
      </c>
      <c r="S120" s="15">
        <f>$G$120*$G$8+$H$120*$H$8+$I$120*$I$8+$J$120*$J$8+$K$120*$K$8+$L$120*$L$8+$M$120*$M$8+$N$120*$N$8+$O$120*$O$8+$P$120*$P$8</f>
        <v>0</v>
      </c>
      <c r="T120" s="15">
        <f>SUM($Q$120:$R$120)</f>
        <v>0</v>
      </c>
      <c r="U120" s="15">
        <f>$S$120+$T$120</f>
        <v>0</v>
      </c>
    </row>
    <row r="121" spans="1:21" x14ac:dyDescent="0.3">
      <c r="A121" s="10" t="s">
        <v>444</v>
      </c>
      <c r="B121" s="11" t="s">
        <v>445</v>
      </c>
      <c r="C121" s="11"/>
      <c r="D121" s="11" t="s">
        <v>446</v>
      </c>
      <c r="E121" s="11">
        <f xml:space="preserve"> IF($U$121,1,0)</f>
        <v>0</v>
      </c>
      <c r="F121" s="11" t="s">
        <v>447</v>
      </c>
      <c r="G121" s="11">
        <v>0</v>
      </c>
      <c r="H121" s="11">
        <v>0</v>
      </c>
      <c r="I121" s="11">
        <v>0</v>
      </c>
      <c r="J121" s="11">
        <v>0</v>
      </c>
      <c r="K121" s="11">
        <v>0</v>
      </c>
      <c r="L121" s="11">
        <v>0</v>
      </c>
      <c r="M121" s="11">
        <v>0</v>
      </c>
      <c r="N121" s="11">
        <v>0</v>
      </c>
      <c r="O121" s="11">
        <v>0</v>
      </c>
      <c r="P121" s="11">
        <v>0</v>
      </c>
      <c r="Q121" s="12">
        <v>0</v>
      </c>
      <c r="R121" s="12">
        <v>0</v>
      </c>
      <c r="S121" s="12">
        <f>$G$121*$G$8+$H$121*$H$8+$I$121*$I$8+$J$121*$J$8+$K$121*$K$8+$L$121*$L$8+$M$121*$M$8+$N$121*$N$8+$O$121*$O$8+$P$121*$P$8</f>
        <v>0</v>
      </c>
      <c r="T121" s="12">
        <f>SUM($Q$121:$R$121)</f>
        <v>0</v>
      </c>
      <c r="U121" s="12">
        <f>$S$121+$T$121</f>
        <v>0</v>
      </c>
    </row>
    <row r="122" spans="1:21" x14ac:dyDescent="0.3">
      <c r="A122" s="13" t="s">
        <v>448</v>
      </c>
      <c r="B122" s="14" t="s">
        <v>449</v>
      </c>
      <c r="C122" s="14"/>
      <c r="D122" s="14" t="s">
        <v>450</v>
      </c>
      <c r="E122" s="14">
        <f xml:space="preserve"> IF($U$122,1,0)</f>
        <v>0</v>
      </c>
      <c r="F122" s="14" t="s">
        <v>451</v>
      </c>
      <c r="G122" s="14">
        <v>0</v>
      </c>
      <c r="H122" s="14">
        <v>0</v>
      </c>
      <c r="I122" s="14">
        <v>0</v>
      </c>
      <c r="J122" s="14">
        <v>0</v>
      </c>
      <c r="K122" s="14">
        <v>0</v>
      </c>
      <c r="L122" s="14">
        <v>0</v>
      </c>
      <c r="M122" s="14">
        <v>0</v>
      </c>
      <c r="N122" s="14">
        <v>0</v>
      </c>
      <c r="O122" s="14">
        <v>0</v>
      </c>
      <c r="P122" s="14">
        <v>0</v>
      </c>
      <c r="Q122" s="15">
        <v>0</v>
      </c>
      <c r="R122" s="15">
        <v>0</v>
      </c>
      <c r="S122" s="15">
        <f>$G$122*$G$8+$H$122*$H$8+$I$122*$I$8+$J$122*$J$8+$K$122*$K$8+$L$122*$L$8+$M$122*$M$8+$N$122*$N$8+$O$122*$O$8+$P$122*$P$8</f>
        <v>0</v>
      </c>
      <c r="T122" s="15">
        <f>SUM($Q$122:$R$122)</f>
        <v>0</v>
      </c>
      <c r="U122" s="15">
        <f>$S$122+$T$122</f>
        <v>0</v>
      </c>
    </row>
    <row r="123" spans="1:21" x14ac:dyDescent="0.3">
      <c r="A123" s="10" t="s">
        <v>452</v>
      </c>
      <c r="B123" s="11" t="s">
        <v>453</v>
      </c>
      <c r="C123" s="11"/>
      <c r="D123" s="11" t="s">
        <v>454</v>
      </c>
      <c r="E123" s="11">
        <f xml:space="preserve"> IF($U$123,1,0)</f>
        <v>1</v>
      </c>
      <c r="F123" s="11" t="s">
        <v>455</v>
      </c>
      <c r="G123" s="11">
        <v>16</v>
      </c>
      <c r="H123" s="11">
        <v>0</v>
      </c>
      <c r="I123" s="11">
        <v>0</v>
      </c>
      <c r="J123" s="11">
        <v>0</v>
      </c>
      <c r="K123" s="11">
        <v>0</v>
      </c>
      <c r="L123" s="11">
        <v>0</v>
      </c>
      <c r="M123" s="11">
        <v>0</v>
      </c>
      <c r="N123" s="11">
        <v>0</v>
      </c>
      <c r="O123" s="11">
        <v>0</v>
      </c>
      <c r="P123" s="11">
        <v>0</v>
      </c>
      <c r="Q123" s="12">
        <v>0</v>
      </c>
      <c r="R123" s="12">
        <v>0</v>
      </c>
      <c r="S123" s="12">
        <f>$G$123*$G$8+$H$123*$H$8+$I$123*$I$8+$J$123*$J$8+$K$123*$K$8+$L$123*$L$8+$M$123*$M$8+$N$123*$N$8+$O$123*$O$8+$P$123*$P$8</f>
        <v>11.2</v>
      </c>
      <c r="T123" s="12">
        <f>SUM($Q$123:$R$123)</f>
        <v>0</v>
      </c>
      <c r="U123" s="12">
        <f>$S$123+$T$123</f>
        <v>11.2</v>
      </c>
    </row>
    <row r="124" spans="1:21" x14ac:dyDescent="0.3">
      <c r="A124" s="13" t="s">
        <v>456</v>
      </c>
      <c r="B124" s="14" t="s">
        <v>457</v>
      </c>
      <c r="C124" s="14"/>
      <c r="D124" s="14" t="s">
        <v>458</v>
      </c>
      <c r="E124" s="14">
        <f xml:space="preserve"> IF($U$124,1,0)</f>
        <v>0</v>
      </c>
      <c r="F124" s="14" t="s">
        <v>459</v>
      </c>
      <c r="G124" s="14">
        <v>0</v>
      </c>
      <c r="H124" s="14">
        <v>0</v>
      </c>
      <c r="I124" s="14">
        <v>0</v>
      </c>
      <c r="J124" s="14">
        <v>0</v>
      </c>
      <c r="K124" s="14">
        <v>0</v>
      </c>
      <c r="L124" s="14">
        <v>0</v>
      </c>
      <c r="M124" s="14">
        <v>0</v>
      </c>
      <c r="N124" s="14">
        <v>0</v>
      </c>
      <c r="O124" s="14">
        <v>0</v>
      </c>
      <c r="P124" s="14">
        <v>0</v>
      </c>
      <c r="Q124" s="15">
        <v>0</v>
      </c>
      <c r="R124" s="15">
        <v>0</v>
      </c>
      <c r="S124" s="15">
        <f>$G$124*$G$8+$H$124*$H$8+$I$124*$I$8+$J$124*$J$8+$K$124*$K$8+$L$124*$L$8+$M$124*$M$8+$N$124*$N$8+$O$124*$O$8+$P$124*$P$8</f>
        <v>0</v>
      </c>
      <c r="T124" s="15">
        <f>SUM($Q$124:$R$124)</f>
        <v>0</v>
      </c>
      <c r="U124" s="15">
        <f>$S$124+$T$124</f>
        <v>0</v>
      </c>
    </row>
    <row r="125" spans="1:21" x14ac:dyDescent="0.3">
      <c r="A125" s="10" t="s">
        <v>460</v>
      </c>
      <c r="B125" s="11" t="s">
        <v>457</v>
      </c>
      <c r="C125" s="11"/>
      <c r="D125" s="11" t="s">
        <v>461</v>
      </c>
      <c r="E125" s="11">
        <f xml:space="preserve"> IF($U$125,1,0)</f>
        <v>0</v>
      </c>
      <c r="F125" s="11" t="s">
        <v>462</v>
      </c>
      <c r="G125" s="11">
        <v>0</v>
      </c>
      <c r="H125" s="11">
        <v>0</v>
      </c>
      <c r="I125" s="11">
        <v>0</v>
      </c>
      <c r="J125" s="11">
        <v>0</v>
      </c>
      <c r="K125" s="11">
        <v>0</v>
      </c>
      <c r="L125" s="11">
        <v>0</v>
      </c>
      <c r="M125" s="11">
        <v>0</v>
      </c>
      <c r="N125" s="11">
        <v>0</v>
      </c>
      <c r="O125" s="11">
        <v>0</v>
      </c>
      <c r="P125" s="11">
        <v>0</v>
      </c>
      <c r="Q125" s="12">
        <v>0</v>
      </c>
      <c r="R125" s="12">
        <v>0</v>
      </c>
      <c r="S125" s="12">
        <f>$G$125*$G$8+$H$125*$H$8+$I$125*$I$8+$J$125*$J$8+$K$125*$K$8+$L$125*$L$8+$M$125*$M$8+$N$125*$N$8+$O$125*$O$8+$P$125*$P$8</f>
        <v>0</v>
      </c>
      <c r="T125" s="12">
        <f>SUM($Q$125:$R$125)</f>
        <v>0</v>
      </c>
      <c r="U125" s="12">
        <f>$S$125+$T$125</f>
        <v>0</v>
      </c>
    </row>
    <row r="126" spans="1:21" x14ac:dyDescent="0.3">
      <c r="A126" s="13" t="s">
        <v>463</v>
      </c>
      <c r="B126" s="14" t="s">
        <v>457</v>
      </c>
      <c r="C126" s="14" t="s">
        <v>34</v>
      </c>
      <c r="D126" s="14" t="s">
        <v>464</v>
      </c>
      <c r="E126" s="14">
        <f xml:space="preserve"> IF($U$126,1,0)</f>
        <v>1</v>
      </c>
      <c r="F126" s="14" t="s">
        <v>465</v>
      </c>
      <c r="G126" s="14">
        <v>0</v>
      </c>
      <c r="H126" s="14">
        <v>0</v>
      </c>
      <c r="I126" s="14">
        <v>0</v>
      </c>
      <c r="J126" s="14">
        <v>0</v>
      </c>
      <c r="K126" s="14">
        <v>0</v>
      </c>
      <c r="L126" s="14">
        <v>0</v>
      </c>
      <c r="M126" s="14">
        <v>0</v>
      </c>
      <c r="N126" s="14">
        <v>0</v>
      </c>
      <c r="O126" s="14">
        <v>0</v>
      </c>
      <c r="P126" s="14">
        <v>0</v>
      </c>
      <c r="Q126" s="15">
        <f>$T$338</f>
        <v>2.5</v>
      </c>
      <c r="R126" s="15">
        <v>0</v>
      </c>
      <c r="S126" s="15">
        <f>$G$126*$G$8+$H$126*$H$8+$I$126*$I$8+$J$126*$J$8+$K$126*$K$8+$L$126*$L$8+$M$126*$M$8+$N$126*$N$8+$O$126*$O$8+$P$126*$P$8</f>
        <v>0</v>
      </c>
      <c r="T126" s="15">
        <f>SUM($Q$126:$R$126)</f>
        <v>2.5</v>
      </c>
      <c r="U126" s="15">
        <f>$S$126+$T$126</f>
        <v>2.5</v>
      </c>
    </row>
    <row r="127" spans="1:21" x14ac:dyDescent="0.3">
      <c r="A127" s="10" t="s">
        <v>466</v>
      </c>
      <c r="B127" s="11" t="s">
        <v>457</v>
      </c>
      <c r="C127" s="11"/>
      <c r="D127" s="11" t="s">
        <v>467</v>
      </c>
      <c r="E127" s="11">
        <f xml:space="preserve"> IF($U$127,1,0)</f>
        <v>0</v>
      </c>
      <c r="F127" s="11" t="s">
        <v>468</v>
      </c>
      <c r="G127" s="11">
        <v>0</v>
      </c>
      <c r="H127" s="11">
        <v>0</v>
      </c>
      <c r="I127" s="11">
        <v>0</v>
      </c>
      <c r="J127" s="11">
        <v>0</v>
      </c>
      <c r="K127" s="11">
        <v>0</v>
      </c>
      <c r="L127" s="11">
        <v>0</v>
      </c>
      <c r="M127" s="11">
        <v>0</v>
      </c>
      <c r="N127" s="11">
        <v>0</v>
      </c>
      <c r="O127" s="11">
        <v>0</v>
      </c>
      <c r="P127" s="11">
        <v>0</v>
      </c>
      <c r="Q127" s="12">
        <v>0</v>
      </c>
      <c r="R127" s="12">
        <v>0</v>
      </c>
      <c r="S127" s="12">
        <f>$G$127*$G$8+$H$127*$H$8+$I$127*$I$8+$J$127*$J$8+$K$127*$K$8+$L$127*$L$8+$M$127*$M$8+$N$127*$N$8+$O$127*$O$8+$P$127*$P$8</f>
        <v>0</v>
      </c>
      <c r="T127" s="12">
        <f>SUM($Q$127:$R$127)</f>
        <v>0</v>
      </c>
      <c r="U127" s="12">
        <f>$S$127+$T$127</f>
        <v>0</v>
      </c>
    </row>
    <row r="128" spans="1:21" x14ac:dyDescent="0.3">
      <c r="A128" s="13" t="s">
        <v>469</v>
      </c>
      <c r="B128" s="14" t="s">
        <v>470</v>
      </c>
      <c r="C128" s="14"/>
      <c r="D128" s="14" t="s">
        <v>471</v>
      </c>
      <c r="E128" s="14">
        <f xml:space="preserve"> IF($U$128,1,0)</f>
        <v>0</v>
      </c>
      <c r="F128" s="14" t="s">
        <v>472</v>
      </c>
      <c r="G128" s="14">
        <v>0</v>
      </c>
      <c r="H128" s="14">
        <v>0</v>
      </c>
      <c r="I128" s="14">
        <v>0</v>
      </c>
      <c r="J128" s="14">
        <v>0</v>
      </c>
      <c r="K128" s="14">
        <v>0</v>
      </c>
      <c r="L128" s="14">
        <v>0</v>
      </c>
      <c r="M128" s="14">
        <v>0</v>
      </c>
      <c r="N128" s="14">
        <v>0</v>
      </c>
      <c r="O128" s="14">
        <v>0</v>
      </c>
      <c r="P128" s="14">
        <v>0</v>
      </c>
      <c r="Q128" s="15">
        <v>0</v>
      </c>
      <c r="R128" s="15">
        <v>0</v>
      </c>
      <c r="S128" s="15">
        <f>$G$128*$G$8+$H$128*$H$8+$I$128*$I$8+$J$128*$J$8+$K$128*$K$8+$L$128*$L$8+$M$128*$M$8+$N$128*$N$8+$O$128*$O$8+$P$128*$P$8</f>
        <v>0</v>
      </c>
      <c r="T128" s="15">
        <f>SUM($Q$128:$R$128)</f>
        <v>0</v>
      </c>
      <c r="U128" s="15">
        <f>$S$128+$T$128</f>
        <v>0</v>
      </c>
    </row>
    <row r="129" spans="1:21" x14ac:dyDescent="0.3">
      <c r="A129" s="10" t="s">
        <v>473</v>
      </c>
      <c r="B129" s="11" t="s">
        <v>474</v>
      </c>
      <c r="C129" s="11"/>
      <c r="D129" s="11" t="s">
        <v>475</v>
      </c>
      <c r="E129" s="11">
        <f xml:space="preserve"> IF($U$129,1,0)</f>
        <v>0</v>
      </c>
      <c r="F129" s="11" t="s">
        <v>476</v>
      </c>
      <c r="G129" s="11">
        <v>0</v>
      </c>
      <c r="H129" s="11">
        <v>0</v>
      </c>
      <c r="I129" s="11">
        <v>0</v>
      </c>
      <c r="J129" s="11">
        <v>0</v>
      </c>
      <c r="K129" s="11">
        <v>0</v>
      </c>
      <c r="L129" s="11">
        <v>0</v>
      </c>
      <c r="M129" s="11">
        <v>0</v>
      </c>
      <c r="N129" s="11">
        <v>0</v>
      </c>
      <c r="O129" s="11">
        <v>0</v>
      </c>
      <c r="P129" s="11">
        <v>0</v>
      </c>
      <c r="Q129" s="12">
        <v>0</v>
      </c>
      <c r="R129" s="12">
        <v>0</v>
      </c>
      <c r="S129" s="12">
        <f>$G$129*$G$8+$H$129*$H$8+$I$129*$I$8+$J$129*$J$8+$K$129*$K$8+$L$129*$L$8+$M$129*$M$8+$N$129*$N$8+$O$129*$O$8+$P$129*$P$8</f>
        <v>0</v>
      </c>
      <c r="T129" s="12">
        <f>SUM($Q$129:$R$129)</f>
        <v>0</v>
      </c>
      <c r="U129" s="12">
        <f>$S$129+$T$129</f>
        <v>0</v>
      </c>
    </row>
    <row r="130" spans="1:21" x14ac:dyDescent="0.3">
      <c r="A130" s="13" t="s">
        <v>477</v>
      </c>
      <c r="B130" s="14" t="s">
        <v>478</v>
      </c>
      <c r="C130" s="14"/>
      <c r="D130" s="14" t="s">
        <v>479</v>
      </c>
      <c r="E130" s="14">
        <f xml:space="preserve"> IF($U$130,1,0)</f>
        <v>0</v>
      </c>
      <c r="F130" s="14" t="s">
        <v>480</v>
      </c>
      <c r="G130" s="14">
        <v>0</v>
      </c>
      <c r="H130" s="14">
        <v>0</v>
      </c>
      <c r="I130" s="14">
        <v>0</v>
      </c>
      <c r="J130" s="14">
        <v>0</v>
      </c>
      <c r="K130" s="14">
        <v>0</v>
      </c>
      <c r="L130" s="14">
        <v>0</v>
      </c>
      <c r="M130" s="14">
        <v>0</v>
      </c>
      <c r="N130" s="14">
        <v>0</v>
      </c>
      <c r="O130" s="14">
        <v>0</v>
      </c>
      <c r="P130" s="14">
        <v>0</v>
      </c>
      <c r="Q130" s="15">
        <v>0</v>
      </c>
      <c r="R130" s="15">
        <v>0</v>
      </c>
      <c r="S130" s="15">
        <f>$G$130*$G$8+$H$130*$H$8+$I$130*$I$8+$J$130*$J$8+$K$130*$K$8+$L$130*$L$8+$M$130*$M$8+$N$130*$N$8+$O$130*$O$8+$P$130*$P$8</f>
        <v>0</v>
      </c>
      <c r="T130" s="15">
        <f>SUM($Q$130:$R$130)</f>
        <v>0</v>
      </c>
      <c r="U130" s="15">
        <f>$S$130+$T$130</f>
        <v>0</v>
      </c>
    </row>
    <row r="131" spans="1:21" x14ac:dyDescent="0.3">
      <c r="A131" s="10" t="s">
        <v>481</v>
      </c>
      <c r="B131" s="11" t="s">
        <v>482</v>
      </c>
      <c r="C131" s="11"/>
      <c r="D131" s="11" t="s">
        <v>483</v>
      </c>
      <c r="E131" s="11">
        <f xml:space="preserve"> IF($U$131,1,0)</f>
        <v>0</v>
      </c>
      <c r="F131" s="11" t="s">
        <v>484</v>
      </c>
      <c r="G131" s="11">
        <v>0</v>
      </c>
      <c r="H131" s="11">
        <v>0</v>
      </c>
      <c r="I131" s="11">
        <v>0</v>
      </c>
      <c r="J131" s="11">
        <v>0</v>
      </c>
      <c r="K131" s="11">
        <v>0</v>
      </c>
      <c r="L131" s="11">
        <v>0</v>
      </c>
      <c r="M131" s="11">
        <v>0</v>
      </c>
      <c r="N131" s="11">
        <v>0</v>
      </c>
      <c r="O131" s="11">
        <v>0</v>
      </c>
      <c r="P131" s="11">
        <v>0</v>
      </c>
      <c r="Q131" s="12">
        <v>0</v>
      </c>
      <c r="R131" s="12">
        <v>0</v>
      </c>
      <c r="S131" s="12">
        <f>$G$131*$G$8+$H$131*$H$8+$I$131*$I$8+$J$131*$J$8+$K$131*$K$8+$L$131*$L$8+$M$131*$M$8+$N$131*$N$8+$O$131*$O$8+$P$131*$P$8</f>
        <v>0</v>
      </c>
      <c r="T131" s="12">
        <f>SUM($Q$131:$R$131)</f>
        <v>0</v>
      </c>
      <c r="U131" s="12">
        <f>$S$131+$T$131</f>
        <v>0</v>
      </c>
    </row>
    <row r="132" spans="1:21" x14ac:dyDescent="0.3">
      <c r="A132" s="13" t="s">
        <v>485</v>
      </c>
      <c r="B132" s="14" t="s">
        <v>486</v>
      </c>
      <c r="C132" s="14"/>
      <c r="D132" s="14" t="s">
        <v>487</v>
      </c>
      <c r="E132" s="14">
        <f xml:space="preserve"> IF($U$132,1,0)</f>
        <v>1</v>
      </c>
      <c r="F132" s="14" t="s">
        <v>488</v>
      </c>
      <c r="G132" s="14">
        <v>2</v>
      </c>
      <c r="H132" s="14">
        <v>0</v>
      </c>
      <c r="I132" s="14">
        <v>0</v>
      </c>
      <c r="J132" s="14">
        <v>0</v>
      </c>
      <c r="K132" s="14">
        <v>0</v>
      </c>
      <c r="L132" s="14">
        <v>0</v>
      </c>
      <c r="M132" s="14">
        <v>0</v>
      </c>
      <c r="N132" s="14">
        <v>0</v>
      </c>
      <c r="O132" s="14">
        <v>0</v>
      </c>
      <c r="P132" s="14">
        <v>0</v>
      </c>
      <c r="Q132" s="15">
        <v>0</v>
      </c>
      <c r="R132" s="15">
        <v>0</v>
      </c>
      <c r="S132" s="15">
        <f>$G$132*$G$8+$H$132*$H$8+$I$132*$I$8+$J$132*$J$8+$K$132*$K$8+$L$132*$L$8+$M$132*$M$8+$N$132*$N$8+$O$132*$O$8+$P$132*$P$8</f>
        <v>1.4</v>
      </c>
      <c r="T132" s="15">
        <f>SUM($Q$132:$R$132)</f>
        <v>0</v>
      </c>
      <c r="U132" s="15">
        <f>$S$132+$T$132</f>
        <v>1.4</v>
      </c>
    </row>
    <row r="133" spans="1:21" x14ac:dyDescent="0.3">
      <c r="A133" s="10" t="s">
        <v>489</v>
      </c>
      <c r="B133" s="11" t="s">
        <v>490</v>
      </c>
      <c r="C133" s="11"/>
      <c r="D133" s="11" t="s">
        <v>491</v>
      </c>
      <c r="E133" s="11">
        <f xml:space="preserve"> IF($U$133,1,0)</f>
        <v>0</v>
      </c>
      <c r="F133" s="11" t="s">
        <v>492</v>
      </c>
      <c r="G133" s="11">
        <v>0</v>
      </c>
      <c r="H133" s="11">
        <v>0</v>
      </c>
      <c r="I133" s="11">
        <v>0</v>
      </c>
      <c r="J133" s="11">
        <v>0</v>
      </c>
      <c r="K133" s="11">
        <v>0</v>
      </c>
      <c r="L133" s="11">
        <v>0</v>
      </c>
      <c r="M133" s="11">
        <v>0</v>
      </c>
      <c r="N133" s="11">
        <v>0</v>
      </c>
      <c r="O133" s="11">
        <v>0</v>
      </c>
      <c r="P133" s="11">
        <v>0</v>
      </c>
      <c r="Q133" s="12">
        <v>0</v>
      </c>
      <c r="R133" s="12">
        <v>0</v>
      </c>
      <c r="S133" s="12">
        <f>$G$133*$G$8+$H$133*$H$8+$I$133*$I$8+$J$133*$J$8+$K$133*$K$8+$L$133*$L$8+$M$133*$M$8+$N$133*$N$8+$O$133*$O$8+$P$133*$P$8</f>
        <v>0</v>
      </c>
      <c r="T133" s="12">
        <f>SUM($Q$133:$R$133)</f>
        <v>0</v>
      </c>
      <c r="U133" s="12">
        <f>$S$133+$T$133</f>
        <v>0</v>
      </c>
    </row>
    <row r="134" spans="1:21" x14ac:dyDescent="0.3">
      <c r="A134" s="13" t="s">
        <v>493</v>
      </c>
      <c r="B134" s="14" t="s">
        <v>494</v>
      </c>
      <c r="C134" s="14" t="s">
        <v>34</v>
      </c>
      <c r="D134" s="14" t="s">
        <v>495</v>
      </c>
      <c r="E134" s="14">
        <f xml:space="preserve"> IF($U$134,1,0)</f>
        <v>0</v>
      </c>
      <c r="F134" s="14" t="s">
        <v>496</v>
      </c>
      <c r="G134" s="14">
        <v>0</v>
      </c>
      <c r="H134" s="14">
        <v>0</v>
      </c>
      <c r="I134" s="14">
        <v>0</v>
      </c>
      <c r="J134" s="14">
        <v>0</v>
      </c>
      <c r="K134" s="14">
        <v>0</v>
      </c>
      <c r="L134" s="14">
        <v>0</v>
      </c>
      <c r="M134" s="14">
        <v>0</v>
      </c>
      <c r="N134" s="14">
        <v>0</v>
      </c>
      <c r="O134" s="14">
        <v>0</v>
      </c>
      <c r="P134" s="14">
        <v>0</v>
      </c>
      <c r="Q134" s="15">
        <v>0</v>
      </c>
      <c r="R134" s="15">
        <v>0</v>
      </c>
      <c r="S134" s="15">
        <f>$G$134*$G$8+$H$134*$H$8+$I$134*$I$8+$J$134*$J$8+$K$134*$K$8+$L$134*$L$8+$M$134*$M$8+$N$134*$N$8+$O$134*$O$8+$P$134*$P$8</f>
        <v>0</v>
      </c>
      <c r="T134" s="15">
        <f>SUM($Q$134:$R$134)</f>
        <v>0</v>
      </c>
      <c r="U134" s="15">
        <f>$S$134+$T$134</f>
        <v>0</v>
      </c>
    </row>
    <row r="135" spans="1:21" x14ac:dyDescent="0.3">
      <c r="A135" s="10" t="s">
        <v>497</v>
      </c>
      <c r="B135" s="11" t="s">
        <v>498</v>
      </c>
      <c r="C135" s="11"/>
      <c r="D135" s="11" t="s">
        <v>499</v>
      </c>
      <c r="E135" s="11">
        <f xml:space="preserve"> IF($U$135,1,0)</f>
        <v>0</v>
      </c>
      <c r="F135" s="11" t="s">
        <v>500</v>
      </c>
      <c r="G135" s="11">
        <v>0</v>
      </c>
      <c r="H135" s="11">
        <v>0</v>
      </c>
      <c r="I135" s="11">
        <v>0</v>
      </c>
      <c r="J135" s="11">
        <v>0</v>
      </c>
      <c r="K135" s="11">
        <v>0</v>
      </c>
      <c r="L135" s="11">
        <v>0</v>
      </c>
      <c r="M135" s="11">
        <v>0</v>
      </c>
      <c r="N135" s="11">
        <v>0</v>
      </c>
      <c r="O135" s="11">
        <v>0</v>
      </c>
      <c r="P135" s="11">
        <v>0</v>
      </c>
      <c r="Q135" s="12">
        <v>0</v>
      </c>
      <c r="R135" s="12">
        <v>0</v>
      </c>
      <c r="S135" s="12">
        <f>$G$135*$G$8+$H$135*$H$8+$I$135*$I$8+$J$135*$J$8+$K$135*$K$8+$L$135*$L$8+$M$135*$M$8+$N$135*$N$8+$O$135*$O$8+$P$135*$P$8</f>
        <v>0</v>
      </c>
      <c r="T135" s="12">
        <f>SUM($Q$135:$R$135)</f>
        <v>0</v>
      </c>
      <c r="U135" s="12">
        <f>$S$135+$T$135</f>
        <v>0</v>
      </c>
    </row>
    <row r="136" spans="1:21" x14ac:dyDescent="0.3">
      <c r="A136" s="13" t="s">
        <v>501</v>
      </c>
      <c r="B136" s="14" t="s">
        <v>502</v>
      </c>
      <c r="C136" s="14" t="s">
        <v>34</v>
      </c>
      <c r="D136" s="14" t="s">
        <v>503</v>
      </c>
      <c r="E136" s="14">
        <f xml:space="preserve"> IF($U$136,1,0)</f>
        <v>1</v>
      </c>
      <c r="F136" s="14" t="s">
        <v>504</v>
      </c>
      <c r="G136" s="14">
        <v>12</v>
      </c>
      <c r="H136" s="14">
        <v>0</v>
      </c>
      <c r="I136" s="14">
        <v>0</v>
      </c>
      <c r="J136" s="14">
        <v>0</v>
      </c>
      <c r="K136" s="14">
        <v>0</v>
      </c>
      <c r="L136" s="14">
        <v>0</v>
      </c>
      <c r="M136" s="14">
        <v>0</v>
      </c>
      <c r="N136" s="14">
        <v>0</v>
      </c>
      <c r="O136" s="14">
        <v>0</v>
      </c>
      <c r="P136" s="14">
        <v>1</v>
      </c>
      <c r="Q136" s="15">
        <v>0</v>
      </c>
      <c r="R136" s="15">
        <v>0</v>
      </c>
      <c r="S136" s="15">
        <f>$G$136*$G$8+$H$136*$H$8+$I$136*$I$8+$J$136*$J$8+$K$136*$K$8+$L$136*$L$8+$M$136*$M$8+$N$136*$N$8+$O$136*$O$8+$P$136*$P$8</f>
        <v>9.3999999999999986</v>
      </c>
      <c r="T136" s="15">
        <f>SUM($Q$136:$R$136)</f>
        <v>0</v>
      </c>
      <c r="U136" s="15">
        <f>$S$136+$T$136</f>
        <v>9.3999999999999986</v>
      </c>
    </row>
    <row r="137" spans="1:21" x14ac:dyDescent="0.3">
      <c r="A137" s="10" t="s">
        <v>505</v>
      </c>
      <c r="B137" s="11" t="s">
        <v>502</v>
      </c>
      <c r="C137" s="11"/>
      <c r="D137" s="11" t="s">
        <v>232</v>
      </c>
      <c r="E137" s="11">
        <f xml:space="preserve"> IF($U$137,1,0)</f>
        <v>0</v>
      </c>
      <c r="F137" s="11" t="s">
        <v>506</v>
      </c>
      <c r="G137" s="11">
        <v>0</v>
      </c>
      <c r="H137" s="11">
        <v>0</v>
      </c>
      <c r="I137" s="11">
        <v>0</v>
      </c>
      <c r="J137" s="11">
        <v>0</v>
      </c>
      <c r="K137" s="11">
        <v>0</v>
      </c>
      <c r="L137" s="11">
        <v>0</v>
      </c>
      <c r="M137" s="11">
        <v>0</v>
      </c>
      <c r="N137" s="11">
        <v>0</v>
      </c>
      <c r="O137" s="11">
        <v>0</v>
      </c>
      <c r="P137" s="11">
        <v>0</v>
      </c>
      <c r="Q137" s="12">
        <v>0</v>
      </c>
      <c r="R137" s="12">
        <v>0</v>
      </c>
      <c r="S137" s="12">
        <f>$G$137*$G$8+$H$137*$H$8+$I$137*$I$8+$J$137*$J$8+$K$137*$K$8+$L$137*$L$8+$M$137*$M$8+$N$137*$N$8+$O$137*$O$8+$P$137*$P$8</f>
        <v>0</v>
      </c>
      <c r="T137" s="12">
        <f>SUM($Q$137:$R$137)</f>
        <v>0</v>
      </c>
      <c r="U137" s="12">
        <f>$S$137+$T$137</f>
        <v>0</v>
      </c>
    </row>
    <row r="138" spans="1:21" x14ac:dyDescent="0.3">
      <c r="A138" s="13" t="s">
        <v>507</v>
      </c>
      <c r="B138" s="14" t="s">
        <v>508</v>
      </c>
      <c r="C138" s="14" t="s">
        <v>65</v>
      </c>
      <c r="D138" s="14" t="s">
        <v>509</v>
      </c>
      <c r="E138" s="14">
        <f xml:space="preserve"> IF($U$138,1,0)</f>
        <v>0</v>
      </c>
      <c r="F138" s="14" t="s">
        <v>510</v>
      </c>
      <c r="G138" s="14">
        <v>0</v>
      </c>
      <c r="H138" s="14">
        <v>0</v>
      </c>
      <c r="I138" s="14">
        <v>0</v>
      </c>
      <c r="J138" s="14">
        <v>0</v>
      </c>
      <c r="K138" s="14">
        <v>0</v>
      </c>
      <c r="L138" s="14">
        <v>0</v>
      </c>
      <c r="M138" s="14">
        <v>0</v>
      </c>
      <c r="N138" s="14">
        <v>0</v>
      </c>
      <c r="O138" s="14">
        <v>0</v>
      </c>
      <c r="P138" s="14">
        <v>0</v>
      </c>
      <c r="Q138" s="15">
        <v>0</v>
      </c>
      <c r="R138" s="15">
        <v>0</v>
      </c>
      <c r="S138" s="15">
        <f>$G$138*$G$8+$H$138*$H$8+$I$138*$I$8+$J$138*$J$8+$K$138*$K$8+$L$138*$L$8+$M$138*$M$8+$N$138*$N$8+$O$138*$O$8+$P$138*$P$8</f>
        <v>0</v>
      </c>
      <c r="T138" s="15">
        <f>SUM($Q$138:$R$138)</f>
        <v>0</v>
      </c>
      <c r="U138" s="15">
        <f>$S$138+$T$138</f>
        <v>0</v>
      </c>
    </row>
    <row r="139" spans="1:21" x14ac:dyDescent="0.3">
      <c r="A139" s="10" t="s">
        <v>511</v>
      </c>
      <c r="B139" s="11" t="s">
        <v>512</v>
      </c>
      <c r="C139" s="11" t="s">
        <v>513</v>
      </c>
      <c r="D139" s="11" t="s">
        <v>514</v>
      </c>
      <c r="E139" s="11">
        <f xml:space="preserve"> IF($U$139,1,0)</f>
        <v>1</v>
      </c>
      <c r="F139" s="11" t="s">
        <v>515</v>
      </c>
      <c r="G139" s="11">
        <v>0</v>
      </c>
      <c r="H139" s="11">
        <v>4</v>
      </c>
      <c r="I139" s="11">
        <v>0</v>
      </c>
      <c r="J139" s="11">
        <v>0</v>
      </c>
      <c r="K139" s="11">
        <v>0</v>
      </c>
      <c r="L139" s="11">
        <v>0</v>
      </c>
      <c r="M139" s="11">
        <v>1</v>
      </c>
      <c r="N139" s="11">
        <v>0</v>
      </c>
      <c r="O139" s="11">
        <v>0</v>
      </c>
      <c r="P139" s="11">
        <v>0</v>
      </c>
      <c r="Q139" s="12">
        <v>0</v>
      </c>
      <c r="R139" s="12">
        <v>0</v>
      </c>
      <c r="S139" s="12">
        <f>$G$139*$G$8+$H$139*$H$8+$I$139*$I$8+$J$139*$J$8+$K$139*$K$8+$L$139*$L$8+$M$139*$M$8+$N$139*$N$8+$O$139*$O$8+$P$139*$P$8</f>
        <v>11.2</v>
      </c>
      <c r="T139" s="12">
        <f>SUM($Q$139:$R$139)</f>
        <v>0</v>
      </c>
      <c r="U139" s="12">
        <f>$S$139+$T$139</f>
        <v>11.2</v>
      </c>
    </row>
    <row r="140" spans="1:21" x14ac:dyDescent="0.3">
      <c r="A140" s="13" t="s">
        <v>516</v>
      </c>
      <c r="B140" s="14" t="s">
        <v>517</v>
      </c>
      <c r="C140" s="14" t="s">
        <v>65</v>
      </c>
      <c r="D140" s="14" t="s">
        <v>518</v>
      </c>
      <c r="E140" s="14">
        <f xml:space="preserve"> IF($U$140,1,0)</f>
        <v>1</v>
      </c>
      <c r="F140" s="14" t="s">
        <v>519</v>
      </c>
      <c r="G140" s="14">
        <v>2</v>
      </c>
      <c r="H140" s="14">
        <v>0</v>
      </c>
      <c r="I140" s="14">
        <v>0</v>
      </c>
      <c r="J140" s="14">
        <v>0</v>
      </c>
      <c r="K140" s="14">
        <v>0</v>
      </c>
      <c r="L140" s="14">
        <v>0</v>
      </c>
      <c r="M140" s="14">
        <v>0</v>
      </c>
      <c r="N140" s="14">
        <v>0</v>
      </c>
      <c r="O140" s="14">
        <v>0</v>
      </c>
      <c r="P140" s="14">
        <v>0</v>
      </c>
      <c r="Q140" s="15">
        <v>0</v>
      </c>
      <c r="R140" s="15">
        <v>0</v>
      </c>
      <c r="S140" s="15">
        <f>$G$140*$G$8+$H$140*$H$8+$I$140*$I$8+$J$140*$J$8+$K$140*$K$8+$L$140*$L$8+$M$140*$M$8+$N$140*$N$8+$O$140*$O$8+$P$140*$P$8</f>
        <v>1.4</v>
      </c>
      <c r="T140" s="15">
        <f>SUM($Q$140:$R$140)</f>
        <v>0</v>
      </c>
      <c r="U140" s="15">
        <f>$S$140+$T$140</f>
        <v>1.4</v>
      </c>
    </row>
    <row r="141" spans="1:21" x14ac:dyDescent="0.3">
      <c r="A141" s="10" t="s">
        <v>520</v>
      </c>
      <c r="B141" s="11" t="s">
        <v>517</v>
      </c>
      <c r="C141" s="11"/>
      <c r="D141" s="11" t="s">
        <v>521</v>
      </c>
      <c r="E141" s="11">
        <f xml:space="preserve"> IF($U$141,1,0)</f>
        <v>1</v>
      </c>
      <c r="F141" s="11" t="s">
        <v>522</v>
      </c>
      <c r="G141" s="11">
        <v>3</v>
      </c>
      <c r="H141" s="11">
        <v>0</v>
      </c>
      <c r="I141" s="11">
        <v>1</v>
      </c>
      <c r="J141" s="11">
        <v>0</v>
      </c>
      <c r="K141" s="11">
        <v>0</v>
      </c>
      <c r="L141" s="11">
        <v>0</v>
      </c>
      <c r="M141" s="11">
        <v>0</v>
      </c>
      <c r="N141" s="11">
        <v>0</v>
      </c>
      <c r="O141" s="11">
        <v>0</v>
      </c>
      <c r="P141" s="11">
        <v>0</v>
      </c>
      <c r="Q141" s="12">
        <v>0</v>
      </c>
      <c r="R141" s="12">
        <v>0</v>
      </c>
      <c r="S141" s="12">
        <f>$G$141*$G$8+$H$141*$H$8+$I$141*$I$8+$J$141*$J$8+$K$141*$K$8+$L$141*$L$8+$M$141*$M$8+$N$141*$N$8+$O$141*$O$8+$P$141*$P$8</f>
        <v>3.0999999999999996</v>
      </c>
      <c r="T141" s="12">
        <f>SUM($Q$141:$R$141)</f>
        <v>0</v>
      </c>
      <c r="U141" s="12">
        <f>$S$141+$T$141</f>
        <v>3.0999999999999996</v>
      </c>
    </row>
    <row r="142" spans="1:21" x14ac:dyDescent="0.3">
      <c r="A142" s="13" t="s">
        <v>523</v>
      </c>
      <c r="B142" s="14" t="s">
        <v>524</v>
      </c>
      <c r="C142" s="14" t="s">
        <v>65</v>
      </c>
      <c r="D142" s="14" t="s">
        <v>327</v>
      </c>
      <c r="E142" s="14">
        <f xml:space="preserve"> IF($U$142,1,0)</f>
        <v>0</v>
      </c>
      <c r="F142" s="14" t="s">
        <v>525</v>
      </c>
      <c r="G142" s="14">
        <v>0</v>
      </c>
      <c r="H142" s="14">
        <v>0</v>
      </c>
      <c r="I142" s="14">
        <v>0</v>
      </c>
      <c r="J142" s="14">
        <v>0</v>
      </c>
      <c r="K142" s="14">
        <v>0</v>
      </c>
      <c r="L142" s="14">
        <v>0</v>
      </c>
      <c r="M142" s="14">
        <v>0</v>
      </c>
      <c r="N142" s="14">
        <v>0</v>
      </c>
      <c r="O142" s="14">
        <v>0</v>
      </c>
      <c r="P142" s="14">
        <v>0</v>
      </c>
      <c r="Q142" s="15">
        <v>0</v>
      </c>
      <c r="R142" s="15">
        <v>0</v>
      </c>
      <c r="S142" s="15">
        <f>$G$142*$G$8+$H$142*$H$8+$I$142*$I$8+$J$142*$J$8+$K$142*$K$8+$L$142*$L$8+$M$142*$M$8+$N$142*$N$8+$O$142*$O$8+$P$142*$P$8</f>
        <v>0</v>
      </c>
      <c r="T142" s="15">
        <f>SUM($Q$142:$R$142)</f>
        <v>0</v>
      </c>
      <c r="U142" s="15">
        <f>$S$142+$T$142</f>
        <v>0</v>
      </c>
    </row>
    <row r="143" spans="1:21" x14ac:dyDescent="0.3">
      <c r="A143" s="10" t="s">
        <v>526</v>
      </c>
      <c r="B143" s="11" t="s">
        <v>527</v>
      </c>
      <c r="C143" s="11"/>
      <c r="D143" s="11" t="s">
        <v>528</v>
      </c>
      <c r="E143" s="11">
        <f xml:space="preserve"> IF($U$143,1,0)</f>
        <v>0</v>
      </c>
      <c r="F143" s="11" t="s">
        <v>529</v>
      </c>
      <c r="G143" s="11">
        <v>0</v>
      </c>
      <c r="H143" s="11">
        <v>0</v>
      </c>
      <c r="I143" s="11">
        <v>0</v>
      </c>
      <c r="J143" s="11">
        <v>0</v>
      </c>
      <c r="K143" s="11">
        <v>0</v>
      </c>
      <c r="L143" s="11">
        <v>0</v>
      </c>
      <c r="M143" s="11">
        <v>0</v>
      </c>
      <c r="N143" s="11">
        <v>0</v>
      </c>
      <c r="O143" s="11">
        <v>0</v>
      </c>
      <c r="P143" s="11">
        <v>0</v>
      </c>
      <c r="Q143" s="12">
        <v>0</v>
      </c>
      <c r="R143" s="12">
        <v>0</v>
      </c>
      <c r="S143" s="12">
        <f>$G$143*$G$8+$H$143*$H$8+$I$143*$I$8+$J$143*$J$8+$K$143*$K$8+$L$143*$L$8+$M$143*$M$8+$N$143*$N$8+$O$143*$O$8+$P$143*$P$8</f>
        <v>0</v>
      </c>
      <c r="T143" s="12">
        <f>SUM($Q$143:$R$143)</f>
        <v>0</v>
      </c>
      <c r="U143" s="12">
        <f>$S$143+$T$143</f>
        <v>0</v>
      </c>
    </row>
    <row r="144" spans="1:21" x14ac:dyDescent="0.3">
      <c r="A144" s="13" t="s">
        <v>530</v>
      </c>
      <c r="B144" s="14" t="s">
        <v>531</v>
      </c>
      <c r="C144" s="14"/>
      <c r="D144" s="14" t="s">
        <v>532</v>
      </c>
      <c r="E144" s="14">
        <f xml:space="preserve"> IF($U$144,1,0)</f>
        <v>1</v>
      </c>
      <c r="F144" s="14" t="s">
        <v>533</v>
      </c>
      <c r="G144" s="14">
        <v>0</v>
      </c>
      <c r="H144" s="14">
        <v>0</v>
      </c>
      <c r="I144" s="14">
        <v>1</v>
      </c>
      <c r="J144" s="14">
        <v>0</v>
      </c>
      <c r="K144" s="14">
        <v>0</v>
      </c>
      <c r="L144" s="14">
        <v>0</v>
      </c>
      <c r="M144" s="14">
        <v>0</v>
      </c>
      <c r="N144" s="14">
        <v>0</v>
      </c>
      <c r="O144" s="14">
        <v>0</v>
      </c>
      <c r="P144" s="14">
        <v>0</v>
      </c>
      <c r="Q144" s="15">
        <v>0</v>
      </c>
      <c r="R144" s="15">
        <v>0</v>
      </c>
      <c r="S144" s="15">
        <f>$G$144*$G$8+$H$144*$H$8+$I$144*$I$8+$J$144*$J$8+$K$144*$K$8+$L$144*$L$8+$M$144*$M$8+$N$144*$N$8+$O$144*$O$8+$P$144*$P$8</f>
        <v>1</v>
      </c>
      <c r="T144" s="15">
        <f>SUM($Q$144:$R$144)</f>
        <v>0</v>
      </c>
      <c r="U144" s="15">
        <f>$S$144+$T$144</f>
        <v>1</v>
      </c>
    </row>
    <row r="145" spans="1:21" x14ac:dyDescent="0.3">
      <c r="A145" s="10" t="s">
        <v>534</v>
      </c>
      <c r="B145" s="11" t="s">
        <v>535</v>
      </c>
      <c r="C145" s="11"/>
      <c r="D145" s="11" t="s">
        <v>536</v>
      </c>
      <c r="E145" s="11">
        <f xml:space="preserve"> IF($U$145,1,0)</f>
        <v>1</v>
      </c>
      <c r="F145" s="11" t="s">
        <v>537</v>
      </c>
      <c r="G145" s="11">
        <v>3</v>
      </c>
      <c r="H145" s="11">
        <v>0</v>
      </c>
      <c r="I145" s="11">
        <v>0</v>
      </c>
      <c r="J145" s="11">
        <v>0</v>
      </c>
      <c r="K145" s="11">
        <v>0</v>
      </c>
      <c r="L145" s="11">
        <v>0</v>
      </c>
      <c r="M145" s="11">
        <v>0</v>
      </c>
      <c r="N145" s="11">
        <v>0</v>
      </c>
      <c r="O145" s="11">
        <v>0</v>
      </c>
      <c r="P145" s="11">
        <v>0</v>
      </c>
      <c r="Q145" s="12">
        <v>0</v>
      </c>
      <c r="R145" s="12">
        <v>0</v>
      </c>
      <c r="S145" s="12">
        <f>$G$145*$G$8+$H$145*$H$8+$I$145*$I$8+$J$145*$J$8+$K$145*$K$8+$L$145*$L$8+$M$145*$M$8+$N$145*$N$8+$O$145*$O$8+$P$145*$P$8</f>
        <v>2.0999999999999996</v>
      </c>
      <c r="T145" s="12">
        <f>SUM($Q$145:$R$145)</f>
        <v>0</v>
      </c>
      <c r="U145" s="12">
        <f>$S$145+$T$145</f>
        <v>2.0999999999999996</v>
      </c>
    </row>
    <row r="146" spans="1:21" x14ac:dyDescent="0.3">
      <c r="A146" s="13" t="s">
        <v>538</v>
      </c>
      <c r="B146" s="14" t="s">
        <v>535</v>
      </c>
      <c r="C146" s="14"/>
      <c r="D146" s="14" t="s">
        <v>539</v>
      </c>
      <c r="E146" s="14">
        <f xml:space="preserve"> IF($U$146,1,0)</f>
        <v>0</v>
      </c>
      <c r="F146" s="14" t="s">
        <v>540</v>
      </c>
      <c r="G146" s="14">
        <v>0</v>
      </c>
      <c r="H146" s="14">
        <v>0</v>
      </c>
      <c r="I146" s="14">
        <v>0</v>
      </c>
      <c r="J146" s="14">
        <v>0</v>
      </c>
      <c r="K146" s="14">
        <v>0</v>
      </c>
      <c r="L146" s="14">
        <v>0</v>
      </c>
      <c r="M146" s="14">
        <v>0</v>
      </c>
      <c r="N146" s="14">
        <v>0</v>
      </c>
      <c r="O146" s="14">
        <v>0</v>
      </c>
      <c r="P146" s="14">
        <v>0</v>
      </c>
      <c r="Q146" s="15">
        <v>0</v>
      </c>
      <c r="R146" s="15">
        <v>0</v>
      </c>
      <c r="S146" s="15">
        <f>$G$146*$G$8+$H$146*$H$8+$I$146*$I$8+$J$146*$J$8+$K$146*$K$8+$L$146*$L$8+$M$146*$M$8+$N$146*$N$8+$O$146*$O$8+$P$146*$P$8</f>
        <v>0</v>
      </c>
      <c r="T146" s="15">
        <f>SUM($Q$146:$R$146)</f>
        <v>0</v>
      </c>
      <c r="U146" s="15">
        <f>$S$146+$T$146</f>
        <v>0</v>
      </c>
    </row>
    <row r="147" spans="1:21" x14ac:dyDescent="0.3">
      <c r="A147" s="10" t="s">
        <v>541</v>
      </c>
      <c r="B147" s="11" t="s">
        <v>542</v>
      </c>
      <c r="C147" s="11"/>
      <c r="D147" s="11" t="s">
        <v>543</v>
      </c>
      <c r="E147" s="11">
        <f xml:space="preserve"> IF($U$147,1,0)</f>
        <v>0</v>
      </c>
      <c r="F147" s="11" t="s">
        <v>544</v>
      </c>
      <c r="G147" s="11">
        <v>0</v>
      </c>
      <c r="H147" s="11">
        <v>0</v>
      </c>
      <c r="I147" s="11">
        <v>0</v>
      </c>
      <c r="J147" s="11">
        <v>0</v>
      </c>
      <c r="K147" s="11">
        <v>0</v>
      </c>
      <c r="L147" s="11">
        <v>0</v>
      </c>
      <c r="M147" s="11">
        <v>0</v>
      </c>
      <c r="N147" s="11">
        <v>0</v>
      </c>
      <c r="O147" s="11">
        <v>0</v>
      </c>
      <c r="P147" s="11">
        <v>0</v>
      </c>
      <c r="Q147" s="12">
        <v>0</v>
      </c>
      <c r="R147" s="12">
        <v>0</v>
      </c>
      <c r="S147" s="12">
        <f>$G$147*$G$8+$H$147*$H$8+$I$147*$I$8+$J$147*$J$8+$K$147*$K$8+$L$147*$L$8+$M$147*$M$8+$N$147*$N$8+$O$147*$O$8+$P$147*$P$8</f>
        <v>0</v>
      </c>
      <c r="T147" s="12">
        <f>SUM($Q$147:$R$147)</f>
        <v>0</v>
      </c>
      <c r="U147" s="12">
        <f>$S$147+$T$147</f>
        <v>0</v>
      </c>
    </row>
    <row r="148" spans="1:21" x14ac:dyDescent="0.3">
      <c r="A148" s="13" t="s">
        <v>545</v>
      </c>
      <c r="B148" s="14" t="s">
        <v>546</v>
      </c>
      <c r="C148" s="14"/>
      <c r="D148" s="14" t="s">
        <v>547</v>
      </c>
      <c r="E148" s="14">
        <f xml:space="preserve"> IF($U$148,1,0)</f>
        <v>0</v>
      </c>
      <c r="F148" s="14" t="s">
        <v>548</v>
      </c>
      <c r="G148" s="14">
        <v>0</v>
      </c>
      <c r="H148" s="14">
        <v>0</v>
      </c>
      <c r="I148" s="14">
        <v>0</v>
      </c>
      <c r="J148" s="14">
        <v>0</v>
      </c>
      <c r="K148" s="14">
        <v>0</v>
      </c>
      <c r="L148" s="14">
        <v>0</v>
      </c>
      <c r="M148" s="14">
        <v>0</v>
      </c>
      <c r="N148" s="14">
        <v>0</v>
      </c>
      <c r="O148" s="14">
        <v>0</v>
      </c>
      <c r="P148" s="14">
        <v>0</v>
      </c>
      <c r="Q148" s="15">
        <v>0</v>
      </c>
      <c r="R148" s="15">
        <v>0</v>
      </c>
      <c r="S148" s="15">
        <f>$G$148*$G$8+$H$148*$H$8+$I$148*$I$8+$J$148*$J$8+$K$148*$K$8+$L$148*$L$8+$M$148*$M$8+$N$148*$N$8+$O$148*$O$8+$P$148*$P$8</f>
        <v>0</v>
      </c>
      <c r="T148" s="15">
        <f>SUM($Q$148:$R$148)</f>
        <v>0</v>
      </c>
      <c r="U148" s="15">
        <f>$S$148+$T$148</f>
        <v>0</v>
      </c>
    </row>
    <row r="149" spans="1:21" x14ac:dyDescent="0.3">
      <c r="A149" s="10" t="s">
        <v>549</v>
      </c>
      <c r="B149" s="11" t="s">
        <v>550</v>
      </c>
      <c r="C149" s="11" t="s">
        <v>34</v>
      </c>
      <c r="D149" s="11" t="s">
        <v>551</v>
      </c>
      <c r="E149" s="11">
        <f xml:space="preserve"> IF($U$149,1,0)</f>
        <v>1</v>
      </c>
      <c r="F149" s="11" t="s">
        <v>552</v>
      </c>
      <c r="G149" s="11">
        <v>2</v>
      </c>
      <c r="H149" s="11">
        <v>0</v>
      </c>
      <c r="I149" s="11">
        <v>0</v>
      </c>
      <c r="J149" s="11">
        <v>0</v>
      </c>
      <c r="K149" s="11">
        <v>0</v>
      </c>
      <c r="L149" s="11">
        <v>0</v>
      </c>
      <c r="M149" s="11">
        <v>0</v>
      </c>
      <c r="N149" s="11">
        <v>0</v>
      </c>
      <c r="O149" s="11">
        <v>0</v>
      </c>
      <c r="P149" s="11">
        <v>0</v>
      </c>
      <c r="Q149" s="12">
        <v>0</v>
      </c>
      <c r="R149" s="12">
        <v>0</v>
      </c>
      <c r="S149" s="12">
        <f>$G$149*$G$8+$H$149*$H$8+$I$149*$I$8+$J$149*$J$8+$K$149*$K$8+$L$149*$L$8+$M$149*$M$8+$N$149*$N$8+$O$149*$O$8+$P$149*$P$8</f>
        <v>1.4</v>
      </c>
      <c r="T149" s="12">
        <f>SUM($Q$149:$R$149)</f>
        <v>0</v>
      </c>
      <c r="U149" s="12">
        <f>$S$149+$T$149</f>
        <v>1.4</v>
      </c>
    </row>
    <row r="150" spans="1:21" x14ac:dyDescent="0.3">
      <c r="A150" s="13" t="s">
        <v>553</v>
      </c>
      <c r="B150" s="14" t="s">
        <v>554</v>
      </c>
      <c r="C150" s="14"/>
      <c r="D150" s="14" t="s">
        <v>555</v>
      </c>
      <c r="E150" s="14">
        <f xml:space="preserve"> IF($U$150,1,0)</f>
        <v>0</v>
      </c>
      <c r="F150" s="14" t="s">
        <v>556</v>
      </c>
      <c r="G150" s="14">
        <v>0</v>
      </c>
      <c r="H150" s="14">
        <v>0</v>
      </c>
      <c r="I150" s="14">
        <v>0</v>
      </c>
      <c r="J150" s="14">
        <v>0</v>
      </c>
      <c r="K150" s="14">
        <v>0</v>
      </c>
      <c r="L150" s="14">
        <v>0</v>
      </c>
      <c r="M150" s="14">
        <v>0</v>
      </c>
      <c r="N150" s="14">
        <v>0</v>
      </c>
      <c r="O150" s="14">
        <v>0</v>
      </c>
      <c r="P150" s="14">
        <v>0</v>
      </c>
      <c r="Q150" s="15">
        <v>0</v>
      </c>
      <c r="R150" s="15">
        <v>0</v>
      </c>
      <c r="S150" s="15">
        <f>$G$150*$G$8+$H$150*$H$8+$I$150*$I$8+$J$150*$J$8+$K$150*$K$8+$L$150*$L$8+$M$150*$M$8+$N$150*$N$8+$O$150*$O$8+$P$150*$P$8</f>
        <v>0</v>
      </c>
      <c r="T150" s="15">
        <f>SUM($Q$150:$R$150)</f>
        <v>0</v>
      </c>
      <c r="U150" s="15">
        <f>$S$150+$T$150</f>
        <v>0</v>
      </c>
    </row>
    <row r="151" spans="1:21" x14ac:dyDescent="0.3">
      <c r="A151" s="10" t="s">
        <v>557</v>
      </c>
      <c r="B151" s="11" t="s">
        <v>554</v>
      </c>
      <c r="C151" s="11"/>
      <c r="D151" s="11" t="s">
        <v>558</v>
      </c>
      <c r="E151" s="11">
        <f xml:space="preserve"> IF($U$151,1,0)</f>
        <v>0</v>
      </c>
      <c r="F151" s="11" t="s">
        <v>559</v>
      </c>
      <c r="G151" s="11">
        <v>0</v>
      </c>
      <c r="H151" s="11">
        <v>0</v>
      </c>
      <c r="I151" s="11">
        <v>0</v>
      </c>
      <c r="J151" s="11">
        <v>0</v>
      </c>
      <c r="K151" s="11">
        <v>0</v>
      </c>
      <c r="L151" s="11">
        <v>0</v>
      </c>
      <c r="M151" s="11">
        <v>0</v>
      </c>
      <c r="N151" s="11">
        <v>0</v>
      </c>
      <c r="O151" s="11">
        <v>0</v>
      </c>
      <c r="P151" s="11">
        <v>0</v>
      </c>
      <c r="Q151" s="12">
        <v>0</v>
      </c>
      <c r="R151" s="12">
        <v>0</v>
      </c>
      <c r="S151" s="12">
        <f>$G$151*$G$8+$H$151*$H$8+$I$151*$I$8+$J$151*$J$8+$K$151*$K$8+$L$151*$L$8+$M$151*$M$8+$N$151*$N$8+$O$151*$O$8+$P$151*$P$8</f>
        <v>0</v>
      </c>
      <c r="T151" s="12">
        <f>SUM($Q$151:$R$151)</f>
        <v>0</v>
      </c>
      <c r="U151" s="12">
        <f>$S$151+$T$151</f>
        <v>0</v>
      </c>
    </row>
    <row r="152" spans="1:21" x14ac:dyDescent="0.3">
      <c r="A152" s="13" t="s">
        <v>560</v>
      </c>
      <c r="B152" s="14" t="s">
        <v>561</v>
      </c>
      <c r="C152" s="14"/>
      <c r="D152" s="14" t="s">
        <v>562</v>
      </c>
      <c r="E152" s="14">
        <f xml:space="preserve"> IF($U$152,1,0)</f>
        <v>0</v>
      </c>
      <c r="F152" s="14" t="s">
        <v>563</v>
      </c>
      <c r="G152" s="14">
        <v>0</v>
      </c>
      <c r="H152" s="14">
        <v>0</v>
      </c>
      <c r="I152" s="14">
        <v>0</v>
      </c>
      <c r="J152" s="14">
        <v>0</v>
      </c>
      <c r="K152" s="14">
        <v>0</v>
      </c>
      <c r="L152" s="14">
        <v>0</v>
      </c>
      <c r="M152" s="14">
        <v>0</v>
      </c>
      <c r="N152" s="14">
        <v>0</v>
      </c>
      <c r="O152" s="14">
        <v>0</v>
      </c>
      <c r="P152" s="14">
        <v>0</v>
      </c>
      <c r="Q152" s="15">
        <v>0</v>
      </c>
      <c r="R152" s="15">
        <v>0</v>
      </c>
      <c r="S152" s="15">
        <f>$G$152*$G$8+$H$152*$H$8+$I$152*$I$8+$J$152*$J$8+$K$152*$K$8+$L$152*$L$8+$M$152*$M$8+$N$152*$N$8+$O$152*$O$8+$P$152*$P$8</f>
        <v>0</v>
      </c>
      <c r="T152" s="15">
        <f>SUM($Q$152:$R$152)</f>
        <v>0</v>
      </c>
      <c r="U152" s="15">
        <f>$S$152+$T$152</f>
        <v>0</v>
      </c>
    </row>
    <row r="153" spans="1:21" x14ac:dyDescent="0.3">
      <c r="A153" s="10" t="s">
        <v>564</v>
      </c>
      <c r="B153" s="11" t="s">
        <v>565</v>
      </c>
      <c r="C153" s="11"/>
      <c r="D153" s="11" t="s">
        <v>566</v>
      </c>
      <c r="E153" s="11">
        <f xml:space="preserve"> IF($U$153,1,0)</f>
        <v>1</v>
      </c>
      <c r="F153" s="11" t="s">
        <v>567</v>
      </c>
      <c r="G153" s="11">
        <v>2</v>
      </c>
      <c r="H153" s="11">
        <v>0</v>
      </c>
      <c r="I153" s="11">
        <v>0</v>
      </c>
      <c r="J153" s="11">
        <v>1</v>
      </c>
      <c r="K153" s="11">
        <v>0</v>
      </c>
      <c r="L153" s="11">
        <v>0</v>
      </c>
      <c r="M153" s="11">
        <v>0</v>
      </c>
      <c r="N153" s="11">
        <v>0</v>
      </c>
      <c r="O153" s="11">
        <v>0</v>
      </c>
      <c r="P153" s="11">
        <v>0</v>
      </c>
      <c r="Q153" s="12">
        <v>0</v>
      </c>
      <c r="R153" s="12">
        <v>0</v>
      </c>
      <c r="S153" s="12">
        <f>$G$153*$G$8+$H$153*$H$8+$I$153*$I$8+$J$153*$J$8+$K$153*$K$8+$L$153*$L$8+$M$153*$M$8+$N$153*$N$8+$O$153*$O$8+$P$153*$P$8</f>
        <v>6.15</v>
      </c>
      <c r="T153" s="12">
        <f>SUM($Q$153:$R$153)</f>
        <v>0</v>
      </c>
      <c r="U153" s="12">
        <f>$S$153+$T$153</f>
        <v>6.15</v>
      </c>
    </row>
    <row r="154" spans="1:21" x14ac:dyDescent="0.3">
      <c r="A154" s="13" t="s">
        <v>568</v>
      </c>
      <c r="B154" s="14" t="s">
        <v>569</v>
      </c>
      <c r="C154" s="14"/>
      <c r="D154" s="14" t="s">
        <v>570</v>
      </c>
      <c r="E154" s="14">
        <f xml:space="preserve"> IF($U$154,1,0)</f>
        <v>1</v>
      </c>
      <c r="F154" s="14" t="s">
        <v>571</v>
      </c>
      <c r="G154" s="14">
        <v>2</v>
      </c>
      <c r="H154" s="14">
        <v>0</v>
      </c>
      <c r="I154" s="14">
        <v>0</v>
      </c>
      <c r="J154" s="14">
        <v>0</v>
      </c>
      <c r="K154" s="14">
        <v>0</v>
      </c>
      <c r="L154" s="14">
        <v>0</v>
      </c>
      <c r="M154" s="14">
        <v>0</v>
      </c>
      <c r="N154" s="14">
        <v>0</v>
      </c>
      <c r="O154" s="14">
        <v>0</v>
      </c>
      <c r="P154" s="14">
        <v>0</v>
      </c>
      <c r="Q154" s="15">
        <v>0</v>
      </c>
      <c r="R154" s="15">
        <v>0</v>
      </c>
      <c r="S154" s="15">
        <f>$G$154*$G$8+$H$154*$H$8+$I$154*$I$8+$J$154*$J$8+$K$154*$K$8+$L$154*$L$8+$M$154*$M$8+$N$154*$N$8+$O$154*$O$8+$P$154*$P$8</f>
        <v>1.4</v>
      </c>
      <c r="T154" s="15">
        <f>SUM($Q$154:$R$154)</f>
        <v>0</v>
      </c>
      <c r="U154" s="15">
        <f>$S$154+$T$154</f>
        <v>1.4</v>
      </c>
    </row>
    <row r="155" spans="1:21" x14ac:dyDescent="0.3">
      <c r="A155" s="10" t="s">
        <v>572</v>
      </c>
      <c r="B155" s="11" t="s">
        <v>573</v>
      </c>
      <c r="C155" s="11" t="s">
        <v>34</v>
      </c>
      <c r="D155" s="11" t="s">
        <v>574</v>
      </c>
      <c r="E155" s="11">
        <f xml:space="preserve"> IF($U$155,1,0)</f>
        <v>0</v>
      </c>
      <c r="F155" s="11" t="s">
        <v>575</v>
      </c>
      <c r="G155" s="11">
        <v>0</v>
      </c>
      <c r="H155" s="11">
        <v>0</v>
      </c>
      <c r="I155" s="11">
        <v>0</v>
      </c>
      <c r="J155" s="11">
        <v>0</v>
      </c>
      <c r="K155" s="11">
        <v>0</v>
      </c>
      <c r="L155" s="11">
        <v>0</v>
      </c>
      <c r="M155" s="11">
        <v>0</v>
      </c>
      <c r="N155" s="11">
        <v>0</v>
      </c>
      <c r="O155" s="11">
        <v>0</v>
      </c>
      <c r="P155" s="11">
        <v>0</v>
      </c>
      <c r="Q155" s="12">
        <v>0</v>
      </c>
      <c r="R155" s="12">
        <v>0</v>
      </c>
      <c r="S155" s="12">
        <f>$G$155*$G$8+$H$155*$H$8+$I$155*$I$8+$J$155*$J$8+$K$155*$K$8+$L$155*$L$8+$M$155*$M$8+$N$155*$N$8+$O$155*$O$8+$P$155*$P$8</f>
        <v>0</v>
      </c>
      <c r="T155" s="12">
        <f>SUM($Q$155:$R$155)</f>
        <v>0</v>
      </c>
      <c r="U155" s="12">
        <f>$S$155+$T$155</f>
        <v>0</v>
      </c>
    </row>
    <row r="156" spans="1:21" x14ac:dyDescent="0.3">
      <c r="A156" s="13" t="s">
        <v>576</v>
      </c>
      <c r="B156" s="14" t="s">
        <v>577</v>
      </c>
      <c r="C156" s="14"/>
      <c r="D156" s="14" t="s">
        <v>578</v>
      </c>
      <c r="E156" s="14">
        <f xml:space="preserve"> IF($U$156,1,0)</f>
        <v>0</v>
      </c>
      <c r="F156" s="14" t="s">
        <v>579</v>
      </c>
      <c r="G156" s="14">
        <v>0</v>
      </c>
      <c r="H156" s="14">
        <v>0</v>
      </c>
      <c r="I156" s="14">
        <v>0</v>
      </c>
      <c r="J156" s="14">
        <v>0</v>
      </c>
      <c r="K156" s="14">
        <v>0</v>
      </c>
      <c r="L156" s="14">
        <v>0</v>
      </c>
      <c r="M156" s="14">
        <v>0</v>
      </c>
      <c r="N156" s="14">
        <v>0</v>
      </c>
      <c r="O156" s="14">
        <v>0</v>
      </c>
      <c r="P156" s="14">
        <v>0</v>
      </c>
      <c r="Q156" s="15">
        <v>0</v>
      </c>
      <c r="R156" s="15">
        <v>0</v>
      </c>
      <c r="S156" s="15">
        <f>$G$156*$G$8+$H$156*$H$8+$I$156*$I$8+$J$156*$J$8+$K$156*$K$8+$L$156*$L$8+$M$156*$M$8+$N$156*$N$8+$O$156*$O$8+$P$156*$P$8</f>
        <v>0</v>
      </c>
      <c r="T156" s="15">
        <f>SUM($Q$156:$R$156)</f>
        <v>0</v>
      </c>
      <c r="U156" s="15">
        <f>$S$156+$T$156</f>
        <v>0</v>
      </c>
    </row>
    <row r="157" spans="1:21" x14ac:dyDescent="0.3">
      <c r="A157" s="10" t="s">
        <v>580</v>
      </c>
      <c r="B157" s="11" t="s">
        <v>581</v>
      </c>
      <c r="C157" s="11"/>
      <c r="D157" s="11" t="s">
        <v>582</v>
      </c>
      <c r="E157" s="11">
        <f xml:space="preserve"> IF($U$157,1,0)</f>
        <v>1</v>
      </c>
      <c r="F157" s="11" t="s">
        <v>583</v>
      </c>
      <c r="G157" s="11">
        <v>4</v>
      </c>
      <c r="H157" s="11">
        <v>1</v>
      </c>
      <c r="I157" s="11">
        <v>1</v>
      </c>
      <c r="J157" s="11">
        <v>0</v>
      </c>
      <c r="K157" s="11">
        <v>0</v>
      </c>
      <c r="L157" s="11">
        <v>0</v>
      </c>
      <c r="M157" s="11">
        <v>0</v>
      </c>
      <c r="N157" s="11">
        <v>0</v>
      </c>
      <c r="O157" s="11">
        <v>0</v>
      </c>
      <c r="P157" s="11">
        <v>1</v>
      </c>
      <c r="Q157" s="12">
        <v>0</v>
      </c>
      <c r="R157" s="12">
        <v>0</v>
      </c>
      <c r="S157" s="12">
        <f>$G$157*$G$8+$H$157*$H$8+$I$157*$I$8+$J$157*$J$8+$K$157*$K$8+$L$157*$L$8+$M$157*$M$8+$N$157*$N$8+$O$157*$O$8+$P$157*$P$8</f>
        <v>6.6</v>
      </c>
      <c r="T157" s="12">
        <f>SUM($Q$157:$R$157)</f>
        <v>0</v>
      </c>
      <c r="U157" s="12">
        <f>$S$157+$T$157</f>
        <v>6.6</v>
      </c>
    </row>
    <row r="158" spans="1:21" x14ac:dyDescent="0.3">
      <c r="A158" s="13" t="s">
        <v>584</v>
      </c>
      <c r="B158" s="14" t="s">
        <v>585</v>
      </c>
      <c r="C158" s="14"/>
      <c r="D158" s="14" t="s">
        <v>586</v>
      </c>
      <c r="E158" s="14">
        <f xml:space="preserve"> IF($U$158,1,0)</f>
        <v>0</v>
      </c>
      <c r="F158" s="14" t="s">
        <v>587</v>
      </c>
      <c r="G158" s="14">
        <v>0</v>
      </c>
      <c r="H158" s="14">
        <v>0</v>
      </c>
      <c r="I158" s="14">
        <v>0</v>
      </c>
      <c r="J158" s="14">
        <v>0</v>
      </c>
      <c r="K158" s="14">
        <v>0</v>
      </c>
      <c r="L158" s="14">
        <v>0</v>
      </c>
      <c r="M158" s="14">
        <v>0</v>
      </c>
      <c r="N158" s="14">
        <v>0</v>
      </c>
      <c r="O158" s="14">
        <v>0</v>
      </c>
      <c r="P158" s="14">
        <v>0</v>
      </c>
      <c r="Q158" s="15">
        <v>0</v>
      </c>
      <c r="R158" s="15">
        <v>0</v>
      </c>
      <c r="S158" s="15">
        <f>$G$158*$G$8+$H$158*$H$8+$I$158*$I$8+$J$158*$J$8+$K$158*$K$8+$L$158*$L$8+$M$158*$M$8+$N$158*$N$8+$O$158*$O$8+$P$158*$P$8</f>
        <v>0</v>
      </c>
      <c r="T158" s="15">
        <f>SUM($Q$158:$R$158)</f>
        <v>0</v>
      </c>
      <c r="U158" s="15">
        <f>$S$158+$T$158</f>
        <v>0</v>
      </c>
    </row>
    <row r="159" spans="1:21" x14ac:dyDescent="0.3">
      <c r="A159" s="10" t="s">
        <v>588</v>
      </c>
      <c r="B159" s="11" t="s">
        <v>589</v>
      </c>
      <c r="C159" s="11"/>
      <c r="D159" s="11" t="s">
        <v>590</v>
      </c>
      <c r="E159" s="11">
        <f xml:space="preserve"> IF($U$159,1,0)</f>
        <v>0</v>
      </c>
      <c r="F159" s="11" t="s">
        <v>591</v>
      </c>
      <c r="G159" s="11">
        <v>0</v>
      </c>
      <c r="H159" s="11">
        <v>0</v>
      </c>
      <c r="I159" s="11">
        <v>0</v>
      </c>
      <c r="J159" s="11">
        <v>0</v>
      </c>
      <c r="K159" s="11">
        <v>0</v>
      </c>
      <c r="L159" s="11">
        <v>0</v>
      </c>
      <c r="M159" s="11">
        <v>0</v>
      </c>
      <c r="N159" s="11">
        <v>0</v>
      </c>
      <c r="O159" s="11">
        <v>0</v>
      </c>
      <c r="P159" s="11">
        <v>0</v>
      </c>
      <c r="Q159" s="12">
        <v>0</v>
      </c>
      <c r="R159" s="12">
        <v>0</v>
      </c>
      <c r="S159" s="12">
        <f>$G$159*$G$8+$H$159*$H$8+$I$159*$I$8+$J$159*$J$8+$K$159*$K$8+$L$159*$L$8+$M$159*$M$8+$N$159*$N$8+$O$159*$O$8+$P$159*$P$8</f>
        <v>0</v>
      </c>
      <c r="T159" s="12">
        <f>SUM($Q$159:$R$159)</f>
        <v>0</v>
      </c>
      <c r="U159" s="12">
        <f>$S$159+$T$159</f>
        <v>0</v>
      </c>
    </row>
    <row r="160" spans="1:21" x14ac:dyDescent="0.3">
      <c r="A160" s="13" t="s">
        <v>592</v>
      </c>
      <c r="B160" s="14" t="s">
        <v>593</v>
      </c>
      <c r="C160" s="14"/>
      <c r="D160" s="14" t="s">
        <v>594</v>
      </c>
      <c r="E160" s="14">
        <f xml:space="preserve"> IF($U$160,1,0)</f>
        <v>0</v>
      </c>
      <c r="F160" s="14" t="s">
        <v>595</v>
      </c>
      <c r="G160" s="14">
        <v>0</v>
      </c>
      <c r="H160" s="14">
        <v>0</v>
      </c>
      <c r="I160" s="14">
        <v>0</v>
      </c>
      <c r="J160" s="14">
        <v>0</v>
      </c>
      <c r="K160" s="14">
        <v>0</v>
      </c>
      <c r="L160" s="14">
        <v>0</v>
      </c>
      <c r="M160" s="14">
        <v>0</v>
      </c>
      <c r="N160" s="14">
        <v>0</v>
      </c>
      <c r="O160" s="14">
        <v>0</v>
      </c>
      <c r="P160" s="14">
        <v>0</v>
      </c>
      <c r="Q160" s="15">
        <v>0</v>
      </c>
      <c r="R160" s="15">
        <v>0</v>
      </c>
      <c r="S160" s="15">
        <f>$G$160*$G$8+$H$160*$H$8+$I$160*$I$8+$J$160*$J$8+$K$160*$K$8+$L$160*$L$8+$M$160*$M$8+$N$160*$N$8+$O$160*$O$8+$P$160*$P$8</f>
        <v>0</v>
      </c>
      <c r="T160" s="15">
        <f>SUM($Q$160:$R$160)</f>
        <v>0</v>
      </c>
      <c r="U160" s="15">
        <f>$S$160+$T$160</f>
        <v>0</v>
      </c>
    </row>
    <row r="161" spans="1:21" x14ac:dyDescent="0.3">
      <c r="A161" s="10" t="s">
        <v>596</v>
      </c>
      <c r="B161" s="11" t="s">
        <v>597</v>
      </c>
      <c r="C161" s="11"/>
      <c r="D161" s="11" t="s">
        <v>598</v>
      </c>
      <c r="E161" s="11">
        <f xml:space="preserve"> IF($U$161,1,0)</f>
        <v>0</v>
      </c>
      <c r="F161" s="11" t="s">
        <v>599</v>
      </c>
      <c r="G161" s="11">
        <v>0</v>
      </c>
      <c r="H161" s="11">
        <v>0</v>
      </c>
      <c r="I161" s="11">
        <v>0</v>
      </c>
      <c r="J161" s="11">
        <v>0</v>
      </c>
      <c r="K161" s="11">
        <v>0</v>
      </c>
      <c r="L161" s="11">
        <v>0</v>
      </c>
      <c r="M161" s="11">
        <v>0</v>
      </c>
      <c r="N161" s="11">
        <v>0</v>
      </c>
      <c r="O161" s="11">
        <v>0</v>
      </c>
      <c r="P161" s="11">
        <v>0</v>
      </c>
      <c r="Q161" s="12">
        <v>0</v>
      </c>
      <c r="R161" s="12">
        <v>0</v>
      </c>
      <c r="S161" s="12">
        <f>$G$161*$G$8+$H$161*$H$8+$I$161*$I$8+$J$161*$J$8+$K$161*$K$8+$L$161*$L$8+$M$161*$M$8+$N$161*$N$8+$O$161*$O$8+$P$161*$P$8</f>
        <v>0</v>
      </c>
      <c r="T161" s="12">
        <f>SUM($Q$161:$R$161)</f>
        <v>0</v>
      </c>
      <c r="U161" s="12">
        <f>$S$161+$T$161</f>
        <v>0</v>
      </c>
    </row>
    <row r="162" spans="1:21" x14ac:dyDescent="0.3">
      <c r="A162" s="13" t="s">
        <v>600</v>
      </c>
      <c r="B162" s="14" t="s">
        <v>601</v>
      </c>
      <c r="C162" s="14"/>
      <c r="D162" s="14" t="s">
        <v>70</v>
      </c>
      <c r="E162" s="14">
        <f xml:space="preserve"> IF($U$162,1,0)</f>
        <v>0</v>
      </c>
      <c r="F162" s="14" t="s">
        <v>602</v>
      </c>
      <c r="G162" s="14">
        <v>0</v>
      </c>
      <c r="H162" s="14">
        <v>0</v>
      </c>
      <c r="I162" s="14">
        <v>0</v>
      </c>
      <c r="J162" s="14">
        <v>0</v>
      </c>
      <c r="K162" s="14">
        <v>0</v>
      </c>
      <c r="L162" s="14">
        <v>0</v>
      </c>
      <c r="M162" s="14">
        <v>0</v>
      </c>
      <c r="N162" s="14">
        <v>0</v>
      </c>
      <c r="O162" s="14">
        <v>0</v>
      </c>
      <c r="P162" s="14">
        <v>0</v>
      </c>
      <c r="Q162" s="15">
        <v>0</v>
      </c>
      <c r="R162" s="15">
        <v>0</v>
      </c>
      <c r="S162" s="15">
        <f>$G$162*$G$8+$H$162*$H$8+$I$162*$I$8+$J$162*$J$8+$K$162*$K$8+$L$162*$L$8+$M$162*$M$8+$N$162*$N$8+$O$162*$O$8+$P$162*$P$8</f>
        <v>0</v>
      </c>
      <c r="T162" s="15">
        <f>SUM($Q$162:$R$162)</f>
        <v>0</v>
      </c>
      <c r="U162" s="15">
        <f>$S$162+$T$162</f>
        <v>0</v>
      </c>
    </row>
    <row r="163" spans="1:21" x14ac:dyDescent="0.3">
      <c r="A163" s="10" t="s">
        <v>603</v>
      </c>
      <c r="B163" s="11" t="s">
        <v>604</v>
      </c>
      <c r="C163" s="11"/>
      <c r="D163" s="11" t="s">
        <v>605</v>
      </c>
      <c r="E163" s="11">
        <f xml:space="preserve"> IF($U$163,1,0)</f>
        <v>0</v>
      </c>
      <c r="F163" s="11" t="s">
        <v>606</v>
      </c>
      <c r="G163" s="11">
        <v>0</v>
      </c>
      <c r="H163" s="11">
        <v>0</v>
      </c>
      <c r="I163" s="11">
        <v>0</v>
      </c>
      <c r="J163" s="11">
        <v>0</v>
      </c>
      <c r="K163" s="11">
        <v>0</v>
      </c>
      <c r="L163" s="11">
        <v>0</v>
      </c>
      <c r="M163" s="11">
        <v>0</v>
      </c>
      <c r="N163" s="11">
        <v>0</v>
      </c>
      <c r="O163" s="11">
        <v>0</v>
      </c>
      <c r="P163" s="11">
        <v>0</v>
      </c>
      <c r="Q163" s="12">
        <v>0</v>
      </c>
      <c r="R163" s="12">
        <v>0</v>
      </c>
      <c r="S163" s="12">
        <f>$G$163*$G$8+$H$163*$H$8+$I$163*$I$8+$J$163*$J$8+$K$163*$K$8+$L$163*$L$8+$M$163*$M$8+$N$163*$N$8+$O$163*$O$8+$P$163*$P$8</f>
        <v>0</v>
      </c>
      <c r="T163" s="12">
        <f>SUM($Q$163:$R$163)</f>
        <v>0</v>
      </c>
      <c r="U163" s="12">
        <f>$S$163+$T$163</f>
        <v>0</v>
      </c>
    </row>
    <row r="164" spans="1:21" x14ac:dyDescent="0.3">
      <c r="A164" s="13" t="s">
        <v>607</v>
      </c>
      <c r="B164" s="14" t="s">
        <v>608</v>
      </c>
      <c r="C164" s="14"/>
      <c r="D164" s="14" t="s">
        <v>609</v>
      </c>
      <c r="E164" s="14">
        <f xml:space="preserve"> IF($U$164,1,0)</f>
        <v>0</v>
      </c>
      <c r="F164" s="14" t="s">
        <v>610</v>
      </c>
      <c r="G164" s="14">
        <v>0</v>
      </c>
      <c r="H164" s="14">
        <v>0</v>
      </c>
      <c r="I164" s="14">
        <v>0</v>
      </c>
      <c r="J164" s="14">
        <v>0</v>
      </c>
      <c r="K164" s="14">
        <v>0</v>
      </c>
      <c r="L164" s="14">
        <v>0</v>
      </c>
      <c r="M164" s="14">
        <v>0</v>
      </c>
      <c r="N164" s="14">
        <v>0</v>
      </c>
      <c r="O164" s="14">
        <v>0</v>
      </c>
      <c r="P164" s="14">
        <v>0</v>
      </c>
      <c r="Q164" s="15">
        <v>0</v>
      </c>
      <c r="R164" s="15">
        <v>0</v>
      </c>
      <c r="S164" s="15">
        <f>$G$164*$G$8+$H$164*$H$8+$I$164*$I$8+$J$164*$J$8+$K$164*$K$8+$L$164*$L$8+$M$164*$M$8+$N$164*$N$8+$O$164*$O$8+$P$164*$P$8</f>
        <v>0</v>
      </c>
      <c r="T164" s="15">
        <f>SUM($Q$164:$R$164)</f>
        <v>0</v>
      </c>
      <c r="U164" s="15">
        <f>$S$164+$T$164</f>
        <v>0</v>
      </c>
    </row>
    <row r="165" spans="1:21" x14ac:dyDescent="0.3">
      <c r="A165" s="10" t="s">
        <v>611</v>
      </c>
      <c r="B165" s="11" t="s">
        <v>612</v>
      </c>
      <c r="C165" s="11"/>
      <c r="D165" s="11" t="s">
        <v>613</v>
      </c>
      <c r="E165" s="11">
        <f xml:space="preserve"> IF($U$165,1,0)</f>
        <v>0</v>
      </c>
      <c r="F165" s="11" t="s">
        <v>614</v>
      </c>
      <c r="G165" s="11">
        <v>0</v>
      </c>
      <c r="H165" s="11">
        <v>0</v>
      </c>
      <c r="I165" s="11">
        <v>0</v>
      </c>
      <c r="J165" s="11">
        <v>0</v>
      </c>
      <c r="K165" s="11">
        <v>0</v>
      </c>
      <c r="L165" s="11">
        <v>0</v>
      </c>
      <c r="M165" s="11">
        <v>0</v>
      </c>
      <c r="N165" s="11">
        <v>0</v>
      </c>
      <c r="O165" s="11">
        <v>0</v>
      </c>
      <c r="P165" s="11">
        <v>0</v>
      </c>
      <c r="Q165" s="12">
        <v>0</v>
      </c>
      <c r="R165" s="12">
        <v>0</v>
      </c>
      <c r="S165" s="12">
        <f>$G$165*$G$8+$H$165*$H$8+$I$165*$I$8+$J$165*$J$8+$K$165*$K$8+$L$165*$L$8+$M$165*$M$8+$N$165*$N$8+$O$165*$O$8+$P$165*$P$8</f>
        <v>0</v>
      </c>
      <c r="T165" s="12">
        <f>SUM($Q$165:$R$165)</f>
        <v>0</v>
      </c>
      <c r="U165" s="12">
        <f>$S$165+$T$165</f>
        <v>0</v>
      </c>
    </row>
    <row r="166" spans="1:21" x14ac:dyDescent="0.3">
      <c r="A166" s="13" t="s">
        <v>615</v>
      </c>
      <c r="B166" s="14" t="s">
        <v>616</v>
      </c>
      <c r="C166" s="14"/>
      <c r="D166" s="14" t="s">
        <v>617</v>
      </c>
      <c r="E166" s="14">
        <f xml:space="preserve"> IF($U$166,1,0)</f>
        <v>0</v>
      </c>
      <c r="F166" s="14" t="s">
        <v>618</v>
      </c>
      <c r="G166" s="14">
        <v>0</v>
      </c>
      <c r="H166" s="14">
        <v>0</v>
      </c>
      <c r="I166" s="14">
        <v>0</v>
      </c>
      <c r="J166" s="14">
        <v>0</v>
      </c>
      <c r="K166" s="14">
        <v>0</v>
      </c>
      <c r="L166" s="14">
        <v>0</v>
      </c>
      <c r="M166" s="14">
        <v>0</v>
      </c>
      <c r="N166" s="14">
        <v>0</v>
      </c>
      <c r="O166" s="14">
        <v>0</v>
      </c>
      <c r="P166" s="14">
        <v>0</v>
      </c>
      <c r="Q166" s="15">
        <v>0</v>
      </c>
      <c r="R166" s="15">
        <v>0</v>
      </c>
      <c r="S166" s="15">
        <f>$G$166*$G$8+$H$166*$H$8+$I$166*$I$8+$J$166*$J$8+$K$166*$K$8+$L$166*$L$8+$M$166*$M$8+$N$166*$N$8+$O$166*$O$8+$P$166*$P$8</f>
        <v>0</v>
      </c>
      <c r="T166" s="15">
        <f>SUM($Q$166:$R$166)</f>
        <v>0</v>
      </c>
      <c r="U166" s="15">
        <f>$S$166+$T$166</f>
        <v>0</v>
      </c>
    </row>
    <row r="167" spans="1:21" x14ac:dyDescent="0.3">
      <c r="A167" s="10" t="s">
        <v>619</v>
      </c>
      <c r="B167" s="11" t="s">
        <v>620</v>
      </c>
      <c r="C167" s="11" t="s">
        <v>34</v>
      </c>
      <c r="D167" s="11" t="s">
        <v>621</v>
      </c>
      <c r="E167" s="11">
        <f xml:space="preserve"> IF($U$167,1,0)</f>
        <v>0</v>
      </c>
      <c r="F167" s="11" t="s">
        <v>622</v>
      </c>
      <c r="G167" s="11">
        <v>0</v>
      </c>
      <c r="H167" s="11">
        <v>0</v>
      </c>
      <c r="I167" s="11">
        <v>0</v>
      </c>
      <c r="J167" s="11">
        <v>0</v>
      </c>
      <c r="K167" s="11">
        <v>0</v>
      </c>
      <c r="L167" s="11">
        <v>0</v>
      </c>
      <c r="M167" s="11">
        <v>0</v>
      </c>
      <c r="N167" s="11">
        <v>0</v>
      </c>
      <c r="O167" s="11">
        <v>0</v>
      </c>
      <c r="P167" s="11">
        <v>0</v>
      </c>
      <c r="Q167" s="12">
        <v>0</v>
      </c>
      <c r="R167" s="12">
        <v>0</v>
      </c>
      <c r="S167" s="12">
        <f>$G$167*$G$8+$H$167*$H$8+$I$167*$I$8+$J$167*$J$8+$K$167*$K$8+$L$167*$L$8+$M$167*$M$8+$N$167*$N$8+$O$167*$O$8+$P$167*$P$8</f>
        <v>0</v>
      </c>
      <c r="T167" s="12">
        <f>SUM($Q$167:$R$167)</f>
        <v>0</v>
      </c>
      <c r="U167" s="12">
        <f>$S$167+$T$167</f>
        <v>0</v>
      </c>
    </row>
    <row r="168" spans="1:21" x14ac:dyDescent="0.3">
      <c r="A168" s="13" t="s">
        <v>623</v>
      </c>
      <c r="B168" s="14" t="s">
        <v>624</v>
      </c>
      <c r="C168" s="14"/>
      <c r="D168" s="14" t="s">
        <v>625</v>
      </c>
      <c r="E168" s="14">
        <f xml:space="preserve"> IF($U$168,1,0)</f>
        <v>0</v>
      </c>
      <c r="F168" s="14" t="s">
        <v>626</v>
      </c>
      <c r="G168" s="14">
        <v>0</v>
      </c>
      <c r="H168" s="14">
        <v>0</v>
      </c>
      <c r="I168" s="14">
        <v>0</v>
      </c>
      <c r="J168" s="14">
        <v>0</v>
      </c>
      <c r="K168" s="14">
        <v>0</v>
      </c>
      <c r="L168" s="14">
        <v>0</v>
      </c>
      <c r="M168" s="14">
        <v>0</v>
      </c>
      <c r="N168" s="14">
        <v>0</v>
      </c>
      <c r="O168" s="14">
        <v>0</v>
      </c>
      <c r="P168" s="14">
        <v>0</v>
      </c>
      <c r="Q168" s="15">
        <v>0</v>
      </c>
      <c r="R168" s="15">
        <v>0</v>
      </c>
      <c r="S168" s="15">
        <f>$G$168*$G$8+$H$168*$H$8+$I$168*$I$8+$J$168*$J$8+$K$168*$K$8+$L$168*$L$8+$M$168*$M$8+$N$168*$N$8+$O$168*$O$8+$P$168*$P$8</f>
        <v>0</v>
      </c>
      <c r="T168" s="15">
        <f>SUM($Q$168:$R$168)</f>
        <v>0</v>
      </c>
      <c r="U168" s="15">
        <f>$S$168+$T$168</f>
        <v>0</v>
      </c>
    </row>
    <row r="169" spans="1:21" x14ac:dyDescent="0.3">
      <c r="A169" s="10" t="s">
        <v>627</v>
      </c>
      <c r="B169" s="11" t="s">
        <v>624</v>
      </c>
      <c r="C169" s="11"/>
      <c r="D169" s="11" t="s">
        <v>628</v>
      </c>
      <c r="E169" s="11">
        <f xml:space="preserve"> IF($U$169,1,0)</f>
        <v>0</v>
      </c>
      <c r="F169" s="11" t="s">
        <v>629</v>
      </c>
      <c r="G169" s="11">
        <v>0</v>
      </c>
      <c r="H169" s="11">
        <v>0</v>
      </c>
      <c r="I169" s="11">
        <v>0</v>
      </c>
      <c r="J169" s="11">
        <v>0</v>
      </c>
      <c r="K169" s="11">
        <v>0</v>
      </c>
      <c r="L169" s="11">
        <v>0</v>
      </c>
      <c r="M169" s="11">
        <v>0</v>
      </c>
      <c r="N169" s="11">
        <v>0</v>
      </c>
      <c r="O169" s="11">
        <v>0</v>
      </c>
      <c r="P169" s="11">
        <v>0</v>
      </c>
      <c r="Q169" s="12">
        <v>0</v>
      </c>
      <c r="R169" s="12">
        <v>0</v>
      </c>
      <c r="S169" s="12">
        <f>$G$169*$G$8+$H$169*$H$8+$I$169*$I$8+$J$169*$J$8+$K$169*$K$8+$L$169*$L$8+$M$169*$M$8+$N$169*$N$8+$O$169*$O$8+$P$169*$P$8</f>
        <v>0</v>
      </c>
      <c r="T169" s="12">
        <f>SUM($Q$169:$R$169)</f>
        <v>0</v>
      </c>
      <c r="U169" s="12">
        <f>$S$169+$T$169</f>
        <v>0</v>
      </c>
    </row>
    <row r="170" spans="1:21" x14ac:dyDescent="0.3">
      <c r="A170" s="13" t="s">
        <v>630</v>
      </c>
      <c r="B170" s="14" t="s">
        <v>631</v>
      </c>
      <c r="C170" s="14"/>
      <c r="D170" s="14" t="s">
        <v>632</v>
      </c>
      <c r="E170" s="14">
        <f xml:space="preserve"> IF($U$170,1,0)</f>
        <v>1</v>
      </c>
      <c r="F170" s="14" t="s">
        <v>633</v>
      </c>
      <c r="G170" s="14">
        <v>4</v>
      </c>
      <c r="H170" s="14">
        <v>1</v>
      </c>
      <c r="I170" s="14">
        <v>2</v>
      </c>
      <c r="J170" s="14">
        <v>0</v>
      </c>
      <c r="K170" s="14">
        <v>0</v>
      </c>
      <c r="L170" s="14">
        <v>0</v>
      </c>
      <c r="M170" s="14">
        <v>0</v>
      </c>
      <c r="N170" s="14">
        <v>0</v>
      </c>
      <c r="O170" s="14">
        <v>0</v>
      </c>
      <c r="P170" s="14">
        <v>0</v>
      </c>
      <c r="Q170" s="15">
        <v>0</v>
      </c>
      <c r="R170" s="15">
        <v>0</v>
      </c>
      <c r="S170" s="15">
        <f>$G$170*$G$8+$H$170*$H$8+$I$170*$I$8+$J$170*$J$8+$K$170*$K$8+$L$170*$L$8+$M$170*$M$8+$N$170*$N$8+$O$170*$O$8+$P$170*$P$8</f>
        <v>6.6</v>
      </c>
      <c r="T170" s="15">
        <f>SUM($Q$170:$R$170)</f>
        <v>0</v>
      </c>
      <c r="U170" s="15">
        <f>$S$170+$T$170</f>
        <v>6.6</v>
      </c>
    </row>
    <row r="171" spans="1:21" x14ac:dyDescent="0.3">
      <c r="A171" s="10" t="s">
        <v>634</v>
      </c>
      <c r="B171" s="11" t="s">
        <v>635</v>
      </c>
      <c r="C171" s="11"/>
      <c r="D171" s="11" t="s">
        <v>636</v>
      </c>
      <c r="E171" s="11">
        <f xml:space="preserve"> IF($U$171,1,0)</f>
        <v>0</v>
      </c>
      <c r="F171" s="11" t="s">
        <v>637</v>
      </c>
      <c r="G171" s="11">
        <v>0</v>
      </c>
      <c r="H171" s="11">
        <v>0</v>
      </c>
      <c r="I171" s="11">
        <v>0</v>
      </c>
      <c r="J171" s="11">
        <v>0</v>
      </c>
      <c r="K171" s="11">
        <v>0</v>
      </c>
      <c r="L171" s="11">
        <v>0</v>
      </c>
      <c r="M171" s="11">
        <v>0</v>
      </c>
      <c r="N171" s="11">
        <v>0</v>
      </c>
      <c r="O171" s="11">
        <v>0</v>
      </c>
      <c r="P171" s="11">
        <v>0</v>
      </c>
      <c r="Q171" s="12">
        <v>0</v>
      </c>
      <c r="R171" s="12">
        <v>0</v>
      </c>
      <c r="S171" s="12">
        <f>$G$171*$G$8+$H$171*$H$8+$I$171*$I$8+$J$171*$J$8+$K$171*$K$8+$L$171*$L$8+$M$171*$M$8+$N$171*$N$8+$O$171*$O$8+$P$171*$P$8</f>
        <v>0</v>
      </c>
      <c r="T171" s="12">
        <f>SUM($Q$171:$R$171)</f>
        <v>0</v>
      </c>
      <c r="U171" s="12">
        <f>$S$171+$T$171</f>
        <v>0</v>
      </c>
    </row>
    <row r="172" spans="1:21" x14ac:dyDescent="0.3">
      <c r="A172" s="13" t="s">
        <v>638</v>
      </c>
      <c r="B172" s="14" t="s">
        <v>639</v>
      </c>
      <c r="C172" s="14"/>
      <c r="D172" s="14" t="s">
        <v>274</v>
      </c>
      <c r="E172" s="14">
        <f xml:space="preserve"> IF($U$172,1,0)</f>
        <v>0</v>
      </c>
      <c r="F172" s="14" t="s">
        <v>640</v>
      </c>
      <c r="G172" s="14">
        <v>0</v>
      </c>
      <c r="H172" s="14">
        <v>0</v>
      </c>
      <c r="I172" s="14">
        <v>0</v>
      </c>
      <c r="J172" s="14">
        <v>0</v>
      </c>
      <c r="K172" s="14">
        <v>0</v>
      </c>
      <c r="L172" s="14">
        <v>0</v>
      </c>
      <c r="M172" s="14">
        <v>0</v>
      </c>
      <c r="N172" s="14">
        <v>0</v>
      </c>
      <c r="O172" s="14">
        <v>0</v>
      </c>
      <c r="P172" s="14">
        <v>0</v>
      </c>
      <c r="Q172" s="15">
        <v>0</v>
      </c>
      <c r="R172" s="15">
        <v>0</v>
      </c>
      <c r="S172" s="15">
        <f>$G$172*$G$8+$H$172*$H$8+$I$172*$I$8+$J$172*$J$8+$K$172*$K$8+$L$172*$L$8+$M$172*$M$8+$N$172*$N$8+$O$172*$O$8+$P$172*$P$8</f>
        <v>0</v>
      </c>
      <c r="T172" s="15">
        <f>SUM($Q$172:$R$172)</f>
        <v>0</v>
      </c>
      <c r="U172" s="15">
        <f>$S$172+$T$172</f>
        <v>0</v>
      </c>
    </row>
    <row r="173" spans="1:21" x14ac:dyDescent="0.3">
      <c r="A173" s="10" t="s">
        <v>641</v>
      </c>
      <c r="B173" s="11" t="s">
        <v>642</v>
      </c>
      <c r="C173" s="11"/>
      <c r="D173" s="11" t="s">
        <v>643</v>
      </c>
      <c r="E173" s="11">
        <f xml:space="preserve"> IF($U$173,1,0)</f>
        <v>0</v>
      </c>
      <c r="F173" s="11" t="s">
        <v>644</v>
      </c>
      <c r="G173" s="11">
        <v>0</v>
      </c>
      <c r="H173" s="11">
        <v>0</v>
      </c>
      <c r="I173" s="11">
        <v>0</v>
      </c>
      <c r="J173" s="11">
        <v>0</v>
      </c>
      <c r="K173" s="11">
        <v>0</v>
      </c>
      <c r="L173" s="11">
        <v>0</v>
      </c>
      <c r="M173" s="11">
        <v>0</v>
      </c>
      <c r="N173" s="11">
        <v>0</v>
      </c>
      <c r="O173" s="11">
        <v>0</v>
      </c>
      <c r="P173" s="11">
        <v>0</v>
      </c>
      <c r="Q173" s="12">
        <v>0</v>
      </c>
      <c r="R173" s="12">
        <v>0</v>
      </c>
      <c r="S173" s="12">
        <f>$G$173*$G$8+$H$173*$H$8+$I$173*$I$8+$J$173*$J$8+$K$173*$K$8+$L$173*$L$8+$M$173*$M$8+$N$173*$N$8+$O$173*$O$8+$P$173*$P$8</f>
        <v>0</v>
      </c>
      <c r="T173" s="12">
        <f>SUM($Q$173:$R$173)</f>
        <v>0</v>
      </c>
      <c r="U173" s="12">
        <f>$S$173+$T$173</f>
        <v>0</v>
      </c>
    </row>
    <row r="174" spans="1:21" x14ac:dyDescent="0.3">
      <c r="A174" s="13" t="s">
        <v>645</v>
      </c>
      <c r="B174" s="14" t="s">
        <v>646</v>
      </c>
      <c r="C174" s="14"/>
      <c r="D174" s="14" t="s">
        <v>647</v>
      </c>
      <c r="E174" s="14">
        <f xml:space="preserve"> IF($U$174,1,0)</f>
        <v>0</v>
      </c>
      <c r="F174" s="14" t="s">
        <v>648</v>
      </c>
      <c r="G174" s="14">
        <v>0</v>
      </c>
      <c r="H174" s="14">
        <v>0</v>
      </c>
      <c r="I174" s="14">
        <v>0</v>
      </c>
      <c r="J174" s="14">
        <v>0</v>
      </c>
      <c r="K174" s="14">
        <v>0</v>
      </c>
      <c r="L174" s="14">
        <v>0</v>
      </c>
      <c r="M174" s="14">
        <v>0</v>
      </c>
      <c r="N174" s="14">
        <v>0</v>
      </c>
      <c r="O174" s="14">
        <v>0</v>
      </c>
      <c r="P174" s="14">
        <v>0</v>
      </c>
      <c r="Q174" s="15">
        <v>0</v>
      </c>
      <c r="R174" s="15">
        <v>0</v>
      </c>
      <c r="S174" s="15">
        <f>$G$174*$G$8+$H$174*$H$8+$I$174*$I$8+$J$174*$J$8+$K$174*$K$8+$L$174*$L$8+$M$174*$M$8+$N$174*$N$8+$O$174*$O$8+$P$174*$P$8</f>
        <v>0</v>
      </c>
      <c r="T174" s="15">
        <f>SUM($Q$174:$R$174)</f>
        <v>0</v>
      </c>
      <c r="U174" s="15">
        <f>$S$174+$T$174</f>
        <v>0</v>
      </c>
    </row>
    <row r="175" spans="1:21" x14ac:dyDescent="0.3">
      <c r="A175" s="10" t="s">
        <v>649</v>
      </c>
      <c r="B175" s="11" t="s">
        <v>650</v>
      </c>
      <c r="C175" s="11"/>
      <c r="D175" s="11" t="s">
        <v>651</v>
      </c>
      <c r="E175" s="11">
        <f xml:space="preserve"> IF($U$175,1,0)</f>
        <v>0</v>
      </c>
      <c r="F175" s="11" t="s">
        <v>652</v>
      </c>
      <c r="G175" s="11">
        <v>0</v>
      </c>
      <c r="H175" s="11">
        <v>0</v>
      </c>
      <c r="I175" s="11">
        <v>0</v>
      </c>
      <c r="J175" s="11">
        <v>0</v>
      </c>
      <c r="K175" s="11">
        <v>0</v>
      </c>
      <c r="L175" s="11">
        <v>0</v>
      </c>
      <c r="M175" s="11">
        <v>0</v>
      </c>
      <c r="N175" s="11">
        <v>0</v>
      </c>
      <c r="O175" s="11">
        <v>0</v>
      </c>
      <c r="P175" s="11">
        <v>0</v>
      </c>
      <c r="Q175" s="12">
        <v>0</v>
      </c>
      <c r="R175" s="12">
        <v>0</v>
      </c>
      <c r="S175" s="12">
        <f>$G$175*$G$8+$H$175*$H$8+$I$175*$I$8+$J$175*$J$8+$K$175*$K$8+$L$175*$L$8+$M$175*$M$8+$N$175*$N$8+$O$175*$O$8+$P$175*$P$8</f>
        <v>0</v>
      </c>
      <c r="T175" s="12">
        <f>SUM($Q$175:$R$175)</f>
        <v>0</v>
      </c>
      <c r="U175" s="12">
        <f>$S$175+$T$175</f>
        <v>0</v>
      </c>
    </row>
    <row r="176" spans="1:21" x14ac:dyDescent="0.3">
      <c r="A176" s="13" t="s">
        <v>653</v>
      </c>
      <c r="B176" s="14" t="s">
        <v>654</v>
      </c>
      <c r="C176" s="14"/>
      <c r="D176" s="14" t="s">
        <v>655</v>
      </c>
      <c r="E176" s="14">
        <f xml:space="preserve"> IF($U$176,1,0)</f>
        <v>0</v>
      </c>
      <c r="F176" s="14" t="s">
        <v>656</v>
      </c>
      <c r="G176" s="14">
        <v>0</v>
      </c>
      <c r="H176" s="14">
        <v>0</v>
      </c>
      <c r="I176" s="14">
        <v>0</v>
      </c>
      <c r="J176" s="14">
        <v>0</v>
      </c>
      <c r="K176" s="14">
        <v>0</v>
      </c>
      <c r="L176" s="14">
        <v>0</v>
      </c>
      <c r="M176" s="14">
        <v>0</v>
      </c>
      <c r="N176" s="14">
        <v>0</v>
      </c>
      <c r="O176" s="14">
        <v>0</v>
      </c>
      <c r="P176" s="14">
        <v>0</v>
      </c>
      <c r="Q176" s="15">
        <v>0</v>
      </c>
      <c r="R176" s="15">
        <v>0</v>
      </c>
      <c r="S176" s="15">
        <f>$G$176*$G$8+$H$176*$H$8+$I$176*$I$8+$J$176*$J$8+$K$176*$K$8+$L$176*$L$8+$M$176*$M$8+$N$176*$N$8+$O$176*$O$8+$P$176*$P$8</f>
        <v>0</v>
      </c>
      <c r="T176" s="15">
        <f>SUM($Q$176:$R$176)</f>
        <v>0</v>
      </c>
      <c r="U176" s="15">
        <f>$S$176+$T$176</f>
        <v>0</v>
      </c>
    </row>
    <row r="177" spans="1:21" x14ac:dyDescent="0.3">
      <c r="A177" s="10" t="s">
        <v>657</v>
      </c>
      <c r="B177" s="11" t="s">
        <v>658</v>
      </c>
      <c r="C177" s="11"/>
      <c r="D177" s="11" t="s">
        <v>659</v>
      </c>
      <c r="E177" s="11">
        <f xml:space="preserve"> IF($U$177,1,0)</f>
        <v>0</v>
      </c>
      <c r="F177" s="11" t="s">
        <v>660</v>
      </c>
      <c r="G177" s="11">
        <v>0</v>
      </c>
      <c r="H177" s="11">
        <v>0</v>
      </c>
      <c r="I177" s="11">
        <v>0</v>
      </c>
      <c r="J177" s="11">
        <v>0</v>
      </c>
      <c r="K177" s="11">
        <v>0</v>
      </c>
      <c r="L177" s="11">
        <v>0</v>
      </c>
      <c r="M177" s="11">
        <v>0</v>
      </c>
      <c r="N177" s="11">
        <v>0</v>
      </c>
      <c r="O177" s="11">
        <v>0</v>
      </c>
      <c r="P177" s="11">
        <v>0</v>
      </c>
      <c r="Q177" s="12">
        <v>0</v>
      </c>
      <c r="R177" s="12">
        <v>0</v>
      </c>
      <c r="S177" s="12">
        <f>$G$177*$G$8+$H$177*$H$8+$I$177*$I$8+$J$177*$J$8+$K$177*$K$8+$L$177*$L$8+$M$177*$M$8+$N$177*$N$8+$O$177*$O$8+$P$177*$P$8</f>
        <v>0</v>
      </c>
      <c r="T177" s="12">
        <f>SUM($Q$177:$R$177)</f>
        <v>0</v>
      </c>
      <c r="U177" s="12">
        <f>$S$177+$T$177</f>
        <v>0</v>
      </c>
    </row>
    <row r="178" spans="1:21" x14ac:dyDescent="0.3">
      <c r="A178" s="13" t="s">
        <v>661</v>
      </c>
      <c r="B178" s="14" t="s">
        <v>658</v>
      </c>
      <c r="C178" s="14" t="s">
        <v>202</v>
      </c>
      <c r="D178" s="14" t="s">
        <v>662</v>
      </c>
      <c r="E178" s="14">
        <f xml:space="preserve"> IF($U$178,1,0)</f>
        <v>0</v>
      </c>
      <c r="F178" s="14" t="s">
        <v>663</v>
      </c>
      <c r="G178" s="14">
        <v>0</v>
      </c>
      <c r="H178" s="14">
        <v>0</v>
      </c>
      <c r="I178" s="14">
        <v>0</v>
      </c>
      <c r="J178" s="14">
        <v>0</v>
      </c>
      <c r="K178" s="14">
        <v>0</v>
      </c>
      <c r="L178" s="14">
        <v>0</v>
      </c>
      <c r="M178" s="14">
        <v>0</v>
      </c>
      <c r="N178" s="14">
        <v>0</v>
      </c>
      <c r="O178" s="14">
        <v>0</v>
      </c>
      <c r="P178" s="14">
        <v>0</v>
      </c>
      <c r="Q178" s="15">
        <v>0</v>
      </c>
      <c r="R178" s="15">
        <v>0</v>
      </c>
      <c r="S178" s="15">
        <f>$G$178*$G$8+$H$178*$H$8+$I$178*$I$8+$J$178*$J$8+$K$178*$K$8+$L$178*$L$8+$M$178*$M$8+$N$178*$N$8+$O$178*$O$8+$P$178*$P$8</f>
        <v>0</v>
      </c>
      <c r="T178" s="15">
        <f>SUM($Q$178:$R$178)</f>
        <v>0</v>
      </c>
      <c r="U178" s="15">
        <f>$S$178+$T$178</f>
        <v>0</v>
      </c>
    </row>
    <row r="179" spans="1:21" x14ac:dyDescent="0.3">
      <c r="A179" s="10" t="s">
        <v>664</v>
      </c>
      <c r="B179" s="11" t="s">
        <v>665</v>
      </c>
      <c r="C179" s="11"/>
      <c r="D179" s="11" t="s">
        <v>666</v>
      </c>
      <c r="E179" s="11">
        <f xml:space="preserve"> IF($U$179,1,0)</f>
        <v>0</v>
      </c>
      <c r="F179" s="11" t="s">
        <v>667</v>
      </c>
      <c r="G179" s="11">
        <v>0</v>
      </c>
      <c r="H179" s="11">
        <v>0</v>
      </c>
      <c r="I179" s="11">
        <v>0</v>
      </c>
      <c r="J179" s="11">
        <v>0</v>
      </c>
      <c r="K179" s="11">
        <v>0</v>
      </c>
      <c r="L179" s="11">
        <v>0</v>
      </c>
      <c r="M179" s="11">
        <v>0</v>
      </c>
      <c r="N179" s="11">
        <v>0</v>
      </c>
      <c r="O179" s="11">
        <v>0</v>
      </c>
      <c r="P179" s="11">
        <v>0</v>
      </c>
      <c r="Q179" s="12">
        <v>0</v>
      </c>
      <c r="R179" s="12">
        <v>0</v>
      </c>
      <c r="S179" s="12">
        <f>$G$179*$G$8+$H$179*$H$8+$I$179*$I$8+$J$179*$J$8+$K$179*$K$8+$L$179*$L$8+$M$179*$M$8+$N$179*$N$8+$O$179*$O$8+$P$179*$P$8</f>
        <v>0</v>
      </c>
      <c r="T179" s="12">
        <f>SUM($Q$179:$R$179)</f>
        <v>0</v>
      </c>
      <c r="U179" s="12">
        <f>$S$179+$T$179</f>
        <v>0</v>
      </c>
    </row>
    <row r="180" spans="1:21" x14ac:dyDescent="0.3">
      <c r="A180" s="13" t="s">
        <v>668</v>
      </c>
      <c r="B180" s="14" t="s">
        <v>669</v>
      </c>
      <c r="C180" s="14"/>
      <c r="D180" s="14" t="s">
        <v>670</v>
      </c>
      <c r="E180" s="14">
        <f xml:space="preserve"> IF($U$180,1,0)</f>
        <v>0</v>
      </c>
      <c r="F180" s="14" t="s">
        <v>671</v>
      </c>
      <c r="G180" s="14">
        <v>0</v>
      </c>
      <c r="H180" s="14">
        <v>0</v>
      </c>
      <c r="I180" s="14">
        <v>0</v>
      </c>
      <c r="J180" s="14">
        <v>0</v>
      </c>
      <c r="K180" s="14">
        <v>0</v>
      </c>
      <c r="L180" s="14">
        <v>0</v>
      </c>
      <c r="M180" s="14">
        <v>0</v>
      </c>
      <c r="N180" s="14">
        <v>0</v>
      </c>
      <c r="O180" s="14">
        <v>0</v>
      </c>
      <c r="P180" s="14">
        <v>0</v>
      </c>
      <c r="Q180" s="15">
        <v>0</v>
      </c>
      <c r="R180" s="15">
        <v>0</v>
      </c>
      <c r="S180" s="15">
        <f>$G$180*$G$8+$H$180*$H$8+$I$180*$I$8+$J$180*$J$8+$K$180*$K$8+$L$180*$L$8+$M$180*$M$8+$N$180*$N$8+$O$180*$O$8+$P$180*$P$8</f>
        <v>0</v>
      </c>
      <c r="T180" s="15">
        <f>SUM($Q$180:$R$180)</f>
        <v>0</v>
      </c>
      <c r="U180" s="15">
        <f>$S$180+$T$180</f>
        <v>0</v>
      </c>
    </row>
    <row r="181" spans="1:21" x14ac:dyDescent="0.3">
      <c r="A181" s="10" t="s">
        <v>672</v>
      </c>
      <c r="B181" s="11" t="s">
        <v>673</v>
      </c>
      <c r="C181" s="11"/>
      <c r="D181" s="11" t="s">
        <v>674</v>
      </c>
      <c r="E181" s="11">
        <f xml:space="preserve"> IF($U$181,1,0)</f>
        <v>0</v>
      </c>
      <c r="F181" s="11" t="s">
        <v>675</v>
      </c>
      <c r="G181" s="11">
        <v>0</v>
      </c>
      <c r="H181" s="11">
        <v>0</v>
      </c>
      <c r="I181" s="11">
        <v>0</v>
      </c>
      <c r="J181" s="11">
        <v>0</v>
      </c>
      <c r="K181" s="11">
        <v>0</v>
      </c>
      <c r="L181" s="11">
        <v>0</v>
      </c>
      <c r="M181" s="11">
        <v>0</v>
      </c>
      <c r="N181" s="11">
        <v>0</v>
      </c>
      <c r="O181" s="11">
        <v>0</v>
      </c>
      <c r="P181" s="11">
        <v>0</v>
      </c>
      <c r="Q181" s="12">
        <v>0</v>
      </c>
      <c r="R181" s="12">
        <v>0</v>
      </c>
      <c r="S181" s="12">
        <f>$G$181*$G$8+$H$181*$H$8+$I$181*$I$8+$J$181*$J$8+$K$181*$K$8+$L$181*$L$8+$M$181*$M$8+$N$181*$N$8+$O$181*$O$8+$P$181*$P$8</f>
        <v>0</v>
      </c>
      <c r="T181" s="12">
        <f>SUM($Q$181:$R$181)</f>
        <v>0</v>
      </c>
      <c r="U181" s="12">
        <f>$S$181+$T$181</f>
        <v>0</v>
      </c>
    </row>
    <row r="182" spans="1:21" x14ac:dyDescent="0.3">
      <c r="A182" s="13" t="s">
        <v>676</v>
      </c>
      <c r="B182" s="14" t="s">
        <v>677</v>
      </c>
      <c r="C182" s="14"/>
      <c r="D182" s="14" t="s">
        <v>678</v>
      </c>
      <c r="E182" s="14">
        <f xml:space="preserve"> IF($U$182,1,0)</f>
        <v>0</v>
      </c>
      <c r="F182" s="14" t="s">
        <v>679</v>
      </c>
      <c r="G182" s="14">
        <v>0</v>
      </c>
      <c r="H182" s="14">
        <v>0</v>
      </c>
      <c r="I182" s="14">
        <v>0</v>
      </c>
      <c r="J182" s="14">
        <v>0</v>
      </c>
      <c r="K182" s="14">
        <v>0</v>
      </c>
      <c r="L182" s="14">
        <v>0</v>
      </c>
      <c r="M182" s="14">
        <v>0</v>
      </c>
      <c r="N182" s="14">
        <v>0</v>
      </c>
      <c r="O182" s="14">
        <v>0</v>
      </c>
      <c r="P182" s="14">
        <v>0</v>
      </c>
      <c r="Q182" s="15">
        <v>0</v>
      </c>
      <c r="R182" s="15">
        <v>0</v>
      </c>
      <c r="S182" s="15">
        <f>$G$182*$G$8+$H$182*$H$8+$I$182*$I$8+$J$182*$J$8+$K$182*$K$8+$L$182*$L$8+$M$182*$M$8+$N$182*$N$8+$O$182*$O$8+$P$182*$P$8</f>
        <v>0</v>
      </c>
      <c r="T182" s="15">
        <f>SUM($Q$182:$R$182)</f>
        <v>0</v>
      </c>
      <c r="U182" s="15">
        <f>$S$182+$T$182</f>
        <v>0</v>
      </c>
    </row>
    <row r="183" spans="1:21" x14ac:dyDescent="0.3">
      <c r="A183" s="10" t="s">
        <v>680</v>
      </c>
      <c r="B183" s="11" t="s">
        <v>681</v>
      </c>
      <c r="C183" s="11"/>
      <c r="D183" s="11" t="s">
        <v>682</v>
      </c>
      <c r="E183" s="11">
        <f xml:space="preserve"> IF($U$183,1,0)</f>
        <v>0</v>
      </c>
      <c r="F183" s="11" t="s">
        <v>683</v>
      </c>
      <c r="G183" s="11">
        <v>0</v>
      </c>
      <c r="H183" s="11">
        <v>0</v>
      </c>
      <c r="I183" s="11">
        <v>0</v>
      </c>
      <c r="J183" s="11">
        <v>0</v>
      </c>
      <c r="K183" s="11">
        <v>0</v>
      </c>
      <c r="L183" s="11">
        <v>0</v>
      </c>
      <c r="M183" s="11">
        <v>0</v>
      </c>
      <c r="N183" s="11">
        <v>0</v>
      </c>
      <c r="O183" s="11">
        <v>0</v>
      </c>
      <c r="P183" s="11">
        <v>0</v>
      </c>
      <c r="Q183" s="12">
        <v>0</v>
      </c>
      <c r="R183" s="12">
        <v>0</v>
      </c>
      <c r="S183" s="12">
        <f>$G$183*$G$8+$H$183*$H$8+$I$183*$I$8+$J$183*$J$8+$K$183*$K$8+$L$183*$L$8+$M$183*$M$8+$N$183*$N$8+$O$183*$O$8+$P$183*$P$8</f>
        <v>0</v>
      </c>
      <c r="T183" s="12">
        <f>SUM($Q$183:$R$183)</f>
        <v>0</v>
      </c>
      <c r="U183" s="12">
        <f>$S$183+$T$183</f>
        <v>0</v>
      </c>
    </row>
    <row r="184" spans="1:21" x14ac:dyDescent="0.3">
      <c r="A184" s="13" t="s">
        <v>684</v>
      </c>
      <c r="B184" s="14" t="s">
        <v>685</v>
      </c>
      <c r="C184" s="14"/>
      <c r="D184" s="14" t="s">
        <v>686</v>
      </c>
      <c r="E184" s="14">
        <f xml:space="preserve"> IF($U$184,1,0)</f>
        <v>1</v>
      </c>
      <c r="F184" s="14" t="s">
        <v>687</v>
      </c>
      <c r="G184" s="14">
        <v>4</v>
      </c>
      <c r="H184" s="14">
        <v>0</v>
      </c>
      <c r="I184" s="14">
        <v>0</v>
      </c>
      <c r="J184" s="14">
        <v>0</v>
      </c>
      <c r="K184" s="14">
        <v>0</v>
      </c>
      <c r="L184" s="14">
        <v>0</v>
      </c>
      <c r="M184" s="14">
        <v>0</v>
      </c>
      <c r="N184" s="14">
        <v>0</v>
      </c>
      <c r="O184" s="14">
        <v>0</v>
      </c>
      <c r="P184" s="14">
        <v>0</v>
      </c>
      <c r="Q184" s="15">
        <v>0</v>
      </c>
      <c r="R184" s="15">
        <v>0</v>
      </c>
      <c r="S184" s="15">
        <f>$G$184*$G$8+$H$184*$H$8+$I$184*$I$8+$J$184*$J$8+$K$184*$K$8+$L$184*$L$8+$M$184*$M$8+$N$184*$N$8+$O$184*$O$8+$P$184*$P$8</f>
        <v>2.8</v>
      </c>
      <c r="T184" s="15">
        <f>SUM($Q$184:$R$184)</f>
        <v>0</v>
      </c>
      <c r="U184" s="15">
        <f>$S$184+$T$184</f>
        <v>2.8</v>
      </c>
    </row>
    <row r="185" spans="1:21" x14ac:dyDescent="0.3">
      <c r="A185" s="10" t="s">
        <v>688</v>
      </c>
      <c r="B185" s="11" t="s">
        <v>689</v>
      </c>
      <c r="C185" s="11"/>
      <c r="D185" s="11" t="s">
        <v>690</v>
      </c>
      <c r="E185" s="11">
        <f xml:space="preserve"> IF($U$185,1,0)</f>
        <v>1</v>
      </c>
      <c r="F185" s="11" t="s">
        <v>691</v>
      </c>
      <c r="G185" s="11">
        <v>6</v>
      </c>
      <c r="H185" s="11">
        <v>0</v>
      </c>
      <c r="I185" s="11">
        <v>0</v>
      </c>
      <c r="J185" s="11">
        <v>0</v>
      </c>
      <c r="K185" s="11">
        <v>0</v>
      </c>
      <c r="L185" s="11">
        <v>0</v>
      </c>
      <c r="M185" s="11">
        <v>0</v>
      </c>
      <c r="N185" s="11">
        <v>0</v>
      </c>
      <c r="O185" s="11">
        <v>0</v>
      </c>
      <c r="P185" s="11">
        <v>0</v>
      </c>
      <c r="Q185" s="12">
        <v>0</v>
      </c>
      <c r="R185" s="12">
        <v>0</v>
      </c>
      <c r="S185" s="12">
        <f>$G$185*$G$8+$H$185*$H$8+$I$185*$I$8+$J$185*$J$8+$K$185*$K$8+$L$185*$L$8+$M$185*$M$8+$N$185*$N$8+$O$185*$O$8+$P$185*$P$8</f>
        <v>4.1999999999999993</v>
      </c>
      <c r="T185" s="12">
        <f>SUM($Q$185:$R$185)</f>
        <v>0</v>
      </c>
      <c r="U185" s="12">
        <f>$S$185+$T$185</f>
        <v>4.1999999999999993</v>
      </c>
    </row>
    <row r="186" spans="1:21" x14ac:dyDescent="0.3">
      <c r="A186" s="13" t="s">
        <v>692</v>
      </c>
      <c r="B186" s="14" t="s">
        <v>693</v>
      </c>
      <c r="C186" s="14" t="s">
        <v>65</v>
      </c>
      <c r="D186" s="14" t="s">
        <v>694</v>
      </c>
      <c r="E186" s="14">
        <f xml:space="preserve"> IF($U$186,1,0)</f>
        <v>1</v>
      </c>
      <c r="F186" s="14" t="s">
        <v>695</v>
      </c>
      <c r="G186" s="14">
        <v>0</v>
      </c>
      <c r="H186" s="14">
        <v>0</v>
      </c>
      <c r="I186" s="14">
        <v>1</v>
      </c>
      <c r="J186" s="14">
        <v>0</v>
      </c>
      <c r="K186" s="14">
        <v>0</v>
      </c>
      <c r="L186" s="14">
        <v>0</v>
      </c>
      <c r="M186" s="14">
        <v>0</v>
      </c>
      <c r="N186" s="14">
        <v>0</v>
      </c>
      <c r="O186" s="14">
        <v>0</v>
      </c>
      <c r="P186" s="14">
        <v>0</v>
      </c>
      <c r="Q186" s="15">
        <v>0</v>
      </c>
      <c r="R186" s="15">
        <v>0</v>
      </c>
      <c r="S186" s="15">
        <f>$G$186*$G$8+$H$186*$H$8+$I$186*$I$8+$J$186*$J$8+$K$186*$K$8+$L$186*$L$8+$M$186*$M$8+$N$186*$N$8+$O$186*$O$8+$P$186*$P$8</f>
        <v>1</v>
      </c>
      <c r="T186" s="15">
        <f>SUM($Q$186:$R$186)</f>
        <v>0</v>
      </c>
      <c r="U186" s="15">
        <f>$S$186+$T$186</f>
        <v>1</v>
      </c>
    </row>
    <row r="187" spans="1:21" x14ac:dyDescent="0.3">
      <c r="A187" s="10" t="s">
        <v>696</v>
      </c>
      <c r="B187" s="11" t="s">
        <v>697</v>
      </c>
      <c r="C187" s="11"/>
      <c r="D187" s="11" t="s">
        <v>698</v>
      </c>
      <c r="E187" s="11">
        <f xml:space="preserve"> IF($U$187,1,0)</f>
        <v>1</v>
      </c>
      <c r="F187" s="11" t="s">
        <v>699</v>
      </c>
      <c r="G187" s="11">
        <v>0</v>
      </c>
      <c r="H187" s="11">
        <v>0</v>
      </c>
      <c r="I187" s="11">
        <v>0</v>
      </c>
      <c r="J187" s="11">
        <v>0</v>
      </c>
      <c r="K187" s="11">
        <v>0</v>
      </c>
      <c r="L187" s="11">
        <v>0</v>
      </c>
      <c r="M187" s="11">
        <v>0</v>
      </c>
      <c r="N187" s="11">
        <v>0</v>
      </c>
      <c r="O187" s="11">
        <v>1</v>
      </c>
      <c r="P187" s="11">
        <v>0</v>
      </c>
      <c r="Q187" s="12">
        <v>0</v>
      </c>
      <c r="R187" s="12">
        <v>0</v>
      </c>
      <c r="S187" s="12">
        <f>$G$187*$G$8+$H$187*$H$8+$I$187*$I$8+$J$187*$J$8+$K$187*$K$8+$L$187*$L$8+$M$187*$M$8+$N$187*$N$8+$O$187*$O$8+$P$187*$P$8</f>
        <v>0.5</v>
      </c>
      <c r="T187" s="12">
        <f>SUM($Q$187:$R$187)</f>
        <v>0</v>
      </c>
      <c r="U187" s="12">
        <f>$S$187+$T$187</f>
        <v>0.5</v>
      </c>
    </row>
    <row r="188" spans="1:21" x14ac:dyDescent="0.3">
      <c r="A188" s="13" t="s">
        <v>700</v>
      </c>
      <c r="B188" s="14" t="s">
        <v>697</v>
      </c>
      <c r="C188" s="14"/>
      <c r="D188" s="14" t="s">
        <v>701</v>
      </c>
      <c r="E188" s="14">
        <f xml:space="preserve"> IF($U$188,1,0)</f>
        <v>0</v>
      </c>
      <c r="F188" s="14" t="s">
        <v>702</v>
      </c>
      <c r="G188" s="14">
        <v>0</v>
      </c>
      <c r="H188" s="14">
        <v>0</v>
      </c>
      <c r="I188" s="14">
        <v>0</v>
      </c>
      <c r="J188" s="14">
        <v>0</v>
      </c>
      <c r="K188" s="14">
        <v>0</v>
      </c>
      <c r="L188" s="14">
        <v>0</v>
      </c>
      <c r="M188" s="14">
        <v>0</v>
      </c>
      <c r="N188" s="14">
        <v>0</v>
      </c>
      <c r="O188" s="14">
        <v>0</v>
      </c>
      <c r="P188" s="14">
        <v>0</v>
      </c>
      <c r="Q188" s="15">
        <v>0</v>
      </c>
      <c r="R188" s="15">
        <v>0</v>
      </c>
      <c r="S188" s="15">
        <f>$G$188*$G$8+$H$188*$H$8+$I$188*$I$8+$J$188*$J$8+$K$188*$K$8+$L$188*$L$8+$M$188*$M$8+$N$188*$N$8+$O$188*$O$8+$P$188*$P$8</f>
        <v>0</v>
      </c>
      <c r="T188" s="15">
        <f>SUM($Q$188:$R$188)</f>
        <v>0</v>
      </c>
      <c r="U188" s="15">
        <f>$S$188+$T$188</f>
        <v>0</v>
      </c>
    </row>
    <row r="189" spans="1:21" x14ac:dyDescent="0.3">
      <c r="A189" s="10" t="s">
        <v>703</v>
      </c>
      <c r="B189" s="11" t="s">
        <v>704</v>
      </c>
      <c r="C189" s="11"/>
      <c r="D189" s="11" t="s">
        <v>705</v>
      </c>
      <c r="E189" s="11">
        <f xml:space="preserve"> IF($U$189,1,0)</f>
        <v>0</v>
      </c>
      <c r="F189" s="11" t="s">
        <v>706</v>
      </c>
      <c r="G189" s="11">
        <v>0</v>
      </c>
      <c r="H189" s="11">
        <v>0</v>
      </c>
      <c r="I189" s="11">
        <v>0</v>
      </c>
      <c r="J189" s="11">
        <v>0</v>
      </c>
      <c r="K189" s="11">
        <v>0</v>
      </c>
      <c r="L189" s="11">
        <v>0</v>
      </c>
      <c r="M189" s="11">
        <v>0</v>
      </c>
      <c r="N189" s="11">
        <v>0</v>
      </c>
      <c r="O189" s="11">
        <v>0</v>
      </c>
      <c r="P189" s="11">
        <v>0</v>
      </c>
      <c r="Q189" s="12">
        <v>0</v>
      </c>
      <c r="R189" s="12">
        <v>0</v>
      </c>
      <c r="S189" s="12">
        <f>$G$189*$G$8+$H$189*$H$8+$I$189*$I$8+$J$189*$J$8+$K$189*$K$8+$L$189*$L$8+$M$189*$M$8+$N$189*$N$8+$O$189*$O$8+$P$189*$P$8</f>
        <v>0</v>
      </c>
      <c r="T189" s="12">
        <f>SUM($Q$189:$R$189)</f>
        <v>0</v>
      </c>
      <c r="U189" s="12">
        <f>$S$189+$T$189</f>
        <v>0</v>
      </c>
    </row>
    <row r="190" spans="1:21" x14ac:dyDescent="0.3">
      <c r="A190" s="13" t="s">
        <v>707</v>
      </c>
      <c r="B190" s="14" t="s">
        <v>708</v>
      </c>
      <c r="C190" s="14"/>
      <c r="D190" s="14" t="s">
        <v>222</v>
      </c>
      <c r="E190" s="14">
        <f xml:space="preserve"> IF($U$190,1,0)</f>
        <v>0</v>
      </c>
      <c r="F190" s="14" t="s">
        <v>709</v>
      </c>
      <c r="G190" s="14">
        <v>0</v>
      </c>
      <c r="H190" s="14">
        <v>0</v>
      </c>
      <c r="I190" s="14">
        <v>0</v>
      </c>
      <c r="J190" s="14">
        <v>0</v>
      </c>
      <c r="K190" s="14">
        <v>0</v>
      </c>
      <c r="L190" s="14">
        <v>0</v>
      </c>
      <c r="M190" s="14">
        <v>0</v>
      </c>
      <c r="N190" s="14">
        <v>0</v>
      </c>
      <c r="O190" s="14">
        <v>0</v>
      </c>
      <c r="P190" s="14">
        <v>0</v>
      </c>
      <c r="Q190" s="15">
        <v>0</v>
      </c>
      <c r="R190" s="15">
        <v>0</v>
      </c>
      <c r="S190" s="15">
        <f>$G$190*$G$8+$H$190*$H$8+$I$190*$I$8+$J$190*$J$8+$K$190*$K$8+$L$190*$L$8+$M$190*$M$8+$N$190*$N$8+$O$190*$O$8+$P$190*$P$8</f>
        <v>0</v>
      </c>
      <c r="T190" s="15">
        <f>SUM($Q$190:$R$190)</f>
        <v>0</v>
      </c>
      <c r="U190" s="15">
        <f>$S$190+$T$190</f>
        <v>0</v>
      </c>
    </row>
    <row r="191" spans="1:21" x14ac:dyDescent="0.3">
      <c r="A191" s="10" t="s">
        <v>710</v>
      </c>
      <c r="B191" s="11" t="s">
        <v>708</v>
      </c>
      <c r="C191" s="11"/>
      <c r="D191" s="11" t="s">
        <v>711</v>
      </c>
      <c r="E191" s="11">
        <f xml:space="preserve"> IF($U$191,1,0)</f>
        <v>0</v>
      </c>
      <c r="F191" s="11" t="s">
        <v>712</v>
      </c>
      <c r="G191" s="11">
        <v>0</v>
      </c>
      <c r="H191" s="11">
        <v>0</v>
      </c>
      <c r="I191" s="11">
        <v>0</v>
      </c>
      <c r="J191" s="11">
        <v>0</v>
      </c>
      <c r="K191" s="11">
        <v>0</v>
      </c>
      <c r="L191" s="11">
        <v>0</v>
      </c>
      <c r="M191" s="11">
        <v>0</v>
      </c>
      <c r="N191" s="11">
        <v>0</v>
      </c>
      <c r="O191" s="11">
        <v>0</v>
      </c>
      <c r="P191" s="11">
        <v>0</v>
      </c>
      <c r="Q191" s="12">
        <v>0</v>
      </c>
      <c r="R191" s="12">
        <v>0</v>
      </c>
      <c r="S191" s="12">
        <f>$G$191*$G$8+$H$191*$H$8+$I$191*$I$8+$J$191*$J$8+$K$191*$K$8+$L$191*$L$8+$M$191*$M$8+$N$191*$N$8+$O$191*$O$8+$P$191*$P$8</f>
        <v>0</v>
      </c>
      <c r="T191" s="12">
        <f>SUM($Q$191:$R$191)</f>
        <v>0</v>
      </c>
      <c r="U191" s="12">
        <f>$S$191+$T$191</f>
        <v>0</v>
      </c>
    </row>
    <row r="192" spans="1:21" x14ac:dyDescent="0.3">
      <c r="A192" s="13" t="s">
        <v>713</v>
      </c>
      <c r="B192" s="14" t="s">
        <v>708</v>
      </c>
      <c r="C192" s="14"/>
      <c r="D192" s="14" t="s">
        <v>714</v>
      </c>
      <c r="E192" s="14">
        <f xml:space="preserve"> IF($U$192,1,0)</f>
        <v>1</v>
      </c>
      <c r="F192" s="14" t="s">
        <v>715</v>
      </c>
      <c r="G192" s="14">
        <v>4</v>
      </c>
      <c r="H192" s="14">
        <v>0</v>
      </c>
      <c r="I192" s="14">
        <v>0</v>
      </c>
      <c r="J192" s="14">
        <v>0</v>
      </c>
      <c r="K192" s="14">
        <v>0</v>
      </c>
      <c r="L192" s="14">
        <v>2</v>
      </c>
      <c r="M192" s="14">
        <v>0</v>
      </c>
      <c r="N192" s="14">
        <v>0</v>
      </c>
      <c r="O192" s="14">
        <v>0</v>
      </c>
      <c r="P192" s="14">
        <v>0</v>
      </c>
      <c r="Q192" s="15">
        <v>0</v>
      </c>
      <c r="R192" s="15">
        <v>0</v>
      </c>
      <c r="S192" s="15">
        <f>$G$192*$G$8+$H$192*$H$8+$I$192*$I$8+$J$192*$J$8+$K$192*$K$8+$L$192*$L$8+$M$192*$M$8+$N$192*$N$8+$O$192*$O$8+$P$192*$P$8</f>
        <v>8.8000000000000007</v>
      </c>
      <c r="T192" s="15">
        <f>SUM($Q$192:$R$192)</f>
        <v>0</v>
      </c>
      <c r="U192" s="15">
        <f>$S$192+$T$192</f>
        <v>8.8000000000000007</v>
      </c>
    </row>
    <row r="193" spans="1:21" x14ac:dyDescent="0.3">
      <c r="A193" s="10" t="s">
        <v>716</v>
      </c>
      <c r="B193" s="11" t="s">
        <v>717</v>
      </c>
      <c r="C193" s="11"/>
      <c r="D193" s="11" t="s">
        <v>718</v>
      </c>
      <c r="E193" s="11">
        <f xml:space="preserve"> IF($U$193,1,0)</f>
        <v>0</v>
      </c>
      <c r="F193" s="11" t="s">
        <v>719</v>
      </c>
      <c r="G193" s="11">
        <v>0</v>
      </c>
      <c r="H193" s="11">
        <v>0</v>
      </c>
      <c r="I193" s="11">
        <v>0</v>
      </c>
      <c r="J193" s="11">
        <v>0</v>
      </c>
      <c r="K193" s="11">
        <v>0</v>
      </c>
      <c r="L193" s="11">
        <v>0</v>
      </c>
      <c r="M193" s="11">
        <v>0</v>
      </c>
      <c r="N193" s="11">
        <v>0</v>
      </c>
      <c r="O193" s="11">
        <v>0</v>
      </c>
      <c r="P193" s="11">
        <v>0</v>
      </c>
      <c r="Q193" s="12">
        <v>0</v>
      </c>
      <c r="R193" s="12">
        <v>0</v>
      </c>
      <c r="S193" s="12">
        <f>$G$193*$G$8+$H$193*$H$8+$I$193*$I$8+$J$193*$J$8+$K$193*$K$8+$L$193*$L$8+$M$193*$M$8+$N$193*$N$8+$O$193*$O$8+$P$193*$P$8</f>
        <v>0</v>
      </c>
      <c r="T193" s="12">
        <f>SUM($Q$193:$R$193)</f>
        <v>0</v>
      </c>
      <c r="U193" s="12">
        <f>$S$193+$T$193</f>
        <v>0</v>
      </c>
    </row>
    <row r="194" spans="1:21" x14ac:dyDescent="0.3">
      <c r="A194" s="13" t="s">
        <v>720</v>
      </c>
      <c r="B194" s="14" t="s">
        <v>721</v>
      </c>
      <c r="C194" s="14"/>
      <c r="D194" s="14" t="s">
        <v>722</v>
      </c>
      <c r="E194" s="14">
        <f xml:space="preserve"> IF($U$194,1,0)</f>
        <v>0</v>
      </c>
      <c r="F194" s="14" t="s">
        <v>723</v>
      </c>
      <c r="G194" s="14">
        <v>0</v>
      </c>
      <c r="H194" s="14">
        <v>0</v>
      </c>
      <c r="I194" s="14">
        <v>0</v>
      </c>
      <c r="J194" s="14">
        <v>0</v>
      </c>
      <c r="K194" s="14">
        <v>0</v>
      </c>
      <c r="L194" s="14">
        <v>0</v>
      </c>
      <c r="M194" s="14">
        <v>0</v>
      </c>
      <c r="N194" s="14">
        <v>0</v>
      </c>
      <c r="O194" s="14">
        <v>0</v>
      </c>
      <c r="P194" s="14">
        <v>0</v>
      </c>
      <c r="Q194" s="15">
        <v>0</v>
      </c>
      <c r="R194" s="15">
        <v>0</v>
      </c>
      <c r="S194" s="15">
        <f>$G$194*$G$8+$H$194*$H$8+$I$194*$I$8+$J$194*$J$8+$K$194*$K$8+$L$194*$L$8+$M$194*$M$8+$N$194*$N$8+$O$194*$O$8+$P$194*$P$8</f>
        <v>0</v>
      </c>
      <c r="T194" s="15">
        <f>SUM($Q$194:$R$194)</f>
        <v>0</v>
      </c>
      <c r="U194" s="15">
        <f>$S$194+$T$194</f>
        <v>0</v>
      </c>
    </row>
    <row r="195" spans="1:21" x14ac:dyDescent="0.3">
      <c r="A195" s="10" t="s">
        <v>724</v>
      </c>
      <c r="B195" s="11" t="s">
        <v>721</v>
      </c>
      <c r="C195" s="11"/>
      <c r="D195" s="11" t="s">
        <v>725</v>
      </c>
      <c r="E195" s="11">
        <f xml:space="preserve"> IF($U$195,1,0)</f>
        <v>1</v>
      </c>
      <c r="F195" s="11" t="s">
        <v>726</v>
      </c>
      <c r="G195" s="11">
        <v>2</v>
      </c>
      <c r="H195" s="11">
        <v>2</v>
      </c>
      <c r="I195" s="11">
        <v>0</v>
      </c>
      <c r="J195" s="11">
        <v>0</v>
      </c>
      <c r="K195" s="11">
        <v>0</v>
      </c>
      <c r="L195" s="11">
        <v>0</v>
      </c>
      <c r="M195" s="11">
        <v>0</v>
      </c>
      <c r="N195" s="11">
        <v>0</v>
      </c>
      <c r="O195" s="11">
        <v>0</v>
      </c>
      <c r="P195" s="11">
        <v>2</v>
      </c>
      <c r="Q195" s="12">
        <v>0</v>
      </c>
      <c r="R195" s="12">
        <v>0</v>
      </c>
      <c r="S195" s="12">
        <f>$G$195*$G$8+$H$195*$H$8+$I$195*$I$8+$J$195*$J$8+$K$195*$K$8+$L$195*$L$8+$M$195*$M$8+$N$195*$N$8+$O$195*$O$8+$P$195*$P$8</f>
        <v>7</v>
      </c>
      <c r="T195" s="12">
        <f>SUM($Q$195:$R$195)</f>
        <v>0</v>
      </c>
      <c r="U195" s="12">
        <f>$S$195+$T$195</f>
        <v>7</v>
      </c>
    </row>
    <row r="196" spans="1:21" x14ac:dyDescent="0.3">
      <c r="A196" s="13" t="s">
        <v>727</v>
      </c>
      <c r="B196" s="14" t="s">
        <v>728</v>
      </c>
      <c r="C196" s="14"/>
      <c r="D196" s="14" t="s">
        <v>729</v>
      </c>
      <c r="E196" s="14">
        <f xml:space="preserve"> IF($U$196,1,0)</f>
        <v>0</v>
      </c>
      <c r="F196" s="14" t="s">
        <v>730</v>
      </c>
      <c r="G196" s="14">
        <v>0</v>
      </c>
      <c r="H196" s="14">
        <v>0</v>
      </c>
      <c r="I196" s="14">
        <v>0</v>
      </c>
      <c r="J196" s="14">
        <v>0</v>
      </c>
      <c r="K196" s="14">
        <v>0</v>
      </c>
      <c r="L196" s="14">
        <v>0</v>
      </c>
      <c r="M196" s="14">
        <v>0</v>
      </c>
      <c r="N196" s="14">
        <v>0</v>
      </c>
      <c r="O196" s="14">
        <v>0</v>
      </c>
      <c r="P196" s="14">
        <v>0</v>
      </c>
      <c r="Q196" s="15">
        <v>0</v>
      </c>
      <c r="R196" s="15">
        <v>0</v>
      </c>
      <c r="S196" s="15">
        <f>$G$196*$G$8+$H$196*$H$8+$I$196*$I$8+$J$196*$J$8+$K$196*$K$8+$L$196*$L$8+$M$196*$M$8+$N$196*$N$8+$O$196*$O$8+$P$196*$P$8</f>
        <v>0</v>
      </c>
      <c r="T196" s="15">
        <f>SUM($Q$196:$R$196)</f>
        <v>0</v>
      </c>
      <c r="U196" s="15">
        <f>$S$196+$T$196</f>
        <v>0</v>
      </c>
    </row>
    <row r="197" spans="1:21" x14ac:dyDescent="0.3">
      <c r="A197" s="10" t="s">
        <v>731</v>
      </c>
      <c r="B197" s="11" t="s">
        <v>732</v>
      </c>
      <c r="C197" s="11"/>
      <c r="D197" s="11" t="s">
        <v>733</v>
      </c>
      <c r="E197" s="11">
        <f xml:space="preserve"> IF($U$197,1,0)</f>
        <v>0</v>
      </c>
      <c r="F197" s="11" t="s">
        <v>734</v>
      </c>
      <c r="G197" s="11">
        <v>0</v>
      </c>
      <c r="H197" s="11">
        <v>0</v>
      </c>
      <c r="I197" s="11">
        <v>0</v>
      </c>
      <c r="J197" s="11">
        <v>0</v>
      </c>
      <c r="K197" s="11">
        <v>0</v>
      </c>
      <c r="L197" s="11">
        <v>0</v>
      </c>
      <c r="M197" s="11">
        <v>0</v>
      </c>
      <c r="N197" s="11">
        <v>0</v>
      </c>
      <c r="O197" s="11">
        <v>0</v>
      </c>
      <c r="P197" s="11">
        <v>0</v>
      </c>
      <c r="Q197" s="12">
        <v>0</v>
      </c>
      <c r="R197" s="12">
        <v>0</v>
      </c>
      <c r="S197" s="12">
        <f>$G$197*$G$8+$H$197*$H$8+$I$197*$I$8+$J$197*$J$8+$K$197*$K$8+$L$197*$L$8+$M$197*$M$8+$N$197*$N$8+$O$197*$O$8+$P$197*$P$8</f>
        <v>0</v>
      </c>
      <c r="T197" s="12">
        <f>SUM($Q$197:$R$197)</f>
        <v>0</v>
      </c>
      <c r="U197" s="12">
        <f>$S$197+$T$197</f>
        <v>0</v>
      </c>
    </row>
    <row r="198" spans="1:21" x14ac:dyDescent="0.3">
      <c r="A198" s="13" t="s">
        <v>735</v>
      </c>
      <c r="B198" s="14" t="s">
        <v>736</v>
      </c>
      <c r="C198" s="14"/>
      <c r="D198" s="14" t="s">
        <v>737</v>
      </c>
      <c r="E198" s="14">
        <f xml:space="preserve"> IF($U$198,1,0)</f>
        <v>0</v>
      </c>
      <c r="F198" s="14" t="s">
        <v>738</v>
      </c>
      <c r="G198" s="14">
        <v>0</v>
      </c>
      <c r="H198" s="14">
        <v>0</v>
      </c>
      <c r="I198" s="14">
        <v>0</v>
      </c>
      <c r="J198" s="14">
        <v>0</v>
      </c>
      <c r="K198" s="14">
        <v>0</v>
      </c>
      <c r="L198" s="14">
        <v>0</v>
      </c>
      <c r="M198" s="14">
        <v>0</v>
      </c>
      <c r="N198" s="14">
        <v>0</v>
      </c>
      <c r="O198" s="14">
        <v>0</v>
      </c>
      <c r="P198" s="14">
        <v>0</v>
      </c>
      <c r="Q198" s="15">
        <v>0</v>
      </c>
      <c r="R198" s="15">
        <v>0</v>
      </c>
      <c r="S198" s="15">
        <f>$G$198*$G$8+$H$198*$H$8+$I$198*$I$8+$J$198*$J$8+$K$198*$K$8+$L$198*$L$8+$M$198*$M$8+$N$198*$N$8+$O$198*$O$8+$P$198*$P$8</f>
        <v>0</v>
      </c>
      <c r="T198" s="15">
        <f>SUM($Q$198:$R$198)</f>
        <v>0</v>
      </c>
      <c r="U198" s="15">
        <f>$S$198+$T$198</f>
        <v>0</v>
      </c>
    </row>
    <row r="199" spans="1:21" x14ac:dyDescent="0.3">
      <c r="A199" s="10" t="s">
        <v>739</v>
      </c>
      <c r="B199" s="11" t="s">
        <v>740</v>
      </c>
      <c r="C199" s="11" t="s">
        <v>65</v>
      </c>
      <c r="D199" s="11" t="s">
        <v>239</v>
      </c>
      <c r="E199" s="11">
        <f xml:space="preserve"> IF($U$199,1,0)</f>
        <v>0</v>
      </c>
      <c r="F199" s="11" t="s">
        <v>741</v>
      </c>
      <c r="G199" s="11">
        <v>0</v>
      </c>
      <c r="H199" s="11">
        <v>0</v>
      </c>
      <c r="I199" s="11">
        <v>0</v>
      </c>
      <c r="J199" s="11">
        <v>0</v>
      </c>
      <c r="K199" s="11">
        <v>0</v>
      </c>
      <c r="L199" s="11">
        <v>0</v>
      </c>
      <c r="M199" s="11">
        <v>0</v>
      </c>
      <c r="N199" s="11">
        <v>0</v>
      </c>
      <c r="O199" s="11">
        <v>0</v>
      </c>
      <c r="P199" s="11">
        <v>0</v>
      </c>
      <c r="Q199" s="12">
        <v>0</v>
      </c>
      <c r="R199" s="12">
        <v>0</v>
      </c>
      <c r="S199" s="12">
        <f>$G$199*$G$8+$H$199*$H$8+$I$199*$I$8+$J$199*$J$8+$K$199*$K$8+$L$199*$L$8+$M$199*$M$8+$N$199*$N$8+$O$199*$O$8+$P$199*$P$8</f>
        <v>0</v>
      </c>
      <c r="T199" s="12">
        <f>SUM($Q$199:$R$199)</f>
        <v>0</v>
      </c>
      <c r="U199" s="12">
        <f>$S$199+$T$199</f>
        <v>0</v>
      </c>
    </row>
    <row r="200" spans="1:21" x14ac:dyDescent="0.3">
      <c r="A200" s="13" t="s">
        <v>742</v>
      </c>
      <c r="B200" s="14" t="s">
        <v>743</v>
      </c>
      <c r="C200" s="14"/>
      <c r="D200" s="14" t="s">
        <v>744</v>
      </c>
      <c r="E200" s="14">
        <f xml:space="preserve"> IF($U$200,1,0)</f>
        <v>1</v>
      </c>
      <c r="F200" s="14" t="s">
        <v>745</v>
      </c>
      <c r="G200" s="14">
        <v>1</v>
      </c>
      <c r="H200" s="14">
        <v>6</v>
      </c>
      <c r="I200" s="14">
        <v>0</v>
      </c>
      <c r="J200" s="14">
        <v>0</v>
      </c>
      <c r="K200" s="14">
        <v>0</v>
      </c>
      <c r="L200" s="14">
        <v>1</v>
      </c>
      <c r="M200" s="14">
        <v>0</v>
      </c>
      <c r="N200" s="14">
        <v>0</v>
      </c>
      <c r="O200" s="14">
        <v>0</v>
      </c>
      <c r="P200" s="14">
        <v>0</v>
      </c>
      <c r="Q200" s="15">
        <v>0</v>
      </c>
      <c r="R200" s="15">
        <v>0</v>
      </c>
      <c r="S200" s="15">
        <f>$G$200*$G$8+$H$200*$H$8+$I$200*$I$8+$J$200*$J$8+$K$200*$K$8+$L$200*$L$8+$M$200*$M$8+$N$200*$N$8+$O$200*$O$8+$P$200*$P$8</f>
        <v>14.5</v>
      </c>
      <c r="T200" s="15">
        <f>SUM($Q$200:$R$200)</f>
        <v>0</v>
      </c>
      <c r="U200" s="15">
        <f>$S$200+$T$200</f>
        <v>14.5</v>
      </c>
    </row>
    <row r="201" spans="1:21" x14ac:dyDescent="0.3">
      <c r="A201" s="10" t="s">
        <v>746</v>
      </c>
      <c r="B201" s="11" t="s">
        <v>747</v>
      </c>
      <c r="C201" s="11"/>
      <c r="D201" s="11" t="s">
        <v>748</v>
      </c>
      <c r="E201" s="11">
        <f xml:space="preserve"> IF($U$201,1,0)</f>
        <v>0</v>
      </c>
      <c r="F201" s="11" t="s">
        <v>749</v>
      </c>
      <c r="G201" s="11">
        <v>0</v>
      </c>
      <c r="H201" s="11">
        <v>0</v>
      </c>
      <c r="I201" s="11">
        <v>0</v>
      </c>
      <c r="J201" s="11">
        <v>0</v>
      </c>
      <c r="K201" s="11">
        <v>0</v>
      </c>
      <c r="L201" s="11">
        <v>0</v>
      </c>
      <c r="M201" s="11">
        <v>0</v>
      </c>
      <c r="N201" s="11">
        <v>0</v>
      </c>
      <c r="O201" s="11">
        <v>0</v>
      </c>
      <c r="P201" s="11">
        <v>0</v>
      </c>
      <c r="Q201" s="12">
        <v>0</v>
      </c>
      <c r="R201" s="12">
        <v>0</v>
      </c>
      <c r="S201" s="12">
        <f>$G$201*$G$8+$H$201*$H$8+$I$201*$I$8+$J$201*$J$8+$K$201*$K$8+$L$201*$L$8+$M$201*$M$8+$N$201*$N$8+$O$201*$O$8+$P$201*$P$8</f>
        <v>0</v>
      </c>
      <c r="T201" s="12">
        <f>SUM($Q$201:$R$201)</f>
        <v>0</v>
      </c>
      <c r="U201" s="12">
        <f>$S$201+$T$201</f>
        <v>0</v>
      </c>
    </row>
    <row r="202" spans="1:21" x14ac:dyDescent="0.3">
      <c r="A202" s="13" t="s">
        <v>750</v>
      </c>
      <c r="B202" s="14" t="s">
        <v>751</v>
      </c>
      <c r="C202" s="14"/>
      <c r="D202" s="14" t="s">
        <v>752</v>
      </c>
      <c r="E202" s="14">
        <f xml:space="preserve"> IF($U$202,1,0)</f>
        <v>0</v>
      </c>
      <c r="F202" s="14" t="s">
        <v>753</v>
      </c>
      <c r="G202" s="14">
        <v>0</v>
      </c>
      <c r="H202" s="14">
        <v>0</v>
      </c>
      <c r="I202" s="14">
        <v>0</v>
      </c>
      <c r="J202" s="14">
        <v>0</v>
      </c>
      <c r="K202" s="14">
        <v>0</v>
      </c>
      <c r="L202" s="14">
        <v>0</v>
      </c>
      <c r="M202" s="14">
        <v>0</v>
      </c>
      <c r="N202" s="14">
        <v>0</v>
      </c>
      <c r="O202" s="14">
        <v>0</v>
      </c>
      <c r="P202" s="14">
        <v>0</v>
      </c>
      <c r="Q202" s="15">
        <v>0</v>
      </c>
      <c r="R202" s="15">
        <v>0</v>
      </c>
      <c r="S202" s="15">
        <f>$G$202*$G$8+$H$202*$H$8+$I$202*$I$8+$J$202*$J$8+$K$202*$K$8+$L$202*$L$8+$M$202*$M$8+$N$202*$N$8+$O$202*$O$8+$P$202*$P$8</f>
        <v>0</v>
      </c>
      <c r="T202" s="15">
        <f>SUM($Q$202:$R$202)</f>
        <v>0</v>
      </c>
      <c r="U202" s="15">
        <f>$S$202+$T$202</f>
        <v>0</v>
      </c>
    </row>
    <row r="203" spans="1:21" x14ac:dyDescent="0.3">
      <c r="A203" s="10" t="s">
        <v>754</v>
      </c>
      <c r="B203" s="11" t="s">
        <v>755</v>
      </c>
      <c r="C203" s="11"/>
      <c r="D203" s="11" t="s">
        <v>756</v>
      </c>
      <c r="E203" s="11">
        <f xml:space="preserve"> IF($U$203,1,0)</f>
        <v>0</v>
      </c>
      <c r="F203" s="11" t="s">
        <v>757</v>
      </c>
      <c r="G203" s="11">
        <v>0</v>
      </c>
      <c r="H203" s="11">
        <v>0</v>
      </c>
      <c r="I203" s="11">
        <v>0</v>
      </c>
      <c r="J203" s="11">
        <v>0</v>
      </c>
      <c r="K203" s="11">
        <v>0</v>
      </c>
      <c r="L203" s="11">
        <v>0</v>
      </c>
      <c r="M203" s="11">
        <v>0</v>
      </c>
      <c r="N203" s="11">
        <v>0</v>
      </c>
      <c r="O203" s="11">
        <v>0</v>
      </c>
      <c r="P203" s="11">
        <v>0</v>
      </c>
      <c r="Q203" s="12">
        <v>0</v>
      </c>
      <c r="R203" s="12">
        <v>0</v>
      </c>
      <c r="S203" s="12">
        <f>$G$203*$G$8+$H$203*$H$8+$I$203*$I$8+$J$203*$J$8+$K$203*$K$8+$L$203*$L$8+$M$203*$M$8+$N$203*$N$8+$O$203*$O$8+$P$203*$P$8</f>
        <v>0</v>
      </c>
      <c r="T203" s="12">
        <f>SUM($Q$203:$R$203)</f>
        <v>0</v>
      </c>
      <c r="U203" s="12">
        <f>$S$203+$T$203</f>
        <v>0</v>
      </c>
    </row>
    <row r="204" spans="1:21" x14ac:dyDescent="0.3">
      <c r="A204" s="13" t="s">
        <v>758</v>
      </c>
      <c r="B204" s="14" t="s">
        <v>759</v>
      </c>
      <c r="C204" s="14"/>
      <c r="D204" s="14" t="s">
        <v>760</v>
      </c>
      <c r="E204" s="14">
        <f xml:space="preserve"> IF($U$204,1,0)</f>
        <v>0</v>
      </c>
      <c r="F204" s="14" t="s">
        <v>761</v>
      </c>
      <c r="G204" s="14">
        <v>0</v>
      </c>
      <c r="H204" s="14">
        <v>0</v>
      </c>
      <c r="I204" s="14">
        <v>0</v>
      </c>
      <c r="J204" s="14">
        <v>0</v>
      </c>
      <c r="K204" s="14">
        <v>0</v>
      </c>
      <c r="L204" s="14">
        <v>0</v>
      </c>
      <c r="M204" s="14">
        <v>0</v>
      </c>
      <c r="N204" s="14">
        <v>0</v>
      </c>
      <c r="O204" s="14">
        <v>0</v>
      </c>
      <c r="P204" s="14">
        <v>0</v>
      </c>
      <c r="Q204" s="15">
        <v>0</v>
      </c>
      <c r="R204" s="15">
        <v>0</v>
      </c>
      <c r="S204" s="15">
        <f>$G$204*$G$8+$H$204*$H$8+$I$204*$I$8+$J$204*$J$8+$K$204*$K$8+$L$204*$L$8+$M$204*$M$8+$N$204*$N$8+$O$204*$O$8+$P$204*$P$8</f>
        <v>0</v>
      </c>
      <c r="T204" s="15">
        <f>SUM($Q$204:$R$204)</f>
        <v>0</v>
      </c>
      <c r="U204" s="15">
        <f>$S$204+$T$204</f>
        <v>0</v>
      </c>
    </row>
    <row r="205" spans="1:21" x14ac:dyDescent="0.3">
      <c r="A205" s="10" t="s">
        <v>762</v>
      </c>
      <c r="B205" s="11" t="s">
        <v>763</v>
      </c>
      <c r="C205" s="11"/>
      <c r="D205" s="11" t="s">
        <v>764</v>
      </c>
      <c r="E205" s="11">
        <f xml:space="preserve"> IF($U$205,1,0)</f>
        <v>0</v>
      </c>
      <c r="F205" s="11" t="s">
        <v>765</v>
      </c>
      <c r="G205" s="11">
        <v>0</v>
      </c>
      <c r="H205" s="11">
        <v>0</v>
      </c>
      <c r="I205" s="11">
        <v>0</v>
      </c>
      <c r="J205" s="11">
        <v>0</v>
      </c>
      <c r="K205" s="11">
        <v>0</v>
      </c>
      <c r="L205" s="11">
        <v>0</v>
      </c>
      <c r="M205" s="11">
        <v>0</v>
      </c>
      <c r="N205" s="11">
        <v>0</v>
      </c>
      <c r="O205" s="11">
        <v>0</v>
      </c>
      <c r="P205" s="11">
        <v>0</v>
      </c>
      <c r="Q205" s="12">
        <v>0</v>
      </c>
      <c r="R205" s="12">
        <v>0</v>
      </c>
      <c r="S205" s="12">
        <f>$G$205*$G$8+$H$205*$H$8+$I$205*$I$8+$J$205*$J$8+$K$205*$K$8+$L$205*$L$8+$M$205*$M$8+$N$205*$N$8+$O$205*$O$8+$P$205*$P$8</f>
        <v>0</v>
      </c>
      <c r="T205" s="12">
        <f>SUM($Q$205:$R$205)</f>
        <v>0</v>
      </c>
      <c r="U205" s="12">
        <f>$S$205+$T$205</f>
        <v>0</v>
      </c>
    </row>
    <row r="206" spans="1:21" x14ac:dyDescent="0.3">
      <c r="A206" s="13" t="s">
        <v>766</v>
      </c>
      <c r="B206" s="14" t="s">
        <v>767</v>
      </c>
      <c r="C206" s="14"/>
      <c r="D206" s="14" t="s">
        <v>768</v>
      </c>
      <c r="E206" s="14">
        <f xml:space="preserve"> IF($U$206,1,0)</f>
        <v>0</v>
      </c>
      <c r="F206" s="14" t="s">
        <v>769</v>
      </c>
      <c r="G206" s="14">
        <v>0</v>
      </c>
      <c r="H206" s="14">
        <v>0</v>
      </c>
      <c r="I206" s="14">
        <v>0</v>
      </c>
      <c r="J206" s="14">
        <v>0</v>
      </c>
      <c r="K206" s="14">
        <v>0</v>
      </c>
      <c r="L206" s="14">
        <v>0</v>
      </c>
      <c r="M206" s="14">
        <v>0</v>
      </c>
      <c r="N206" s="14">
        <v>0</v>
      </c>
      <c r="O206" s="14">
        <v>0</v>
      </c>
      <c r="P206" s="14">
        <v>0</v>
      </c>
      <c r="Q206" s="15">
        <v>0</v>
      </c>
      <c r="R206" s="15">
        <v>0</v>
      </c>
      <c r="S206" s="15">
        <f>$G$206*$G$8+$H$206*$H$8+$I$206*$I$8+$J$206*$J$8+$K$206*$K$8+$L$206*$L$8+$M$206*$M$8+$N$206*$N$8+$O$206*$O$8+$P$206*$P$8</f>
        <v>0</v>
      </c>
      <c r="T206" s="15">
        <f>SUM($Q$206:$R$206)</f>
        <v>0</v>
      </c>
      <c r="U206" s="15">
        <f>$S$206+$T$206</f>
        <v>0</v>
      </c>
    </row>
    <row r="207" spans="1:21" x14ac:dyDescent="0.3">
      <c r="A207" s="10" t="s">
        <v>770</v>
      </c>
      <c r="B207" s="11" t="s">
        <v>771</v>
      </c>
      <c r="C207" s="11"/>
      <c r="D207" s="11" t="s">
        <v>772</v>
      </c>
      <c r="E207" s="11">
        <f xml:space="preserve"> IF($U$207,1,0)</f>
        <v>0</v>
      </c>
      <c r="F207" s="11" t="s">
        <v>773</v>
      </c>
      <c r="G207" s="11">
        <v>0</v>
      </c>
      <c r="H207" s="11">
        <v>0</v>
      </c>
      <c r="I207" s="11">
        <v>0</v>
      </c>
      <c r="J207" s="11">
        <v>0</v>
      </c>
      <c r="K207" s="11">
        <v>0</v>
      </c>
      <c r="L207" s="11">
        <v>0</v>
      </c>
      <c r="M207" s="11">
        <v>0</v>
      </c>
      <c r="N207" s="11">
        <v>0</v>
      </c>
      <c r="O207" s="11">
        <v>0</v>
      </c>
      <c r="P207" s="11">
        <v>0</v>
      </c>
      <c r="Q207" s="12">
        <v>0</v>
      </c>
      <c r="R207" s="12">
        <v>0</v>
      </c>
      <c r="S207" s="12">
        <f>$G$207*$G$8+$H$207*$H$8+$I$207*$I$8+$J$207*$J$8+$K$207*$K$8+$L$207*$L$8+$M$207*$M$8+$N$207*$N$8+$O$207*$O$8+$P$207*$P$8</f>
        <v>0</v>
      </c>
      <c r="T207" s="12">
        <f>SUM($Q$207:$R$207)</f>
        <v>0</v>
      </c>
      <c r="U207" s="12">
        <f>$S$207+$T$207</f>
        <v>0</v>
      </c>
    </row>
    <row r="208" spans="1:21" x14ac:dyDescent="0.3">
      <c r="A208" s="13" t="s">
        <v>774</v>
      </c>
      <c r="B208" s="14" t="s">
        <v>775</v>
      </c>
      <c r="C208" s="14"/>
      <c r="D208" s="14" t="s">
        <v>776</v>
      </c>
      <c r="E208" s="14">
        <f xml:space="preserve"> IF($U$208,1,0)</f>
        <v>0</v>
      </c>
      <c r="F208" s="14" t="s">
        <v>777</v>
      </c>
      <c r="G208" s="14">
        <v>0</v>
      </c>
      <c r="H208" s="14">
        <v>0</v>
      </c>
      <c r="I208" s="14">
        <v>0</v>
      </c>
      <c r="J208" s="14">
        <v>0</v>
      </c>
      <c r="K208" s="14">
        <v>0</v>
      </c>
      <c r="L208" s="14">
        <v>0</v>
      </c>
      <c r="M208" s="14">
        <v>0</v>
      </c>
      <c r="N208" s="14">
        <v>0</v>
      </c>
      <c r="O208" s="14">
        <v>0</v>
      </c>
      <c r="P208" s="14">
        <v>0</v>
      </c>
      <c r="Q208" s="15">
        <v>0</v>
      </c>
      <c r="R208" s="15">
        <v>0</v>
      </c>
      <c r="S208" s="15">
        <f>$G$208*$G$8+$H$208*$H$8+$I$208*$I$8+$J$208*$J$8+$K$208*$K$8+$L$208*$L$8+$M$208*$M$8+$N$208*$N$8+$O$208*$O$8+$P$208*$P$8</f>
        <v>0</v>
      </c>
      <c r="T208" s="15">
        <f>SUM($Q$208:$R$208)</f>
        <v>0</v>
      </c>
      <c r="U208" s="15">
        <f>$S$208+$T$208</f>
        <v>0</v>
      </c>
    </row>
    <row r="209" spans="1:21" x14ac:dyDescent="0.3">
      <c r="A209" s="10" t="s">
        <v>778</v>
      </c>
      <c r="B209" s="11" t="s">
        <v>779</v>
      </c>
      <c r="C209" s="11"/>
      <c r="D209" s="11" t="s">
        <v>780</v>
      </c>
      <c r="E209" s="11">
        <f xml:space="preserve"> IF($U$209,1,0)</f>
        <v>0</v>
      </c>
      <c r="F209" s="11" t="s">
        <v>781</v>
      </c>
      <c r="G209" s="11">
        <v>0</v>
      </c>
      <c r="H209" s="11">
        <v>0</v>
      </c>
      <c r="I209" s="11">
        <v>0</v>
      </c>
      <c r="J209" s="11">
        <v>0</v>
      </c>
      <c r="K209" s="11">
        <v>0</v>
      </c>
      <c r="L209" s="11">
        <v>0</v>
      </c>
      <c r="M209" s="11">
        <v>0</v>
      </c>
      <c r="N209" s="11">
        <v>0</v>
      </c>
      <c r="O209" s="11">
        <v>0</v>
      </c>
      <c r="P209" s="11">
        <v>0</v>
      </c>
      <c r="Q209" s="12">
        <v>0</v>
      </c>
      <c r="R209" s="12">
        <v>0</v>
      </c>
      <c r="S209" s="12">
        <f>$G$209*$G$8+$H$209*$H$8+$I$209*$I$8+$J$209*$J$8+$K$209*$K$8+$L$209*$L$8+$M$209*$M$8+$N$209*$N$8+$O$209*$O$8+$P$209*$P$8</f>
        <v>0</v>
      </c>
      <c r="T209" s="12">
        <f>SUM($Q$209:$R$209)</f>
        <v>0</v>
      </c>
      <c r="U209" s="12">
        <f>$S$209+$T$209</f>
        <v>0</v>
      </c>
    </row>
    <row r="210" spans="1:21" x14ac:dyDescent="0.3">
      <c r="A210" s="13" t="s">
        <v>782</v>
      </c>
      <c r="B210" s="14" t="s">
        <v>779</v>
      </c>
      <c r="C210" s="14"/>
      <c r="D210" s="14" t="s">
        <v>783</v>
      </c>
      <c r="E210" s="14">
        <f xml:space="preserve"> IF($U$210,1,0)</f>
        <v>0</v>
      </c>
      <c r="F210" s="14" t="s">
        <v>784</v>
      </c>
      <c r="G210" s="14">
        <v>0</v>
      </c>
      <c r="H210" s="14">
        <v>0</v>
      </c>
      <c r="I210" s="14">
        <v>0</v>
      </c>
      <c r="J210" s="14">
        <v>0</v>
      </c>
      <c r="K210" s="14">
        <v>0</v>
      </c>
      <c r="L210" s="14">
        <v>0</v>
      </c>
      <c r="M210" s="14">
        <v>0</v>
      </c>
      <c r="N210" s="14">
        <v>0</v>
      </c>
      <c r="O210" s="14">
        <v>0</v>
      </c>
      <c r="P210" s="14">
        <v>0</v>
      </c>
      <c r="Q210" s="15">
        <v>0</v>
      </c>
      <c r="R210" s="15">
        <v>0</v>
      </c>
      <c r="S210" s="15">
        <f>$G$210*$G$8+$H$210*$H$8+$I$210*$I$8+$J$210*$J$8+$K$210*$K$8+$L$210*$L$8+$M$210*$M$8+$N$210*$N$8+$O$210*$O$8+$P$210*$P$8</f>
        <v>0</v>
      </c>
      <c r="T210" s="15">
        <f>SUM($Q$210:$R$210)</f>
        <v>0</v>
      </c>
      <c r="U210" s="15">
        <f>$S$210+$T$210</f>
        <v>0</v>
      </c>
    </row>
    <row r="211" spans="1:21" x14ac:dyDescent="0.3">
      <c r="A211" s="10" t="s">
        <v>785</v>
      </c>
      <c r="B211" s="11" t="s">
        <v>779</v>
      </c>
      <c r="C211" s="11"/>
      <c r="D211" s="11" t="s">
        <v>786</v>
      </c>
      <c r="E211" s="11">
        <f xml:space="preserve"> IF($U$211,1,0)</f>
        <v>1</v>
      </c>
      <c r="F211" s="11" t="s">
        <v>787</v>
      </c>
      <c r="G211" s="11">
        <v>1</v>
      </c>
      <c r="H211" s="11">
        <v>0</v>
      </c>
      <c r="I211" s="11">
        <v>1</v>
      </c>
      <c r="J211" s="11">
        <v>0</v>
      </c>
      <c r="K211" s="11">
        <v>0</v>
      </c>
      <c r="L211" s="11">
        <v>0</v>
      </c>
      <c r="M211" s="11">
        <v>0</v>
      </c>
      <c r="N211" s="11">
        <v>0</v>
      </c>
      <c r="O211" s="11">
        <v>0</v>
      </c>
      <c r="P211" s="11">
        <v>0</v>
      </c>
      <c r="Q211" s="12">
        <v>0</v>
      </c>
      <c r="R211" s="12">
        <v>0</v>
      </c>
      <c r="S211" s="12">
        <f>$G$211*$G$8+$H$211*$H$8+$I$211*$I$8+$J$211*$J$8+$K$211*$K$8+$L$211*$L$8+$M$211*$M$8+$N$211*$N$8+$O$211*$O$8+$P$211*$P$8</f>
        <v>1.7</v>
      </c>
      <c r="T211" s="12">
        <f>SUM($Q$211:$R$211)</f>
        <v>0</v>
      </c>
      <c r="U211" s="12">
        <f>$S$211+$T$211</f>
        <v>1.7</v>
      </c>
    </row>
    <row r="212" spans="1:21" x14ac:dyDescent="0.3">
      <c r="A212" s="13" t="s">
        <v>788</v>
      </c>
      <c r="B212" s="14" t="s">
        <v>789</v>
      </c>
      <c r="C212" s="14"/>
      <c r="D212" s="14" t="s">
        <v>790</v>
      </c>
      <c r="E212" s="14">
        <f xml:space="preserve"> IF($U$212,1,0)</f>
        <v>0</v>
      </c>
      <c r="F212" s="14" t="s">
        <v>791</v>
      </c>
      <c r="G212" s="14">
        <v>0</v>
      </c>
      <c r="H212" s="14">
        <v>0</v>
      </c>
      <c r="I212" s="14">
        <v>0</v>
      </c>
      <c r="J212" s="14">
        <v>0</v>
      </c>
      <c r="K212" s="14">
        <v>0</v>
      </c>
      <c r="L212" s="14">
        <v>0</v>
      </c>
      <c r="M212" s="14">
        <v>0</v>
      </c>
      <c r="N212" s="14">
        <v>0</v>
      </c>
      <c r="O212" s="14">
        <v>0</v>
      </c>
      <c r="P212" s="14">
        <v>0</v>
      </c>
      <c r="Q212" s="15">
        <v>0</v>
      </c>
      <c r="R212" s="15">
        <v>0</v>
      </c>
      <c r="S212" s="15">
        <f>$G$212*$G$8+$H$212*$H$8+$I$212*$I$8+$J$212*$J$8+$K$212*$K$8+$L$212*$L$8+$M$212*$M$8+$N$212*$N$8+$O$212*$O$8+$P$212*$P$8</f>
        <v>0</v>
      </c>
      <c r="T212" s="15">
        <f>SUM($Q$212:$R$212)</f>
        <v>0</v>
      </c>
      <c r="U212" s="15">
        <f>$S$212+$T$212</f>
        <v>0</v>
      </c>
    </row>
    <row r="213" spans="1:21" x14ac:dyDescent="0.3">
      <c r="A213" s="10" t="s">
        <v>792</v>
      </c>
      <c r="B213" s="11" t="s">
        <v>793</v>
      </c>
      <c r="C213" s="11"/>
      <c r="D213" s="11" t="s">
        <v>794</v>
      </c>
      <c r="E213" s="11">
        <f xml:space="preserve"> IF($U$213,1,0)</f>
        <v>0</v>
      </c>
      <c r="F213" s="11" t="s">
        <v>795</v>
      </c>
      <c r="G213" s="11">
        <v>0</v>
      </c>
      <c r="H213" s="11">
        <v>0</v>
      </c>
      <c r="I213" s="11">
        <v>0</v>
      </c>
      <c r="J213" s="11">
        <v>0</v>
      </c>
      <c r="K213" s="11">
        <v>0</v>
      </c>
      <c r="L213" s="11">
        <v>0</v>
      </c>
      <c r="M213" s="11">
        <v>0</v>
      </c>
      <c r="N213" s="11">
        <v>0</v>
      </c>
      <c r="O213" s="11">
        <v>0</v>
      </c>
      <c r="P213" s="11">
        <v>0</v>
      </c>
      <c r="Q213" s="12">
        <v>0</v>
      </c>
      <c r="R213" s="12">
        <v>0</v>
      </c>
      <c r="S213" s="12">
        <f>$G$213*$G$8+$H$213*$H$8+$I$213*$I$8+$J$213*$J$8+$K$213*$K$8+$L$213*$L$8+$M$213*$M$8+$N$213*$N$8+$O$213*$O$8+$P$213*$P$8</f>
        <v>0</v>
      </c>
      <c r="T213" s="12">
        <f>SUM($Q$213:$R$213)</f>
        <v>0</v>
      </c>
      <c r="U213" s="12">
        <f>$S$213+$T$213</f>
        <v>0</v>
      </c>
    </row>
    <row r="214" spans="1:21" x14ac:dyDescent="0.3">
      <c r="A214" s="13" t="s">
        <v>796</v>
      </c>
      <c r="B214" s="14" t="s">
        <v>797</v>
      </c>
      <c r="C214" s="14"/>
      <c r="D214" s="14" t="s">
        <v>798</v>
      </c>
      <c r="E214" s="14">
        <f xml:space="preserve"> IF($U$214,1,0)</f>
        <v>0</v>
      </c>
      <c r="F214" s="14" t="s">
        <v>799</v>
      </c>
      <c r="G214" s="14">
        <v>0</v>
      </c>
      <c r="H214" s="14">
        <v>0</v>
      </c>
      <c r="I214" s="14">
        <v>0</v>
      </c>
      <c r="J214" s="14">
        <v>0</v>
      </c>
      <c r="K214" s="14">
        <v>0</v>
      </c>
      <c r="L214" s="14">
        <v>0</v>
      </c>
      <c r="M214" s="14">
        <v>0</v>
      </c>
      <c r="N214" s="14">
        <v>0</v>
      </c>
      <c r="O214" s="14">
        <v>0</v>
      </c>
      <c r="P214" s="14">
        <v>0</v>
      </c>
      <c r="Q214" s="15">
        <v>0</v>
      </c>
      <c r="R214" s="15">
        <v>0</v>
      </c>
      <c r="S214" s="15">
        <f>$G$214*$G$8+$H$214*$H$8+$I$214*$I$8+$J$214*$J$8+$K$214*$K$8+$L$214*$L$8+$M$214*$M$8+$N$214*$N$8+$O$214*$O$8+$P$214*$P$8</f>
        <v>0</v>
      </c>
      <c r="T214" s="15">
        <f>SUM($Q$214:$R$214)</f>
        <v>0</v>
      </c>
      <c r="U214" s="15">
        <f>$S$214+$T$214</f>
        <v>0</v>
      </c>
    </row>
    <row r="215" spans="1:21" x14ac:dyDescent="0.3">
      <c r="A215" s="10" t="s">
        <v>800</v>
      </c>
      <c r="B215" s="11" t="s">
        <v>797</v>
      </c>
      <c r="C215" s="11" t="s">
        <v>34</v>
      </c>
      <c r="D215" s="11" t="s">
        <v>801</v>
      </c>
      <c r="E215" s="11">
        <f xml:space="preserve"> IF($U$215,1,0)</f>
        <v>0</v>
      </c>
      <c r="F215" s="11" t="s">
        <v>802</v>
      </c>
      <c r="G215" s="11">
        <v>0</v>
      </c>
      <c r="H215" s="11">
        <v>0</v>
      </c>
      <c r="I215" s="11">
        <v>0</v>
      </c>
      <c r="J215" s="11">
        <v>0</v>
      </c>
      <c r="K215" s="11">
        <v>0</v>
      </c>
      <c r="L215" s="11">
        <v>0</v>
      </c>
      <c r="M215" s="11">
        <v>0</v>
      </c>
      <c r="N215" s="11">
        <v>0</v>
      </c>
      <c r="O215" s="11">
        <v>0</v>
      </c>
      <c r="P215" s="11">
        <v>0</v>
      </c>
      <c r="Q215" s="12">
        <v>0</v>
      </c>
      <c r="R215" s="12">
        <v>0</v>
      </c>
      <c r="S215" s="12">
        <f>$G$215*$G$8+$H$215*$H$8+$I$215*$I$8+$J$215*$J$8+$K$215*$K$8+$L$215*$L$8+$M$215*$M$8+$N$215*$N$8+$O$215*$O$8+$P$215*$P$8</f>
        <v>0</v>
      </c>
      <c r="T215" s="12">
        <f>SUM($Q$215:$R$215)</f>
        <v>0</v>
      </c>
      <c r="U215" s="12">
        <f>$S$215+$T$215</f>
        <v>0</v>
      </c>
    </row>
    <row r="216" spans="1:21" x14ac:dyDescent="0.3">
      <c r="A216" s="13" t="s">
        <v>803</v>
      </c>
      <c r="B216" s="14" t="s">
        <v>804</v>
      </c>
      <c r="C216" s="14" t="s">
        <v>34</v>
      </c>
      <c r="D216" s="14" t="s">
        <v>805</v>
      </c>
      <c r="E216" s="14">
        <f xml:space="preserve"> IF($U$216,1,0)</f>
        <v>0</v>
      </c>
      <c r="F216" s="14" t="s">
        <v>806</v>
      </c>
      <c r="G216" s="14">
        <v>0</v>
      </c>
      <c r="H216" s="14">
        <v>0</v>
      </c>
      <c r="I216" s="14">
        <v>0</v>
      </c>
      <c r="J216" s="14">
        <v>0</v>
      </c>
      <c r="K216" s="14">
        <v>0</v>
      </c>
      <c r="L216" s="14">
        <v>0</v>
      </c>
      <c r="M216" s="14">
        <v>0</v>
      </c>
      <c r="N216" s="14">
        <v>0</v>
      </c>
      <c r="O216" s="14">
        <v>0</v>
      </c>
      <c r="P216" s="14">
        <v>0</v>
      </c>
      <c r="Q216" s="15">
        <v>0</v>
      </c>
      <c r="R216" s="15">
        <v>0</v>
      </c>
      <c r="S216" s="15">
        <f>$G$216*$G$8+$H$216*$H$8+$I$216*$I$8+$J$216*$J$8+$K$216*$K$8+$L$216*$L$8+$M$216*$M$8+$N$216*$N$8+$O$216*$O$8+$P$216*$P$8</f>
        <v>0</v>
      </c>
      <c r="T216" s="15">
        <f>SUM($Q$216:$R$216)</f>
        <v>0</v>
      </c>
      <c r="U216" s="15">
        <f>$S$216+$T$216</f>
        <v>0</v>
      </c>
    </row>
    <row r="217" spans="1:21" x14ac:dyDescent="0.3">
      <c r="A217" s="10" t="s">
        <v>807</v>
      </c>
      <c r="B217" s="11" t="s">
        <v>808</v>
      </c>
      <c r="C217" s="11"/>
      <c r="D217" s="11" t="s">
        <v>809</v>
      </c>
      <c r="E217" s="11">
        <f xml:space="preserve"> IF($U$217,1,0)</f>
        <v>0</v>
      </c>
      <c r="F217" s="11" t="s">
        <v>810</v>
      </c>
      <c r="G217" s="11">
        <v>0</v>
      </c>
      <c r="H217" s="11">
        <v>0</v>
      </c>
      <c r="I217" s="11">
        <v>0</v>
      </c>
      <c r="J217" s="11">
        <v>0</v>
      </c>
      <c r="K217" s="11">
        <v>0</v>
      </c>
      <c r="L217" s="11">
        <v>0</v>
      </c>
      <c r="M217" s="11">
        <v>0</v>
      </c>
      <c r="N217" s="11">
        <v>0</v>
      </c>
      <c r="O217" s="11">
        <v>0</v>
      </c>
      <c r="P217" s="11">
        <v>0</v>
      </c>
      <c r="Q217" s="12">
        <v>0</v>
      </c>
      <c r="R217" s="12">
        <v>0</v>
      </c>
      <c r="S217" s="12">
        <f>$G$217*$G$8+$H$217*$H$8+$I$217*$I$8+$J$217*$J$8+$K$217*$K$8+$L$217*$L$8+$M$217*$M$8+$N$217*$N$8+$O$217*$O$8+$P$217*$P$8</f>
        <v>0</v>
      </c>
      <c r="T217" s="12">
        <f>SUM($Q$217:$R$217)</f>
        <v>0</v>
      </c>
      <c r="U217" s="12">
        <f>$S$217+$T$217</f>
        <v>0</v>
      </c>
    </row>
    <row r="218" spans="1:21" x14ac:dyDescent="0.3">
      <c r="A218" s="13" t="s">
        <v>811</v>
      </c>
      <c r="B218" s="14" t="s">
        <v>812</v>
      </c>
      <c r="C218" s="14"/>
      <c r="D218" s="14" t="s">
        <v>813</v>
      </c>
      <c r="E218" s="14">
        <f xml:space="preserve"> IF($U$218,1,0)</f>
        <v>0</v>
      </c>
      <c r="F218" s="14" t="s">
        <v>814</v>
      </c>
      <c r="G218" s="14">
        <v>0</v>
      </c>
      <c r="H218" s="14">
        <v>0</v>
      </c>
      <c r="I218" s="14">
        <v>0</v>
      </c>
      <c r="J218" s="14">
        <v>0</v>
      </c>
      <c r="K218" s="14">
        <v>0</v>
      </c>
      <c r="L218" s="14">
        <v>0</v>
      </c>
      <c r="M218" s="14">
        <v>0</v>
      </c>
      <c r="N218" s="14">
        <v>0</v>
      </c>
      <c r="O218" s="14">
        <v>0</v>
      </c>
      <c r="P218" s="14">
        <v>0</v>
      </c>
      <c r="Q218" s="15">
        <v>0</v>
      </c>
      <c r="R218" s="15">
        <v>0</v>
      </c>
      <c r="S218" s="15">
        <f>$G$218*$G$8+$H$218*$H$8+$I$218*$I$8+$J$218*$J$8+$K$218*$K$8+$L$218*$L$8+$M$218*$M$8+$N$218*$N$8+$O$218*$O$8+$P$218*$P$8</f>
        <v>0</v>
      </c>
      <c r="T218" s="15">
        <f>SUM($Q$218:$R$218)</f>
        <v>0</v>
      </c>
      <c r="U218" s="15">
        <f>$S$218+$T$218</f>
        <v>0</v>
      </c>
    </row>
    <row r="219" spans="1:21" x14ac:dyDescent="0.3">
      <c r="A219" s="10" t="s">
        <v>815</v>
      </c>
      <c r="B219" s="11" t="s">
        <v>816</v>
      </c>
      <c r="C219" s="11"/>
      <c r="D219" s="11" t="s">
        <v>817</v>
      </c>
      <c r="E219" s="11">
        <f xml:space="preserve"> IF($U$219,1,0)</f>
        <v>0</v>
      </c>
      <c r="F219" s="11" t="s">
        <v>818</v>
      </c>
      <c r="G219" s="11">
        <v>0</v>
      </c>
      <c r="H219" s="11">
        <v>0</v>
      </c>
      <c r="I219" s="11">
        <v>0</v>
      </c>
      <c r="J219" s="11">
        <v>0</v>
      </c>
      <c r="K219" s="11">
        <v>0</v>
      </c>
      <c r="L219" s="11">
        <v>0</v>
      </c>
      <c r="M219" s="11">
        <v>0</v>
      </c>
      <c r="N219" s="11">
        <v>0</v>
      </c>
      <c r="O219" s="11">
        <v>0</v>
      </c>
      <c r="P219" s="11">
        <v>0</v>
      </c>
      <c r="Q219" s="12">
        <v>0</v>
      </c>
      <c r="R219" s="12">
        <v>0</v>
      </c>
      <c r="S219" s="12">
        <f>$G$219*$G$8+$H$219*$H$8+$I$219*$I$8+$J$219*$J$8+$K$219*$K$8+$L$219*$L$8+$M$219*$M$8+$N$219*$N$8+$O$219*$O$8+$P$219*$P$8</f>
        <v>0</v>
      </c>
      <c r="T219" s="12">
        <f>SUM($Q$219:$R$219)</f>
        <v>0</v>
      </c>
      <c r="U219" s="12">
        <f>$S$219+$T$219</f>
        <v>0</v>
      </c>
    </row>
    <row r="220" spans="1:21" x14ac:dyDescent="0.3">
      <c r="A220" s="13" t="s">
        <v>819</v>
      </c>
      <c r="B220" s="14" t="s">
        <v>820</v>
      </c>
      <c r="C220" s="14"/>
      <c r="D220" s="14" t="s">
        <v>821</v>
      </c>
      <c r="E220" s="14">
        <f xml:space="preserve"> IF($U$220,1,0)</f>
        <v>0</v>
      </c>
      <c r="F220" s="14" t="s">
        <v>822</v>
      </c>
      <c r="G220" s="14">
        <v>0</v>
      </c>
      <c r="H220" s="14">
        <v>0</v>
      </c>
      <c r="I220" s="14">
        <v>0</v>
      </c>
      <c r="J220" s="14">
        <v>0</v>
      </c>
      <c r="K220" s="14">
        <v>0</v>
      </c>
      <c r="L220" s="14">
        <v>0</v>
      </c>
      <c r="M220" s="14">
        <v>0</v>
      </c>
      <c r="N220" s="14">
        <v>0</v>
      </c>
      <c r="O220" s="14">
        <v>0</v>
      </c>
      <c r="P220" s="14">
        <v>0</v>
      </c>
      <c r="Q220" s="15">
        <v>0</v>
      </c>
      <c r="R220" s="15">
        <v>0</v>
      </c>
      <c r="S220" s="15">
        <f>$G$220*$G$8+$H$220*$H$8+$I$220*$I$8+$J$220*$J$8+$K$220*$K$8+$L$220*$L$8+$M$220*$M$8+$N$220*$N$8+$O$220*$O$8+$P$220*$P$8</f>
        <v>0</v>
      </c>
      <c r="T220" s="15">
        <f>SUM($Q$220:$R$220)</f>
        <v>0</v>
      </c>
      <c r="U220" s="15">
        <f>$S$220+$T$220</f>
        <v>0</v>
      </c>
    </row>
    <row r="221" spans="1:21" x14ac:dyDescent="0.3">
      <c r="A221" s="10" t="s">
        <v>823</v>
      </c>
      <c r="B221" s="11" t="s">
        <v>824</v>
      </c>
      <c r="C221" s="11"/>
      <c r="D221" s="11" t="s">
        <v>825</v>
      </c>
      <c r="E221" s="11">
        <f xml:space="preserve"> IF($U$221,1,0)</f>
        <v>0</v>
      </c>
      <c r="F221" s="11" t="s">
        <v>826</v>
      </c>
      <c r="G221" s="11">
        <v>0</v>
      </c>
      <c r="H221" s="11">
        <v>0</v>
      </c>
      <c r="I221" s="11">
        <v>0</v>
      </c>
      <c r="J221" s="11">
        <v>0</v>
      </c>
      <c r="K221" s="11">
        <v>0</v>
      </c>
      <c r="L221" s="11">
        <v>0</v>
      </c>
      <c r="M221" s="11">
        <v>0</v>
      </c>
      <c r="N221" s="11">
        <v>0</v>
      </c>
      <c r="O221" s="11">
        <v>0</v>
      </c>
      <c r="P221" s="11">
        <v>0</v>
      </c>
      <c r="Q221" s="12">
        <v>0</v>
      </c>
      <c r="R221" s="12">
        <v>0</v>
      </c>
      <c r="S221" s="12">
        <f>$G$221*$G$8+$H$221*$H$8+$I$221*$I$8+$J$221*$J$8+$K$221*$K$8+$L$221*$L$8+$M$221*$M$8+$N$221*$N$8+$O$221*$O$8+$P$221*$P$8</f>
        <v>0</v>
      </c>
      <c r="T221" s="12">
        <f>SUM($Q$221:$R$221)</f>
        <v>0</v>
      </c>
      <c r="U221" s="12">
        <f>$S$221+$T$221</f>
        <v>0</v>
      </c>
    </row>
    <row r="222" spans="1:21" x14ac:dyDescent="0.3">
      <c r="A222" s="13" t="s">
        <v>827</v>
      </c>
      <c r="B222" s="14" t="s">
        <v>828</v>
      </c>
      <c r="C222" s="14"/>
      <c r="D222" s="14" t="s">
        <v>829</v>
      </c>
      <c r="E222" s="14">
        <f xml:space="preserve"> IF($U$222,1,0)</f>
        <v>0</v>
      </c>
      <c r="F222" s="14" t="s">
        <v>830</v>
      </c>
      <c r="G222" s="14">
        <v>0</v>
      </c>
      <c r="H222" s="14">
        <v>0</v>
      </c>
      <c r="I222" s="14">
        <v>0</v>
      </c>
      <c r="J222" s="14">
        <v>0</v>
      </c>
      <c r="K222" s="14">
        <v>0</v>
      </c>
      <c r="L222" s="14">
        <v>0</v>
      </c>
      <c r="M222" s="14">
        <v>0</v>
      </c>
      <c r="N222" s="14">
        <v>0</v>
      </c>
      <c r="O222" s="14">
        <v>0</v>
      </c>
      <c r="P222" s="14">
        <v>0</v>
      </c>
      <c r="Q222" s="15">
        <v>0</v>
      </c>
      <c r="R222" s="15">
        <v>0</v>
      </c>
      <c r="S222" s="15">
        <f>$G$222*$G$8+$H$222*$H$8+$I$222*$I$8+$J$222*$J$8+$K$222*$K$8+$L$222*$L$8+$M$222*$M$8+$N$222*$N$8+$O$222*$O$8+$P$222*$P$8</f>
        <v>0</v>
      </c>
      <c r="T222" s="15">
        <f>SUM($Q$222:$R$222)</f>
        <v>0</v>
      </c>
      <c r="U222" s="15">
        <f>$S$222+$T$222</f>
        <v>0</v>
      </c>
    </row>
    <row r="223" spans="1:21" x14ac:dyDescent="0.3">
      <c r="A223" s="10" t="s">
        <v>831</v>
      </c>
      <c r="B223" s="11" t="s">
        <v>832</v>
      </c>
      <c r="C223" s="11"/>
      <c r="D223" s="11" t="s">
        <v>833</v>
      </c>
      <c r="E223" s="11">
        <f xml:space="preserve"> IF($U$223,1,0)</f>
        <v>1</v>
      </c>
      <c r="F223" s="11" t="s">
        <v>834</v>
      </c>
      <c r="G223" s="11">
        <v>5</v>
      </c>
      <c r="H223" s="11">
        <v>0</v>
      </c>
      <c r="I223" s="11">
        <v>0</v>
      </c>
      <c r="J223" s="11">
        <v>0</v>
      </c>
      <c r="K223" s="11">
        <v>0</v>
      </c>
      <c r="L223" s="11">
        <v>0</v>
      </c>
      <c r="M223" s="11">
        <v>0</v>
      </c>
      <c r="N223" s="11">
        <v>0</v>
      </c>
      <c r="O223" s="11">
        <v>0</v>
      </c>
      <c r="P223" s="11">
        <v>0</v>
      </c>
      <c r="Q223" s="12">
        <v>0</v>
      </c>
      <c r="R223" s="12">
        <v>0</v>
      </c>
      <c r="S223" s="12">
        <f>$G$223*$G$8+$H$223*$H$8+$I$223*$I$8+$J$223*$J$8+$K$223*$K$8+$L$223*$L$8+$M$223*$M$8+$N$223*$N$8+$O$223*$O$8+$P$223*$P$8</f>
        <v>3.5</v>
      </c>
      <c r="T223" s="12">
        <f>SUM($Q$223:$R$223)</f>
        <v>0</v>
      </c>
      <c r="U223" s="12">
        <f>$S$223+$T$223</f>
        <v>3.5</v>
      </c>
    </row>
    <row r="224" spans="1:21" x14ac:dyDescent="0.3">
      <c r="A224" s="13" t="s">
        <v>835</v>
      </c>
      <c r="B224" s="14" t="s">
        <v>836</v>
      </c>
      <c r="C224" s="14"/>
      <c r="D224" s="14" t="s">
        <v>837</v>
      </c>
      <c r="E224" s="14">
        <f xml:space="preserve"> IF($U$224,1,0)</f>
        <v>0</v>
      </c>
      <c r="F224" s="14" t="s">
        <v>838</v>
      </c>
      <c r="G224" s="14">
        <v>0</v>
      </c>
      <c r="H224" s="14">
        <v>0</v>
      </c>
      <c r="I224" s="14">
        <v>0</v>
      </c>
      <c r="J224" s="14">
        <v>0</v>
      </c>
      <c r="K224" s="14">
        <v>0</v>
      </c>
      <c r="L224" s="14">
        <v>0</v>
      </c>
      <c r="M224" s="14">
        <v>0</v>
      </c>
      <c r="N224" s="14">
        <v>0</v>
      </c>
      <c r="O224" s="14">
        <v>0</v>
      </c>
      <c r="P224" s="14">
        <v>0</v>
      </c>
      <c r="Q224" s="15">
        <v>0</v>
      </c>
      <c r="R224" s="15">
        <v>0</v>
      </c>
      <c r="S224" s="15">
        <f>$G$224*$G$8+$H$224*$H$8+$I$224*$I$8+$J$224*$J$8+$K$224*$K$8+$L$224*$L$8+$M$224*$M$8+$N$224*$N$8+$O$224*$O$8+$P$224*$P$8</f>
        <v>0</v>
      </c>
      <c r="T224" s="15">
        <f>SUM($Q$224:$R$224)</f>
        <v>0</v>
      </c>
      <c r="U224" s="15">
        <f>$S$224+$T$224</f>
        <v>0</v>
      </c>
    </row>
    <row r="225" spans="1:21" x14ac:dyDescent="0.3">
      <c r="A225" s="10" t="s">
        <v>839</v>
      </c>
      <c r="B225" s="11" t="s">
        <v>840</v>
      </c>
      <c r="C225" s="11"/>
      <c r="D225" s="11" t="s">
        <v>841</v>
      </c>
      <c r="E225" s="11">
        <f xml:space="preserve"> IF($U$225,1,0)</f>
        <v>0</v>
      </c>
      <c r="F225" s="11" t="s">
        <v>842</v>
      </c>
      <c r="G225" s="11">
        <v>0</v>
      </c>
      <c r="H225" s="11">
        <v>0</v>
      </c>
      <c r="I225" s="11">
        <v>0</v>
      </c>
      <c r="J225" s="11">
        <v>0</v>
      </c>
      <c r="K225" s="11">
        <v>0</v>
      </c>
      <c r="L225" s="11">
        <v>0</v>
      </c>
      <c r="M225" s="11">
        <v>0</v>
      </c>
      <c r="N225" s="11">
        <v>0</v>
      </c>
      <c r="O225" s="11">
        <v>0</v>
      </c>
      <c r="P225" s="11">
        <v>0</v>
      </c>
      <c r="Q225" s="12">
        <v>0</v>
      </c>
      <c r="R225" s="12">
        <v>0</v>
      </c>
      <c r="S225" s="12">
        <f>$G$225*$G$8+$H$225*$H$8+$I$225*$I$8+$J$225*$J$8+$K$225*$K$8+$L$225*$L$8+$M$225*$M$8+$N$225*$N$8+$O$225*$O$8+$P$225*$P$8</f>
        <v>0</v>
      </c>
      <c r="T225" s="12">
        <f>SUM($Q$225:$R$225)</f>
        <v>0</v>
      </c>
      <c r="U225" s="12">
        <f>$S$225+$T$225</f>
        <v>0</v>
      </c>
    </row>
    <row r="226" spans="1:21" x14ac:dyDescent="0.3">
      <c r="A226" s="13" t="s">
        <v>843</v>
      </c>
      <c r="B226" s="14" t="s">
        <v>844</v>
      </c>
      <c r="C226" s="14"/>
      <c r="D226" s="14" t="s">
        <v>845</v>
      </c>
      <c r="E226" s="14">
        <f xml:space="preserve"> IF($U$226,1,0)</f>
        <v>0</v>
      </c>
      <c r="F226" s="14" t="s">
        <v>846</v>
      </c>
      <c r="G226" s="14">
        <v>0</v>
      </c>
      <c r="H226" s="14">
        <v>0</v>
      </c>
      <c r="I226" s="14">
        <v>0</v>
      </c>
      <c r="J226" s="14">
        <v>0</v>
      </c>
      <c r="K226" s="14">
        <v>0</v>
      </c>
      <c r="L226" s="14">
        <v>0</v>
      </c>
      <c r="M226" s="14">
        <v>0</v>
      </c>
      <c r="N226" s="14">
        <v>0</v>
      </c>
      <c r="O226" s="14">
        <v>0</v>
      </c>
      <c r="P226" s="14">
        <v>0</v>
      </c>
      <c r="Q226" s="15">
        <v>0</v>
      </c>
      <c r="R226" s="15">
        <v>0</v>
      </c>
      <c r="S226" s="15">
        <f>$G$226*$G$8+$H$226*$H$8+$I$226*$I$8+$J$226*$J$8+$K$226*$K$8+$L$226*$L$8+$M$226*$M$8+$N$226*$N$8+$O$226*$O$8+$P$226*$P$8</f>
        <v>0</v>
      </c>
      <c r="T226" s="15">
        <f>SUM($Q$226:$R$226)</f>
        <v>0</v>
      </c>
      <c r="U226" s="15">
        <f>$S$226+$T$226</f>
        <v>0</v>
      </c>
    </row>
    <row r="227" spans="1:21" x14ac:dyDescent="0.3">
      <c r="A227" s="10" t="s">
        <v>847</v>
      </c>
      <c r="B227" s="11" t="s">
        <v>848</v>
      </c>
      <c r="C227" s="11" t="s">
        <v>202</v>
      </c>
      <c r="D227" s="11" t="s">
        <v>849</v>
      </c>
      <c r="E227" s="11">
        <f xml:space="preserve"> IF($U$227,1,0)</f>
        <v>1</v>
      </c>
      <c r="F227" s="11" t="s">
        <v>850</v>
      </c>
      <c r="G227" s="11">
        <v>0</v>
      </c>
      <c r="H227" s="11">
        <v>4</v>
      </c>
      <c r="I227" s="11">
        <v>0</v>
      </c>
      <c r="J227" s="11">
        <v>0</v>
      </c>
      <c r="K227" s="11">
        <v>0</v>
      </c>
      <c r="L227" s="11">
        <v>0</v>
      </c>
      <c r="M227" s="11">
        <v>0</v>
      </c>
      <c r="N227" s="11">
        <v>0</v>
      </c>
      <c r="O227" s="11">
        <v>0</v>
      </c>
      <c r="P227" s="11">
        <v>0</v>
      </c>
      <c r="Q227" s="12">
        <v>0</v>
      </c>
      <c r="R227" s="12">
        <v>0</v>
      </c>
      <c r="S227" s="12">
        <f>$G$227*$G$8+$H$227*$H$8+$I$227*$I$8+$J$227*$J$8+$K$227*$K$8+$L$227*$L$8+$M$227*$M$8+$N$227*$N$8+$O$227*$O$8+$P$227*$P$8</f>
        <v>7.2</v>
      </c>
      <c r="T227" s="12">
        <f>SUM($Q$227:$R$227)</f>
        <v>0</v>
      </c>
      <c r="U227" s="12">
        <f>$S$227+$T$227</f>
        <v>7.2</v>
      </c>
    </row>
    <row r="228" spans="1:21" x14ac:dyDescent="0.3">
      <c r="A228" s="13" t="s">
        <v>851</v>
      </c>
      <c r="B228" s="14" t="s">
        <v>852</v>
      </c>
      <c r="C228" s="14"/>
      <c r="D228" s="14" t="s">
        <v>853</v>
      </c>
      <c r="E228" s="14">
        <f xml:space="preserve"> IF($U$228,1,0)</f>
        <v>0</v>
      </c>
      <c r="F228" s="14" t="s">
        <v>854</v>
      </c>
      <c r="G228" s="14">
        <v>0</v>
      </c>
      <c r="H228" s="14">
        <v>0</v>
      </c>
      <c r="I228" s="14">
        <v>0</v>
      </c>
      <c r="J228" s="14">
        <v>0</v>
      </c>
      <c r="K228" s="14">
        <v>0</v>
      </c>
      <c r="L228" s="14">
        <v>0</v>
      </c>
      <c r="M228" s="14">
        <v>0</v>
      </c>
      <c r="N228" s="14">
        <v>0</v>
      </c>
      <c r="O228" s="14">
        <v>0</v>
      </c>
      <c r="P228" s="14">
        <v>0</v>
      </c>
      <c r="Q228" s="15">
        <v>0</v>
      </c>
      <c r="R228" s="15">
        <v>0</v>
      </c>
      <c r="S228" s="15">
        <f>$G$228*$G$8+$H$228*$H$8+$I$228*$I$8+$J$228*$J$8+$K$228*$K$8+$L$228*$L$8+$M$228*$M$8+$N$228*$N$8+$O$228*$O$8+$P$228*$P$8</f>
        <v>0</v>
      </c>
      <c r="T228" s="15">
        <f>SUM($Q$228:$R$228)</f>
        <v>0</v>
      </c>
      <c r="U228" s="15">
        <f>$S$228+$T$228</f>
        <v>0</v>
      </c>
    </row>
    <row r="229" spans="1:21" x14ac:dyDescent="0.3">
      <c r="A229" s="10" t="s">
        <v>855</v>
      </c>
      <c r="B229" s="11" t="s">
        <v>856</v>
      </c>
      <c r="C229" s="11"/>
      <c r="D229" s="11" t="s">
        <v>790</v>
      </c>
      <c r="E229" s="11">
        <f xml:space="preserve"> IF($U$229,1,0)</f>
        <v>0</v>
      </c>
      <c r="F229" s="11" t="s">
        <v>857</v>
      </c>
      <c r="G229" s="11">
        <v>0</v>
      </c>
      <c r="H229" s="11">
        <v>0</v>
      </c>
      <c r="I229" s="11">
        <v>0</v>
      </c>
      <c r="J229" s="11">
        <v>0</v>
      </c>
      <c r="K229" s="11">
        <v>0</v>
      </c>
      <c r="L229" s="11">
        <v>0</v>
      </c>
      <c r="M229" s="11">
        <v>0</v>
      </c>
      <c r="N229" s="11">
        <v>0</v>
      </c>
      <c r="O229" s="11">
        <v>0</v>
      </c>
      <c r="P229" s="11">
        <v>0</v>
      </c>
      <c r="Q229" s="12">
        <v>0</v>
      </c>
      <c r="R229" s="12">
        <v>0</v>
      </c>
      <c r="S229" s="12">
        <f>$G$229*$G$8+$H$229*$H$8+$I$229*$I$8+$J$229*$J$8+$K$229*$K$8+$L$229*$L$8+$M$229*$M$8+$N$229*$N$8+$O$229*$O$8+$P$229*$P$8</f>
        <v>0</v>
      </c>
      <c r="T229" s="12">
        <f>SUM($Q$229:$R$229)</f>
        <v>0</v>
      </c>
      <c r="U229" s="12">
        <f>$S$229+$T$229</f>
        <v>0</v>
      </c>
    </row>
    <row r="230" spans="1:21" x14ac:dyDescent="0.3">
      <c r="A230" s="13" t="s">
        <v>858</v>
      </c>
      <c r="B230" s="14" t="s">
        <v>859</v>
      </c>
      <c r="C230" s="14"/>
      <c r="D230" s="14" t="s">
        <v>860</v>
      </c>
      <c r="E230" s="14">
        <f xml:space="preserve"> IF($U$230,1,0)</f>
        <v>0</v>
      </c>
      <c r="F230" s="14" t="s">
        <v>861</v>
      </c>
      <c r="G230" s="14">
        <v>0</v>
      </c>
      <c r="H230" s="14">
        <v>0</v>
      </c>
      <c r="I230" s="14">
        <v>0</v>
      </c>
      <c r="J230" s="14">
        <v>0</v>
      </c>
      <c r="K230" s="14">
        <v>0</v>
      </c>
      <c r="L230" s="14">
        <v>0</v>
      </c>
      <c r="M230" s="14">
        <v>0</v>
      </c>
      <c r="N230" s="14">
        <v>0</v>
      </c>
      <c r="O230" s="14">
        <v>0</v>
      </c>
      <c r="P230" s="14">
        <v>0</v>
      </c>
      <c r="Q230" s="15">
        <v>0</v>
      </c>
      <c r="R230" s="15">
        <v>0</v>
      </c>
      <c r="S230" s="15">
        <f>$G$230*$G$8+$H$230*$H$8+$I$230*$I$8+$J$230*$J$8+$K$230*$K$8+$L$230*$L$8+$M$230*$M$8+$N$230*$N$8+$O$230*$O$8+$P$230*$P$8</f>
        <v>0</v>
      </c>
      <c r="T230" s="15">
        <f>SUM($Q$230:$R$230)</f>
        <v>0</v>
      </c>
      <c r="U230" s="15">
        <f>$S$230+$T$230</f>
        <v>0</v>
      </c>
    </row>
    <row r="231" spans="1:21" x14ac:dyDescent="0.3">
      <c r="A231" s="10" t="s">
        <v>862</v>
      </c>
      <c r="B231" s="11" t="s">
        <v>863</v>
      </c>
      <c r="C231" s="11"/>
      <c r="D231" s="11" t="s">
        <v>864</v>
      </c>
      <c r="E231" s="11">
        <f xml:space="preserve"> IF($U$231,1,0)</f>
        <v>0</v>
      </c>
      <c r="F231" s="11" t="s">
        <v>865</v>
      </c>
      <c r="G231" s="11">
        <v>0</v>
      </c>
      <c r="H231" s="11">
        <v>0</v>
      </c>
      <c r="I231" s="11">
        <v>0</v>
      </c>
      <c r="J231" s="11">
        <v>0</v>
      </c>
      <c r="K231" s="11">
        <v>0</v>
      </c>
      <c r="L231" s="11">
        <v>0</v>
      </c>
      <c r="M231" s="11">
        <v>0</v>
      </c>
      <c r="N231" s="11">
        <v>0</v>
      </c>
      <c r="O231" s="11">
        <v>0</v>
      </c>
      <c r="P231" s="11">
        <v>0</v>
      </c>
      <c r="Q231" s="12">
        <v>0</v>
      </c>
      <c r="R231" s="12">
        <v>0</v>
      </c>
      <c r="S231" s="12">
        <f>$G$231*$G$8+$H$231*$H$8+$I$231*$I$8+$J$231*$J$8+$K$231*$K$8+$L$231*$L$8+$M$231*$M$8+$N$231*$N$8+$O$231*$O$8+$P$231*$P$8</f>
        <v>0</v>
      </c>
      <c r="T231" s="12">
        <f>SUM($Q$231:$R$231)</f>
        <v>0</v>
      </c>
      <c r="U231" s="12">
        <f>$S$231+$T$231</f>
        <v>0</v>
      </c>
    </row>
    <row r="232" spans="1:21" x14ac:dyDescent="0.3">
      <c r="A232" s="13" t="s">
        <v>866</v>
      </c>
      <c r="B232" s="14" t="s">
        <v>867</v>
      </c>
      <c r="C232" s="14"/>
      <c r="D232" s="14" t="s">
        <v>868</v>
      </c>
      <c r="E232" s="14">
        <f xml:space="preserve"> IF($U$232,1,0)</f>
        <v>0</v>
      </c>
      <c r="F232" s="14" t="s">
        <v>869</v>
      </c>
      <c r="G232" s="14">
        <v>0</v>
      </c>
      <c r="H232" s="14">
        <v>0</v>
      </c>
      <c r="I232" s="14">
        <v>0</v>
      </c>
      <c r="J232" s="14">
        <v>0</v>
      </c>
      <c r="K232" s="14">
        <v>0</v>
      </c>
      <c r="L232" s="14">
        <v>0</v>
      </c>
      <c r="M232" s="14">
        <v>0</v>
      </c>
      <c r="N232" s="14">
        <v>0</v>
      </c>
      <c r="O232" s="14">
        <v>0</v>
      </c>
      <c r="P232" s="14">
        <v>0</v>
      </c>
      <c r="Q232" s="15">
        <v>0</v>
      </c>
      <c r="R232" s="15">
        <v>0</v>
      </c>
      <c r="S232" s="15">
        <f>$G$232*$G$8+$H$232*$H$8+$I$232*$I$8+$J$232*$J$8+$K$232*$K$8+$L$232*$L$8+$M$232*$M$8+$N$232*$N$8+$O$232*$O$8+$P$232*$P$8</f>
        <v>0</v>
      </c>
      <c r="T232" s="15">
        <f>SUM($Q$232:$R$232)</f>
        <v>0</v>
      </c>
      <c r="U232" s="15">
        <f>$S$232+$T$232</f>
        <v>0</v>
      </c>
    </row>
    <row r="233" spans="1:21" x14ac:dyDescent="0.3">
      <c r="A233" s="10" t="s">
        <v>870</v>
      </c>
      <c r="B233" s="11" t="s">
        <v>871</v>
      </c>
      <c r="C233" s="11" t="s">
        <v>243</v>
      </c>
      <c r="D233" s="11" t="s">
        <v>399</v>
      </c>
      <c r="E233" s="11">
        <f xml:space="preserve"> IF($U$233,1,0)</f>
        <v>0</v>
      </c>
      <c r="F233" s="11" t="s">
        <v>872</v>
      </c>
      <c r="G233" s="11">
        <v>0</v>
      </c>
      <c r="H233" s="11">
        <v>0</v>
      </c>
      <c r="I233" s="11">
        <v>0</v>
      </c>
      <c r="J233" s="11">
        <v>0</v>
      </c>
      <c r="K233" s="11">
        <v>0</v>
      </c>
      <c r="L233" s="11">
        <v>0</v>
      </c>
      <c r="M233" s="11">
        <v>0</v>
      </c>
      <c r="N233" s="11">
        <v>0</v>
      </c>
      <c r="O233" s="11">
        <v>0</v>
      </c>
      <c r="P233" s="11">
        <v>0</v>
      </c>
      <c r="Q233" s="12">
        <v>0</v>
      </c>
      <c r="R233" s="12">
        <v>0</v>
      </c>
      <c r="S233" s="12">
        <f>$G$233*$G$8+$H$233*$H$8+$I$233*$I$8+$J$233*$J$8+$K$233*$K$8+$L$233*$L$8+$M$233*$M$8+$N$233*$N$8+$O$233*$O$8+$P$233*$P$8</f>
        <v>0</v>
      </c>
      <c r="T233" s="12">
        <f>SUM($Q$233:$R$233)</f>
        <v>0</v>
      </c>
      <c r="U233" s="12">
        <f>$S$233+$T$233</f>
        <v>0</v>
      </c>
    </row>
    <row r="234" spans="1:21" x14ac:dyDescent="0.3">
      <c r="A234" s="13" t="s">
        <v>873</v>
      </c>
      <c r="B234" s="14" t="s">
        <v>874</v>
      </c>
      <c r="C234" s="14"/>
      <c r="D234" s="14" t="s">
        <v>875</v>
      </c>
      <c r="E234" s="14">
        <f xml:space="preserve"> IF($U$234,1,0)</f>
        <v>0</v>
      </c>
      <c r="F234" s="14" t="s">
        <v>876</v>
      </c>
      <c r="G234" s="14">
        <v>0</v>
      </c>
      <c r="H234" s="14">
        <v>0</v>
      </c>
      <c r="I234" s="14">
        <v>0</v>
      </c>
      <c r="J234" s="14">
        <v>0</v>
      </c>
      <c r="K234" s="14">
        <v>0</v>
      </c>
      <c r="L234" s="14">
        <v>0</v>
      </c>
      <c r="M234" s="14">
        <v>0</v>
      </c>
      <c r="N234" s="14">
        <v>0</v>
      </c>
      <c r="O234" s="14">
        <v>0</v>
      </c>
      <c r="P234" s="14">
        <v>0</v>
      </c>
      <c r="Q234" s="15">
        <v>0</v>
      </c>
      <c r="R234" s="15">
        <v>0</v>
      </c>
      <c r="S234" s="15">
        <f>$G$234*$G$8+$H$234*$H$8+$I$234*$I$8+$J$234*$J$8+$K$234*$K$8+$L$234*$L$8+$M$234*$M$8+$N$234*$N$8+$O$234*$O$8+$P$234*$P$8</f>
        <v>0</v>
      </c>
      <c r="T234" s="15">
        <f>SUM($Q$234:$R$234)</f>
        <v>0</v>
      </c>
      <c r="U234" s="15">
        <f>$S$234+$T$234</f>
        <v>0</v>
      </c>
    </row>
    <row r="235" spans="1:21" x14ac:dyDescent="0.3">
      <c r="A235" s="10" t="s">
        <v>877</v>
      </c>
      <c r="B235" s="11" t="s">
        <v>878</v>
      </c>
      <c r="C235" s="11"/>
      <c r="D235" s="11" t="s">
        <v>879</v>
      </c>
      <c r="E235" s="11">
        <f xml:space="preserve"> IF($U$235,1,0)</f>
        <v>1</v>
      </c>
      <c r="F235" s="11" t="s">
        <v>880</v>
      </c>
      <c r="G235" s="11">
        <v>2</v>
      </c>
      <c r="H235" s="11">
        <v>0</v>
      </c>
      <c r="I235" s="11">
        <v>0</v>
      </c>
      <c r="J235" s="11">
        <v>0</v>
      </c>
      <c r="K235" s="11">
        <v>0</v>
      </c>
      <c r="L235" s="11">
        <v>0</v>
      </c>
      <c r="M235" s="11">
        <v>0</v>
      </c>
      <c r="N235" s="11">
        <v>0</v>
      </c>
      <c r="O235" s="11">
        <v>0</v>
      </c>
      <c r="P235" s="11">
        <v>0</v>
      </c>
      <c r="Q235" s="12">
        <v>0</v>
      </c>
      <c r="R235" s="12">
        <v>0</v>
      </c>
      <c r="S235" s="12">
        <f>$G$235*$G$8+$H$235*$H$8+$I$235*$I$8+$J$235*$J$8+$K$235*$K$8+$L$235*$L$8+$M$235*$M$8+$N$235*$N$8+$O$235*$O$8+$P$235*$P$8</f>
        <v>1.4</v>
      </c>
      <c r="T235" s="12">
        <f>SUM($Q$235:$R$235)</f>
        <v>0</v>
      </c>
      <c r="U235" s="12">
        <f>$S$235+$T$235</f>
        <v>1.4</v>
      </c>
    </row>
    <row r="236" spans="1:21" x14ac:dyDescent="0.3">
      <c r="A236" s="13" t="s">
        <v>881</v>
      </c>
      <c r="B236" s="14" t="s">
        <v>882</v>
      </c>
      <c r="C236" s="14"/>
      <c r="D236" s="14" t="s">
        <v>883</v>
      </c>
      <c r="E236" s="14">
        <f xml:space="preserve"> IF($U$236,1,0)</f>
        <v>1</v>
      </c>
      <c r="F236" s="14" t="s">
        <v>884</v>
      </c>
      <c r="G236" s="14">
        <v>3</v>
      </c>
      <c r="H236" s="14">
        <v>2</v>
      </c>
      <c r="I236" s="14">
        <v>0</v>
      </c>
      <c r="J236" s="14">
        <v>0</v>
      </c>
      <c r="K236" s="14">
        <v>0</v>
      </c>
      <c r="L236" s="14">
        <v>0</v>
      </c>
      <c r="M236" s="14">
        <v>0</v>
      </c>
      <c r="N236" s="14">
        <v>0</v>
      </c>
      <c r="O236" s="14">
        <v>0</v>
      </c>
      <c r="P236" s="14">
        <v>0</v>
      </c>
      <c r="Q236" s="15">
        <v>0</v>
      </c>
      <c r="R236" s="15">
        <v>0</v>
      </c>
      <c r="S236" s="15">
        <f>$G$236*$G$8+$H$236*$H$8+$I$236*$I$8+$J$236*$J$8+$K$236*$K$8+$L$236*$L$8+$M$236*$M$8+$N$236*$N$8+$O$236*$O$8+$P$236*$P$8</f>
        <v>5.6999999999999993</v>
      </c>
      <c r="T236" s="15">
        <f>SUM($Q$236:$R$236)</f>
        <v>0</v>
      </c>
      <c r="U236" s="15">
        <f>$S$236+$T$236</f>
        <v>5.6999999999999993</v>
      </c>
    </row>
    <row r="237" spans="1:21" x14ac:dyDescent="0.3">
      <c r="A237" s="10" t="s">
        <v>885</v>
      </c>
      <c r="B237" s="11" t="s">
        <v>886</v>
      </c>
      <c r="C237" s="11" t="s">
        <v>887</v>
      </c>
      <c r="D237" s="11" t="s">
        <v>888</v>
      </c>
      <c r="E237" s="11">
        <f xml:space="preserve"> IF($U$237,1,0)</f>
        <v>0</v>
      </c>
      <c r="F237" s="11" t="s">
        <v>889</v>
      </c>
      <c r="G237" s="11">
        <v>0</v>
      </c>
      <c r="H237" s="11">
        <v>0</v>
      </c>
      <c r="I237" s="11">
        <v>0</v>
      </c>
      <c r="J237" s="11">
        <v>0</v>
      </c>
      <c r="K237" s="11">
        <v>0</v>
      </c>
      <c r="L237" s="11">
        <v>0</v>
      </c>
      <c r="M237" s="11">
        <v>0</v>
      </c>
      <c r="N237" s="11">
        <v>0</v>
      </c>
      <c r="O237" s="11">
        <v>0</v>
      </c>
      <c r="P237" s="11">
        <v>0</v>
      </c>
      <c r="Q237" s="12">
        <v>0</v>
      </c>
      <c r="R237" s="12">
        <v>0</v>
      </c>
      <c r="S237" s="12">
        <f>$G$237*$G$8+$H$237*$H$8+$I$237*$I$8+$J$237*$J$8+$K$237*$K$8+$L$237*$L$8+$M$237*$M$8+$N$237*$N$8+$O$237*$O$8+$P$237*$P$8</f>
        <v>0</v>
      </c>
      <c r="T237" s="12">
        <f>SUM($Q$237:$R$237)</f>
        <v>0</v>
      </c>
      <c r="U237" s="12">
        <f>$S$237+$T$237</f>
        <v>0</v>
      </c>
    </row>
    <row r="238" spans="1:21" x14ac:dyDescent="0.3">
      <c r="A238" s="13" t="s">
        <v>890</v>
      </c>
      <c r="B238" s="14" t="s">
        <v>886</v>
      </c>
      <c r="C238" s="14"/>
      <c r="D238" s="14" t="s">
        <v>891</v>
      </c>
      <c r="E238" s="14">
        <f xml:space="preserve"> IF($U$238,1,0)</f>
        <v>0</v>
      </c>
      <c r="F238" s="14" t="s">
        <v>892</v>
      </c>
      <c r="G238" s="14">
        <v>0</v>
      </c>
      <c r="H238" s="14">
        <v>0</v>
      </c>
      <c r="I238" s="14">
        <v>0</v>
      </c>
      <c r="J238" s="14">
        <v>0</v>
      </c>
      <c r="K238" s="14">
        <v>0</v>
      </c>
      <c r="L238" s="14">
        <v>0</v>
      </c>
      <c r="M238" s="14">
        <v>0</v>
      </c>
      <c r="N238" s="14">
        <v>0</v>
      </c>
      <c r="O238" s="14">
        <v>0</v>
      </c>
      <c r="P238" s="14">
        <v>0</v>
      </c>
      <c r="Q238" s="15">
        <v>0</v>
      </c>
      <c r="R238" s="15">
        <v>0</v>
      </c>
      <c r="S238" s="15">
        <f>$G$238*$G$8+$H$238*$H$8+$I$238*$I$8+$J$238*$J$8+$K$238*$K$8+$L$238*$L$8+$M$238*$M$8+$N$238*$N$8+$O$238*$O$8+$P$238*$P$8</f>
        <v>0</v>
      </c>
      <c r="T238" s="15">
        <f>SUM($Q$238:$R$238)</f>
        <v>0</v>
      </c>
      <c r="U238" s="15">
        <f>$S$238+$T$238</f>
        <v>0</v>
      </c>
    </row>
    <row r="239" spans="1:21" x14ac:dyDescent="0.3">
      <c r="A239" s="10" t="s">
        <v>893</v>
      </c>
      <c r="B239" s="11" t="s">
        <v>894</v>
      </c>
      <c r="C239" s="11"/>
      <c r="D239" s="11" t="s">
        <v>895</v>
      </c>
      <c r="E239" s="11">
        <f xml:space="preserve"> IF($U$239,1,0)</f>
        <v>0</v>
      </c>
      <c r="F239" s="11" t="s">
        <v>896</v>
      </c>
      <c r="G239" s="11">
        <v>0</v>
      </c>
      <c r="H239" s="11">
        <v>0</v>
      </c>
      <c r="I239" s="11">
        <v>0</v>
      </c>
      <c r="J239" s="11">
        <v>0</v>
      </c>
      <c r="K239" s="11">
        <v>0</v>
      </c>
      <c r="L239" s="11">
        <v>0</v>
      </c>
      <c r="M239" s="11">
        <v>0</v>
      </c>
      <c r="N239" s="11">
        <v>0</v>
      </c>
      <c r="O239" s="11">
        <v>0</v>
      </c>
      <c r="P239" s="11">
        <v>0</v>
      </c>
      <c r="Q239" s="12">
        <v>0</v>
      </c>
      <c r="R239" s="12">
        <v>0</v>
      </c>
      <c r="S239" s="12">
        <f>$G$239*$G$8+$H$239*$H$8+$I$239*$I$8+$J$239*$J$8+$K$239*$K$8+$L$239*$L$8+$M$239*$M$8+$N$239*$N$8+$O$239*$O$8+$P$239*$P$8</f>
        <v>0</v>
      </c>
      <c r="T239" s="12">
        <f>SUM($Q$239:$R$239)</f>
        <v>0</v>
      </c>
      <c r="U239" s="12">
        <f>$S$239+$T$239</f>
        <v>0</v>
      </c>
    </row>
    <row r="240" spans="1:21" x14ac:dyDescent="0.3">
      <c r="A240" s="13" t="s">
        <v>897</v>
      </c>
      <c r="B240" s="14" t="s">
        <v>898</v>
      </c>
      <c r="C240" s="14"/>
      <c r="D240" s="14" t="s">
        <v>899</v>
      </c>
      <c r="E240" s="14">
        <f xml:space="preserve"> IF($U$240,1,0)</f>
        <v>0</v>
      </c>
      <c r="F240" s="14" t="s">
        <v>900</v>
      </c>
      <c r="G240" s="14">
        <v>0</v>
      </c>
      <c r="H240" s="14">
        <v>0</v>
      </c>
      <c r="I240" s="14">
        <v>0</v>
      </c>
      <c r="J240" s="14">
        <v>0</v>
      </c>
      <c r="K240" s="14">
        <v>0</v>
      </c>
      <c r="L240" s="14">
        <v>0</v>
      </c>
      <c r="M240" s="14">
        <v>0</v>
      </c>
      <c r="N240" s="14">
        <v>0</v>
      </c>
      <c r="O240" s="14">
        <v>0</v>
      </c>
      <c r="P240" s="14">
        <v>0</v>
      </c>
      <c r="Q240" s="15">
        <v>0</v>
      </c>
      <c r="R240" s="15">
        <v>0</v>
      </c>
      <c r="S240" s="15">
        <f>$G$240*$G$8+$H$240*$H$8+$I$240*$I$8+$J$240*$J$8+$K$240*$K$8+$L$240*$L$8+$M$240*$M$8+$N$240*$N$8+$O$240*$O$8+$P$240*$P$8</f>
        <v>0</v>
      </c>
      <c r="T240" s="15">
        <f>SUM($Q$240:$R$240)</f>
        <v>0</v>
      </c>
      <c r="U240" s="15">
        <f>$S$240+$T$240</f>
        <v>0</v>
      </c>
    </row>
    <row r="241" spans="1:21" x14ac:dyDescent="0.3">
      <c r="A241" s="10" t="s">
        <v>901</v>
      </c>
      <c r="B241" s="11" t="s">
        <v>902</v>
      </c>
      <c r="C241" s="11"/>
      <c r="D241" s="11" t="s">
        <v>903</v>
      </c>
      <c r="E241" s="11">
        <f xml:space="preserve"> IF($U$241,1,0)</f>
        <v>0</v>
      </c>
      <c r="F241" s="11" t="s">
        <v>904</v>
      </c>
      <c r="G241" s="11">
        <v>0</v>
      </c>
      <c r="H241" s="11">
        <v>0</v>
      </c>
      <c r="I241" s="11">
        <v>0</v>
      </c>
      <c r="J241" s="11">
        <v>0</v>
      </c>
      <c r="K241" s="11">
        <v>0</v>
      </c>
      <c r="L241" s="11">
        <v>0</v>
      </c>
      <c r="M241" s="11">
        <v>0</v>
      </c>
      <c r="N241" s="11">
        <v>0</v>
      </c>
      <c r="O241" s="11">
        <v>0</v>
      </c>
      <c r="P241" s="11">
        <v>0</v>
      </c>
      <c r="Q241" s="12">
        <v>0</v>
      </c>
      <c r="R241" s="12">
        <v>0</v>
      </c>
      <c r="S241" s="12">
        <f>$G$241*$G$8+$H$241*$H$8+$I$241*$I$8+$J$241*$J$8+$K$241*$K$8+$L$241*$L$8+$M$241*$M$8+$N$241*$N$8+$O$241*$O$8+$P$241*$P$8</f>
        <v>0</v>
      </c>
      <c r="T241" s="12">
        <f>SUM($Q$241:$R$241)</f>
        <v>0</v>
      </c>
      <c r="U241" s="12">
        <f>$S$241+$T$241</f>
        <v>0</v>
      </c>
    </row>
    <row r="242" spans="1:21" x14ac:dyDescent="0.3">
      <c r="A242" s="13" t="s">
        <v>905</v>
      </c>
      <c r="B242" s="14" t="s">
        <v>906</v>
      </c>
      <c r="C242" s="14" t="s">
        <v>283</v>
      </c>
      <c r="D242" s="14" t="s">
        <v>296</v>
      </c>
      <c r="E242" s="14">
        <f xml:space="preserve"> IF($U$242,1,0)</f>
        <v>0</v>
      </c>
      <c r="F242" s="14" t="s">
        <v>907</v>
      </c>
      <c r="G242" s="14">
        <v>0</v>
      </c>
      <c r="H242" s="14">
        <v>0</v>
      </c>
      <c r="I242" s="14">
        <v>0</v>
      </c>
      <c r="J242" s="14">
        <v>0</v>
      </c>
      <c r="K242" s="14">
        <v>0</v>
      </c>
      <c r="L242" s="14">
        <v>0</v>
      </c>
      <c r="M242" s="14">
        <v>0</v>
      </c>
      <c r="N242" s="14">
        <v>0</v>
      </c>
      <c r="O242" s="14">
        <v>0</v>
      </c>
      <c r="P242" s="14">
        <v>0</v>
      </c>
      <c r="Q242" s="15">
        <v>0</v>
      </c>
      <c r="R242" s="15">
        <v>0</v>
      </c>
      <c r="S242" s="15">
        <f>$G$242*$G$8+$H$242*$H$8+$I$242*$I$8+$J$242*$J$8+$K$242*$K$8+$L$242*$L$8+$M$242*$M$8+$N$242*$N$8+$O$242*$O$8+$P$242*$P$8</f>
        <v>0</v>
      </c>
      <c r="T242" s="15">
        <f>SUM($Q$242:$R$242)</f>
        <v>0</v>
      </c>
      <c r="U242" s="15">
        <f>$S$242+$T$242</f>
        <v>0</v>
      </c>
    </row>
    <row r="243" spans="1:21" x14ac:dyDescent="0.3">
      <c r="A243" s="10" t="s">
        <v>908</v>
      </c>
      <c r="B243" s="11" t="s">
        <v>909</v>
      </c>
      <c r="C243" s="11"/>
      <c r="D243" s="11" t="s">
        <v>910</v>
      </c>
      <c r="E243" s="11">
        <f xml:space="preserve"> IF($U$243,1,0)</f>
        <v>0</v>
      </c>
      <c r="F243" s="11" t="s">
        <v>911</v>
      </c>
      <c r="G243" s="11">
        <v>0</v>
      </c>
      <c r="H243" s="11">
        <v>0</v>
      </c>
      <c r="I243" s="11">
        <v>0</v>
      </c>
      <c r="J243" s="11">
        <v>0</v>
      </c>
      <c r="K243" s="11">
        <v>0</v>
      </c>
      <c r="L243" s="11">
        <v>0</v>
      </c>
      <c r="M243" s="11">
        <v>0</v>
      </c>
      <c r="N243" s="11">
        <v>0</v>
      </c>
      <c r="O243" s="11">
        <v>0</v>
      </c>
      <c r="P243" s="11">
        <v>0</v>
      </c>
      <c r="Q243" s="12">
        <v>0</v>
      </c>
      <c r="R243" s="12">
        <v>0</v>
      </c>
      <c r="S243" s="12">
        <f>$G$243*$G$8+$H$243*$H$8+$I$243*$I$8+$J$243*$J$8+$K$243*$K$8+$L$243*$L$8+$M$243*$M$8+$N$243*$N$8+$O$243*$O$8+$P$243*$P$8</f>
        <v>0</v>
      </c>
      <c r="T243" s="12">
        <f>SUM($Q$243:$R$243)</f>
        <v>0</v>
      </c>
      <c r="U243" s="12">
        <f>$S$243+$T$243</f>
        <v>0</v>
      </c>
    </row>
    <row r="244" spans="1:21" x14ac:dyDescent="0.3">
      <c r="A244" s="13" t="s">
        <v>912</v>
      </c>
      <c r="B244" s="14" t="s">
        <v>913</v>
      </c>
      <c r="C244" s="14" t="s">
        <v>65</v>
      </c>
      <c r="D244" s="14" t="s">
        <v>914</v>
      </c>
      <c r="E244" s="14">
        <f xml:space="preserve"> IF($U$244,1,0)</f>
        <v>1</v>
      </c>
      <c r="F244" s="14" t="s">
        <v>915</v>
      </c>
      <c r="G244" s="14">
        <v>8</v>
      </c>
      <c r="H244" s="14">
        <v>0</v>
      </c>
      <c r="I244" s="14">
        <v>0</v>
      </c>
      <c r="J244" s="14">
        <v>0</v>
      </c>
      <c r="K244" s="14">
        <v>0</v>
      </c>
      <c r="L244" s="14">
        <v>0</v>
      </c>
      <c r="M244" s="14">
        <v>0</v>
      </c>
      <c r="N244" s="14">
        <v>0</v>
      </c>
      <c r="O244" s="14">
        <v>0</v>
      </c>
      <c r="P244" s="14">
        <v>0</v>
      </c>
      <c r="Q244" s="15">
        <v>0</v>
      </c>
      <c r="R244" s="15">
        <v>0</v>
      </c>
      <c r="S244" s="15">
        <f>$G$244*$G$8+$H$244*$H$8+$I$244*$I$8+$J$244*$J$8+$K$244*$K$8+$L$244*$L$8+$M$244*$M$8+$N$244*$N$8+$O$244*$O$8+$P$244*$P$8</f>
        <v>5.6</v>
      </c>
      <c r="T244" s="15">
        <f>SUM($Q$244:$R$244)</f>
        <v>0</v>
      </c>
      <c r="U244" s="15">
        <f>$S$244+$T$244</f>
        <v>5.6</v>
      </c>
    </row>
    <row r="245" spans="1:21" x14ac:dyDescent="0.3">
      <c r="A245" s="10" t="s">
        <v>916</v>
      </c>
      <c r="B245" s="11" t="s">
        <v>917</v>
      </c>
      <c r="C245" s="11"/>
      <c r="D245" s="11" t="s">
        <v>918</v>
      </c>
      <c r="E245" s="11">
        <f xml:space="preserve"> IF($U$245,1,0)</f>
        <v>0</v>
      </c>
      <c r="F245" s="11" t="s">
        <v>919</v>
      </c>
      <c r="G245" s="11">
        <v>0</v>
      </c>
      <c r="H245" s="11">
        <v>0</v>
      </c>
      <c r="I245" s="11">
        <v>0</v>
      </c>
      <c r="J245" s="11">
        <v>0</v>
      </c>
      <c r="K245" s="11">
        <v>0</v>
      </c>
      <c r="L245" s="11">
        <v>0</v>
      </c>
      <c r="M245" s="11">
        <v>0</v>
      </c>
      <c r="N245" s="11">
        <v>0</v>
      </c>
      <c r="O245" s="11">
        <v>0</v>
      </c>
      <c r="P245" s="11">
        <v>0</v>
      </c>
      <c r="Q245" s="12">
        <v>0</v>
      </c>
      <c r="R245" s="12">
        <v>0</v>
      </c>
      <c r="S245" s="12">
        <f>$G$245*$G$8+$H$245*$H$8+$I$245*$I$8+$J$245*$J$8+$K$245*$K$8+$L$245*$L$8+$M$245*$M$8+$N$245*$N$8+$O$245*$O$8+$P$245*$P$8</f>
        <v>0</v>
      </c>
      <c r="T245" s="12">
        <f>SUM($Q$245:$R$245)</f>
        <v>0</v>
      </c>
      <c r="U245" s="12">
        <f>$S$245+$T$245</f>
        <v>0</v>
      </c>
    </row>
    <row r="246" spans="1:21" x14ac:dyDescent="0.3">
      <c r="A246" s="13" t="s">
        <v>920</v>
      </c>
      <c r="B246" s="14" t="s">
        <v>917</v>
      </c>
      <c r="C246" s="14"/>
      <c r="D246" s="14" t="s">
        <v>921</v>
      </c>
      <c r="E246" s="14">
        <f xml:space="preserve"> IF($U$246,1,0)</f>
        <v>0</v>
      </c>
      <c r="F246" s="14" t="s">
        <v>922</v>
      </c>
      <c r="G246" s="14">
        <v>0</v>
      </c>
      <c r="H246" s="14">
        <v>0</v>
      </c>
      <c r="I246" s="14">
        <v>0</v>
      </c>
      <c r="J246" s="14">
        <v>0</v>
      </c>
      <c r="K246" s="14">
        <v>0</v>
      </c>
      <c r="L246" s="14">
        <v>0</v>
      </c>
      <c r="M246" s="14">
        <v>0</v>
      </c>
      <c r="N246" s="14">
        <v>0</v>
      </c>
      <c r="O246" s="14">
        <v>0</v>
      </c>
      <c r="P246" s="14">
        <v>0</v>
      </c>
      <c r="Q246" s="15">
        <v>0</v>
      </c>
      <c r="R246" s="15">
        <v>0</v>
      </c>
      <c r="S246" s="15">
        <f>$G$246*$G$8+$H$246*$H$8+$I$246*$I$8+$J$246*$J$8+$K$246*$K$8+$L$246*$L$8+$M$246*$M$8+$N$246*$N$8+$O$246*$O$8+$P$246*$P$8</f>
        <v>0</v>
      </c>
      <c r="T246" s="15">
        <f>SUM($Q$246:$R$246)</f>
        <v>0</v>
      </c>
      <c r="U246" s="15">
        <f>$S$246+$T$246</f>
        <v>0</v>
      </c>
    </row>
    <row r="247" spans="1:21" x14ac:dyDescent="0.3">
      <c r="A247" s="10" t="s">
        <v>923</v>
      </c>
      <c r="B247" s="11" t="s">
        <v>917</v>
      </c>
      <c r="C247" s="11" t="s">
        <v>34</v>
      </c>
      <c r="D247" s="11" t="s">
        <v>924</v>
      </c>
      <c r="E247" s="11">
        <f xml:space="preserve"> IF($U$247,1,0)</f>
        <v>0</v>
      </c>
      <c r="F247" s="11" t="s">
        <v>925</v>
      </c>
      <c r="G247" s="11">
        <v>0</v>
      </c>
      <c r="H247" s="11">
        <v>0</v>
      </c>
      <c r="I247" s="11">
        <v>0</v>
      </c>
      <c r="J247" s="11">
        <v>0</v>
      </c>
      <c r="K247" s="11">
        <v>0</v>
      </c>
      <c r="L247" s="11">
        <v>0</v>
      </c>
      <c r="M247" s="11">
        <v>0</v>
      </c>
      <c r="N247" s="11">
        <v>0</v>
      </c>
      <c r="O247" s="11">
        <v>0</v>
      </c>
      <c r="P247" s="11">
        <v>0</v>
      </c>
      <c r="Q247" s="12">
        <v>0</v>
      </c>
      <c r="R247" s="12">
        <v>0</v>
      </c>
      <c r="S247" s="12">
        <f>$G$247*$G$8+$H$247*$H$8+$I$247*$I$8+$J$247*$J$8+$K$247*$K$8+$L$247*$L$8+$M$247*$M$8+$N$247*$N$8+$O$247*$O$8+$P$247*$P$8</f>
        <v>0</v>
      </c>
      <c r="T247" s="12">
        <f>SUM($Q$247:$R$247)</f>
        <v>0</v>
      </c>
      <c r="U247" s="12">
        <f>$S$247+$T$247</f>
        <v>0</v>
      </c>
    </row>
    <row r="248" spans="1:21" x14ac:dyDescent="0.3">
      <c r="A248" s="13" t="s">
        <v>926</v>
      </c>
      <c r="B248" s="14" t="s">
        <v>927</v>
      </c>
      <c r="C248" s="14"/>
      <c r="D248" s="14" t="s">
        <v>928</v>
      </c>
      <c r="E248" s="14">
        <f xml:space="preserve"> IF($U$248,1,0)</f>
        <v>0</v>
      </c>
      <c r="F248" s="14" t="s">
        <v>929</v>
      </c>
      <c r="G248" s="14">
        <v>0</v>
      </c>
      <c r="H248" s="14">
        <v>0</v>
      </c>
      <c r="I248" s="14">
        <v>0</v>
      </c>
      <c r="J248" s="14">
        <v>0</v>
      </c>
      <c r="K248" s="14">
        <v>0</v>
      </c>
      <c r="L248" s="14">
        <v>0</v>
      </c>
      <c r="M248" s="14">
        <v>0</v>
      </c>
      <c r="N248" s="14">
        <v>0</v>
      </c>
      <c r="O248" s="14">
        <v>0</v>
      </c>
      <c r="P248" s="14">
        <v>0</v>
      </c>
      <c r="Q248" s="15">
        <v>0</v>
      </c>
      <c r="R248" s="15">
        <v>0</v>
      </c>
      <c r="S248" s="15">
        <f>$G$248*$G$8+$H$248*$H$8+$I$248*$I$8+$J$248*$J$8+$K$248*$K$8+$L$248*$L$8+$M$248*$M$8+$N$248*$N$8+$O$248*$O$8+$P$248*$P$8</f>
        <v>0</v>
      </c>
      <c r="T248" s="15">
        <f>SUM($Q$248:$R$248)</f>
        <v>0</v>
      </c>
      <c r="U248" s="15">
        <f>$S$248+$T$248</f>
        <v>0</v>
      </c>
    </row>
    <row r="249" spans="1:21" x14ac:dyDescent="0.3">
      <c r="A249" s="10" t="s">
        <v>930</v>
      </c>
      <c r="B249" s="11" t="s">
        <v>931</v>
      </c>
      <c r="C249" s="11"/>
      <c r="D249" s="11" t="s">
        <v>932</v>
      </c>
      <c r="E249" s="11">
        <f xml:space="preserve"> IF($U$249,1,0)</f>
        <v>0</v>
      </c>
      <c r="F249" s="11" t="s">
        <v>933</v>
      </c>
      <c r="G249" s="11">
        <v>0</v>
      </c>
      <c r="H249" s="11">
        <v>0</v>
      </c>
      <c r="I249" s="11">
        <v>0</v>
      </c>
      <c r="J249" s="11">
        <v>0</v>
      </c>
      <c r="K249" s="11">
        <v>0</v>
      </c>
      <c r="L249" s="11">
        <v>0</v>
      </c>
      <c r="M249" s="11">
        <v>0</v>
      </c>
      <c r="N249" s="11">
        <v>0</v>
      </c>
      <c r="O249" s="11">
        <v>0</v>
      </c>
      <c r="P249" s="11">
        <v>0</v>
      </c>
      <c r="Q249" s="12">
        <v>0</v>
      </c>
      <c r="R249" s="12">
        <v>0</v>
      </c>
      <c r="S249" s="12">
        <f>$G$249*$G$8+$H$249*$H$8+$I$249*$I$8+$J$249*$J$8+$K$249*$K$8+$L$249*$L$8+$M$249*$M$8+$N$249*$N$8+$O$249*$O$8+$P$249*$P$8</f>
        <v>0</v>
      </c>
      <c r="T249" s="12">
        <f>SUM($Q$249:$R$249)</f>
        <v>0</v>
      </c>
      <c r="U249" s="12">
        <f>$S$249+$T$249</f>
        <v>0</v>
      </c>
    </row>
    <row r="250" spans="1:21" x14ac:dyDescent="0.3">
      <c r="A250" s="13" t="s">
        <v>934</v>
      </c>
      <c r="B250" s="14" t="s">
        <v>935</v>
      </c>
      <c r="C250" s="14"/>
      <c r="D250" s="14" t="s">
        <v>936</v>
      </c>
      <c r="E250" s="14">
        <f xml:space="preserve"> IF($U$250,1,0)</f>
        <v>0</v>
      </c>
      <c r="F250" s="14" t="s">
        <v>937</v>
      </c>
      <c r="G250" s="14">
        <v>0</v>
      </c>
      <c r="H250" s="14">
        <v>0</v>
      </c>
      <c r="I250" s="14">
        <v>0</v>
      </c>
      <c r="J250" s="14">
        <v>0</v>
      </c>
      <c r="K250" s="14">
        <v>0</v>
      </c>
      <c r="L250" s="14">
        <v>0</v>
      </c>
      <c r="M250" s="14">
        <v>0</v>
      </c>
      <c r="N250" s="14">
        <v>0</v>
      </c>
      <c r="O250" s="14">
        <v>0</v>
      </c>
      <c r="P250" s="14">
        <v>0</v>
      </c>
      <c r="Q250" s="15">
        <v>0</v>
      </c>
      <c r="R250" s="15">
        <v>0</v>
      </c>
      <c r="S250" s="15">
        <f>$G$250*$G$8+$H$250*$H$8+$I$250*$I$8+$J$250*$J$8+$K$250*$K$8+$L$250*$L$8+$M$250*$M$8+$N$250*$N$8+$O$250*$O$8+$P$250*$P$8</f>
        <v>0</v>
      </c>
      <c r="T250" s="15">
        <f>SUM($Q$250:$R$250)</f>
        <v>0</v>
      </c>
      <c r="U250" s="15">
        <f>$S$250+$T$250</f>
        <v>0</v>
      </c>
    </row>
    <row r="251" spans="1:21" x14ac:dyDescent="0.3">
      <c r="A251" s="10" t="s">
        <v>938</v>
      </c>
      <c r="B251" s="11" t="s">
        <v>939</v>
      </c>
      <c r="C251" s="11"/>
      <c r="D251" s="11" t="s">
        <v>940</v>
      </c>
      <c r="E251" s="11">
        <f xml:space="preserve"> IF($U$251,1,0)</f>
        <v>1</v>
      </c>
      <c r="F251" s="11" t="s">
        <v>941</v>
      </c>
      <c r="G251" s="11">
        <v>0</v>
      </c>
      <c r="H251" s="11">
        <v>4</v>
      </c>
      <c r="I251" s="11">
        <v>1</v>
      </c>
      <c r="J251" s="11">
        <v>0</v>
      </c>
      <c r="K251" s="11">
        <v>0</v>
      </c>
      <c r="L251" s="11">
        <v>0</v>
      </c>
      <c r="M251" s="11">
        <v>0</v>
      </c>
      <c r="N251" s="11">
        <v>0</v>
      </c>
      <c r="O251" s="11">
        <v>1</v>
      </c>
      <c r="P251" s="11">
        <v>1</v>
      </c>
      <c r="Q251" s="12">
        <v>0</v>
      </c>
      <c r="R251" s="12">
        <v>0</v>
      </c>
      <c r="S251" s="12">
        <f>$G$251*$G$8+$H$251*$H$8+$I$251*$I$8+$J$251*$J$8+$K$251*$K$8+$L$251*$L$8+$M$251*$M$8+$N$251*$N$8+$O$251*$O$8+$P$251*$P$8</f>
        <v>9.6999999999999993</v>
      </c>
      <c r="T251" s="12">
        <f>SUM($Q$251:$R$251)</f>
        <v>0</v>
      </c>
      <c r="U251" s="12">
        <f>$S$251+$T$251</f>
        <v>9.6999999999999993</v>
      </c>
    </row>
    <row r="252" spans="1:21" x14ac:dyDescent="0.3">
      <c r="A252" s="13" t="s">
        <v>942</v>
      </c>
      <c r="B252" s="14" t="s">
        <v>943</v>
      </c>
      <c r="C252" s="14"/>
      <c r="D252" s="14" t="s">
        <v>944</v>
      </c>
      <c r="E252" s="14">
        <f xml:space="preserve"> IF($U$252,1,0)</f>
        <v>0</v>
      </c>
      <c r="F252" s="14" t="s">
        <v>945</v>
      </c>
      <c r="G252" s="14">
        <v>0</v>
      </c>
      <c r="H252" s="14">
        <v>0</v>
      </c>
      <c r="I252" s="14">
        <v>0</v>
      </c>
      <c r="J252" s="14">
        <v>0</v>
      </c>
      <c r="K252" s="14">
        <v>0</v>
      </c>
      <c r="L252" s="14">
        <v>0</v>
      </c>
      <c r="M252" s="14">
        <v>0</v>
      </c>
      <c r="N252" s="14">
        <v>0</v>
      </c>
      <c r="O252" s="14">
        <v>0</v>
      </c>
      <c r="P252" s="14">
        <v>0</v>
      </c>
      <c r="Q252" s="15">
        <v>0</v>
      </c>
      <c r="R252" s="15">
        <v>0</v>
      </c>
      <c r="S252" s="15">
        <f>$G$252*$G$8+$H$252*$H$8+$I$252*$I$8+$J$252*$J$8+$K$252*$K$8+$L$252*$L$8+$M$252*$M$8+$N$252*$N$8+$O$252*$O$8+$P$252*$P$8</f>
        <v>0</v>
      </c>
      <c r="T252" s="15">
        <f>SUM($Q$252:$R$252)</f>
        <v>0</v>
      </c>
      <c r="U252" s="15">
        <f>$S$252+$T$252</f>
        <v>0</v>
      </c>
    </row>
    <row r="253" spans="1:21" x14ac:dyDescent="0.3">
      <c r="A253" s="10" t="s">
        <v>946</v>
      </c>
      <c r="B253" s="11" t="s">
        <v>947</v>
      </c>
      <c r="C253" s="11"/>
      <c r="D253" s="11" t="s">
        <v>948</v>
      </c>
      <c r="E253" s="11">
        <f xml:space="preserve"> IF($U$253,1,0)</f>
        <v>1</v>
      </c>
      <c r="F253" s="11" t="s">
        <v>949</v>
      </c>
      <c r="G253" s="11">
        <v>3</v>
      </c>
      <c r="H253" s="11">
        <v>0</v>
      </c>
      <c r="I253" s="11">
        <v>0</v>
      </c>
      <c r="J253" s="11">
        <v>0</v>
      </c>
      <c r="K253" s="11">
        <v>0</v>
      </c>
      <c r="L253" s="11">
        <v>0</v>
      </c>
      <c r="M253" s="11">
        <v>0</v>
      </c>
      <c r="N253" s="11">
        <v>0</v>
      </c>
      <c r="O253" s="11">
        <v>0</v>
      </c>
      <c r="P253" s="11">
        <v>0</v>
      </c>
      <c r="Q253" s="12">
        <v>0</v>
      </c>
      <c r="R253" s="12">
        <v>0</v>
      </c>
      <c r="S253" s="12">
        <f>$G$253*$G$8+$H$253*$H$8+$I$253*$I$8+$J$253*$J$8+$K$253*$K$8+$L$253*$L$8+$M$253*$M$8+$N$253*$N$8+$O$253*$O$8+$P$253*$P$8</f>
        <v>2.0999999999999996</v>
      </c>
      <c r="T253" s="12">
        <f>SUM($Q$253:$R$253)</f>
        <v>0</v>
      </c>
      <c r="U253" s="12">
        <f>$S$253+$T$253</f>
        <v>2.0999999999999996</v>
      </c>
    </row>
    <row r="254" spans="1:21" x14ac:dyDescent="0.3">
      <c r="A254" s="13" t="s">
        <v>950</v>
      </c>
      <c r="B254" s="14" t="s">
        <v>951</v>
      </c>
      <c r="C254" s="14" t="s">
        <v>34</v>
      </c>
      <c r="D254" s="14" t="s">
        <v>118</v>
      </c>
      <c r="E254" s="14">
        <f xml:space="preserve"> IF($U$254,1,0)</f>
        <v>0</v>
      </c>
      <c r="F254" s="14" t="s">
        <v>952</v>
      </c>
      <c r="G254" s="14">
        <v>0</v>
      </c>
      <c r="H254" s="14">
        <v>0</v>
      </c>
      <c r="I254" s="14">
        <v>0</v>
      </c>
      <c r="J254" s="14">
        <v>0</v>
      </c>
      <c r="K254" s="14">
        <v>0</v>
      </c>
      <c r="L254" s="14">
        <v>0</v>
      </c>
      <c r="M254" s="14">
        <v>0</v>
      </c>
      <c r="N254" s="14">
        <v>0</v>
      </c>
      <c r="O254" s="14">
        <v>0</v>
      </c>
      <c r="P254" s="14">
        <v>0</v>
      </c>
      <c r="Q254" s="15">
        <v>0</v>
      </c>
      <c r="R254" s="15">
        <v>0</v>
      </c>
      <c r="S254" s="15">
        <f>$G$254*$G$8+$H$254*$H$8+$I$254*$I$8+$J$254*$J$8+$K$254*$K$8+$L$254*$L$8+$M$254*$M$8+$N$254*$N$8+$O$254*$O$8+$P$254*$P$8</f>
        <v>0</v>
      </c>
      <c r="T254" s="15">
        <f>SUM($Q$254:$R$254)</f>
        <v>0</v>
      </c>
      <c r="U254" s="15">
        <f>$S$254+$T$254</f>
        <v>0</v>
      </c>
    </row>
    <row r="255" spans="1:21" x14ac:dyDescent="0.3">
      <c r="A255" s="10" t="s">
        <v>953</v>
      </c>
      <c r="B255" s="11" t="s">
        <v>954</v>
      </c>
      <c r="C255" s="11"/>
      <c r="D255" s="11" t="s">
        <v>955</v>
      </c>
      <c r="E255" s="11">
        <f xml:space="preserve"> IF($U$255,1,0)</f>
        <v>1</v>
      </c>
      <c r="F255" s="11" t="s">
        <v>956</v>
      </c>
      <c r="G255" s="11">
        <v>8</v>
      </c>
      <c r="H255" s="11">
        <v>0</v>
      </c>
      <c r="I255" s="11">
        <v>0</v>
      </c>
      <c r="J255" s="11">
        <v>0</v>
      </c>
      <c r="K255" s="11">
        <v>0</v>
      </c>
      <c r="L255" s="11">
        <v>0</v>
      </c>
      <c r="M255" s="11">
        <v>0</v>
      </c>
      <c r="N255" s="11">
        <v>0</v>
      </c>
      <c r="O255" s="11">
        <v>0</v>
      </c>
      <c r="P255" s="11">
        <v>0</v>
      </c>
      <c r="Q255" s="12">
        <v>0</v>
      </c>
      <c r="R255" s="12">
        <v>0</v>
      </c>
      <c r="S255" s="12">
        <f>$G$255*$G$8+$H$255*$H$8+$I$255*$I$8+$J$255*$J$8+$K$255*$K$8+$L$255*$L$8+$M$255*$M$8+$N$255*$N$8+$O$255*$O$8+$P$255*$P$8</f>
        <v>5.6</v>
      </c>
      <c r="T255" s="12">
        <f>SUM($Q$255:$R$255)</f>
        <v>0</v>
      </c>
      <c r="U255" s="12">
        <f>$S$255+$T$255</f>
        <v>5.6</v>
      </c>
    </row>
    <row r="256" spans="1:21" x14ac:dyDescent="0.3">
      <c r="A256" s="13" t="s">
        <v>957</v>
      </c>
      <c r="B256" s="14" t="s">
        <v>958</v>
      </c>
      <c r="C256" s="14" t="s">
        <v>65</v>
      </c>
      <c r="D256" s="14" t="s">
        <v>959</v>
      </c>
      <c r="E256" s="14">
        <f xml:space="preserve"> IF($U$256,1,0)</f>
        <v>0</v>
      </c>
      <c r="F256" s="14" t="s">
        <v>960</v>
      </c>
      <c r="G256" s="14">
        <v>0</v>
      </c>
      <c r="H256" s="14">
        <v>0</v>
      </c>
      <c r="I256" s="14">
        <v>0</v>
      </c>
      <c r="J256" s="14">
        <v>0</v>
      </c>
      <c r="K256" s="14">
        <v>0</v>
      </c>
      <c r="L256" s="14">
        <v>0</v>
      </c>
      <c r="M256" s="14">
        <v>0</v>
      </c>
      <c r="N256" s="14">
        <v>0</v>
      </c>
      <c r="O256" s="14">
        <v>0</v>
      </c>
      <c r="P256" s="14">
        <v>0</v>
      </c>
      <c r="Q256" s="15">
        <v>0</v>
      </c>
      <c r="R256" s="15">
        <v>0</v>
      </c>
      <c r="S256" s="15">
        <f>$G$256*$G$8+$H$256*$H$8+$I$256*$I$8+$J$256*$J$8+$K$256*$K$8+$L$256*$L$8+$M$256*$M$8+$N$256*$N$8+$O$256*$O$8+$P$256*$P$8</f>
        <v>0</v>
      </c>
      <c r="T256" s="15">
        <f>SUM($Q$256:$R$256)</f>
        <v>0</v>
      </c>
      <c r="U256" s="15">
        <f>$S$256+$T$256</f>
        <v>0</v>
      </c>
    </row>
    <row r="257" spans="1:21" x14ac:dyDescent="0.3">
      <c r="A257" s="10" t="s">
        <v>961</v>
      </c>
      <c r="B257" s="11" t="s">
        <v>962</v>
      </c>
      <c r="C257" s="11" t="s">
        <v>202</v>
      </c>
      <c r="D257" s="11" t="s">
        <v>963</v>
      </c>
      <c r="E257" s="11">
        <f xml:space="preserve"> IF($U$257,1,0)</f>
        <v>0</v>
      </c>
      <c r="F257" s="11" t="s">
        <v>964</v>
      </c>
      <c r="G257" s="11">
        <v>0</v>
      </c>
      <c r="H257" s="11">
        <v>0</v>
      </c>
      <c r="I257" s="11">
        <v>0</v>
      </c>
      <c r="J257" s="11">
        <v>0</v>
      </c>
      <c r="K257" s="11">
        <v>0</v>
      </c>
      <c r="L257" s="11">
        <v>0</v>
      </c>
      <c r="M257" s="11">
        <v>0</v>
      </c>
      <c r="N257" s="11">
        <v>0</v>
      </c>
      <c r="O257" s="11">
        <v>0</v>
      </c>
      <c r="P257" s="11">
        <v>0</v>
      </c>
      <c r="Q257" s="12">
        <v>0</v>
      </c>
      <c r="R257" s="12">
        <v>0</v>
      </c>
      <c r="S257" s="12">
        <f>$G$257*$G$8+$H$257*$H$8+$I$257*$I$8+$J$257*$J$8+$K$257*$K$8+$L$257*$L$8+$M$257*$M$8+$N$257*$N$8+$O$257*$O$8+$P$257*$P$8</f>
        <v>0</v>
      </c>
      <c r="T257" s="12">
        <f>SUM($Q$257:$R$257)</f>
        <v>0</v>
      </c>
      <c r="U257" s="12">
        <f>$S$257+$T$257</f>
        <v>0</v>
      </c>
    </row>
    <row r="258" spans="1:21" x14ac:dyDescent="0.3">
      <c r="A258" s="13" t="s">
        <v>965</v>
      </c>
      <c r="B258" s="14" t="s">
        <v>966</v>
      </c>
      <c r="C258" s="14"/>
      <c r="D258" s="14" t="s">
        <v>609</v>
      </c>
      <c r="E258" s="14">
        <f xml:space="preserve"> IF($U$258,1,0)</f>
        <v>0</v>
      </c>
      <c r="F258" s="14" t="s">
        <v>967</v>
      </c>
      <c r="G258" s="14">
        <v>0</v>
      </c>
      <c r="H258" s="14">
        <v>0</v>
      </c>
      <c r="I258" s="14">
        <v>0</v>
      </c>
      <c r="J258" s="14">
        <v>0</v>
      </c>
      <c r="K258" s="14">
        <v>0</v>
      </c>
      <c r="L258" s="14">
        <v>0</v>
      </c>
      <c r="M258" s="14">
        <v>0</v>
      </c>
      <c r="N258" s="14">
        <v>0</v>
      </c>
      <c r="O258" s="14">
        <v>0</v>
      </c>
      <c r="P258" s="14">
        <v>0</v>
      </c>
      <c r="Q258" s="15">
        <v>0</v>
      </c>
      <c r="R258" s="15">
        <v>0</v>
      </c>
      <c r="S258" s="15">
        <f>$G$258*$G$8+$H$258*$H$8+$I$258*$I$8+$J$258*$J$8+$K$258*$K$8+$L$258*$L$8+$M$258*$M$8+$N$258*$N$8+$O$258*$O$8+$P$258*$P$8</f>
        <v>0</v>
      </c>
      <c r="T258" s="15">
        <f>SUM($Q$258:$R$258)</f>
        <v>0</v>
      </c>
      <c r="U258" s="15">
        <f>$S$258+$T$258</f>
        <v>0</v>
      </c>
    </row>
    <row r="259" spans="1:21" x14ac:dyDescent="0.3">
      <c r="A259" s="10" t="s">
        <v>968</v>
      </c>
      <c r="B259" s="11" t="s">
        <v>969</v>
      </c>
      <c r="C259" s="11"/>
      <c r="D259" s="11" t="s">
        <v>970</v>
      </c>
      <c r="E259" s="11">
        <f xml:space="preserve"> IF($U$259,1,0)</f>
        <v>1</v>
      </c>
      <c r="F259" s="11" t="s">
        <v>971</v>
      </c>
      <c r="G259" s="11">
        <v>4</v>
      </c>
      <c r="H259" s="11">
        <v>0</v>
      </c>
      <c r="I259" s="11">
        <v>0</v>
      </c>
      <c r="J259" s="11">
        <v>0</v>
      </c>
      <c r="K259" s="11">
        <v>0</v>
      </c>
      <c r="L259" s="11">
        <v>0</v>
      </c>
      <c r="M259" s="11">
        <v>0</v>
      </c>
      <c r="N259" s="11">
        <v>0</v>
      </c>
      <c r="O259" s="11">
        <v>0</v>
      </c>
      <c r="P259" s="11">
        <v>0</v>
      </c>
      <c r="Q259" s="12">
        <v>0</v>
      </c>
      <c r="R259" s="12">
        <v>0</v>
      </c>
      <c r="S259" s="12">
        <f>$G$259*$G$8+$H$259*$H$8+$I$259*$I$8+$J$259*$J$8+$K$259*$K$8+$L$259*$L$8+$M$259*$M$8+$N$259*$N$8+$O$259*$O$8+$P$259*$P$8</f>
        <v>2.8</v>
      </c>
      <c r="T259" s="12">
        <f>SUM($Q$259:$R$259)</f>
        <v>0</v>
      </c>
      <c r="U259" s="12">
        <f>$S$259+$T$259</f>
        <v>2.8</v>
      </c>
    </row>
    <row r="260" spans="1:21" x14ac:dyDescent="0.3">
      <c r="A260" s="13" t="s">
        <v>972</v>
      </c>
      <c r="B260" s="14" t="s">
        <v>973</v>
      </c>
      <c r="C260" s="14"/>
      <c r="D260" s="14" t="s">
        <v>974</v>
      </c>
      <c r="E260" s="14">
        <f xml:space="preserve"> IF($U$260,1,0)</f>
        <v>0</v>
      </c>
      <c r="F260" s="14" t="s">
        <v>975</v>
      </c>
      <c r="G260" s="14">
        <v>0</v>
      </c>
      <c r="H260" s="14">
        <v>0</v>
      </c>
      <c r="I260" s="14">
        <v>0</v>
      </c>
      <c r="J260" s="14">
        <v>0</v>
      </c>
      <c r="K260" s="14">
        <v>0</v>
      </c>
      <c r="L260" s="14">
        <v>0</v>
      </c>
      <c r="M260" s="14">
        <v>0</v>
      </c>
      <c r="N260" s="14">
        <v>0</v>
      </c>
      <c r="O260" s="14">
        <v>0</v>
      </c>
      <c r="P260" s="14">
        <v>0</v>
      </c>
      <c r="Q260" s="15">
        <v>0</v>
      </c>
      <c r="R260" s="15">
        <v>0</v>
      </c>
      <c r="S260" s="15">
        <f>$G$260*$G$8+$H$260*$H$8+$I$260*$I$8+$J$260*$J$8+$K$260*$K$8+$L$260*$L$8+$M$260*$M$8+$N$260*$N$8+$O$260*$O$8+$P$260*$P$8</f>
        <v>0</v>
      </c>
      <c r="T260" s="15">
        <f>SUM($Q$260:$R$260)</f>
        <v>0</v>
      </c>
      <c r="U260" s="15">
        <f>$S$260+$T$260</f>
        <v>0</v>
      </c>
    </row>
    <row r="261" spans="1:21" x14ac:dyDescent="0.3">
      <c r="A261" s="10" t="s">
        <v>976</v>
      </c>
      <c r="B261" s="11" t="s">
        <v>977</v>
      </c>
      <c r="C261" s="11"/>
      <c r="D261" s="11" t="s">
        <v>978</v>
      </c>
      <c r="E261" s="11">
        <f xml:space="preserve"> IF($U$261,1,0)</f>
        <v>0</v>
      </c>
      <c r="F261" s="11" t="s">
        <v>979</v>
      </c>
      <c r="G261" s="11">
        <v>0</v>
      </c>
      <c r="H261" s="11">
        <v>0</v>
      </c>
      <c r="I261" s="11">
        <v>0</v>
      </c>
      <c r="J261" s="11">
        <v>0</v>
      </c>
      <c r="K261" s="11">
        <v>0</v>
      </c>
      <c r="L261" s="11">
        <v>0</v>
      </c>
      <c r="M261" s="11">
        <v>0</v>
      </c>
      <c r="N261" s="11">
        <v>0</v>
      </c>
      <c r="O261" s="11">
        <v>0</v>
      </c>
      <c r="P261" s="11">
        <v>0</v>
      </c>
      <c r="Q261" s="12">
        <v>0</v>
      </c>
      <c r="R261" s="12">
        <v>0</v>
      </c>
      <c r="S261" s="12">
        <f>$G$261*$G$8+$H$261*$H$8+$I$261*$I$8+$J$261*$J$8+$K$261*$K$8+$L$261*$L$8+$M$261*$M$8+$N$261*$N$8+$O$261*$O$8+$P$261*$P$8</f>
        <v>0</v>
      </c>
      <c r="T261" s="12">
        <f>SUM($Q$261:$R$261)</f>
        <v>0</v>
      </c>
      <c r="U261" s="12">
        <f>$S$261+$T$261</f>
        <v>0</v>
      </c>
    </row>
    <row r="262" spans="1:21" x14ac:dyDescent="0.3">
      <c r="A262" s="13" t="s">
        <v>980</v>
      </c>
      <c r="B262" s="14" t="s">
        <v>981</v>
      </c>
      <c r="C262" s="14" t="s">
        <v>34</v>
      </c>
      <c r="D262" s="14" t="s">
        <v>982</v>
      </c>
      <c r="E262" s="14">
        <f xml:space="preserve"> IF($U$262,1,0)</f>
        <v>0</v>
      </c>
      <c r="F262" s="14" t="s">
        <v>983</v>
      </c>
      <c r="G262" s="14">
        <v>0</v>
      </c>
      <c r="H262" s="14">
        <v>0</v>
      </c>
      <c r="I262" s="14">
        <v>0</v>
      </c>
      <c r="J262" s="14">
        <v>0</v>
      </c>
      <c r="K262" s="14">
        <v>0</v>
      </c>
      <c r="L262" s="14">
        <v>0</v>
      </c>
      <c r="M262" s="14">
        <v>0</v>
      </c>
      <c r="N262" s="14">
        <v>0</v>
      </c>
      <c r="O262" s="14">
        <v>0</v>
      </c>
      <c r="P262" s="14">
        <v>0</v>
      </c>
      <c r="Q262" s="15">
        <v>0</v>
      </c>
      <c r="R262" s="15">
        <v>0</v>
      </c>
      <c r="S262" s="15">
        <f>$G$262*$G$8+$H$262*$H$8+$I$262*$I$8+$J$262*$J$8+$K$262*$K$8+$L$262*$L$8+$M$262*$M$8+$N$262*$N$8+$O$262*$O$8+$P$262*$P$8</f>
        <v>0</v>
      </c>
      <c r="T262" s="15">
        <f>SUM($Q$262:$R$262)</f>
        <v>0</v>
      </c>
      <c r="U262" s="15">
        <f>$S$262+$T$262</f>
        <v>0</v>
      </c>
    </row>
    <row r="263" spans="1:21" x14ac:dyDescent="0.3">
      <c r="A263" s="10" t="s">
        <v>984</v>
      </c>
      <c r="B263" s="11" t="s">
        <v>985</v>
      </c>
      <c r="C263" s="11" t="s">
        <v>202</v>
      </c>
      <c r="D263" s="11" t="s">
        <v>986</v>
      </c>
      <c r="E263" s="11">
        <f xml:space="preserve"> IF($U$263,1,0)</f>
        <v>0</v>
      </c>
      <c r="F263" s="11" t="s">
        <v>987</v>
      </c>
      <c r="G263" s="11">
        <v>0</v>
      </c>
      <c r="H263" s="11">
        <v>0</v>
      </c>
      <c r="I263" s="11">
        <v>0</v>
      </c>
      <c r="J263" s="11">
        <v>0</v>
      </c>
      <c r="K263" s="11">
        <v>0</v>
      </c>
      <c r="L263" s="11">
        <v>0</v>
      </c>
      <c r="M263" s="11">
        <v>0</v>
      </c>
      <c r="N263" s="11">
        <v>0</v>
      </c>
      <c r="O263" s="11">
        <v>0</v>
      </c>
      <c r="P263" s="11">
        <v>0</v>
      </c>
      <c r="Q263" s="12">
        <v>0</v>
      </c>
      <c r="R263" s="12">
        <v>0</v>
      </c>
      <c r="S263" s="12">
        <f>$G$263*$G$8+$H$263*$H$8+$I$263*$I$8+$J$263*$J$8+$K$263*$K$8+$L$263*$L$8+$M$263*$M$8+$N$263*$N$8+$O$263*$O$8+$P$263*$P$8</f>
        <v>0</v>
      </c>
      <c r="T263" s="12">
        <f>SUM($Q$263:$R$263)</f>
        <v>0</v>
      </c>
      <c r="U263" s="12">
        <f>$S$263+$T$263</f>
        <v>0</v>
      </c>
    </row>
    <row r="264" spans="1:21" x14ac:dyDescent="0.3">
      <c r="A264" s="13" t="s">
        <v>1261</v>
      </c>
      <c r="B264" s="14" t="s">
        <v>1262</v>
      </c>
      <c r="C264" s="14"/>
      <c r="D264" s="14" t="s">
        <v>1263</v>
      </c>
      <c r="E264" s="14">
        <f xml:space="preserve"> IF($U$264,1,0)</f>
        <v>1</v>
      </c>
      <c r="F264" s="14" t="s">
        <v>1264</v>
      </c>
      <c r="G264" s="14">
        <v>3</v>
      </c>
      <c r="H264" s="14">
        <v>5</v>
      </c>
      <c r="I264" s="14">
        <v>0</v>
      </c>
      <c r="J264" s="14">
        <v>0</v>
      </c>
      <c r="K264" s="14">
        <v>0</v>
      </c>
      <c r="L264" s="14">
        <v>1</v>
      </c>
      <c r="M264" s="14">
        <v>0</v>
      </c>
      <c r="N264" s="14">
        <v>0</v>
      </c>
      <c r="O264" s="14">
        <v>0</v>
      </c>
      <c r="P264" s="14">
        <v>0</v>
      </c>
      <c r="Q264" s="15">
        <v>0</v>
      </c>
      <c r="R264" s="15">
        <v>0</v>
      </c>
      <c r="S264" s="15">
        <f>$G$264*$G$8+$H$264*$H$8+$I$264*$I$8+$J$264*$J$8+$K$264*$K$8+$L$264*$L$8+$M$264*$M$8+$N$264*$N$8+$O$264*$O$8+$P$264*$P$8</f>
        <v>14.1</v>
      </c>
      <c r="T264" s="15">
        <f>SUM($Q$264:$R$264)</f>
        <v>0</v>
      </c>
      <c r="U264" s="15">
        <f>$S$264+$T$264</f>
        <v>14.1</v>
      </c>
    </row>
    <row r="265" spans="1:21" x14ac:dyDescent="0.3">
      <c r="A265" s="10" t="s">
        <v>988</v>
      </c>
      <c r="B265" s="11" t="s">
        <v>989</v>
      </c>
      <c r="C265" s="11" t="s">
        <v>887</v>
      </c>
      <c r="D265" s="11" t="s">
        <v>1060</v>
      </c>
      <c r="E265" s="11">
        <f xml:space="preserve"> IF($U$265,1,0)</f>
        <v>1</v>
      </c>
      <c r="F265" s="11" t="s">
        <v>1256</v>
      </c>
      <c r="G265" s="11">
        <v>7</v>
      </c>
      <c r="H265" s="11">
        <v>0</v>
      </c>
      <c r="I265" s="11">
        <v>0</v>
      </c>
      <c r="J265" s="11">
        <v>0</v>
      </c>
      <c r="K265" s="11">
        <v>0</v>
      </c>
      <c r="L265" s="11">
        <v>0</v>
      </c>
      <c r="M265" s="11">
        <v>0</v>
      </c>
      <c r="N265" s="11">
        <v>0</v>
      </c>
      <c r="O265" s="11">
        <v>0</v>
      </c>
      <c r="P265" s="11">
        <v>0</v>
      </c>
      <c r="Q265" s="12">
        <v>0</v>
      </c>
      <c r="R265" s="12">
        <v>0</v>
      </c>
      <c r="S265" s="12">
        <f>$G$265*$G$8+$H$265*$H$8+$I$265*$I$8+$J$265*$J$8+$K$265*$K$8+$L$265*$L$8+$M$265*$M$8+$N$265*$N$8+$O$265*$O$8+$P$265*$P$8</f>
        <v>4.8999999999999995</v>
      </c>
      <c r="T265" s="12">
        <f>SUM($Q$265:$R$265)</f>
        <v>0</v>
      </c>
      <c r="U265" s="12">
        <f>$S$265+$T$265</f>
        <v>4.8999999999999995</v>
      </c>
    </row>
    <row r="266" spans="1:21" x14ac:dyDescent="0.3">
      <c r="A266" s="13" t="s">
        <v>992</v>
      </c>
      <c r="B266" s="14" t="s">
        <v>343</v>
      </c>
      <c r="C266" s="14"/>
      <c r="D266" s="14" t="s">
        <v>993</v>
      </c>
      <c r="E266" s="14">
        <f xml:space="preserve"> IF($U$266,1,0)</f>
        <v>1</v>
      </c>
      <c r="F266" s="14" t="s">
        <v>994</v>
      </c>
      <c r="G266" s="14">
        <v>0</v>
      </c>
      <c r="H266" s="14">
        <v>0</v>
      </c>
      <c r="I266" s="14">
        <v>0</v>
      </c>
      <c r="J266" s="14">
        <v>0</v>
      </c>
      <c r="K266" s="14">
        <v>0</v>
      </c>
      <c r="L266" s="14">
        <v>0</v>
      </c>
      <c r="M266" s="14">
        <v>0</v>
      </c>
      <c r="N266" s="14">
        <v>0</v>
      </c>
      <c r="O266" s="14">
        <v>0</v>
      </c>
      <c r="P266" s="14">
        <v>1</v>
      </c>
      <c r="Q266" s="15">
        <v>0</v>
      </c>
      <c r="R266" s="15">
        <v>0</v>
      </c>
      <c r="S266" s="15">
        <f>$G$266*$G$8+$H$266*$H$8+$I$266*$I$8+$J$266*$J$8+$K$266*$K$8+$L$266*$L$8+$M$266*$M$8+$N$266*$N$8+$O$266*$O$8+$P$266*$P$8</f>
        <v>1</v>
      </c>
      <c r="T266" s="15">
        <f>SUM($Q$266:$R$266)</f>
        <v>0</v>
      </c>
      <c r="U266" s="15">
        <f>$S$266+$T$266</f>
        <v>1</v>
      </c>
    </row>
    <row r="267" spans="1:21" x14ac:dyDescent="0.3">
      <c r="A267" s="10" t="s">
        <v>995</v>
      </c>
      <c r="B267" s="11" t="s">
        <v>996</v>
      </c>
      <c r="C267" s="11"/>
      <c r="D267" s="11" t="s">
        <v>997</v>
      </c>
      <c r="E267" s="11">
        <f xml:space="preserve"> IF($U$267,1,0)</f>
        <v>0</v>
      </c>
      <c r="F267" s="11" t="s">
        <v>998</v>
      </c>
      <c r="G267" s="11">
        <v>0</v>
      </c>
      <c r="H267" s="11">
        <v>0</v>
      </c>
      <c r="I267" s="11">
        <v>0</v>
      </c>
      <c r="J267" s="11">
        <v>0</v>
      </c>
      <c r="K267" s="11">
        <v>0</v>
      </c>
      <c r="L267" s="11">
        <v>0</v>
      </c>
      <c r="M267" s="11">
        <v>0</v>
      </c>
      <c r="N267" s="11">
        <v>0</v>
      </c>
      <c r="O267" s="11">
        <v>0</v>
      </c>
      <c r="P267" s="11">
        <v>0</v>
      </c>
      <c r="Q267" s="12">
        <v>0</v>
      </c>
      <c r="R267" s="12">
        <v>0</v>
      </c>
      <c r="S267" s="12">
        <f>$G$267*$G$8+$H$267*$H$8+$I$267*$I$8+$J$267*$J$8+$K$267*$K$8+$L$267*$L$8+$M$267*$M$8+$N$267*$N$8+$O$267*$O$8+$P$267*$P$8</f>
        <v>0</v>
      </c>
      <c r="T267" s="12">
        <f>SUM($Q$267:$R$267)</f>
        <v>0</v>
      </c>
      <c r="U267" s="12">
        <f>$S$267+$T$267</f>
        <v>0</v>
      </c>
    </row>
    <row r="268" spans="1:21" x14ac:dyDescent="0.3">
      <c r="A268" s="13" t="s">
        <v>999</v>
      </c>
      <c r="B268" s="14" t="s">
        <v>1000</v>
      </c>
      <c r="C268" s="14" t="s">
        <v>202</v>
      </c>
      <c r="D268" s="14" t="s">
        <v>1001</v>
      </c>
      <c r="E268" s="14">
        <f xml:space="preserve"> IF($U$268,1,0)</f>
        <v>0</v>
      </c>
      <c r="F268" s="14" t="s">
        <v>1002</v>
      </c>
      <c r="G268" s="14">
        <v>0</v>
      </c>
      <c r="H268" s="14">
        <v>0</v>
      </c>
      <c r="I268" s="14">
        <v>0</v>
      </c>
      <c r="J268" s="14">
        <v>0</v>
      </c>
      <c r="K268" s="14">
        <v>0</v>
      </c>
      <c r="L268" s="14">
        <v>0</v>
      </c>
      <c r="M268" s="14">
        <v>0</v>
      </c>
      <c r="N268" s="14">
        <v>0</v>
      </c>
      <c r="O268" s="14">
        <v>0</v>
      </c>
      <c r="P268" s="14">
        <v>0</v>
      </c>
      <c r="Q268" s="15">
        <v>0</v>
      </c>
      <c r="R268" s="15">
        <v>0</v>
      </c>
      <c r="S268" s="15">
        <f>$G$268*$G$8+$H$268*$H$8+$I$268*$I$8+$J$268*$J$8+$K$268*$K$8+$L$268*$L$8+$M$268*$M$8+$N$268*$N$8+$O$268*$O$8+$P$268*$P$8</f>
        <v>0</v>
      </c>
      <c r="T268" s="15">
        <f>SUM($Q$268:$R$268)</f>
        <v>0</v>
      </c>
      <c r="U268" s="15">
        <f>$S$268+$T$268</f>
        <v>0</v>
      </c>
    </row>
    <row r="269" spans="1:21" x14ac:dyDescent="0.3">
      <c r="A269" s="10" t="s">
        <v>1003</v>
      </c>
      <c r="B269" s="11" t="s">
        <v>1004</v>
      </c>
      <c r="C269" s="11"/>
      <c r="D269" s="11" t="s">
        <v>1005</v>
      </c>
      <c r="E269" s="11">
        <f xml:space="preserve"> IF($U$269,1,0)</f>
        <v>0</v>
      </c>
      <c r="F269" s="11" t="s">
        <v>1006</v>
      </c>
      <c r="G269" s="11">
        <v>0</v>
      </c>
      <c r="H269" s="11">
        <v>0</v>
      </c>
      <c r="I269" s="11">
        <v>0</v>
      </c>
      <c r="J269" s="11">
        <v>0</v>
      </c>
      <c r="K269" s="11">
        <v>0</v>
      </c>
      <c r="L269" s="11">
        <v>0</v>
      </c>
      <c r="M269" s="11">
        <v>0</v>
      </c>
      <c r="N269" s="11">
        <v>0</v>
      </c>
      <c r="O269" s="11">
        <v>0</v>
      </c>
      <c r="P269" s="11">
        <v>0</v>
      </c>
      <c r="Q269" s="12">
        <v>0</v>
      </c>
      <c r="R269" s="12">
        <v>0</v>
      </c>
      <c r="S269" s="12">
        <f>$G$269*$G$8+$H$269*$H$8+$I$269*$I$8+$J$269*$J$8+$K$269*$K$8+$L$269*$L$8+$M$269*$M$8+$N$269*$N$8+$O$269*$O$8+$P$269*$P$8</f>
        <v>0</v>
      </c>
      <c r="T269" s="12">
        <f>SUM($Q$269:$R$269)</f>
        <v>0</v>
      </c>
      <c r="U269" s="12">
        <f>$S$269+$T$269</f>
        <v>0</v>
      </c>
    </row>
    <row r="270" spans="1:21" x14ac:dyDescent="0.3">
      <c r="A270" s="13" t="s">
        <v>1007</v>
      </c>
      <c r="B270" s="14" t="s">
        <v>1004</v>
      </c>
      <c r="C270" s="14"/>
      <c r="D270" s="14" t="s">
        <v>1008</v>
      </c>
      <c r="E270" s="14">
        <f xml:space="preserve"> IF($U$270,1,0)</f>
        <v>0</v>
      </c>
      <c r="F270" s="14" t="s">
        <v>1009</v>
      </c>
      <c r="G270" s="14">
        <v>0</v>
      </c>
      <c r="H270" s="14">
        <v>0</v>
      </c>
      <c r="I270" s="14">
        <v>0</v>
      </c>
      <c r="J270" s="14">
        <v>0</v>
      </c>
      <c r="K270" s="14">
        <v>0</v>
      </c>
      <c r="L270" s="14">
        <v>0</v>
      </c>
      <c r="M270" s="14">
        <v>0</v>
      </c>
      <c r="N270" s="14">
        <v>0</v>
      </c>
      <c r="O270" s="14">
        <v>0</v>
      </c>
      <c r="P270" s="14">
        <v>0</v>
      </c>
      <c r="Q270" s="15">
        <v>0</v>
      </c>
      <c r="R270" s="15">
        <v>0</v>
      </c>
      <c r="S270" s="15">
        <f>$G$270*$G$8+$H$270*$H$8+$I$270*$I$8+$J$270*$J$8+$K$270*$K$8+$L$270*$L$8+$M$270*$M$8+$N$270*$N$8+$O$270*$O$8+$P$270*$P$8</f>
        <v>0</v>
      </c>
      <c r="T270" s="15">
        <f>SUM($Q$270:$R$270)</f>
        <v>0</v>
      </c>
      <c r="U270" s="15">
        <f>$S$270+$T$270</f>
        <v>0</v>
      </c>
    </row>
    <row r="271" spans="1:21" x14ac:dyDescent="0.3">
      <c r="A271" s="10" t="s">
        <v>1010</v>
      </c>
      <c r="B271" s="11" t="s">
        <v>1011</v>
      </c>
      <c r="C271" s="11"/>
      <c r="D271" s="11" t="s">
        <v>1012</v>
      </c>
      <c r="E271" s="11">
        <f xml:space="preserve"> IF($U$271,1,0)</f>
        <v>0</v>
      </c>
      <c r="F271" s="11" t="s">
        <v>1013</v>
      </c>
      <c r="G271" s="11">
        <v>0</v>
      </c>
      <c r="H271" s="11">
        <v>0</v>
      </c>
      <c r="I271" s="11">
        <v>0</v>
      </c>
      <c r="J271" s="11">
        <v>0</v>
      </c>
      <c r="K271" s="11">
        <v>0</v>
      </c>
      <c r="L271" s="11">
        <v>0</v>
      </c>
      <c r="M271" s="11">
        <v>0</v>
      </c>
      <c r="N271" s="11">
        <v>0</v>
      </c>
      <c r="O271" s="11">
        <v>0</v>
      </c>
      <c r="P271" s="11">
        <v>0</v>
      </c>
      <c r="Q271" s="12">
        <v>0</v>
      </c>
      <c r="R271" s="12">
        <v>0</v>
      </c>
      <c r="S271" s="12">
        <f>$G$271*$G$8+$H$271*$H$8+$I$271*$I$8+$J$271*$J$8+$K$271*$K$8+$L$271*$L$8+$M$271*$M$8+$N$271*$N$8+$O$271*$O$8+$P$271*$P$8</f>
        <v>0</v>
      </c>
      <c r="T271" s="12">
        <f>SUM($Q$271:$R$271)</f>
        <v>0</v>
      </c>
      <c r="U271" s="12">
        <f>$S$271+$T$271</f>
        <v>0</v>
      </c>
    </row>
    <row r="272" spans="1:21" x14ac:dyDescent="0.3">
      <c r="A272" s="13" t="s">
        <v>1014</v>
      </c>
      <c r="B272" s="14" t="s">
        <v>1015</v>
      </c>
      <c r="C272" s="14"/>
      <c r="D272" s="14" t="s">
        <v>1016</v>
      </c>
      <c r="E272" s="14">
        <f xml:space="preserve"> IF($U$272,1,0)</f>
        <v>0</v>
      </c>
      <c r="F272" s="14" t="s">
        <v>1017</v>
      </c>
      <c r="G272" s="14">
        <v>0</v>
      </c>
      <c r="H272" s="14">
        <v>0</v>
      </c>
      <c r="I272" s="14">
        <v>0</v>
      </c>
      <c r="J272" s="14">
        <v>0</v>
      </c>
      <c r="K272" s="14">
        <v>0</v>
      </c>
      <c r="L272" s="14">
        <v>0</v>
      </c>
      <c r="M272" s="14">
        <v>0</v>
      </c>
      <c r="N272" s="14">
        <v>0</v>
      </c>
      <c r="O272" s="14">
        <v>0</v>
      </c>
      <c r="P272" s="14">
        <v>0</v>
      </c>
      <c r="Q272" s="15">
        <v>0</v>
      </c>
      <c r="R272" s="15">
        <v>0</v>
      </c>
      <c r="S272" s="15">
        <f>$G$272*$G$8+$H$272*$H$8+$I$272*$I$8+$J$272*$J$8+$K$272*$K$8+$L$272*$L$8+$M$272*$M$8+$N$272*$N$8+$O$272*$O$8+$P$272*$P$8</f>
        <v>0</v>
      </c>
      <c r="T272" s="15">
        <f>SUM($Q$272:$R$272)</f>
        <v>0</v>
      </c>
      <c r="U272" s="15">
        <f>$S$272+$T$272</f>
        <v>0</v>
      </c>
    </row>
    <row r="273" spans="1:21" x14ac:dyDescent="0.3">
      <c r="A273" s="10" t="s">
        <v>1018</v>
      </c>
      <c r="B273" s="11" t="s">
        <v>1015</v>
      </c>
      <c r="C273" s="11"/>
      <c r="D273" s="11" t="s">
        <v>1019</v>
      </c>
      <c r="E273" s="11">
        <f xml:space="preserve"> IF($U$273,1,0)</f>
        <v>0</v>
      </c>
      <c r="F273" s="11" t="s">
        <v>1020</v>
      </c>
      <c r="G273" s="11">
        <v>0</v>
      </c>
      <c r="H273" s="11">
        <v>0</v>
      </c>
      <c r="I273" s="11">
        <v>0</v>
      </c>
      <c r="J273" s="11">
        <v>0</v>
      </c>
      <c r="K273" s="11">
        <v>0</v>
      </c>
      <c r="L273" s="11">
        <v>0</v>
      </c>
      <c r="M273" s="11">
        <v>0</v>
      </c>
      <c r="N273" s="11">
        <v>0</v>
      </c>
      <c r="O273" s="11">
        <v>0</v>
      </c>
      <c r="P273" s="11">
        <v>0</v>
      </c>
      <c r="Q273" s="12">
        <v>0</v>
      </c>
      <c r="R273" s="12">
        <v>0</v>
      </c>
      <c r="S273" s="12">
        <f>$G$273*$G$8+$H$273*$H$8+$I$273*$I$8+$J$273*$J$8+$K$273*$K$8+$L$273*$L$8+$M$273*$M$8+$N$273*$N$8+$O$273*$O$8+$P$273*$P$8</f>
        <v>0</v>
      </c>
      <c r="T273" s="12">
        <f>SUM($Q$273:$R$273)</f>
        <v>0</v>
      </c>
      <c r="U273" s="12">
        <f>$S$273+$T$273</f>
        <v>0</v>
      </c>
    </row>
    <row r="274" spans="1:21" x14ac:dyDescent="0.3">
      <c r="A274" s="13" t="s">
        <v>1021</v>
      </c>
      <c r="B274" s="14" t="s">
        <v>1022</v>
      </c>
      <c r="C274" s="14" t="s">
        <v>283</v>
      </c>
      <c r="D274" s="14" t="s">
        <v>1023</v>
      </c>
      <c r="E274" s="14">
        <f xml:space="preserve"> IF($U$274,1,0)</f>
        <v>0</v>
      </c>
      <c r="F274" s="14" t="s">
        <v>1024</v>
      </c>
      <c r="G274" s="14">
        <v>0</v>
      </c>
      <c r="H274" s="14">
        <v>0</v>
      </c>
      <c r="I274" s="14">
        <v>0</v>
      </c>
      <c r="J274" s="14">
        <v>0</v>
      </c>
      <c r="K274" s="14">
        <v>0</v>
      </c>
      <c r="L274" s="14">
        <v>0</v>
      </c>
      <c r="M274" s="14">
        <v>0</v>
      </c>
      <c r="N274" s="14">
        <v>0</v>
      </c>
      <c r="O274" s="14">
        <v>0</v>
      </c>
      <c r="P274" s="14">
        <v>0</v>
      </c>
      <c r="Q274" s="15">
        <v>0</v>
      </c>
      <c r="R274" s="15">
        <v>0</v>
      </c>
      <c r="S274" s="15">
        <f>$G$274*$G$8+$H$274*$H$8+$I$274*$I$8+$J$274*$J$8+$K$274*$K$8+$L$274*$L$8+$M$274*$M$8+$N$274*$N$8+$O$274*$O$8+$P$274*$P$8</f>
        <v>0</v>
      </c>
      <c r="T274" s="15">
        <f>SUM($Q$274:$R$274)</f>
        <v>0</v>
      </c>
      <c r="U274" s="15">
        <f>$S$274+$T$274</f>
        <v>0</v>
      </c>
    </row>
    <row r="275" spans="1:21" x14ac:dyDescent="0.3">
      <c r="A275" s="10" t="s">
        <v>1025</v>
      </c>
      <c r="B275" s="11" t="s">
        <v>1026</v>
      </c>
      <c r="C275" s="11"/>
      <c r="D275" s="11" t="s">
        <v>1027</v>
      </c>
      <c r="E275" s="11">
        <f xml:space="preserve"> IF($U$275,1,0)</f>
        <v>0</v>
      </c>
      <c r="F275" s="11" t="s">
        <v>1028</v>
      </c>
      <c r="G275" s="11">
        <v>0</v>
      </c>
      <c r="H275" s="11">
        <v>0</v>
      </c>
      <c r="I275" s="11">
        <v>0</v>
      </c>
      <c r="J275" s="11">
        <v>0</v>
      </c>
      <c r="K275" s="11">
        <v>0</v>
      </c>
      <c r="L275" s="11">
        <v>0</v>
      </c>
      <c r="M275" s="11">
        <v>0</v>
      </c>
      <c r="N275" s="11">
        <v>0</v>
      </c>
      <c r="O275" s="11">
        <v>0</v>
      </c>
      <c r="P275" s="11">
        <v>0</v>
      </c>
      <c r="Q275" s="12">
        <v>0</v>
      </c>
      <c r="R275" s="12">
        <v>0</v>
      </c>
      <c r="S275" s="12">
        <f>$G$275*$G$8+$H$275*$H$8+$I$275*$I$8+$J$275*$J$8+$K$275*$K$8+$L$275*$L$8+$M$275*$M$8+$N$275*$N$8+$O$275*$O$8+$P$275*$P$8</f>
        <v>0</v>
      </c>
      <c r="T275" s="12">
        <f>SUM($Q$275:$R$275)</f>
        <v>0</v>
      </c>
      <c r="U275" s="12">
        <f>$S$275+$T$275</f>
        <v>0</v>
      </c>
    </row>
    <row r="276" spans="1:21" x14ac:dyDescent="0.3">
      <c r="A276" s="13" t="s">
        <v>1029</v>
      </c>
      <c r="B276" s="14" t="s">
        <v>1030</v>
      </c>
      <c r="C276" s="14" t="s">
        <v>34</v>
      </c>
      <c r="D276" s="14" t="s">
        <v>1031</v>
      </c>
      <c r="E276" s="14">
        <f xml:space="preserve"> IF($U$276,1,0)</f>
        <v>1</v>
      </c>
      <c r="F276" s="14" t="s">
        <v>1032</v>
      </c>
      <c r="G276" s="14">
        <v>1</v>
      </c>
      <c r="H276" s="14">
        <v>0</v>
      </c>
      <c r="I276" s="14">
        <v>1</v>
      </c>
      <c r="J276" s="14">
        <v>0</v>
      </c>
      <c r="K276" s="14">
        <v>1</v>
      </c>
      <c r="L276" s="14">
        <v>0</v>
      </c>
      <c r="M276" s="14">
        <v>0</v>
      </c>
      <c r="N276" s="14">
        <v>0</v>
      </c>
      <c r="O276" s="14">
        <v>1</v>
      </c>
      <c r="P276" s="14">
        <v>1</v>
      </c>
      <c r="Q276" s="15">
        <v>0</v>
      </c>
      <c r="R276" s="15">
        <v>0</v>
      </c>
      <c r="S276" s="15">
        <f>$G$276*$G$8+$H$276*$H$8+$I$276*$I$8+$J$276*$J$8+$K$276*$K$8+$L$276*$L$8+$M$276*$M$8+$N$276*$N$8+$O$276*$O$8+$P$276*$P$8</f>
        <v>5.2</v>
      </c>
      <c r="T276" s="15">
        <f>SUM($Q$276:$R$276)</f>
        <v>0</v>
      </c>
      <c r="U276" s="15">
        <f>$S$276+$T$276</f>
        <v>5.2</v>
      </c>
    </row>
    <row r="277" spans="1:21" x14ac:dyDescent="0.3">
      <c r="A277" s="10" t="s">
        <v>1033</v>
      </c>
      <c r="B277" s="11" t="s">
        <v>1030</v>
      </c>
      <c r="C277" s="11"/>
      <c r="D277" s="11" t="s">
        <v>1034</v>
      </c>
      <c r="E277" s="11">
        <f xml:space="preserve"> IF($U$277,1,0)</f>
        <v>0</v>
      </c>
      <c r="F277" s="11" t="s">
        <v>1035</v>
      </c>
      <c r="G277" s="11">
        <v>0</v>
      </c>
      <c r="H277" s="11">
        <v>0</v>
      </c>
      <c r="I277" s="11">
        <v>0</v>
      </c>
      <c r="J277" s="11">
        <v>0</v>
      </c>
      <c r="K277" s="11">
        <v>0</v>
      </c>
      <c r="L277" s="11">
        <v>0</v>
      </c>
      <c r="M277" s="11">
        <v>0</v>
      </c>
      <c r="N277" s="11">
        <v>0</v>
      </c>
      <c r="O277" s="11">
        <v>0</v>
      </c>
      <c r="P277" s="11">
        <v>0</v>
      </c>
      <c r="Q277" s="12">
        <v>0</v>
      </c>
      <c r="R277" s="12">
        <v>0</v>
      </c>
      <c r="S277" s="12">
        <f>$G$277*$G$8+$H$277*$H$8+$I$277*$I$8+$J$277*$J$8+$K$277*$K$8+$L$277*$L$8+$M$277*$M$8+$N$277*$N$8+$O$277*$O$8+$P$277*$P$8</f>
        <v>0</v>
      </c>
      <c r="T277" s="12">
        <f>SUM($Q$277:$R$277)</f>
        <v>0</v>
      </c>
      <c r="U277" s="12">
        <f>$S$277+$T$277</f>
        <v>0</v>
      </c>
    </row>
    <row r="278" spans="1:21" x14ac:dyDescent="0.3">
      <c r="A278" s="13" t="s">
        <v>1036</v>
      </c>
      <c r="B278" s="14" t="s">
        <v>1037</v>
      </c>
      <c r="C278" s="14"/>
      <c r="D278" s="14" t="s">
        <v>1038</v>
      </c>
      <c r="E278" s="14">
        <f xml:space="preserve"> IF($U$278,1,0)</f>
        <v>0</v>
      </c>
      <c r="F278" s="14" t="s">
        <v>1039</v>
      </c>
      <c r="G278" s="14">
        <v>0</v>
      </c>
      <c r="H278" s="14">
        <v>0</v>
      </c>
      <c r="I278" s="14">
        <v>0</v>
      </c>
      <c r="J278" s="14">
        <v>0</v>
      </c>
      <c r="K278" s="14">
        <v>0</v>
      </c>
      <c r="L278" s="14">
        <v>0</v>
      </c>
      <c r="M278" s="14">
        <v>0</v>
      </c>
      <c r="N278" s="14">
        <v>0</v>
      </c>
      <c r="O278" s="14">
        <v>0</v>
      </c>
      <c r="P278" s="14">
        <v>0</v>
      </c>
      <c r="Q278" s="15">
        <v>0</v>
      </c>
      <c r="R278" s="15">
        <v>0</v>
      </c>
      <c r="S278" s="15">
        <f>$G$278*$G$8+$H$278*$H$8+$I$278*$I$8+$J$278*$J$8+$K$278*$K$8+$L$278*$L$8+$M$278*$M$8+$N$278*$N$8+$O$278*$O$8+$P$278*$P$8</f>
        <v>0</v>
      </c>
      <c r="T278" s="15">
        <f>SUM($Q$278:$R$278)</f>
        <v>0</v>
      </c>
      <c r="U278" s="15">
        <f>$S$278+$T$278</f>
        <v>0</v>
      </c>
    </row>
    <row r="279" spans="1:21" x14ac:dyDescent="0.3">
      <c r="A279" s="10" t="s">
        <v>1040</v>
      </c>
      <c r="B279" s="11" t="s">
        <v>1037</v>
      </c>
      <c r="C279" s="11" t="s">
        <v>202</v>
      </c>
      <c r="D279" s="11" t="s">
        <v>1041</v>
      </c>
      <c r="E279" s="11">
        <f xml:space="preserve"> IF($U$279,1,0)</f>
        <v>0</v>
      </c>
      <c r="F279" s="11" t="s">
        <v>1042</v>
      </c>
      <c r="G279" s="11">
        <v>0</v>
      </c>
      <c r="H279" s="11">
        <v>0</v>
      </c>
      <c r="I279" s="11">
        <v>0</v>
      </c>
      <c r="J279" s="11">
        <v>0</v>
      </c>
      <c r="K279" s="11">
        <v>0</v>
      </c>
      <c r="L279" s="11">
        <v>0</v>
      </c>
      <c r="M279" s="11">
        <v>0</v>
      </c>
      <c r="N279" s="11">
        <v>0</v>
      </c>
      <c r="O279" s="11">
        <v>0</v>
      </c>
      <c r="P279" s="11">
        <v>0</v>
      </c>
      <c r="Q279" s="12">
        <v>0</v>
      </c>
      <c r="R279" s="12">
        <v>0</v>
      </c>
      <c r="S279" s="12">
        <f>$G$279*$G$8+$H$279*$H$8+$I$279*$I$8+$J$279*$J$8+$K$279*$K$8+$L$279*$L$8+$M$279*$M$8+$N$279*$N$8+$O$279*$O$8+$P$279*$P$8</f>
        <v>0</v>
      </c>
      <c r="T279" s="12">
        <f>SUM($Q$279:$R$279)</f>
        <v>0</v>
      </c>
      <c r="U279" s="12">
        <f>$S$279+$T$279</f>
        <v>0</v>
      </c>
    </row>
    <row r="280" spans="1:21" x14ac:dyDescent="0.3">
      <c r="A280" s="13" t="s">
        <v>1043</v>
      </c>
      <c r="B280" s="14" t="s">
        <v>1044</v>
      </c>
      <c r="C280" s="14"/>
      <c r="D280" s="14" t="s">
        <v>1045</v>
      </c>
      <c r="E280" s="14">
        <f xml:space="preserve"> IF($U$280,1,0)</f>
        <v>0</v>
      </c>
      <c r="F280" s="14" t="s">
        <v>1046</v>
      </c>
      <c r="G280" s="14">
        <v>0</v>
      </c>
      <c r="H280" s="14">
        <v>0</v>
      </c>
      <c r="I280" s="14">
        <v>0</v>
      </c>
      <c r="J280" s="14">
        <v>0</v>
      </c>
      <c r="K280" s="14">
        <v>0</v>
      </c>
      <c r="L280" s="14">
        <v>0</v>
      </c>
      <c r="M280" s="14">
        <v>0</v>
      </c>
      <c r="N280" s="14">
        <v>0</v>
      </c>
      <c r="O280" s="14">
        <v>0</v>
      </c>
      <c r="P280" s="14">
        <v>0</v>
      </c>
      <c r="Q280" s="15">
        <v>0</v>
      </c>
      <c r="R280" s="15">
        <v>0</v>
      </c>
      <c r="S280" s="15">
        <f>$G$280*$G$8+$H$280*$H$8+$I$280*$I$8+$J$280*$J$8+$K$280*$K$8+$L$280*$L$8+$M$280*$M$8+$N$280*$N$8+$O$280*$O$8+$P$280*$P$8</f>
        <v>0</v>
      </c>
      <c r="T280" s="15">
        <f>SUM($Q$280:$R$280)</f>
        <v>0</v>
      </c>
      <c r="U280" s="15">
        <f>$S$280+$T$280</f>
        <v>0</v>
      </c>
    </row>
    <row r="281" spans="1:21" x14ac:dyDescent="0.3">
      <c r="A281" s="10" t="s">
        <v>1047</v>
      </c>
      <c r="B281" s="11" t="s">
        <v>1048</v>
      </c>
      <c r="C281" s="11"/>
      <c r="D281" s="11" t="s">
        <v>1049</v>
      </c>
      <c r="E281" s="11">
        <f xml:space="preserve"> IF($U$281,1,0)</f>
        <v>1</v>
      </c>
      <c r="F281" s="11" t="s">
        <v>1050</v>
      </c>
      <c r="G281" s="11">
        <v>2</v>
      </c>
      <c r="H281" s="11">
        <v>0</v>
      </c>
      <c r="I281" s="11">
        <v>0</v>
      </c>
      <c r="J281" s="11">
        <v>0</v>
      </c>
      <c r="K281" s="11">
        <v>0</v>
      </c>
      <c r="L281" s="11">
        <v>0</v>
      </c>
      <c r="M281" s="11">
        <v>0</v>
      </c>
      <c r="N281" s="11">
        <v>0</v>
      </c>
      <c r="O281" s="11">
        <v>0</v>
      </c>
      <c r="P281" s="11">
        <v>0</v>
      </c>
      <c r="Q281" s="12">
        <v>0</v>
      </c>
      <c r="R281" s="12">
        <v>0</v>
      </c>
      <c r="S281" s="12">
        <f>$G$281*$G$8+$H$281*$H$8+$I$281*$I$8+$J$281*$J$8+$K$281*$K$8+$L$281*$L$8+$M$281*$M$8+$N$281*$N$8+$O$281*$O$8+$P$281*$P$8</f>
        <v>1.4</v>
      </c>
      <c r="T281" s="12">
        <f>SUM($Q$281:$R$281)</f>
        <v>0</v>
      </c>
      <c r="U281" s="12">
        <f>$S$281+$T$281</f>
        <v>1.4</v>
      </c>
    </row>
    <row r="282" spans="1:21" x14ac:dyDescent="0.3">
      <c r="A282" s="13" t="s">
        <v>1051</v>
      </c>
      <c r="B282" s="14" t="s">
        <v>1052</v>
      </c>
      <c r="C282" s="14" t="s">
        <v>34</v>
      </c>
      <c r="D282" s="14" t="s">
        <v>1053</v>
      </c>
      <c r="E282" s="14">
        <f xml:space="preserve"> IF($U$282,1,0)</f>
        <v>0</v>
      </c>
      <c r="F282" s="14" t="s">
        <v>1054</v>
      </c>
      <c r="G282" s="14">
        <v>0</v>
      </c>
      <c r="H282" s="14">
        <v>0</v>
      </c>
      <c r="I282" s="14">
        <v>0</v>
      </c>
      <c r="J282" s="14">
        <v>0</v>
      </c>
      <c r="K282" s="14">
        <v>0</v>
      </c>
      <c r="L282" s="14">
        <v>0</v>
      </c>
      <c r="M282" s="14">
        <v>0</v>
      </c>
      <c r="N282" s="14">
        <v>0</v>
      </c>
      <c r="O282" s="14">
        <v>0</v>
      </c>
      <c r="P282" s="14">
        <v>0</v>
      </c>
      <c r="Q282" s="15">
        <v>0</v>
      </c>
      <c r="R282" s="15">
        <v>0</v>
      </c>
      <c r="S282" s="15">
        <f>$G$282*$G$8+$H$282*$H$8+$I$282*$I$8+$J$282*$J$8+$K$282*$K$8+$L$282*$L$8+$M$282*$M$8+$N$282*$N$8+$O$282*$O$8+$P$282*$P$8</f>
        <v>0</v>
      </c>
      <c r="T282" s="15">
        <f>SUM($Q$282:$R$282)</f>
        <v>0</v>
      </c>
      <c r="U282" s="15">
        <f>$S$282+$T$282</f>
        <v>0</v>
      </c>
    </row>
    <row r="283" spans="1:21" x14ac:dyDescent="0.3">
      <c r="A283" s="10" t="s">
        <v>1055</v>
      </c>
      <c r="B283" s="11" t="s">
        <v>1056</v>
      </c>
      <c r="C283" s="11" t="s">
        <v>243</v>
      </c>
      <c r="D283" s="11" t="s">
        <v>1057</v>
      </c>
      <c r="E283" s="11">
        <f xml:space="preserve"> IF($U$283,1,0)</f>
        <v>0</v>
      </c>
      <c r="F283" s="11" t="s">
        <v>1058</v>
      </c>
      <c r="G283" s="11">
        <v>0</v>
      </c>
      <c r="H283" s="11">
        <v>0</v>
      </c>
      <c r="I283" s="11">
        <v>0</v>
      </c>
      <c r="J283" s="11">
        <v>0</v>
      </c>
      <c r="K283" s="11">
        <v>0</v>
      </c>
      <c r="L283" s="11">
        <v>0</v>
      </c>
      <c r="M283" s="11">
        <v>0</v>
      </c>
      <c r="N283" s="11">
        <v>0</v>
      </c>
      <c r="O283" s="11">
        <v>0</v>
      </c>
      <c r="P283" s="11">
        <v>0</v>
      </c>
      <c r="Q283" s="12">
        <v>0</v>
      </c>
      <c r="R283" s="12">
        <v>0</v>
      </c>
      <c r="S283" s="12">
        <f>$G$283*$G$8+$H$283*$H$8+$I$283*$I$8+$J$283*$J$8+$K$283*$K$8+$L$283*$L$8+$M$283*$M$8+$N$283*$N$8+$O$283*$O$8+$P$283*$P$8</f>
        <v>0</v>
      </c>
      <c r="T283" s="12">
        <f>SUM($Q$283:$R$283)</f>
        <v>0</v>
      </c>
      <c r="U283" s="12">
        <f>$S$283+$T$283</f>
        <v>0</v>
      </c>
    </row>
    <row r="284" spans="1:21" x14ac:dyDescent="0.3">
      <c r="A284" s="13" t="s">
        <v>1059</v>
      </c>
      <c r="B284" s="14" t="s">
        <v>1056</v>
      </c>
      <c r="C284" s="14" t="s">
        <v>278</v>
      </c>
      <c r="D284" s="14" t="s">
        <v>1060</v>
      </c>
      <c r="E284" s="14">
        <f xml:space="preserve"> IF($U$284,1,0)</f>
        <v>0</v>
      </c>
      <c r="F284" s="14" t="s">
        <v>1061</v>
      </c>
      <c r="G284" s="14">
        <v>0</v>
      </c>
      <c r="H284" s="14">
        <v>0</v>
      </c>
      <c r="I284" s="14">
        <v>0</v>
      </c>
      <c r="J284" s="14">
        <v>0</v>
      </c>
      <c r="K284" s="14">
        <v>0</v>
      </c>
      <c r="L284" s="14">
        <v>0</v>
      </c>
      <c r="M284" s="14">
        <v>0</v>
      </c>
      <c r="N284" s="14">
        <v>0</v>
      </c>
      <c r="O284" s="14">
        <v>0</v>
      </c>
      <c r="P284" s="14">
        <v>0</v>
      </c>
      <c r="Q284" s="15">
        <v>0</v>
      </c>
      <c r="R284" s="15">
        <v>0</v>
      </c>
      <c r="S284" s="15">
        <f>$G$284*$G$8+$H$284*$H$8+$I$284*$I$8+$J$284*$J$8+$K$284*$K$8+$L$284*$L$8+$M$284*$M$8+$N$284*$N$8+$O$284*$O$8+$P$284*$P$8</f>
        <v>0</v>
      </c>
      <c r="T284" s="15">
        <f>SUM($Q$284:$R$284)</f>
        <v>0</v>
      </c>
      <c r="U284" s="15">
        <f>$S$284+$T$284</f>
        <v>0</v>
      </c>
    </row>
    <row r="285" spans="1:21" x14ac:dyDescent="0.3">
      <c r="A285" s="10" t="s">
        <v>1062</v>
      </c>
      <c r="B285" s="11" t="s">
        <v>1063</v>
      </c>
      <c r="C285" s="11"/>
      <c r="D285" s="11" t="s">
        <v>1064</v>
      </c>
      <c r="E285" s="11">
        <f xml:space="preserve"> IF($U$285,1,0)</f>
        <v>0</v>
      </c>
      <c r="F285" s="11" t="s">
        <v>1065</v>
      </c>
      <c r="G285" s="11">
        <v>0</v>
      </c>
      <c r="H285" s="11">
        <v>0</v>
      </c>
      <c r="I285" s="11">
        <v>0</v>
      </c>
      <c r="J285" s="11">
        <v>0</v>
      </c>
      <c r="K285" s="11">
        <v>0</v>
      </c>
      <c r="L285" s="11">
        <v>0</v>
      </c>
      <c r="M285" s="11">
        <v>0</v>
      </c>
      <c r="N285" s="11">
        <v>0</v>
      </c>
      <c r="O285" s="11">
        <v>0</v>
      </c>
      <c r="P285" s="11">
        <v>0</v>
      </c>
      <c r="Q285" s="12">
        <v>0</v>
      </c>
      <c r="R285" s="12">
        <v>0</v>
      </c>
      <c r="S285" s="12">
        <f>$G$285*$G$8+$H$285*$H$8+$I$285*$I$8+$J$285*$J$8+$K$285*$K$8+$L$285*$L$8+$M$285*$M$8+$N$285*$N$8+$O$285*$O$8+$P$285*$P$8</f>
        <v>0</v>
      </c>
      <c r="T285" s="12">
        <f>SUM($Q$285:$R$285)</f>
        <v>0</v>
      </c>
      <c r="U285" s="12">
        <f>$S$285+$T$285</f>
        <v>0</v>
      </c>
    </row>
    <row r="286" spans="1:21" x14ac:dyDescent="0.3">
      <c r="A286" s="13" t="s">
        <v>1066</v>
      </c>
      <c r="B286" s="14" t="s">
        <v>1067</v>
      </c>
      <c r="C286" s="14" t="s">
        <v>202</v>
      </c>
      <c r="D286" s="14" t="s">
        <v>1068</v>
      </c>
      <c r="E286" s="14">
        <f xml:space="preserve"> IF($U$286,1,0)</f>
        <v>0</v>
      </c>
      <c r="F286" s="14" t="s">
        <v>1069</v>
      </c>
      <c r="G286" s="14">
        <v>0</v>
      </c>
      <c r="H286" s="14">
        <v>0</v>
      </c>
      <c r="I286" s="14">
        <v>0</v>
      </c>
      <c r="J286" s="14">
        <v>0</v>
      </c>
      <c r="K286" s="14">
        <v>0</v>
      </c>
      <c r="L286" s="14">
        <v>0</v>
      </c>
      <c r="M286" s="14">
        <v>0</v>
      </c>
      <c r="N286" s="14">
        <v>0</v>
      </c>
      <c r="O286" s="14">
        <v>0</v>
      </c>
      <c r="P286" s="14">
        <v>0</v>
      </c>
      <c r="Q286" s="15">
        <v>0</v>
      </c>
      <c r="R286" s="15">
        <v>0</v>
      </c>
      <c r="S286" s="15">
        <f>$G$286*$G$8+$H$286*$H$8+$I$286*$I$8+$J$286*$J$8+$K$286*$K$8+$L$286*$L$8+$M$286*$M$8+$N$286*$N$8+$O$286*$O$8+$P$286*$P$8</f>
        <v>0</v>
      </c>
      <c r="T286" s="15">
        <f>SUM($Q$286:$R$286)</f>
        <v>0</v>
      </c>
      <c r="U286" s="15">
        <f>$S$286+$T$286</f>
        <v>0</v>
      </c>
    </row>
    <row r="287" spans="1:21" x14ac:dyDescent="0.3">
      <c r="A287" s="10" t="s">
        <v>1070</v>
      </c>
      <c r="B287" s="11" t="s">
        <v>1071</v>
      </c>
      <c r="C287" s="11"/>
      <c r="D287" s="11" t="s">
        <v>1072</v>
      </c>
      <c r="E287" s="11">
        <f xml:space="preserve"> IF($U$287,1,0)</f>
        <v>1</v>
      </c>
      <c r="F287" s="11" t="s">
        <v>1073</v>
      </c>
      <c r="G287" s="11">
        <v>1</v>
      </c>
      <c r="H287" s="11">
        <v>0</v>
      </c>
      <c r="I287" s="11">
        <v>0</v>
      </c>
      <c r="J287" s="11">
        <v>0</v>
      </c>
      <c r="K287" s="11">
        <v>0</v>
      </c>
      <c r="L287" s="11">
        <v>0</v>
      </c>
      <c r="M287" s="11">
        <v>0</v>
      </c>
      <c r="N287" s="11">
        <v>0</v>
      </c>
      <c r="O287" s="11">
        <v>0</v>
      </c>
      <c r="P287" s="11">
        <v>0</v>
      </c>
      <c r="Q287" s="12">
        <v>0</v>
      </c>
      <c r="R287" s="12">
        <v>0</v>
      </c>
      <c r="S287" s="12">
        <f>$G$287*$G$8+$H$287*$H$8+$I$287*$I$8+$J$287*$J$8+$K$287*$K$8+$L$287*$L$8+$M$287*$M$8+$N$287*$N$8+$O$287*$O$8+$P$287*$P$8</f>
        <v>0.7</v>
      </c>
      <c r="T287" s="12">
        <f>SUM($Q$287:$R$287)</f>
        <v>0</v>
      </c>
      <c r="U287" s="12">
        <f>$S$287+$T$287</f>
        <v>0.7</v>
      </c>
    </row>
    <row r="288" spans="1:21" x14ac:dyDescent="0.3">
      <c r="A288" s="13" t="s">
        <v>1074</v>
      </c>
      <c r="B288" s="14" t="s">
        <v>1071</v>
      </c>
      <c r="C288" s="14"/>
      <c r="D288" s="14" t="s">
        <v>1075</v>
      </c>
      <c r="E288" s="14">
        <f xml:space="preserve"> IF($U$288,1,0)</f>
        <v>1</v>
      </c>
      <c r="F288" s="14" t="s">
        <v>1076</v>
      </c>
      <c r="G288" s="14">
        <v>3</v>
      </c>
      <c r="H288" s="14">
        <v>0</v>
      </c>
      <c r="I288" s="14">
        <v>0</v>
      </c>
      <c r="J288" s="14">
        <v>0</v>
      </c>
      <c r="K288" s="14">
        <v>1</v>
      </c>
      <c r="L288" s="14">
        <v>0</v>
      </c>
      <c r="M288" s="14">
        <v>0</v>
      </c>
      <c r="N288" s="14">
        <v>0</v>
      </c>
      <c r="O288" s="14">
        <v>0</v>
      </c>
      <c r="P288" s="14">
        <v>3</v>
      </c>
      <c r="Q288" s="15">
        <v>0</v>
      </c>
      <c r="R288" s="15">
        <v>0</v>
      </c>
      <c r="S288" s="15">
        <f>$G$288*$G$8+$H$288*$H$8+$I$288*$I$8+$J$288*$J$8+$K$288*$K$8+$L$288*$L$8+$M$288*$M$8+$N$288*$N$8+$O$288*$O$8+$P$288*$P$8</f>
        <v>7.1</v>
      </c>
      <c r="T288" s="15">
        <f>SUM($Q$288:$R$288)</f>
        <v>0</v>
      </c>
      <c r="U288" s="15">
        <f>$S$288+$T$288</f>
        <v>7.1</v>
      </c>
    </row>
    <row r="289" spans="1:21" x14ac:dyDescent="0.3">
      <c r="A289" s="10" t="s">
        <v>1077</v>
      </c>
      <c r="B289" s="11" t="s">
        <v>1078</v>
      </c>
      <c r="C289" s="11"/>
      <c r="D289" s="11" t="s">
        <v>1079</v>
      </c>
      <c r="E289" s="11">
        <f xml:space="preserve"> IF($U$289,1,0)</f>
        <v>0</v>
      </c>
      <c r="F289" s="11" t="s">
        <v>1080</v>
      </c>
      <c r="G289" s="11">
        <v>0</v>
      </c>
      <c r="H289" s="11">
        <v>0</v>
      </c>
      <c r="I289" s="11">
        <v>0</v>
      </c>
      <c r="J289" s="11">
        <v>0</v>
      </c>
      <c r="K289" s="11">
        <v>0</v>
      </c>
      <c r="L289" s="11">
        <v>0</v>
      </c>
      <c r="M289" s="11">
        <v>0</v>
      </c>
      <c r="N289" s="11">
        <v>0</v>
      </c>
      <c r="O289" s="11">
        <v>0</v>
      </c>
      <c r="P289" s="11">
        <v>0</v>
      </c>
      <c r="Q289" s="12">
        <v>0</v>
      </c>
      <c r="R289" s="12">
        <v>0</v>
      </c>
      <c r="S289" s="12">
        <f>$G$289*$G$8+$H$289*$H$8+$I$289*$I$8+$J$289*$J$8+$K$289*$K$8+$L$289*$L$8+$M$289*$M$8+$N$289*$N$8+$O$289*$O$8+$P$289*$P$8</f>
        <v>0</v>
      </c>
      <c r="T289" s="12">
        <f>SUM($Q$289:$R$289)</f>
        <v>0</v>
      </c>
      <c r="U289" s="12">
        <f>$S$289+$T$289</f>
        <v>0</v>
      </c>
    </row>
    <row r="290" spans="1:21" x14ac:dyDescent="0.3">
      <c r="A290" s="13" t="s">
        <v>1081</v>
      </c>
      <c r="B290" s="14" t="s">
        <v>1082</v>
      </c>
      <c r="C290" s="14"/>
      <c r="D290" s="14" t="s">
        <v>1083</v>
      </c>
      <c r="E290" s="14">
        <f xml:space="preserve"> IF($U$290,1,0)</f>
        <v>0</v>
      </c>
      <c r="F290" s="14" t="s">
        <v>1084</v>
      </c>
      <c r="G290" s="14">
        <v>0</v>
      </c>
      <c r="H290" s="14">
        <v>0</v>
      </c>
      <c r="I290" s="14">
        <v>0</v>
      </c>
      <c r="J290" s="14">
        <v>0</v>
      </c>
      <c r="K290" s="14">
        <v>0</v>
      </c>
      <c r="L290" s="14">
        <v>0</v>
      </c>
      <c r="M290" s="14">
        <v>0</v>
      </c>
      <c r="N290" s="14">
        <v>0</v>
      </c>
      <c r="O290" s="14">
        <v>0</v>
      </c>
      <c r="P290" s="14">
        <v>0</v>
      </c>
      <c r="Q290" s="15">
        <v>0</v>
      </c>
      <c r="R290" s="15">
        <v>0</v>
      </c>
      <c r="S290" s="15">
        <f>$G$290*$G$8+$H$290*$H$8+$I$290*$I$8+$J$290*$J$8+$K$290*$K$8+$L$290*$L$8+$M$290*$M$8+$N$290*$N$8+$O$290*$O$8+$P$290*$P$8</f>
        <v>0</v>
      </c>
      <c r="T290" s="15">
        <f>SUM($Q$290:$R$290)</f>
        <v>0</v>
      </c>
      <c r="U290" s="15">
        <f>$S$290+$T$290</f>
        <v>0</v>
      </c>
    </row>
    <row r="291" spans="1:21" x14ac:dyDescent="0.3">
      <c r="A291" s="10" t="s">
        <v>1085</v>
      </c>
      <c r="B291" s="11" t="s">
        <v>1082</v>
      </c>
      <c r="C291" s="11"/>
      <c r="D291" s="11" t="s">
        <v>1086</v>
      </c>
      <c r="E291" s="11">
        <f xml:space="preserve"> IF($U$291,1,0)</f>
        <v>0</v>
      </c>
      <c r="F291" s="11" t="s">
        <v>1087</v>
      </c>
      <c r="G291" s="11">
        <v>0</v>
      </c>
      <c r="H291" s="11">
        <v>0</v>
      </c>
      <c r="I291" s="11">
        <v>0</v>
      </c>
      <c r="J291" s="11">
        <v>0</v>
      </c>
      <c r="K291" s="11">
        <v>0</v>
      </c>
      <c r="L291" s="11">
        <v>0</v>
      </c>
      <c r="M291" s="11">
        <v>0</v>
      </c>
      <c r="N291" s="11">
        <v>0</v>
      </c>
      <c r="O291" s="11">
        <v>0</v>
      </c>
      <c r="P291" s="11">
        <v>0</v>
      </c>
      <c r="Q291" s="12">
        <v>0</v>
      </c>
      <c r="R291" s="12">
        <v>0</v>
      </c>
      <c r="S291" s="12">
        <f>$G$291*$G$8+$H$291*$H$8+$I$291*$I$8+$J$291*$J$8+$K$291*$K$8+$L$291*$L$8+$M$291*$M$8+$N$291*$N$8+$O$291*$O$8+$P$291*$P$8</f>
        <v>0</v>
      </c>
      <c r="T291" s="12">
        <f>SUM($Q$291:$R$291)</f>
        <v>0</v>
      </c>
      <c r="U291" s="12">
        <f>$S$291+$T$291</f>
        <v>0</v>
      </c>
    </row>
    <row r="292" spans="1:21" x14ac:dyDescent="0.3">
      <c r="A292" s="13" t="s">
        <v>1088</v>
      </c>
      <c r="B292" s="14" t="s">
        <v>1082</v>
      </c>
      <c r="C292" s="14" t="s">
        <v>65</v>
      </c>
      <c r="D292" s="14" t="s">
        <v>1089</v>
      </c>
      <c r="E292" s="14">
        <f xml:space="preserve"> IF($U$292,1,0)</f>
        <v>0</v>
      </c>
      <c r="F292" s="14" t="s">
        <v>1090</v>
      </c>
      <c r="G292" s="14">
        <v>0</v>
      </c>
      <c r="H292" s="14">
        <v>0</v>
      </c>
      <c r="I292" s="14">
        <v>0</v>
      </c>
      <c r="J292" s="14">
        <v>0</v>
      </c>
      <c r="K292" s="14">
        <v>0</v>
      </c>
      <c r="L292" s="14">
        <v>0</v>
      </c>
      <c r="M292" s="14">
        <v>0</v>
      </c>
      <c r="N292" s="14">
        <v>0</v>
      </c>
      <c r="O292" s="14">
        <v>0</v>
      </c>
      <c r="P292" s="14">
        <v>0</v>
      </c>
      <c r="Q292" s="15">
        <v>0</v>
      </c>
      <c r="R292" s="15">
        <v>0</v>
      </c>
      <c r="S292" s="15">
        <f>$G$292*$G$8+$H$292*$H$8+$I$292*$I$8+$J$292*$J$8+$K$292*$K$8+$L$292*$L$8+$M$292*$M$8+$N$292*$N$8+$O$292*$O$8+$P$292*$P$8</f>
        <v>0</v>
      </c>
      <c r="T292" s="15">
        <f>SUM($Q$292:$R$292)</f>
        <v>0</v>
      </c>
      <c r="U292" s="15">
        <f>$S$292+$T$292</f>
        <v>0</v>
      </c>
    </row>
    <row r="293" spans="1:21" x14ac:dyDescent="0.3">
      <c r="A293" s="10" t="s">
        <v>1091</v>
      </c>
      <c r="B293" s="11" t="s">
        <v>1082</v>
      </c>
      <c r="C293" s="11"/>
      <c r="D293" s="11" t="s">
        <v>1092</v>
      </c>
      <c r="E293" s="11">
        <f xml:space="preserve"> IF($U$293,1,0)</f>
        <v>0</v>
      </c>
      <c r="F293" s="11" t="s">
        <v>1093</v>
      </c>
      <c r="G293" s="11">
        <v>0</v>
      </c>
      <c r="H293" s="11">
        <v>0</v>
      </c>
      <c r="I293" s="11">
        <v>0</v>
      </c>
      <c r="J293" s="11">
        <v>0</v>
      </c>
      <c r="K293" s="11">
        <v>0</v>
      </c>
      <c r="L293" s="11">
        <v>0</v>
      </c>
      <c r="M293" s="11">
        <v>0</v>
      </c>
      <c r="N293" s="11">
        <v>0</v>
      </c>
      <c r="O293" s="11">
        <v>0</v>
      </c>
      <c r="P293" s="11">
        <v>0</v>
      </c>
      <c r="Q293" s="12">
        <v>0</v>
      </c>
      <c r="R293" s="12">
        <v>0</v>
      </c>
      <c r="S293" s="12">
        <f>$G$293*$G$8+$H$293*$H$8+$I$293*$I$8+$J$293*$J$8+$K$293*$K$8+$L$293*$L$8+$M$293*$M$8+$N$293*$N$8+$O$293*$O$8+$P$293*$P$8</f>
        <v>0</v>
      </c>
      <c r="T293" s="12">
        <f>SUM($Q$293:$R$293)</f>
        <v>0</v>
      </c>
      <c r="U293" s="12">
        <f>$S$293+$T$293</f>
        <v>0</v>
      </c>
    </row>
    <row r="294" spans="1:21" x14ac:dyDescent="0.3">
      <c r="A294" s="13" t="s">
        <v>1094</v>
      </c>
      <c r="B294" s="14" t="s">
        <v>1095</v>
      </c>
      <c r="C294" s="14" t="s">
        <v>34</v>
      </c>
      <c r="D294" s="14" t="s">
        <v>1096</v>
      </c>
      <c r="E294" s="14">
        <f xml:space="preserve"> IF($U$294,1,0)</f>
        <v>0</v>
      </c>
      <c r="F294" s="14" t="s">
        <v>1097</v>
      </c>
      <c r="G294" s="14">
        <v>0</v>
      </c>
      <c r="H294" s="14">
        <v>0</v>
      </c>
      <c r="I294" s="14">
        <v>0</v>
      </c>
      <c r="J294" s="14">
        <v>0</v>
      </c>
      <c r="K294" s="14">
        <v>0</v>
      </c>
      <c r="L294" s="14">
        <v>0</v>
      </c>
      <c r="M294" s="14">
        <v>0</v>
      </c>
      <c r="N294" s="14">
        <v>0</v>
      </c>
      <c r="O294" s="14">
        <v>0</v>
      </c>
      <c r="P294" s="14">
        <v>0</v>
      </c>
      <c r="Q294" s="15">
        <v>0</v>
      </c>
      <c r="R294" s="15">
        <v>0</v>
      </c>
      <c r="S294" s="15">
        <f>$G$294*$G$8+$H$294*$H$8+$I$294*$I$8+$J$294*$J$8+$K$294*$K$8+$L$294*$L$8+$M$294*$M$8+$N$294*$N$8+$O$294*$O$8+$P$294*$P$8</f>
        <v>0</v>
      </c>
      <c r="T294" s="15">
        <f>SUM($Q$294:$R$294)</f>
        <v>0</v>
      </c>
      <c r="U294" s="15">
        <f>$S$294+$T$294</f>
        <v>0</v>
      </c>
    </row>
    <row r="295" spans="1:21" x14ac:dyDescent="0.3">
      <c r="A295" s="10" t="s">
        <v>1098</v>
      </c>
      <c r="B295" s="11" t="s">
        <v>1099</v>
      </c>
      <c r="C295" s="11"/>
      <c r="D295" s="11" t="s">
        <v>1100</v>
      </c>
      <c r="E295" s="11">
        <f xml:space="preserve"> IF($U$295,1,0)</f>
        <v>0</v>
      </c>
      <c r="F295" s="11" t="s">
        <v>1101</v>
      </c>
      <c r="G295" s="11">
        <v>0</v>
      </c>
      <c r="H295" s="11">
        <v>0</v>
      </c>
      <c r="I295" s="11">
        <v>0</v>
      </c>
      <c r="J295" s="11">
        <v>0</v>
      </c>
      <c r="K295" s="11">
        <v>0</v>
      </c>
      <c r="L295" s="11">
        <v>0</v>
      </c>
      <c r="M295" s="11">
        <v>0</v>
      </c>
      <c r="N295" s="11">
        <v>0</v>
      </c>
      <c r="O295" s="11">
        <v>0</v>
      </c>
      <c r="P295" s="11">
        <v>0</v>
      </c>
      <c r="Q295" s="12">
        <v>0</v>
      </c>
      <c r="R295" s="12">
        <v>0</v>
      </c>
      <c r="S295" s="12">
        <f>$G$295*$G$8+$H$295*$H$8+$I$295*$I$8+$J$295*$J$8+$K$295*$K$8+$L$295*$L$8+$M$295*$M$8+$N$295*$N$8+$O$295*$O$8+$P$295*$P$8</f>
        <v>0</v>
      </c>
      <c r="T295" s="12">
        <f>SUM($Q$295:$R$295)</f>
        <v>0</v>
      </c>
      <c r="U295" s="12">
        <f>$S$295+$T$295</f>
        <v>0</v>
      </c>
    </row>
    <row r="296" spans="1:21" x14ac:dyDescent="0.3">
      <c r="A296" s="13" t="s">
        <v>1102</v>
      </c>
      <c r="B296" s="14" t="s">
        <v>1103</v>
      </c>
      <c r="C296" s="14"/>
      <c r="D296" s="14" t="s">
        <v>1104</v>
      </c>
      <c r="E296" s="14">
        <f xml:space="preserve"> IF($U$296,1,0)</f>
        <v>0</v>
      </c>
      <c r="F296" s="14" t="s">
        <v>1105</v>
      </c>
      <c r="G296" s="14">
        <v>0</v>
      </c>
      <c r="H296" s="14">
        <v>0</v>
      </c>
      <c r="I296" s="14">
        <v>0</v>
      </c>
      <c r="J296" s="14">
        <v>0</v>
      </c>
      <c r="K296" s="14">
        <v>0</v>
      </c>
      <c r="L296" s="14">
        <v>0</v>
      </c>
      <c r="M296" s="14">
        <v>0</v>
      </c>
      <c r="N296" s="14">
        <v>0</v>
      </c>
      <c r="O296" s="14">
        <v>0</v>
      </c>
      <c r="P296" s="14">
        <v>0</v>
      </c>
      <c r="Q296" s="15">
        <v>0</v>
      </c>
      <c r="R296" s="15">
        <v>0</v>
      </c>
      <c r="S296" s="15">
        <f>$G$296*$G$8+$H$296*$H$8+$I$296*$I$8+$J$296*$J$8+$K$296*$K$8+$L$296*$L$8+$M$296*$M$8+$N$296*$N$8+$O$296*$O$8+$P$296*$P$8</f>
        <v>0</v>
      </c>
      <c r="T296" s="15">
        <f>SUM($Q$296:$R$296)</f>
        <v>0</v>
      </c>
      <c r="U296" s="15">
        <f>$S$296+$T$296</f>
        <v>0</v>
      </c>
    </row>
    <row r="297" spans="1:21" x14ac:dyDescent="0.3">
      <c r="A297" s="10" t="s">
        <v>1106</v>
      </c>
      <c r="B297" s="11" t="s">
        <v>1107</v>
      </c>
      <c r="C297" s="11"/>
      <c r="D297" s="11" t="s">
        <v>1107</v>
      </c>
      <c r="E297" s="11">
        <f xml:space="preserve"> IF($U$297,1,0)</f>
        <v>0</v>
      </c>
      <c r="F297" s="11" t="s">
        <v>1108</v>
      </c>
      <c r="G297" s="11">
        <v>0</v>
      </c>
      <c r="H297" s="11">
        <v>0</v>
      </c>
      <c r="I297" s="11">
        <v>0</v>
      </c>
      <c r="J297" s="11">
        <v>0</v>
      </c>
      <c r="K297" s="11">
        <v>0</v>
      </c>
      <c r="L297" s="11">
        <v>0</v>
      </c>
      <c r="M297" s="11">
        <v>0</v>
      </c>
      <c r="N297" s="11">
        <v>0</v>
      </c>
      <c r="O297" s="11">
        <v>0</v>
      </c>
      <c r="P297" s="11">
        <v>0</v>
      </c>
      <c r="Q297" s="12">
        <v>0</v>
      </c>
      <c r="R297" s="12">
        <v>0</v>
      </c>
      <c r="S297" s="12">
        <f>$G$297*$G$8+$H$297*$H$8+$I$297*$I$8+$J$297*$J$8+$K$297*$K$8+$L$297*$L$8+$M$297*$M$8+$N$297*$N$8+$O$297*$O$8+$P$297*$P$8</f>
        <v>0</v>
      </c>
      <c r="T297" s="12">
        <f>SUM($Q$297:$R$297)</f>
        <v>0</v>
      </c>
      <c r="U297" s="12">
        <f>$S$297+$T$297</f>
        <v>0</v>
      </c>
    </row>
    <row r="298" spans="1:21" x14ac:dyDescent="0.3">
      <c r="A298" s="13" t="s">
        <v>1109</v>
      </c>
      <c r="B298" s="14" t="s">
        <v>1110</v>
      </c>
      <c r="C298" s="14" t="s">
        <v>34</v>
      </c>
      <c r="D298" s="14" t="s">
        <v>1111</v>
      </c>
      <c r="E298" s="14">
        <f xml:space="preserve"> IF($U$298,1,0)</f>
        <v>0</v>
      </c>
      <c r="F298" s="14" t="s">
        <v>1112</v>
      </c>
      <c r="G298" s="14">
        <v>0</v>
      </c>
      <c r="H298" s="14">
        <v>0</v>
      </c>
      <c r="I298" s="14">
        <v>0</v>
      </c>
      <c r="J298" s="14">
        <v>0</v>
      </c>
      <c r="K298" s="14">
        <v>0</v>
      </c>
      <c r="L298" s="14">
        <v>0</v>
      </c>
      <c r="M298" s="14">
        <v>0</v>
      </c>
      <c r="N298" s="14">
        <v>0</v>
      </c>
      <c r="O298" s="14">
        <v>0</v>
      </c>
      <c r="P298" s="14">
        <v>0</v>
      </c>
      <c r="Q298" s="15">
        <v>0</v>
      </c>
      <c r="R298" s="15">
        <v>0</v>
      </c>
      <c r="S298" s="15">
        <f>$G$298*$G$8+$H$298*$H$8+$I$298*$I$8+$J$298*$J$8+$K$298*$K$8+$L$298*$L$8+$M$298*$M$8+$N$298*$N$8+$O$298*$O$8+$P$298*$P$8</f>
        <v>0</v>
      </c>
      <c r="T298" s="15">
        <f>SUM($Q$298:$R$298)</f>
        <v>0</v>
      </c>
      <c r="U298" s="15">
        <f>$S$298+$T$298</f>
        <v>0</v>
      </c>
    </row>
    <row r="299" spans="1:21" x14ac:dyDescent="0.3">
      <c r="A299" s="10" t="s">
        <v>1113</v>
      </c>
      <c r="B299" s="11" t="s">
        <v>1114</v>
      </c>
      <c r="C299" s="11" t="s">
        <v>34</v>
      </c>
      <c r="D299" s="11" t="s">
        <v>239</v>
      </c>
      <c r="E299" s="11">
        <f xml:space="preserve"> IF($U$299,1,0)</f>
        <v>0</v>
      </c>
      <c r="F299" s="11" t="s">
        <v>1115</v>
      </c>
      <c r="G299" s="11">
        <v>0</v>
      </c>
      <c r="H299" s="11">
        <v>0</v>
      </c>
      <c r="I299" s="11">
        <v>0</v>
      </c>
      <c r="J299" s="11">
        <v>0</v>
      </c>
      <c r="K299" s="11">
        <v>0</v>
      </c>
      <c r="L299" s="11">
        <v>0</v>
      </c>
      <c r="M299" s="11">
        <v>0</v>
      </c>
      <c r="N299" s="11">
        <v>0</v>
      </c>
      <c r="O299" s="11">
        <v>0</v>
      </c>
      <c r="P299" s="11">
        <v>0</v>
      </c>
      <c r="Q299" s="12">
        <v>0</v>
      </c>
      <c r="R299" s="12">
        <v>0</v>
      </c>
      <c r="S299" s="12">
        <f>$G$299*$G$8+$H$299*$H$8+$I$299*$I$8+$J$299*$J$8+$K$299*$K$8+$L$299*$L$8+$M$299*$M$8+$N$299*$N$8+$O$299*$O$8+$P$299*$P$8</f>
        <v>0</v>
      </c>
      <c r="T299" s="12">
        <f>SUM($Q$299:$R$299)</f>
        <v>0</v>
      </c>
      <c r="U299" s="12">
        <f>$S$299+$T$299</f>
        <v>0</v>
      </c>
    </row>
    <row r="300" spans="1:21" x14ac:dyDescent="0.3">
      <c r="A300" s="13" t="s">
        <v>1257</v>
      </c>
      <c r="B300" s="14" t="s">
        <v>1117</v>
      </c>
      <c r="C300" s="14" t="s">
        <v>202</v>
      </c>
      <c r="D300" s="14" t="s">
        <v>442</v>
      </c>
      <c r="E300" s="14">
        <f xml:space="preserve"> IF($U$300,1,0)</f>
        <v>1</v>
      </c>
      <c r="F300" s="14" t="s">
        <v>1258</v>
      </c>
      <c r="G300" s="14">
        <v>4</v>
      </c>
      <c r="H300" s="14">
        <v>0</v>
      </c>
      <c r="I300" s="14">
        <v>0</v>
      </c>
      <c r="J300" s="14">
        <v>0</v>
      </c>
      <c r="K300" s="14">
        <v>0</v>
      </c>
      <c r="L300" s="14">
        <v>0</v>
      </c>
      <c r="M300" s="14">
        <v>0</v>
      </c>
      <c r="N300" s="14">
        <v>0</v>
      </c>
      <c r="O300" s="14">
        <v>0</v>
      </c>
      <c r="P300" s="14">
        <v>0</v>
      </c>
      <c r="Q300" s="15">
        <v>0</v>
      </c>
      <c r="R300" s="15">
        <v>0</v>
      </c>
      <c r="S300" s="15">
        <f>$G$300*$G$8+$H$300*$H$8+$I$300*$I$8+$J$300*$J$8+$K$300*$K$8+$L$300*$L$8+$M$300*$M$8+$N$300*$N$8+$O$300*$O$8+$P$300*$P$8</f>
        <v>2.8</v>
      </c>
      <c r="T300" s="15">
        <f>SUM($Q$300:$R$300)</f>
        <v>0</v>
      </c>
      <c r="U300" s="15">
        <f>$S$300+$T$300</f>
        <v>2.8</v>
      </c>
    </row>
    <row r="301" spans="1:21" x14ac:dyDescent="0.3">
      <c r="A301" s="10" t="s">
        <v>1116</v>
      </c>
      <c r="B301" s="11" t="s">
        <v>1117</v>
      </c>
      <c r="C301" s="11"/>
      <c r="D301" s="11" t="s">
        <v>1118</v>
      </c>
      <c r="E301" s="11">
        <f xml:space="preserve"> IF($U$301,1,0)</f>
        <v>0</v>
      </c>
      <c r="F301" s="11" t="s">
        <v>1119</v>
      </c>
      <c r="G301" s="11">
        <v>0</v>
      </c>
      <c r="H301" s="11">
        <v>0</v>
      </c>
      <c r="I301" s="11">
        <v>0</v>
      </c>
      <c r="J301" s="11">
        <v>0</v>
      </c>
      <c r="K301" s="11">
        <v>0</v>
      </c>
      <c r="L301" s="11">
        <v>0</v>
      </c>
      <c r="M301" s="11">
        <v>0</v>
      </c>
      <c r="N301" s="11">
        <v>0</v>
      </c>
      <c r="O301" s="11">
        <v>0</v>
      </c>
      <c r="P301" s="11">
        <v>0</v>
      </c>
      <c r="Q301" s="12">
        <v>0</v>
      </c>
      <c r="R301" s="12">
        <v>0</v>
      </c>
      <c r="S301" s="12">
        <f>$G$301*$G$8+$H$301*$H$8+$I$301*$I$8+$J$301*$J$8+$K$301*$K$8+$L$301*$L$8+$M$301*$M$8+$N$301*$N$8+$O$301*$O$8+$P$301*$P$8</f>
        <v>0</v>
      </c>
      <c r="T301" s="12">
        <f>SUM($Q$301:$R$301)</f>
        <v>0</v>
      </c>
      <c r="U301" s="12">
        <f>$S$301+$T$301</f>
        <v>0</v>
      </c>
    </row>
    <row r="302" spans="1:21" x14ac:dyDescent="0.3">
      <c r="A302" s="13" t="s">
        <v>1120</v>
      </c>
      <c r="B302" s="14" t="s">
        <v>1117</v>
      </c>
      <c r="C302" s="14"/>
      <c r="D302" s="14" t="s">
        <v>1121</v>
      </c>
      <c r="E302" s="14">
        <f xml:space="preserve"> IF($U$302,1,0)</f>
        <v>0</v>
      </c>
      <c r="F302" s="14" t="s">
        <v>1122</v>
      </c>
      <c r="G302" s="14">
        <v>0</v>
      </c>
      <c r="H302" s="14">
        <v>0</v>
      </c>
      <c r="I302" s="14">
        <v>0</v>
      </c>
      <c r="J302" s="14">
        <v>0</v>
      </c>
      <c r="K302" s="14">
        <v>0</v>
      </c>
      <c r="L302" s="14">
        <v>0</v>
      </c>
      <c r="M302" s="14">
        <v>0</v>
      </c>
      <c r="N302" s="14">
        <v>0</v>
      </c>
      <c r="O302" s="14">
        <v>0</v>
      </c>
      <c r="P302" s="14">
        <v>0</v>
      </c>
      <c r="Q302" s="15">
        <v>0</v>
      </c>
      <c r="R302" s="15">
        <v>0</v>
      </c>
      <c r="S302" s="15">
        <f>$G$302*$G$8+$H$302*$H$8+$I$302*$I$8+$J$302*$J$8+$K$302*$K$8+$L$302*$L$8+$M$302*$M$8+$N$302*$N$8+$O$302*$O$8+$P$302*$P$8</f>
        <v>0</v>
      </c>
      <c r="T302" s="15">
        <f>SUM($Q$302:$R$302)</f>
        <v>0</v>
      </c>
      <c r="U302" s="15">
        <f>$S$302+$T$302</f>
        <v>0</v>
      </c>
    </row>
    <row r="303" spans="1:21" x14ac:dyDescent="0.3">
      <c r="A303" s="10" t="s">
        <v>1123</v>
      </c>
      <c r="B303" s="11" t="s">
        <v>1117</v>
      </c>
      <c r="C303" s="11"/>
      <c r="D303" s="11" t="s">
        <v>1124</v>
      </c>
      <c r="E303" s="11">
        <f xml:space="preserve"> IF($U$303,1,0)</f>
        <v>0</v>
      </c>
      <c r="F303" s="11" t="s">
        <v>1125</v>
      </c>
      <c r="G303" s="11">
        <v>0</v>
      </c>
      <c r="H303" s="11">
        <v>0</v>
      </c>
      <c r="I303" s="11">
        <v>0</v>
      </c>
      <c r="J303" s="11">
        <v>0</v>
      </c>
      <c r="K303" s="11">
        <v>0</v>
      </c>
      <c r="L303" s="11">
        <v>0</v>
      </c>
      <c r="M303" s="11">
        <v>0</v>
      </c>
      <c r="N303" s="11">
        <v>0</v>
      </c>
      <c r="O303" s="11">
        <v>0</v>
      </c>
      <c r="P303" s="11">
        <v>0</v>
      </c>
      <c r="Q303" s="12">
        <v>0</v>
      </c>
      <c r="R303" s="12">
        <v>0</v>
      </c>
      <c r="S303" s="12">
        <f>$G$303*$G$8+$H$303*$H$8+$I$303*$I$8+$J$303*$J$8+$K$303*$K$8+$L$303*$L$8+$M$303*$M$8+$N$303*$N$8+$O$303*$O$8+$P$303*$P$8</f>
        <v>0</v>
      </c>
      <c r="T303" s="12">
        <f>SUM($Q$303:$R$303)</f>
        <v>0</v>
      </c>
      <c r="U303" s="12">
        <f>$S$303+$T$303</f>
        <v>0</v>
      </c>
    </row>
    <row r="304" spans="1:21" x14ac:dyDescent="0.3">
      <c r="A304" s="13" t="s">
        <v>1126</v>
      </c>
      <c r="B304" s="14" t="s">
        <v>1117</v>
      </c>
      <c r="C304" s="14"/>
      <c r="D304" s="14" t="s">
        <v>1127</v>
      </c>
      <c r="E304" s="14">
        <f xml:space="preserve"> IF($U$304,1,0)</f>
        <v>0</v>
      </c>
      <c r="F304" s="14" t="s">
        <v>1128</v>
      </c>
      <c r="G304" s="14">
        <v>0</v>
      </c>
      <c r="H304" s="14">
        <v>0</v>
      </c>
      <c r="I304" s="14">
        <v>0</v>
      </c>
      <c r="J304" s="14">
        <v>0</v>
      </c>
      <c r="K304" s="14">
        <v>0</v>
      </c>
      <c r="L304" s="14">
        <v>0</v>
      </c>
      <c r="M304" s="14">
        <v>0</v>
      </c>
      <c r="N304" s="14">
        <v>0</v>
      </c>
      <c r="O304" s="14">
        <v>0</v>
      </c>
      <c r="P304" s="14">
        <v>0</v>
      </c>
      <c r="Q304" s="15">
        <v>0</v>
      </c>
      <c r="R304" s="15">
        <v>0</v>
      </c>
      <c r="S304" s="15">
        <f>$G$304*$G$8+$H$304*$H$8+$I$304*$I$8+$J$304*$J$8+$K$304*$K$8+$L$304*$L$8+$M$304*$M$8+$N$304*$N$8+$O$304*$O$8+$P$304*$P$8</f>
        <v>0</v>
      </c>
      <c r="T304" s="15">
        <f>SUM($Q$304:$R$304)</f>
        <v>0</v>
      </c>
      <c r="U304" s="15">
        <f>$S$304+$T$304</f>
        <v>0</v>
      </c>
    </row>
    <row r="305" spans="1:21" x14ac:dyDescent="0.3">
      <c r="A305" s="10" t="s">
        <v>1129</v>
      </c>
      <c r="B305" s="11" t="s">
        <v>1130</v>
      </c>
      <c r="C305" s="11" t="s">
        <v>34</v>
      </c>
      <c r="D305" s="11" t="s">
        <v>1131</v>
      </c>
      <c r="E305" s="11">
        <f xml:space="preserve"> IF($U$305,1,0)</f>
        <v>0</v>
      </c>
      <c r="F305" s="11" t="s">
        <v>1132</v>
      </c>
      <c r="G305" s="11">
        <v>0</v>
      </c>
      <c r="H305" s="11">
        <v>0</v>
      </c>
      <c r="I305" s="11">
        <v>0</v>
      </c>
      <c r="J305" s="11">
        <v>0</v>
      </c>
      <c r="K305" s="11">
        <v>0</v>
      </c>
      <c r="L305" s="11">
        <v>0</v>
      </c>
      <c r="M305" s="11">
        <v>0</v>
      </c>
      <c r="N305" s="11">
        <v>0</v>
      </c>
      <c r="O305" s="11">
        <v>0</v>
      </c>
      <c r="P305" s="11">
        <v>0</v>
      </c>
      <c r="Q305" s="12">
        <v>0</v>
      </c>
      <c r="R305" s="12">
        <v>0</v>
      </c>
      <c r="S305" s="12">
        <f>$G$305*$G$8+$H$305*$H$8+$I$305*$I$8+$J$305*$J$8+$K$305*$K$8+$L$305*$L$8+$M$305*$M$8+$N$305*$N$8+$O$305*$O$8+$P$305*$P$8</f>
        <v>0</v>
      </c>
      <c r="T305" s="12">
        <f>SUM($Q$305:$R$305)</f>
        <v>0</v>
      </c>
      <c r="U305" s="12">
        <f>$S$305+$T$305</f>
        <v>0</v>
      </c>
    </row>
    <row r="306" spans="1:21" x14ac:dyDescent="0.3">
      <c r="A306" s="13" t="s">
        <v>1133</v>
      </c>
      <c r="B306" s="14" t="s">
        <v>1134</v>
      </c>
      <c r="C306" s="14"/>
      <c r="D306" s="14" t="s">
        <v>1135</v>
      </c>
      <c r="E306" s="14">
        <f xml:space="preserve"> IF($U$306,1,0)</f>
        <v>0</v>
      </c>
      <c r="F306" s="14" t="s">
        <v>1136</v>
      </c>
      <c r="G306" s="14">
        <v>0</v>
      </c>
      <c r="H306" s="14">
        <v>0</v>
      </c>
      <c r="I306" s="14">
        <v>0</v>
      </c>
      <c r="J306" s="14">
        <v>0</v>
      </c>
      <c r="K306" s="14">
        <v>0</v>
      </c>
      <c r="L306" s="14">
        <v>0</v>
      </c>
      <c r="M306" s="14">
        <v>0</v>
      </c>
      <c r="N306" s="14">
        <v>0</v>
      </c>
      <c r="O306" s="14">
        <v>0</v>
      </c>
      <c r="P306" s="14">
        <v>0</v>
      </c>
      <c r="Q306" s="15">
        <v>0</v>
      </c>
      <c r="R306" s="15">
        <v>0</v>
      </c>
      <c r="S306" s="15">
        <f>$G$306*$G$8+$H$306*$H$8+$I$306*$I$8+$J$306*$J$8+$K$306*$K$8+$L$306*$L$8+$M$306*$M$8+$N$306*$N$8+$O$306*$O$8+$P$306*$P$8</f>
        <v>0</v>
      </c>
      <c r="T306" s="15">
        <f>SUM($Q$306:$R$306)</f>
        <v>0</v>
      </c>
      <c r="U306" s="15">
        <f>$S$306+$T$306</f>
        <v>0</v>
      </c>
    </row>
    <row r="307" spans="1:21" x14ac:dyDescent="0.3">
      <c r="A307" s="10" t="s">
        <v>1137</v>
      </c>
      <c r="B307" s="11" t="s">
        <v>1138</v>
      </c>
      <c r="C307" s="11"/>
      <c r="D307" s="11" t="s">
        <v>1139</v>
      </c>
      <c r="E307" s="11">
        <f xml:space="preserve"> IF($U$307,1,0)</f>
        <v>0</v>
      </c>
      <c r="F307" s="11" t="s">
        <v>1140</v>
      </c>
      <c r="G307" s="11">
        <v>0</v>
      </c>
      <c r="H307" s="11">
        <v>0</v>
      </c>
      <c r="I307" s="11">
        <v>0</v>
      </c>
      <c r="J307" s="11">
        <v>0</v>
      </c>
      <c r="K307" s="11">
        <v>0</v>
      </c>
      <c r="L307" s="11">
        <v>0</v>
      </c>
      <c r="M307" s="11">
        <v>0</v>
      </c>
      <c r="N307" s="11">
        <v>0</v>
      </c>
      <c r="O307" s="11">
        <v>0</v>
      </c>
      <c r="P307" s="11">
        <v>0</v>
      </c>
      <c r="Q307" s="12">
        <v>0</v>
      </c>
      <c r="R307" s="12">
        <v>0</v>
      </c>
      <c r="S307" s="12">
        <f>$G$307*$G$8+$H$307*$H$8+$I$307*$I$8+$J$307*$J$8+$K$307*$K$8+$L$307*$L$8+$M$307*$M$8+$N$307*$N$8+$O$307*$O$8+$P$307*$P$8</f>
        <v>0</v>
      </c>
      <c r="T307" s="12">
        <f>SUM($Q$307:$R$307)</f>
        <v>0</v>
      </c>
      <c r="U307" s="12">
        <f>$S$307+$T$307</f>
        <v>0</v>
      </c>
    </row>
    <row r="308" spans="1:21" x14ac:dyDescent="0.3">
      <c r="A308" s="13" t="s">
        <v>1141</v>
      </c>
      <c r="B308" s="14" t="s">
        <v>1142</v>
      </c>
      <c r="C308" s="14" t="s">
        <v>202</v>
      </c>
      <c r="D308" s="14" t="s">
        <v>442</v>
      </c>
      <c r="E308" s="14">
        <f xml:space="preserve"> IF($U$308,1,0)</f>
        <v>0</v>
      </c>
      <c r="F308" s="14" t="s">
        <v>1143</v>
      </c>
      <c r="G308" s="14">
        <v>0</v>
      </c>
      <c r="H308" s="14">
        <v>0</v>
      </c>
      <c r="I308" s="14">
        <v>0</v>
      </c>
      <c r="J308" s="14">
        <v>0</v>
      </c>
      <c r="K308" s="14">
        <v>0</v>
      </c>
      <c r="L308" s="14">
        <v>0</v>
      </c>
      <c r="M308" s="14">
        <v>0</v>
      </c>
      <c r="N308" s="14">
        <v>0</v>
      </c>
      <c r="O308" s="14">
        <v>0</v>
      </c>
      <c r="P308" s="14">
        <v>0</v>
      </c>
      <c r="Q308" s="15">
        <v>0</v>
      </c>
      <c r="R308" s="15">
        <v>0</v>
      </c>
      <c r="S308" s="15">
        <f>$G$308*$G$8+$H$308*$H$8+$I$308*$I$8+$J$308*$J$8+$K$308*$K$8+$L$308*$L$8+$M$308*$M$8+$N$308*$N$8+$O$308*$O$8+$P$308*$P$8</f>
        <v>0</v>
      </c>
      <c r="T308" s="15">
        <f>SUM($Q$308:$R$308)</f>
        <v>0</v>
      </c>
      <c r="U308" s="15">
        <f>$S$308+$T$308</f>
        <v>0</v>
      </c>
    </row>
    <row r="309" spans="1:21" x14ac:dyDescent="0.3">
      <c r="A309" s="10" t="s">
        <v>1144</v>
      </c>
      <c r="B309" s="11" t="s">
        <v>1142</v>
      </c>
      <c r="C309" s="11"/>
      <c r="D309" s="11" t="s">
        <v>1145</v>
      </c>
      <c r="E309" s="11">
        <f xml:space="preserve"> IF($U$309,1,0)</f>
        <v>1</v>
      </c>
      <c r="F309" s="11" t="s">
        <v>1146</v>
      </c>
      <c r="G309" s="11">
        <v>3</v>
      </c>
      <c r="H309" s="11">
        <v>0</v>
      </c>
      <c r="I309" s="11">
        <v>1</v>
      </c>
      <c r="J309" s="11">
        <v>0</v>
      </c>
      <c r="K309" s="11">
        <v>0</v>
      </c>
      <c r="L309" s="11">
        <v>0</v>
      </c>
      <c r="M309" s="11">
        <v>0</v>
      </c>
      <c r="N309" s="11">
        <v>0</v>
      </c>
      <c r="O309" s="11">
        <v>0</v>
      </c>
      <c r="P309" s="11">
        <v>0</v>
      </c>
      <c r="Q309" s="12">
        <v>0</v>
      </c>
      <c r="R309" s="12">
        <v>0</v>
      </c>
      <c r="S309" s="12">
        <f>$G$309*$G$8+$H$309*$H$8+$I$309*$I$8+$J$309*$J$8+$K$309*$K$8+$L$309*$L$8+$M$309*$M$8+$N$309*$N$8+$O$309*$O$8+$P$309*$P$8</f>
        <v>3.0999999999999996</v>
      </c>
      <c r="T309" s="12">
        <f>SUM($Q$309:$R$309)</f>
        <v>0</v>
      </c>
      <c r="U309" s="12">
        <f>$S$309+$T$309</f>
        <v>3.0999999999999996</v>
      </c>
    </row>
    <row r="310" spans="1:21" x14ac:dyDescent="0.3">
      <c r="A310" s="13" t="s">
        <v>1147</v>
      </c>
      <c r="B310" s="14" t="s">
        <v>1142</v>
      </c>
      <c r="C310" s="14"/>
      <c r="D310" s="14" t="s">
        <v>138</v>
      </c>
      <c r="E310" s="14">
        <f xml:space="preserve"> IF($U$310,1,0)</f>
        <v>0</v>
      </c>
      <c r="F310" s="14" t="s">
        <v>1148</v>
      </c>
      <c r="G310" s="14">
        <v>0</v>
      </c>
      <c r="H310" s="14">
        <v>0</v>
      </c>
      <c r="I310" s="14">
        <v>0</v>
      </c>
      <c r="J310" s="14">
        <v>0</v>
      </c>
      <c r="K310" s="14">
        <v>0</v>
      </c>
      <c r="L310" s="14">
        <v>0</v>
      </c>
      <c r="M310" s="14">
        <v>0</v>
      </c>
      <c r="N310" s="14">
        <v>0</v>
      </c>
      <c r="O310" s="14">
        <v>0</v>
      </c>
      <c r="P310" s="14">
        <v>0</v>
      </c>
      <c r="Q310" s="15">
        <v>0</v>
      </c>
      <c r="R310" s="15">
        <v>0</v>
      </c>
      <c r="S310" s="15">
        <f>$G$310*$G$8+$H$310*$H$8+$I$310*$I$8+$J$310*$J$8+$K$310*$K$8+$L$310*$L$8+$M$310*$M$8+$N$310*$N$8+$O$310*$O$8+$P$310*$P$8</f>
        <v>0</v>
      </c>
      <c r="T310" s="15">
        <f>SUM($Q$310:$R$310)</f>
        <v>0</v>
      </c>
      <c r="U310" s="15">
        <f>$S$310+$T$310</f>
        <v>0</v>
      </c>
    </row>
    <row r="311" spans="1:21" x14ac:dyDescent="0.3">
      <c r="A311" s="10" t="s">
        <v>1149</v>
      </c>
      <c r="B311" s="11" t="s">
        <v>1142</v>
      </c>
      <c r="C311" s="11"/>
      <c r="D311" s="11" t="s">
        <v>1150</v>
      </c>
      <c r="E311" s="11">
        <f xml:space="preserve"> IF($U$311,1,0)</f>
        <v>0</v>
      </c>
      <c r="F311" s="11" t="s">
        <v>1151</v>
      </c>
      <c r="G311" s="11">
        <v>0</v>
      </c>
      <c r="H311" s="11">
        <v>0</v>
      </c>
      <c r="I311" s="11">
        <v>0</v>
      </c>
      <c r="J311" s="11">
        <v>0</v>
      </c>
      <c r="K311" s="11">
        <v>0</v>
      </c>
      <c r="L311" s="11">
        <v>0</v>
      </c>
      <c r="M311" s="11">
        <v>0</v>
      </c>
      <c r="N311" s="11">
        <v>0</v>
      </c>
      <c r="O311" s="11">
        <v>0</v>
      </c>
      <c r="P311" s="11">
        <v>0</v>
      </c>
      <c r="Q311" s="12">
        <v>0</v>
      </c>
      <c r="R311" s="12">
        <v>0</v>
      </c>
      <c r="S311" s="12">
        <f>$G$311*$G$8+$H$311*$H$8+$I$311*$I$8+$J$311*$J$8+$K$311*$K$8+$L$311*$L$8+$M$311*$M$8+$N$311*$N$8+$O$311*$O$8+$P$311*$P$8</f>
        <v>0</v>
      </c>
      <c r="T311" s="12">
        <f>SUM($Q$311:$R$311)</f>
        <v>0</v>
      </c>
      <c r="U311" s="12">
        <f>$S$311+$T$311</f>
        <v>0</v>
      </c>
    </row>
    <row r="312" spans="1:21" x14ac:dyDescent="0.3">
      <c r="A312" s="13" t="s">
        <v>1152</v>
      </c>
      <c r="B312" s="14" t="s">
        <v>1142</v>
      </c>
      <c r="C312" s="14"/>
      <c r="D312" s="14" t="s">
        <v>1153</v>
      </c>
      <c r="E312" s="14">
        <f xml:space="preserve"> IF($U$312,1,0)</f>
        <v>0</v>
      </c>
      <c r="F312" s="14" t="s">
        <v>1154</v>
      </c>
      <c r="G312" s="14">
        <v>0</v>
      </c>
      <c r="H312" s="14">
        <v>0</v>
      </c>
      <c r="I312" s="14">
        <v>0</v>
      </c>
      <c r="J312" s="14">
        <v>0</v>
      </c>
      <c r="K312" s="14">
        <v>0</v>
      </c>
      <c r="L312" s="14">
        <v>0</v>
      </c>
      <c r="M312" s="14">
        <v>0</v>
      </c>
      <c r="N312" s="14">
        <v>0</v>
      </c>
      <c r="O312" s="14">
        <v>0</v>
      </c>
      <c r="P312" s="14">
        <v>0</v>
      </c>
      <c r="Q312" s="15">
        <v>0</v>
      </c>
      <c r="R312" s="15">
        <v>0</v>
      </c>
      <c r="S312" s="15">
        <f>$G$312*$G$8+$H$312*$H$8+$I$312*$I$8+$J$312*$J$8+$K$312*$K$8+$L$312*$L$8+$M$312*$M$8+$N$312*$N$8+$O$312*$O$8+$P$312*$P$8</f>
        <v>0</v>
      </c>
      <c r="T312" s="15">
        <f>SUM($Q$312:$R$312)</f>
        <v>0</v>
      </c>
      <c r="U312" s="15">
        <f>$S$312+$T$312</f>
        <v>0</v>
      </c>
    </row>
    <row r="313" spans="1:21" x14ac:dyDescent="0.3">
      <c r="A313" s="10" t="s">
        <v>1155</v>
      </c>
      <c r="B313" s="11" t="s">
        <v>1156</v>
      </c>
      <c r="C313" s="11"/>
      <c r="D313" s="11" t="s">
        <v>1157</v>
      </c>
      <c r="E313" s="11">
        <f xml:space="preserve"> IF($U$313,1,0)</f>
        <v>0</v>
      </c>
      <c r="F313" s="11" t="s">
        <v>1158</v>
      </c>
      <c r="G313" s="11">
        <v>0</v>
      </c>
      <c r="H313" s="11">
        <v>0</v>
      </c>
      <c r="I313" s="11">
        <v>0</v>
      </c>
      <c r="J313" s="11">
        <v>0</v>
      </c>
      <c r="K313" s="11">
        <v>0</v>
      </c>
      <c r="L313" s="11">
        <v>0</v>
      </c>
      <c r="M313" s="11">
        <v>0</v>
      </c>
      <c r="N313" s="11">
        <v>0</v>
      </c>
      <c r="O313" s="11">
        <v>0</v>
      </c>
      <c r="P313" s="11">
        <v>0</v>
      </c>
      <c r="Q313" s="12">
        <v>0</v>
      </c>
      <c r="R313" s="12">
        <v>0</v>
      </c>
      <c r="S313" s="12">
        <f>$G$313*$G$8+$H$313*$H$8+$I$313*$I$8+$J$313*$J$8+$K$313*$K$8+$L$313*$L$8+$M$313*$M$8+$N$313*$N$8+$O$313*$O$8+$P$313*$P$8</f>
        <v>0</v>
      </c>
      <c r="T313" s="12">
        <f>SUM($Q$313:$R$313)</f>
        <v>0</v>
      </c>
      <c r="U313" s="12">
        <f>$S$313+$T$313</f>
        <v>0</v>
      </c>
    </row>
    <row r="314" spans="1:21" x14ac:dyDescent="0.3">
      <c r="A314" s="13" t="s">
        <v>1159</v>
      </c>
      <c r="B314" s="14" t="s">
        <v>1160</v>
      </c>
      <c r="C314" s="14"/>
      <c r="D314" s="14" t="s">
        <v>1161</v>
      </c>
      <c r="E314" s="14">
        <f xml:space="preserve"> IF($U$314,1,0)</f>
        <v>0</v>
      </c>
      <c r="F314" s="14" t="s">
        <v>1162</v>
      </c>
      <c r="G314" s="14">
        <v>0</v>
      </c>
      <c r="H314" s="14">
        <v>0</v>
      </c>
      <c r="I314" s="14">
        <v>0</v>
      </c>
      <c r="J314" s="14">
        <v>0</v>
      </c>
      <c r="K314" s="14">
        <v>0</v>
      </c>
      <c r="L314" s="14">
        <v>0</v>
      </c>
      <c r="M314" s="14">
        <v>0</v>
      </c>
      <c r="N314" s="14">
        <v>0</v>
      </c>
      <c r="O314" s="14">
        <v>0</v>
      </c>
      <c r="P314" s="14">
        <v>0</v>
      </c>
      <c r="Q314" s="15">
        <v>0</v>
      </c>
      <c r="R314" s="15">
        <v>0</v>
      </c>
      <c r="S314" s="15">
        <f>$G$314*$G$8+$H$314*$H$8+$I$314*$I$8+$J$314*$J$8+$K$314*$K$8+$L$314*$L$8+$M$314*$M$8+$N$314*$N$8+$O$314*$O$8+$P$314*$P$8</f>
        <v>0</v>
      </c>
      <c r="T314" s="15">
        <f>SUM($Q$314:$R$314)</f>
        <v>0</v>
      </c>
      <c r="U314" s="15">
        <f>$S$314+$T$314</f>
        <v>0</v>
      </c>
    </row>
    <row r="315" spans="1:21" x14ac:dyDescent="0.3">
      <c r="A315" s="10" t="s">
        <v>1163</v>
      </c>
      <c r="B315" s="11" t="s">
        <v>1160</v>
      </c>
      <c r="C315" s="11"/>
      <c r="D315" s="11" t="s">
        <v>1164</v>
      </c>
      <c r="E315" s="11">
        <f xml:space="preserve"> IF($U$315,1,0)</f>
        <v>0</v>
      </c>
      <c r="F315" s="11" t="s">
        <v>1165</v>
      </c>
      <c r="G315" s="11">
        <v>0</v>
      </c>
      <c r="H315" s="11">
        <v>0</v>
      </c>
      <c r="I315" s="11">
        <v>0</v>
      </c>
      <c r="J315" s="11">
        <v>0</v>
      </c>
      <c r="K315" s="11">
        <v>0</v>
      </c>
      <c r="L315" s="11">
        <v>0</v>
      </c>
      <c r="M315" s="11">
        <v>0</v>
      </c>
      <c r="N315" s="11">
        <v>0</v>
      </c>
      <c r="O315" s="11">
        <v>0</v>
      </c>
      <c r="P315" s="11">
        <v>0</v>
      </c>
      <c r="Q315" s="12">
        <v>0</v>
      </c>
      <c r="R315" s="12">
        <v>0</v>
      </c>
      <c r="S315" s="12">
        <f>$G$315*$G$8+$H$315*$H$8+$I$315*$I$8+$J$315*$J$8+$K$315*$K$8+$L$315*$L$8+$M$315*$M$8+$N$315*$N$8+$O$315*$O$8+$P$315*$P$8</f>
        <v>0</v>
      </c>
      <c r="T315" s="12">
        <f>SUM($Q$315:$R$315)</f>
        <v>0</v>
      </c>
      <c r="U315" s="12">
        <f>$S$315+$T$315</f>
        <v>0</v>
      </c>
    </row>
    <row r="316" spans="1:21" x14ac:dyDescent="0.3">
      <c r="A316" s="13" t="s">
        <v>1166</v>
      </c>
      <c r="B316" s="14" t="s">
        <v>1160</v>
      </c>
      <c r="C316" s="14" t="s">
        <v>243</v>
      </c>
      <c r="D316" s="14" t="s">
        <v>1167</v>
      </c>
      <c r="E316" s="14">
        <f xml:space="preserve"> IF($U$316,1,0)</f>
        <v>1</v>
      </c>
      <c r="F316" s="14" t="s">
        <v>1168</v>
      </c>
      <c r="G316" s="14">
        <v>1</v>
      </c>
      <c r="H316" s="14">
        <v>1</v>
      </c>
      <c r="I316" s="14">
        <v>0</v>
      </c>
      <c r="J316" s="14">
        <v>0</v>
      </c>
      <c r="K316" s="14">
        <v>0</v>
      </c>
      <c r="L316" s="14">
        <v>1</v>
      </c>
      <c r="M316" s="14">
        <v>0</v>
      </c>
      <c r="N316" s="14">
        <v>0</v>
      </c>
      <c r="O316" s="14">
        <v>0</v>
      </c>
      <c r="P316" s="14">
        <v>0</v>
      </c>
      <c r="Q316" s="15">
        <v>0</v>
      </c>
      <c r="R316" s="15">
        <v>0</v>
      </c>
      <c r="S316" s="15">
        <f>$G$316*$G$8+$H$316*$H$8+$I$316*$I$8+$J$316*$J$8+$K$316*$K$8+$L$316*$L$8+$M$316*$M$8+$N$316*$N$8+$O$316*$O$8+$P$316*$P$8</f>
        <v>5.5</v>
      </c>
      <c r="T316" s="15">
        <f>SUM($Q$316:$R$316)</f>
        <v>0</v>
      </c>
      <c r="U316" s="15">
        <f>$S$316+$T$316</f>
        <v>5.5</v>
      </c>
    </row>
    <row r="317" spans="1:21" x14ac:dyDescent="0.3">
      <c r="A317" s="10" t="s">
        <v>1169</v>
      </c>
      <c r="B317" s="11" t="s">
        <v>1170</v>
      </c>
      <c r="C317" s="11"/>
      <c r="D317" s="11" t="s">
        <v>1171</v>
      </c>
      <c r="E317" s="11">
        <f xml:space="preserve"> IF($U$317,1,0)</f>
        <v>0</v>
      </c>
      <c r="F317" s="11" t="s">
        <v>1172</v>
      </c>
      <c r="G317" s="11">
        <v>0</v>
      </c>
      <c r="H317" s="11">
        <v>0</v>
      </c>
      <c r="I317" s="11">
        <v>0</v>
      </c>
      <c r="J317" s="11">
        <v>0</v>
      </c>
      <c r="K317" s="11">
        <v>0</v>
      </c>
      <c r="L317" s="11">
        <v>0</v>
      </c>
      <c r="M317" s="11">
        <v>0</v>
      </c>
      <c r="N317" s="11">
        <v>0</v>
      </c>
      <c r="O317" s="11">
        <v>0</v>
      </c>
      <c r="P317" s="11">
        <v>0</v>
      </c>
      <c r="Q317" s="12">
        <v>0</v>
      </c>
      <c r="R317" s="12">
        <v>0</v>
      </c>
      <c r="S317" s="12">
        <f>$G$317*$G$8+$H$317*$H$8+$I$317*$I$8+$J$317*$J$8+$K$317*$K$8+$L$317*$L$8+$M$317*$M$8+$N$317*$N$8+$O$317*$O$8+$P$317*$P$8</f>
        <v>0</v>
      </c>
      <c r="T317" s="12">
        <f>SUM($Q$317:$R$317)</f>
        <v>0</v>
      </c>
      <c r="U317" s="12">
        <f>$S$317+$T$317</f>
        <v>0</v>
      </c>
    </row>
    <row r="318" spans="1:21" x14ac:dyDescent="0.3">
      <c r="A318" s="13" t="s">
        <v>1173</v>
      </c>
      <c r="B318" s="14" t="s">
        <v>1174</v>
      </c>
      <c r="C318" s="14"/>
      <c r="D318" s="14" t="s">
        <v>1175</v>
      </c>
      <c r="E318" s="14">
        <f xml:space="preserve"> IF($U$318,1,0)</f>
        <v>0</v>
      </c>
      <c r="F318" s="14" t="s">
        <v>1176</v>
      </c>
      <c r="G318" s="14">
        <v>0</v>
      </c>
      <c r="H318" s="14">
        <v>0</v>
      </c>
      <c r="I318" s="14">
        <v>0</v>
      </c>
      <c r="J318" s="14">
        <v>0</v>
      </c>
      <c r="K318" s="14">
        <v>0</v>
      </c>
      <c r="L318" s="14">
        <v>0</v>
      </c>
      <c r="M318" s="14">
        <v>0</v>
      </c>
      <c r="N318" s="14">
        <v>0</v>
      </c>
      <c r="O318" s="14">
        <v>0</v>
      </c>
      <c r="P318" s="14">
        <v>0</v>
      </c>
      <c r="Q318" s="15">
        <v>0</v>
      </c>
      <c r="R318" s="15">
        <v>0</v>
      </c>
      <c r="S318" s="15">
        <f>$G$318*$G$8+$H$318*$H$8+$I$318*$I$8+$J$318*$J$8+$K$318*$K$8+$L$318*$L$8+$M$318*$M$8+$N$318*$N$8+$O$318*$O$8+$P$318*$P$8</f>
        <v>0</v>
      </c>
      <c r="T318" s="15">
        <f>SUM($Q$318:$R$318)</f>
        <v>0</v>
      </c>
      <c r="U318" s="15">
        <f>$S$318+$T$318</f>
        <v>0</v>
      </c>
    </row>
    <row r="319" spans="1:21" x14ac:dyDescent="0.3">
      <c r="A319" s="10" t="s">
        <v>1177</v>
      </c>
      <c r="B319" s="11" t="s">
        <v>1174</v>
      </c>
      <c r="C319" s="11" t="s">
        <v>65</v>
      </c>
      <c r="D319" s="11" t="s">
        <v>1178</v>
      </c>
      <c r="E319" s="11">
        <f xml:space="preserve"> IF($U$319,1,0)</f>
        <v>0</v>
      </c>
      <c r="F319" s="11" t="s">
        <v>1179</v>
      </c>
      <c r="G319" s="11">
        <v>0</v>
      </c>
      <c r="H319" s="11">
        <v>0</v>
      </c>
      <c r="I319" s="11">
        <v>0</v>
      </c>
      <c r="J319" s="11">
        <v>0</v>
      </c>
      <c r="K319" s="11">
        <v>0</v>
      </c>
      <c r="L319" s="11">
        <v>0</v>
      </c>
      <c r="M319" s="11">
        <v>0</v>
      </c>
      <c r="N319" s="11">
        <v>0</v>
      </c>
      <c r="O319" s="11">
        <v>0</v>
      </c>
      <c r="P319" s="11">
        <v>0</v>
      </c>
      <c r="Q319" s="12">
        <v>0</v>
      </c>
      <c r="R319" s="12">
        <v>0</v>
      </c>
      <c r="S319" s="12">
        <f>$G$319*$G$8+$H$319*$H$8+$I$319*$I$8+$J$319*$J$8+$K$319*$K$8+$L$319*$L$8+$M$319*$M$8+$N$319*$N$8+$O$319*$O$8+$P$319*$P$8</f>
        <v>0</v>
      </c>
      <c r="T319" s="12">
        <f>SUM($Q$319:$R$319)</f>
        <v>0</v>
      </c>
      <c r="U319" s="12">
        <f>$S$319+$T$319</f>
        <v>0</v>
      </c>
    </row>
    <row r="320" spans="1:21" x14ac:dyDescent="0.3">
      <c r="A320" s="13" t="s">
        <v>1180</v>
      </c>
      <c r="B320" s="14" t="s">
        <v>1181</v>
      </c>
      <c r="C320" s="14"/>
      <c r="D320" s="14" t="s">
        <v>1182</v>
      </c>
      <c r="E320" s="14">
        <f xml:space="preserve"> IF($U$320,1,0)</f>
        <v>0</v>
      </c>
      <c r="F320" s="14" t="s">
        <v>1183</v>
      </c>
      <c r="G320" s="14">
        <v>0</v>
      </c>
      <c r="H320" s="14">
        <v>0</v>
      </c>
      <c r="I320" s="14">
        <v>0</v>
      </c>
      <c r="J320" s="14">
        <v>0</v>
      </c>
      <c r="K320" s="14">
        <v>0</v>
      </c>
      <c r="L320" s="14">
        <v>0</v>
      </c>
      <c r="M320" s="14">
        <v>0</v>
      </c>
      <c r="N320" s="14">
        <v>0</v>
      </c>
      <c r="O320" s="14">
        <v>0</v>
      </c>
      <c r="P320" s="14">
        <v>0</v>
      </c>
      <c r="Q320" s="15">
        <v>0</v>
      </c>
      <c r="R320" s="15">
        <v>0</v>
      </c>
      <c r="S320" s="15">
        <f>$G$320*$G$8+$H$320*$H$8+$I$320*$I$8+$J$320*$J$8+$K$320*$K$8+$L$320*$L$8+$M$320*$M$8+$N$320*$N$8+$O$320*$O$8+$P$320*$P$8</f>
        <v>0</v>
      </c>
      <c r="T320" s="15">
        <f>SUM($Q$320:$R$320)</f>
        <v>0</v>
      </c>
      <c r="U320" s="15">
        <f>$S$320+$T$320</f>
        <v>0</v>
      </c>
    </row>
    <row r="321" spans="1:21" x14ac:dyDescent="0.3">
      <c r="A321" s="10" t="s">
        <v>1184</v>
      </c>
      <c r="B321" s="11" t="s">
        <v>1185</v>
      </c>
      <c r="C321" s="11" t="s">
        <v>65</v>
      </c>
      <c r="D321" s="11" t="s">
        <v>1186</v>
      </c>
      <c r="E321" s="11">
        <f xml:space="preserve"> IF($U$321,1,0)</f>
        <v>0</v>
      </c>
      <c r="F321" s="11" t="s">
        <v>1187</v>
      </c>
      <c r="G321" s="11">
        <v>0</v>
      </c>
      <c r="H321" s="11">
        <v>0</v>
      </c>
      <c r="I321" s="11">
        <v>0</v>
      </c>
      <c r="J321" s="11">
        <v>0</v>
      </c>
      <c r="K321" s="11">
        <v>0</v>
      </c>
      <c r="L321" s="11">
        <v>0</v>
      </c>
      <c r="M321" s="11">
        <v>0</v>
      </c>
      <c r="N321" s="11">
        <v>0</v>
      </c>
      <c r="O321" s="11">
        <v>0</v>
      </c>
      <c r="P321" s="11">
        <v>0</v>
      </c>
      <c r="Q321" s="12">
        <v>0</v>
      </c>
      <c r="R321" s="12">
        <v>0</v>
      </c>
      <c r="S321" s="12">
        <f>$G$321*$G$8+$H$321*$H$8+$I$321*$I$8+$J$321*$J$8+$K$321*$K$8+$L$321*$L$8+$M$321*$M$8+$N$321*$N$8+$O$321*$O$8+$P$321*$P$8</f>
        <v>0</v>
      </c>
      <c r="T321" s="12">
        <f>SUM($Q$321:$R$321)</f>
        <v>0</v>
      </c>
      <c r="U321" s="12">
        <f>$S$321+$T$321</f>
        <v>0</v>
      </c>
    </row>
    <row r="322" spans="1:21" x14ac:dyDescent="0.3">
      <c r="A322" s="13" t="s">
        <v>1188</v>
      </c>
      <c r="B322" s="14" t="s">
        <v>1189</v>
      </c>
      <c r="C322" s="14"/>
      <c r="D322" s="14" t="s">
        <v>1190</v>
      </c>
      <c r="E322" s="14">
        <f xml:space="preserve"> IF($U$322,1,0)</f>
        <v>0</v>
      </c>
      <c r="F322" s="14" t="s">
        <v>1191</v>
      </c>
      <c r="G322" s="14">
        <v>0</v>
      </c>
      <c r="H322" s="14">
        <v>0</v>
      </c>
      <c r="I322" s="14">
        <v>0</v>
      </c>
      <c r="J322" s="14">
        <v>0</v>
      </c>
      <c r="K322" s="14">
        <v>0</v>
      </c>
      <c r="L322" s="14">
        <v>0</v>
      </c>
      <c r="M322" s="14">
        <v>0</v>
      </c>
      <c r="N322" s="14">
        <v>0</v>
      </c>
      <c r="O322" s="14">
        <v>0</v>
      </c>
      <c r="P322" s="14">
        <v>0</v>
      </c>
      <c r="Q322" s="15">
        <v>0</v>
      </c>
      <c r="R322" s="15">
        <v>0</v>
      </c>
      <c r="S322" s="15">
        <f>$G$322*$G$8+$H$322*$H$8+$I$322*$I$8+$J$322*$J$8+$K$322*$K$8+$L$322*$L$8+$M$322*$M$8+$N$322*$N$8+$O$322*$O$8+$P$322*$P$8</f>
        <v>0</v>
      </c>
      <c r="T322" s="15">
        <f>SUM($Q$322:$R$322)</f>
        <v>0</v>
      </c>
      <c r="U322" s="15">
        <f>$S$322+$T$322</f>
        <v>0</v>
      </c>
    </row>
    <row r="323" spans="1:21" x14ac:dyDescent="0.3">
      <c r="A323" s="10" t="s">
        <v>1192</v>
      </c>
      <c r="B323" s="11" t="s">
        <v>1193</v>
      </c>
      <c r="C323" s="11"/>
      <c r="D323" s="11" t="s">
        <v>1194</v>
      </c>
      <c r="E323" s="11">
        <f xml:space="preserve"> IF($U$323,1,0)</f>
        <v>1</v>
      </c>
      <c r="F323" s="11" t="s">
        <v>1195</v>
      </c>
      <c r="G323" s="11">
        <v>7</v>
      </c>
      <c r="H323" s="11">
        <v>1</v>
      </c>
      <c r="I323" s="11">
        <v>0</v>
      </c>
      <c r="J323" s="11">
        <v>0</v>
      </c>
      <c r="K323" s="11">
        <v>0</v>
      </c>
      <c r="L323" s="11">
        <v>0</v>
      </c>
      <c r="M323" s="11">
        <v>0</v>
      </c>
      <c r="N323" s="11">
        <v>0</v>
      </c>
      <c r="O323" s="11">
        <v>0</v>
      </c>
      <c r="P323" s="11">
        <v>0</v>
      </c>
      <c r="Q323" s="12">
        <v>0</v>
      </c>
      <c r="R323" s="12">
        <v>0</v>
      </c>
      <c r="S323" s="12">
        <f>$G$323*$G$8+$H$323*$H$8+$I$323*$I$8+$J$323*$J$8+$K$323*$K$8+$L$323*$L$8+$M$323*$M$8+$N$323*$N$8+$O$323*$O$8+$P$323*$P$8</f>
        <v>6.6999999999999993</v>
      </c>
      <c r="T323" s="12">
        <f>SUM($Q$323:$R$323)</f>
        <v>0</v>
      </c>
      <c r="U323" s="12">
        <f>$S$323+$T$323</f>
        <v>6.6999999999999993</v>
      </c>
    </row>
    <row r="324" spans="1:21" x14ac:dyDescent="0.3">
      <c r="A324" s="13" t="s">
        <v>1196</v>
      </c>
      <c r="B324" s="14" t="s">
        <v>1197</v>
      </c>
      <c r="C324" s="14"/>
      <c r="D324" s="14" t="s">
        <v>1198</v>
      </c>
      <c r="E324" s="14">
        <f xml:space="preserve"> IF($U$324,1,0)</f>
        <v>0</v>
      </c>
      <c r="F324" s="14" t="s">
        <v>1199</v>
      </c>
      <c r="G324" s="14">
        <v>0</v>
      </c>
      <c r="H324" s="14">
        <v>0</v>
      </c>
      <c r="I324" s="14">
        <v>0</v>
      </c>
      <c r="J324" s="14">
        <v>0</v>
      </c>
      <c r="K324" s="14">
        <v>0</v>
      </c>
      <c r="L324" s="14">
        <v>0</v>
      </c>
      <c r="M324" s="14">
        <v>0</v>
      </c>
      <c r="N324" s="14">
        <v>0</v>
      </c>
      <c r="O324" s="14">
        <v>0</v>
      </c>
      <c r="P324" s="14">
        <v>0</v>
      </c>
      <c r="Q324" s="15">
        <v>0</v>
      </c>
      <c r="R324" s="15">
        <v>0</v>
      </c>
      <c r="S324" s="15">
        <f>$G$324*$G$8+$H$324*$H$8+$I$324*$I$8+$J$324*$J$8+$K$324*$K$8+$L$324*$L$8+$M$324*$M$8+$N$324*$N$8+$O$324*$O$8+$P$324*$P$8</f>
        <v>0</v>
      </c>
      <c r="T324" s="15">
        <f>SUM($Q$324:$R$324)</f>
        <v>0</v>
      </c>
      <c r="U324" s="15">
        <f>$S$324+$T$324</f>
        <v>0</v>
      </c>
    </row>
    <row r="325" spans="1:21" x14ac:dyDescent="0.3">
      <c r="A325" s="10" t="s">
        <v>1200</v>
      </c>
      <c r="B325" s="11" t="s">
        <v>1201</v>
      </c>
      <c r="C325" s="11"/>
      <c r="D325" s="11" t="s">
        <v>1202</v>
      </c>
      <c r="E325" s="11">
        <f xml:space="preserve"> IF($U$325,1,0)</f>
        <v>0</v>
      </c>
      <c r="F325" s="11" t="s">
        <v>1203</v>
      </c>
      <c r="G325" s="11">
        <v>0</v>
      </c>
      <c r="H325" s="11">
        <v>0</v>
      </c>
      <c r="I325" s="11">
        <v>0</v>
      </c>
      <c r="J325" s="11">
        <v>0</v>
      </c>
      <c r="K325" s="11">
        <v>0</v>
      </c>
      <c r="L325" s="11">
        <v>0</v>
      </c>
      <c r="M325" s="11">
        <v>0</v>
      </c>
      <c r="N325" s="11">
        <v>0</v>
      </c>
      <c r="O325" s="11">
        <v>0</v>
      </c>
      <c r="P325" s="11">
        <v>0</v>
      </c>
      <c r="Q325" s="12">
        <v>0</v>
      </c>
      <c r="R325" s="12">
        <v>0</v>
      </c>
      <c r="S325" s="12">
        <f>$G$325*$G$8+$H$325*$H$8+$I$325*$I$8+$J$325*$J$8+$K$325*$K$8+$L$325*$L$8+$M$325*$M$8+$N$325*$N$8+$O$325*$O$8+$P$325*$P$8</f>
        <v>0</v>
      </c>
      <c r="T325" s="12">
        <f>SUM($Q$325:$R$325)</f>
        <v>0</v>
      </c>
      <c r="U325" s="12">
        <f>$S$325+$T$325</f>
        <v>0</v>
      </c>
    </row>
    <row r="326" spans="1:21" x14ac:dyDescent="0.3">
      <c r="A326" s="13" t="s">
        <v>1204</v>
      </c>
      <c r="B326" s="14" t="s">
        <v>1205</v>
      </c>
      <c r="C326" s="14"/>
      <c r="D326" s="14" t="s">
        <v>1206</v>
      </c>
      <c r="E326" s="14">
        <f xml:space="preserve"> IF($U$326,1,0)</f>
        <v>0</v>
      </c>
      <c r="F326" s="14" t="s">
        <v>1207</v>
      </c>
      <c r="G326" s="14">
        <v>0</v>
      </c>
      <c r="H326" s="14">
        <v>0</v>
      </c>
      <c r="I326" s="14">
        <v>0</v>
      </c>
      <c r="J326" s="14">
        <v>0</v>
      </c>
      <c r="K326" s="14">
        <v>0</v>
      </c>
      <c r="L326" s="14">
        <v>0</v>
      </c>
      <c r="M326" s="14">
        <v>0</v>
      </c>
      <c r="N326" s="14">
        <v>0</v>
      </c>
      <c r="O326" s="14">
        <v>0</v>
      </c>
      <c r="P326" s="14">
        <v>0</v>
      </c>
      <c r="Q326" s="15">
        <v>0</v>
      </c>
      <c r="R326" s="15">
        <v>0</v>
      </c>
      <c r="S326" s="15">
        <f>$G$326*$G$8+$H$326*$H$8+$I$326*$I$8+$J$326*$J$8+$K$326*$K$8+$L$326*$L$8+$M$326*$M$8+$N$326*$N$8+$O$326*$O$8+$P$326*$P$8</f>
        <v>0</v>
      </c>
      <c r="T326" s="15">
        <f>SUM($Q$326:$R$326)</f>
        <v>0</v>
      </c>
      <c r="U326" s="15">
        <f>$S$326+$T$326</f>
        <v>0</v>
      </c>
    </row>
    <row r="327" spans="1:21" x14ac:dyDescent="0.3">
      <c r="A327" s="10" t="s">
        <v>1208</v>
      </c>
      <c r="B327" s="11" t="s">
        <v>1205</v>
      </c>
      <c r="C327" s="11"/>
      <c r="D327" s="11" t="s">
        <v>1209</v>
      </c>
      <c r="E327" s="11">
        <f xml:space="preserve"> IF($U$327,1,0)</f>
        <v>1</v>
      </c>
      <c r="F327" s="11" t="s">
        <v>1210</v>
      </c>
      <c r="G327" s="11">
        <v>3</v>
      </c>
      <c r="H327" s="11">
        <v>2</v>
      </c>
      <c r="I327" s="11">
        <v>0</v>
      </c>
      <c r="J327" s="11">
        <v>0</v>
      </c>
      <c r="K327" s="11">
        <v>0</v>
      </c>
      <c r="L327" s="11">
        <v>0</v>
      </c>
      <c r="M327" s="11">
        <v>0</v>
      </c>
      <c r="N327" s="11">
        <v>0</v>
      </c>
      <c r="O327" s="11">
        <v>0</v>
      </c>
      <c r="P327" s="11">
        <v>0</v>
      </c>
      <c r="Q327" s="12">
        <v>0</v>
      </c>
      <c r="R327" s="12">
        <v>0</v>
      </c>
      <c r="S327" s="12">
        <f>$G$327*$G$8+$H$327*$H$8+$I$327*$I$8+$J$327*$J$8+$K$327*$K$8+$L$327*$L$8+$M$327*$M$8+$N$327*$N$8+$O$327*$O$8+$P$327*$P$8</f>
        <v>5.6999999999999993</v>
      </c>
      <c r="T327" s="12">
        <f>SUM($Q$327:$R$327)</f>
        <v>0</v>
      </c>
      <c r="U327" s="12">
        <f>$S$327+$T$327</f>
        <v>5.6999999999999993</v>
      </c>
    </row>
    <row r="328" spans="1:21" x14ac:dyDescent="0.3">
      <c r="A328" s="13" t="s">
        <v>1211</v>
      </c>
      <c r="B328" s="14" t="s">
        <v>1212</v>
      </c>
      <c r="C328" s="14"/>
      <c r="D328" s="14" t="s">
        <v>670</v>
      </c>
      <c r="E328" s="14">
        <f xml:space="preserve"> IF($U$328,1,0)</f>
        <v>1</v>
      </c>
      <c r="F328" s="14" t="s">
        <v>1213</v>
      </c>
      <c r="G328" s="14">
        <v>2</v>
      </c>
      <c r="H328" s="14">
        <v>0</v>
      </c>
      <c r="I328" s="14">
        <v>0</v>
      </c>
      <c r="J328" s="14">
        <v>0</v>
      </c>
      <c r="K328" s="14">
        <v>0</v>
      </c>
      <c r="L328" s="14">
        <v>0</v>
      </c>
      <c r="M328" s="14">
        <v>0</v>
      </c>
      <c r="N328" s="14">
        <v>0</v>
      </c>
      <c r="O328" s="14">
        <v>0</v>
      </c>
      <c r="P328" s="14">
        <v>0</v>
      </c>
      <c r="Q328" s="15">
        <v>0</v>
      </c>
      <c r="R328" s="15">
        <v>0</v>
      </c>
      <c r="S328" s="15">
        <f>$G$328*$G$8+$H$328*$H$8+$I$328*$I$8+$J$328*$J$8+$K$328*$K$8+$L$328*$L$8+$M$328*$M$8+$N$328*$N$8+$O$328*$O$8+$P$328*$P$8</f>
        <v>1.4</v>
      </c>
      <c r="T328" s="15">
        <f>SUM($Q$328:$R$328)</f>
        <v>0</v>
      </c>
      <c r="U328" s="15">
        <f>$S$328+$T$328</f>
        <v>1.4</v>
      </c>
    </row>
    <row r="329" spans="1:21" x14ac:dyDescent="0.3">
      <c r="A329" s="10" t="s">
        <v>1214</v>
      </c>
      <c r="B329" s="11" t="s">
        <v>1215</v>
      </c>
      <c r="C329" s="11"/>
      <c r="D329" s="11" t="s">
        <v>1216</v>
      </c>
      <c r="E329" s="11">
        <f xml:space="preserve"> IF($U$329,1,0)</f>
        <v>1</v>
      </c>
      <c r="F329" s="11" t="s">
        <v>1217</v>
      </c>
      <c r="G329" s="11">
        <v>4</v>
      </c>
      <c r="H329" s="11">
        <v>0</v>
      </c>
      <c r="I329" s="11">
        <v>0</v>
      </c>
      <c r="J329" s="11">
        <v>0</v>
      </c>
      <c r="K329" s="11">
        <v>1</v>
      </c>
      <c r="L329" s="11">
        <v>0</v>
      </c>
      <c r="M329" s="11">
        <v>0</v>
      </c>
      <c r="N329" s="11">
        <v>0</v>
      </c>
      <c r="O329" s="11">
        <v>0</v>
      </c>
      <c r="P329" s="11">
        <v>0</v>
      </c>
      <c r="Q329" s="12">
        <v>0</v>
      </c>
      <c r="R329" s="12">
        <v>0</v>
      </c>
      <c r="S329" s="12">
        <f>$G$329*$G$8+$H$329*$H$8+$I$329*$I$8+$J$329*$J$8+$K$329*$K$8+$L$329*$L$8+$M$329*$M$8+$N$329*$N$8+$O$329*$O$8+$P$329*$P$8</f>
        <v>4.8</v>
      </c>
      <c r="T329" s="12">
        <f>SUM($Q$329:$R$329)</f>
        <v>0</v>
      </c>
      <c r="U329" s="12">
        <f>$S$329+$T$329</f>
        <v>4.8</v>
      </c>
    </row>
    <row r="330" spans="1:21" x14ac:dyDescent="0.3">
      <c r="A330" s="13" t="s">
        <v>1218</v>
      </c>
      <c r="B330" s="14" t="s">
        <v>1219</v>
      </c>
      <c r="C330" s="14" t="s">
        <v>202</v>
      </c>
      <c r="D330" s="14" t="s">
        <v>1068</v>
      </c>
      <c r="E330" s="14">
        <f xml:space="preserve"> IF($U$330,1,0)</f>
        <v>0</v>
      </c>
      <c r="F330" s="14" t="s">
        <v>1220</v>
      </c>
      <c r="G330" s="14">
        <v>0</v>
      </c>
      <c r="H330" s="14">
        <v>0</v>
      </c>
      <c r="I330" s="14">
        <v>0</v>
      </c>
      <c r="J330" s="14">
        <v>0</v>
      </c>
      <c r="K330" s="14">
        <v>0</v>
      </c>
      <c r="L330" s="14">
        <v>0</v>
      </c>
      <c r="M330" s="14">
        <v>0</v>
      </c>
      <c r="N330" s="14">
        <v>0</v>
      </c>
      <c r="O330" s="14">
        <v>0</v>
      </c>
      <c r="P330" s="14">
        <v>0</v>
      </c>
      <c r="Q330" s="15">
        <v>0</v>
      </c>
      <c r="R330" s="15">
        <v>0</v>
      </c>
      <c r="S330" s="15">
        <f>$G$330*$G$8+$H$330*$H$8+$I$330*$I$8+$J$330*$J$8+$K$330*$K$8+$L$330*$L$8+$M$330*$M$8+$N$330*$N$8+$O$330*$O$8+$P$330*$P$8</f>
        <v>0</v>
      </c>
      <c r="T330" s="15">
        <f>SUM($Q$330:$R$330)</f>
        <v>0</v>
      </c>
      <c r="U330" s="15">
        <f>$S$330+$T$330</f>
        <v>0</v>
      </c>
    </row>
    <row r="331" spans="1:21" x14ac:dyDescent="0.3">
      <c r="A331" s="10" t="s">
        <v>1221</v>
      </c>
      <c r="B331" s="11" t="s">
        <v>1222</v>
      </c>
      <c r="C331" s="11"/>
      <c r="D331" s="11" t="s">
        <v>1223</v>
      </c>
      <c r="E331" s="11">
        <f xml:space="preserve"> IF($U$331,1,0)</f>
        <v>0</v>
      </c>
      <c r="F331" s="11" t="s">
        <v>1224</v>
      </c>
      <c r="G331" s="11">
        <v>0</v>
      </c>
      <c r="H331" s="11">
        <v>0</v>
      </c>
      <c r="I331" s="11">
        <v>0</v>
      </c>
      <c r="J331" s="11">
        <v>0</v>
      </c>
      <c r="K331" s="11">
        <v>0</v>
      </c>
      <c r="L331" s="11">
        <v>0</v>
      </c>
      <c r="M331" s="11">
        <v>0</v>
      </c>
      <c r="N331" s="11">
        <v>0</v>
      </c>
      <c r="O331" s="11">
        <v>0</v>
      </c>
      <c r="P331" s="11">
        <v>0</v>
      </c>
      <c r="Q331" s="12">
        <v>0</v>
      </c>
      <c r="R331" s="12">
        <v>0</v>
      </c>
      <c r="S331" s="12">
        <f>$G$331*$G$8+$H$331*$H$8+$I$331*$I$8+$J$331*$J$8+$K$331*$K$8+$L$331*$L$8+$M$331*$M$8+$N$331*$N$8+$O$331*$O$8+$P$331*$P$8</f>
        <v>0</v>
      </c>
      <c r="T331" s="12">
        <f>SUM($Q$331:$R$331)</f>
        <v>0</v>
      </c>
      <c r="U331" s="12">
        <f>$S$331+$T$331</f>
        <v>0</v>
      </c>
    </row>
    <row r="332" spans="1:21" x14ac:dyDescent="0.3">
      <c r="A332" s="13" t="s">
        <v>1225</v>
      </c>
      <c r="B332" s="14" t="s">
        <v>1226</v>
      </c>
      <c r="C332" s="14" t="s">
        <v>34</v>
      </c>
      <c r="D332" s="14" t="s">
        <v>1227</v>
      </c>
      <c r="E332" s="14">
        <f xml:space="preserve"> IF($U$332,1,0)</f>
        <v>0</v>
      </c>
      <c r="F332" s="14" t="s">
        <v>1228</v>
      </c>
      <c r="G332" s="14">
        <v>0</v>
      </c>
      <c r="H332" s="14">
        <v>0</v>
      </c>
      <c r="I332" s="14">
        <v>0</v>
      </c>
      <c r="J332" s="14">
        <v>0</v>
      </c>
      <c r="K332" s="14">
        <v>0</v>
      </c>
      <c r="L332" s="14">
        <v>0</v>
      </c>
      <c r="M332" s="14">
        <v>0</v>
      </c>
      <c r="N332" s="14">
        <v>0</v>
      </c>
      <c r="O332" s="14">
        <v>0</v>
      </c>
      <c r="P332" s="14">
        <v>0</v>
      </c>
      <c r="Q332" s="15">
        <v>0</v>
      </c>
      <c r="R332" s="15">
        <v>0</v>
      </c>
      <c r="S332" s="15">
        <f>$G$332*$G$8+$H$332*$H$8+$I$332*$I$8+$J$332*$J$8+$K$332*$K$8+$L$332*$L$8+$M$332*$M$8+$N$332*$N$8+$O$332*$O$8+$P$332*$P$8</f>
        <v>0</v>
      </c>
      <c r="T332" s="15">
        <f>SUM($Q$332:$R$332)</f>
        <v>0</v>
      </c>
      <c r="U332" s="15">
        <f>$S$332+$T$332</f>
        <v>0</v>
      </c>
    </row>
    <row r="333" spans="1:21" x14ac:dyDescent="0.3">
      <c r="A333" s="10" t="s">
        <v>1229</v>
      </c>
      <c r="B333" s="11" t="s">
        <v>1230</v>
      </c>
      <c r="C333" s="11"/>
      <c r="D333" s="11" t="s">
        <v>1231</v>
      </c>
      <c r="E333" s="11">
        <f xml:space="preserve"> IF($U$333,1,0)</f>
        <v>1</v>
      </c>
      <c r="F333" s="11" t="s">
        <v>1232</v>
      </c>
      <c r="G333" s="11">
        <v>0</v>
      </c>
      <c r="H333" s="11">
        <v>0</v>
      </c>
      <c r="I333" s="11">
        <v>0</v>
      </c>
      <c r="J333" s="11">
        <v>0</v>
      </c>
      <c r="K333" s="11">
        <v>1</v>
      </c>
      <c r="L333" s="11">
        <v>0</v>
      </c>
      <c r="M333" s="11">
        <v>0</v>
      </c>
      <c r="N333" s="11">
        <v>0</v>
      </c>
      <c r="O333" s="11">
        <v>0</v>
      </c>
      <c r="P333" s="11">
        <v>0</v>
      </c>
      <c r="Q333" s="12">
        <v>0</v>
      </c>
      <c r="R333" s="12">
        <v>0</v>
      </c>
      <c r="S333" s="12">
        <f>$G$333*$G$8+$H$333*$H$8+$I$333*$I$8+$J$333*$J$8+$K$333*$K$8+$L$333*$L$8+$M$333*$M$8+$N$333*$N$8+$O$333*$O$8+$P$333*$P$8</f>
        <v>2</v>
      </c>
      <c r="T333" s="12">
        <f>SUM($Q$333:$R$333)</f>
        <v>0</v>
      </c>
      <c r="U333" s="12">
        <f>$S$333+$T$333</f>
        <v>2</v>
      </c>
    </row>
    <row r="334" spans="1:21" x14ac:dyDescent="0.3">
      <c r="A334" s="13" t="s">
        <v>1233</v>
      </c>
      <c r="B334" s="14" t="s">
        <v>1230</v>
      </c>
      <c r="C334" s="14"/>
      <c r="D334" s="14" t="s">
        <v>1234</v>
      </c>
      <c r="E334" s="14">
        <f xml:space="preserve"> IF($U$334,1,0)</f>
        <v>0</v>
      </c>
      <c r="F334" s="14" t="s">
        <v>1235</v>
      </c>
      <c r="G334" s="14">
        <v>0</v>
      </c>
      <c r="H334" s="14">
        <v>0</v>
      </c>
      <c r="I334" s="14">
        <v>0</v>
      </c>
      <c r="J334" s="14">
        <v>0</v>
      </c>
      <c r="K334" s="14">
        <v>0</v>
      </c>
      <c r="L334" s="14">
        <v>0</v>
      </c>
      <c r="M334" s="14">
        <v>0</v>
      </c>
      <c r="N334" s="14">
        <v>0</v>
      </c>
      <c r="O334" s="14">
        <v>0</v>
      </c>
      <c r="P334" s="14">
        <v>0</v>
      </c>
      <c r="Q334" s="15">
        <v>0</v>
      </c>
      <c r="R334" s="15">
        <v>0</v>
      </c>
      <c r="S334" s="15">
        <f>$G$334*$G$8+$H$334*$H$8+$I$334*$I$8+$J$334*$J$8+$K$334*$K$8+$L$334*$L$8+$M$334*$M$8+$N$334*$N$8+$O$334*$O$8+$P$334*$P$8</f>
        <v>0</v>
      </c>
      <c r="T334" s="15">
        <f>SUM($Q$334:$R$334)</f>
        <v>0</v>
      </c>
      <c r="U334" s="15">
        <f>$S$334+$T$334</f>
        <v>0</v>
      </c>
    </row>
    <row r="335" spans="1:21" x14ac:dyDescent="0.3">
      <c r="A335" s="10" t="s">
        <v>1236</v>
      </c>
      <c r="B335" s="11" t="s">
        <v>1237</v>
      </c>
      <c r="C335" s="11"/>
      <c r="D335" s="11" t="s">
        <v>1237</v>
      </c>
      <c r="E335" s="11">
        <f xml:space="preserve"> IF($U$335,1,0)</f>
        <v>0</v>
      </c>
      <c r="F335" s="11" t="s">
        <v>1238</v>
      </c>
      <c r="G335" s="11">
        <v>0</v>
      </c>
      <c r="H335" s="11">
        <v>0</v>
      </c>
      <c r="I335" s="11">
        <v>0</v>
      </c>
      <c r="J335" s="11">
        <v>0</v>
      </c>
      <c r="K335" s="11">
        <v>0</v>
      </c>
      <c r="L335" s="11">
        <v>0</v>
      </c>
      <c r="M335" s="11">
        <v>0</v>
      </c>
      <c r="N335" s="11">
        <v>0</v>
      </c>
      <c r="O335" s="11">
        <v>0</v>
      </c>
      <c r="P335" s="11">
        <v>0</v>
      </c>
      <c r="Q335" s="12">
        <v>0</v>
      </c>
      <c r="R335" s="12">
        <v>0</v>
      </c>
      <c r="S335" s="12">
        <f>$G$335*$G$8+$H$335*$H$8+$I$335*$I$8+$J$335*$J$8+$K$335*$K$8+$L$335*$L$8+$M$335*$M$8+$N$335*$N$8+$O$335*$O$8+$P$335*$P$8</f>
        <v>0</v>
      </c>
      <c r="T335" s="12">
        <f>SUM($Q$335:$R$335)</f>
        <v>0</v>
      </c>
      <c r="U335" s="12">
        <f>$S$335+$T$335</f>
        <v>0</v>
      </c>
    </row>
    <row r="337" spans="5:21" ht="15" thickBot="1" x14ac:dyDescent="0.35">
      <c r="E337" s="5" t="s">
        <v>18</v>
      </c>
      <c r="F337" s="6" t="s">
        <v>19</v>
      </c>
      <c r="G337" s="6" t="s">
        <v>4</v>
      </c>
      <c r="H337" s="6" t="s">
        <v>1245</v>
      </c>
      <c r="I337" s="6" t="s">
        <v>6</v>
      </c>
      <c r="J337" s="6" t="s">
        <v>7</v>
      </c>
      <c r="K337" s="6" t="s">
        <v>8</v>
      </c>
      <c r="L337" s="6" t="s">
        <v>9</v>
      </c>
      <c r="M337" s="6" t="s">
        <v>10</v>
      </c>
      <c r="N337" s="6" t="s">
        <v>11</v>
      </c>
      <c r="O337" s="6" t="s">
        <v>12</v>
      </c>
      <c r="P337" s="6" t="s">
        <v>13</v>
      </c>
      <c r="Q337" s="6" t="s">
        <v>1259</v>
      </c>
      <c r="R337" s="6" t="s">
        <v>1260</v>
      </c>
      <c r="S337" s="6" t="s">
        <v>23</v>
      </c>
      <c r="T337" s="6" t="s">
        <v>26</v>
      </c>
      <c r="U337" s="6" t="s">
        <v>25</v>
      </c>
    </row>
    <row r="338" spans="5:21" ht="15" thickTop="1" x14ac:dyDescent="0.3">
      <c r="E338" s="7">
        <f xml:space="preserve"> IF($U$338,1,0)</f>
        <v>1</v>
      </c>
      <c r="F338" s="8" t="s">
        <v>1247</v>
      </c>
      <c r="G338" s="8">
        <v>2</v>
      </c>
      <c r="H338" s="8">
        <v>2</v>
      </c>
      <c r="I338" s="8">
        <v>0</v>
      </c>
      <c r="J338" s="8">
        <v>0</v>
      </c>
      <c r="K338" s="8">
        <v>0</v>
      </c>
      <c r="L338" s="8">
        <v>0</v>
      </c>
      <c r="M338" s="8">
        <v>0</v>
      </c>
      <c r="N338" s="8">
        <v>0</v>
      </c>
      <c r="O338" s="8">
        <v>0</v>
      </c>
      <c r="P338" s="8">
        <v>0</v>
      </c>
      <c r="Q338" s="8"/>
      <c r="R338" s="8"/>
      <c r="S338" s="9">
        <f>$G$338*$G$8+$H$338*$H$8+$I$338*$I$8+$J$338*$J$8+$K$338*$K$8+$L$338*$L$8+$M$338*$M$8+$N$338*$N$8+$O$338*$O$8+$P$338*$P$8</f>
        <v>5</v>
      </c>
      <c r="T338" s="9">
        <f>$U$338/2</f>
        <v>2.5</v>
      </c>
      <c r="U338" s="9">
        <f>$G$338*$G$8+$H$338*$H$8+$I$338*$I$8+$J$338*$J$8+$K$338*$K$8+$L$338*$L$8+$M$338*$M$8+$N$338*$N$8+$O$338*$O$8+$P$338*$P$8</f>
        <v>5</v>
      </c>
    </row>
    <row r="339" spans="5:21" x14ac:dyDescent="0.3">
      <c r="E339" s="10">
        <f xml:space="preserve"> IF($U$339,1,0)</f>
        <v>1</v>
      </c>
      <c r="F339" s="11" t="s">
        <v>27</v>
      </c>
      <c r="G339" s="11">
        <v>1</v>
      </c>
      <c r="H339" s="11">
        <v>0</v>
      </c>
      <c r="I339" s="11">
        <v>0</v>
      </c>
      <c r="J339" s="11">
        <v>0</v>
      </c>
      <c r="K339" s="11">
        <v>0</v>
      </c>
      <c r="L339" s="11">
        <v>1</v>
      </c>
      <c r="M339" s="11">
        <v>0</v>
      </c>
      <c r="N339" s="11">
        <v>0</v>
      </c>
      <c r="O339" s="11">
        <v>0</v>
      </c>
      <c r="P339" s="11">
        <v>0</v>
      </c>
      <c r="Q339" s="11"/>
      <c r="R339" s="11"/>
      <c r="S339" s="12">
        <f>$G$339*$G$8+$H$339*$H$8+$I$339*$I$8+$J$339*$J$8+$K$339*$K$8+$L$339*$L$8+$M$339*$M$8+$N$339*$N$8+$O$339*$O$8+$P$339*$P$8</f>
        <v>3.7</v>
      </c>
      <c r="T339" s="12">
        <f>$U$339/2</f>
        <v>1.85</v>
      </c>
      <c r="U339" s="12">
        <f>$G$339*$G$8+$H$339*$H$8+$I$339*$I$8+$J$339*$J$8+$K$339*$K$8+$L$339*$L$8+$M$339*$M$8+$N$339*$N$8+$O$339*$O$8+$P$339*$P$8</f>
        <v>3.7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DC913-E52A-4996-83F1-E8B8938322BF}">
  <sheetPr codeName="Blad6"/>
  <dimension ref="A2:U339"/>
  <sheetViews>
    <sheetView topLeftCell="J1" workbookViewId="0">
      <selection activeCell="S8" sqref="S8"/>
    </sheetView>
  </sheetViews>
  <sheetFormatPr defaultRowHeight="14.4" x14ac:dyDescent="0.3"/>
  <cols>
    <col min="2" max="2" width="14.77734375" customWidth="1"/>
    <col min="3" max="3" width="18.77734375" customWidth="1"/>
    <col min="4" max="4" width="20.77734375" customWidth="1"/>
    <col min="5" max="5" width="14.77734375" customWidth="1"/>
    <col min="6" max="6" width="25.77734375" customWidth="1"/>
    <col min="8" max="8" width="11.109375" customWidth="1"/>
    <col min="11" max="14" width="11.44140625" customWidth="1"/>
    <col min="16" max="16" width="14.21875" customWidth="1"/>
    <col min="17" max="17" width="13.21875" customWidth="1"/>
    <col min="18" max="18" width="12.21875" customWidth="1"/>
    <col min="19" max="19" width="22.109375" customWidth="1"/>
    <col min="20" max="20" width="18.6640625" customWidth="1"/>
  </cols>
  <sheetData>
    <row r="2" spans="1:21" x14ac:dyDescent="0.3">
      <c r="A2" t="s">
        <v>1239</v>
      </c>
      <c r="F2" t="s">
        <v>20</v>
      </c>
      <c r="G2">
        <f>SUM($G$10:$G$335)+ SUM($G$338:$G$339)</f>
        <v>228</v>
      </c>
      <c r="H2">
        <f>SUM($H$10:$H$335)+ SUM($H$338:$H$339)</f>
        <v>56</v>
      </c>
      <c r="I2">
        <f>SUM($I$10:$I$335)+ SUM($I$338:$I$339)</f>
        <v>13</v>
      </c>
      <c r="J2">
        <f>SUM($J$10:$J$335)+ SUM($J$338:$J$339)</f>
        <v>1</v>
      </c>
      <c r="K2">
        <f>SUM($K$10:$K$335)+ SUM($K$338:$K$339)</f>
        <v>12</v>
      </c>
      <c r="L2">
        <f>SUM($L$10:$L$335)+ SUM($L$338:$L$339)</f>
        <v>18</v>
      </c>
      <c r="M2">
        <f>SUM($M$10:$M$335)+ SUM($M$338:$M$339)</f>
        <v>11</v>
      </c>
      <c r="N2">
        <f>SUM($N$10:$N$335)+ SUM($N$338:$N$339)</f>
        <v>2</v>
      </c>
      <c r="O2">
        <f>SUM($O$10:$O$335)+ SUM($O$338:$O$339)</f>
        <v>3</v>
      </c>
      <c r="P2">
        <f>SUM($P$10:$P$335)+ SUM($P$338:$P$339)</f>
        <v>19</v>
      </c>
    </row>
    <row r="3" spans="1:21" x14ac:dyDescent="0.3">
      <c r="A3">
        <f>SUM($E$10:$E$335)</f>
        <v>69</v>
      </c>
      <c r="F3" t="s">
        <v>21</v>
      </c>
      <c r="G3" s="3">
        <f>$G$8*G2</f>
        <v>159.6</v>
      </c>
      <c r="H3" s="3">
        <f>$H$8*H2</f>
        <v>100.8</v>
      </c>
      <c r="I3" s="3">
        <f>$I$8*I2</f>
        <v>13</v>
      </c>
      <c r="J3" s="3">
        <f>$J$8*J2</f>
        <v>4.75</v>
      </c>
      <c r="K3" s="3">
        <f>$K$8*K2</f>
        <v>24</v>
      </c>
      <c r="L3" s="3">
        <f>$L$8*L2</f>
        <v>54</v>
      </c>
      <c r="M3" s="3">
        <f>$M$8*M2</f>
        <v>44</v>
      </c>
      <c r="N3" s="3">
        <f>$N$8*N2</f>
        <v>10</v>
      </c>
      <c r="O3" s="3">
        <f>$O$8*O2</f>
        <v>1.5</v>
      </c>
      <c r="P3" s="3">
        <f>$P$8*P2</f>
        <v>19</v>
      </c>
    </row>
    <row r="8" spans="1:21" x14ac:dyDescent="0.3">
      <c r="F8" t="s">
        <v>22</v>
      </c>
      <c r="G8" s="4">
        <v>0.7</v>
      </c>
      <c r="H8" s="4">
        <v>1.8</v>
      </c>
      <c r="I8" s="4">
        <v>1</v>
      </c>
      <c r="J8" s="4">
        <v>4.75</v>
      </c>
      <c r="K8" s="4">
        <v>2</v>
      </c>
      <c r="L8" s="4">
        <v>3</v>
      </c>
      <c r="M8" s="4">
        <v>4</v>
      </c>
      <c r="N8" s="4">
        <v>5</v>
      </c>
      <c r="O8" s="4">
        <v>0.5</v>
      </c>
      <c r="P8" s="4">
        <v>1</v>
      </c>
    </row>
    <row r="9" spans="1:21" ht="15" thickBot="1" x14ac:dyDescent="0.35">
      <c r="A9" s="5" t="s">
        <v>14</v>
      </c>
      <c r="B9" s="6" t="s">
        <v>15</v>
      </c>
      <c r="C9" s="6" t="s">
        <v>16</v>
      </c>
      <c r="D9" s="6" t="s">
        <v>17</v>
      </c>
      <c r="E9" s="6" t="s">
        <v>18</v>
      </c>
      <c r="F9" s="6" t="s">
        <v>19</v>
      </c>
      <c r="G9" s="6" t="s">
        <v>4</v>
      </c>
      <c r="H9" s="6" t="s">
        <v>1245</v>
      </c>
      <c r="I9" s="6" t="s">
        <v>6</v>
      </c>
      <c r="J9" s="6" t="s">
        <v>7</v>
      </c>
      <c r="K9" s="6" t="s">
        <v>8</v>
      </c>
      <c r="L9" s="6" t="s">
        <v>9</v>
      </c>
      <c r="M9" s="6" t="s">
        <v>10</v>
      </c>
      <c r="N9" s="6" t="s">
        <v>11</v>
      </c>
      <c r="O9" s="6" t="s">
        <v>12</v>
      </c>
      <c r="P9" s="6" t="s">
        <v>13</v>
      </c>
      <c r="Q9" s="6" t="s">
        <v>1247</v>
      </c>
      <c r="R9" s="6" t="s">
        <v>27</v>
      </c>
      <c r="S9" s="6" t="s">
        <v>23</v>
      </c>
      <c r="T9" s="6" t="s">
        <v>24</v>
      </c>
      <c r="U9" s="6" t="s">
        <v>25</v>
      </c>
    </row>
    <row r="10" spans="1:21" ht="15" thickTop="1" x14ac:dyDescent="0.3">
      <c r="A10" s="7" t="s">
        <v>28</v>
      </c>
      <c r="B10" s="8" t="s">
        <v>29</v>
      </c>
      <c r="C10" s="8"/>
      <c r="D10" s="8" t="s">
        <v>30</v>
      </c>
      <c r="E10" s="8">
        <f xml:space="preserve"> IF($U$10,1,0)</f>
        <v>0</v>
      </c>
      <c r="F10" s="8" t="s">
        <v>31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9">
        <v>0</v>
      </c>
      <c r="R10" s="9">
        <v>0</v>
      </c>
      <c r="S10" s="9">
        <f>$G$10*$G$8+$H$10*$H$8+$I$10*$I$8+$J$10*$J$8+$K$10*$K$8+$L$10*$L$8+$M$10*$M$8+$N$10*$N$8+$O$10*$O$8+$P$10*$P$8</f>
        <v>0</v>
      </c>
      <c r="T10" s="9">
        <f>SUM($Q$10:$R$10)</f>
        <v>0</v>
      </c>
      <c r="U10" s="9">
        <f>$S$10+$T$10</f>
        <v>0</v>
      </c>
    </row>
    <row r="11" spans="1:21" x14ac:dyDescent="0.3">
      <c r="A11" s="10" t="s">
        <v>32</v>
      </c>
      <c r="B11" s="11" t="s">
        <v>33</v>
      </c>
      <c r="C11" s="11" t="s">
        <v>34</v>
      </c>
      <c r="D11" s="11" t="s">
        <v>35</v>
      </c>
      <c r="E11" s="11">
        <f xml:space="preserve"> IF($U$11,1,0)</f>
        <v>1</v>
      </c>
      <c r="F11" s="11" t="s">
        <v>36</v>
      </c>
      <c r="G11" s="11">
        <v>0</v>
      </c>
      <c r="H11" s="11">
        <v>0</v>
      </c>
      <c r="I11" s="11">
        <v>1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2">
        <v>0</v>
      </c>
      <c r="R11" s="12">
        <v>0</v>
      </c>
      <c r="S11" s="12">
        <f>$G$11*$G$8+$H$11*$H$8+$I$11*$I$8+$J$11*$J$8+$K$11*$K$8+$L$11*$L$8+$M$11*$M$8+$N$11*$N$8+$O$11*$O$8+$P$11*$P$8</f>
        <v>1</v>
      </c>
      <c r="T11" s="12">
        <f>SUM($Q$11:$R$11)</f>
        <v>0</v>
      </c>
      <c r="U11" s="12">
        <f>$S$11+$T$11</f>
        <v>1</v>
      </c>
    </row>
    <row r="12" spans="1:21" x14ac:dyDescent="0.3">
      <c r="A12" s="13" t="s">
        <v>37</v>
      </c>
      <c r="B12" s="14" t="s">
        <v>38</v>
      </c>
      <c r="C12" s="14"/>
      <c r="D12" s="14" t="s">
        <v>39</v>
      </c>
      <c r="E12" s="14">
        <f xml:space="preserve"> IF($U$12,1,0)</f>
        <v>0</v>
      </c>
      <c r="F12" s="14" t="s">
        <v>40</v>
      </c>
      <c r="G12" s="14">
        <v>0</v>
      </c>
      <c r="H12" s="14">
        <v>0</v>
      </c>
      <c r="I12" s="14">
        <v>0</v>
      </c>
      <c r="J12" s="14">
        <v>0</v>
      </c>
      <c r="K12" s="14">
        <v>0</v>
      </c>
      <c r="L12" s="14">
        <v>0</v>
      </c>
      <c r="M12" s="14">
        <v>0</v>
      </c>
      <c r="N12" s="14">
        <v>0</v>
      </c>
      <c r="O12" s="14">
        <v>0</v>
      </c>
      <c r="P12" s="14">
        <v>0</v>
      </c>
      <c r="Q12" s="15">
        <v>0</v>
      </c>
      <c r="R12" s="15">
        <v>0</v>
      </c>
      <c r="S12" s="15">
        <f>$G$12*$G$8+$H$12*$H$8+$I$12*$I$8+$J$12*$J$8+$K$12*$K$8+$L$12*$L$8+$M$12*$M$8+$N$12*$N$8+$O$12*$O$8+$P$12*$P$8</f>
        <v>0</v>
      </c>
      <c r="T12" s="15">
        <f>SUM($Q$12:$R$12)</f>
        <v>0</v>
      </c>
      <c r="U12" s="15">
        <f>$S$12+$T$12</f>
        <v>0</v>
      </c>
    </row>
    <row r="13" spans="1:21" x14ac:dyDescent="0.3">
      <c r="A13" s="10" t="s">
        <v>41</v>
      </c>
      <c r="B13" s="11" t="s">
        <v>38</v>
      </c>
      <c r="C13" s="11"/>
      <c r="D13" s="11" t="s">
        <v>42</v>
      </c>
      <c r="E13" s="11">
        <f xml:space="preserve"> IF($U$13,1,0)</f>
        <v>0</v>
      </c>
      <c r="F13" s="11" t="s">
        <v>43</v>
      </c>
      <c r="G13" s="11">
        <v>0</v>
      </c>
      <c r="H13" s="11">
        <v>0</v>
      </c>
      <c r="I13" s="11">
        <v>0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2">
        <v>0</v>
      </c>
      <c r="R13" s="12">
        <v>0</v>
      </c>
      <c r="S13" s="12">
        <f>$G$13*$G$8+$H$13*$H$8+$I$13*$I$8+$J$13*$J$8+$K$13*$K$8+$L$13*$L$8+$M$13*$M$8+$N$13*$N$8+$O$13*$O$8+$P$13*$P$8</f>
        <v>0</v>
      </c>
      <c r="T13" s="12">
        <f>SUM($Q$13:$R$13)</f>
        <v>0</v>
      </c>
      <c r="U13" s="12">
        <f>$S$13+$T$13</f>
        <v>0</v>
      </c>
    </row>
    <row r="14" spans="1:21" x14ac:dyDescent="0.3">
      <c r="A14" s="13" t="s">
        <v>44</v>
      </c>
      <c r="B14" s="14" t="s">
        <v>45</v>
      </c>
      <c r="C14" s="14"/>
      <c r="D14" s="14" t="s">
        <v>46</v>
      </c>
      <c r="E14" s="14">
        <f xml:space="preserve"> IF($U$14,1,0)</f>
        <v>0</v>
      </c>
      <c r="F14" s="14" t="s">
        <v>47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5">
        <v>0</v>
      </c>
      <c r="R14" s="15">
        <v>0</v>
      </c>
      <c r="S14" s="15">
        <f>$G$14*$G$8+$H$14*$H$8+$I$14*$I$8+$J$14*$J$8+$K$14*$K$8+$L$14*$L$8+$M$14*$M$8+$N$14*$N$8+$O$14*$O$8+$P$14*$P$8</f>
        <v>0</v>
      </c>
      <c r="T14" s="15">
        <f>SUM($Q$14:$R$14)</f>
        <v>0</v>
      </c>
      <c r="U14" s="15">
        <f>$S$14+$T$14</f>
        <v>0</v>
      </c>
    </row>
    <row r="15" spans="1:21" x14ac:dyDescent="0.3">
      <c r="A15" s="10" t="s">
        <v>48</v>
      </c>
      <c r="B15" s="11" t="s">
        <v>45</v>
      </c>
      <c r="C15" s="11"/>
      <c r="D15" s="11" t="s">
        <v>49</v>
      </c>
      <c r="E15" s="11">
        <f xml:space="preserve"> IF($U$15,1,0)</f>
        <v>0</v>
      </c>
      <c r="F15" s="11" t="s">
        <v>50</v>
      </c>
      <c r="G15" s="11">
        <v>0</v>
      </c>
      <c r="H15" s="11">
        <v>0</v>
      </c>
      <c r="I15" s="11">
        <v>0</v>
      </c>
      <c r="J15" s="11">
        <v>0</v>
      </c>
      <c r="K15" s="11">
        <v>0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2">
        <v>0</v>
      </c>
      <c r="R15" s="12">
        <v>0</v>
      </c>
      <c r="S15" s="12">
        <f>$G$15*$G$8+$H$15*$H$8+$I$15*$I$8+$J$15*$J$8+$K$15*$K$8+$L$15*$L$8+$M$15*$M$8+$N$15*$N$8+$O$15*$O$8+$P$15*$P$8</f>
        <v>0</v>
      </c>
      <c r="T15" s="12">
        <f>SUM($Q$15:$R$15)</f>
        <v>0</v>
      </c>
      <c r="U15" s="12">
        <f>$S$15+$T$15</f>
        <v>0</v>
      </c>
    </row>
    <row r="16" spans="1:21" x14ac:dyDescent="0.3">
      <c r="A16" s="13" t="s">
        <v>51</v>
      </c>
      <c r="B16" s="14" t="s">
        <v>52</v>
      </c>
      <c r="C16" s="14"/>
      <c r="D16" s="14" t="s">
        <v>53</v>
      </c>
      <c r="E16" s="14">
        <f xml:space="preserve"> IF($U$16,1,0)</f>
        <v>1</v>
      </c>
      <c r="F16" s="14" t="s">
        <v>54</v>
      </c>
      <c r="G16" s="14">
        <v>5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4">
        <v>0</v>
      </c>
      <c r="O16" s="14">
        <v>0</v>
      </c>
      <c r="P16" s="14">
        <v>0</v>
      </c>
      <c r="Q16" s="15">
        <v>0</v>
      </c>
      <c r="R16" s="15">
        <v>0</v>
      </c>
      <c r="S16" s="15">
        <f>$G$16*$G$8+$H$16*$H$8+$I$16*$I$8+$J$16*$J$8+$K$16*$K$8+$L$16*$L$8+$M$16*$M$8+$N$16*$N$8+$O$16*$O$8+$P$16*$P$8</f>
        <v>3.5</v>
      </c>
      <c r="T16" s="15">
        <f>SUM($Q$16:$R$16)</f>
        <v>0</v>
      </c>
      <c r="U16" s="15">
        <f>$S$16+$T$16</f>
        <v>3.5</v>
      </c>
    </row>
    <row r="17" spans="1:21" x14ac:dyDescent="0.3">
      <c r="A17" s="10" t="s">
        <v>55</v>
      </c>
      <c r="B17" s="11" t="s">
        <v>56</v>
      </c>
      <c r="C17" s="11"/>
      <c r="D17" s="11" t="s">
        <v>57</v>
      </c>
      <c r="E17" s="11">
        <f xml:space="preserve"> IF($U$17,1,0)</f>
        <v>0</v>
      </c>
      <c r="F17" s="11" t="s">
        <v>58</v>
      </c>
      <c r="G17" s="11">
        <v>0</v>
      </c>
      <c r="H17" s="11">
        <v>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2">
        <v>0</v>
      </c>
      <c r="R17" s="12">
        <v>0</v>
      </c>
      <c r="S17" s="12">
        <f>$G$17*$G$8+$H$17*$H$8+$I$17*$I$8+$J$17*$J$8+$K$17*$K$8+$L$17*$L$8+$M$17*$M$8+$N$17*$N$8+$O$17*$O$8+$P$17*$P$8</f>
        <v>0</v>
      </c>
      <c r="T17" s="12">
        <f>SUM($Q$17:$R$17)</f>
        <v>0</v>
      </c>
      <c r="U17" s="12">
        <f>$S$17+$T$17</f>
        <v>0</v>
      </c>
    </row>
    <row r="18" spans="1:21" x14ac:dyDescent="0.3">
      <c r="A18" s="13" t="s">
        <v>59</v>
      </c>
      <c r="B18" s="14" t="s">
        <v>60</v>
      </c>
      <c r="C18" s="14"/>
      <c r="D18" s="14" t="s">
        <v>61</v>
      </c>
      <c r="E18" s="14">
        <f xml:space="preserve"> IF($U$18,1,0)</f>
        <v>0</v>
      </c>
      <c r="F18" s="14" t="s">
        <v>62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5">
        <v>0</v>
      </c>
      <c r="R18" s="15">
        <v>0</v>
      </c>
      <c r="S18" s="15">
        <f>$G$18*$G$8+$H$18*$H$8+$I$18*$I$8+$J$18*$J$8+$K$18*$K$8+$L$18*$L$8+$M$18*$M$8+$N$18*$N$8+$O$18*$O$8+$P$18*$P$8</f>
        <v>0</v>
      </c>
      <c r="T18" s="15">
        <f>SUM($Q$18:$R$18)</f>
        <v>0</v>
      </c>
      <c r="U18" s="15">
        <f>$S$18+$T$18</f>
        <v>0</v>
      </c>
    </row>
    <row r="19" spans="1:21" x14ac:dyDescent="0.3">
      <c r="A19" s="10" t="s">
        <v>63</v>
      </c>
      <c r="B19" s="11" t="s">
        <v>64</v>
      </c>
      <c r="C19" s="11" t="s">
        <v>65</v>
      </c>
      <c r="D19" s="11" t="s">
        <v>66</v>
      </c>
      <c r="E19" s="11">
        <f xml:space="preserve"> IF($U$19,1,0)</f>
        <v>0</v>
      </c>
      <c r="F19" s="11" t="s">
        <v>67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2">
        <v>0</v>
      </c>
      <c r="R19" s="12">
        <v>0</v>
      </c>
      <c r="S19" s="12">
        <f>$G$19*$G$8+$H$19*$H$8+$I$19*$I$8+$J$19*$J$8+$K$19*$K$8+$L$19*$L$8+$M$19*$M$8+$N$19*$N$8+$O$19*$O$8+$P$19*$P$8</f>
        <v>0</v>
      </c>
      <c r="T19" s="12">
        <f>SUM($Q$19:$R$19)</f>
        <v>0</v>
      </c>
      <c r="U19" s="12">
        <f>$S$19+$T$19</f>
        <v>0</v>
      </c>
    </row>
    <row r="20" spans="1:21" x14ac:dyDescent="0.3">
      <c r="A20" s="13" t="s">
        <v>68</v>
      </c>
      <c r="B20" s="14" t="s">
        <v>69</v>
      </c>
      <c r="C20" s="14"/>
      <c r="D20" s="14" t="s">
        <v>70</v>
      </c>
      <c r="E20" s="14">
        <f xml:space="preserve"> IF($U$20,1,0)</f>
        <v>0</v>
      </c>
      <c r="F20" s="14" t="s">
        <v>71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4">
        <v>0</v>
      </c>
      <c r="N20" s="14">
        <v>0</v>
      </c>
      <c r="O20" s="14">
        <v>0</v>
      </c>
      <c r="P20" s="14">
        <v>0</v>
      </c>
      <c r="Q20" s="15">
        <v>0</v>
      </c>
      <c r="R20" s="15">
        <v>0</v>
      </c>
      <c r="S20" s="15">
        <f>$G$20*$G$8+$H$20*$H$8+$I$20*$I$8+$J$20*$J$8+$K$20*$K$8+$L$20*$L$8+$M$20*$M$8+$N$20*$N$8+$O$20*$O$8+$P$20*$P$8</f>
        <v>0</v>
      </c>
      <c r="T20" s="15">
        <f>SUM($Q$20:$R$20)</f>
        <v>0</v>
      </c>
      <c r="U20" s="15">
        <f>$S$20+$T$20</f>
        <v>0</v>
      </c>
    </row>
    <row r="21" spans="1:21" x14ac:dyDescent="0.3">
      <c r="A21" s="10" t="s">
        <v>72</v>
      </c>
      <c r="B21" s="11" t="s">
        <v>73</v>
      </c>
      <c r="C21" s="11"/>
      <c r="D21" s="11" t="s">
        <v>74</v>
      </c>
      <c r="E21" s="11">
        <f xml:space="preserve"> IF($U$21,1,0)</f>
        <v>1</v>
      </c>
      <c r="F21" s="11" t="s">
        <v>75</v>
      </c>
      <c r="G21" s="11">
        <v>2</v>
      </c>
      <c r="H21" s="11">
        <v>0</v>
      </c>
      <c r="I21" s="11">
        <v>2</v>
      </c>
      <c r="J21" s="11">
        <v>0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2">
        <v>0</v>
      </c>
      <c r="R21" s="12">
        <v>0</v>
      </c>
      <c r="S21" s="12">
        <f>$G$21*$G$8+$H$21*$H$8+$I$21*$I$8+$J$21*$J$8+$K$21*$K$8+$L$21*$L$8+$M$21*$M$8+$N$21*$N$8+$O$21*$O$8+$P$21*$P$8</f>
        <v>3.4</v>
      </c>
      <c r="T21" s="12">
        <f>SUM($Q$21:$R$21)</f>
        <v>0</v>
      </c>
      <c r="U21" s="12">
        <f>$S$21+$T$21</f>
        <v>3.4</v>
      </c>
    </row>
    <row r="22" spans="1:21" x14ac:dyDescent="0.3">
      <c r="A22" s="13" t="s">
        <v>76</v>
      </c>
      <c r="B22" s="14" t="s">
        <v>77</v>
      </c>
      <c r="C22" s="14"/>
      <c r="D22" s="14" t="s">
        <v>78</v>
      </c>
      <c r="E22" s="14">
        <f xml:space="preserve"> IF($U$22,1,0)</f>
        <v>1</v>
      </c>
      <c r="F22" s="14" t="s">
        <v>79</v>
      </c>
      <c r="G22" s="14">
        <v>5</v>
      </c>
      <c r="H22" s="14">
        <v>0</v>
      </c>
      <c r="I22" s="14">
        <v>0</v>
      </c>
      <c r="J22" s="14">
        <v>0</v>
      </c>
      <c r="K22" s="14">
        <v>0</v>
      </c>
      <c r="L22" s="14">
        <v>0</v>
      </c>
      <c r="M22" s="14">
        <v>0</v>
      </c>
      <c r="N22" s="14">
        <v>0</v>
      </c>
      <c r="O22" s="14">
        <v>0</v>
      </c>
      <c r="P22" s="14">
        <v>2</v>
      </c>
      <c r="Q22" s="15">
        <v>0</v>
      </c>
      <c r="R22" s="15">
        <v>0</v>
      </c>
      <c r="S22" s="15">
        <f>$G$22*$G$8+$H$22*$H$8+$I$22*$I$8+$J$22*$J$8+$K$22*$K$8+$L$22*$L$8+$M$22*$M$8+$N$22*$N$8+$O$22*$O$8+$P$22*$P$8</f>
        <v>5.5</v>
      </c>
      <c r="T22" s="15">
        <f>SUM($Q$22:$R$22)</f>
        <v>0</v>
      </c>
      <c r="U22" s="15">
        <f>$S$22+$T$22</f>
        <v>5.5</v>
      </c>
    </row>
    <row r="23" spans="1:21" x14ac:dyDescent="0.3">
      <c r="A23" s="10" t="s">
        <v>80</v>
      </c>
      <c r="B23" s="11" t="s">
        <v>77</v>
      </c>
      <c r="C23" s="11" t="s">
        <v>65</v>
      </c>
      <c r="D23" s="11" t="s">
        <v>81</v>
      </c>
      <c r="E23" s="11">
        <f xml:space="preserve"> IF($U$23,1,0)</f>
        <v>0</v>
      </c>
      <c r="F23" s="11" t="s">
        <v>82</v>
      </c>
      <c r="G23" s="11">
        <v>0</v>
      </c>
      <c r="H23" s="11">
        <v>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2">
        <v>0</v>
      </c>
      <c r="R23" s="12">
        <v>0</v>
      </c>
      <c r="S23" s="12">
        <f>$G$23*$G$8+$H$23*$H$8+$I$23*$I$8+$J$23*$J$8+$K$23*$K$8+$L$23*$L$8+$M$23*$M$8+$N$23*$N$8+$O$23*$O$8+$P$23*$P$8</f>
        <v>0</v>
      </c>
      <c r="T23" s="12">
        <f>SUM($Q$23:$R$23)</f>
        <v>0</v>
      </c>
      <c r="U23" s="12">
        <f>$S$23+$T$23</f>
        <v>0</v>
      </c>
    </row>
    <row r="24" spans="1:21" x14ac:dyDescent="0.3">
      <c r="A24" s="13" t="s">
        <v>83</v>
      </c>
      <c r="B24" s="14" t="s">
        <v>84</v>
      </c>
      <c r="C24" s="14"/>
      <c r="D24" s="14" t="s">
        <v>81</v>
      </c>
      <c r="E24" s="14">
        <f xml:space="preserve"> IF($U$24,1,0)</f>
        <v>0</v>
      </c>
      <c r="F24" s="14" t="s">
        <v>85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5">
        <v>0</v>
      </c>
      <c r="R24" s="15">
        <v>0</v>
      </c>
      <c r="S24" s="15">
        <f>$G$24*$G$8+$H$24*$H$8+$I$24*$I$8+$J$24*$J$8+$K$24*$K$8+$L$24*$L$8+$M$24*$M$8+$N$24*$N$8+$O$24*$O$8+$P$24*$P$8</f>
        <v>0</v>
      </c>
      <c r="T24" s="15">
        <f>SUM($Q$24:$R$24)</f>
        <v>0</v>
      </c>
      <c r="U24" s="15">
        <f>$S$24+$T$24</f>
        <v>0</v>
      </c>
    </row>
    <row r="25" spans="1:21" x14ac:dyDescent="0.3">
      <c r="A25" s="10" t="s">
        <v>86</v>
      </c>
      <c r="B25" s="11" t="s">
        <v>87</v>
      </c>
      <c r="C25" s="11"/>
      <c r="D25" s="11" t="s">
        <v>88</v>
      </c>
      <c r="E25" s="11">
        <f xml:space="preserve"> IF($U$25,1,0)</f>
        <v>0</v>
      </c>
      <c r="F25" s="11" t="s">
        <v>89</v>
      </c>
      <c r="G25" s="11">
        <v>0</v>
      </c>
      <c r="H25" s="11">
        <v>0</v>
      </c>
      <c r="I25" s="11">
        <v>0</v>
      </c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2">
        <v>0</v>
      </c>
      <c r="R25" s="12">
        <v>0</v>
      </c>
      <c r="S25" s="12">
        <f>$G$25*$G$8+$H$25*$H$8+$I$25*$I$8+$J$25*$J$8+$K$25*$K$8+$L$25*$L$8+$M$25*$M$8+$N$25*$N$8+$O$25*$O$8+$P$25*$P$8</f>
        <v>0</v>
      </c>
      <c r="T25" s="12">
        <f>SUM($Q$25:$R$25)</f>
        <v>0</v>
      </c>
      <c r="U25" s="12">
        <f>$S$25+$T$25</f>
        <v>0</v>
      </c>
    </row>
    <row r="26" spans="1:21" x14ac:dyDescent="0.3">
      <c r="A26" s="13" t="s">
        <v>90</v>
      </c>
      <c r="B26" s="14" t="s">
        <v>91</v>
      </c>
      <c r="C26" s="14"/>
      <c r="D26" s="14" t="s">
        <v>92</v>
      </c>
      <c r="E26" s="14">
        <f xml:space="preserve"> IF($U$26,1,0)</f>
        <v>0</v>
      </c>
      <c r="F26" s="14" t="s">
        <v>93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5">
        <v>0</v>
      </c>
      <c r="R26" s="15">
        <v>0</v>
      </c>
      <c r="S26" s="15">
        <f>$G$26*$G$8+$H$26*$H$8+$I$26*$I$8+$J$26*$J$8+$K$26*$K$8+$L$26*$L$8+$M$26*$M$8+$N$26*$N$8+$O$26*$O$8+$P$26*$P$8</f>
        <v>0</v>
      </c>
      <c r="T26" s="15">
        <f>SUM($Q$26:$R$26)</f>
        <v>0</v>
      </c>
      <c r="U26" s="15">
        <f>$S$26+$T$26</f>
        <v>0</v>
      </c>
    </row>
    <row r="27" spans="1:21" x14ac:dyDescent="0.3">
      <c r="A27" s="10" t="s">
        <v>94</v>
      </c>
      <c r="B27" s="11" t="s">
        <v>95</v>
      </c>
      <c r="C27" s="11"/>
      <c r="D27" s="11" t="s">
        <v>96</v>
      </c>
      <c r="E27" s="11">
        <f xml:space="preserve"> IF($U$27,1,0)</f>
        <v>0</v>
      </c>
      <c r="F27" s="11" t="s">
        <v>97</v>
      </c>
      <c r="G27" s="11">
        <v>0</v>
      </c>
      <c r="H27" s="11">
        <v>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2">
        <v>0</v>
      </c>
      <c r="R27" s="12">
        <v>0</v>
      </c>
      <c r="S27" s="12">
        <f>$G$27*$G$8+$H$27*$H$8+$I$27*$I$8+$J$27*$J$8+$K$27*$K$8+$L$27*$L$8+$M$27*$M$8+$N$27*$N$8+$O$27*$O$8+$P$27*$P$8</f>
        <v>0</v>
      </c>
      <c r="T27" s="12">
        <f>SUM($Q$27:$R$27)</f>
        <v>0</v>
      </c>
      <c r="U27" s="12">
        <f>$S$27+$T$27</f>
        <v>0</v>
      </c>
    </row>
    <row r="28" spans="1:21" x14ac:dyDescent="0.3">
      <c r="A28" s="13" t="s">
        <v>98</v>
      </c>
      <c r="B28" s="14" t="s">
        <v>99</v>
      </c>
      <c r="C28" s="14"/>
      <c r="D28" s="14" t="s">
        <v>100</v>
      </c>
      <c r="E28" s="14">
        <f xml:space="preserve"> IF($U$28,1,0)</f>
        <v>0</v>
      </c>
      <c r="F28" s="14" t="s">
        <v>101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5">
        <v>0</v>
      </c>
      <c r="R28" s="15">
        <v>0</v>
      </c>
      <c r="S28" s="15">
        <f>$G$28*$G$8+$H$28*$H$8+$I$28*$I$8+$J$28*$J$8+$K$28*$K$8+$L$28*$L$8+$M$28*$M$8+$N$28*$N$8+$O$28*$O$8+$P$28*$P$8</f>
        <v>0</v>
      </c>
      <c r="T28" s="15">
        <f>SUM($Q$28:$R$28)</f>
        <v>0</v>
      </c>
      <c r="U28" s="15">
        <f>$S$28+$T$28</f>
        <v>0</v>
      </c>
    </row>
    <row r="29" spans="1:21" x14ac:dyDescent="0.3">
      <c r="A29" s="10" t="s">
        <v>102</v>
      </c>
      <c r="B29" s="11" t="s">
        <v>103</v>
      </c>
      <c r="C29" s="11"/>
      <c r="D29" s="11" t="s">
        <v>104</v>
      </c>
      <c r="E29" s="11">
        <f xml:space="preserve"> IF($U$29,1,0)</f>
        <v>1</v>
      </c>
      <c r="F29" s="11" t="s">
        <v>105</v>
      </c>
      <c r="G29" s="11">
        <v>3</v>
      </c>
      <c r="H29" s="11">
        <v>0</v>
      </c>
      <c r="I29" s="11">
        <v>0</v>
      </c>
      <c r="J29" s="11">
        <v>0</v>
      </c>
      <c r="K29" s="11">
        <v>0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2">
        <v>0</v>
      </c>
      <c r="R29" s="12">
        <v>0</v>
      </c>
      <c r="S29" s="12">
        <f>$G$29*$G$8+$H$29*$H$8+$I$29*$I$8+$J$29*$J$8+$K$29*$K$8+$L$29*$L$8+$M$29*$M$8+$N$29*$N$8+$O$29*$O$8+$P$29*$P$8</f>
        <v>2.0999999999999996</v>
      </c>
      <c r="T29" s="12">
        <f>SUM($Q$29:$R$29)</f>
        <v>0</v>
      </c>
      <c r="U29" s="12">
        <f>$S$29+$T$29</f>
        <v>2.0999999999999996</v>
      </c>
    </row>
    <row r="30" spans="1:21" x14ac:dyDescent="0.3">
      <c r="A30" s="13" t="s">
        <v>106</v>
      </c>
      <c r="B30" s="14" t="s">
        <v>103</v>
      </c>
      <c r="C30" s="14"/>
      <c r="D30" s="14" t="s">
        <v>107</v>
      </c>
      <c r="E30" s="14">
        <f xml:space="preserve"> IF($U$30,1,0)</f>
        <v>0</v>
      </c>
      <c r="F30" s="14" t="s">
        <v>108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5">
        <v>0</v>
      </c>
      <c r="R30" s="15">
        <v>0</v>
      </c>
      <c r="S30" s="15">
        <f>$G$30*$G$8+$H$30*$H$8+$I$30*$I$8+$J$30*$J$8+$K$30*$K$8+$L$30*$L$8+$M$30*$M$8+$N$30*$N$8+$O$30*$O$8+$P$30*$P$8</f>
        <v>0</v>
      </c>
      <c r="T30" s="15">
        <f>SUM($Q$30:$R$30)</f>
        <v>0</v>
      </c>
      <c r="U30" s="15">
        <f>$S$30+$T$30</f>
        <v>0</v>
      </c>
    </row>
    <row r="31" spans="1:21" x14ac:dyDescent="0.3">
      <c r="A31" s="10" t="s">
        <v>109</v>
      </c>
      <c r="B31" s="11" t="s">
        <v>103</v>
      </c>
      <c r="C31" s="11"/>
      <c r="D31" s="11" t="s">
        <v>110</v>
      </c>
      <c r="E31" s="11">
        <f xml:space="preserve"> IF($U$31,1,0)</f>
        <v>0</v>
      </c>
      <c r="F31" s="11" t="s">
        <v>111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2">
        <v>0</v>
      </c>
      <c r="R31" s="12">
        <v>0</v>
      </c>
      <c r="S31" s="12">
        <f>$G$31*$G$8+$H$31*$H$8+$I$31*$I$8+$J$31*$J$8+$K$31*$K$8+$L$31*$L$8+$M$31*$M$8+$N$31*$N$8+$O$31*$O$8+$P$31*$P$8</f>
        <v>0</v>
      </c>
      <c r="T31" s="12">
        <f>SUM($Q$31:$R$31)</f>
        <v>0</v>
      </c>
      <c r="U31" s="12">
        <f>$S$31+$T$31</f>
        <v>0</v>
      </c>
    </row>
    <row r="32" spans="1:21" x14ac:dyDescent="0.3">
      <c r="A32" s="13" t="s">
        <v>112</v>
      </c>
      <c r="B32" s="14" t="s">
        <v>113</v>
      </c>
      <c r="C32" s="14"/>
      <c r="D32" s="14" t="s">
        <v>114</v>
      </c>
      <c r="E32" s="14">
        <f xml:space="preserve"> IF($U$32,1,0)</f>
        <v>0</v>
      </c>
      <c r="F32" s="14" t="s">
        <v>115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5">
        <v>0</v>
      </c>
      <c r="R32" s="15">
        <v>0</v>
      </c>
      <c r="S32" s="15">
        <f>$G$32*$G$8+$H$32*$H$8+$I$32*$I$8+$J$32*$J$8+$K$32*$K$8+$L$32*$L$8+$M$32*$M$8+$N$32*$N$8+$O$32*$O$8+$P$32*$P$8</f>
        <v>0</v>
      </c>
      <c r="T32" s="15">
        <f>SUM($Q$32:$R$32)</f>
        <v>0</v>
      </c>
      <c r="U32" s="15">
        <f>$S$32+$T$32</f>
        <v>0</v>
      </c>
    </row>
    <row r="33" spans="1:21" x14ac:dyDescent="0.3">
      <c r="A33" s="10" t="s">
        <v>116</v>
      </c>
      <c r="B33" s="11" t="s">
        <v>117</v>
      </c>
      <c r="C33" s="11" t="s">
        <v>34</v>
      </c>
      <c r="D33" s="11" t="s">
        <v>118</v>
      </c>
      <c r="E33" s="11">
        <f xml:space="preserve"> IF($U$33,1,0)</f>
        <v>1</v>
      </c>
      <c r="F33" s="11" t="s">
        <v>119</v>
      </c>
      <c r="G33" s="11">
        <v>2</v>
      </c>
      <c r="H33" s="11">
        <v>0</v>
      </c>
      <c r="I33" s="11">
        <v>0</v>
      </c>
      <c r="J33" s="11">
        <v>0</v>
      </c>
      <c r="K33" s="11">
        <v>0</v>
      </c>
      <c r="L33" s="11">
        <v>0</v>
      </c>
      <c r="M33" s="11">
        <v>0</v>
      </c>
      <c r="N33" s="11">
        <v>0</v>
      </c>
      <c r="O33" s="11">
        <v>0</v>
      </c>
      <c r="P33" s="11">
        <v>0</v>
      </c>
      <c r="Q33" s="12">
        <v>0</v>
      </c>
      <c r="R33" s="12">
        <v>0</v>
      </c>
      <c r="S33" s="12">
        <f>$G$33*$G$8+$H$33*$H$8+$I$33*$I$8+$J$33*$J$8+$K$33*$K$8+$L$33*$L$8+$M$33*$M$8+$N$33*$N$8+$O$33*$O$8+$P$33*$P$8</f>
        <v>1.4</v>
      </c>
      <c r="T33" s="12">
        <f>SUM($Q$33:$R$33)</f>
        <v>0</v>
      </c>
      <c r="U33" s="12">
        <f>$S$33+$T$33</f>
        <v>1.4</v>
      </c>
    </row>
    <row r="34" spans="1:21" x14ac:dyDescent="0.3">
      <c r="A34" s="13" t="s">
        <v>120</v>
      </c>
      <c r="B34" s="14" t="s">
        <v>121</v>
      </c>
      <c r="C34" s="14"/>
      <c r="D34" s="14" t="s">
        <v>122</v>
      </c>
      <c r="E34" s="14">
        <f xml:space="preserve"> IF($U$34,1,0)</f>
        <v>0</v>
      </c>
      <c r="F34" s="14" t="s">
        <v>123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5">
        <v>0</v>
      </c>
      <c r="R34" s="15">
        <v>0</v>
      </c>
      <c r="S34" s="15">
        <f>$G$34*$G$8+$H$34*$H$8+$I$34*$I$8+$J$34*$J$8+$K$34*$K$8+$L$34*$L$8+$M$34*$M$8+$N$34*$N$8+$O$34*$O$8+$P$34*$P$8</f>
        <v>0</v>
      </c>
      <c r="T34" s="15">
        <f>SUM($Q$34:$R$34)</f>
        <v>0</v>
      </c>
      <c r="U34" s="15">
        <f>$S$34+$T$34</f>
        <v>0</v>
      </c>
    </row>
    <row r="35" spans="1:21" x14ac:dyDescent="0.3">
      <c r="A35" s="10" t="s">
        <v>124</v>
      </c>
      <c r="B35" s="11" t="s">
        <v>125</v>
      </c>
      <c r="C35" s="11"/>
      <c r="D35" s="11" t="s">
        <v>126</v>
      </c>
      <c r="E35" s="11">
        <f xml:space="preserve"> IF($U$35,1,0)</f>
        <v>0</v>
      </c>
      <c r="F35" s="11" t="s">
        <v>127</v>
      </c>
      <c r="G35" s="11">
        <v>0</v>
      </c>
      <c r="H35" s="11">
        <v>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0</v>
      </c>
      <c r="Q35" s="12">
        <v>0</v>
      </c>
      <c r="R35" s="12">
        <v>0</v>
      </c>
      <c r="S35" s="12">
        <f>$G$35*$G$8+$H$35*$H$8+$I$35*$I$8+$J$35*$J$8+$K$35*$K$8+$L$35*$L$8+$M$35*$M$8+$N$35*$N$8+$O$35*$O$8+$P$35*$P$8</f>
        <v>0</v>
      </c>
      <c r="T35" s="12">
        <f>SUM($Q$35:$R$35)</f>
        <v>0</v>
      </c>
      <c r="U35" s="12">
        <f>$S$35+$T$35</f>
        <v>0</v>
      </c>
    </row>
    <row r="36" spans="1:21" x14ac:dyDescent="0.3">
      <c r="A36" s="13" t="s">
        <v>128</v>
      </c>
      <c r="B36" s="14" t="s">
        <v>129</v>
      </c>
      <c r="C36" s="14" t="s">
        <v>34</v>
      </c>
      <c r="D36" s="14" t="s">
        <v>130</v>
      </c>
      <c r="E36" s="14">
        <f xml:space="preserve"> IF($U$36,1,0)</f>
        <v>0</v>
      </c>
      <c r="F36" s="14" t="s">
        <v>131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5">
        <v>0</v>
      </c>
      <c r="R36" s="15">
        <v>0</v>
      </c>
      <c r="S36" s="15">
        <f>$G$36*$G$8+$H$36*$H$8+$I$36*$I$8+$J$36*$J$8+$K$36*$K$8+$L$36*$L$8+$M$36*$M$8+$N$36*$N$8+$O$36*$O$8+$P$36*$P$8</f>
        <v>0</v>
      </c>
      <c r="T36" s="15">
        <f>SUM($Q$36:$R$36)</f>
        <v>0</v>
      </c>
      <c r="U36" s="15">
        <f>$S$36+$T$36</f>
        <v>0</v>
      </c>
    </row>
    <row r="37" spans="1:21" x14ac:dyDescent="0.3">
      <c r="A37" s="10" t="s">
        <v>132</v>
      </c>
      <c r="B37" s="11" t="s">
        <v>133</v>
      </c>
      <c r="C37" s="11"/>
      <c r="D37" s="11" t="s">
        <v>134</v>
      </c>
      <c r="E37" s="11">
        <f xml:space="preserve"> IF($U$37,1,0)</f>
        <v>0</v>
      </c>
      <c r="F37" s="11" t="s">
        <v>135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2">
        <v>0</v>
      </c>
      <c r="R37" s="12">
        <v>0</v>
      </c>
      <c r="S37" s="12">
        <f>$G$37*$G$8+$H$37*$H$8+$I$37*$I$8+$J$37*$J$8+$K$37*$K$8+$L$37*$L$8+$M$37*$M$8+$N$37*$N$8+$O$37*$O$8+$P$37*$P$8</f>
        <v>0</v>
      </c>
      <c r="T37" s="12">
        <f>SUM($Q$37:$R$37)</f>
        <v>0</v>
      </c>
      <c r="U37" s="12">
        <f>$S$37+$T$37</f>
        <v>0</v>
      </c>
    </row>
    <row r="38" spans="1:21" x14ac:dyDescent="0.3">
      <c r="A38" s="13" t="s">
        <v>136</v>
      </c>
      <c r="B38" s="14" t="s">
        <v>137</v>
      </c>
      <c r="C38" s="14"/>
      <c r="D38" s="14" t="s">
        <v>138</v>
      </c>
      <c r="E38" s="14">
        <f xml:space="preserve"> IF($U$38,1,0)</f>
        <v>0</v>
      </c>
      <c r="F38" s="14" t="s">
        <v>139</v>
      </c>
      <c r="G38" s="14">
        <v>0</v>
      </c>
      <c r="H38" s="14">
        <v>0</v>
      </c>
      <c r="I38" s="14">
        <v>0</v>
      </c>
      <c r="J38" s="14">
        <v>0</v>
      </c>
      <c r="K38" s="14">
        <v>0</v>
      </c>
      <c r="L38" s="14">
        <v>0</v>
      </c>
      <c r="M38" s="14">
        <v>0</v>
      </c>
      <c r="N38" s="14">
        <v>0</v>
      </c>
      <c r="O38" s="14">
        <v>0</v>
      </c>
      <c r="P38" s="14">
        <v>0</v>
      </c>
      <c r="Q38" s="15">
        <v>0</v>
      </c>
      <c r="R38" s="15">
        <v>0</v>
      </c>
      <c r="S38" s="15">
        <f>$G$38*$G$8+$H$38*$H$8+$I$38*$I$8+$J$38*$J$8+$K$38*$K$8+$L$38*$L$8+$M$38*$M$8+$N$38*$N$8+$O$38*$O$8+$P$38*$P$8</f>
        <v>0</v>
      </c>
      <c r="T38" s="15">
        <f>SUM($Q$38:$R$38)</f>
        <v>0</v>
      </c>
      <c r="U38" s="15">
        <f>$S$38+$T$38</f>
        <v>0</v>
      </c>
    </row>
    <row r="39" spans="1:21" x14ac:dyDescent="0.3">
      <c r="A39" s="10" t="s">
        <v>140</v>
      </c>
      <c r="B39" s="11" t="s">
        <v>141</v>
      </c>
      <c r="C39" s="11"/>
      <c r="D39" s="11" t="s">
        <v>142</v>
      </c>
      <c r="E39" s="11">
        <f xml:space="preserve"> IF($U$39,1,0)</f>
        <v>0</v>
      </c>
      <c r="F39" s="11" t="s">
        <v>143</v>
      </c>
      <c r="G39" s="11">
        <v>0</v>
      </c>
      <c r="H39" s="11">
        <v>0</v>
      </c>
      <c r="I39" s="11">
        <v>0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2">
        <v>0</v>
      </c>
      <c r="R39" s="12">
        <v>0</v>
      </c>
      <c r="S39" s="12">
        <f>$G$39*$G$8+$H$39*$H$8+$I$39*$I$8+$J$39*$J$8+$K$39*$K$8+$L$39*$L$8+$M$39*$M$8+$N$39*$N$8+$O$39*$O$8+$P$39*$P$8</f>
        <v>0</v>
      </c>
      <c r="T39" s="12">
        <f>SUM($Q$39:$R$39)</f>
        <v>0</v>
      </c>
      <c r="U39" s="12">
        <f>$S$39+$T$39</f>
        <v>0</v>
      </c>
    </row>
    <row r="40" spans="1:21" x14ac:dyDescent="0.3">
      <c r="A40" s="13" t="s">
        <v>144</v>
      </c>
      <c r="B40" s="14" t="s">
        <v>145</v>
      </c>
      <c r="C40" s="14"/>
      <c r="D40" s="14" t="s">
        <v>146</v>
      </c>
      <c r="E40" s="14">
        <f xml:space="preserve"> IF($U$40,1,0)</f>
        <v>0</v>
      </c>
      <c r="F40" s="14" t="s">
        <v>147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5">
        <v>0</v>
      </c>
      <c r="R40" s="15">
        <v>0</v>
      </c>
      <c r="S40" s="15">
        <f>$G$40*$G$8+$H$40*$H$8+$I$40*$I$8+$J$40*$J$8+$K$40*$K$8+$L$40*$L$8+$M$40*$M$8+$N$40*$N$8+$O$40*$O$8+$P$40*$P$8</f>
        <v>0</v>
      </c>
      <c r="T40" s="15">
        <f>SUM($Q$40:$R$40)</f>
        <v>0</v>
      </c>
      <c r="U40" s="15">
        <f>$S$40+$T$40</f>
        <v>0</v>
      </c>
    </row>
    <row r="41" spans="1:21" x14ac:dyDescent="0.3">
      <c r="A41" s="10" t="s">
        <v>148</v>
      </c>
      <c r="B41" s="11" t="s">
        <v>149</v>
      </c>
      <c r="C41" s="11"/>
      <c r="D41" s="11" t="s">
        <v>150</v>
      </c>
      <c r="E41" s="11">
        <f xml:space="preserve"> IF($U$41,1,0)</f>
        <v>0</v>
      </c>
      <c r="F41" s="11" t="s">
        <v>151</v>
      </c>
      <c r="G41" s="11">
        <v>0</v>
      </c>
      <c r="H41" s="11">
        <v>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2">
        <v>0</v>
      </c>
      <c r="R41" s="12">
        <v>0</v>
      </c>
      <c r="S41" s="12">
        <f>$G$41*$G$8+$H$41*$H$8+$I$41*$I$8+$J$41*$J$8+$K$41*$K$8+$L$41*$L$8+$M$41*$M$8+$N$41*$N$8+$O$41*$O$8+$P$41*$P$8</f>
        <v>0</v>
      </c>
      <c r="T41" s="12">
        <f>SUM($Q$41:$R$41)</f>
        <v>0</v>
      </c>
      <c r="U41" s="12">
        <f>$S$41+$T$41</f>
        <v>0</v>
      </c>
    </row>
    <row r="42" spans="1:21" x14ac:dyDescent="0.3">
      <c r="A42" s="13" t="s">
        <v>152</v>
      </c>
      <c r="B42" s="14" t="s">
        <v>153</v>
      </c>
      <c r="C42" s="14"/>
      <c r="D42" s="14" t="s">
        <v>154</v>
      </c>
      <c r="E42" s="14">
        <f xml:space="preserve"> IF($U$42,1,0)</f>
        <v>1</v>
      </c>
      <c r="F42" s="14" t="s">
        <v>155</v>
      </c>
      <c r="G42" s="14">
        <v>2</v>
      </c>
      <c r="H42" s="14">
        <v>2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2</v>
      </c>
      <c r="Q42" s="15">
        <v>0</v>
      </c>
      <c r="R42" s="15">
        <v>0</v>
      </c>
      <c r="S42" s="15">
        <f>$G$42*$G$8+$H$42*$H$8+$I$42*$I$8+$J$42*$J$8+$K$42*$K$8+$L$42*$L$8+$M$42*$M$8+$N$42*$N$8+$O$42*$O$8+$P$42*$P$8</f>
        <v>7</v>
      </c>
      <c r="T42" s="15">
        <f>SUM($Q$42:$R$42)</f>
        <v>0</v>
      </c>
      <c r="U42" s="15">
        <f>$S$42+$T$42</f>
        <v>7</v>
      </c>
    </row>
    <row r="43" spans="1:21" x14ac:dyDescent="0.3">
      <c r="A43" s="10" t="s">
        <v>156</v>
      </c>
      <c r="B43" s="11" t="s">
        <v>157</v>
      </c>
      <c r="C43" s="11" t="s">
        <v>65</v>
      </c>
      <c r="D43" s="11" t="s">
        <v>158</v>
      </c>
      <c r="E43" s="11">
        <f xml:space="preserve"> IF($U$43,1,0)</f>
        <v>0</v>
      </c>
      <c r="F43" s="11" t="s">
        <v>159</v>
      </c>
      <c r="G43" s="11">
        <v>0</v>
      </c>
      <c r="H43" s="11">
        <v>0</v>
      </c>
      <c r="I43" s="11">
        <v>0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2">
        <v>0</v>
      </c>
      <c r="R43" s="12">
        <v>0</v>
      </c>
      <c r="S43" s="12">
        <f>$G$43*$G$8+$H$43*$H$8+$I$43*$I$8+$J$43*$J$8+$K$43*$K$8+$L$43*$L$8+$M$43*$M$8+$N$43*$N$8+$O$43*$O$8+$P$43*$P$8</f>
        <v>0</v>
      </c>
      <c r="T43" s="12">
        <f>SUM($Q$43:$R$43)</f>
        <v>0</v>
      </c>
      <c r="U43" s="12">
        <f>$S$43+$T$43</f>
        <v>0</v>
      </c>
    </row>
    <row r="44" spans="1:21" x14ac:dyDescent="0.3">
      <c r="A44" s="13" t="s">
        <v>160</v>
      </c>
      <c r="B44" s="14" t="s">
        <v>161</v>
      </c>
      <c r="C44" s="14"/>
      <c r="D44" s="14" t="s">
        <v>162</v>
      </c>
      <c r="E44" s="14">
        <f xml:space="preserve"> IF($U$44,1,0)</f>
        <v>0</v>
      </c>
      <c r="F44" s="14" t="s">
        <v>163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14">
        <v>0</v>
      </c>
      <c r="P44" s="14">
        <v>0</v>
      </c>
      <c r="Q44" s="15">
        <v>0</v>
      </c>
      <c r="R44" s="15">
        <v>0</v>
      </c>
      <c r="S44" s="15">
        <f>$G$44*$G$8+$H$44*$H$8+$I$44*$I$8+$J$44*$J$8+$K$44*$K$8+$L$44*$L$8+$M$44*$M$8+$N$44*$N$8+$O$44*$O$8+$P$44*$P$8</f>
        <v>0</v>
      </c>
      <c r="T44" s="15">
        <f>SUM($Q$44:$R$44)</f>
        <v>0</v>
      </c>
      <c r="U44" s="15">
        <f>$S$44+$T$44</f>
        <v>0</v>
      </c>
    </row>
    <row r="45" spans="1:21" x14ac:dyDescent="0.3">
      <c r="A45" s="10" t="s">
        <v>164</v>
      </c>
      <c r="B45" s="11" t="s">
        <v>165</v>
      </c>
      <c r="C45" s="11"/>
      <c r="D45" s="11" t="s">
        <v>166</v>
      </c>
      <c r="E45" s="11">
        <f xml:space="preserve"> IF($U$45,1,0)</f>
        <v>0</v>
      </c>
      <c r="F45" s="11" t="s">
        <v>167</v>
      </c>
      <c r="G45" s="11">
        <v>0</v>
      </c>
      <c r="H45" s="11">
        <v>0</v>
      </c>
      <c r="I45" s="11">
        <v>0</v>
      </c>
      <c r="J45" s="11">
        <v>0</v>
      </c>
      <c r="K45" s="11">
        <v>0</v>
      </c>
      <c r="L45" s="11">
        <v>0</v>
      </c>
      <c r="M45" s="11">
        <v>0</v>
      </c>
      <c r="N45" s="11">
        <v>0</v>
      </c>
      <c r="O45" s="11">
        <v>0</v>
      </c>
      <c r="P45" s="11">
        <v>0</v>
      </c>
      <c r="Q45" s="12">
        <v>0</v>
      </c>
      <c r="R45" s="12">
        <v>0</v>
      </c>
      <c r="S45" s="12">
        <f>$G$45*$G$8+$H$45*$H$8+$I$45*$I$8+$J$45*$J$8+$K$45*$K$8+$L$45*$L$8+$M$45*$M$8+$N$45*$N$8+$O$45*$O$8+$P$45*$P$8</f>
        <v>0</v>
      </c>
      <c r="T45" s="12">
        <f>SUM($Q$45:$R$45)</f>
        <v>0</v>
      </c>
      <c r="U45" s="12">
        <f>$S$45+$T$45</f>
        <v>0</v>
      </c>
    </row>
    <row r="46" spans="1:21" x14ac:dyDescent="0.3">
      <c r="A46" s="13" t="s">
        <v>168</v>
      </c>
      <c r="B46" s="14" t="s">
        <v>169</v>
      </c>
      <c r="C46" s="14" t="s">
        <v>65</v>
      </c>
      <c r="D46" s="14" t="s">
        <v>170</v>
      </c>
      <c r="E46" s="14">
        <f xml:space="preserve"> IF($U$46,1,0)</f>
        <v>0</v>
      </c>
      <c r="F46" s="14" t="s">
        <v>171</v>
      </c>
      <c r="G46" s="14">
        <v>0</v>
      </c>
      <c r="H46" s="14">
        <v>0</v>
      </c>
      <c r="I46" s="14">
        <v>0</v>
      </c>
      <c r="J46" s="14">
        <v>0</v>
      </c>
      <c r="K46" s="14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5">
        <v>0</v>
      </c>
      <c r="R46" s="15">
        <v>0</v>
      </c>
      <c r="S46" s="15">
        <f>$G$46*$G$8+$H$46*$H$8+$I$46*$I$8+$J$46*$J$8+$K$46*$K$8+$L$46*$L$8+$M$46*$M$8+$N$46*$N$8+$O$46*$O$8+$P$46*$P$8</f>
        <v>0</v>
      </c>
      <c r="T46" s="15">
        <f>SUM($Q$46:$R$46)</f>
        <v>0</v>
      </c>
      <c r="U46" s="15">
        <f>$S$46+$T$46</f>
        <v>0</v>
      </c>
    </row>
    <row r="47" spans="1:21" x14ac:dyDescent="0.3">
      <c r="A47" s="10" t="s">
        <v>172</v>
      </c>
      <c r="B47" s="11" t="s">
        <v>173</v>
      </c>
      <c r="C47" s="11"/>
      <c r="D47" s="11" t="s">
        <v>174</v>
      </c>
      <c r="E47" s="11">
        <f xml:space="preserve"> IF($U$47,1,0)</f>
        <v>0</v>
      </c>
      <c r="F47" s="11" t="s">
        <v>175</v>
      </c>
      <c r="G47" s="11">
        <v>0</v>
      </c>
      <c r="H47" s="11">
        <v>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2">
        <v>0</v>
      </c>
      <c r="R47" s="12">
        <v>0</v>
      </c>
      <c r="S47" s="12">
        <f>$G$47*$G$8+$H$47*$H$8+$I$47*$I$8+$J$47*$J$8+$K$47*$K$8+$L$47*$L$8+$M$47*$M$8+$N$47*$N$8+$O$47*$O$8+$P$47*$P$8</f>
        <v>0</v>
      </c>
      <c r="T47" s="12">
        <f>SUM($Q$47:$R$47)</f>
        <v>0</v>
      </c>
      <c r="U47" s="12">
        <f>$S$47+$T$47</f>
        <v>0</v>
      </c>
    </row>
    <row r="48" spans="1:21" x14ac:dyDescent="0.3">
      <c r="A48" s="13" t="s">
        <v>176</v>
      </c>
      <c r="B48" s="14" t="s">
        <v>177</v>
      </c>
      <c r="C48" s="14"/>
      <c r="D48" s="14" t="s">
        <v>178</v>
      </c>
      <c r="E48" s="14">
        <f xml:space="preserve"> IF($U$48,1,0)</f>
        <v>0</v>
      </c>
      <c r="F48" s="14" t="s">
        <v>179</v>
      </c>
      <c r="G48" s="14">
        <v>0</v>
      </c>
      <c r="H48" s="14">
        <v>0</v>
      </c>
      <c r="I48" s="14">
        <v>0</v>
      </c>
      <c r="J48" s="14">
        <v>0</v>
      </c>
      <c r="K48" s="14">
        <v>0</v>
      </c>
      <c r="L48" s="14">
        <v>0</v>
      </c>
      <c r="M48" s="14">
        <v>0</v>
      </c>
      <c r="N48" s="14">
        <v>0</v>
      </c>
      <c r="O48" s="14">
        <v>0</v>
      </c>
      <c r="P48" s="14">
        <v>0</v>
      </c>
      <c r="Q48" s="15">
        <v>0</v>
      </c>
      <c r="R48" s="15">
        <v>0</v>
      </c>
      <c r="S48" s="15">
        <f>$G$48*$G$8+$H$48*$H$8+$I$48*$I$8+$J$48*$J$8+$K$48*$K$8+$L$48*$L$8+$M$48*$M$8+$N$48*$N$8+$O$48*$O$8+$P$48*$P$8</f>
        <v>0</v>
      </c>
      <c r="T48" s="15">
        <f>SUM($Q$48:$R$48)</f>
        <v>0</v>
      </c>
      <c r="U48" s="15">
        <f>$S$48+$T$48</f>
        <v>0</v>
      </c>
    </row>
    <row r="49" spans="1:21" x14ac:dyDescent="0.3">
      <c r="A49" s="10" t="s">
        <v>180</v>
      </c>
      <c r="B49" s="11" t="s">
        <v>177</v>
      </c>
      <c r="C49" s="11"/>
      <c r="D49" s="11" t="s">
        <v>181</v>
      </c>
      <c r="E49" s="11">
        <f xml:space="preserve"> IF($U$49,1,0)</f>
        <v>1</v>
      </c>
      <c r="F49" s="11" t="s">
        <v>182</v>
      </c>
      <c r="G49" s="11">
        <v>12</v>
      </c>
      <c r="H49" s="11">
        <v>0</v>
      </c>
      <c r="I49" s="11">
        <v>0</v>
      </c>
      <c r="J49" s="11">
        <v>0</v>
      </c>
      <c r="K49" s="11">
        <v>2</v>
      </c>
      <c r="L49" s="11">
        <v>2</v>
      </c>
      <c r="M49" s="11">
        <v>2</v>
      </c>
      <c r="N49" s="11">
        <v>0</v>
      </c>
      <c r="O49" s="11">
        <v>0</v>
      </c>
      <c r="P49" s="11">
        <v>0</v>
      </c>
      <c r="Q49" s="12">
        <v>0</v>
      </c>
      <c r="R49" s="12">
        <f>$T$339</f>
        <v>1.85</v>
      </c>
      <c r="S49" s="12">
        <f>$G$49*$G$8+$H$49*$H$8+$I$49*$I$8+$J$49*$J$8+$K$49*$K$8+$L$49*$L$8+$M$49*$M$8+$N$49*$N$8+$O$49*$O$8+$P$49*$P$8</f>
        <v>26.4</v>
      </c>
      <c r="T49" s="12">
        <f>SUM($Q$49:$R$49)</f>
        <v>1.85</v>
      </c>
      <c r="U49" s="12">
        <f>$S$49+$T$49</f>
        <v>28.25</v>
      </c>
    </row>
    <row r="50" spans="1:21" x14ac:dyDescent="0.3">
      <c r="A50" s="13" t="s">
        <v>183</v>
      </c>
      <c r="B50" s="14" t="s">
        <v>177</v>
      </c>
      <c r="C50" s="14"/>
      <c r="D50" s="14" t="s">
        <v>184</v>
      </c>
      <c r="E50" s="14">
        <f xml:space="preserve"> IF($U$50,1,0)</f>
        <v>0</v>
      </c>
      <c r="F50" s="14" t="s">
        <v>185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  <c r="M50" s="14">
        <v>0</v>
      </c>
      <c r="N50" s="14">
        <v>0</v>
      </c>
      <c r="O50" s="14">
        <v>0</v>
      </c>
      <c r="P50" s="14">
        <v>0</v>
      </c>
      <c r="Q50" s="15">
        <v>0</v>
      </c>
      <c r="R50" s="15">
        <v>0</v>
      </c>
      <c r="S50" s="15">
        <f>$G$50*$G$8+$H$50*$H$8+$I$50*$I$8+$J$50*$J$8+$K$50*$K$8+$L$50*$L$8+$M$50*$M$8+$N$50*$N$8+$O$50*$O$8+$P$50*$P$8</f>
        <v>0</v>
      </c>
      <c r="T50" s="15">
        <f>SUM($Q$50:$R$50)</f>
        <v>0</v>
      </c>
      <c r="U50" s="15">
        <f>$S$50+$T$50</f>
        <v>0</v>
      </c>
    </row>
    <row r="51" spans="1:21" x14ac:dyDescent="0.3">
      <c r="A51" s="10" t="s">
        <v>186</v>
      </c>
      <c r="B51" s="11" t="s">
        <v>177</v>
      </c>
      <c r="C51" s="11"/>
      <c r="D51" s="11" t="s">
        <v>187</v>
      </c>
      <c r="E51" s="11">
        <f xml:space="preserve"> IF($U$51,1,0)</f>
        <v>1</v>
      </c>
      <c r="F51" s="11" t="s">
        <v>188</v>
      </c>
      <c r="G51" s="11">
        <v>2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2">
        <v>0</v>
      </c>
      <c r="R51" s="12">
        <v>0</v>
      </c>
      <c r="S51" s="12">
        <f>$G$51*$G$8+$H$51*$H$8+$I$51*$I$8+$J$51*$J$8+$K$51*$K$8+$L$51*$L$8+$M$51*$M$8+$N$51*$N$8+$O$51*$O$8+$P$51*$P$8</f>
        <v>1.4</v>
      </c>
      <c r="T51" s="12">
        <f>SUM($Q$51:$R$51)</f>
        <v>0</v>
      </c>
      <c r="U51" s="12">
        <f>$S$51+$T$51</f>
        <v>1.4</v>
      </c>
    </row>
    <row r="52" spans="1:21" x14ac:dyDescent="0.3">
      <c r="A52" s="13" t="s">
        <v>189</v>
      </c>
      <c r="B52" s="14" t="s">
        <v>177</v>
      </c>
      <c r="C52" s="14"/>
      <c r="D52" s="14" t="s">
        <v>190</v>
      </c>
      <c r="E52" s="14">
        <f xml:space="preserve"> IF($U$52,1,0)</f>
        <v>0</v>
      </c>
      <c r="F52" s="14" t="s">
        <v>191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5">
        <v>0</v>
      </c>
      <c r="R52" s="15">
        <v>0</v>
      </c>
      <c r="S52" s="15">
        <f>$G$52*$G$8+$H$52*$H$8+$I$52*$I$8+$J$52*$J$8+$K$52*$K$8+$L$52*$L$8+$M$52*$M$8+$N$52*$N$8+$O$52*$O$8+$P$52*$P$8</f>
        <v>0</v>
      </c>
      <c r="T52" s="15">
        <f>SUM($Q$52:$R$52)</f>
        <v>0</v>
      </c>
      <c r="U52" s="15">
        <f>$S$52+$T$52</f>
        <v>0</v>
      </c>
    </row>
    <row r="53" spans="1:21" x14ac:dyDescent="0.3">
      <c r="A53" s="10" t="s">
        <v>192</v>
      </c>
      <c r="B53" s="11" t="s">
        <v>177</v>
      </c>
      <c r="C53" s="11"/>
      <c r="D53" s="11" t="s">
        <v>193</v>
      </c>
      <c r="E53" s="11">
        <f xml:space="preserve"> IF($U$53,1,0)</f>
        <v>0</v>
      </c>
      <c r="F53" s="11" t="s">
        <v>194</v>
      </c>
      <c r="G53" s="11">
        <v>0</v>
      </c>
      <c r="H53" s="11">
        <v>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2">
        <v>0</v>
      </c>
      <c r="R53" s="12">
        <v>0</v>
      </c>
      <c r="S53" s="12">
        <f>$G$53*$G$8+$H$53*$H$8+$I$53*$I$8+$J$53*$J$8+$K$53*$K$8+$L$53*$L$8+$M$53*$M$8+$N$53*$N$8+$O$53*$O$8+$P$53*$P$8</f>
        <v>0</v>
      </c>
      <c r="T53" s="12">
        <f>SUM($Q$53:$R$53)</f>
        <v>0</v>
      </c>
      <c r="U53" s="12">
        <f>$S$53+$T$53</f>
        <v>0</v>
      </c>
    </row>
    <row r="54" spans="1:21" x14ac:dyDescent="0.3">
      <c r="A54" s="13" t="s">
        <v>195</v>
      </c>
      <c r="B54" s="14" t="s">
        <v>177</v>
      </c>
      <c r="C54" s="14"/>
      <c r="D54" s="14" t="s">
        <v>196</v>
      </c>
      <c r="E54" s="14">
        <f xml:space="preserve"> IF($U$54,1,0)</f>
        <v>0</v>
      </c>
      <c r="F54" s="14" t="s">
        <v>197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5">
        <v>0</v>
      </c>
      <c r="R54" s="15">
        <v>0</v>
      </c>
      <c r="S54" s="15">
        <f>$G$54*$G$8+$H$54*$H$8+$I$54*$I$8+$J$54*$J$8+$K$54*$K$8+$L$54*$L$8+$M$54*$M$8+$N$54*$N$8+$O$54*$O$8+$P$54*$P$8</f>
        <v>0</v>
      </c>
      <c r="T54" s="15">
        <f>SUM($Q$54:$R$54)</f>
        <v>0</v>
      </c>
      <c r="U54" s="15">
        <f>$S$54+$T$54</f>
        <v>0</v>
      </c>
    </row>
    <row r="55" spans="1:21" x14ac:dyDescent="0.3">
      <c r="A55" s="10" t="s">
        <v>198</v>
      </c>
      <c r="B55" s="11" t="s">
        <v>177</v>
      </c>
      <c r="C55" s="11" t="s">
        <v>65</v>
      </c>
      <c r="D55" s="11" t="s">
        <v>199</v>
      </c>
      <c r="E55" s="11">
        <f xml:space="preserve"> IF($U$55,1,0)</f>
        <v>0</v>
      </c>
      <c r="F55" s="11" t="s">
        <v>200</v>
      </c>
      <c r="G55" s="11">
        <v>0</v>
      </c>
      <c r="H55" s="11">
        <v>0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2">
        <v>0</v>
      </c>
      <c r="R55" s="12">
        <v>0</v>
      </c>
      <c r="S55" s="12">
        <f>$G$55*$G$8+$H$55*$H$8+$I$55*$I$8+$J$55*$J$8+$K$55*$K$8+$L$55*$L$8+$M$55*$M$8+$N$55*$N$8+$O$55*$O$8+$P$55*$P$8</f>
        <v>0</v>
      </c>
      <c r="T55" s="12">
        <f>SUM($Q$55:$R$55)</f>
        <v>0</v>
      </c>
      <c r="U55" s="12">
        <f>$S$55+$T$55</f>
        <v>0</v>
      </c>
    </row>
    <row r="56" spans="1:21" x14ac:dyDescent="0.3">
      <c r="A56" s="13" t="s">
        <v>201</v>
      </c>
      <c r="B56" s="14" t="s">
        <v>177</v>
      </c>
      <c r="C56" s="14" t="s">
        <v>202</v>
      </c>
      <c r="D56" s="14" t="s">
        <v>203</v>
      </c>
      <c r="E56" s="14">
        <f xml:space="preserve"> IF($U$56,1,0)</f>
        <v>1</v>
      </c>
      <c r="F56" s="14" t="s">
        <v>204</v>
      </c>
      <c r="G56" s="14">
        <v>0</v>
      </c>
      <c r="H56" s="14">
        <v>4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5">
        <v>0</v>
      </c>
      <c r="R56" s="15">
        <v>0</v>
      </c>
      <c r="S56" s="15">
        <f>$G$56*$G$8+$H$56*$H$8+$I$56*$I$8+$J$56*$J$8+$K$56*$K$8+$L$56*$L$8+$M$56*$M$8+$N$56*$N$8+$O$56*$O$8+$P$56*$P$8</f>
        <v>7.2</v>
      </c>
      <c r="T56" s="15">
        <f>SUM($Q$56:$R$56)</f>
        <v>0</v>
      </c>
      <c r="U56" s="15">
        <f>$S$56+$T$56</f>
        <v>7.2</v>
      </c>
    </row>
    <row r="57" spans="1:21" x14ac:dyDescent="0.3">
      <c r="A57" s="10" t="s">
        <v>205</v>
      </c>
      <c r="B57" s="11" t="s">
        <v>206</v>
      </c>
      <c r="C57" s="11"/>
      <c r="D57" s="11" t="s">
        <v>207</v>
      </c>
      <c r="E57" s="11">
        <f xml:space="preserve"> IF($U$57,1,0)</f>
        <v>0</v>
      </c>
      <c r="F57" s="11" t="s">
        <v>208</v>
      </c>
      <c r="G57" s="11">
        <v>0</v>
      </c>
      <c r="H57" s="11">
        <v>0</v>
      </c>
      <c r="I57" s="11">
        <v>0</v>
      </c>
      <c r="J57" s="11">
        <v>0</v>
      </c>
      <c r="K57" s="11">
        <v>0</v>
      </c>
      <c r="L57" s="11">
        <v>0</v>
      </c>
      <c r="M57" s="11">
        <v>0</v>
      </c>
      <c r="N57" s="11">
        <v>0</v>
      </c>
      <c r="O57" s="11">
        <v>0</v>
      </c>
      <c r="P57" s="11">
        <v>0</v>
      </c>
      <c r="Q57" s="12">
        <v>0</v>
      </c>
      <c r="R57" s="12">
        <v>0</v>
      </c>
      <c r="S57" s="12">
        <f>$G$57*$G$8+$H$57*$H$8+$I$57*$I$8+$J$57*$J$8+$K$57*$K$8+$L$57*$L$8+$M$57*$M$8+$N$57*$N$8+$O$57*$O$8+$P$57*$P$8</f>
        <v>0</v>
      </c>
      <c r="T57" s="12">
        <f>SUM($Q$57:$R$57)</f>
        <v>0</v>
      </c>
      <c r="U57" s="12">
        <f>$S$57+$T$57</f>
        <v>0</v>
      </c>
    </row>
    <row r="58" spans="1:21" x14ac:dyDescent="0.3">
      <c r="A58" s="13" t="s">
        <v>209</v>
      </c>
      <c r="B58" s="14" t="s">
        <v>210</v>
      </c>
      <c r="C58" s="14"/>
      <c r="D58" s="14" t="s">
        <v>211</v>
      </c>
      <c r="E58" s="14">
        <f xml:space="preserve"> IF($U$58,1,0)</f>
        <v>1</v>
      </c>
      <c r="F58" s="14" t="s">
        <v>212</v>
      </c>
      <c r="G58" s="14">
        <v>4</v>
      </c>
      <c r="H58" s="14">
        <v>3</v>
      </c>
      <c r="I58" s="14">
        <v>0</v>
      </c>
      <c r="J58" s="14">
        <v>0</v>
      </c>
      <c r="K58" s="14">
        <v>2</v>
      </c>
      <c r="L58" s="14">
        <v>1</v>
      </c>
      <c r="M58" s="14">
        <v>0</v>
      </c>
      <c r="N58" s="14">
        <v>0</v>
      </c>
      <c r="O58" s="14">
        <v>0</v>
      </c>
      <c r="P58" s="14">
        <v>1</v>
      </c>
      <c r="Q58" s="15">
        <v>0</v>
      </c>
      <c r="R58" s="15">
        <v>0</v>
      </c>
      <c r="S58" s="15">
        <f>$G$58*$G$8+$H$58*$H$8+$I$58*$I$8+$J$58*$J$8+$K$58*$K$8+$L$58*$L$8+$M$58*$M$8+$N$58*$N$8+$O$58*$O$8+$P$58*$P$8</f>
        <v>16.2</v>
      </c>
      <c r="T58" s="15">
        <f>SUM($Q$58:$R$58)</f>
        <v>0</v>
      </c>
      <c r="U58" s="15">
        <f>$S$58+$T$58</f>
        <v>16.2</v>
      </c>
    </row>
    <row r="59" spans="1:21" x14ac:dyDescent="0.3">
      <c r="A59" s="10" t="s">
        <v>213</v>
      </c>
      <c r="B59" s="11" t="s">
        <v>210</v>
      </c>
      <c r="C59" s="11"/>
      <c r="D59" s="11" t="s">
        <v>214</v>
      </c>
      <c r="E59" s="11">
        <f xml:space="preserve"> IF($U$59,1,0)</f>
        <v>0</v>
      </c>
      <c r="F59" s="11" t="s">
        <v>215</v>
      </c>
      <c r="G59" s="11">
        <v>0</v>
      </c>
      <c r="H59" s="11">
        <v>0</v>
      </c>
      <c r="I59" s="11">
        <v>0</v>
      </c>
      <c r="J59" s="11">
        <v>0</v>
      </c>
      <c r="K59" s="11">
        <v>0</v>
      </c>
      <c r="L59" s="11">
        <v>0</v>
      </c>
      <c r="M59" s="11">
        <v>0</v>
      </c>
      <c r="N59" s="11">
        <v>0</v>
      </c>
      <c r="O59" s="11">
        <v>0</v>
      </c>
      <c r="P59" s="11">
        <v>0</v>
      </c>
      <c r="Q59" s="12">
        <v>0</v>
      </c>
      <c r="R59" s="12">
        <v>0</v>
      </c>
      <c r="S59" s="12">
        <f>$G$59*$G$8+$H$59*$H$8+$I$59*$I$8+$J$59*$J$8+$K$59*$K$8+$L$59*$L$8+$M$59*$M$8+$N$59*$N$8+$O$59*$O$8+$P$59*$P$8</f>
        <v>0</v>
      </c>
      <c r="T59" s="12">
        <f>SUM($Q$59:$R$59)</f>
        <v>0</v>
      </c>
      <c r="U59" s="12">
        <f>$S$59+$T$59</f>
        <v>0</v>
      </c>
    </row>
    <row r="60" spans="1:21" x14ac:dyDescent="0.3">
      <c r="A60" s="13" t="s">
        <v>216</v>
      </c>
      <c r="B60" s="14" t="s">
        <v>217</v>
      </c>
      <c r="C60" s="14"/>
      <c r="D60" s="14" t="s">
        <v>218</v>
      </c>
      <c r="E60" s="14">
        <f xml:space="preserve"> IF($U$60,1,0)</f>
        <v>0</v>
      </c>
      <c r="F60" s="14" t="s">
        <v>219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0</v>
      </c>
      <c r="M60" s="14">
        <v>0</v>
      </c>
      <c r="N60" s="14">
        <v>0</v>
      </c>
      <c r="O60" s="14">
        <v>0</v>
      </c>
      <c r="P60" s="14">
        <v>0</v>
      </c>
      <c r="Q60" s="15">
        <v>0</v>
      </c>
      <c r="R60" s="15">
        <v>0</v>
      </c>
      <c r="S60" s="15">
        <f>$G$60*$G$8+$H$60*$H$8+$I$60*$I$8+$J$60*$J$8+$K$60*$K$8+$L$60*$L$8+$M$60*$M$8+$N$60*$N$8+$O$60*$O$8+$P$60*$P$8</f>
        <v>0</v>
      </c>
      <c r="T60" s="15">
        <f>SUM($Q$60:$R$60)</f>
        <v>0</v>
      </c>
      <c r="U60" s="15">
        <f>$S$60+$T$60</f>
        <v>0</v>
      </c>
    </row>
    <row r="61" spans="1:21" x14ac:dyDescent="0.3">
      <c r="A61" s="10" t="s">
        <v>220</v>
      </c>
      <c r="B61" s="11" t="s">
        <v>221</v>
      </c>
      <c r="C61" s="11" t="s">
        <v>34</v>
      </c>
      <c r="D61" s="11" t="s">
        <v>222</v>
      </c>
      <c r="E61" s="11">
        <f xml:space="preserve"> IF($U$61,1,0)</f>
        <v>0</v>
      </c>
      <c r="F61" s="11" t="s">
        <v>223</v>
      </c>
      <c r="G61" s="11">
        <v>0</v>
      </c>
      <c r="H61" s="11">
        <v>0</v>
      </c>
      <c r="I61" s="11">
        <v>0</v>
      </c>
      <c r="J61" s="11">
        <v>0</v>
      </c>
      <c r="K61" s="11">
        <v>0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2">
        <v>0</v>
      </c>
      <c r="R61" s="12">
        <v>0</v>
      </c>
      <c r="S61" s="12">
        <f>$G$61*$G$8+$H$61*$H$8+$I$61*$I$8+$J$61*$J$8+$K$61*$K$8+$L$61*$L$8+$M$61*$M$8+$N$61*$N$8+$O$61*$O$8+$P$61*$P$8</f>
        <v>0</v>
      </c>
      <c r="T61" s="12">
        <f>SUM($Q$61:$R$61)</f>
        <v>0</v>
      </c>
      <c r="U61" s="12">
        <f>$S$61+$T$61</f>
        <v>0</v>
      </c>
    </row>
    <row r="62" spans="1:21" x14ac:dyDescent="0.3">
      <c r="A62" s="13" t="s">
        <v>224</v>
      </c>
      <c r="B62" s="14" t="s">
        <v>225</v>
      </c>
      <c r="C62" s="14"/>
      <c r="D62" s="14" t="s">
        <v>226</v>
      </c>
      <c r="E62" s="14">
        <f xml:space="preserve"> IF($U$62,1,0)</f>
        <v>0</v>
      </c>
      <c r="F62" s="14" t="s">
        <v>227</v>
      </c>
      <c r="G62" s="14">
        <v>0</v>
      </c>
      <c r="H62" s="14">
        <v>0</v>
      </c>
      <c r="I62" s="14">
        <v>0</v>
      </c>
      <c r="J62" s="14">
        <v>0</v>
      </c>
      <c r="K62" s="14">
        <v>0</v>
      </c>
      <c r="L62" s="14">
        <v>0</v>
      </c>
      <c r="M62" s="14">
        <v>0</v>
      </c>
      <c r="N62" s="14">
        <v>0</v>
      </c>
      <c r="O62" s="14">
        <v>0</v>
      </c>
      <c r="P62" s="14">
        <v>0</v>
      </c>
      <c r="Q62" s="15">
        <v>0</v>
      </c>
      <c r="R62" s="15">
        <v>0</v>
      </c>
      <c r="S62" s="15">
        <f>$G$62*$G$8+$H$62*$H$8+$I$62*$I$8+$J$62*$J$8+$K$62*$K$8+$L$62*$L$8+$M$62*$M$8+$N$62*$N$8+$O$62*$O$8+$P$62*$P$8</f>
        <v>0</v>
      </c>
      <c r="T62" s="15">
        <f>SUM($Q$62:$R$62)</f>
        <v>0</v>
      </c>
      <c r="U62" s="15">
        <f>$S$62+$T$62</f>
        <v>0</v>
      </c>
    </row>
    <row r="63" spans="1:21" x14ac:dyDescent="0.3">
      <c r="A63" s="10" t="s">
        <v>228</v>
      </c>
      <c r="B63" s="11" t="s">
        <v>225</v>
      </c>
      <c r="C63" s="11"/>
      <c r="D63" s="11" t="s">
        <v>229</v>
      </c>
      <c r="E63" s="11">
        <f xml:space="preserve"> IF($U$63,1,0)</f>
        <v>0</v>
      </c>
      <c r="F63" s="11" t="s">
        <v>230</v>
      </c>
      <c r="G63" s="11">
        <v>0</v>
      </c>
      <c r="H63" s="11">
        <v>0</v>
      </c>
      <c r="I63" s="11">
        <v>0</v>
      </c>
      <c r="J63" s="11">
        <v>0</v>
      </c>
      <c r="K63" s="11">
        <v>0</v>
      </c>
      <c r="L63" s="11">
        <v>0</v>
      </c>
      <c r="M63" s="11">
        <v>0</v>
      </c>
      <c r="N63" s="11">
        <v>0</v>
      </c>
      <c r="O63" s="11">
        <v>0</v>
      </c>
      <c r="P63" s="11">
        <v>0</v>
      </c>
      <c r="Q63" s="12">
        <v>0</v>
      </c>
      <c r="R63" s="12">
        <v>0</v>
      </c>
      <c r="S63" s="12">
        <f>$G$63*$G$8+$H$63*$H$8+$I$63*$I$8+$J$63*$J$8+$K$63*$K$8+$L$63*$L$8+$M$63*$M$8+$N$63*$N$8+$O$63*$O$8+$P$63*$P$8</f>
        <v>0</v>
      </c>
      <c r="T63" s="12">
        <f>SUM($Q$63:$R$63)</f>
        <v>0</v>
      </c>
      <c r="U63" s="12">
        <f>$S$63+$T$63</f>
        <v>0</v>
      </c>
    </row>
    <row r="64" spans="1:21" x14ac:dyDescent="0.3">
      <c r="A64" s="13" t="s">
        <v>231</v>
      </c>
      <c r="B64" s="14" t="s">
        <v>225</v>
      </c>
      <c r="C64" s="14"/>
      <c r="D64" s="14" t="s">
        <v>232</v>
      </c>
      <c r="E64" s="14">
        <f xml:space="preserve"> IF($U$64,1,0)</f>
        <v>0</v>
      </c>
      <c r="F64" s="14" t="s">
        <v>233</v>
      </c>
      <c r="G64" s="14">
        <v>0</v>
      </c>
      <c r="H64" s="14">
        <v>0</v>
      </c>
      <c r="I64" s="14">
        <v>0</v>
      </c>
      <c r="J64" s="14">
        <v>0</v>
      </c>
      <c r="K64" s="14">
        <v>0</v>
      </c>
      <c r="L64" s="14">
        <v>0</v>
      </c>
      <c r="M64" s="14">
        <v>0</v>
      </c>
      <c r="N64" s="14">
        <v>0</v>
      </c>
      <c r="O64" s="14">
        <v>0</v>
      </c>
      <c r="P64" s="14">
        <v>0</v>
      </c>
      <c r="Q64" s="15">
        <v>0</v>
      </c>
      <c r="R64" s="15">
        <v>0</v>
      </c>
      <c r="S64" s="15">
        <f>$G$64*$G$8+$H$64*$H$8+$I$64*$I$8+$J$64*$J$8+$K$64*$K$8+$L$64*$L$8+$M$64*$M$8+$N$64*$N$8+$O$64*$O$8+$P$64*$P$8</f>
        <v>0</v>
      </c>
      <c r="T64" s="15">
        <f>SUM($Q$64:$R$64)</f>
        <v>0</v>
      </c>
      <c r="U64" s="15">
        <f>$S$64+$T$64</f>
        <v>0</v>
      </c>
    </row>
    <row r="65" spans="1:21" x14ac:dyDescent="0.3">
      <c r="A65" s="10" t="s">
        <v>234</v>
      </c>
      <c r="B65" s="11" t="s">
        <v>235</v>
      </c>
      <c r="C65" s="11"/>
      <c r="D65" s="11" t="s">
        <v>236</v>
      </c>
      <c r="E65" s="11">
        <f xml:space="preserve"> IF($U$65,1,0)</f>
        <v>0</v>
      </c>
      <c r="F65" s="11" t="s">
        <v>237</v>
      </c>
      <c r="G65" s="11">
        <v>0</v>
      </c>
      <c r="H65" s="11">
        <v>0</v>
      </c>
      <c r="I65" s="11">
        <v>0</v>
      </c>
      <c r="J65" s="11">
        <v>0</v>
      </c>
      <c r="K65" s="11">
        <v>0</v>
      </c>
      <c r="L65" s="11">
        <v>0</v>
      </c>
      <c r="M65" s="11">
        <v>0</v>
      </c>
      <c r="N65" s="11">
        <v>0</v>
      </c>
      <c r="O65" s="11">
        <v>0</v>
      </c>
      <c r="P65" s="11">
        <v>0</v>
      </c>
      <c r="Q65" s="12">
        <v>0</v>
      </c>
      <c r="R65" s="12">
        <v>0</v>
      </c>
      <c r="S65" s="12">
        <f>$G$65*$G$8+$H$65*$H$8+$I$65*$I$8+$J$65*$J$8+$K$65*$K$8+$L$65*$L$8+$M$65*$M$8+$N$65*$N$8+$O$65*$O$8+$P$65*$P$8</f>
        <v>0</v>
      </c>
      <c r="T65" s="12">
        <f>SUM($Q$65:$R$65)</f>
        <v>0</v>
      </c>
      <c r="U65" s="12">
        <f>$S$65+$T$65</f>
        <v>0</v>
      </c>
    </row>
    <row r="66" spans="1:21" x14ac:dyDescent="0.3">
      <c r="A66" s="13" t="s">
        <v>238</v>
      </c>
      <c r="B66" s="14" t="s">
        <v>235</v>
      </c>
      <c r="C66" s="14" t="s">
        <v>34</v>
      </c>
      <c r="D66" s="14" t="s">
        <v>239</v>
      </c>
      <c r="E66" s="14">
        <f xml:space="preserve"> IF($U$66,1,0)</f>
        <v>0</v>
      </c>
      <c r="F66" s="14" t="s">
        <v>240</v>
      </c>
      <c r="G66" s="14">
        <v>0</v>
      </c>
      <c r="H66" s="14">
        <v>0</v>
      </c>
      <c r="I66" s="14">
        <v>0</v>
      </c>
      <c r="J66" s="14">
        <v>0</v>
      </c>
      <c r="K66" s="14">
        <v>0</v>
      </c>
      <c r="L66" s="14">
        <v>0</v>
      </c>
      <c r="M66" s="14">
        <v>0</v>
      </c>
      <c r="N66" s="14">
        <v>0</v>
      </c>
      <c r="O66" s="14">
        <v>0</v>
      </c>
      <c r="P66" s="14">
        <v>0</v>
      </c>
      <c r="Q66" s="15">
        <v>0</v>
      </c>
      <c r="R66" s="15">
        <v>0</v>
      </c>
      <c r="S66" s="15">
        <f>$G$66*$G$8+$H$66*$H$8+$I$66*$I$8+$J$66*$J$8+$K$66*$K$8+$L$66*$L$8+$M$66*$M$8+$N$66*$N$8+$O$66*$O$8+$P$66*$P$8</f>
        <v>0</v>
      </c>
      <c r="T66" s="15">
        <f>SUM($Q$66:$R$66)</f>
        <v>0</v>
      </c>
      <c r="U66" s="15">
        <f>$S$66+$T$66</f>
        <v>0</v>
      </c>
    </row>
    <row r="67" spans="1:21" x14ac:dyDescent="0.3">
      <c r="A67" s="10" t="s">
        <v>241</v>
      </c>
      <c r="B67" s="11" t="s">
        <v>242</v>
      </c>
      <c r="C67" s="11" t="s">
        <v>243</v>
      </c>
      <c r="D67" s="11" t="s">
        <v>244</v>
      </c>
      <c r="E67" s="11">
        <f xml:space="preserve"> IF($U$67,1,0)</f>
        <v>0</v>
      </c>
      <c r="F67" s="11" t="s">
        <v>245</v>
      </c>
      <c r="G67" s="11">
        <v>0</v>
      </c>
      <c r="H67" s="11">
        <v>0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2">
        <v>0</v>
      </c>
      <c r="R67" s="12">
        <v>0</v>
      </c>
      <c r="S67" s="12">
        <f>$G$67*$G$8+$H$67*$H$8+$I$67*$I$8+$J$67*$J$8+$K$67*$K$8+$L$67*$L$8+$M$67*$M$8+$N$67*$N$8+$O$67*$O$8+$P$67*$P$8</f>
        <v>0</v>
      </c>
      <c r="T67" s="12">
        <f>SUM($Q$67:$R$67)</f>
        <v>0</v>
      </c>
      <c r="U67" s="12">
        <f>$S$67+$T$67</f>
        <v>0</v>
      </c>
    </row>
    <row r="68" spans="1:21" x14ac:dyDescent="0.3">
      <c r="A68" s="13" t="s">
        <v>246</v>
      </c>
      <c r="B68" s="14" t="s">
        <v>242</v>
      </c>
      <c r="C68" s="14"/>
      <c r="D68" s="14" t="s">
        <v>247</v>
      </c>
      <c r="E68" s="14">
        <f xml:space="preserve"> IF($U$68,1,0)</f>
        <v>0</v>
      </c>
      <c r="F68" s="14" t="s">
        <v>248</v>
      </c>
      <c r="G68" s="14">
        <v>0</v>
      </c>
      <c r="H68" s="14">
        <v>0</v>
      </c>
      <c r="I68" s="14">
        <v>0</v>
      </c>
      <c r="J68" s="14">
        <v>0</v>
      </c>
      <c r="K68" s="14">
        <v>0</v>
      </c>
      <c r="L68" s="14">
        <v>0</v>
      </c>
      <c r="M68" s="14">
        <v>0</v>
      </c>
      <c r="N68" s="14">
        <v>0</v>
      </c>
      <c r="O68" s="14">
        <v>0</v>
      </c>
      <c r="P68" s="14">
        <v>0</v>
      </c>
      <c r="Q68" s="15">
        <v>0</v>
      </c>
      <c r="R68" s="15">
        <v>0</v>
      </c>
      <c r="S68" s="15">
        <f>$G$68*$G$8+$H$68*$H$8+$I$68*$I$8+$J$68*$J$8+$K$68*$K$8+$L$68*$L$8+$M$68*$M$8+$N$68*$N$8+$O$68*$O$8+$P$68*$P$8</f>
        <v>0</v>
      </c>
      <c r="T68" s="15">
        <f>SUM($Q$68:$R$68)</f>
        <v>0</v>
      </c>
      <c r="U68" s="15">
        <f>$S$68+$T$68</f>
        <v>0</v>
      </c>
    </row>
    <row r="69" spans="1:21" x14ac:dyDescent="0.3">
      <c r="A69" s="10" t="s">
        <v>249</v>
      </c>
      <c r="B69" s="11" t="s">
        <v>242</v>
      </c>
      <c r="C69" s="11" t="s">
        <v>34</v>
      </c>
      <c r="D69" s="11" t="s">
        <v>250</v>
      </c>
      <c r="E69" s="11">
        <f xml:space="preserve"> IF($U$69,1,0)</f>
        <v>0</v>
      </c>
      <c r="F69" s="11" t="s">
        <v>251</v>
      </c>
      <c r="G69" s="11">
        <v>0</v>
      </c>
      <c r="H69" s="11">
        <v>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2">
        <v>0</v>
      </c>
      <c r="R69" s="12">
        <v>0</v>
      </c>
      <c r="S69" s="12">
        <f>$G$69*$G$8+$H$69*$H$8+$I$69*$I$8+$J$69*$J$8+$K$69*$K$8+$L$69*$L$8+$M$69*$M$8+$N$69*$N$8+$O$69*$O$8+$P$69*$P$8</f>
        <v>0</v>
      </c>
      <c r="T69" s="12">
        <f>SUM($Q$69:$R$69)</f>
        <v>0</v>
      </c>
      <c r="U69" s="12">
        <f>$S$69+$T$69</f>
        <v>0</v>
      </c>
    </row>
    <row r="70" spans="1:21" x14ac:dyDescent="0.3">
      <c r="A70" s="13" t="s">
        <v>252</v>
      </c>
      <c r="B70" s="14" t="s">
        <v>253</v>
      </c>
      <c r="C70" s="14"/>
      <c r="D70" s="14" t="s">
        <v>254</v>
      </c>
      <c r="E70" s="14">
        <f xml:space="preserve"> IF($U$70,1,0)</f>
        <v>0</v>
      </c>
      <c r="F70" s="14" t="s">
        <v>255</v>
      </c>
      <c r="G70" s="14">
        <v>0</v>
      </c>
      <c r="H70" s="14">
        <v>0</v>
      </c>
      <c r="I70" s="14">
        <v>0</v>
      </c>
      <c r="J70" s="14">
        <v>0</v>
      </c>
      <c r="K70" s="14">
        <v>0</v>
      </c>
      <c r="L70" s="14">
        <v>0</v>
      </c>
      <c r="M70" s="14">
        <v>0</v>
      </c>
      <c r="N70" s="14">
        <v>0</v>
      </c>
      <c r="O70" s="14">
        <v>0</v>
      </c>
      <c r="P70" s="14">
        <v>0</v>
      </c>
      <c r="Q70" s="15">
        <v>0</v>
      </c>
      <c r="R70" s="15">
        <v>0</v>
      </c>
      <c r="S70" s="15">
        <f>$G$70*$G$8+$H$70*$H$8+$I$70*$I$8+$J$70*$J$8+$K$70*$K$8+$L$70*$L$8+$M$70*$M$8+$N$70*$N$8+$O$70*$O$8+$P$70*$P$8</f>
        <v>0</v>
      </c>
      <c r="T70" s="15">
        <f>SUM($Q$70:$R$70)</f>
        <v>0</v>
      </c>
      <c r="U70" s="15">
        <f>$S$70+$T$70</f>
        <v>0</v>
      </c>
    </row>
    <row r="71" spans="1:21" x14ac:dyDescent="0.3">
      <c r="A71" s="10" t="s">
        <v>256</v>
      </c>
      <c r="B71" s="11" t="s">
        <v>257</v>
      </c>
      <c r="C71" s="11"/>
      <c r="D71" s="11" t="s">
        <v>258</v>
      </c>
      <c r="E71" s="11">
        <f xml:space="preserve"> IF($U$71,1,0)</f>
        <v>0</v>
      </c>
      <c r="F71" s="11" t="s">
        <v>259</v>
      </c>
      <c r="G71" s="11">
        <v>0</v>
      </c>
      <c r="H71" s="11">
        <v>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0</v>
      </c>
      <c r="O71" s="11">
        <v>0</v>
      </c>
      <c r="P71" s="11">
        <v>0</v>
      </c>
      <c r="Q71" s="12">
        <v>0</v>
      </c>
      <c r="R71" s="12">
        <v>0</v>
      </c>
      <c r="S71" s="12">
        <f>$G$71*$G$8+$H$71*$H$8+$I$71*$I$8+$J$71*$J$8+$K$71*$K$8+$L$71*$L$8+$M$71*$M$8+$N$71*$N$8+$O$71*$O$8+$P$71*$P$8</f>
        <v>0</v>
      </c>
      <c r="T71" s="12">
        <f>SUM($Q$71:$R$71)</f>
        <v>0</v>
      </c>
      <c r="U71" s="12">
        <f>$S$71+$T$71</f>
        <v>0</v>
      </c>
    </row>
    <row r="72" spans="1:21" x14ac:dyDescent="0.3">
      <c r="A72" s="13" t="s">
        <v>1248</v>
      </c>
      <c r="B72" s="14" t="s">
        <v>1249</v>
      </c>
      <c r="C72" s="14"/>
      <c r="D72" s="14" t="s">
        <v>1250</v>
      </c>
      <c r="E72" s="14">
        <f xml:space="preserve"> IF($U$72,1,0)</f>
        <v>1</v>
      </c>
      <c r="F72" s="14" t="s">
        <v>1251</v>
      </c>
      <c r="G72" s="14">
        <v>0</v>
      </c>
      <c r="H72" s="14">
        <v>0</v>
      </c>
      <c r="I72" s="14">
        <v>0</v>
      </c>
      <c r="J72" s="14">
        <v>0</v>
      </c>
      <c r="K72" s="14">
        <v>0</v>
      </c>
      <c r="L72" s="14">
        <v>0</v>
      </c>
      <c r="M72" s="14">
        <v>1</v>
      </c>
      <c r="N72" s="14">
        <v>0</v>
      </c>
      <c r="O72" s="14">
        <v>0</v>
      </c>
      <c r="P72" s="14">
        <v>0</v>
      </c>
      <c r="Q72" s="15">
        <v>0</v>
      </c>
      <c r="R72" s="15">
        <v>0</v>
      </c>
      <c r="S72" s="15">
        <f>$G$72*$G$8+$H$72*$H$8+$I$72*$I$8+$J$72*$J$8+$K$72*$K$8+$L$72*$L$8+$M$72*$M$8+$N$72*$N$8+$O$72*$O$8+$P$72*$P$8</f>
        <v>4</v>
      </c>
      <c r="T72" s="15">
        <f>SUM($Q$72:$R$72)</f>
        <v>0</v>
      </c>
      <c r="U72" s="15">
        <f>$S$72+$T$72</f>
        <v>4</v>
      </c>
    </row>
    <row r="73" spans="1:21" x14ac:dyDescent="0.3">
      <c r="A73" s="10" t="s">
        <v>260</v>
      </c>
      <c r="B73" s="11" t="s">
        <v>261</v>
      </c>
      <c r="C73" s="11"/>
      <c r="D73" s="11" t="s">
        <v>262</v>
      </c>
      <c r="E73" s="11">
        <f xml:space="preserve"> IF($U$73,1,0)</f>
        <v>0</v>
      </c>
      <c r="F73" s="11" t="s">
        <v>263</v>
      </c>
      <c r="G73" s="11">
        <v>0</v>
      </c>
      <c r="H73" s="11">
        <v>0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2">
        <v>0</v>
      </c>
      <c r="R73" s="12">
        <v>0</v>
      </c>
      <c r="S73" s="12">
        <f>$G$73*$G$8+$H$73*$H$8+$I$73*$I$8+$J$73*$J$8+$K$73*$K$8+$L$73*$L$8+$M$73*$M$8+$N$73*$N$8+$O$73*$O$8+$P$73*$P$8</f>
        <v>0</v>
      </c>
      <c r="T73" s="12">
        <f>SUM($Q$73:$R$73)</f>
        <v>0</v>
      </c>
      <c r="U73" s="12">
        <f>$S$73+$T$73</f>
        <v>0</v>
      </c>
    </row>
    <row r="74" spans="1:21" x14ac:dyDescent="0.3">
      <c r="A74" s="13" t="s">
        <v>264</v>
      </c>
      <c r="B74" s="14" t="s">
        <v>265</v>
      </c>
      <c r="C74" s="14"/>
      <c r="D74" s="14" t="s">
        <v>266</v>
      </c>
      <c r="E74" s="14">
        <f xml:space="preserve"> IF($U$74,1,0)</f>
        <v>0</v>
      </c>
      <c r="F74" s="14" t="s">
        <v>267</v>
      </c>
      <c r="G74" s="14">
        <v>0</v>
      </c>
      <c r="H74" s="14">
        <v>0</v>
      </c>
      <c r="I74" s="14">
        <v>0</v>
      </c>
      <c r="J74" s="14">
        <v>0</v>
      </c>
      <c r="K74" s="14">
        <v>0</v>
      </c>
      <c r="L74" s="14">
        <v>0</v>
      </c>
      <c r="M74" s="14">
        <v>0</v>
      </c>
      <c r="N74" s="14">
        <v>0</v>
      </c>
      <c r="O74" s="14">
        <v>0</v>
      </c>
      <c r="P74" s="14">
        <v>0</v>
      </c>
      <c r="Q74" s="15">
        <v>0</v>
      </c>
      <c r="R74" s="15">
        <v>0</v>
      </c>
      <c r="S74" s="15">
        <f>$G$74*$G$8+$H$74*$H$8+$I$74*$I$8+$J$74*$J$8+$K$74*$K$8+$L$74*$L$8+$M$74*$M$8+$N$74*$N$8+$O$74*$O$8+$P$74*$P$8</f>
        <v>0</v>
      </c>
      <c r="T74" s="15">
        <f>SUM($Q$74:$R$74)</f>
        <v>0</v>
      </c>
      <c r="U74" s="15">
        <f>$S$74+$T$74</f>
        <v>0</v>
      </c>
    </row>
    <row r="75" spans="1:21" x14ac:dyDescent="0.3">
      <c r="A75" s="10" t="s">
        <v>268</v>
      </c>
      <c r="B75" s="11" t="s">
        <v>269</v>
      </c>
      <c r="C75" s="11"/>
      <c r="D75" s="11" t="s">
        <v>270</v>
      </c>
      <c r="E75" s="11">
        <f xml:space="preserve"> IF($U$75,1,0)</f>
        <v>0</v>
      </c>
      <c r="F75" s="11" t="s">
        <v>271</v>
      </c>
      <c r="G75" s="11">
        <v>0</v>
      </c>
      <c r="H75" s="11">
        <v>0</v>
      </c>
      <c r="I75" s="11">
        <v>0</v>
      </c>
      <c r="J75" s="11">
        <v>0</v>
      </c>
      <c r="K75" s="11">
        <v>0</v>
      </c>
      <c r="L75" s="11">
        <v>0</v>
      </c>
      <c r="M75" s="11">
        <v>0</v>
      </c>
      <c r="N75" s="11">
        <v>0</v>
      </c>
      <c r="O75" s="11">
        <v>0</v>
      </c>
      <c r="P75" s="11">
        <v>0</v>
      </c>
      <c r="Q75" s="12">
        <v>0</v>
      </c>
      <c r="R75" s="12">
        <v>0</v>
      </c>
      <c r="S75" s="12">
        <f>$G$75*$G$8+$H$75*$H$8+$I$75*$I$8+$J$75*$J$8+$K$75*$K$8+$L$75*$L$8+$M$75*$M$8+$N$75*$N$8+$O$75*$O$8+$P$75*$P$8</f>
        <v>0</v>
      </c>
      <c r="T75" s="12">
        <f>SUM($Q$75:$R$75)</f>
        <v>0</v>
      </c>
      <c r="U75" s="12">
        <f>$S$75+$T$75</f>
        <v>0</v>
      </c>
    </row>
    <row r="76" spans="1:21" x14ac:dyDescent="0.3">
      <c r="A76" s="13" t="s">
        <v>272</v>
      </c>
      <c r="B76" s="14" t="s">
        <v>273</v>
      </c>
      <c r="C76" s="14"/>
      <c r="D76" s="14" t="s">
        <v>274</v>
      </c>
      <c r="E76" s="14">
        <f xml:space="preserve"> IF($U$76,1,0)</f>
        <v>1</v>
      </c>
      <c r="F76" s="14" t="s">
        <v>275</v>
      </c>
      <c r="G76" s="14">
        <v>8</v>
      </c>
      <c r="H76" s="14">
        <v>1</v>
      </c>
      <c r="I76" s="14">
        <v>0</v>
      </c>
      <c r="J76" s="14">
        <v>0</v>
      </c>
      <c r="K76" s="14">
        <v>1</v>
      </c>
      <c r="L76" s="14">
        <v>3</v>
      </c>
      <c r="M76" s="14">
        <v>2</v>
      </c>
      <c r="N76" s="14">
        <v>0</v>
      </c>
      <c r="O76" s="14">
        <v>0</v>
      </c>
      <c r="P76" s="14">
        <v>0</v>
      </c>
      <c r="Q76" s="15">
        <v>0</v>
      </c>
      <c r="R76" s="15">
        <v>0</v>
      </c>
      <c r="S76" s="15">
        <f>$G$76*$G$8+$H$76*$H$8+$I$76*$I$8+$J$76*$J$8+$K$76*$K$8+$L$76*$L$8+$M$76*$M$8+$N$76*$N$8+$O$76*$O$8+$P$76*$P$8</f>
        <v>26.4</v>
      </c>
      <c r="T76" s="15">
        <f>SUM($Q$76:$R$76)</f>
        <v>0</v>
      </c>
      <c r="U76" s="15">
        <f>$S$76+$T$76</f>
        <v>26.4</v>
      </c>
    </row>
    <row r="77" spans="1:21" x14ac:dyDescent="0.3">
      <c r="A77" s="10" t="s">
        <v>276</v>
      </c>
      <c r="B77" s="11" t="s">
        <v>277</v>
      </c>
      <c r="C77" s="11" t="s">
        <v>278</v>
      </c>
      <c r="D77" s="11" t="s">
        <v>279</v>
      </c>
      <c r="E77" s="11">
        <f xml:space="preserve"> IF($U$77,1,0)</f>
        <v>1</v>
      </c>
      <c r="F77" s="11" t="s">
        <v>280</v>
      </c>
      <c r="G77" s="11">
        <v>2</v>
      </c>
      <c r="H77" s="11">
        <v>0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2">
        <v>0</v>
      </c>
      <c r="R77" s="12">
        <v>0</v>
      </c>
      <c r="S77" s="12">
        <f>$G$77*$G$8+$H$77*$H$8+$I$77*$I$8+$J$77*$J$8+$K$77*$K$8+$L$77*$L$8+$M$77*$M$8+$N$77*$N$8+$O$77*$O$8+$P$77*$P$8</f>
        <v>1.4</v>
      </c>
      <c r="T77" s="12">
        <f>SUM($Q$77:$R$77)</f>
        <v>0</v>
      </c>
      <c r="U77" s="12">
        <f>$S$77+$T$77</f>
        <v>1.4</v>
      </c>
    </row>
    <row r="78" spans="1:21" x14ac:dyDescent="0.3">
      <c r="A78" s="13" t="s">
        <v>281</v>
      </c>
      <c r="B78" s="14" t="s">
        <v>282</v>
      </c>
      <c r="C78" s="14" t="s">
        <v>283</v>
      </c>
      <c r="D78" s="14" t="s">
        <v>284</v>
      </c>
      <c r="E78" s="14">
        <f xml:space="preserve"> IF($U$78,1,0)</f>
        <v>0</v>
      </c>
      <c r="F78" s="14" t="s">
        <v>285</v>
      </c>
      <c r="G78" s="14">
        <v>0</v>
      </c>
      <c r="H78" s="14">
        <v>0</v>
      </c>
      <c r="I78" s="14">
        <v>0</v>
      </c>
      <c r="J78" s="14">
        <v>0</v>
      </c>
      <c r="K78" s="14">
        <v>0</v>
      </c>
      <c r="L78" s="14">
        <v>0</v>
      </c>
      <c r="M78" s="14">
        <v>0</v>
      </c>
      <c r="N78" s="14">
        <v>0</v>
      </c>
      <c r="O78" s="14">
        <v>0</v>
      </c>
      <c r="P78" s="14">
        <v>0</v>
      </c>
      <c r="Q78" s="15">
        <v>0</v>
      </c>
      <c r="R78" s="15">
        <v>0</v>
      </c>
      <c r="S78" s="15">
        <f>$G$78*$G$8+$H$78*$H$8+$I$78*$I$8+$J$78*$J$8+$K$78*$K$8+$L$78*$L$8+$M$78*$M$8+$N$78*$N$8+$O$78*$O$8+$P$78*$P$8</f>
        <v>0</v>
      </c>
      <c r="T78" s="15">
        <f>SUM($Q$78:$R$78)</f>
        <v>0</v>
      </c>
      <c r="U78" s="15">
        <f>$S$78+$T$78</f>
        <v>0</v>
      </c>
    </row>
    <row r="79" spans="1:21" x14ac:dyDescent="0.3">
      <c r="A79" s="10" t="s">
        <v>286</v>
      </c>
      <c r="B79" s="11" t="s">
        <v>287</v>
      </c>
      <c r="C79" s="11" t="s">
        <v>278</v>
      </c>
      <c r="D79" s="11" t="s">
        <v>288</v>
      </c>
      <c r="E79" s="11">
        <f xml:space="preserve"> IF($U$79,1,0)</f>
        <v>0</v>
      </c>
      <c r="F79" s="11" t="s">
        <v>289</v>
      </c>
      <c r="G79" s="11">
        <v>0</v>
      </c>
      <c r="H79" s="11">
        <v>0</v>
      </c>
      <c r="I79" s="11">
        <v>0</v>
      </c>
      <c r="J79" s="11">
        <v>0</v>
      </c>
      <c r="K79" s="11">
        <v>0</v>
      </c>
      <c r="L79" s="11">
        <v>0</v>
      </c>
      <c r="M79" s="11">
        <v>0</v>
      </c>
      <c r="N79" s="11">
        <v>0</v>
      </c>
      <c r="O79" s="11">
        <v>0</v>
      </c>
      <c r="P79" s="11">
        <v>0</v>
      </c>
      <c r="Q79" s="12">
        <v>0</v>
      </c>
      <c r="R79" s="12">
        <v>0</v>
      </c>
      <c r="S79" s="12">
        <f>$G$79*$G$8+$H$79*$H$8+$I$79*$I$8+$J$79*$J$8+$K$79*$K$8+$L$79*$L$8+$M$79*$M$8+$N$79*$N$8+$O$79*$O$8+$P$79*$P$8</f>
        <v>0</v>
      </c>
      <c r="T79" s="12">
        <f>SUM($Q$79:$R$79)</f>
        <v>0</v>
      </c>
      <c r="U79" s="12">
        <f>$S$79+$T$79</f>
        <v>0</v>
      </c>
    </row>
    <row r="80" spans="1:21" x14ac:dyDescent="0.3">
      <c r="A80" s="13" t="s">
        <v>290</v>
      </c>
      <c r="B80" s="14" t="s">
        <v>291</v>
      </c>
      <c r="C80" s="14"/>
      <c r="D80" s="14" t="s">
        <v>292</v>
      </c>
      <c r="E80" s="14">
        <f xml:space="preserve"> IF($U$80,1,0)</f>
        <v>0</v>
      </c>
      <c r="F80" s="14" t="s">
        <v>293</v>
      </c>
      <c r="G80" s="14">
        <v>0</v>
      </c>
      <c r="H80" s="14">
        <v>0</v>
      </c>
      <c r="I80" s="14">
        <v>0</v>
      </c>
      <c r="J80" s="14">
        <v>0</v>
      </c>
      <c r="K80" s="14">
        <v>0</v>
      </c>
      <c r="L80" s="14">
        <v>0</v>
      </c>
      <c r="M80" s="14">
        <v>0</v>
      </c>
      <c r="N80" s="14">
        <v>0</v>
      </c>
      <c r="O80" s="14">
        <v>0</v>
      </c>
      <c r="P80" s="14">
        <v>0</v>
      </c>
      <c r="Q80" s="15">
        <v>0</v>
      </c>
      <c r="R80" s="15">
        <v>0</v>
      </c>
      <c r="S80" s="15">
        <f>$G$80*$G$8+$H$80*$H$8+$I$80*$I$8+$J$80*$J$8+$K$80*$K$8+$L$80*$L$8+$M$80*$M$8+$N$80*$N$8+$O$80*$O$8+$P$80*$P$8</f>
        <v>0</v>
      </c>
      <c r="T80" s="15">
        <f>SUM($Q$80:$R$80)</f>
        <v>0</v>
      </c>
      <c r="U80" s="15">
        <f>$S$80+$T$80</f>
        <v>0</v>
      </c>
    </row>
    <row r="81" spans="1:21" x14ac:dyDescent="0.3">
      <c r="A81" s="10" t="s">
        <v>294</v>
      </c>
      <c r="B81" s="11" t="s">
        <v>295</v>
      </c>
      <c r="C81" s="11"/>
      <c r="D81" s="11" t="s">
        <v>296</v>
      </c>
      <c r="E81" s="11">
        <f xml:space="preserve"> IF($U$81,1,0)</f>
        <v>0</v>
      </c>
      <c r="F81" s="11" t="s">
        <v>297</v>
      </c>
      <c r="G81" s="11">
        <v>0</v>
      </c>
      <c r="H81" s="11">
        <v>0</v>
      </c>
      <c r="I81" s="11">
        <v>0</v>
      </c>
      <c r="J81" s="11">
        <v>0</v>
      </c>
      <c r="K81" s="11">
        <v>0</v>
      </c>
      <c r="L81" s="11">
        <v>0</v>
      </c>
      <c r="M81" s="11">
        <v>0</v>
      </c>
      <c r="N81" s="11">
        <v>0</v>
      </c>
      <c r="O81" s="11">
        <v>0</v>
      </c>
      <c r="P81" s="11">
        <v>0</v>
      </c>
      <c r="Q81" s="12">
        <v>0</v>
      </c>
      <c r="R81" s="12">
        <v>0</v>
      </c>
      <c r="S81" s="12">
        <f>$G$81*$G$8+$H$81*$H$8+$I$81*$I$8+$J$81*$J$8+$K$81*$K$8+$L$81*$L$8+$M$81*$M$8+$N$81*$N$8+$O$81*$O$8+$P$81*$P$8</f>
        <v>0</v>
      </c>
      <c r="T81" s="12">
        <f>SUM($Q$81:$R$81)</f>
        <v>0</v>
      </c>
      <c r="U81" s="12">
        <f>$S$81+$T$81</f>
        <v>0</v>
      </c>
    </row>
    <row r="82" spans="1:21" x14ac:dyDescent="0.3">
      <c r="A82" s="13" t="s">
        <v>298</v>
      </c>
      <c r="B82" s="14" t="s">
        <v>295</v>
      </c>
      <c r="C82" s="14"/>
      <c r="D82" s="14" t="s">
        <v>299</v>
      </c>
      <c r="E82" s="14">
        <f xml:space="preserve"> IF($U$82,1,0)</f>
        <v>0</v>
      </c>
      <c r="F82" s="14" t="s">
        <v>300</v>
      </c>
      <c r="G82" s="14">
        <v>0</v>
      </c>
      <c r="H82" s="14">
        <v>0</v>
      </c>
      <c r="I82" s="14">
        <v>0</v>
      </c>
      <c r="J82" s="14">
        <v>0</v>
      </c>
      <c r="K82" s="14">
        <v>0</v>
      </c>
      <c r="L82" s="14">
        <v>0</v>
      </c>
      <c r="M82" s="14">
        <v>0</v>
      </c>
      <c r="N82" s="14">
        <v>0</v>
      </c>
      <c r="O82" s="14">
        <v>0</v>
      </c>
      <c r="P82" s="14">
        <v>0</v>
      </c>
      <c r="Q82" s="15">
        <v>0</v>
      </c>
      <c r="R82" s="15">
        <v>0</v>
      </c>
      <c r="S82" s="15">
        <f>$G$82*$G$8+$H$82*$H$8+$I$82*$I$8+$J$82*$J$8+$K$82*$K$8+$L$82*$L$8+$M$82*$M$8+$N$82*$N$8+$O$82*$O$8+$P$82*$P$8</f>
        <v>0</v>
      </c>
      <c r="T82" s="15">
        <f>SUM($Q$82:$R$82)</f>
        <v>0</v>
      </c>
      <c r="U82" s="15">
        <f>$S$82+$T$82</f>
        <v>0</v>
      </c>
    </row>
    <row r="83" spans="1:21" x14ac:dyDescent="0.3">
      <c r="A83" s="10" t="s">
        <v>301</v>
      </c>
      <c r="B83" s="11" t="s">
        <v>302</v>
      </c>
      <c r="C83" s="11"/>
      <c r="D83" s="11" t="s">
        <v>303</v>
      </c>
      <c r="E83" s="11">
        <f xml:space="preserve"> IF($U$83,1,0)</f>
        <v>0</v>
      </c>
      <c r="F83" s="11" t="s">
        <v>304</v>
      </c>
      <c r="G83" s="11">
        <v>0</v>
      </c>
      <c r="H83" s="11">
        <v>0</v>
      </c>
      <c r="I83" s="11">
        <v>0</v>
      </c>
      <c r="J83" s="11">
        <v>0</v>
      </c>
      <c r="K83" s="11">
        <v>0</v>
      </c>
      <c r="L83" s="11">
        <v>0</v>
      </c>
      <c r="M83" s="11">
        <v>0</v>
      </c>
      <c r="N83" s="11">
        <v>0</v>
      </c>
      <c r="O83" s="11">
        <v>0</v>
      </c>
      <c r="P83" s="11">
        <v>0</v>
      </c>
      <c r="Q83" s="12">
        <v>0</v>
      </c>
      <c r="R83" s="12">
        <v>0</v>
      </c>
      <c r="S83" s="12">
        <f>$G$83*$G$8+$H$83*$H$8+$I$83*$I$8+$J$83*$J$8+$K$83*$K$8+$L$83*$L$8+$M$83*$M$8+$N$83*$N$8+$O$83*$O$8+$P$83*$P$8</f>
        <v>0</v>
      </c>
      <c r="T83" s="12">
        <f>SUM($Q$83:$R$83)</f>
        <v>0</v>
      </c>
      <c r="U83" s="12">
        <f>$S$83+$T$83</f>
        <v>0</v>
      </c>
    </row>
    <row r="84" spans="1:21" x14ac:dyDescent="0.3">
      <c r="A84" s="13" t="s">
        <v>305</v>
      </c>
      <c r="B84" s="14" t="s">
        <v>306</v>
      </c>
      <c r="C84" s="14"/>
      <c r="D84" s="14" t="s">
        <v>307</v>
      </c>
      <c r="E84" s="14">
        <f xml:space="preserve"> IF($U$84,1,0)</f>
        <v>0</v>
      </c>
      <c r="F84" s="14" t="s">
        <v>308</v>
      </c>
      <c r="G84" s="14">
        <v>0</v>
      </c>
      <c r="H84" s="14">
        <v>0</v>
      </c>
      <c r="I84" s="14">
        <v>0</v>
      </c>
      <c r="J84" s="14">
        <v>0</v>
      </c>
      <c r="K84" s="14">
        <v>0</v>
      </c>
      <c r="L84" s="14">
        <v>0</v>
      </c>
      <c r="M84" s="14">
        <v>0</v>
      </c>
      <c r="N84" s="14">
        <v>0</v>
      </c>
      <c r="O84" s="14">
        <v>0</v>
      </c>
      <c r="P84" s="14">
        <v>0</v>
      </c>
      <c r="Q84" s="15">
        <v>0</v>
      </c>
      <c r="R84" s="15">
        <v>0</v>
      </c>
      <c r="S84" s="15">
        <f>$G$84*$G$8+$H$84*$H$8+$I$84*$I$8+$J$84*$J$8+$K$84*$K$8+$L$84*$L$8+$M$84*$M$8+$N$84*$N$8+$O$84*$O$8+$P$84*$P$8</f>
        <v>0</v>
      </c>
      <c r="T84" s="15">
        <f>SUM($Q$84:$R$84)</f>
        <v>0</v>
      </c>
      <c r="U84" s="15">
        <f>$S$84+$T$84</f>
        <v>0</v>
      </c>
    </row>
    <row r="85" spans="1:21" x14ac:dyDescent="0.3">
      <c r="A85" s="10" t="s">
        <v>309</v>
      </c>
      <c r="B85" s="11" t="s">
        <v>310</v>
      </c>
      <c r="C85" s="11"/>
      <c r="D85" s="11" t="s">
        <v>311</v>
      </c>
      <c r="E85" s="11">
        <f xml:space="preserve"> IF($U$85,1,0)</f>
        <v>0</v>
      </c>
      <c r="F85" s="11" t="s">
        <v>312</v>
      </c>
      <c r="G85" s="11">
        <v>0</v>
      </c>
      <c r="H85" s="11">
        <v>0</v>
      </c>
      <c r="I85" s="11">
        <v>0</v>
      </c>
      <c r="J85" s="11">
        <v>0</v>
      </c>
      <c r="K85" s="11">
        <v>0</v>
      </c>
      <c r="L85" s="11">
        <v>0</v>
      </c>
      <c r="M85" s="11">
        <v>0</v>
      </c>
      <c r="N85" s="11">
        <v>0</v>
      </c>
      <c r="O85" s="11">
        <v>0</v>
      </c>
      <c r="P85" s="11">
        <v>0</v>
      </c>
      <c r="Q85" s="12">
        <v>0</v>
      </c>
      <c r="R85" s="12">
        <v>0</v>
      </c>
      <c r="S85" s="12">
        <f>$G$85*$G$8+$H$85*$H$8+$I$85*$I$8+$J$85*$J$8+$K$85*$K$8+$L$85*$L$8+$M$85*$M$8+$N$85*$N$8+$O$85*$O$8+$P$85*$P$8</f>
        <v>0</v>
      </c>
      <c r="T85" s="12">
        <f>SUM($Q$85:$R$85)</f>
        <v>0</v>
      </c>
      <c r="U85" s="12">
        <f>$S$85+$T$85</f>
        <v>0</v>
      </c>
    </row>
    <row r="86" spans="1:21" x14ac:dyDescent="0.3">
      <c r="A86" s="13" t="s">
        <v>313</v>
      </c>
      <c r="B86" s="14" t="s">
        <v>314</v>
      </c>
      <c r="C86" s="14"/>
      <c r="D86" s="14" t="s">
        <v>315</v>
      </c>
      <c r="E86" s="14">
        <f xml:space="preserve"> IF($U$86,1,0)</f>
        <v>1</v>
      </c>
      <c r="F86" s="14" t="s">
        <v>316</v>
      </c>
      <c r="G86" s="14">
        <v>4</v>
      </c>
      <c r="H86" s="14">
        <v>2</v>
      </c>
      <c r="I86" s="14">
        <v>0</v>
      </c>
      <c r="J86" s="14">
        <v>0</v>
      </c>
      <c r="K86" s="14">
        <v>0</v>
      </c>
      <c r="L86" s="14">
        <v>0</v>
      </c>
      <c r="M86" s="14">
        <v>0</v>
      </c>
      <c r="N86" s="14">
        <v>0</v>
      </c>
      <c r="O86" s="14">
        <v>0</v>
      </c>
      <c r="P86" s="14">
        <v>0</v>
      </c>
      <c r="Q86" s="15">
        <v>0</v>
      </c>
      <c r="R86" s="15">
        <v>0</v>
      </c>
      <c r="S86" s="15">
        <f>$G$86*$G$8+$H$86*$H$8+$I$86*$I$8+$J$86*$J$8+$K$86*$K$8+$L$86*$L$8+$M$86*$M$8+$N$86*$N$8+$O$86*$O$8+$P$86*$P$8</f>
        <v>6.4</v>
      </c>
      <c r="T86" s="15">
        <f>SUM($Q$86:$R$86)</f>
        <v>0</v>
      </c>
      <c r="U86" s="15">
        <f>$S$86+$T$86</f>
        <v>6.4</v>
      </c>
    </row>
    <row r="87" spans="1:21" x14ac:dyDescent="0.3">
      <c r="A87" s="10" t="s">
        <v>317</v>
      </c>
      <c r="B87" s="11" t="s">
        <v>318</v>
      </c>
      <c r="C87" s="11"/>
      <c r="D87" s="11" t="s">
        <v>319</v>
      </c>
      <c r="E87" s="11">
        <f xml:space="preserve"> IF($U$87,1,0)</f>
        <v>0</v>
      </c>
      <c r="F87" s="11" t="s">
        <v>320</v>
      </c>
      <c r="G87" s="11">
        <v>0</v>
      </c>
      <c r="H87" s="11">
        <v>0</v>
      </c>
      <c r="I87" s="11">
        <v>0</v>
      </c>
      <c r="J87" s="11">
        <v>0</v>
      </c>
      <c r="K87" s="11">
        <v>0</v>
      </c>
      <c r="L87" s="11">
        <v>0</v>
      </c>
      <c r="M87" s="11">
        <v>0</v>
      </c>
      <c r="N87" s="11">
        <v>0</v>
      </c>
      <c r="O87" s="11">
        <v>0</v>
      </c>
      <c r="P87" s="11">
        <v>0</v>
      </c>
      <c r="Q87" s="12">
        <v>0</v>
      </c>
      <c r="R87" s="12">
        <v>0</v>
      </c>
      <c r="S87" s="12">
        <f>$G$87*$G$8+$H$87*$H$8+$I$87*$I$8+$J$87*$J$8+$K$87*$K$8+$L$87*$L$8+$M$87*$M$8+$N$87*$N$8+$O$87*$O$8+$P$87*$P$8</f>
        <v>0</v>
      </c>
      <c r="T87" s="12">
        <f>SUM($Q$87:$R$87)</f>
        <v>0</v>
      </c>
      <c r="U87" s="12">
        <f>$S$87+$T$87</f>
        <v>0</v>
      </c>
    </row>
    <row r="88" spans="1:21" x14ac:dyDescent="0.3">
      <c r="A88" s="13" t="s">
        <v>321</v>
      </c>
      <c r="B88" s="14" t="s">
        <v>322</v>
      </c>
      <c r="C88" s="14"/>
      <c r="D88" s="14" t="s">
        <v>323</v>
      </c>
      <c r="E88" s="14">
        <f xml:space="preserve"> IF($U$88,1,0)</f>
        <v>0</v>
      </c>
      <c r="F88" s="14" t="s">
        <v>324</v>
      </c>
      <c r="G88" s="14">
        <v>0</v>
      </c>
      <c r="H88" s="14">
        <v>0</v>
      </c>
      <c r="I88" s="14">
        <v>0</v>
      </c>
      <c r="J88" s="14">
        <v>0</v>
      </c>
      <c r="K88" s="14">
        <v>0</v>
      </c>
      <c r="L88" s="14">
        <v>0</v>
      </c>
      <c r="M88" s="14">
        <v>0</v>
      </c>
      <c r="N88" s="14">
        <v>0</v>
      </c>
      <c r="O88" s="14">
        <v>0</v>
      </c>
      <c r="P88" s="14">
        <v>0</v>
      </c>
      <c r="Q88" s="15">
        <v>0</v>
      </c>
      <c r="R88" s="15">
        <v>0</v>
      </c>
      <c r="S88" s="15">
        <f>$G$88*$G$8+$H$88*$H$8+$I$88*$I$8+$J$88*$J$8+$K$88*$K$8+$L$88*$L$8+$M$88*$M$8+$N$88*$N$8+$O$88*$O$8+$P$88*$P$8</f>
        <v>0</v>
      </c>
      <c r="T88" s="15">
        <f>SUM($Q$88:$R$88)</f>
        <v>0</v>
      </c>
      <c r="U88" s="15">
        <f>$S$88+$T$88</f>
        <v>0</v>
      </c>
    </row>
    <row r="89" spans="1:21" x14ac:dyDescent="0.3">
      <c r="A89" s="10" t="s">
        <v>325</v>
      </c>
      <c r="B89" s="11" t="s">
        <v>326</v>
      </c>
      <c r="C89" s="11" t="s">
        <v>243</v>
      </c>
      <c r="D89" s="11" t="s">
        <v>327</v>
      </c>
      <c r="E89" s="11">
        <f xml:space="preserve"> IF($U$89,1,0)</f>
        <v>0</v>
      </c>
      <c r="F89" s="11" t="s">
        <v>328</v>
      </c>
      <c r="G89" s="11">
        <v>0</v>
      </c>
      <c r="H89" s="11">
        <v>0</v>
      </c>
      <c r="I89" s="11">
        <v>0</v>
      </c>
      <c r="J89" s="11">
        <v>0</v>
      </c>
      <c r="K89" s="11">
        <v>0</v>
      </c>
      <c r="L89" s="11">
        <v>0</v>
      </c>
      <c r="M89" s="11">
        <v>0</v>
      </c>
      <c r="N89" s="11">
        <v>0</v>
      </c>
      <c r="O89" s="11">
        <v>0</v>
      </c>
      <c r="P89" s="11">
        <v>0</v>
      </c>
      <c r="Q89" s="12">
        <v>0</v>
      </c>
      <c r="R89" s="12">
        <v>0</v>
      </c>
      <c r="S89" s="12">
        <f>$G$89*$G$8+$H$89*$H$8+$I$89*$I$8+$J$89*$J$8+$K$89*$K$8+$L$89*$L$8+$M$89*$M$8+$N$89*$N$8+$O$89*$O$8+$P$89*$P$8</f>
        <v>0</v>
      </c>
      <c r="T89" s="12">
        <f>SUM($Q$89:$R$89)</f>
        <v>0</v>
      </c>
      <c r="U89" s="12">
        <f>$S$89+$T$89</f>
        <v>0</v>
      </c>
    </row>
    <row r="90" spans="1:21" x14ac:dyDescent="0.3">
      <c r="A90" s="13" t="s">
        <v>329</v>
      </c>
      <c r="B90" s="14" t="s">
        <v>330</v>
      </c>
      <c r="C90" s="14"/>
      <c r="D90" s="14" t="s">
        <v>331</v>
      </c>
      <c r="E90" s="14">
        <f xml:space="preserve"> IF($U$90,1,0)</f>
        <v>1</v>
      </c>
      <c r="F90" s="14" t="s">
        <v>332</v>
      </c>
      <c r="G90" s="14">
        <v>0</v>
      </c>
      <c r="H90" s="14">
        <v>0</v>
      </c>
      <c r="I90" s="14">
        <v>0</v>
      </c>
      <c r="J90" s="14">
        <v>0</v>
      </c>
      <c r="K90" s="14">
        <v>1</v>
      </c>
      <c r="L90" s="14">
        <v>1</v>
      </c>
      <c r="M90" s="14">
        <v>0</v>
      </c>
      <c r="N90" s="14">
        <v>0</v>
      </c>
      <c r="O90" s="14">
        <v>0</v>
      </c>
      <c r="P90" s="14">
        <v>0</v>
      </c>
      <c r="Q90" s="15">
        <v>0</v>
      </c>
      <c r="R90" s="15">
        <v>0</v>
      </c>
      <c r="S90" s="15">
        <f>$G$90*$G$8+$H$90*$H$8+$I$90*$I$8+$J$90*$J$8+$K$90*$K$8+$L$90*$L$8+$M$90*$M$8+$N$90*$N$8+$O$90*$O$8+$P$90*$P$8</f>
        <v>5</v>
      </c>
      <c r="T90" s="15">
        <f>SUM($Q$90:$R$90)</f>
        <v>0</v>
      </c>
      <c r="U90" s="15">
        <f>$S$90+$T$90</f>
        <v>5</v>
      </c>
    </row>
    <row r="91" spans="1:21" x14ac:dyDescent="0.3">
      <c r="A91" s="10" t="s">
        <v>333</v>
      </c>
      <c r="B91" s="11" t="s">
        <v>334</v>
      </c>
      <c r="C91" s="11"/>
      <c r="D91" s="11" t="s">
        <v>335</v>
      </c>
      <c r="E91" s="11">
        <f xml:space="preserve"> IF($U$91,1,0)</f>
        <v>0</v>
      </c>
      <c r="F91" s="11" t="s">
        <v>336</v>
      </c>
      <c r="G91" s="11">
        <v>0</v>
      </c>
      <c r="H91" s="11">
        <v>0</v>
      </c>
      <c r="I91" s="11">
        <v>0</v>
      </c>
      <c r="J91" s="11">
        <v>0</v>
      </c>
      <c r="K91" s="11">
        <v>0</v>
      </c>
      <c r="L91" s="11">
        <v>0</v>
      </c>
      <c r="M91" s="11">
        <v>0</v>
      </c>
      <c r="N91" s="11">
        <v>0</v>
      </c>
      <c r="O91" s="11">
        <v>0</v>
      </c>
      <c r="P91" s="11">
        <v>0</v>
      </c>
      <c r="Q91" s="12">
        <v>0</v>
      </c>
      <c r="R91" s="12">
        <v>0</v>
      </c>
      <c r="S91" s="12">
        <f>$G$91*$G$8+$H$91*$H$8+$I$91*$I$8+$J$91*$J$8+$K$91*$K$8+$L$91*$L$8+$M$91*$M$8+$N$91*$N$8+$O$91*$O$8+$P$91*$P$8</f>
        <v>0</v>
      </c>
      <c r="T91" s="12">
        <f>SUM($Q$91:$R$91)</f>
        <v>0</v>
      </c>
      <c r="U91" s="12">
        <f>$S$91+$T$91</f>
        <v>0</v>
      </c>
    </row>
    <row r="92" spans="1:21" x14ac:dyDescent="0.3">
      <c r="A92" s="13" t="s">
        <v>337</v>
      </c>
      <c r="B92" s="14" t="s">
        <v>334</v>
      </c>
      <c r="C92" s="14"/>
      <c r="D92" s="14" t="s">
        <v>338</v>
      </c>
      <c r="E92" s="14">
        <f xml:space="preserve"> IF($U$92,1,0)</f>
        <v>0</v>
      </c>
      <c r="F92" s="14" t="s">
        <v>339</v>
      </c>
      <c r="G92" s="14">
        <v>0</v>
      </c>
      <c r="H92" s="14">
        <v>0</v>
      </c>
      <c r="I92" s="14">
        <v>0</v>
      </c>
      <c r="J92" s="14">
        <v>0</v>
      </c>
      <c r="K92" s="14">
        <v>0</v>
      </c>
      <c r="L92" s="14">
        <v>0</v>
      </c>
      <c r="M92" s="14">
        <v>0</v>
      </c>
      <c r="N92" s="14">
        <v>0</v>
      </c>
      <c r="O92" s="14">
        <v>0</v>
      </c>
      <c r="P92" s="14">
        <v>0</v>
      </c>
      <c r="Q92" s="15">
        <v>0</v>
      </c>
      <c r="R92" s="15">
        <v>0</v>
      </c>
      <c r="S92" s="15">
        <f>$G$92*$G$8+$H$92*$H$8+$I$92*$I$8+$J$92*$J$8+$K$92*$K$8+$L$92*$L$8+$M$92*$M$8+$N$92*$N$8+$O$92*$O$8+$P$92*$P$8</f>
        <v>0</v>
      </c>
      <c r="T92" s="15">
        <f>SUM($Q$92:$R$92)</f>
        <v>0</v>
      </c>
      <c r="U92" s="15">
        <f>$S$92+$T$92</f>
        <v>0</v>
      </c>
    </row>
    <row r="93" spans="1:21" x14ac:dyDescent="0.3">
      <c r="A93" s="10" t="s">
        <v>340</v>
      </c>
      <c r="B93" s="11" t="s">
        <v>341</v>
      </c>
      <c r="C93" s="11" t="s">
        <v>342</v>
      </c>
      <c r="D93" s="11" t="s">
        <v>343</v>
      </c>
      <c r="E93" s="11">
        <f xml:space="preserve"> IF($U$93,1,0)</f>
        <v>0</v>
      </c>
      <c r="F93" s="11" t="s">
        <v>344</v>
      </c>
      <c r="G93" s="11">
        <v>0</v>
      </c>
      <c r="H93" s="11">
        <v>0</v>
      </c>
      <c r="I93" s="11">
        <v>0</v>
      </c>
      <c r="J93" s="11">
        <v>0</v>
      </c>
      <c r="K93" s="11">
        <v>0</v>
      </c>
      <c r="L93" s="11">
        <v>0</v>
      </c>
      <c r="M93" s="11">
        <v>0</v>
      </c>
      <c r="N93" s="11">
        <v>0</v>
      </c>
      <c r="O93" s="11">
        <v>0</v>
      </c>
      <c r="P93" s="11">
        <v>0</v>
      </c>
      <c r="Q93" s="12">
        <v>0</v>
      </c>
      <c r="R93" s="12">
        <v>0</v>
      </c>
      <c r="S93" s="12">
        <f>$G$93*$G$8+$H$93*$H$8+$I$93*$I$8+$J$93*$J$8+$K$93*$K$8+$L$93*$L$8+$M$93*$M$8+$N$93*$N$8+$O$93*$O$8+$P$93*$P$8</f>
        <v>0</v>
      </c>
      <c r="T93" s="12">
        <f>SUM($Q$93:$R$93)</f>
        <v>0</v>
      </c>
      <c r="U93" s="12">
        <f>$S$93+$T$93</f>
        <v>0</v>
      </c>
    </row>
    <row r="94" spans="1:21" x14ac:dyDescent="0.3">
      <c r="A94" s="13" t="s">
        <v>345</v>
      </c>
      <c r="B94" s="14" t="s">
        <v>346</v>
      </c>
      <c r="C94" s="14"/>
      <c r="D94" s="14" t="s">
        <v>347</v>
      </c>
      <c r="E94" s="14">
        <f xml:space="preserve"> IF($U$94,1,0)</f>
        <v>0</v>
      </c>
      <c r="F94" s="14" t="s">
        <v>348</v>
      </c>
      <c r="G94" s="14">
        <v>0</v>
      </c>
      <c r="H94" s="14">
        <v>0</v>
      </c>
      <c r="I94" s="14">
        <v>0</v>
      </c>
      <c r="J94" s="14">
        <v>0</v>
      </c>
      <c r="K94" s="14">
        <v>0</v>
      </c>
      <c r="L94" s="14">
        <v>0</v>
      </c>
      <c r="M94" s="14">
        <v>0</v>
      </c>
      <c r="N94" s="14">
        <v>0</v>
      </c>
      <c r="O94" s="14">
        <v>0</v>
      </c>
      <c r="P94" s="14">
        <v>0</v>
      </c>
      <c r="Q94" s="15">
        <v>0</v>
      </c>
      <c r="R94" s="15">
        <v>0</v>
      </c>
      <c r="S94" s="15">
        <f>$G$94*$G$8+$H$94*$H$8+$I$94*$I$8+$J$94*$J$8+$K$94*$K$8+$L$94*$L$8+$M$94*$M$8+$N$94*$N$8+$O$94*$O$8+$P$94*$P$8</f>
        <v>0</v>
      </c>
      <c r="T94" s="15">
        <f>SUM($Q$94:$R$94)</f>
        <v>0</v>
      </c>
      <c r="U94" s="15">
        <f>$S$94+$T$94</f>
        <v>0</v>
      </c>
    </row>
    <row r="95" spans="1:21" x14ac:dyDescent="0.3">
      <c r="A95" s="10" t="s">
        <v>349</v>
      </c>
      <c r="B95" s="11" t="s">
        <v>350</v>
      </c>
      <c r="C95" s="11"/>
      <c r="D95" s="11" t="s">
        <v>351</v>
      </c>
      <c r="E95" s="11">
        <f xml:space="preserve"> IF($U$95,1,0)</f>
        <v>0</v>
      </c>
      <c r="F95" s="11" t="s">
        <v>352</v>
      </c>
      <c r="G95" s="11">
        <v>0</v>
      </c>
      <c r="H95" s="11">
        <v>0</v>
      </c>
      <c r="I95" s="11">
        <v>0</v>
      </c>
      <c r="J95" s="11">
        <v>0</v>
      </c>
      <c r="K95" s="11">
        <v>0</v>
      </c>
      <c r="L95" s="11">
        <v>0</v>
      </c>
      <c r="M95" s="11">
        <v>0</v>
      </c>
      <c r="N95" s="11">
        <v>0</v>
      </c>
      <c r="O95" s="11">
        <v>0</v>
      </c>
      <c r="P95" s="11">
        <v>0</v>
      </c>
      <c r="Q95" s="12">
        <v>0</v>
      </c>
      <c r="R95" s="12">
        <v>0</v>
      </c>
      <c r="S95" s="12">
        <f>$G$95*$G$8+$H$95*$H$8+$I$95*$I$8+$J$95*$J$8+$K$95*$K$8+$L$95*$L$8+$M$95*$M$8+$N$95*$N$8+$O$95*$O$8+$P$95*$P$8</f>
        <v>0</v>
      </c>
      <c r="T95" s="12">
        <f>SUM($Q$95:$R$95)</f>
        <v>0</v>
      </c>
      <c r="U95" s="12">
        <f>$S$95+$T$95</f>
        <v>0</v>
      </c>
    </row>
    <row r="96" spans="1:21" x14ac:dyDescent="0.3">
      <c r="A96" s="13" t="s">
        <v>353</v>
      </c>
      <c r="B96" s="14" t="s">
        <v>354</v>
      </c>
      <c r="C96" s="14"/>
      <c r="D96" s="14" t="s">
        <v>355</v>
      </c>
      <c r="E96" s="14">
        <f xml:space="preserve"> IF($U$96,1,0)</f>
        <v>0</v>
      </c>
      <c r="F96" s="14" t="s">
        <v>356</v>
      </c>
      <c r="G96" s="14">
        <v>0</v>
      </c>
      <c r="H96" s="14">
        <v>0</v>
      </c>
      <c r="I96" s="14">
        <v>0</v>
      </c>
      <c r="J96" s="14">
        <v>0</v>
      </c>
      <c r="K96" s="14">
        <v>0</v>
      </c>
      <c r="L96" s="14">
        <v>0</v>
      </c>
      <c r="M96" s="14">
        <v>0</v>
      </c>
      <c r="N96" s="14">
        <v>0</v>
      </c>
      <c r="O96" s="14">
        <v>0</v>
      </c>
      <c r="P96" s="14">
        <v>0</v>
      </c>
      <c r="Q96" s="15">
        <v>0</v>
      </c>
      <c r="R96" s="15">
        <v>0</v>
      </c>
      <c r="S96" s="15">
        <f>$G$96*$G$8+$H$96*$H$8+$I$96*$I$8+$J$96*$J$8+$K$96*$K$8+$L$96*$L$8+$M$96*$M$8+$N$96*$N$8+$O$96*$O$8+$P$96*$P$8</f>
        <v>0</v>
      </c>
      <c r="T96" s="15">
        <f>SUM($Q$96:$R$96)</f>
        <v>0</v>
      </c>
      <c r="U96" s="15">
        <f>$S$96+$T$96</f>
        <v>0</v>
      </c>
    </row>
    <row r="97" spans="1:21" x14ac:dyDescent="0.3">
      <c r="A97" s="10" t="s">
        <v>357</v>
      </c>
      <c r="B97" s="11" t="s">
        <v>358</v>
      </c>
      <c r="C97" s="11" t="s">
        <v>34</v>
      </c>
      <c r="D97" s="11" t="s">
        <v>359</v>
      </c>
      <c r="E97" s="11">
        <f xml:space="preserve"> IF($U$97,1,0)</f>
        <v>0</v>
      </c>
      <c r="F97" s="11" t="s">
        <v>360</v>
      </c>
      <c r="G97" s="11">
        <v>0</v>
      </c>
      <c r="H97" s="11">
        <v>0</v>
      </c>
      <c r="I97" s="11">
        <v>0</v>
      </c>
      <c r="J97" s="11">
        <v>0</v>
      </c>
      <c r="K97" s="11">
        <v>0</v>
      </c>
      <c r="L97" s="11">
        <v>0</v>
      </c>
      <c r="M97" s="11">
        <v>0</v>
      </c>
      <c r="N97" s="11">
        <v>0</v>
      </c>
      <c r="O97" s="11">
        <v>0</v>
      </c>
      <c r="P97" s="11">
        <v>0</v>
      </c>
      <c r="Q97" s="12">
        <v>0</v>
      </c>
      <c r="R97" s="12">
        <v>0</v>
      </c>
      <c r="S97" s="12">
        <f>$G$97*$G$8+$H$97*$H$8+$I$97*$I$8+$J$97*$J$8+$K$97*$K$8+$L$97*$L$8+$M$97*$M$8+$N$97*$N$8+$O$97*$O$8+$P$97*$P$8</f>
        <v>0</v>
      </c>
      <c r="T97" s="12">
        <f>SUM($Q$97:$R$97)</f>
        <v>0</v>
      </c>
      <c r="U97" s="12">
        <f>$S$97+$T$97</f>
        <v>0</v>
      </c>
    </row>
    <row r="98" spans="1:21" x14ac:dyDescent="0.3">
      <c r="A98" s="13" t="s">
        <v>361</v>
      </c>
      <c r="B98" s="14" t="s">
        <v>358</v>
      </c>
      <c r="C98" s="14" t="s">
        <v>34</v>
      </c>
      <c r="D98" s="14" t="s">
        <v>362</v>
      </c>
      <c r="E98" s="14">
        <f xml:space="preserve"> IF($U$98,1,0)</f>
        <v>1</v>
      </c>
      <c r="F98" s="14" t="s">
        <v>363</v>
      </c>
      <c r="G98" s="14">
        <v>2</v>
      </c>
      <c r="H98" s="14">
        <v>0</v>
      </c>
      <c r="I98" s="14">
        <v>0</v>
      </c>
      <c r="J98" s="14">
        <v>0</v>
      </c>
      <c r="K98" s="14">
        <v>2</v>
      </c>
      <c r="L98" s="14">
        <v>4</v>
      </c>
      <c r="M98" s="14">
        <v>3</v>
      </c>
      <c r="N98" s="14">
        <v>2</v>
      </c>
      <c r="O98" s="14">
        <v>0</v>
      </c>
      <c r="P98" s="14">
        <v>2</v>
      </c>
      <c r="Q98" s="15">
        <v>0</v>
      </c>
      <c r="R98" s="15">
        <v>0</v>
      </c>
      <c r="S98" s="15">
        <f>$G$98*$G$8+$H$98*$H$8+$I$98*$I$8+$J$98*$J$8+$K$98*$K$8+$L$98*$L$8+$M$98*$M$8+$N$98*$N$8+$O$98*$O$8+$P$98*$P$8</f>
        <v>41.4</v>
      </c>
      <c r="T98" s="15">
        <f>SUM($Q$98:$R$98)</f>
        <v>0</v>
      </c>
      <c r="U98" s="15">
        <f>$S$98+$T$98</f>
        <v>41.4</v>
      </c>
    </row>
    <row r="99" spans="1:21" x14ac:dyDescent="0.3">
      <c r="A99" s="10" t="s">
        <v>364</v>
      </c>
      <c r="B99" s="11" t="s">
        <v>358</v>
      </c>
      <c r="C99" s="11"/>
      <c r="D99" s="11" t="s">
        <v>365</v>
      </c>
      <c r="E99" s="11">
        <f xml:space="preserve"> IF($U$99,1,0)</f>
        <v>1</v>
      </c>
      <c r="F99" s="11" t="s">
        <v>366</v>
      </c>
      <c r="G99" s="11">
        <v>0</v>
      </c>
      <c r="H99" s="11">
        <v>2</v>
      </c>
      <c r="I99" s="11">
        <v>0</v>
      </c>
      <c r="J99" s="11">
        <v>0</v>
      </c>
      <c r="K99" s="11">
        <v>0</v>
      </c>
      <c r="L99" s="11">
        <v>1</v>
      </c>
      <c r="M99" s="11">
        <v>2</v>
      </c>
      <c r="N99" s="11">
        <v>0</v>
      </c>
      <c r="O99" s="11">
        <v>0</v>
      </c>
      <c r="P99" s="11">
        <v>0</v>
      </c>
      <c r="Q99" s="12">
        <f>$T$338</f>
        <v>2.5</v>
      </c>
      <c r="R99" s="12">
        <f>$T$339</f>
        <v>1.85</v>
      </c>
      <c r="S99" s="12">
        <f>$G$99*$G$8+$H$99*$H$8+$I$99*$I$8+$J$99*$J$8+$K$99*$K$8+$L$99*$L$8+$M$99*$M$8+$N$99*$N$8+$O$99*$O$8+$P$99*$P$8</f>
        <v>14.6</v>
      </c>
      <c r="T99" s="12">
        <f>SUM($Q$99:$R$99)</f>
        <v>4.3499999999999996</v>
      </c>
      <c r="U99" s="12">
        <f>$S$99+$T$99</f>
        <v>18.95</v>
      </c>
    </row>
    <row r="100" spans="1:21" x14ac:dyDescent="0.3">
      <c r="A100" s="13" t="s">
        <v>367</v>
      </c>
      <c r="B100" s="14" t="s">
        <v>368</v>
      </c>
      <c r="C100" s="14" t="s">
        <v>34</v>
      </c>
      <c r="D100" s="14" t="s">
        <v>118</v>
      </c>
      <c r="E100" s="14">
        <f xml:space="preserve"> IF($U$100,1,0)</f>
        <v>0</v>
      </c>
      <c r="F100" s="14" t="s">
        <v>369</v>
      </c>
      <c r="G100" s="14">
        <v>0</v>
      </c>
      <c r="H100" s="14">
        <v>0</v>
      </c>
      <c r="I100" s="14">
        <v>0</v>
      </c>
      <c r="J100" s="14">
        <v>0</v>
      </c>
      <c r="K100" s="14">
        <v>0</v>
      </c>
      <c r="L100" s="14">
        <v>0</v>
      </c>
      <c r="M100" s="14">
        <v>0</v>
      </c>
      <c r="N100" s="14">
        <v>0</v>
      </c>
      <c r="O100" s="14">
        <v>0</v>
      </c>
      <c r="P100" s="14">
        <v>0</v>
      </c>
      <c r="Q100" s="15">
        <v>0</v>
      </c>
      <c r="R100" s="15">
        <v>0</v>
      </c>
      <c r="S100" s="15">
        <f>$G$100*$G$8+$H$100*$H$8+$I$100*$I$8+$J$100*$J$8+$K$100*$K$8+$L$100*$L$8+$M$100*$M$8+$N$100*$N$8+$O$100*$O$8+$P$100*$P$8</f>
        <v>0</v>
      </c>
      <c r="T100" s="15">
        <f>SUM($Q$100:$R$100)</f>
        <v>0</v>
      </c>
      <c r="U100" s="15">
        <f>$S$100+$T$100</f>
        <v>0</v>
      </c>
    </row>
    <row r="101" spans="1:21" x14ac:dyDescent="0.3">
      <c r="A101" s="10" t="s">
        <v>370</v>
      </c>
      <c r="B101" s="11" t="s">
        <v>371</v>
      </c>
      <c r="C101" s="11"/>
      <c r="D101" s="11" t="s">
        <v>372</v>
      </c>
      <c r="E101" s="11">
        <f xml:space="preserve"> IF($U$101,1,0)</f>
        <v>0</v>
      </c>
      <c r="F101" s="11" t="s">
        <v>373</v>
      </c>
      <c r="G101" s="11">
        <v>0</v>
      </c>
      <c r="H101" s="11">
        <v>0</v>
      </c>
      <c r="I101" s="11">
        <v>0</v>
      </c>
      <c r="J101" s="11">
        <v>0</v>
      </c>
      <c r="K101" s="11">
        <v>0</v>
      </c>
      <c r="L101" s="11">
        <v>0</v>
      </c>
      <c r="M101" s="11">
        <v>0</v>
      </c>
      <c r="N101" s="11">
        <v>0</v>
      </c>
      <c r="O101" s="11">
        <v>0</v>
      </c>
      <c r="P101" s="11">
        <v>0</v>
      </c>
      <c r="Q101" s="12">
        <v>0</v>
      </c>
      <c r="R101" s="12">
        <v>0</v>
      </c>
      <c r="S101" s="12">
        <f>$G$101*$G$8+$H$101*$H$8+$I$101*$I$8+$J$101*$J$8+$K$101*$K$8+$L$101*$L$8+$M$101*$M$8+$N$101*$N$8+$O$101*$O$8+$P$101*$P$8</f>
        <v>0</v>
      </c>
      <c r="T101" s="12">
        <f>SUM($Q$101:$R$101)</f>
        <v>0</v>
      </c>
      <c r="U101" s="12">
        <f>$S$101+$T$101</f>
        <v>0</v>
      </c>
    </row>
    <row r="102" spans="1:21" x14ac:dyDescent="0.3">
      <c r="A102" s="13" t="s">
        <v>374</v>
      </c>
      <c r="B102" s="14" t="s">
        <v>375</v>
      </c>
      <c r="C102" s="14"/>
      <c r="D102" s="14" t="s">
        <v>376</v>
      </c>
      <c r="E102" s="14">
        <f xml:space="preserve"> IF($U$102,1,0)</f>
        <v>0</v>
      </c>
      <c r="F102" s="14" t="s">
        <v>377</v>
      </c>
      <c r="G102" s="14">
        <v>0</v>
      </c>
      <c r="H102" s="14">
        <v>0</v>
      </c>
      <c r="I102" s="14">
        <v>0</v>
      </c>
      <c r="J102" s="14">
        <v>0</v>
      </c>
      <c r="K102" s="14">
        <v>0</v>
      </c>
      <c r="L102" s="14">
        <v>0</v>
      </c>
      <c r="M102" s="14">
        <v>0</v>
      </c>
      <c r="N102" s="14">
        <v>0</v>
      </c>
      <c r="O102" s="14">
        <v>0</v>
      </c>
      <c r="P102" s="14">
        <v>0</v>
      </c>
      <c r="Q102" s="15">
        <v>0</v>
      </c>
      <c r="R102" s="15">
        <v>0</v>
      </c>
      <c r="S102" s="15">
        <f>$G$102*$G$8+$H$102*$H$8+$I$102*$I$8+$J$102*$J$8+$K$102*$K$8+$L$102*$L$8+$M$102*$M$8+$N$102*$N$8+$O$102*$O$8+$P$102*$P$8</f>
        <v>0</v>
      </c>
      <c r="T102" s="15">
        <f>SUM($Q$102:$R$102)</f>
        <v>0</v>
      </c>
      <c r="U102" s="15">
        <f>$S$102+$T$102</f>
        <v>0</v>
      </c>
    </row>
    <row r="103" spans="1:21" x14ac:dyDescent="0.3">
      <c r="A103" s="10" t="s">
        <v>378</v>
      </c>
      <c r="B103" s="11" t="s">
        <v>379</v>
      </c>
      <c r="C103" s="11"/>
      <c r="D103" s="11" t="s">
        <v>380</v>
      </c>
      <c r="E103" s="11">
        <f xml:space="preserve"> IF($U$103,1,0)</f>
        <v>0</v>
      </c>
      <c r="F103" s="11" t="s">
        <v>381</v>
      </c>
      <c r="G103" s="11">
        <v>0</v>
      </c>
      <c r="H103" s="11">
        <v>0</v>
      </c>
      <c r="I103" s="11">
        <v>0</v>
      </c>
      <c r="J103" s="11">
        <v>0</v>
      </c>
      <c r="K103" s="11">
        <v>0</v>
      </c>
      <c r="L103" s="11">
        <v>0</v>
      </c>
      <c r="M103" s="11">
        <v>0</v>
      </c>
      <c r="N103" s="11">
        <v>0</v>
      </c>
      <c r="O103" s="11">
        <v>0</v>
      </c>
      <c r="P103" s="11">
        <v>0</v>
      </c>
      <c r="Q103" s="12">
        <v>0</v>
      </c>
      <c r="R103" s="12">
        <v>0</v>
      </c>
      <c r="S103" s="12">
        <f>$G$103*$G$8+$H$103*$H$8+$I$103*$I$8+$J$103*$J$8+$K$103*$K$8+$L$103*$L$8+$M$103*$M$8+$N$103*$N$8+$O$103*$O$8+$P$103*$P$8</f>
        <v>0</v>
      </c>
      <c r="T103" s="12">
        <f>SUM($Q$103:$R$103)</f>
        <v>0</v>
      </c>
      <c r="U103" s="12">
        <f>$S$103+$T$103</f>
        <v>0</v>
      </c>
    </row>
    <row r="104" spans="1:21" x14ac:dyDescent="0.3">
      <c r="A104" s="13" t="s">
        <v>382</v>
      </c>
      <c r="B104" s="14" t="s">
        <v>383</v>
      </c>
      <c r="C104" s="14"/>
      <c r="D104" s="14" t="s">
        <v>384</v>
      </c>
      <c r="E104" s="14">
        <f xml:space="preserve"> IF($U$104,1,0)</f>
        <v>1</v>
      </c>
      <c r="F104" s="14" t="s">
        <v>385</v>
      </c>
      <c r="G104" s="14">
        <v>2</v>
      </c>
      <c r="H104" s="14">
        <v>0</v>
      </c>
      <c r="I104" s="14">
        <v>0</v>
      </c>
      <c r="J104" s="14">
        <v>0</v>
      </c>
      <c r="K104" s="14">
        <v>0</v>
      </c>
      <c r="L104" s="14">
        <v>0</v>
      </c>
      <c r="M104" s="14">
        <v>0</v>
      </c>
      <c r="N104" s="14">
        <v>0</v>
      </c>
      <c r="O104" s="14">
        <v>0</v>
      </c>
      <c r="P104" s="14">
        <v>0</v>
      </c>
      <c r="Q104" s="15">
        <v>0</v>
      </c>
      <c r="R104" s="15">
        <v>0</v>
      </c>
      <c r="S104" s="15">
        <f>$G$104*$G$8+$H$104*$H$8+$I$104*$I$8+$J$104*$J$8+$K$104*$K$8+$L$104*$L$8+$M$104*$M$8+$N$104*$N$8+$O$104*$O$8+$P$104*$P$8</f>
        <v>1.4</v>
      </c>
      <c r="T104" s="15">
        <f>SUM($Q$104:$R$104)</f>
        <v>0</v>
      </c>
      <c r="U104" s="15">
        <f>$S$104+$T$104</f>
        <v>1.4</v>
      </c>
    </row>
    <row r="105" spans="1:21" x14ac:dyDescent="0.3">
      <c r="A105" s="10" t="s">
        <v>386</v>
      </c>
      <c r="B105" s="11" t="s">
        <v>387</v>
      </c>
      <c r="C105" s="11" t="s">
        <v>278</v>
      </c>
      <c r="D105" s="11" t="s">
        <v>388</v>
      </c>
      <c r="E105" s="11">
        <f xml:space="preserve"> IF($U$105,1,0)</f>
        <v>0</v>
      </c>
      <c r="F105" s="11" t="s">
        <v>389</v>
      </c>
      <c r="G105" s="11">
        <v>0</v>
      </c>
      <c r="H105" s="11">
        <v>0</v>
      </c>
      <c r="I105" s="11">
        <v>0</v>
      </c>
      <c r="J105" s="11">
        <v>0</v>
      </c>
      <c r="K105" s="11">
        <v>0</v>
      </c>
      <c r="L105" s="11">
        <v>0</v>
      </c>
      <c r="M105" s="11">
        <v>0</v>
      </c>
      <c r="N105" s="11">
        <v>0</v>
      </c>
      <c r="O105" s="11">
        <v>0</v>
      </c>
      <c r="P105" s="11">
        <v>0</v>
      </c>
      <c r="Q105" s="12">
        <v>0</v>
      </c>
      <c r="R105" s="12">
        <v>0</v>
      </c>
      <c r="S105" s="12">
        <f>$G$105*$G$8+$H$105*$H$8+$I$105*$I$8+$J$105*$J$8+$K$105*$K$8+$L$105*$L$8+$M$105*$M$8+$N$105*$N$8+$O$105*$O$8+$P$105*$P$8</f>
        <v>0</v>
      </c>
      <c r="T105" s="12">
        <f>SUM($Q$105:$R$105)</f>
        <v>0</v>
      </c>
      <c r="U105" s="12">
        <f>$S$105+$T$105</f>
        <v>0</v>
      </c>
    </row>
    <row r="106" spans="1:21" x14ac:dyDescent="0.3">
      <c r="A106" s="13" t="s">
        <v>390</v>
      </c>
      <c r="B106" s="14" t="s">
        <v>387</v>
      </c>
      <c r="C106" s="14" t="s">
        <v>34</v>
      </c>
      <c r="D106" s="14" t="s">
        <v>391</v>
      </c>
      <c r="E106" s="14">
        <f xml:space="preserve"> IF($U$106,1,0)</f>
        <v>0</v>
      </c>
      <c r="F106" s="14" t="s">
        <v>392</v>
      </c>
      <c r="G106" s="14">
        <v>0</v>
      </c>
      <c r="H106" s="14">
        <v>0</v>
      </c>
      <c r="I106" s="14">
        <v>0</v>
      </c>
      <c r="J106" s="14">
        <v>0</v>
      </c>
      <c r="K106" s="14">
        <v>0</v>
      </c>
      <c r="L106" s="14">
        <v>0</v>
      </c>
      <c r="M106" s="14">
        <v>0</v>
      </c>
      <c r="N106" s="14">
        <v>0</v>
      </c>
      <c r="O106" s="14">
        <v>0</v>
      </c>
      <c r="P106" s="14">
        <v>0</v>
      </c>
      <c r="Q106" s="15">
        <v>0</v>
      </c>
      <c r="R106" s="15">
        <v>0</v>
      </c>
      <c r="S106" s="15">
        <f>$G$106*$G$8+$H$106*$H$8+$I$106*$I$8+$J$106*$J$8+$K$106*$K$8+$L$106*$L$8+$M$106*$M$8+$N$106*$N$8+$O$106*$O$8+$P$106*$P$8</f>
        <v>0</v>
      </c>
      <c r="T106" s="15">
        <f>SUM($Q$106:$R$106)</f>
        <v>0</v>
      </c>
      <c r="U106" s="15">
        <f>$S$106+$T$106</f>
        <v>0</v>
      </c>
    </row>
    <row r="107" spans="1:21" x14ac:dyDescent="0.3">
      <c r="A107" s="10" t="s">
        <v>393</v>
      </c>
      <c r="B107" s="11" t="s">
        <v>394</v>
      </c>
      <c r="C107" s="11"/>
      <c r="D107" s="11" t="s">
        <v>395</v>
      </c>
      <c r="E107" s="11">
        <f xml:space="preserve"> IF($U$107,1,0)</f>
        <v>1</v>
      </c>
      <c r="F107" s="11" t="s">
        <v>396</v>
      </c>
      <c r="G107" s="11">
        <v>10</v>
      </c>
      <c r="H107" s="11">
        <v>7</v>
      </c>
      <c r="I107" s="11">
        <v>0</v>
      </c>
      <c r="J107" s="11">
        <v>0</v>
      </c>
      <c r="K107" s="11">
        <v>0</v>
      </c>
      <c r="L107" s="11">
        <v>0</v>
      </c>
      <c r="M107" s="11">
        <v>0</v>
      </c>
      <c r="N107" s="11">
        <v>0</v>
      </c>
      <c r="O107" s="11">
        <v>0</v>
      </c>
      <c r="P107" s="11">
        <v>1</v>
      </c>
      <c r="Q107" s="12">
        <v>0</v>
      </c>
      <c r="R107" s="12">
        <v>0</v>
      </c>
      <c r="S107" s="12">
        <f>$G$107*$G$8+$H$107*$H$8+$I$107*$I$8+$J$107*$J$8+$K$107*$K$8+$L$107*$L$8+$M$107*$M$8+$N$107*$N$8+$O$107*$O$8+$P$107*$P$8</f>
        <v>20.6</v>
      </c>
      <c r="T107" s="12">
        <f>SUM($Q$107:$R$107)</f>
        <v>0</v>
      </c>
      <c r="U107" s="12">
        <f>$S$107+$T$107</f>
        <v>20.6</v>
      </c>
    </row>
    <row r="108" spans="1:21" x14ac:dyDescent="0.3">
      <c r="A108" s="13" t="s">
        <v>397</v>
      </c>
      <c r="B108" s="14" t="s">
        <v>398</v>
      </c>
      <c r="C108" s="14" t="s">
        <v>243</v>
      </c>
      <c r="D108" s="14" t="s">
        <v>399</v>
      </c>
      <c r="E108" s="14">
        <f xml:space="preserve"> IF($U$108,1,0)</f>
        <v>0</v>
      </c>
      <c r="F108" s="14" t="s">
        <v>400</v>
      </c>
      <c r="G108" s="14">
        <v>0</v>
      </c>
      <c r="H108" s="14">
        <v>0</v>
      </c>
      <c r="I108" s="14">
        <v>0</v>
      </c>
      <c r="J108" s="14">
        <v>0</v>
      </c>
      <c r="K108" s="14">
        <v>0</v>
      </c>
      <c r="L108" s="14">
        <v>0</v>
      </c>
      <c r="M108" s="14">
        <v>0</v>
      </c>
      <c r="N108" s="14">
        <v>0</v>
      </c>
      <c r="O108" s="14">
        <v>0</v>
      </c>
      <c r="P108" s="14">
        <v>0</v>
      </c>
      <c r="Q108" s="15">
        <v>0</v>
      </c>
      <c r="R108" s="15">
        <v>0</v>
      </c>
      <c r="S108" s="15">
        <f>$G$108*$G$8+$H$108*$H$8+$I$108*$I$8+$J$108*$J$8+$K$108*$K$8+$L$108*$L$8+$M$108*$M$8+$N$108*$N$8+$O$108*$O$8+$P$108*$P$8</f>
        <v>0</v>
      </c>
      <c r="T108" s="15">
        <f>SUM($Q$108:$R$108)</f>
        <v>0</v>
      </c>
      <c r="U108" s="15">
        <f>$S$108+$T$108</f>
        <v>0</v>
      </c>
    </row>
    <row r="109" spans="1:21" x14ac:dyDescent="0.3">
      <c r="A109" s="10" t="s">
        <v>401</v>
      </c>
      <c r="B109" s="11" t="s">
        <v>402</v>
      </c>
      <c r="C109" s="11"/>
      <c r="D109" s="11" t="s">
        <v>403</v>
      </c>
      <c r="E109" s="11">
        <f xml:space="preserve"> IF($U$109,1,0)</f>
        <v>1</v>
      </c>
      <c r="F109" s="11" t="s">
        <v>404</v>
      </c>
      <c r="G109" s="11">
        <v>3</v>
      </c>
      <c r="H109" s="11">
        <v>0</v>
      </c>
      <c r="I109" s="11">
        <v>0</v>
      </c>
      <c r="J109" s="11">
        <v>0</v>
      </c>
      <c r="K109" s="11">
        <v>0</v>
      </c>
      <c r="L109" s="11">
        <v>0</v>
      </c>
      <c r="M109" s="11">
        <v>0</v>
      </c>
      <c r="N109" s="11">
        <v>0</v>
      </c>
      <c r="O109" s="11">
        <v>0</v>
      </c>
      <c r="P109" s="11">
        <v>1</v>
      </c>
      <c r="Q109" s="12">
        <v>0</v>
      </c>
      <c r="R109" s="12">
        <v>0</v>
      </c>
      <c r="S109" s="12">
        <f>$G$109*$G$8+$H$109*$H$8+$I$109*$I$8+$J$109*$J$8+$K$109*$K$8+$L$109*$L$8+$M$109*$M$8+$N$109*$N$8+$O$109*$O$8+$P$109*$P$8</f>
        <v>3.0999999999999996</v>
      </c>
      <c r="T109" s="12">
        <f>SUM($Q$109:$R$109)</f>
        <v>0</v>
      </c>
      <c r="U109" s="12">
        <f>$S$109+$T$109</f>
        <v>3.0999999999999996</v>
      </c>
    </row>
    <row r="110" spans="1:21" x14ac:dyDescent="0.3">
      <c r="A110" s="13" t="s">
        <v>405</v>
      </c>
      <c r="B110" s="14" t="s">
        <v>406</v>
      </c>
      <c r="C110" s="14"/>
      <c r="D110" s="14" t="s">
        <v>407</v>
      </c>
      <c r="E110" s="14">
        <f xml:space="preserve"> IF($U$110,1,0)</f>
        <v>1</v>
      </c>
      <c r="F110" s="14" t="s">
        <v>408</v>
      </c>
      <c r="G110" s="14">
        <v>4</v>
      </c>
      <c r="H110" s="14">
        <v>0</v>
      </c>
      <c r="I110" s="14">
        <v>0</v>
      </c>
      <c r="J110" s="14">
        <v>0</v>
      </c>
      <c r="K110" s="14">
        <v>0</v>
      </c>
      <c r="L110" s="14">
        <v>0</v>
      </c>
      <c r="M110" s="14">
        <v>0</v>
      </c>
      <c r="N110" s="14">
        <v>0</v>
      </c>
      <c r="O110" s="14">
        <v>0</v>
      </c>
      <c r="P110" s="14">
        <v>0</v>
      </c>
      <c r="Q110" s="15">
        <v>0</v>
      </c>
      <c r="R110" s="15">
        <v>0</v>
      </c>
      <c r="S110" s="15">
        <f>$G$110*$G$8+$H$110*$H$8+$I$110*$I$8+$J$110*$J$8+$K$110*$K$8+$L$110*$L$8+$M$110*$M$8+$N$110*$N$8+$O$110*$O$8+$P$110*$P$8</f>
        <v>2.8</v>
      </c>
      <c r="T110" s="15">
        <f>SUM($Q$110:$R$110)</f>
        <v>0</v>
      </c>
      <c r="U110" s="15">
        <f>$S$110+$T$110</f>
        <v>2.8</v>
      </c>
    </row>
    <row r="111" spans="1:21" x14ac:dyDescent="0.3">
      <c r="A111" s="10" t="s">
        <v>409</v>
      </c>
      <c r="B111" s="11" t="s">
        <v>410</v>
      </c>
      <c r="C111" s="11"/>
      <c r="D111" s="11" t="s">
        <v>411</v>
      </c>
      <c r="E111" s="11">
        <f xml:space="preserve"> IF($U$111,1,0)</f>
        <v>0</v>
      </c>
      <c r="F111" s="11" t="s">
        <v>412</v>
      </c>
      <c r="G111" s="11">
        <v>0</v>
      </c>
      <c r="H111" s="11">
        <v>0</v>
      </c>
      <c r="I111" s="11">
        <v>0</v>
      </c>
      <c r="J111" s="11">
        <v>0</v>
      </c>
      <c r="K111" s="11">
        <v>0</v>
      </c>
      <c r="L111" s="11">
        <v>0</v>
      </c>
      <c r="M111" s="11">
        <v>0</v>
      </c>
      <c r="N111" s="11">
        <v>0</v>
      </c>
      <c r="O111" s="11">
        <v>0</v>
      </c>
      <c r="P111" s="11">
        <v>0</v>
      </c>
      <c r="Q111" s="12">
        <v>0</v>
      </c>
      <c r="R111" s="12">
        <v>0</v>
      </c>
      <c r="S111" s="12">
        <f>$G$111*$G$8+$H$111*$H$8+$I$111*$I$8+$J$111*$J$8+$K$111*$K$8+$L$111*$L$8+$M$111*$M$8+$N$111*$N$8+$O$111*$O$8+$P$111*$P$8</f>
        <v>0</v>
      </c>
      <c r="T111" s="12">
        <f>SUM($Q$111:$R$111)</f>
        <v>0</v>
      </c>
      <c r="U111" s="12">
        <f>$S$111+$T$111</f>
        <v>0</v>
      </c>
    </row>
    <row r="112" spans="1:21" x14ac:dyDescent="0.3">
      <c r="A112" s="13" t="s">
        <v>413</v>
      </c>
      <c r="B112" s="14" t="s">
        <v>414</v>
      </c>
      <c r="C112" s="14"/>
      <c r="D112" s="14" t="s">
        <v>415</v>
      </c>
      <c r="E112" s="14">
        <f xml:space="preserve"> IF($U$112,1,0)</f>
        <v>0</v>
      </c>
      <c r="F112" s="14" t="s">
        <v>416</v>
      </c>
      <c r="G112" s="14">
        <v>0</v>
      </c>
      <c r="H112" s="14">
        <v>0</v>
      </c>
      <c r="I112" s="14">
        <v>0</v>
      </c>
      <c r="J112" s="14">
        <v>0</v>
      </c>
      <c r="K112" s="14">
        <v>0</v>
      </c>
      <c r="L112" s="14">
        <v>0</v>
      </c>
      <c r="M112" s="14">
        <v>0</v>
      </c>
      <c r="N112" s="14">
        <v>0</v>
      </c>
      <c r="O112" s="14">
        <v>0</v>
      </c>
      <c r="P112" s="14">
        <v>0</v>
      </c>
      <c r="Q112" s="15">
        <v>0</v>
      </c>
      <c r="R112" s="15">
        <v>0</v>
      </c>
      <c r="S112" s="15">
        <f>$G$112*$G$8+$H$112*$H$8+$I$112*$I$8+$J$112*$J$8+$K$112*$K$8+$L$112*$L$8+$M$112*$M$8+$N$112*$N$8+$O$112*$O$8+$P$112*$P$8</f>
        <v>0</v>
      </c>
      <c r="T112" s="15">
        <f>SUM($Q$112:$R$112)</f>
        <v>0</v>
      </c>
      <c r="U112" s="15">
        <f>$S$112+$T$112</f>
        <v>0</v>
      </c>
    </row>
    <row r="113" spans="1:21" x14ac:dyDescent="0.3">
      <c r="A113" s="10" t="s">
        <v>417</v>
      </c>
      <c r="B113" s="11" t="s">
        <v>418</v>
      </c>
      <c r="C113" s="11"/>
      <c r="D113" s="11" t="s">
        <v>419</v>
      </c>
      <c r="E113" s="11">
        <f xml:space="preserve"> IF($U$113,1,0)</f>
        <v>0</v>
      </c>
      <c r="F113" s="11" t="s">
        <v>420</v>
      </c>
      <c r="G113" s="11">
        <v>0</v>
      </c>
      <c r="H113" s="11">
        <v>0</v>
      </c>
      <c r="I113" s="11">
        <v>0</v>
      </c>
      <c r="J113" s="11">
        <v>0</v>
      </c>
      <c r="K113" s="11">
        <v>0</v>
      </c>
      <c r="L113" s="11">
        <v>0</v>
      </c>
      <c r="M113" s="11">
        <v>0</v>
      </c>
      <c r="N113" s="11">
        <v>0</v>
      </c>
      <c r="O113" s="11">
        <v>0</v>
      </c>
      <c r="P113" s="11">
        <v>0</v>
      </c>
      <c r="Q113" s="12">
        <v>0</v>
      </c>
      <c r="R113" s="12">
        <v>0</v>
      </c>
      <c r="S113" s="12">
        <f>$G$113*$G$8+$H$113*$H$8+$I$113*$I$8+$J$113*$J$8+$K$113*$K$8+$L$113*$L$8+$M$113*$M$8+$N$113*$N$8+$O$113*$O$8+$P$113*$P$8</f>
        <v>0</v>
      </c>
      <c r="T113" s="12">
        <f>SUM($Q$113:$R$113)</f>
        <v>0</v>
      </c>
      <c r="U113" s="12">
        <f>$S$113+$T$113</f>
        <v>0</v>
      </c>
    </row>
    <row r="114" spans="1:21" x14ac:dyDescent="0.3">
      <c r="A114" s="13" t="s">
        <v>421</v>
      </c>
      <c r="B114" s="14" t="s">
        <v>422</v>
      </c>
      <c r="C114" s="14"/>
      <c r="D114" s="14" t="s">
        <v>423</v>
      </c>
      <c r="E114" s="14">
        <f xml:space="preserve"> IF($U$114,1,0)</f>
        <v>0</v>
      </c>
      <c r="F114" s="14" t="s">
        <v>424</v>
      </c>
      <c r="G114" s="14">
        <v>0</v>
      </c>
      <c r="H114" s="14">
        <v>0</v>
      </c>
      <c r="I114" s="14">
        <v>0</v>
      </c>
      <c r="J114" s="14">
        <v>0</v>
      </c>
      <c r="K114" s="14">
        <v>0</v>
      </c>
      <c r="L114" s="14">
        <v>0</v>
      </c>
      <c r="M114" s="14">
        <v>0</v>
      </c>
      <c r="N114" s="14">
        <v>0</v>
      </c>
      <c r="O114" s="14">
        <v>0</v>
      </c>
      <c r="P114" s="14">
        <v>0</v>
      </c>
      <c r="Q114" s="15">
        <v>0</v>
      </c>
      <c r="R114" s="15">
        <v>0</v>
      </c>
      <c r="S114" s="15">
        <f>$G$114*$G$8+$H$114*$H$8+$I$114*$I$8+$J$114*$J$8+$K$114*$K$8+$L$114*$L$8+$M$114*$M$8+$N$114*$N$8+$O$114*$O$8+$P$114*$P$8</f>
        <v>0</v>
      </c>
      <c r="T114" s="15">
        <f>SUM($Q$114:$R$114)</f>
        <v>0</v>
      </c>
      <c r="U114" s="15">
        <f>$S$114+$T$114</f>
        <v>0</v>
      </c>
    </row>
    <row r="115" spans="1:21" x14ac:dyDescent="0.3">
      <c r="A115" s="10" t="s">
        <v>425</v>
      </c>
      <c r="B115" s="11" t="s">
        <v>426</v>
      </c>
      <c r="C115" s="11" t="s">
        <v>34</v>
      </c>
      <c r="D115" s="11" t="s">
        <v>427</v>
      </c>
      <c r="E115" s="11">
        <f xml:space="preserve"> IF($U$115,1,0)</f>
        <v>0</v>
      </c>
      <c r="F115" s="11" t="s">
        <v>428</v>
      </c>
      <c r="G115" s="11">
        <v>0</v>
      </c>
      <c r="H115" s="11">
        <v>0</v>
      </c>
      <c r="I115" s="11">
        <v>0</v>
      </c>
      <c r="J115" s="11">
        <v>0</v>
      </c>
      <c r="K115" s="11">
        <v>0</v>
      </c>
      <c r="L115" s="11">
        <v>0</v>
      </c>
      <c r="M115" s="11">
        <v>0</v>
      </c>
      <c r="N115" s="11">
        <v>0</v>
      </c>
      <c r="O115" s="11">
        <v>0</v>
      </c>
      <c r="P115" s="11">
        <v>0</v>
      </c>
      <c r="Q115" s="12">
        <v>0</v>
      </c>
      <c r="R115" s="12">
        <v>0</v>
      </c>
      <c r="S115" s="12">
        <f>$G$115*$G$8+$H$115*$H$8+$I$115*$I$8+$J$115*$J$8+$K$115*$K$8+$L$115*$L$8+$M$115*$M$8+$N$115*$N$8+$O$115*$O$8+$P$115*$P$8</f>
        <v>0</v>
      </c>
      <c r="T115" s="12">
        <f>SUM($Q$115:$R$115)</f>
        <v>0</v>
      </c>
      <c r="U115" s="12">
        <f>$S$115+$T$115</f>
        <v>0</v>
      </c>
    </row>
    <row r="116" spans="1:21" x14ac:dyDescent="0.3">
      <c r="A116" s="13" t="s">
        <v>429</v>
      </c>
      <c r="B116" s="14" t="s">
        <v>430</v>
      </c>
      <c r="C116" s="14"/>
      <c r="D116" s="14" t="s">
        <v>431</v>
      </c>
      <c r="E116" s="14">
        <f xml:space="preserve"> IF($U$116,1,0)</f>
        <v>0</v>
      </c>
      <c r="F116" s="14" t="s">
        <v>432</v>
      </c>
      <c r="G116" s="14">
        <v>0</v>
      </c>
      <c r="H116" s="14">
        <v>0</v>
      </c>
      <c r="I116" s="14">
        <v>0</v>
      </c>
      <c r="J116" s="14">
        <v>0</v>
      </c>
      <c r="K116" s="14">
        <v>0</v>
      </c>
      <c r="L116" s="14">
        <v>0</v>
      </c>
      <c r="M116" s="14">
        <v>0</v>
      </c>
      <c r="N116" s="14">
        <v>0</v>
      </c>
      <c r="O116" s="14">
        <v>0</v>
      </c>
      <c r="P116" s="14">
        <v>0</v>
      </c>
      <c r="Q116" s="15">
        <v>0</v>
      </c>
      <c r="R116" s="15">
        <v>0</v>
      </c>
      <c r="S116" s="15">
        <f>$G$116*$G$8+$H$116*$H$8+$I$116*$I$8+$J$116*$J$8+$K$116*$K$8+$L$116*$L$8+$M$116*$M$8+$N$116*$N$8+$O$116*$O$8+$P$116*$P$8</f>
        <v>0</v>
      </c>
      <c r="T116" s="15">
        <f>SUM($Q$116:$R$116)</f>
        <v>0</v>
      </c>
      <c r="U116" s="15">
        <f>$S$116+$T$116</f>
        <v>0</v>
      </c>
    </row>
    <row r="117" spans="1:21" x14ac:dyDescent="0.3">
      <c r="A117" s="10" t="s">
        <v>1252</v>
      </c>
      <c r="B117" s="11" t="s">
        <v>1253</v>
      </c>
      <c r="C117" s="11"/>
      <c r="D117" s="11" t="s">
        <v>1254</v>
      </c>
      <c r="E117" s="11">
        <f xml:space="preserve"> IF($U$117,1,0)</f>
        <v>1</v>
      </c>
      <c r="F117" s="11" t="s">
        <v>1255</v>
      </c>
      <c r="G117" s="11">
        <v>9</v>
      </c>
      <c r="H117" s="11">
        <v>0</v>
      </c>
      <c r="I117" s="11">
        <v>0</v>
      </c>
      <c r="J117" s="11">
        <v>0</v>
      </c>
      <c r="K117" s="11">
        <v>0</v>
      </c>
      <c r="L117" s="11">
        <v>0</v>
      </c>
      <c r="M117" s="11">
        <v>0</v>
      </c>
      <c r="N117" s="11">
        <v>0</v>
      </c>
      <c r="O117" s="11">
        <v>0</v>
      </c>
      <c r="P117" s="11">
        <v>0</v>
      </c>
      <c r="Q117" s="12">
        <v>0</v>
      </c>
      <c r="R117" s="12">
        <v>0</v>
      </c>
      <c r="S117" s="12">
        <f>$G$117*$G$8+$H$117*$H$8+$I$117*$I$8+$J$117*$J$8+$K$117*$K$8+$L$117*$L$8+$M$117*$M$8+$N$117*$N$8+$O$117*$O$8+$P$117*$P$8</f>
        <v>6.3</v>
      </c>
      <c r="T117" s="12">
        <f>SUM($Q$117:$R$117)</f>
        <v>0</v>
      </c>
      <c r="U117" s="12">
        <f>$S$117+$T$117</f>
        <v>6.3</v>
      </c>
    </row>
    <row r="118" spans="1:21" x14ac:dyDescent="0.3">
      <c r="A118" s="13" t="s">
        <v>433</v>
      </c>
      <c r="B118" s="14" t="s">
        <v>434</v>
      </c>
      <c r="C118" s="14" t="s">
        <v>202</v>
      </c>
      <c r="D118" s="14" t="s">
        <v>435</v>
      </c>
      <c r="E118" s="14">
        <f xml:space="preserve"> IF($U$118,1,0)</f>
        <v>0</v>
      </c>
      <c r="F118" s="14" t="s">
        <v>436</v>
      </c>
      <c r="G118" s="14">
        <v>0</v>
      </c>
      <c r="H118" s="14">
        <v>0</v>
      </c>
      <c r="I118" s="14">
        <v>0</v>
      </c>
      <c r="J118" s="14">
        <v>0</v>
      </c>
      <c r="K118" s="14">
        <v>0</v>
      </c>
      <c r="L118" s="14">
        <v>0</v>
      </c>
      <c r="M118" s="14">
        <v>0</v>
      </c>
      <c r="N118" s="14">
        <v>0</v>
      </c>
      <c r="O118" s="14">
        <v>0</v>
      </c>
      <c r="P118" s="14">
        <v>0</v>
      </c>
      <c r="Q118" s="15">
        <v>0</v>
      </c>
      <c r="R118" s="15">
        <v>0</v>
      </c>
      <c r="S118" s="15">
        <f>$G$118*$G$8+$H$118*$H$8+$I$118*$I$8+$J$118*$J$8+$K$118*$K$8+$L$118*$L$8+$M$118*$M$8+$N$118*$N$8+$O$118*$O$8+$P$118*$P$8</f>
        <v>0</v>
      </c>
      <c r="T118" s="15">
        <f>SUM($Q$118:$R$118)</f>
        <v>0</v>
      </c>
      <c r="U118" s="15">
        <f>$S$118+$T$118</f>
        <v>0</v>
      </c>
    </row>
    <row r="119" spans="1:21" x14ac:dyDescent="0.3">
      <c r="A119" s="10" t="s">
        <v>437</v>
      </c>
      <c r="B119" s="11" t="s">
        <v>434</v>
      </c>
      <c r="C119" s="11"/>
      <c r="D119" s="11" t="s">
        <v>438</v>
      </c>
      <c r="E119" s="11">
        <f xml:space="preserve"> IF($U$119,1,0)</f>
        <v>0</v>
      </c>
      <c r="F119" s="11" t="s">
        <v>439</v>
      </c>
      <c r="G119" s="11">
        <v>0</v>
      </c>
      <c r="H119" s="11">
        <v>0</v>
      </c>
      <c r="I119" s="11">
        <v>0</v>
      </c>
      <c r="J119" s="11">
        <v>0</v>
      </c>
      <c r="K119" s="11">
        <v>0</v>
      </c>
      <c r="L119" s="11">
        <v>0</v>
      </c>
      <c r="M119" s="11">
        <v>0</v>
      </c>
      <c r="N119" s="11">
        <v>0</v>
      </c>
      <c r="O119" s="11">
        <v>0</v>
      </c>
      <c r="P119" s="11">
        <v>0</v>
      </c>
      <c r="Q119" s="12">
        <v>0</v>
      </c>
      <c r="R119" s="12">
        <v>0</v>
      </c>
      <c r="S119" s="12">
        <f>$G$119*$G$8+$H$119*$H$8+$I$119*$I$8+$J$119*$J$8+$K$119*$K$8+$L$119*$L$8+$M$119*$M$8+$N$119*$N$8+$O$119*$O$8+$P$119*$P$8</f>
        <v>0</v>
      </c>
      <c r="T119" s="12">
        <f>SUM($Q$119:$R$119)</f>
        <v>0</v>
      </c>
      <c r="U119" s="12">
        <f>$S$119+$T$119</f>
        <v>0</v>
      </c>
    </row>
    <row r="120" spans="1:21" x14ac:dyDescent="0.3">
      <c r="A120" s="13" t="s">
        <v>440</v>
      </c>
      <c r="B120" s="14" t="s">
        <v>441</v>
      </c>
      <c r="C120" s="14" t="s">
        <v>202</v>
      </c>
      <c r="D120" s="14" t="s">
        <v>442</v>
      </c>
      <c r="E120" s="14">
        <f xml:space="preserve"> IF($U$120,1,0)</f>
        <v>0</v>
      </c>
      <c r="F120" s="14" t="s">
        <v>443</v>
      </c>
      <c r="G120" s="14">
        <v>0</v>
      </c>
      <c r="H120" s="14">
        <v>0</v>
      </c>
      <c r="I120" s="14">
        <v>0</v>
      </c>
      <c r="J120" s="14">
        <v>0</v>
      </c>
      <c r="K120" s="14">
        <v>0</v>
      </c>
      <c r="L120" s="14">
        <v>0</v>
      </c>
      <c r="M120" s="14">
        <v>0</v>
      </c>
      <c r="N120" s="14">
        <v>0</v>
      </c>
      <c r="O120" s="14">
        <v>0</v>
      </c>
      <c r="P120" s="14">
        <v>0</v>
      </c>
      <c r="Q120" s="15">
        <v>0</v>
      </c>
      <c r="R120" s="15">
        <v>0</v>
      </c>
      <c r="S120" s="15">
        <f>$G$120*$G$8+$H$120*$H$8+$I$120*$I$8+$J$120*$J$8+$K$120*$K$8+$L$120*$L$8+$M$120*$M$8+$N$120*$N$8+$O$120*$O$8+$P$120*$P$8</f>
        <v>0</v>
      </c>
      <c r="T120" s="15">
        <f>SUM($Q$120:$R$120)</f>
        <v>0</v>
      </c>
      <c r="U120" s="15">
        <f>$S$120+$T$120</f>
        <v>0</v>
      </c>
    </row>
    <row r="121" spans="1:21" x14ac:dyDescent="0.3">
      <c r="A121" s="10" t="s">
        <v>444</v>
      </c>
      <c r="B121" s="11" t="s">
        <v>445</v>
      </c>
      <c r="C121" s="11"/>
      <c r="D121" s="11" t="s">
        <v>446</v>
      </c>
      <c r="E121" s="11">
        <f xml:space="preserve"> IF($U$121,1,0)</f>
        <v>0</v>
      </c>
      <c r="F121" s="11" t="s">
        <v>447</v>
      </c>
      <c r="G121" s="11">
        <v>0</v>
      </c>
      <c r="H121" s="11">
        <v>0</v>
      </c>
      <c r="I121" s="11">
        <v>0</v>
      </c>
      <c r="J121" s="11">
        <v>0</v>
      </c>
      <c r="K121" s="11">
        <v>0</v>
      </c>
      <c r="L121" s="11">
        <v>0</v>
      </c>
      <c r="M121" s="11">
        <v>0</v>
      </c>
      <c r="N121" s="11">
        <v>0</v>
      </c>
      <c r="O121" s="11">
        <v>0</v>
      </c>
      <c r="P121" s="11">
        <v>0</v>
      </c>
      <c r="Q121" s="12">
        <v>0</v>
      </c>
      <c r="R121" s="12">
        <v>0</v>
      </c>
      <c r="S121" s="12">
        <f>$G$121*$G$8+$H$121*$H$8+$I$121*$I$8+$J$121*$J$8+$K$121*$K$8+$L$121*$L$8+$M$121*$M$8+$N$121*$N$8+$O$121*$O$8+$P$121*$P$8</f>
        <v>0</v>
      </c>
      <c r="T121" s="12">
        <f>SUM($Q$121:$R$121)</f>
        <v>0</v>
      </c>
      <c r="U121" s="12">
        <f>$S$121+$T$121</f>
        <v>0</v>
      </c>
    </row>
    <row r="122" spans="1:21" x14ac:dyDescent="0.3">
      <c r="A122" s="13" t="s">
        <v>448</v>
      </c>
      <c r="B122" s="14" t="s">
        <v>449</v>
      </c>
      <c r="C122" s="14"/>
      <c r="D122" s="14" t="s">
        <v>450</v>
      </c>
      <c r="E122" s="14">
        <f xml:space="preserve"> IF($U$122,1,0)</f>
        <v>0</v>
      </c>
      <c r="F122" s="14" t="s">
        <v>451</v>
      </c>
      <c r="G122" s="14">
        <v>0</v>
      </c>
      <c r="H122" s="14">
        <v>0</v>
      </c>
      <c r="I122" s="14">
        <v>0</v>
      </c>
      <c r="J122" s="14">
        <v>0</v>
      </c>
      <c r="K122" s="14">
        <v>0</v>
      </c>
      <c r="L122" s="14">
        <v>0</v>
      </c>
      <c r="M122" s="14">
        <v>0</v>
      </c>
      <c r="N122" s="14">
        <v>0</v>
      </c>
      <c r="O122" s="14">
        <v>0</v>
      </c>
      <c r="P122" s="14">
        <v>0</v>
      </c>
      <c r="Q122" s="15">
        <v>0</v>
      </c>
      <c r="R122" s="15">
        <v>0</v>
      </c>
      <c r="S122" s="15">
        <f>$G$122*$G$8+$H$122*$H$8+$I$122*$I$8+$J$122*$J$8+$K$122*$K$8+$L$122*$L$8+$M$122*$M$8+$N$122*$N$8+$O$122*$O$8+$P$122*$P$8</f>
        <v>0</v>
      </c>
      <c r="T122" s="15">
        <f>SUM($Q$122:$R$122)</f>
        <v>0</v>
      </c>
      <c r="U122" s="15">
        <f>$S$122+$T$122</f>
        <v>0</v>
      </c>
    </row>
    <row r="123" spans="1:21" x14ac:dyDescent="0.3">
      <c r="A123" s="10" t="s">
        <v>452</v>
      </c>
      <c r="B123" s="11" t="s">
        <v>453</v>
      </c>
      <c r="C123" s="11"/>
      <c r="D123" s="11" t="s">
        <v>454</v>
      </c>
      <c r="E123" s="11">
        <f xml:space="preserve"> IF($U$123,1,0)</f>
        <v>1</v>
      </c>
      <c r="F123" s="11" t="s">
        <v>455</v>
      </c>
      <c r="G123" s="11">
        <v>16</v>
      </c>
      <c r="H123" s="11">
        <v>0</v>
      </c>
      <c r="I123" s="11">
        <v>0</v>
      </c>
      <c r="J123" s="11">
        <v>0</v>
      </c>
      <c r="K123" s="11">
        <v>0</v>
      </c>
      <c r="L123" s="11">
        <v>0</v>
      </c>
      <c r="M123" s="11">
        <v>0</v>
      </c>
      <c r="N123" s="11">
        <v>0</v>
      </c>
      <c r="O123" s="11">
        <v>0</v>
      </c>
      <c r="P123" s="11">
        <v>0</v>
      </c>
      <c r="Q123" s="12">
        <v>0</v>
      </c>
      <c r="R123" s="12">
        <v>0</v>
      </c>
      <c r="S123" s="12">
        <f>$G$123*$G$8+$H$123*$H$8+$I$123*$I$8+$J$123*$J$8+$K$123*$K$8+$L$123*$L$8+$M$123*$M$8+$N$123*$N$8+$O$123*$O$8+$P$123*$P$8</f>
        <v>11.2</v>
      </c>
      <c r="T123" s="12">
        <f>SUM($Q$123:$R$123)</f>
        <v>0</v>
      </c>
      <c r="U123" s="12">
        <f>$S$123+$T$123</f>
        <v>11.2</v>
      </c>
    </row>
    <row r="124" spans="1:21" x14ac:dyDescent="0.3">
      <c r="A124" s="13" t="s">
        <v>456</v>
      </c>
      <c r="B124" s="14" t="s">
        <v>457</v>
      </c>
      <c r="C124" s="14"/>
      <c r="D124" s="14" t="s">
        <v>458</v>
      </c>
      <c r="E124" s="14">
        <f xml:space="preserve"> IF($U$124,1,0)</f>
        <v>0</v>
      </c>
      <c r="F124" s="14" t="s">
        <v>459</v>
      </c>
      <c r="G124" s="14">
        <v>0</v>
      </c>
      <c r="H124" s="14">
        <v>0</v>
      </c>
      <c r="I124" s="14">
        <v>0</v>
      </c>
      <c r="J124" s="14">
        <v>0</v>
      </c>
      <c r="K124" s="14">
        <v>0</v>
      </c>
      <c r="L124" s="14">
        <v>0</v>
      </c>
      <c r="M124" s="14">
        <v>0</v>
      </c>
      <c r="N124" s="14">
        <v>0</v>
      </c>
      <c r="O124" s="14">
        <v>0</v>
      </c>
      <c r="P124" s="14">
        <v>0</v>
      </c>
      <c r="Q124" s="15">
        <v>0</v>
      </c>
      <c r="R124" s="15">
        <v>0</v>
      </c>
      <c r="S124" s="15">
        <f>$G$124*$G$8+$H$124*$H$8+$I$124*$I$8+$J$124*$J$8+$K$124*$K$8+$L$124*$L$8+$M$124*$M$8+$N$124*$N$8+$O$124*$O$8+$P$124*$P$8</f>
        <v>0</v>
      </c>
      <c r="T124" s="15">
        <f>SUM($Q$124:$R$124)</f>
        <v>0</v>
      </c>
      <c r="U124" s="15">
        <f>$S$124+$T$124</f>
        <v>0</v>
      </c>
    </row>
    <row r="125" spans="1:21" x14ac:dyDescent="0.3">
      <c r="A125" s="10" t="s">
        <v>460</v>
      </c>
      <c r="B125" s="11" t="s">
        <v>457</v>
      </c>
      <c r="C125" s="11"/>
      <c r="D125" s="11" t="s">
        <v>461</v>
      </c>
      <c r="E125" s="11">
        <f xml:space="preserve"> IF($U$125,1,0)</f>
        <v>0</v>
      </c>
      <c r="F125" s="11" t="s">
        <v>462</v>
      </c>
      <c r="G125" s="11">
        <v>0</v>
      </c>
      <c r="H125" s="11">
        <v>0</v>
      </c>
      <c r="I125" s="11">
        <v>0</v>
      </c>
      <c r="J125" s="11">
        <v>0</v>
      </c>
      <c r="K125" s="11">
        <v>0</v>
      </c>
      <c r="L125" s="11">
        <v>0</v>
      </c>
      <c r="M125" s="11">
        <v>0</v>
      </c>
      <c r="N125" s="11">
        <v>0</v>
      </c>
      <c r="O125" s="11">
        <v>0</v>
      </c>
      <c r="P125" s="11">
        <v>0</v>
      </c>
      <c r="Q125" s="12">
        <v>0</v>
      </c>
      <c r="R125" s="12">
        <v>0</v>
      </c>
      <c r="S125" s="12">
        <f>$G$125*$G$8+$H$125*$H$8+$I$125*$I$8+$J$125*$J$8+$K$125*$K$8+$L$125*$L$8+$M$125*$M$8+$N$125*$N$8+$O$125*$O$8+$P$125*$P$8</f>
        <v>0</v>
      </c>
      <c r="T125" s="12">
        <f>SUM($Q$125:$R$125)</f>
        <v>0</v>
      </c>
      <c r="U125" s="12">
        <f>$S$125+$T$125</f>
        <v>0</v>
      </c>
    </row>
    <row r="126" spans="1:21" x14ac:dyDescent="0.3">
      <c r="A126" s="13" t="s">
        <v>463</v>
      </c>
      <c r="B126" s="14" t="s">
        <v>457</v>
      </c>
      <c r="C126" s="14" t="s">
        <v>34</v>
      </c>
      <c r="D126" s="14" t="s">
        <v>464</v>
      </c>
      <c r="E126" s="14">
        <f xml:space="preserve"> IF($U$126,1,0)</f>
        <v>1</v>
      </c>
      <c r="F126" s="14" t="s">
        <v>465</v>
      </c>
      <c r="G126" s="14">
        <v>0</v>
      </c>
      <c r="H126" s="14">
        <v>0</v>
      </c>
      <c r="I126" s="14">
        <v>0</v>
      </c>
      <c r="J126" s="14">
        <v>0</v>
      </c>
      <c r="K126" s="14">
        <v>0</v>
      </c>
      <c r="L126" s="14">
        <v>0</v>
      </c>
      <c r="M126" s="14">
        <v>0</v>
      </c>
      <c r="N126" s="14">
        <v>0</v>
      </c>
      <c r="O126" s="14">
        <v>0</v>
      </c>
      <c r="P126" s="14">
        <v>0</v>
      </c>
      <c r="Q126" s="15">
        <f>$T$338</f>
        <v>2.5</v>
      </c>
      <c r="R126" s="15">
        <v>0</v>
      </c>
      <c r="S126" s="15">
        <f>$G$126*$G$8+$H$126*$H$8+$I$126*$I$8+$J$126*$J$8+$K$126*$K$8+$L$126*$L$8+$M$126*$M$8+$N$126*$N$8+$O$126*$O$8+$P$126*$P$8</f>
        <v>0</v>
      </c>
      <c r="T126" s="15">
        <f>SUM($Q$126:$R$126)</f>
        <v>2.5</v>
      </c>
      <c r="U126" s="15">
        <f>$S$126+$T$126</f>
        <v>2.5</v>
      </c>
    </row>
    <row r="127" spans="1:21" x14ac:dyDescent="0.3">
      <c r="A127" s="10" t="s">
        <v>466</v>
      </c>
      <c r="B127" s="11" t="s">
        <v>457</v>
      </c>
      <c r="C127" s="11"/>
      <c r="D127" s="11" t="s">
        <v>467</v>
      </c>
      <c r="E127" s="11">
        <f xml:space="preserve"> IF($U$127,1,0)</f>
        <v>0</v>
      </c>
      <c r="F127" s="11" t="s">
        <v>468</v>
      </c>
      <c r="G127" s="11">
        <v>0</v>
      </c>
      <c r="H127" s="11">
        <v>0</v>
      </c>
      <c r="I127" s="11">
        <v>0</v>
      </c>
      <c r="J127" s="11">
        <v>0</v>
      </c>
      <c r="K127" s="11">
        <v>0</v>
      </c>
      <c r="L127" s="11">
        <v>0</v>
      </c>
      <c r="M127" s="11">
        <v>0</v>
      </c>
      <c r="N127" s="11">
        <v>0</v>
      </c>
      <c r="O127" s="11">
        <v>0</v>
      </c>
      <c r="P127" s="11">
        <v>0</v>
      </c>
      <c r="Q127" s="12">
        <v>0</v>
      </c>
      <c r="R127" s="12">
        <v>0</v>
      </c>
      <c r="S127" s="12">
        <f>$G$127*$G$8+$H$127*$H$8+$I$127*$I$8+$J$127*$J$8+$K$127*$K$8+$L$127*$L$8+$M$127*$M$8+$N$127*$N$8+$O$127*$O$8+$P$127*$P$8</f>
        <v>0</v>
      </c>
      <c r="T127" s="12">
        <f>SUM($Q$127:$R$127)</f>
        <v>0</v>
      </c>
      <c r="U127" s="12">
        <f>$S$127+$T$127</f>
        <v>0</v>
      </c>
    </row>
    <row r="128" spans="1:21" x14ac:dyDescent="0.3">
      <c r="A128" s="13" t="s">
        <v>469</v>
      </c>
      <c r="B128" s="14" t="s">
        <v>470</v>
      </c>
      <c r="C128" s="14"/>
      <c r="D128" s="14" t="s">
        <v>471</v>
      </c>
      <c r="E128" s="14">
        <f xml:space="preserve"> IF($U$128,1,0)</f>
        <v>0</v>
      </c>
      <c r="F128" s="14" t="s">
        <v>472</v>
      </c>
      <c r="G128" s="14">
        <v>0</v>
      </c>
      <c r="H128" s="14">
        <v>0</v>
      </c>
      <c r="I128" s="14">
        <v>0</v>
      </c>
      <c r="J128" s="14">
        <v>0</v>
      </c>
      <c r="K128" s="14">
        <v>0</v>
      </c>
      <c r="L128" s="14">
        <v>0</v>
      </c>
      <c r="M128" s="14">
        <v>0</v>
      </c>
      <c r="N128" s="14">
        <v>0</v>
      </c>
      <c r="O128" s="14">
        <v>0</v>
      </c>
      <c r="P128" s="14">
        <v>0</v>
      </c>
      <c r="Q128" s="15">
        <v>0</v>
      </c>
      <c r="R128" s="15">
        <v>0</v>
      </c>
      <c r="S128" s="15">
        <f>$G$128*$G$8+$H$128*$H$8+$I$128*$I$8+$J$128*$J$8+$K$128*$K$8+$L$128*$L$8+$M$128*$M$8+$N$128*$N$8+$O$128*$O$8+$P$128*$P$8</f>
        <v>0</v>
      </c>
      <c r="T128" s="15">
        <f>SUM($Q$128:$R$128)</f>
        <v>0</v>
      </c>
      <c r="U128" s="15">
        <f>$S$128+$T$128</f>
        <v>0</v>
      </c>
    </row>
    <row r="129" spans="1:21" x14ac:dyDescent="0.3">
      <c r="A129" s="10" t="s">
        <v>473</v>
      </c>
      <c r="B129" s="11" t="s">
        <v>474</v>
      </c>
      <c r="C129" s="11"/>
      <c r="D129" s="11" t="s">
        <v>475</v>
      </c>
      <c r="E129" s="11">
        <f xml:space="preserve"> IF($U$129,1,0)</f>
        <v>0</v>
      </c>
      <c r="F129" s="11" t="s">
        <v>476</v>
      </c>
      <c r="G129" s="11">
        <v>0</v>
      </c>
      <c r="H129" s="11">
        <v>0</v>
      </c>
      <c r="I129" s="11">
        <v>0</v>
      </c>
      <c r="J129" s="11">
        <v>0</v>
      </c>
      <c r="K129" s="11">
        <v>0</v>
      </c>
      <c r="L129" s="11">
        <v>0</v>
      </c>
      <c r="M129" s="11">
        <v>0</v>
      </c>
      <c r="N129" s="11">
        <v>0</v>
      </c>
      <c r="O129" s="11">
        <v>0</v>
      </c>
      <c r="P129" s="11">
        <v>0</v>
      </c>
      <c r="Q129" s="12">
        <v>0</v>
      </c>
      <c r="R129" s="12">
        <v>0</v>
      </c>
      <c r="S129" s="12">
        <f>$G$129*$G$8+$H$129*$H$8+$I$129*$I$8+$J$129*$J$8+$K$129*$K$8+$L$129*$L$8+$M$129*$M$8+$N$129*$N$8+$O$129*$O$8+$P$129*$P$8</f>
        <v>0</v>
      </c>
      <c r="T129" s="12">
        <f>SUM($Q$129:$R$129)</f>
        <v>0</v>
      </c>
      <c r="U129" s="12">
        <f>$S$129+$T$129</f>
        <v>0</v>
      </c>
    </row>
    <row r="130" spans="1:21" x14ac:dyDescent="0.3">
      <c r="A130" s="13" t="s">
        <v>477</v>
      </c>
      <c r="B130" s="14" t="s">
        <v>478</v>
      </c>
      <c r="C130" s="14"/>
      <c r="D130" s="14" t="s">
        <v>479</v>
      </c>
      <c r="E130" s="14">
        <f xml:space="preserve"> IF($U$130,1,0)</f>
        <v>0</v>
      </c>
      <c r="F130" s="14" t="s">
        <v>480</v>
      </c>
      <c r="G130" s="14">
        <v>0</v>
      </c>
      <c r="H130" s="14">
        <v>0</v>
      </c>
      <c r="I130" s="14">
        <v>0</v>
      </c>
      <c r="J130" s="14">
        <v>0</v>
      </c>
      <c r="K130" s="14">
        <v>0</v>
      </c>
      <c r="L130" s="14">
        <v>0</v>
      </c>
      <c r="M130" s="14">
        <v>0</v>
      </c>
      <c r="N130" s="14">
        <v>0</v>
      </c>
      <c r="O130" s="14">
        <v>0</v>
      </c>
      <c r="P130" s="14">
        <v>0</v>
      </c>
      <c r="Q130" s="15">
        <v>0</v>
      </c>
      <c r="R130" s="15">
        <v>0</v>
      </c>
      <c r="S130" s="15">
        <f>$G$130*$G$8+$H$130*$H$8+$I$130*$I$8+$J$130*$J$8+$K$130*$K$8+$L$130*$L$8+$M$130*$M$8+$N$130*$N$8+$O$130*$O$8+$P$130*$P$8</f>
        <v>0</v>
      </c>
      <c r="T130" s="15">
        <f>SUM($Q$130:$R$130)</f>
        <v>0</v>
      </c>
      <c r="U130" s="15">
        <f>$S$130+$T$130</f>
        <v>0</v>
      </c>
    </row>
    <row r="131" spans="1:21" x14ac:dyDescent="0.3">
      <c r="A131" s="10" t="s">
        <v>481</v>
      </c>
      <c r="B131" s="11" t="s">
        <v>482</v>
      </c>
      <c r="C131" s="11"/>
      <c r="D131" s="11" t="s">
        <v>483</v>
      </c>
      <c r="E131" s="11">
        <f xml:space="preserve"> IF($U$131,1,0)</f>
        <v>0</v>
      </c>
      <c r="F131" s="11" t="s">
        <v>484</v>
      </c>
      <c r="G131" s="11">
        <v>0</v>
      </c>
      <c r="H131" s="11">
        <v>0</v>
      </c>
      <c r="I131" s="11">
        <v>0</v>
      </c>
      <c r="J131" s="11">
        <v>0</v>
      </c>
      <c r="K131" s="11">
        <v>0</v>
      </c>
      <c r="L131" s="11">
        <v>0</v>
      </c>
      <c r="M131" s="11">
        <v>0</v>
      </c>
      <c r="N131" s="11">
        <v>0</v>
      </c>
      <c r="O131" s="11">
        <v>0</v>
      </c>
      <c r="P131" s="11">
        <v>0</v>
      </c>
      <c r="Q131" s="12">
        <v>0</v>
      </c>
      <c r="R131" s="12">
        <v>0</v>
      </c>
      <c r="S131" s="12">
        <f>$G$131*$G$8+$H$131*$H$8+$I$131*$I$8+$J$131*$J$8+$K$131*$K$8+$L$131*$L$8+$M$131*$M$8+$N$131*$N$8+$O$131*$O$8+$P$131*$P$8</f>
        <v>0</v>
      </c>
      <c r="T131" s="12">
        <f>SUM($Q$131:$R$131)</f>
        <v>0</v>
      </c>
      <c r="U131" s="12">
        <f>$S$131+$T$131</f>
        <v>0</v>
      </c>
    </row>
    <row r="132" spans="1:21" x14ac:dyDescent="0.3">
      <c r="A132" s="13" t="s">
        <v>485</v>
      </c>
      <c r="B132" s="14" t="s">
        <v>486</v>
      </c>
      <c r="C132" s="14"/>
      <c r="D132" s="14" t="s">
        <v>487</v>
      </c>
      <c r="E132" s="14">
        <f xml:space="preserve"> IF($U$132,1,0)</f>
        <v>1</v>
      </c>
      <c r="F132" s="14" t="s">
        <v>488</v>
      </c>
      <c r="G132" s="14">
        <v>2</v>
      </c>
      <c r="H132" s="14">
        <v>0</v>
      </c>
      <c r="I132" s="14">
        <v>0</v>
      </c>
      <c r="J132" s="14">
        <v>0</v>
      </c>
      <c r="K132" s="14">
        <v>0</v>
      </c>
      <c r="L132" s="14">
        <v>0</v>
      </c>
      <c r="M132" s="14">
        <v>0</v>
      </c>
      <c r="N132" s="14">
        <v>0</v>
      </c>
      <c r="O132" s="14">
        <v>0</v>
      </c>
      <c r="P132" s="14">
        <v>0</v>
      </c>
      <c r="Q132" s="15">
        <v>0</v>
      </c>
      <c r="R132" s="15">
        <v>0</v>
      </c>
      <c r="S132" s="15">
        <f>$G$132*$G$8+$H$132*$H$8+$I$132*$I$8+$J$132*$J$8+$K$132*$K$8+$L$132*$L$8+$M$132*$M$8+$N$132*$N$8+$O$132*$O$8+$P$132*$P$8</f>
        <v>1.4</v>
      </c>
      <c r="T132" s="15">
        <f>SUM($Q$132:$R$132)</f>
        <v>0</v>
      </c>
      <c r="U132" s="15">
        <f>$S$132+$T$132</f>
        <v>1.4</v>
      </c>
    </row>
    <row r="133" spans="1:21" x14ac:dyDescent="0.3">
      <c r="A133" s="10" t="s">
        <v>489</v>
      </c>
      <c r="B133" s="11" t="s">
        <v>490</v>
      </c>
      <c r="C133" s="11"/>
      <c r="D133" s="11" t="s">
        <v>491</v>
      </c>
      <c r="E133" s="11">
        <f xml:space="preserve"> IF($U$133,1,0)</f>
        <v>0</v>
      </c>
      <c r="F133" s="11" t="s">
        <v>492</v>
      </c>
      <c r="G133" s="11">
        <v>0</v>
      </c>
      <c r="H133" s="11">
        <v>0</v>
      </c>
      <c r="I133" s="11">
        <v>0</v>
      </c>
      <c r="J133" s="11">
        <v>0</v>
      </c>
      <c r="K133" s="11">
        <v>0</v>
      </c>
      <c r="L133" s="11">
        <v>0</v>
      </c>
      <c r="M133" s="11">
        <v>0</v>
      </c>
      <c r="N133" s="11">
        <v>0</v>
      </c>
      <c r="O133" s="11">
        <v>0</v>
      </c>
      <c r="P133" s="11">
        <v>0</v>
      </c>
      <c r="Q133" s="12">
        <v>0</v>
      </c>
      <c r="R133" s="12">
        <v>0</v>
      </c>
      <c r="S133" s="12">
        <f>$G$133*$G$8+$H$133*$H$8+$I$133*$I$8+$J$133*$J$8+$K$133*$K$8+$L$133*$L$8+$M$133*$M$8+$N$133*$N$8+$O$133*$O$8+$P$133*$P$8</f>
        <v>0</v>
      </c>
      <c r="T133" s="12">
        <f>SUM($Q$133:$R$133)</f>
        <v>0</v>
      </c>
      <c r="U133" s="12">
        <f>$S$133+$T$133</f>
        <v>0</v>
      </c>
    </row>
    <row r="134" spans="1:21" x14ac:dyDescent="0.3">
      <c r="A134" s="13" t="s">
        <v>493</v>
      </c>
      <c r="B134" s="14" t="s">
        <v>494</v>
      </c>
      <c r="C134" s="14" t="s">
        <v>34</v>
      </c>
      <c r="D134" s="14" t="s">
        <v>495</v>
      </c>
      <c r="E134" s="14">
        <f xml:space="preserve"> IF($U$134,1,0)</f>
        <v>0</v>
      </c>
      <c r="F134" s="14" t="s">
        <v>496</v>
      </c>
      <c r="G134" s="14">
        <v>0</v>
      </c>
      <c r="H134" s="14">
        <v>0</v>
      </c>
      <c r="I134" s="14">
        <v>0</v>
      </c>
      <c r="J134" s="14">
        <v>0</v>
      </c>
      <c r="K134" s="14">
        <v>0</v>
      </c>
      <c r="L134" s="14">
        <v>0</v>
      </c>
      <c r="M134" s="14">
        <v>0</v>
      </c>
      <c r="N134" s="14">
        <v>0</v>
      </c>
      <c r="O134" s="14">
        <v>0</v>
      </c>
      <c r="P134" s="14">
        <v>0</v>
      </c>
      <c r="Q134" s="15">
        <v>0</v>
      </c>
      <c r="R134" s="15">
        <v>0</v>
      </c>
      <c r="S134" s="15">
        <f>$G$134*$G$8+$H$134*$H$8+$I$134*$I$8+$J$134*$J$8+$K$134*$K$8+$L$134*$L$8+$M$134*$M$8+$N$134*$N$8+$O$134*$O$8+$P$134*$P$8</f>
        <v>0</v>
      </c>
      <c r="T134" s="15">
        <f>SUM($Q$134:$R$134)</f>
        <v>0</v>
      </c>
      <c r="U134" s="15">
        <f>$S$134+$T$134</f>
        <v>0</v>
      </c>
    </row>
    <row r="135" spans="1:21" x14ac:dyDescent="0.3">
      <c r="A135" s="10" t="s">
        <v>497</v>
      </c>
      <c r="B135" s="11" t="s">
        <v>498</v>
      </c>
      <c r="C135" s="11"/>
      <c r="D135" s="11" t="s">
        <v>499</v>
      </c>
      <c r="E135" s="11">
        <f xml:space="preserve"> IF($U$135,1,0)</f>
        <v>0</v>
      </c>
      <c r="F135" s="11" t="s">
        <v>500</v>
      </c>
      <c r="G135" s="11">
        <v>0</v>
      </c>
      <c r="H135" s="11">
        <v>0</v>
      </c>
      <c r="I135" s="11">
        <v>0</v>
      </c>
      <c r="J135" s="11">
        <v>0</v>
      </c>
      <c r="K135" s="11">
        <v>0</v>
      </c>
      <c r="L135" s="11">
        <v>0</v>
      </c>
      <c r="M135" s="11">
        <v>0</v>
      </c>
      <c r="N135" s="11">
        <v>0</v>
      </c>
      <c r="O135" s="11">
        <v>0</v>
      </c>
      <c r="P135" s="11">
        <v>0</v>
      </c>
      <c r="Q135" s="12">
        <v>0</v>
      </c>
      <c r="R135" s="12">
        <v>0</v>
      </c>
      <c r="S135" s="12">
        <f>$G$135*$G$8+$H$135*$H$8+$I$135*$I$8+$J$135*$J$8+$K$135*$K$8+$L$135*$L$8+$M$135*$M$8+$N$135*$N$8+$O$135*$O$8+$P$135*$P$8</f>
        <v>0</v>
      </c>
      <c r="T135" s="12">
        <f>SUM($Q$135:$R$135)</f>
        <v>0</v>
      </c>
      <c r="U135" s="12">
        <f>$S$135+$T$135</f>
        <v>0</v>
      </c>
    </row>
    <row r="136" spans="1:21" x14ac:dyDescent="0.3">
      <c r="A136" s="13" t="s">
        <v>501</v>
      </c>
      <c r="B136" s="14" t="s">
        <v>502</v>
      </c>
      <c r="C136" s="14" t="s">
        <v>34</v>
      </c>
      <c r="D136" s="14" t="s">
        <v>503</v>
      </c>
      <c r="E136" s="14">
        <f xml:space="preserve"> IF($U$136,1,0)</f>
        <v>1</v>
      </c>
      <c r="F136" s="14" t="s">
        <v>504</v>
      </c>
      <c r="G136" s="14">
        <v>12</v>
      </c>
      <c r="H136" s="14">
        <v>0</v>
      </c>
      <c r="I136" s="14">
        <v>0</v>
      </c>
      <c r="J136" s="14">
        <v>0</v>
      </c>
      <c r="K136" s="14">
        <v>0</v>
      </c>
      <c r="L136" s="14">
        <v>0</v>
      </c>
      <c r="M136" s="14">
        <v>0</v>
      </c>
      <c r="N136" s="14">
        <v>0</v>
      </c>
      <c r="O136" s="14">
        <v>0</v>
      </c>
      <c r="P136" s="14">
        <v>1</v>
      </c>
      <c r="Q136" s="15">
        <v>0</v>
      </c>
      <c r="R136" s="15">
        <v>0</v>
      </c>
      <c r="S136" s="15">
        <f>$G$136*$G$8+$H$136*$H$8+$I$136*$I$8+$J$136*$J$8+$K$136*$K$8+$L$136*$L$8+$M$136*$M$8+$N$136*$N$8+$O$136*$O$8+$P$136*$P$8</f>
        <v>9.3999999999999986</v>
      </c>
      <c r="T136" s="15">
        <f>SUM($Q$136:$R$136)</f>
        <v>0</v>
      </c>
      <c r="U136" s="15">
        <f>$S$136+$T$136</f>
        <v>9.3999999999999986</v>
      </c>
    </row>
    <row r="137" spans="1:21" x14ac:dyDescent="0.3">
      <c r="A137" s="10" t="s">
        <v>505</v>
      </c>
      <c r="B137" s="11" t="s">
        <v>502</v>
      </c>
      <c r="C137" s="11"/>
      <c r="D137" s="11" t="s">
        <v>232</v>
      </c>
      <c r="E137" s="11">
        <f xml:space="preserve"> IF($U$137,1,0)</f>
        <v>0</v>
      </c>
      <c r="F137" s="11" t="s">
        <v>506</v>
      </c>
      <c r="G137" s="11">
        <v>0</v>
      </c>
      <c r="H137" s="11">
        <v>0</v>
      </c>
      <c r="I137" s="11">
        <v>0</v>
      </c>
      <c r="J137" s="11">
        <v>0</v>
      </c>
      <c r="K137" s="11">
        <v>0</v>
      </c>
      <c r="L137" s="11">
        <v>0</v>
      </c>
      <c r="M137" s="11">
        <v>0</v>
      </c>
      <c r="N137" s="11">
        <v>0</v>
      </c>
      <c r="O137" s="11">
        <v>0</v>
      </c>
      <c r="P137" s="11">
        <v>0</v>
      </c>
      <c r="Q137" s="12">
        <v>0</v>
      </c>
      <c r="R137" s="12">
        <v>0</v>
      </c>
      <c r="S137" s="12">
        <f>$G$137*$G$8+$H$137*$H$8+$I$137*$I$8+$J$137*$J$8+$K$137*$K$8+$L$137*$L$8+$M$137*$M$8+$N$137*$N$8+$O$137*$O$8+$P$137*$P$8</f>
        <v>0</v>
      </c>
      <c r="T137" s="12">
        <f>SUM($Q$137:$R$137)</f>
        <v>0</v>
      </c>
      <c r="U137" s="12">
        <f>$S$137+$T$137</f>
        <v>0</v>
      </c>
    </row>
    <row r="138" spans="1:21" x14ac:dyDescent="0.3">
      <c r="A138" s="13" t="s">
        <v>507</v>
      </c>
      <c r="B138" s="14" t="s">
        <v>508</v>
      </c>
      <c r="C138" s="14" t="s">
        <v>65</v>
      </c>
      <c r="D138" s="14" t="s">
        <v>509</v>
      </c>
      <c r="E138" s="14">
        <f xml:space="preserve"> IF($U$138,1,0)</f>
        <v>0</v>
      </c>
      <c r="F138" s="14" t="s">
        <v>510</v>
      </c>
      <c r="G138" s="14">
        <v>0</v>
      </c>
      <c r="H138" s="14">
        <v>0</v>
      </c>
      <c r="I138" s="14">
        <v>0</v>
      </c>
      <c r="J138" s="14">
        <v>0</v>
      </c>
      <c r="K138" s="14">
        <v>0</v>
      </c>
      <c r="L138" s="14">
        <v>0</v>
      </c>
      <c r="M138" s="14">
        <v>0</v>
      </c>
      <c r="N138" s="14">
        <v>0</v>
      </c>
      <c r="O138" s="14">
        <v>0</v>
      </c>
      <c r="P138" s="14">
        <v>0</v>
      </c>
      <c r="Q138" s="15">
        <v>0</v>
      </c>
      <c r="R138" s="15">
        <v>0</v>
      </c>
      <c r="S138" s="15">
        <f>$G$138*$G$8+$H$138*$H$8+$I$138*$I$8+$J$138*$J$8+$K$138*$K$8+$L$138*$L$8+$M$138*$M$8+$N$138*$N$8+$O$138*$O$8+$P$138*$P$8</f>
        <v>0</v>
      </c>
      <c r="T138" s="15">
        <f>SUM($Q$138:$R$138)</f>
        <v>0</v>
      </c>
      <c r="U138" s="15">
        <f>$S$138+$T$138</f>
        <v>0</v>
      </c>
    </row>
    <row r="139" spans="1:21" x14ac:dyDescent="0.3">
      <c r="A139" s="10" t="s">
        <v>511</v>
      </c>
      <c r="B139" s="11" t="s">
        <v>512</v>
      </c>
      <c r="C139" s="11" t="s">
        <v>513</v>
      </c>
      <c r="D139" s="11" t="s">
        <v>514</v>
      </c>
      <c r="E139" s="11">
        <f xml:space="preserve"> IF($U$139,1,0)</f>
        <v>1</v>
      </c>
      <c r="F139" s="11" t="s">
        <v>515</v>
      </c>
      <c r="G139" s="11">
        <v>0</v>
      </c>
      <c r="H139" s="11">
        <v>4</v>
      </c>
      <c r="I139" s="11">
        <v>0</v>
      </c>
      <c r="J139" s="11">
        <v>0</v>
      </c>
      <c r="K139" s="11">
        <v>0</v>
      </c>
      <c r="L139" s="11">
        <v>0</v>
      </c>
      <c r="M139" s="11">
        <v>1</v>
      </c>
      <c r="N139" s="11">
        <v>0</v>
      </c>
      <c r="O139" s="11">
        <v>0</v>
      </c>
      <c r="P139" s="11">
        <v>0</v>
      </c>
      <c r="Q139" s="12">
        <v>0</v>
      </c>
      <c r="R139" s="12">
        <v>0</v>
      </c>
      <c r="S139" s="12">
        <f>$G$139*$G$8+$H$139*$H$8+$I$139*$I$8+$J$139*$J$8+$K$139*$K$8+$L$139*$L$8+$M$139*$M$8+$N$139*$N$8+$O$139*$O$8+$P$139*$P$8</f>
        <v>11.2</v>
      </c>
      <c r="T139" s="12">
        <f>SUM($Q$139:$R$139)</f>
        <v>0</v>
      </c>
      <c r="U139" s="12">
        <f>$S$139+$T$139</f>
        <v>11.2</v>
      </c>
    </row>
    <row r="140" spans="1:21" x14ac:dyDescent="0.3">
      <c r="A140" s="13" t="s">
        <v>516</v>
      </c>
      <c r="B140" s="14" t="s">
        <v>517</v>
      </c>
      <c r="C140" s="14" t="s">
        <v>65</v>
      </c>
      <c r="D140" s="14" t="s">
        <v>518</v>
      </c>
      <c r="E140" s="14">
        <f xml:space="preserve"> IF($U$140,1,0)</f>
        <v>1</v>
      </c>
      <c r="F140" s="14" t="s">
        <v>519</v>
      </c>
      <c r="G140" s="14">
        <v>2</v>
      </c>
      <c r="H140" s="14">
        <v>0</v>
      </c>
      <c r="I140" s="14">
        <v>0</v>
      </c>
      <c r="J140" s="14">
        <v>0</v>
      </c>
      <c r="K140" s="14">
        <v>0</v>
      </c>
      <c r="L140" s="14">
        <v>0</v>
      </c>
      <c r="M140" s="14">
        <v>0</v>
      </c>
      <c r="N140" s="14">
        <v>0</v>
      </c>
      <c r="O140" s="14">
        <v>0</v>
      </c>
      <c r="P140" s="14">
        <v>0</v>
      </c>
      <c r="Q140" s="15">
        <v>0</v>
      </c>
      <c r="R140" s="15">
        <v>0</v>
      </c>
      <c r="S140" s="15">
        <f>$G$140*$G$8+$H$140*$H$8+$I$140*$I$8+$J$140*$J$8+$K$140*$K$8+$L$140*$L$8+$M$140*$M$8+$N$140*$N$8+$O$140*$O$8+$P$140*$P$8</f>
        <v>1.4</v>
      </c>
      <c r="T140" s="15">
        <f>SUM($Q$140:$R$140)</f>
        <v>0</v>
      </c>
      <c r="U140" s="15">
        <f>$S$140+$T$140</f>
        <v>1.4</v>
      </c>
    </row>
    <row r="141" spans="1:21" x14ac:dyDescent="0.3">
      <c r="A141" s="10" t="s">
        <v>520</v>
      </c>
      <c r="B141" s="11" t="s">
        <v>517</v>
      </c>
      <c r="C141" s="11"/>
      <c r="D141" s="11" t="s">
        <v>521</v>
      </c>
      <c r="E141" s="11">
        <f xml:space="preserve"> IF($U$141,1,0)</f>
        <v>1</v>
      </c>
      <c r="F141" s="11" t="s">
        <v>522</v>
      </c>
      <c r="G141" s="11">
        <v>3</v>
      </c>
      <c r="H141" s="11">
        <v>0</v>
      </c>
      <c r="I141" s="11">
        <v>1</v>
      </c>
      <c r="J141" s="11">
        <v>0</v>
      </c>
      <c r="K141" s="11">
        <v>0</v>
      </c>
      <c r="L141" s="11">
        <v>0</v>
      </c>
      <c r="M141" s="11">
        <v>0</v>
      </c>
      <c r="N141" s="11">
        <v>0</v>
      </c>
      <c r="O141" s="11">
        <v>0</v>
      </c>
      <c r="P141" s="11">
        <v>0</v>
      </c>
      <c r="Q141" s="12">
        <v>0</v>
      </c>
      <c r="R141" s="12">
        <v>0</v>
      </c>
      <c r="S141" s="12">
        <f>$G$141*$G$8+$H$141*$H$8+$I$141*$I$8+$J$141*$J$8+$K$141*$K$8+$L$141*$L$8+$M$141*$M$8+$N$141*$N$8+$O$141*$O$8+$P$141*$P$8</f>
        <v>3.0999999999999996</v>
      </c>
      <c r="T141" s="12">
        <f>SUM($Q$141:$R$141)</f>
        <v>0</v>
      </c>
      <c r="U141" s="12">
        <f>$S$141+$T$141</f>
        <v>3.0999999999999996</v>
      </c>
    </row>
    <row r="142" spans="1:21" x14ac:dyDescent="0.3">
      <c r="A142" s="13" t="s">
        <v>523</v>
      </c>
      <c r="B142" s="14" t="s">
        <v>524</v>
      </c>
      <c r="C142" s="14" t="s">
        <v>65</v>
      </c>
      <c r="D142" s="14" t="s">
        <v>327</v>
      </c>
      <c r="E142" s="14">
        <f xml:space="preserve"> IF($U$142,1,0)</f>
        <v>0</v>
      </c>
      <c r="F142" s="14" t="s">
        <v>525</v>
      </c>
      <c r="G142" s="14">
        <v>0</v>
      </c>
      <c r="H142" s="14">
        <v>0</v>
      </c>
      <c r="I142" s="14">
        <v>0</v>
      </c>
      <c r="J142" s="14">
        <v>0</v>
      </c>
      <c r="K142" s="14">
        <v>0</v>
      </c>
      <c r="L142" s="14">
        <v>0</v>
      </c>
      <c r="M142" s="14">
        <v>0</v>
      </c>
      <c r="N142" s="14">
        <v>0</v>
      </c>
      <c r="O142" s="14">
        <v>0</v>
      </c>
      <c r="P142" s="14">
        <v>0</v>
      </c>
      <c r="Q142" s="15">
        <v>0</v>
      </c>
      <c r="R142" s="15">
        <v>0</v>
      </c>
      <c r="S142" s="15">
        <f>$G$142*$G$8+$H$142*$H$8+$I$142*$I$8+$J$142*$J$8+$K$142*$K$8+$L$142*$L$8+$M$142*$M$8+$N$142*$N$8+$O$142*$O$8+$P$142*$P$8</f>
        <v>0</v>
      </c>
      <c r="T142" s="15">
        <f>SUM($Q$142:$R$142)</f>
        <v>0</v>
      </c>
      <c r="U142" s="15">
        <f>$S$142+$T$142</f>
        <v>0</v>
      </c>
    </row>
    <row r="143" spans="1:21" x14ac:dyDescent="0.3">
      <c r="A143" s="10" t="s">
        <v>526</v>
      </c>
      <c r="B143" s="11" t="s">
        <v>527</v>
      </c>
      <c r="C143" s="11"/>
      <c r="D143" s="11" t="s">
        <v>528</v>
      </c>
      <c r="E143" s="11">
        <f xml:space="preserve"> IF($U$143,1,0)</f>
        <v>0</v>
      </c>
      <c r="F143" s="11" t="s">
        <v>529</v>
      </c>
      <c r="G143" s="11">
        <v>0</v>
      </c>
      <c r="H143" s="11">
        <v>0</v>
      </c>
      <c r="I143" s="11">
        <v>0</v>
      </c>
      <c r="J143" s="11">
        <v>0</v>
      </c>
      <c r="K143" s="11">
        <v>0</v>
      </c>
      <c r="L143" s="11">
        <v>0</v>
      </c>
      <c r="M143" s="11">
        <v>0</v>
      </c>
      <c r="N143" s="11">
        <v>0</v>
      </c>
      <c r="O143" s="11">
        <v>0</v>
      </c>
      <c r="P143" s="11">
        <v>0</v>
      </c>
      <c r="Q143" s="12">
        <v>0</v>
      </c>
      <c r="R143" s="12">
        <v>0</v>
      </c>
      <c r="S143" s="12">
        <f>$G$143*$G$8+$H$143*$H$8+$I$143*$I$8+$J$143*$J$8+$K$143*$K$8+$L$143*$L$8+$M$143*$M$8+$N$143*$N$8+$O$143*$O$8+$P$143*$P$8</f>
        <v>0</v>
      </c>
      <c r="T143" s="12">
        <f>SUM($Q$143:$R$143)</f>
        <v>0</v>
      </c>
      <c r="U143" s="12">
        <f>$S$143+$T$143</f>
        <v>0</v>
      </c>
    </row>
    <row r="144" spans="1:21" x14ac:dyDescent="0.3">
      <c r="A144" s="13" t="s">
        <v>530</v>
      </c>
      <c r="B144" s="14" t="s">
        <v>531</v>
      </c>
      <c r="C144" s="14"/>
      <c r="D144" s="14" t="s">
        <v>532</v>
      </c>
      <c r="E144" s="14">
        <f xml:space="preserve"> IF($U$144,1,0)</f>
        <v>1</v>
      </c>
      <c r="F144" s="14" t="s">
        <v>533</v>
      </c>
      <c r="G144" s="14">
        <v>0</v>
      </c>
      <c r="H144" s="14">
        <v>0</v>
      </c>
      <c r="I144" s="14">
        <v>1</v>
      </c>
      <c r="J144" s="14">
        <v>0</v>
      </c>
      <c r="K144" s="14">
        <v>0</v>
      </c>
      <c r="L144" s="14">
        <v>0</v>
      </c>
      <c r="M144" s="14">
        <v>0</v>
      </c>
      <c r="N144" s="14">
        <v>0</v>
      </c>
      <c r="O144" s="14">
        <v>0</v>
      </c>
      <c r="P144" s="14">
        <v>0</v>
      </c>
      <c r="Q144" s="15">
        <v>0</v>
      </c>
      <c r="R144" s="15">
        <v>0</v>
      </c>
      <c r="S144" s="15">
        <f>$G$144*$G$8+$H$144*$H$8+$I$144*$I$8+$J$144*$J$8+$K$144*$K$8+$L$144*$L$8+$M$144*$M$8+$N$144*$N$8+$O$144*$O$8+$P$144*$P$8</f>
        <v>1</v>
      </c>
      <c r="T144" s="15">
        <f>SUM($Q$144:$R$144)</f>
        <v>0</v>
      </c>
      <c r="U144" s="15">
        <f>$S$144+$T$144</f>
        <v>1</v>
      </c>
    </row>
    <row r="145" spans="1:21" x14ac:dyDescent="0.3">
      <c r="A145" s="10" t="s">
        <v>534</v>
      </c>
      <c r="B145" s="11" t="s">
        <v>535</v>
      </c>
      <c r="C145" s="11"/>
      <c r="D145" s="11" t="s">
        <v>536</v>
      </c>
      <c r="E145" s="11">
        <f xml:space="preserve"> IF($U$145,1,0)</f>
        <v>1</v>
      </c>
      <c r="F145" s="11" t="s">
        <v>537</v>
      </c>
      <c r="G145" s="11">
        <v>3</v>
      </c>
      <c r="H145" s="11">
        <v>0</v>
      </c>
      <c r="I145" s="11">
        <v>0</v>
      </c>
      <c r="J145" s="11">
        <v>0</v>
      </c>
      <c r="K145" s="11">
        <v>0</v>
      </c>
      <c r="L145" s="11">
        <v>0</v>
      </c>
      <c r="M145" s="11">
        <v>0</v>
      </c>
      <c r="N145" s="11">
        <v>0</v>
      </c>
      <c r="O145" s="11">
        <v>0</v>
      </c>
      <c r="P145" s="11">
        <v>0</v>
      </c>
      <c r="Q145" s="12">
        <v>0</v>
      </c>
      <c r="R145" s="12">
        <v>0</v>
      </c>
      <c r="S145" s="12">
        <f>$G$145*$G$8+$H$145*$H$8+$I$145*$I$8+$J$145*$J$8+$K$145*$K$8+$L$145*$L$8+$M$145*$M$8+$N$145*$N$8+$O$145*$O$8+$P$145*$P$8</f>
        <v>2.0999999999999996</v>
      </c>
      <c r="T145" s="12">
        <f>SUM($Q$145:$R$145)</f>
        <v>0</v>
      </c>
      <c r="U145" s="12">
        <f>$S$145+$T$145</f>
        <v>2.0999999999999996</v>
      </c>
    </row>
    <row r="146" spans="1:21" x14ac:dyDescent="0.3">
      <c r="A146" s="13" t="s">
        <v>538</v>
      </c>
      <c r="B146" s="14" t="s">
        <v>535</v>
      </c>
      <c r="C146" s="14"/>
      <c r="D146" s="14" t="s">
        <v>539</v>
      </c>
      <c r="E146" s="14">
        <f xml:space="preserve"> IF($U$146,1,0)</f>
        <v>0</v>
      </c>
      <c r="F146" s="14" t="s">
        <v>540</v>
      </c>
      <c r="G146" s="14">
        <v>0</v>
      </c>
      <c r="H146" s="14">
        <v>0</v>
      </c>
      <c r="I146" s="14">
        <v>0</v>
      </c>
      <c r="J146" s="14">
        <v>0</v>
      </c>
      <c r="K146" s="14">
        <v>0</v>
      </c>
      <c r="L146" s="14">
        <v>0</v>
      </c>
      <c r="M146" s="14">
        <v>0</v>
      </c>
      <c r="N146" s="14">
        <v>0</v>
      </c>
      <c r="O146" s="14">
        <v>0</v>
      </c>
      <c r="P146" s="14">
        <v>0</v>
      </c>
      <c r="Q146" s="15">
        <v>0</v>
      </c>
      <c r="R146" s="15">
        <v>0</v>
      </c>
      <c r="S146" s="15">
        <f>$G$146*$G$8+$H$146*$H$8+$I$146*$I$8+$J$146*$J$8+$K$146*$K$8+$L$146*$L$8+$M$146*$M$8+$N$146*$N$8+$O$146*$O$8+$P$146*$P$8</f>
        <v>0</v>
      </c>
      <c r="T146" s="15">
        <f>SUM($Q$146:$R$146)</f>
        <v>0</v>
      </c>
      <c r="U146" s="15">
        <f>$S$146+$T$146</f>
        <v>0</v>
      </c>
    </row>
    <row r="147" spans="1:21" x14ac:dyDescent="0.3">
      <c r="A147" s="10" t="s">
        <v>541</v>
      </c>
      <c r="B147" s="11" t="s">
        <v>542</v>
      </c>
      <c r="C147" s="11"/>
      <c r="D147" s="11" t="s">
        <v>543</v>
      </c>
      <c r="E147" s="11">
        <f xml:space="preserve"> IF($U$147,1,0)</f>
        <v>0</v>
      </c>
      <c r="F147" s="11" t="s">
        <v>544</v>
      </c>
      <c r="G147" s="11">
        <v>0</v>
      </c>
      <c r="H147" s="11">
        <v>0</v>
      </c>
      <c r="I147" s="11">
        <v>0</v>
      </c>
      <c r="J147" s="11">
        <v>0</v>
      </c>
      <c r="K147" s="11">
        <v>0</v>
      </c>
      <c r="L147" s="11">
        <v>0</v>
      </c>
      <c r="M147" s="11">
        <v>0</v>
      </c>
      <c r="N147" s="11">
        <v>0</v>
      </c>
      <c r="O147" s="11">
        <v>0</v>
      </c>
      <c r="P147" s="11">
        <v>0</v>
      </c>
      <c r="Q147" s="12">
        <v>0</v>
      </c>
      <c r="R147" s="12">
        <v>0</v>
      </c>
      <c r="S147" s="12">
        <f>$G$147*$G$8+$H$147*$H$8+$I$147*$I$8+$J$147*$J$8+$K$147*$K$8+$L$147*$L$8+$M$147*$M$8+$N$147*$N$8+$O$147*$O$8+$P$147*$P$8</f>
        <v>0</v>
      </c>
      <c r="T147" s="12">
        <f>SUM($Q$147:$R$147)</f>
        <v>0</v>
      </c>
      <c r="U147" s="12">
        <f>$S$147+$T$147</f>
        <v>0</v>
      </c>
    </row>
    <row r="148" spans="1:21" x14ac:dyDescent="0.3">
      <c r="A148" s="13" t="s">
        <v>545</v>
      </c>
      <c r="B148" s="14" t="s">
        <v>546</v>
      </c>
      <c r="C148" s="14"/>
      <c r="D148" s="14" t="s">
        <v>547</v>
      </c>
      <c r="E148" s="14">
        <f xml:space="preserve"> IF($U$148,1,0)</f>
        <v>0</v>
      </c>
      <c r="F148" s="14" t="s">
        <v>548</v>
      </c>
      <c r="G148" s="14">
        <v>0</v>
      </c>
      <c r="H148" s="14">
        <v>0</v>
      </c>
      <c r="I148" s="14">
        <v>0</v>
      </c>
      <c r="J148" s="14">
        <v>0</v>
      </c>
      <c r="K148" s="14">
        <v>0</v>
      </c>
      <c r="L148" s="14">
        <v>0</v>
      </c>
      <c r="M148" s="14">
        <v>0</v>
      </c>
      <c r="N148" s="14">
        <v>0</v>
      </c>
      <c r="O148" s="14">
        <v>0</v>
      </c>
      <c r="P148" s="14">
        <v>0</v>
      </c>
      <c r="Q148" s="15">
        <v>0</v>
      </c>
      <c r="R148" s="15">
        <v>0</v>
      </c>
      <c r="S148" s="15">
        <f>$G$148*$G$8+$H$148*$H$8+$I$148*$I$8+$J$148*$J$8+$K$148*$K$8+$L$148*$L$8+$M$148*$M$8+$N$148*$N$8+$O$148*$O$8+$P$148*$P$8</f>
        <v>0</v>
      </c>
      <c r="T148" s="15">
        <f>SUM($Q$148:$R$148)</f>
        <v>0</v>
      </c>
      <c r="U148" s="15">
        <f>$S$148+$T$148</f>
        <v>0</v>
      </c>
    </row>
    <row r="149" spans="1:21" x14ac:dyDescent="0.3">
      <c r="A149" s="10" t="s">
        <v>549</v>
      </c>
      <c r="B149" s="11" t="s">
        <v>550</v>
      </c>
      <c r="C149" s="11" t="s">
        <v>34</v>
      </c>
      <c r="D149" s="11" t="s">
        <v>551</v>
      </c>
      <c r="E149" s="11">
        <f xml:space="preserve"> IF($U$149,1,0)</f>
        <v>1</v>
      </c>
      <c r="F149" s="11" t="s">
        <v>552</v>
      </c>
      <c r="G149" s="11">
        <v>2</v>
      </c>
      <c r="H149" s="11">
        <v>0</v>
      </c>
      <c r="I149" s="11">
        <v>0</v>
      </c>
      <c r="J149" s="11">
        <v>0</v>
      </c>
      <c r="K149" s="11">
        <v>0</v>
      </c>
      <c r="L149" s="11">
        <v>0</v>
      </c>
      <c r="M149" s="11">
        <v>0</v>
      </c>
      <c r="N149" s="11">
        <v>0</v>
      </c>
      <c r="O149" s="11">
        <v>0</v>
      </c>
      <c r="P149" s="11">
        <v>0</v>
      </c>
      <c r="Q149" s="12">
        <v>0</v>
      </c>
      <c r="R149" s="12">
        <v>0</v>
      </c>
      <c r="S149" s="12">
        <f>$G$149*$G$8+$H$149*$H$8+$I$149*$I$8+$J$149*$J$8+$K$149*$K$8+$L$149*$L$8+$M$149*$M$8+$N$149*$N$8+$O$149*$O$8+$P$149*$P$8</f>
        <v>1.4</v>
      </c>
      <c r="T149" s="12">
        <f>SUM($Q$149:$R$149)</f>
        <v>0</v>
      </c>
      <c r="U149" s="12">
        <f>$S$149+$T$149</f>
        <v>1.4</v>
      </c>
    </row>
    <row r="150" spans="1:21" x14ac:dyDescent="0.3">
      <c r="A150" s="13" t="s">
        <v>553</v>
      </c>
      <c r="B150" s="14" t="s">
        <v>554</v>
      </c>
      <c r="C150" s="14"/>
      <c r="D150" s="14" t="s">
        <v>555</v>
      </c>
      <c r="E150" s="14">
        <f xml:space="preserve"> IF($U$150,1,0)</f>
        <v>0</v>
      </c>
      <c r="F150" s="14" t="s">
        <v>556</v>
      </c>
      <c r="G150" s="14">
        <v>0</v>
      </c>
      <c r="H150" s="14">
        <v>0</v>
      </c>
      <c r="I150" s="14">
        <v>0</v>
      </c>
      <c r="J150" s="14">
        <v>0</v>
      </c>
      <c r="K150" s="14">
        <v>0</v>
      </c>
      <c r="L150" s="14">
        <v>0</v>
      </c>
      <c r="M150" s="14">
        <v>0</v>
      </c>
      <c r="N150" s="14">
        <v>0</v>
      </c>
      <c r="O150" s="14">
        <v>0</v>
      </c>
      <c r="P150" s="14">
        <v>0</v>
      </c>
      <c r="Q150" s="15">
        <v>0</v>
      </c>
      <c r="R150" s="15">
        <v>0</v>
      </c>
      <c r="S150" s="15">
        <f>$G$150*$G$8+$H$150*$H$8+$I$150*$I$8+$J$150*$J$8+$K$150*$K$8+$L$150*$L$8+$M$150*$M$8+$N$150*$N$8+$O$150*$O$8+$P$150*$P$8</f>
        <v>0</v>
      </c>
      <c r="T150" s="15">
        <f>SUM($Q$150:$R$150)</f>
        <v>0</v>
      </c>
      <c r="U150" s="15">
        <f>$S$150+$T$150</f>
        <v>0</v>
      </c>
    </row>
    <row r="151" spans="1:21" x14ac:dyDescent="0.3">
      <c r="A151" s="10" t="s">
        <v>557</v>
      </c>
      <c r="B151" s="11" t="s">
        <v>554</v>
      </c>
      <c r="C151" s="11"/>
      <c r="D151" s="11" t="s">
        <v>558</v>
      </c>
      <c r="E151" s="11">
        <f xml:space="preserve"> IF($U$151,1,0)</f>
        <v>0</v>
      </c>
      <c r="F151" s="11" t="s">
        <v>559</v>
      </c>
      <c r="G151" s="11">
        <v>0</v>
      </c>
      <c r="H151" s="11">
        <v>0</v>
      </c>
      <c r="I151" s="11">
        <v>0</v>
      </c>
      <c r="J151" s="11">
        <v>0</v>
      </c>
      <c r="K151" s="11">
        <v>0</v>
      </c>
      <c r="L151" s="11">
        <v>0</v>
      </c>
      <c r="M151" s="11">
        <v>0</v>
      </c>
      <c r="N151" s="11">
        <v>0</v>
      </c>
      <c r="O151" s="11">
        <v>0</v>
      </c>
      <c r="P151" s="11">
        <v>0</v>
      </c>
      <c r="Q151" s="12">
        <v>0</v>
      </c>
      <c r="R151" s="12">
        <v>0</v>
      </c>
      <c r="S151" s="12">
        <f>$G$151*$G$8+$H$151*$H$8+$I$151*$I$8+$J$151*$J$8+$K$151*$K$8+$L$151*$L$8+$M$151*$M$8+$N$151*$N$8+$O$151*$O$8+$P$151*$P$8</f>
        <v>0</v>
      </c>
      <c r="T151" s="12">
        <f>SUM($Q$151:$R$151)</f>
        <v>0</v>
      </c>
      <c r="U151" s="12">
        <f>$S$151+$T$151</f>
        <v>0</v>
      </c>
    </row>
    <row r="152" spans="1:21" x14ac:dyDescent="0.3">
      <c r="A152" s="13" t="s">
        <v>560</v>
      </c>
      <c r="B152" s="14" t="s">
        <v>561</v>
      </c>
      <c r="C152" s="14"/>
      <c r="D152" s="14" t="s">
        <v>562</v>
      </c>
      <c r="E152" s="14">
        <f xml:space="preserve"> IF($U$152,1,0)</f>
        <v>0</v>
      </c>
      <c r="F152" s="14" t="s">
        <v>563</v>
      </c>
      <c r="G152" s="14">
        <v>0</v>
      </c>
      <c r="H152" s="14">
        <v>0</v>
      </c>
      <c r="I152" s="14">
        <v>0</v>
      </c>
      <c r="J152" s="14">
        <v>0</v>
      </c>
      <c r="K152" s="14">
        <v>0</v>
      </c>
      <c r="L152" s="14">
        <v>0</v>
      </c>
      <c r="M152" s="14">
        <v>0</v>
      </c>
      <c r="N152" s="14">
        <v>0</v>
      </c>
      <c r="O152" s="14">
        <v>0</v>
      </c>
      <c r="P152" s="14">
        <v>0</v>
      </c>
      <c r="Q152" s="15">
        <v>0</v>
      </c>
      <c r="R152" s="15">
        <v>0</v>
      </c>
      <c r="S152" s="15">
        <f>$G$152*$G$8+$H$152*$H$8+$I$152*$I$8+$J$152*$J$8+$K$152*$K$8+$L$152*$L$8+$M$152*$M$8+$N$152*$N$8+$O$152*$O$8+$P$152*$P$8</f>
        <v>0</v>
      </c>
      <c r="T152" s="15">
        <f>SUM($Q$152:$R$152)</f>
        <v>0</v>
      </c>
      <c r="U152" s="15">
        <f>$S$152+$T$152</f>
        <v>0</v>
      </c>
    </row>
    <row r="153" spans="1:21" x14ac:dyDescent="0.3">
      <c r="A153" s="10" t="s">
        <v>564</v>
      </c>
      <c r="B153" s="11" t="s">
        <v>565</v>
      </c>
      <c r="C153" s="11"/>
      <c r="D153" s="11" t="s">
        <v>566</v>
      </c>
      <c r="E153" s="11">
        <f xml:space="preserve"> IF($U$153,1,0)</f>
        <v>1</v>
      </c>
      <c r="F153" s="11" t="s">
        <v>567</v>
      </c>
      <c r="G153" s="11">
        <v>2</v>
      </c>
      <c r="H153" s="11">
        <v>0</v>
      </c>
      <c r="I153" s="11">
        <v>0</v>
      </c>
      <c r="J153" s="11">
        <v>1</v>
      </c>
      <c r="K153" s="11">
        <v>0</v>
      </c>
      <c r="L153" s="11">
        <v>0</v>
      </c>
      <c r="M153" s="11">
        <v>0</v>
      </c>
      <c r="N153" s="11">
        <v>0</v>
      </c>
      <c r="O153" s="11">
        <v>0</v>
      </c>
      <c r="P153" s="11">
        <v>0</v>
      </c>
      <c r="Q153" s="12">
        <v>0</v>
      </c>
      <c r="R153" s="12">
        <v>0</v>
      </c>
      <c r="S153" s="12">
        <f>$G$153*$G$8+$H$153*$H$8+$I$153*$I$8+$J$153*$J$8+$K$153*$K$8+$L$153*$L$8+$M$153*$M$8+$N$153*$N$8+$O$153*$O$8+$P$153*$P$8</f>
        <v>6.15</v>
      </c>
      <c r="T153" s="12">
        <f>SUM($Q$153:$R$153)</f>
        <v>0</v>
      </c>
      <c r="U153" s="12">
        <f>$S$153+$T$153</f>
        <v>6.15</v>
      </c>
    </row>
    <row r="154" spans="1:21" x14ac:dyDescent="0.3">
      <c r="A154" s="13" t="s">
        <v>568</v>
      </c>
      <c r="B154" s="14" t="s">
        <v>569</v>
      </c>
      <c r="C154" s="14"/>
      <c r="D154" s="14" t="s">
        <v>570</v>
      </c>
      <c r="E154" s="14">
        <f xml:space="preserve"> IF($U$154,1,0)</f>
        <v>1</v>
      </c>
      <c r="F154" s="14" t="s">
        <v>571</v>
      </c>
      <c r="G154" s="14">
        <v>2</v>
      </c>
      <c r="H154" s="14">
        <v>0</v>
      </c>
      <c r="I154" s="14">
        <v>0</v>
      </c>
      <c r="J154" s="14">
        <v>0</v>
      </c>
      <c r="K154" s="14">
        <v>0</v>
      </c>
      <c r="L154" s="14">
        <v>0</v>
      </c>
      <c r="M154" s="14">
        <v>0</v>
      </c>
      <c r="N154" s="14">
        <v>0</v>
      </c>
      <c r="O154" s="14">
        <v>0</v>
      </c>
      <c r="P154" s="14">
        <v>0</v>
      </c>
      <c r="Q154" s="15">
        <v>0</v>
      </c>
      <c r="R154" s="15">
        <v>0</v>
      </c>
      <c r="S154" s="15">
        <f>$G$154*$G$8+$H$154*$H$8+$I$154*$I$8+$J$154*$J$8+$K$154*$K$8+$L$154*$L$8+$M$154*$M$8+$N$154*$N$8+$O$154*$O$8+$P$154*$P$8</f>
        <v>1.4</v>
      </c>
      <c r="T154" s="15">
        <f>SUM($Q$154:$R$154)</f>
        <v>0</v>
      </c>
      <c r="U154" s="15">
        <f>$S$154+$T$154</f>
        <v>1.4</v>
      </c>
    </row>
    <row r="155" spans="1:21" x14ac:dyDescent="0.3">
      <c r="A155" s="10" t="s">
        <v>572</v>
      </c>
      <c r="B155" s="11" t="s">
        <v>573</v>
      </c>
      <c r="C155" s="11" t="s">
        <v>34</v>
      </c>
      <c r="D155" s="11" t="s">
        <v>574</v>
      </c>
      <c r="E155" s="11">
        <f xml:space="preserve"> IF($U$155,1,0)</f>
        <v>0</v>
      </c>
      <c r="F155" s="11" t="s">
        <v>575</v>
      </c>
      <c r="G155" s="11">
        <v>0</v>
      </c>
      <c r="H155" s="11">
        <v>0</v>
      </c>
      <c r="I155" s="11">
        <v>0</v>
      </c>
      <c r="J155" s="11">
        <v>0</v>
      </c>
      <c r="K155" s="11">
        <v>0</v>
      </c>
      <c r="L155" s="11">
        <v>0</v>
      </c>
      <c r="M155" s="11">
        <v>0</v>
      </c>
      <c r="N155" s="11">
        <v>0</v>
      </c>
      <c r="O155" s="11">
        <v>0</v>
      </c>
      <c r="P155" s="11">
        <v>0</v>
      </c>
      <c r="Q155" s="12">
        <v>0</v>
      </c>
      <c r="R155" s="12">
        <v>0</v>
      </c>
      <c r="S155" s="12">
        <f>$G$155*$G$8+$H$155*$H$8+$I$155*$I$8+$J$155*$J$8+$K$155*$K$8+$L$155*$L$8+$M$155*$M$8+$N$155*$N$8+$O$155*$O$8+$P$155*$P$8</f>
        <v>0</v>
      </c>
      <c r="T155" s="12">
        <f>SUM($Q$155:$R$155)</f>
        <v>0</v>
      </c>
      <c r="U155" s="12">
        <f>$S$155+$T$155</f>
        <v>0</v>
      </c>
    </row>
    <row r="156" spans="1:21" x14ac:dyDescent="0.3">
      <c r="A156" s="13" t="s">
        <v>576</v>
      </c>
      <c r="B156" s="14" t="s">
        <v>577</v>
      </c>
      <c r="C156" s="14"/>
      <c r="D156" s="14" t="s">
        <v>578</v>
      </c>
      <c r="E156" s="14">
        <f xml:space="preserve"> IF($U$156,1,0)</f>
        <v>0</v>
      </c>
      <c r="F156" s="14" t="s">
        <v>579</v>
      </c>
      <c r="G156" s="14">
        <v>0</v>
      </c>
      <c r="H156" s="14">
        <v>0</v>
      </c>
      <c r="I156" s="14">
        <v>0</v>
      </c>
      <c r="J156" s="14">
        <v>0</v>
      </c>
      <c r="K156" s="14">
        <v>0</v>
      </c>
      <c r="L156" s="14">
        <v>0</v>
      </c>
      <c r="M156" s="14">
        <v>0</v>
      </c>
      <c r="N156" s="14">
        <v>0</v>
      </c>
      <c r="O156" s="14">
        <v>0</v>
      </c>
      <c r="P156" s="14">
        <v>0</v>
      </c>
      <c r="Q156" s="15">
        <v>0</v>
      </c>
      <c r="R156" s="15">
        <v>0</v>
      </c>
      <c r="S156" s="15">
        <f>$G$156*$G$8+$H$156*$H$8+$I$156*$I$8+$J$156*$J$8+$K$156*$K$8+$L$156*$L$8+$M$156*$M$8+$N$156*$N$8+$O$156*$O$8+$P$156*$P$8</f>
        <v>0</v>
      </c>
      <c r="T156" s="15">
        <f>SUM($Q$156:$R$156)</f>
        <v>0</v>
      </c>
      <c r="U156" s="15">
        <f>$S$156+$T$156</f>
        <v>0</v>
      </c>
    </row>
    <row r="157" spans="1:21" x14ac:dyDescent="0.3">
      <c r="A157" s="10" t="s">
        <v>580</v>
      </c>
      <c r="B157" s="11" t="s">
        <v>581</v>
      </c>
      <c r="C157" s="11"/>
      <c r="D157" s="11" t="s">
        <v>582</v>
      </c>
      <c r="E157" s="11">
        <f xml:space="preserve"> IF($U$157,1,0)</f>
        <v>1</v>
      </c>
      <c r="F157" s="11" t="s">
        <v>583</v>
      </c>
      <c r="G157" s="11">
        <v>4</v>
      </c>
      <c r="H157" s="11">
        <v>1</v>
      </c>
      <c r="I157" s="11">
        <v>1</v>
      </c>
      <c r="J157" s="11">
        <v>0</v>
      </c>
      <c r="K157" s="11">
        <v>0</v>
      </c>
      <c r="L157" s="11">
        <v>0</v>
      </c>
      <c r="M157" s="11">
        <v>0</v>
      </c>
      <c r="N157" s="11">
        <v>0</v>
      </c>
      <c r="O157" s="11">
        <v>0</v>
      </c>
      <c r="P157" s="11">
        <v>1</v>
      </c>
      <c r="Q157" s="12">
        <v>0</v>
      </c>
      <c r="R157" s="12">
        <v>0</v>
      </c>
      <c r="S157" s="12">
        <f>$G$157*$G$8+$H$157*$H$8+$I$157*$I$8+$J$157*$J$8+$K$157*$K$8+$L$157*$L$8+$M$157*$M$8+$N$157*$N$8+$O$157*$O$8+$P$157*$P$8</f>
        <v>6.6</v>
      </c>
      <c r="T157" s="12">
        <f>SUM($Q$157:$R$157)</f>
        <v>0</v>
      </c>
      <c r="U157" s="12">
        <f>$S$157+$T$157</f>
        <v>6.6</v>
      </c>
    </row>
    <row r="158" spans="1:21" x14ac:dyDescent="0.3">
      <c r="A158" s="13" t="s">
        <v>584</v>
      </c>
      <c r="B158" s="14" t="s">
        <v>585</v>
      </c>
      <c r="C158" s="14"/>
      <c r="D158" s="14" t="s">
        <v>586</v>
      </c>
      <c r="E158" s="14">
        <f xml:space="preserve"> IF($U$158,1,0)</f>
        <v>0</v>
      </c>
      <c r="F158" s="14" t="s">
        <v>587</v>
      </c>
      <c r="G158" s="14">
        <v>0</v>
      </c>
      <c r="H158" s="14">
        <v>0</v>
      </c>
      <c r="I158" s="14">
        <v>0</v>
      </c>
      <c r="J158" s="14">
        <v>0</v>
      </c>
      <c r="K158" s="14">
        <v>0</v>
      </c>
      <c r="L158" s="14">
        <v>0</v>
      </c>
      <c r="M158" s="14">
        <v>0</v>
      </c>
      <c r="N158" s="14">
        <v>0</v>
      </c>
      <c r="O158" s="14">
        <v>0</v>
      </c>
      <c r="P158" s="14">
        <v>0</v>
      </c>
      <c r="Q158" s="15">
        <v>0</v>
      </c>
      <c r="R158" s="15">
        <v>0</v>
      </c>
      <c r="S158" s="15">
        <f>$G$158*$G$8+$H$158*$H$8+$I$158*$I$8+$J$158*$J$8+$K$158*$K$8+$L$158*$L$8+$M$158*$M$8+$N$158*$N$8+$O$158*$O$8+$P$158*$P$8</f>
        <v>0</v>
      </c>
      <c r="T158" s="15">
        <f>SUM($Q$158:$R$158)</f>
        <v>0</v>
      </c>
      <c r="U158" s="15">
        <f>$S$158+$T$158</f>
        <v>0</v>
      </c>
    </row>
    <row r="159" spans="1:21" x14ac:dyDescent="0.3">
      <c r="A159" s="10" t="s">
        <v>588</v>
      </c>
      <c r="B159" s="11" t="s">
        <v>589</v>
      </c>
      <c r="C159" s="11"/>
      <c r="D159" s="11" t="s">
        <v>590</v>
      </c>
      <c r="E159" s="11">
        <f xml:space="preserve"> IF($U$159,1,0)</f>
        <v>0</v>
      </c>
      <c r="F159" s="11" t="s">
        <v>591</v>
      </c>
      <c r="G159" s="11">
        <v>0</v>
      </c>
      <c r="H159" s="11">
        <v>0</v>
      </c>
      <c r="I159" s="11">
        <v>0</v>
      </c>
      <c r="J159" s="11">
        <v>0</v>
      </c>
      <c r="K159" s="11">
        <v>0</v>
      </c>
      <c r="L159" s="11">
        <v>0</v>
      </c>
      <c r="M159" s="11">
        <v>0</v>
      </c>
      <c r="N159" s="11">
        <v>0</v>
      </c>
      <c r="O159" s="11">
        <v>0</v>
      </c>
      <c r="P159" s="11">
        <v>0</v>
      </c>
      <c r="Q159" s="12">
        <v>0</v>
      </c>
      <c r="R159" s="12">
        <v>0</v>
      </c>
      <c r="S159" s="12">
        <f>$G$159*$G$8+$H$159*$H$8+$I$159*$I$8+$J$159*$J$8+$K$159*$K$8+$L$159*$L$8+$M$159*$M$8+$N$159*$N$8+$O$159*$O$8+$P$159*$P$8</f>
        <v>0</v>
      </c>
      <c r="T159" s="12">
        <f>SUM($Q$159:$R$159)</f>
        <v>0</v>
      </c>
      <c r="U159" s="12">
        <f>$S$159+$T$159</f>
        <v>0</v>
      </c>
    </row>
    <row r="160" spans="1:21" x14ac:dyDescent="0.3">
      <c r="A160" s="13" t="s">
        <v>592</v>
      </c>
      <c r="B160" s="14" t="s">
        <v>593</v>
      </c>
      <c r="C160" s="14"/>
      <c r="D160" s="14" t="s">
        <v>594</v>
      </c>
      <c r="E160" s="14">
        <f xml:space="preserve"> IF($U$160,1,0)</f>
        <v>0</v>
      </c>
      <c r="F160" s="14" t="s">
        <v>595</v>
      </c>
      <c r="G160" s="14">
        <v>0</v>
      </c>
      <c r="H160" s="14">
        <v>0</v>
      </c>
      <c r="I160" s="14">
        <v>0</v>
      </c>
      <c r="J160" s="14">
        <v>0</v>
      </c>
      <c r="K160" s="14">
        <v>0</v>
      </c>
      <c r="L160" s="14">
        <v>0</v>
      </c>
      <c r="M160" s="14">
        <v>0</v>
      </c>
      <c r="N160" s="14">
        <v>0</v>
      </c>
      <c r="O160" s="14">
        <v>0</v>
      </c>
      <c r="P160" s="14">
        <v>0</v>
      </c>
      <c r="Q160" s="15">
        <v>0</v>
      </c>
      <c r="R160" s="15">
        <v>0</v>
      </c>
      <c r="S160" s="15">
        <f>$G$160*$G$8+$H$160*$H$8+$I$160*$I$8+$J$160*$J$8+$K$160*$K$8+$L$160*$L$8+$M$160*$M$8+$N$160*$N$8+$O$160*$O$8+$P$160*$P$8</f>
        <v>0</v>
      </c>
      <c r="T160" s="15">
        <f>SUM($Q$160:$R$160)</f>
        <v>0</v>
      </c>
      <c r="U160" s="15">
        <f>$S$160+$T$160</f>
        <v>0</v>
      </c>
    </row>
    <row r="161" spans="1:21" x14ac:dyDescent="0.3">
      <c r="A161" s="10" t="s">
        <v>596</v>
      </c>
      <c r="B161" s="11" t="s">
        <v>597</v>
      </c>
      <c r="C161" s="11"/>
      <c r="D161" s="11" t="s">
        <v>598</v>
      </c>
      <c r="E161" s="11">
        <f xml:space="preserve"> IF($U$161,1,0)</f>
        <v>0</v>
      </c>
      <c r="F161" s="11" t="s">
        <v>599</v>
      </c>
      <c r="G161" s="11">
        <v>0</v>
      </c>
      <c r="H161" s="11">
        <v>0</v>
      </c>
      <c r="I161" s="11">
        <v>0</v>
      </c>
      <c r="J161" s="11">
        <v>0</v>
      </c>
      <c r="K161" s="11">
        <v>0</v>
      </c>
      <c r="L161" s="11">
        <v>0</v>
      </c>
      <c r="M161" s="11">
        <v>0</v>
      </c>
      <c r="N161" s="11">
        <v>0</v>
      </c>
      <c r="O161" s="11">
        <v>0</v>
      </c>
      <c r="P161" s="11">
        <v>0</v>
      </c>
      <c r="Q161" s="12">
        <v>0</v>
      </c>
      <c r="R161" s="12">
        <v>0</v>
      </c>
      <c r="S161" s="12">
        <f>$G$161*$G$8+$H$161*$H$8+$I$161*$I$8+$J$161*$J$8+$K$161*$K$8+$L$161*$L$8+$M$161*$M$8+$N$161*$N$8+$O$161*$O$8+$P$161*$P$8</f>
        <v>0</v>
      </c>
      <c r="T161" s="12">
        <f>SUM($Q$161:$R$161)</f>
        <v>0</v>
      </c>
      <c r="U161" s="12">
        <f>$S$161+$T$161</f>
        <v>0</v>
      </c>
    </row>
    <row r="162" spans="1:21" x14ac:dyDescent="0.3">
      <c r="A162" s="13" t="s">
        <v>600</v>
      </c>
      <c r="B162" s="14" t="s">
        <v>601</v>
      </c>
      <c r="C162" s="14"/>
      <c r="D162" s="14" t="s">
        <v>70</v>
      </c>
      <c r="E162" s="14">
        <f xml:space="preserve"> IF($U$162,1,0)</f>
        <v>0</v>
      </c>
      <c r="F162" s="14" t="s">
        <v>602</v>
      </c>
      <c r="G162" s="14">
        <v>0</v>
      </c>
      <c r="H162" s="14">
        <v>0</v>
      </c>
      <c r="I162" s="14">
        <v>0</v>
      </c>
      <c r="J162" s="14">
        <v>0</v>
      </c>
      <c r="K162" s="14">
        <v>0</v>
      </c>
      <c r="L162" s="14">
        <v>0</v>
      </c>
      <c r="M162" s="14">
        <v>0</v>
      </c>
      <c r="N162" s="14">
        <v>0</v>
      </c>
      <c r="O162" s="14">
        <v>0</v>
      </c>
      <c r="P162" s="14">
        <v>0</v>
      </c>
      <c r="Q162" s="15">
        <v>0</v>
      </c>
      <c r="R162" s="15">
        <v>0</v>
      </c>
      <c r="S162" s="15">
        <f>$G$162*$G$8+$H$162*$H$8+$I$162*$I$8+$J$162*$J$8+$K$162*$K$8+$L$162*$L$8+$M$162*$M$8+$N$162*$N$8+$O$162*$O$8+$P$162*$P$8</f>
        <v>0</v>
      </c>
      <c r="T162" s="15">
        <f>SUM($Q$162:$R$162)</f>
        <v>0</v>
      </c>
      <c r="U162" s="15">
        <f>$S$162+$T$162</f>
        <v>0</v>
      </c>
    </row>
    <row r="163" spans="1:21" x14ac:dyDescent="0.3">
      <c r="A163" s="10" t="s">
        <v>603</v>
      </c>
      <c r="B163" s="11" t="s">
        <v>604</v>
      </c>
      <c r="C163" s="11"/>
      <c r="D163" s="11" t="s">
        <v>605</v>
      </c>
      <c r="E163" s="11">
        <f xml:space="preserve"> IF($U$163,1,0)</f>
        <v>0</v>
      </c>
      <c r="F163" s="11" t="s">
        <v>606</v>
      </c>
      <c r="G163" s="11">
        <v>0</v>
      </c>
      <c r="H163" s="11">
        <v>0</v>
      </c>
      <c r="I163" s="11">
        <v>0</v>
      </c>
      <c r="J163" s="11">
        <v>0</v>
      </c>
      <c r="K163" s="11">
        <v>0</v>
      </c>
      <c r="L163" s="11">
        <v>0</v>
      </c>
      <c r="M163" s="11">
        <v>0</v>
      </c>
      <c r="N163" s="11">
        <v>0</v>
      </c>
      <c r="O163" s="11">
        <v>0</v>
      </c>
      <c r="P163" s="11">
        <v>0</v>
      </c>
      <c r="Q163" s="12">
        <v>0</v>
      </c>
      <c r="R163" s="12">
        <v>0</v>
      </c>
      <c r="S163" s="12">
        <f>$G$163*$G$8+$H$163*$H$8+$I$163*$I$8+$J$163*$J$8+$K$163*$K$8+$L$163*$L$8+$M$163*$M$8+$N$163*$N$8+$O$163*$O$8+$P$163*$P$8</f>
        <v>0</v>
      </c>
      <c r="T163" s="12">
        <f>SUM($Q$163:$R$163)</f>
        <v>0</v>
      </c>
      <c r="U163" s="12">
        <f>$S$163+$T$163</f>
        <v>0</v>
      </c>
    </row>
    <row r="164" spans="1:21" x14ac:dyDescent="0.3">
      <c r="A164" s="13" t="s">
        <v>607</v>
      </c>
      <c r="B164" s="14" t="s">
        <v>608</v>
      </c>
      <c r="C164" s="14"/>
      <c r="D164" s="14" t="s">
        <v>609</v>
      </c>
      <c r="E164" s="14">
        <f xml:space="preserve"> IF($U$164,1,0)</f>
        <v>0</v>
      </c>
      <c r="F164" s="14" t="s">
        <v>610</v>
      </c>
      <c r="G164" s="14">
        <v>0</v>
      </c>
      <c r="H164" s="14">
        <v>0</v>
      </c>
      <c r="I164" s="14">
        <v>0</v>
      </c>
      <c r="J164" s="14">
        <v>0</v>
      </c>
      <c r="K164" s="14">
        <v>0</v>
      </c>
      <c r="L164" s="14">
        <v>0</v>
      </c>
      <c r="M164" s="14">
        <v>0</v>
      </c>
      <c r="N164" s="14">
        <v>0</v>
      </c>
      <c r="O164" s="14">
        <v>0</v>
      </c>
      <c r="P164" s="14">
        <v>0</v>
      </c>
      <c r="Q164" s="15">
        <v>0</v>
      </c>
      <c r="R164" s="15">
        <v>0</v>
      </c>
      <c r="S164" s="15">
        <f>$G$164*$G$8+$H$164*$H$8+$I$164*$I$8+$J$164*$J$8+$K$164*$K$8+$L$164*$L$8+$M$164*$M$8+$N$164*$N$8+$O$164*$O$8+$P$164*$P$8</f>
        <v>0</v>
      </c>
      <c r="T164" s="15">
        <f>SUM($Q$164:$R$164)</f>
        <v>0</v>
      </c>
      <c r="U164" s="15">
        <f>$S$164+$T$164</f>
        <v>0</v>
      </c>
    </row>
    <row r="165" spans="1:21" x14ac:dyDescent="0.3">
      <c r="A165" s="10" t="s">
        <v>611</v>
      </c>
      <c r="B165" s="11" t="s">
        <v>612</v>
      </c>
      <c r="C165" s="11"/>
      <c r="D165" s="11" t="s">
        <v>613</v>
      </c>
      <c r="E165" s="11">
        <f xml:space="preserve"> IF($U$165,1,0)</f>
        <v>0</v>
      </c>
      <c r="F165" s="11" t="s">
        <v>614</v>
      </c>
      <c r="G165" s="11">
        <v>0</v>
      </c>
      <c r="H165" s="11">
        <v>0</v>
      </c>
      <c r="I165" s="11">
        <v>0</v>
      </c>
      <c r="J165" s="11">
        <v>0</v>
      </c>
      <c r="K165" s="11">
        <v>0</v>
      </c>
      <c r="L165" s="11">
        <v>0</v>
      </c>
      <c r="M165" s="11">
        <v>0</v>
      </c>
      <c r="N165" s="11">
        <v>0</v>
      </c>
      <c r="O165" s="11">
        <v>0</v>
      </c>
      <c r="P165" s="11">
        <v>0</v>
      </c>
      <c r="Q165" s="12">
        <v>0</v>
      </c>
      <c r="R165" s="12">
        <v>0</v>
      </c>
      <c r="S165" s="12">
        <f>$G$165*$G$8+$H$165*$H$8+$I$165*$I$8+$J$165*$J$8+$K$165*$K$8+$L$165*$L$8+$M$165*$M$8+$N$165*$N$8+$O$165*$O$8+$P$165*$P$8</f>
        <v>0</v>
      </c>
      <c r="T165" s="12">
        <f>SUM($Q$165:$R$165)</f>
        <v>0</v>
      </c>
      <c r="U165" s="12">
        <f>$S$165+$T$165</f>
        <v>0</v>
      </c>
    </row>
    <row r="166" spans="1:21" x14ac:dyDescent="0.3">
      <c r="A166" s="13" t="s">
        <v>615</v>
      </c>
      <c r="B166" s="14" t="s">
        <v>616</v>
      </c>
      <c r="C166" s="14"/>
      <c r="D166" s="14" t="s">
        <v>617</v>
      </c>
      <c r="E166" s="14">
        <f xml:space="preserve"> IF($U$166,1,0)</f>
        <v>0</v>
      </c>
      <c r="F166" s="14" t="s">
        <v>618</v>
      </c>
      <c r="G166" s="14">
        <v>0</v>
      </c>
      <c r="H166" s="14">
        <v>0</v>
      </c>
      <c r="I166" s="14">
        <v>0</v>
      </c>
      <c r="J166" s="14">
        <v>0</v>
      </c>
      <c r="K166" s="14">
        <v>0</v>
      </c>
      <c r="L166" s="14">
        <v>0</v>
      </c>
      <c r="M166" s="14">
        <v>0</v>
      </c>
      <c r="N166" s="14">
        <v>0</v>
      </c>
      <c r="O166" s="14">
        <v>0</v>
      </c>
      <c r="P166" s="14">
        <v>0</v>
      </c>
      <c r="Q166" s="15">
        <v>0</v>
      </c>
      <c r="R166" s="15">
        <v>0</v>
      </c>
      <c r="S166" s="15">
        <f>$G$166*$G$8+$H$166*$H$8+$I$166*$I$8+$J$166*$J$8+$K$166*$K$8+$L$166*$L$8+$M$166*$M$8+$N$166*$N$8+$O$166*$O$8+$P$166*$P$8</f>
        <v>0</v>
      </c>
      <c r="T166" s="15">
        <f>SUM($Q$166:$R$166)</f>
        <v>0</v>
      </c>
      <c r="U166" s="15">
        <f>$S$166+$T$166</f>
        <v>0</v>
      </c>
    </row>
    <row r="167" spans="1:21" x14ac:dyDescent="0.3">
      <c r="A167" s="10" t="s">
        <v>619</v>
      </c>
      <c r="B167" s="11" t="s">
        <v>620</v>
      </c>
      <c r="C167" s="11" t="s">
        <v>34</v>
      </c>
      <c r="D167" s="11" t="s">
        <v>621</v>
      </c>
      <c r="E167" s="11">
        <f xml:space="preserve"> IF($U$167,1,0)</f>
        <v>0</v>
      </c>
      <c r="F167" s="11" t="s">
        <v>622</v>
      </c>
      <c r="G167" s="11">
        <v>0</v>
      </c>
      <c r="H167" s="11">
        <v>0</v>
      </c>
      <c r="I167" s="11">
        <v>0</v>
      </c>
      <c r="J167" s="11">
        <v>0</v>
      </c>
      <c r="K167" s="11">
        <v>0</v>
      </c>
      <c r="L167" s="11">
        <v>0</v>
      </c>
      <c r="M167" s="11">
        <v>0</v>
      </c>
      <c r="N167" s="11">
        <v>0</v>
      </c>
      <c r="O167" s="11">
        <v>0</v>
      </c>
      <c r="P167" s="11">
        <v>0</v>
      </c>
      <c r="Q167" s="12">
        <v>0</v>
      </c>
      <c r="R167" s="12">
        <v>0</v>
      </c>
      <c r="S167" s="12">
        <f>$G$167*$G$8+$H$167*$H$8+$I$167*$I$8+$J$167*$J$8+$K$167*$K$8+$L$167*$L$8+$M$167*$M$8+$N$167*$N$8+$O$167*$O$8+$P$167*$P$8</f>
        <v>0</v>
      </c>
      <c r="T167" s="12">
        <f>SUM($Q$167:$R$167)</f>
        <v>0</v>
      </c>
      <c r="U167" s="12">
        <f>$S$167+$T$167</f>
        <v>0</v>
      </c>
    </row>
    <row r="168" spans="1:21" x14ac:dyDescent="0.3">
      <c r="A168" s="13" t="s">
        <v>623</v>
      </c>
      <c r="B168" s="14" t="s">
        <v>624</v>
      </c>
      <c r="C168" s="14"/>
      <c r="D168" s="14" t="s">
        <v>625</v>
      </c>
      <c r="E168" s="14">
        <f xml:space="preserve"> IF($U$168,1,0)</f>
        <v>0</v>
      </c>
      <c r="F168" s="14" t="s">
        <v>626</v>
      </c>
      <c r="G168" s="14">
        <v>0</v>
      </c>
      <c r="H168" s="14">
        <v>0</v>
      </c>
      <c r="I168" s="14">
        <v>0</v>
      </c>
      <c r="J168" s="14">
        <v>0</v>
      </c>
      <c r="K168" s="14">
        <v>0</v>
      </c>
      <c r="L168" s="14">
        <v>0</v>
      </c>
      <c r="M168" s="14">
        <v>0</v>
      </c>
      <c r="N168" s="14">
        <v>0</v>
      </c>
      <c r="O168" s="14">
        <v>0</v>
      </c>
      <c r="P168" s="14">
        <v>0</v>
      </c>
      <c r="Q168" s="15">
        <v>0</v>
      </c>
      <c r="R168" s="15">
        <v>0</v>
      </c>
      <c r="S168" s="15">
        <f>$G$168*$G$8+$H$168*$H$8+$I$168*$I$8+$J$168*$J$8+$K$168*$K$8+$L$168*$L$8+$M$168*$M$8+$N$168*$N$8+$O$168*$O$8+$P$168*$P$8</f>
        <v>0</v>
      </c>
      <c r="T168" s="15">
        <f>SUM($Q$168:$R$168)</f>
        <v>0</v>
      </c>
      <c r="U168" s="15">
        <f>$S$168+$T$168</f>
        <v>0</v>
      </c>
    </row>
    <row r="169" spans="1:21" x14ac:dyDescent="0.3">
      <c r="A169" s="10" t="s">
        <v>627</v>
      </c>
      <c r="B169" s="11" t="s">
        <v>624</v>
      </c>
      <c r="C169" s="11"/>
      <c r="D169" s="11" t="s">
        <v>628</v>
      </c>
      <c r="E169" s="11">
        <f xml:space="preserve"> IF($U$169,1,0)</f>
        <v>0</v>
      </c>
      <c r="F169" s="11" t="s">
        <v>629</v>
      </c>
      <c r="G169" s="11">
        <v>0</v>
      </c>
      <c r="H169" s="11">
        <v>0</v>
      </c>
      <c r="I169" s="11">
        <v>0</v>
      </c>
      <c r="J169" s="11">
        <v>0</v>
      </c>
      <c r="K169" s="11">
        <v>0</v>
      </c>
      <c r="L169" s="11">
        <v>0</v>
      </c>
      <c r="M169" s="11">
        <v>0</v>
      </c>
      <c r="N169" s="11">
        <v>0</v>
      </c>
      <c r="O169" s="11">
        <v>0</v>
      </c>
      <c r="P169" s="11">
        <v>0</v>
      </c>
      <c r="Q169" s="12">
        <v>0</v>
      </c>
      <c r="R169" s="12">
        <v>0</v>
      </c>
      <c r="S169" s="12">
        <f>$G$169*$G$8+$H$169*$H$8+$I$169*$I$8+$J$169*$J$8+$K$169*$K$8+$L$169*$L$8+$M$169*$M$8+$N$169*$N$8+$O$169*$O$8+$P$169*$P$8</f>
        <v>0</v>
      </c>
      <c r="T169" s="12">
        <f>SUM($Q$169:$R$169)</f>
        <v>0</v>
      </c>
      <c r="U169" s="12">
        <f>$S$169+$T$169</f>
        <v>0</v>
      </c>
    </row>
    <row r="170" spans="1:21" x14ac:dyDescent="0.3">
      <c r="A170" s="13" t="s">
        <v>630</v>
      </c>
      <c r="B170" s="14" t="s">
        <v>631</v>
      </c>
      <c r="C170" s="14"/>
      <c r="D170" s="14" t="s">
        <v>632</v>
      </c>
      <c r="E170" s="14">
        <f xml:space="preserve"> IF($U$170,1,0)</f>
        <v>1</v>
      </c>
      <c r="F170" s="14" t="s">
        <v>633</v>
      </c>
      <c r="G170" s="14">
        <v>4</v>
      </c>
      <c r="H170" s="14">
        <v>1</v>
      </c>
      <c r="I170" s="14">
        <v>2</v>
      </c>
      <c r="J170" s="14">
        <v>0</v>
      </c>
      <c r="K170" s="14">
        <v>0</v>
      </c>
      <c r="L170" s="14">
        <v>0</v>
      </c>
      <c r="M170" s="14">
        <v>0</v>
      </c>
      <c r="N170" s="14">
        <v>0</v>
      </c>
      <c r="O170" s="14">
        <v>0</v>
      </c>
      <c r="P170" s="14">
        <v>0</v>
      </c>
      <c r="Q170" s="15">
        <v>0</v>
      </c>
      <c r="R170" s="15">
        <v>0</v>
      </c>
      <c r="S170" s="15">
        <f>$G$170*$G$8+$H$170*$H$8+$I$170*$I$8+$J$170*$J$8+$K$170*$K$8+$L$170*$L$8+$M$170*$M$8+$N$170*$N$8+$O$170*$O$8+$P$170*$P$8</f>
        <v>6.6</v>
      </c>
      <c r="T170" s="15">
        <f>SUM($Q$170:$R$170)</f>
        <v>0</v>
      </c>
      <c r="U170" s="15">
        <f>$S$170+$T$170</f>
        <v>6.6</v>
      </c>
    </row>
    <row r="171" spans="1:21" x14ac:dyDescent="0.3">
      <c r="A171" s="10" t="s">
        <v>634</v>
      </c>
      <c r="B171" s="11" t="s">
        <v>635</v>
      </c>
      <c r="C171" s="11"/>
      <c r="D171" s="11" t="s">
        <v>636</v>
      </c>
      <c r="E171" s="11">
        <f xml:space="preserve"> IF($U$171,1,0)</f>
        <v>0</v>
      </c>
      <c r="F171" s="11" t="s">
        <v>637</v>
      </c>
      <c r="G171" s="11">
        <v>0</v>
      </c>
      <c r="H171" s="11">
        <v>0</v>
      </c>
      <c r="I171" s="11">
        <v>0</v>
      </c>
      <c r="J171" s="11">
        <v>0</v>
      </c>
      <c r="K171" s="11">
        <v>0</v>
      </c>
      <c r="L171" s="11">
        <v>0</v>
      </c>
      <c r="M171" s="11">
        <v>0</v>
      </c>
      <c r="N171" s="11">
        <v>0</v>
      </c>
      <c r="O171" s="11">
        <v>0</v>
      </c>
      <c r="P171" s="11">
        <v>0</v>
      </c>
      <c r="Q171" s="12">
        <v>0</v>
      </c>
      <c r="R171" s="12">
        <v>0</v>
      </c>
      <c r="S171" s="12">
        <f>$G$171*$G$8+$H$171*$H$8+$I$171*$I$8+$J$171*$J$8+$K$171*$K$8+$L$171*$L$8+$M$171*$M$8+$N$171*$N$8+$O$171*$O$8+$P$171*$P$8</f>
        <v>0</v>
      </c>
      <c r="T171" s="12">
        <f>SUM($Q$171:$R$171)</f>
        <v>0</v>
      </c>
      <c r="U171" s="12">
        <f>$S$171+$T$171</f>
        <v>0</v>
      </c>
    </row>
    <row r="172" spans="1:21" x14ac:dyDescent="0.3">
      <c r="A172" s="13" t="s">
        <v>638</v>
      </c>
      <c r="B172" s="14" t="s">
        <v>639</v>
      </c>
      <c r="C172" s="14"/>
      <c r="D172" s="14" t="s">
        <v>274</v>
      </c>
      <c r="E172" s="14">
        <f xml:space="preserve"> IF($U$172,1,0)</f>
        <v>0</v>
      </c>
      <c r="F172" s="14" t="s">
        <v>640</v>
      </c>
      <c r="G172" s="14">
        <v>0</v>
      </c>
      <c r="H172" s="14">
        <v>0</v>
      </c>
      <c r="I172" s="14">
        <v>0</v>
      </c>
      <c r="J172" s="14">
        <v>0</v>
      </c>
      <c r="K172" s="14">
        <v>0</v>
      </c>
      <c r="L172" s="14">
        <v>0</v>
      </c>
      <c r="M172" s="14">
        <v>0</v>
      </c>
      <c r="N172" s="14">
        <v>0</v>
      </c>
      <c r="O172" s="14">
        <v>0</v>
      </c>
      <c r="P172" s="14">
        <v>0</v>
      </c>
      <c r="Q172" s="15">
        <v>0</v>
      </c>
      <c r="R172" s="15">
        <v>0</v>
      </c>
      <c r="S172" s="15">
        <f>$G$172*$G$8+$H$172*$H$8+$I$172*$I$8+$J$172*$J$8+$K$172*$K$8+$L$172*$L$8+$M$172*$M$8+$N$172*$N$8+$O$172*$O$8+$P$172*$P$8</f>
        <v>0</v>
      </c>
      <c r="T172" s="15">
        <f>SUM($Q$172:$R$172)</f>
        <v>0</v>
      </c>
      <c r="U172" s="15">
        <f>$S$172+$T$172</f>
        <v>0</v>
      </c>
    </row>
    <row r="173" spans="1:21" x14ac:dyDescent="0.3">
      <c r="A173" s="10" t="s">
        <v>641</v>
      </c>
      <c r="B173" s="11" t="s">
        <v>642</v>
      </c>
      <c r="C173" s="11"/>
      <c r="D173" s="11" t="s">
        <v>643</v>
      </c>
      <c r="E173" s="11">
        <f xml:space="preserve"> IF($U$173,1,0)</f>
        <v>0</v>
      </c>
      <c r="F173" s="11" t="s">
        <v>644</v>
      </c>
      <c r="G173" s="11">
        <v>0</v>
      </c>
      <c r="H173" s="11">
        <v>0</v>
      </c>
      <c r="I173" s="11">
        <v>0</v>
      </c>
      <c r="J173" s="11">
        <v>0</v>
      </c>
      <c r="K173" s="11">
        <v>0</v>
      </c>
      <c r="L173" s="11">
        <v>0</v>
      </c>
      <c r="M173" s="11">
        <v>0</v>
      </c>
      <c r="N173" s="11">
        <v>0</v>
      </c>
      <c r="O173" s="11">
        <v>0</v>
      </c>
      <c r="P173" s="11">
        <v>0</v>
      </c>
      <c r="Q173" s="12">
        <v>0</v>
      </c>
      <c r="R173" s="12">
        <v>0</v>
      </c>
      <c r="S173" s="12">
        <f>$G$173*$G$8+$H$173*$H$8+$I$173*$I$8+$J$173*$J$8+$K$173*$K$8+$L$173*$L$8+$M$173*$M$8+$N$173*$N$8+$O$173*$O$8+$P$173*$P$8</f>
        <v>0</v>
      </c>
      <c r="T173" s="12">
        <f>SUM($Q$173:$R$173)</f>
        <v>0</v>
      </c>
      <c r="U173" s="12">
        <f>$S$173+$T$173</f>
        <v>0</v>
      </c>
    </row>
    <row r="174" spans="1:21" x14ac:dyDescent="0.3">
      <c r="A174" s="13" t="s">
        <v>645</v>
      </c>
      <c r="B174" s="14" t="s">
        <v>646</v>
      </c>
      <c r="C174" s="14"/>
      <c r="D174" s="14" t="s">
        <v>647</v>
      </c>
      <c r="E174" s="14">
        <f xml:space="preserve"> IF($U$174,1,0)</f>
        <v>0</v>
      </c>
      <c r="F174" s="14" t="s">
        <v>648</v>
      </c>
      <c r="G174" s="14">
        <v>0</v>
      </c>
      <c r="H174" s="14">
        <v>0</v>
      </c>
      <c r="I174" s="14">
        <v>0</v>
      </c>
      <c r="J174" s="14">
        <v>0</v>
      </c>
      <c r="K174" s="14">
        <v>0</v>
      </c>
      <c r="L174" s="14">
        <v>0</v>
      </c>
      <c r="M174" s="14">
        <v>0</v>
      </c>
      <c r="N174" s="14">
        <v>0</v>
      </c>
      <c r="O174" s="14">
        <v>0</v>
      </c>
      <c r="P174" s="14">
        <v>0</v>
      </c>
      <c r="Q174" s="15">
        <v>0</v>
      </c>
      <c r="R174" s="15">
        <v>0</v>
      </c>
      <c r="S174" s="15">
        <f>$G$174*$G$8+$H$174*$H$8+$I$174*$I$8+$J$174*$J$8+$K$174*$K$8+$L$174*$L$8+$M$174*$M$8+$N$174*$N$8+$O$174*$O$8+$P$174*$P$8</f>
        <v>0</v>
      </c>
      <c r="T174" s="15">
        <f>SUM($Q$174:$R$174)</f>
        <v>0</v>
      </c>
      <c r="U174" s="15">
        <f>$S$174+$T$174</f>
        <v>0</v>
      </c>
    </row>
    <row r="175" spans="1:21" x14ac:dyDescent="0.3">
      <c r="A175" s="10" t="s">
        <v>649</v>
      </c>
      <c r="B175" s="11" t="s">
        <v>650</v>
      </c>
      <c r="C175" s="11"/>
      <c r="D175" s="11" t="s">
        <v>651</v>
      </c>
      <c r="E175" s="11">
        <f xml:space="preserve"> IF($U$175,1,0)</f>
        <v>0</v>
      </c>
      <c r="F175" s="11" t="s">
        <v>652</v>
      </c>
      <c r="G175" s="11">
        <v>0</v>
      </c>
      <c r="H175" s="11">
        <v>0</v>
      </c>
      <c r="I175" s="11">
        <v>0</v>
      </c>
      <c r="J175" s="11">
        <v>0</v>
      </c>
      <c r="K175" s="11">
        <v>0</v>
      </c>
      <c r="L175" s="11">
        <v>0</v>
      </c>
      <c r="M175" s="11">
        <v>0</v>
      </c>
      <c r="N175" s="11">
        <v>0</v>
      </c>
      <c r="O175" s="11">
        <v>0</v>
      </c>
      <c r="P175" s="11">
        <v>0</v>
      </c>
      <c r="Q175" s="12">
        <v>0</v>
      </c>
      <c r="R175" s="12">
        <v>0</v>
      </c>
      <c r="S175" s="12">
        <f>$G$175*$G$8+$H$175*$H$8+$I$175*$I$8+$J$175*$J$8+$K$175*$K$8+$L$175*$L$8+$M$175*$M$8+$N$175*$N$8+$O$175*$O$8+$P$175*$P$8</f>
        <v>0</v>
      </c>
      <c r="T175" s="12">
        <f>SUM($Q$175:$R$175)</f>
        <v>0</v>
      </c>
      <c r="U175" s="12">
        <f>$S$175+$T$175</f>
        <v>0</v>
      </c>
    </row>
    <row r="176" spans="1:21" x14ac:dyDescent="0.3">
      <c r="A176" s="13" t="s">
        <v>653</v>
      </c>
      <c r="B176" s="14" t="s">
        <v>654</v>
      </c>
      <c r="C176" s="14"/>
      <c r="D176" s="14" t="s">
        <v>655</v>
      </c>
      <c r="E176" s="14">
        <f xml:space="preserve"> IF($U$176,1,0)</f>
        <v>0</v>
      </c>
      <c r="F176" s="14" t="s">
        <v>656</v>
      </c>
      <c r="G176" s="14">
        <v>0</v>
      </c>
      <c r="H176" s="14">
        <v>0</v>
      </c>
      <c r="I176" s="14">
        <v>0</v>
      </c>
      <c r="J176" s="14">
        <v>0</v>
      </c>
      <c r="K176" s="14">
        <v>0</v>
      </c>
      <c r="L176" s="14">
        <v>0</v>
      </c>
      <c r="M176" s="14">
        <v>0</v>
      </c>
      <c r="N176" s="14">
        <v>0</v>
      </c>
      <c r="O176" s="14">
        <v>0</v>
      </c>
      <c r="P176" s="14">
        <v>0</v>
      </c>
      <c r="Q176" s="15">
        <v>0</v>
      </c>
      <c r="R176" s="15">
        <v>0</v>
      </c>
      <c r="S176" s="15">
        <f>$G$176*$G$8+$H$176*$H$8+$I$176*$I$8+$J$176*$J$8+$K$176*$K$8+$L$176*$L$8+$M$176*$M$8+$N$176*$N$8+$O$176*$O$8+$P$176*$P$8</f>
        <v>0</v>
      </c>
      <c r="T176" s="15">
        <f>SUM($Q$176:$R$176)</f>
        <v>0</v>
      </c>
      <c r="U176" s="15">
        <f>$S$176+$T$176</f>
        <v>0</v>
      </c>
    </row>
    <row r="177" spans="1:21" x14ac:dyDescent="0.3">
      <c r="A177" s="10" t="s">
        <v>657</v>
      </c>
      <c r="B177" s="11" t="s">
        <v>658</v>
      </c>
      <c r="C177" s="11"/>
      <c r="D177" s="11" t="s">
        <v>659</v>
      </c>
      <c r="E177" s="11">
        <f xml:space="preserve"> IF($U$177,1,0)</f>
        <v>0</v>
      </c>
      <c r="F177" s="11" t="s">
        <v>660</v>
      </c>
      <c r="G177" s="11">
        <v>0</v>
      </c>
      <c r="H177" s="11">
        <v>0</v>
      </c>
      <c r="I177" s="11">
        <v>0</v>
      </c>
      <c r="J177" s="11">
        <v>0</v>
      </c>
      <c r="K177" s="11">
        <v>0</v>
      </c>
      <c r="L177" s="11">
        <v>0</v>
      </c>
      <c r="M177" s="11">
        <v>0</v>
      </c>
      <c r="N177" s="11">
        <v>0</v>
      </c>
      <c r="O177" s="11">
        <v>0</v>
      </c>
      <c r="P177" s="11">
        <v>0</v>
      </c>
      <c r="Q177" s="12">
        <v>0</v>
      </c>
      <c r="R177" s="12">
        <v>0</v>
      </c>
      <c r="S177" s="12">
        <f>$G$177*$G$8+$H$177*$H$8+$I$177*$I$8+$J$177*$J$8+$K$177*$K$8+$L$177*$L$8+$M$177*$M$8+$N$177*$N$8+$O$177*$O$8+$P$177*$P$8</f>
        <v>0</v>
      </c>
      <c r="T177" s="12">
        <f>SUM($Q$177:$R$177)</f>
        <v>0</v>
      </c>
      <c r="U177" s="12">
        <f>$S$177+$T$177</f>
        <v>0</v>
      </c>
    </row>
    <row r="178" spans="1:21" x14ac:dyDescent="0.3">
      <c r="A178" s="13" t="s">
        <v>661</v>
      </c>
      <c r="B178" s="14" t="s">
        <v>658</v>
      </c>
      <c r="C178" s="14" t="s">
        <v>202</v>
      </c>
      <c r="D178" s="14" t="s">
        <v>662</v>
      </c>
      <c r="E178" s="14">
        <f xml:space="preserve"> IF($U$178,1,0)</f>
        <v>0</v>
      </c>
      <c r="F178" s="14" t="s">
        <v>663</v>
      </c>
      <c r="G178" s="14">
        <v>0</v>
      </c>
      <c r="H178" s="14">
        <v>0</v>
      </c>
      <c r="I178" s="14">
        <v>0</v>
      </c>
      <c r="J178" s="14">
        <v>0</v>
      </c>
      <c r="K178" s="14">
        <v>0</v>
      </c>
      <c r="L178" s="14">
        <v>0</v>
      </c>
      <c r="M178" s="14">
        <v>0</v>
      </c>
      <c r="N178" s="14">
        <v>0</v>
      </c>
      <c r="O178" s="14">
        <v>0</v>
      </c>
      <c r="P178" s="14">
        <v>0</v>
      </c>
      <c r="Q178" s="15">
        <v>0</v>
      </c>
      <c r="R178" s="15">
        <v>0</v>
      </c>
      <c r="S178" s="15">
        <f>$G$178*$G$8+$H$178*$H$8+$I$178*$I$8+$J$178*$J$8+$K$178*$K$8+$L$178*$L$8+$M$178*$M$8+$N$178*$N$8+$O$178*$O$8+$P$178*$P$8</f>
        <v>0</v>
      </c>
      <c r="T178" s="15">
        <f>SUM($Q$178:$R$178)</f>
        <v>0</v>
      </c>
      <c r="U178" s="15">
        <f>$S$178+$T$178</f>
        <v>0</v>
      </c>
    </row>
    <row r="179" spans="1:21" x14ac:dyDescent="0.3">
      <c r="A179" s="10" t="s">
        <v>664</v>
      </c>
      <c r="B179" s="11" t="s">
        <v>665</v>
      </c>
      <c r="C179" s="11"/>
      <c r="D179" s="11" t="s">
        <v>666</v>
      </c>
      <c r="E179" s="11">
        <f xml:space="preserve"> IF($U$179,1,0)</f>
        <v>0</v>
      </c>
      <c r="F179" s="11" t="s">
        <v>667</v>
      </c>
      <c r="G179" s="11">
        <v>0</v>
      </c>
      <c r="H179" s="11">
        <v>0</v>
      </c>
      <c r="I179" s="11">
        <v>0</v>
      </c>
      <c r="J179" s="11">
        <v>0</v>
      </c>
      <c r="K179" s="11">
        <v>0</v>
      </c>
      <c r="L179" s="11">
        <v>0</v>
      </c>
      <c r="M179" s="11">
        <v>0</v>
      </c>
      <c r="N179" s="11">
        <v>0</v>
      </c>
      <c r="O179" s="11">
        <v>0</v>
      </c>
      <c r="P179" s="11">
        <v>0</v>
      </c>
      <c r="Q179" s="12">
        <v>0</v>
      </c>
      <c r="R179" s="12">
        <v>0</v>
      </c>
      <c r="S179" s="12">
        <f>$G$179*$G$8+$H$179*$H$8+$I$179*$I$8+$J$179*$J$8+$K$179*$K$8+$L$179*$L$8+$M$179*$M$8+$N$179*$N$8+$O$179*$O$8+$P$179*$P$8</f>
        <v>0</v>
      </c>
      <c r="T179" s="12">
        <f>SUM($Q$179:$R$179)</f>
        <v>0</v>
      </c>
      <c r="U179" s="12">
        <f>$S$179+$T$179</f>
        <v>0</v>
      </c>
    </row>
    <row r="180" spans="1:21" x14ac:dyDescent="0.3">
      <c r="A180" s="13" t="s">
        <v>668</v>
      </c>
      <c r="B180" s="14" t="s">
        <v>669</v>
      </c>
      <c r="C180" s="14"/>
      <c r="D180" s="14" t="s">
        <v>670</v>
      </c>
      <c r="E180" s="14">
        <f xml:space="preserve"> IF($U$180,1,0)</f>
        <v>0</v>
      </c>
      <c r="F180" s="14" t="s">
        <v>671</v>
      </c>
      <c r="G180" s="14">
        <v>0</v>
      </c>
      <c r="H180" s="14">
        <v>0</v>
      </c>
      <c r="I180" s="14">
        <v>0</v>
      </c>
      <c r="J180" s="14">
        <v>0</v>
      </c>
      <c r="K180" s="14">
        <v>0</v>
      </c>
      <c r="L180" s="14">
        <v>0</v>
      </c>
      <c r="M180" s="14">
        <v>0</v>
      </c>
      <c r="N180" s="14">
        <v>0</v>
      </c>
      <c r="O180" s="14">
        <v>0</v>
      </c>
      <c r="P180" s="14">
        <v>0</v>
      </c>
      <c r="Q180" s="15">
        <v>0</v>
      </c>
      <c r="R180" s="15">
        <v>0</v>
      </c>
      <c r="S180" s="15">
        <f>$G$180*$G$8+$H$180*$H$8+$I$180*$I$8+$J$180*$J$8+$K$180*$K$8+$L$180*$L$8+$M$180*$M$8+$N$180*$N$8+$O$180*$O$8+$P$180*$P$8</f>
        <v>0</v>
      </c>
      <c r="T180" s="15">
        <f>SUM($Q$180:$R$180)</f>
        <v>0</v>
      </c>
      <c r="U180" s="15">
        <f>$S$180+$T$180</f>
        <v>0</v>
      </c>
    </row>
    <row r="181" spans="1:21" x14ac:dyDescent="0.3">
      <c r="A181" s="10" t="s">
        <v>672</v>
      </c>
      <c r="B181" s="11" t="s">
        <v>673</v>
      </c>
      <c r="C181" s="11"/>
      <c r="D181" s="11" t="s">
        <v>674</v>
      </c>
      <c r="E181" s="11">
        <f xml:space="preserve"> IF($U$181,1,0)</f>
        <v>0</v>
      </c>
      <c r="F181" s="11" t="s">
        <v>675</v>
      </c>
      <c r="G181" s="11">
        <v>0</v>
      </c>
      <c r="H181" s="11">
        <v>0</v>
      </c>
      <c r="I181" s="11">
        <v>0</v>
      </c>
      <c r="J181" s="11">
        <v>0</v>
      </c>
      <c r="K181" s="11">
        <v>0</v>
      </c>
      <c r="L181" s="11">
        <v>0</v>
      </c>
      <c r="M181" s="11">
        <v>0</v>
      </c>
      <c r="N181" s="11">
        <v>0</v>
      </c>
      <c r="O181" s="11">
        <v>0</v>
      </c>
      <c r="P181" s="11">
        <v>0</v>
      </c>
      <c r="Q181" s="12">
        <v>0</v>
      </c>
      <c r="R181" s="12">
        <v>0</v>
      </c>
      <c r="S181" s="12">
        <f>$G$181*$G$8+$H$181*$H$8+$I$181*$I$8+$J$181*$J$8+$K$181*$K$8+$L$181*$L$8+$M$181*$M$8+$N$181*$N$8+$O$181*$O$8+$P$181*$P$8</f>
        <v>0</v>
      </c>
      <c r="T181" s="12">
        <f>SUM($Q$181:$R$181)</f>
        <v>0</v>
      </c>
      <c r="U181" s="12">
        <f>$S$181+$T$181</f>
        <v>0</v>
      </c>
    </row>
    <row r="182" spans="1:21" x14ac:dyDescent="0.3">
      <c r="A182" s="13" t="s">
        <v>676</v>
      </c>
      <c r="B182" s="14" t="s">
        <v>677</v>
      </c>
      <c r="C182" s="14"/>
      <c r="D182" s="14" t="s">
        <v>678</v>
      </c>
      <c r="E182" s="14">
        <f xml:space="preserve"> IF($U$182,1,0)</f>
        <v>0</v>
      </c>
      <c r="F182" s="14" t="s">
        <v>679</v>
      </c>
      <c r="G182" s="14">
        <v>0</v>
      </c>
      <c r="H182" s="14">
        <v>0</v>
      </c>
      <c r="I182" s="14">
        <v>0</v>
      </c>
      <c r="J182" s="14">
        <v>0</v>
      </c>
      <c r="K182" s="14">
        <v>0</v>
      </c>
      <c r="L182" s="14">
        <v>0</v>
      </c>
      <c r="M182" s="14">
        <v>0</v>
      </c>
      <c r="N182" s="14">
        <v>0</v>
      </c>
      <c r="O182" s="14">
        <v>0</v>
      </c>
      <c r="P182" s="14">
        <v>0</v>
      </c>
      <c r="Q182" s="15">
        <v>0</v>
      </c>
      <c r="R182" s="15">
        <v>0</v>
      </c>
      <c r="S182" s="15">
        <f>$G$182*$G$8+$H$182*$H$8+$I$182*$I$8+$J$182*$J$8+$K$182*$K$8+$L$182*$L$8+$M$182*$M$8+$N$182*$N$8+$O$182*$O$8+$P$182*$P$8</f>
        <v>0</v>
      </c>
      <c r="T182" s="15">
        <f>SUM($Q$182:$R$182)</f>
        <v>0</v>
      </c>
      <c r="U182" s="15">
        <f>$S$182+$T$182</f>
        <v>0</v>
      </c>
    </row>
    <row r="183" spans="1:21" x14ac:dyDescent="0.3">
      <c r="A183" s="10" t="s">
        <v>680</v>
      </c>
      <c r="B183" s="11" t="s">
        <v>681</v>
      </c>
      <c r="C183" s="11"/>
      <c r="D183" s="11" t="s">
        <v>682</v>
      </c>
      <c r="E183" s="11">
        <f xml:space="preserve"> IF($U$183,1,0)</f>
        <v>0</v>
      </c>
      <c r="F183" s="11" t="s">
        <v>683</v>
      </c>
      <c r="G183" s="11">
        <v>0</v>
      </c>
      <c r="H183" s="11">
        <v>0</v>
      </c>
      <c r="I183" s="11">
        <v>0</v>
      </c>
      <c r="J183" s="11">
        <v>0</v>
      </c>
      <c r="K183" s="11">
        <v>0</v>
      </c>
      <c r="L183" s="11">
        <v>0</v>
      </c>
      <c r="M183" s="11">
        <v>0</v>
      </c>
      <c r="N183" s="11">
        <v>0</v>
      </c>
      <c r="O183" s="11">
        <v>0</v>
      </c>
      <c r="P183" s="11">
        <v>0</v>
      </c>
      <c r="Q183" s="12">
        <v>0</v>
      </c>
      <c r="R183" s="12">
        <v>0</v>
      </c>
      <c r="S183" s="12">
        <f>$G$183*$G$8+$H$183*$H$8+$I$183*$I$8+$J$183*$J$8+$K$183*$K$8+$L$183*$L$8+$M$183*$M$8+$N$183*$N$8+$O$183*$O$8+$P$183*$P$8</f>
        <v>0</v>
      </c>
      <c r="T183" s="12">
        <f>SUM($Q$183:$R$183)</f>
        <v>0</v>
      </c>
      <c r="U183" s="12">
        <f>$S$183+$T$183</f>
        <v>0</v>
      </c>
    </row>
    <row r="184" spans="1:21" x14ac:dyDescent="0.3">
      <c r="A184" s="13" t="s">
        <v>684</v>
      </c>
      <c r="B184" s="14" t="s">
        <v>685</v>
      </c>
      <c r="C184" s="14"/>
      <c r="D184" s="14" t="s">
        <v>686</v>
      </c>
      <c r="E184" s="14">
        <f xml:space="preserve"> IF($U$184,1,0)</f>
        <v>1</v>
      </c>
      <c r="F184" s="14" t="s">
        <v>687</v>
      </c>
      <c r="G184" s="14">
        <v>4</v>
      </c>
      <c r="H184" s="14">
        <v>0</v>
      </c>
      <c r="I184" s="14">
        <v>0</v>
      </c>
      <c r="J184" s="14">
        <v>0</v>
      </c>
      <c r="K184" s="14">
        <v>0</v>
      </c>
      <c r="L184" s="14">
        <v>0</v>
      </c>
      <c r="M184" s="14">
        <v>0</v>
      </c>
      <c r="N184" s="14">
        <v>0</v>
      </c>
      <c r="O184" s="14">
        <v>0</v>
      </c>
      <c r="P184" s="14">
        <v>0</v>
      </c>
      <c r="Q184" s="15">
        <v>0</v>
      </c>
      <c r="R184" s="15">
        <v>0</v>
      </c>
      <c r="S184" s="15">
        <f>$G$184*$G$8+$H$184*$H$8+$I$184*$I$8+$J$184*$J$8+$K$184*$K$8+$L$184*$L$8+$M$184*$M$8+$N$184*$N$8+$O$184*$O$8+$P$184*$P$8</f>
        <v>2.8</v>
      </c>
      <c r="T184" s="15">
        <f>SUM($Q$184:$R$184)</f>
        <v>0</v>
      </c>
      <c r="U184" s="15">
        <f>$S$184+$T$184</f>
        <v>2.8</v>
      </c>
    </row>
    <row r="185" spans="1:21" x14ac:dyDescent="0.3">
      <c r="A185" s="10" t="s">
        <v>688</v>
      </c>
      <c r="B185" s="11" t="s">
        <v>689</v>
      </c>
      <c r="C185" s="11"/>
      <c r="D185" s="11" t="s">
        <v>690</v>
      </c>
      <c r="E185" s="11">
        <f xml:space="preserve"> IF($U$185,1,0)</f>
        <v>1</v>
      </c>
      <c r="F185" s="11" t="s">
        <v>691</v>
      </c>
      <c r="G185" s="11">
        <v>6</v>
      </c>
      <c r="H185" s="11">
        <v>0</v>
      </c>
      <c r="I185" s="11">
        <v>0</v>
      </c>
      <c r="J185" s="11">
        <v>0</v>
      </c>
      <c r="K185" s="11">
        <v>0</v>
      </c>
      <c r="L185" s="11">
        <v>0</v>
      </c>
      <c r="M185" s="11">
        <v>0</v>
      </c>
      <c r="N185" s="11">
        <v>0</v>
      </c>
      <c r="O185" s="11">
        <v>0</v>
      </c>
      <c r="P185" s="11">
        <v>0</v>
      </c>
      <c r="Q185" s="12">
        <v>0</v>
      </c>
      <c r="R185" s="12">
        <v>0</v>
      </c>
      <c r="S185" s="12">
        <f>$G$185*$G$8+$H$185*$H$8+$I$185*$I$8+$J$185*$J$8+$K$185*$K$8+$L$185*$L$8+$M$185*$M$8+$N$185*$N$8+$O$185*$O$8+$P$185*$P$8</f>
        <v>4.1999999999999993</v>
      </c>
      <c r="T185" s="12">
        <f>SUM($Q$185:$R$185)</f>
        <v>0</v>
      </c>
      <c r="U185" s="12">
        <f>$S$185+$T$185</f>
        <v>4.1999999999999993</v>
      </c>
    </row>
    <row r="186" spans="1:21" x14ac:dyDescent="0.3">
      <c r="A186" s="13" t="s">
        <v>692</v>
      </c>
      <c r="B186" s="14" t="s">
        <v>693</v>
      </c>
      <c r="C186" s="14" t="s">
        <v>65</v>
      </c>
      <c r="D186" s="14" t="s">
        <v>694</v>
      </c>
      <c r="E186" s="14">
        <f xml:space="preserve"> IF($U$186,1,0)</f>
        <v>1</v>
      </c>
      <c r="F186" s="14" t="s">
        <v>695</v>
      </c>
      <c r="G186" s="14">
        <v>0</v>
      </c>
      <c r="H186" s="14">
        <v>0</v>
      </c>
      <c r="I186" s="14">
        <v>1</v>
      </c>
      <c r="J186" s="14">
        <v>0</v>
      </c>
      <c r="K186" s="14">
        <v>0</v>
      </c>
      <c r="L186" s="14">
        <v>0</v>
      </c>
      <c r="M186" s="14">
        <v>0</v>
      </c>
      <c r="N186" s="14">
        <v>0</v>
      </c>
      <c r="O186" s="14">
        <v>0</v>
      </c>
      <c r="P186" s="14">
        <v>0</v>
      </c>
      <c r="Q186" s="15">
        <v>0</v>
      </c>
      <c r="R186" s="15">
        <v>0</v>
      </c>
      <c r="S186" s="15">
        <f>$G$186*$G$8+$H$186*$H$8+$I$186*$I$8+$J$186*$J$8+$K$186*$K$8+$L$186*$L$8+$M$186*$M$8+$N$186*$N$8+$O$186*$O$8+$P$186*$P$8</f>
        <v>1</v>
      </c>
      <c r="T186" s="15">
        <f>SUM($Q$186:$R$186)</f>
        <v>0</v>
      </c>
      <c r="U186" s="15">
        <f>$S$186+$T$186</f>
        <v>1</v>
      </c>
    </row>
    <row r="187" spans="1:21" x14ac:dyDescent="0.3">
      <c r="A187" s="10" t="s">
        <v>696</v>
      </c>
      <c r="B187" s="11" t="s">
        <v>697</v>
      </c>
      <c r="C187" s="11"/>
      <c r="D187" s="11" t="s">
        <v>698</v>
      </c>
      <c r="E187" s="11">
        <f xml:space="preserve"> IF($U$187,1,0)</f>
        <v>1</v>
      </c>
      <c r="F187" s="11" t="s">
        <v>699</v>
      </c>
      <c r="G187" s="11">
        <v>0</v>
      </c>
      <c r="H187" s="11">
        <v>0</v>
      </c>
      <c r="I187" s="11">
        <v>0</v>
      </c>
      <c r="J187" s="11">
        <v>0</v>
      </c>
      <c r="K187" s="11">
        <v>0</v>
      </c>
      <c r="L187" s="11">
        <v>0</v>
      </c>
      <c r="M187" s="11">
        <v>0</v>
      </c>
      <c r="N187" s="11">
        <v>0</v>
      </c>
      <c r="O187" s="11">
        <v>1</v>
      </c>
      <c r="P187" s="11">
        <v>0</v>
      </c>
      <c r="Q187" s="12">
        <v>0</v>
      </c>
      <c r="R187" s="12">
        <v>0</v>
      </c>
      <c r="S187" s="12">
        <f>$G$187*$G$8+$H$187*$H$8+$I$187*$I$8+$J$187*$J$8+$K$187*$K$8+$L$187*$L$8+$M$187*$M$8+$N$187*$N$8+$O$187*$O$8+$P$187*$P$8</f>
        <v>0.5</v>
      </c>
      <c r="T187" s="12">
        <f>SUM($Q$187:$R$187)</f>
        <v>0</v>
      </c>
      <c r="U187" s="12">
        <f>$S$187+$T$187</f>
        <v>0.5</v>
      </c>
    </row>
    <row r="188" spans="1:21" x14ac:dyDescent="0.3">
      <c r="A188" s="13" t="s">
        <v>700</v>
      </c>
      <c r="B188" s="14" t="s">
        <v>697</v>
      </c>
      <c r="C188" s="14"/>
      <c r="D188" s="14" t="s">
        <v>701</v>
      </c>
      <c r="E188" s="14">
        <f xml:space="preserve"> IF($U$188,1,0)</f>
        <v>0</v>
      </c>
      <c r="F188" s="14" t="s">
        <v>702</v>
      </c>
      <c r="G188" s="14">
        <v>0</v>
      </c>
      <c r="H188" s="14">
        <v>0</v>
      </c>
      <c r="I188" s="14">
        <v>0</v>
      </c>
      <c r="J188" s="14">
        <v>0</v>
      </c>
      <c r="K188" s="14">
        <v>0</v>
      </c>
      <c r="L188" s="14">
        <v>0</v>
      </c>
      <c r="M188" s="14">
        <v>0</v>
      </c>
      <c r="N188" s="14">
        <v>0</v>
      </c>
      <c r="O188" s="14">
        <v>0</v>
      </c>
      <c r="P188" s="14">
        <v>0</v>
      </c>
      <c r="Q188" s="15">
        <v>0</v>
      </c>
      <c r="R188" s="15">
        <v>0</v>
      </c>
      <c r="S188" s="15">
        <f>$G$188*$G$8+$H$188*$H$8+$I$188*$I$8+$J$188*$J$8+$K$188*$K$8+$L$188*$L$8+$M$188*$M$8+$N$188*$N$8+$O$188*$O$8+$P$188*$P$8</f>
        <v>0</v>
      </c>
      <c r="T188" s="15">
        <f>SUM($Q$188:$R$188)</f>
        <v>0</v>
      </c>
      <c r="U188" s="15">
        <f>$S$188+$T$188</f>
        <v>0</v>
      </c>
    </row>
    <row r="189" spans="1:21" x14ac:dyDescent="0.3">
      <c r="A189" s="10" t="s">
        <v>703</v>
      </c>
      <c r="B189" s="11" t="s">
        <v>704</v>
      </c>
      <c r="C189" s="11"/>
      <c r="D189" s="11" t="s">
        <v>705</v>
      </c>
      <c r="E189" s="11">
        <f xml:space="preserve"> IF($U$189,1,0)</f>
        <v>0</v>
      </c>
      <c r="F189" s="11" t="s">
        <v>706</v>
      </c>
      <c r="G189" s="11">
        <v>0</v>
      </c>
      <c r="H189" s="11">
        <v>0</v>
      </c>
      <c r="I189" s="11">
        <v>0</v>
      </c>
      <c r="J189" s="11">
        <v>0</v>
      </c>
      <c r="K189" s="11">
        <v>0</v>
      </c>
      <c r="L189" s="11">
        <v>0</v>
      </c>
      <c r="M189" s="11">
        <v>0</v>
      </c>
      <c r="N189" s="11">
        <v>0</v>
      </c>
      <c r="O189" s="11">
        <v>0</v>
      </c>
      <c r="P189" s="11">
        <v>0</v>
      </c>
      <c r="Q189" s="12">
        <v>0</v>
      </c>
      <c r="R189" s="12">
        <v>0</v>
      </c>
      <c r="S189" s="12">
        <f>$G$189*$G$8+$H$189*$H$8+$I$189*$I$8+$J$189*$J$8+$K$189*$K$8+$L$189*$L$8+$M$189*$M$8+$N$189*$N$8+$O$189*$O$8+$P$189*$P$8</f>
        <v>0</v>
      </c>
      <c r="T189" s="12">
        <f>SUM($Q$189:$R$189)</f>
        <v>0</v>
      </c>
      <c r="U189" s="12">
        <f>$S$189+$T$189</f>
        <v>0</v>
      </c>
    </row>
    <row r="190" spans="1:21" x14ac:dyDescent="0.3">
      <c r="A190" s="13" t="s">
        <v>707</v>
      </c>
      <c r="B190" s="14" t="s">
        <v>708</v>
      </c>
      <c r="C190" s="14"/>
      <c r="D190" s="14" t="s">
        <v>222</v>
      </c>
      <c r="E190" s="14">
        <f xml:space="preserve"> IF($U$190,1,0)</f>
        <v>0</v>
      </c>
      <c r="F190" s="14" t="s">
        <v>709</v>
      </c>
      <c r="G190" s="14">
        <v>0</v>
      </c>
      <c r="H190" s="14">
        <v>0</v>
      </c>
      <c r="I190" s="14">
        <v>0</v>
      </c>
      <c r="J190" s="14">
        <v>0</v>
      </c>
      <c r="K190" s="14">
        <v>0</v>
      </c>
      <c r="L190" s="14">
        <v>0</v>
      </c>
      <c r="M190" s="14">
        <v>0</v>
      </c>
      <c r="N190" s="14">
        <v>0</v>
      </c>
      <c r="O190" s="14">
        <v>0</v>
      </c>
      <c r="P190" s="14">
        <v>0</v>
      </c>
      <c r="Q190" s="15">
        <v>0</v>
      </c>
      <c r="R190" s="15">
        <v>0</v>
      </c>
      <c r="S190" s="15">
        <f>$G$190*$G$8+$H$190*$H$8+$I$190*$I$8+$J$190*$J$8+$K$190*$K$8+$L$190*$L$8+$M$190*$M$8+$N$190*$N$8+$O$190*$O$8+$P$190*$P$8</f>
        <v>0</v>
      </c>
      <c r="T190" s="15">
        <f>SUM($Q$190:$R$190)</f>
        <v>0</v>
      </c>
      <c r="U190" s="15">
        <f>$S$190+$T$190</f>
        <v>0</v>
      </c>
    </row>
    <row r="191" spans="1:21" x14ac:dyDescent="0.3">
      <c r="A191" s="10" t="s">
        <v>710</v>
      </c>
      <c r="B191" s="11" t="s">
        <v>708</v>
      </c>
      <c r="C191" s="11"/>
      <c r="D191" s="11" t="s">
        <v>711</v>
      </c>
      <c r="E191" s="11">
        <f xml:space="preserve"> IF($U$191,1,0)</f>
        <v>0</v>
      </c>
      <c r="F191" s="11" t="s">
        <v>712</v>
      </c>
      <c r="G191" s="11">
        <v>0</v>
      </c>
      <c r="H191" s="11">
        <v>0</v>
      </c>
      <c r="I191" s="11">
        <v>0</v>
      </c>
      <c r="J191" s="11">
        <v>0</v>
      </c>
      <c r="K191" s="11">
        <v>0</v>
      </c>
      <c r="L191" s="11">
        <v>0</v>
      </c>
      <c r="M191" s="11">
        <v>0</v>
      </c>
      <c r="N191" s="11">
        <v>0</v>
      </c>
      <c r="O191" s="11">
        <v>0</v>
      </c>
      <c r="P191" s="11">
        <v>0</v>
      </c>
      <c r="Q191" s="12">
        <v>0</v>
      </c>
      <c r="R191" s="12">
        <v>0</v>
      </c>
      <c r="S191" s="12">
        <f>$G$191*$G$8+$H$191*$H$8+$I$191*$I$8+$J$191*$J$8+$K$191*$K$8+$L$191*$L$8+$M$191*$M$8+$N$191*$N$8+$O$191*$O$8+$P$191*$P$8</f>
        <v>0</v>
      </c>
      <c r="T191" s="12">
        <f>SUM($Q$191:$R$191)</f>
        <v>0</v>
      </c>
      <c r="U191" s="12">
        <f>$S$191+$T$191</f>
        <v>0</v>
      </c>
    </row>
    <row r="192" spans="1:21" x14ac:dyDescent="0.3">
      <c r="A192" s="13" t="s">
        <v>713</v>
      </c>
      <c r="B192" s="14" t="s">
        <v>708</v>
      </c>
      <c r="C192" s="14"/>
      <c r="D192" s="14" t="s">
        <v>714</v>
      </c>
      <c r="E192" s="14">
        <f xml:space="preserve"> IF($U$192,1,0)</f>
        <v>1</v>
      </c>
      <c r="F192" s="14" t="s">
        <v>715</v>
      </c>
      <c r="G192" s="14">
        <v>4</v>
      </c>
      <c r="H192" s="14">
        <v>0</v>
      </c>
      <c r="I192" s="14">
        <v>0</v>
      </c>
      <c r="J192" s="14">
        <v>0</v>
      </c>
      <c r="K192" s="14">
        <v>0</v>
      </c>
      <c r="L192" s="14">
        <v>2</v>
      </c>
      <c r="M192" s="14">
        <v>0</v>
      </c>
      <c r="N192" s="14">
        <v>0</v>
      </c>
      <c r="O192" s="14">
        <v>0</v>
      </c>
      <c r="P192" s="14">
        <v>0</v>
      </c>
      <c r="Q192" s="15">
        <v>0</v>
      </c>
      <c r="R192" s="15">
        <v>0</v>
      </c>
      <c r="S192" s="15">
        <f>$G$192*$G$8+$H$192*$H$8+$I$192*$I$8+$J$192*$J$8+$K$192*$K$8+$L$192*$L$8+$M$192*$M$8+$N$192*$N$8+$O$192*$O$8+$P$192*$P$8</f>
        <v>8.8000000000000007</v>
      </c>
      <c r="T192" s="15">
        <f>SUM($Q$192:$R$192)</f>
        <v>0</v>
      </c>
      <c r="U192" s="15">
        <f>$S$192+$T$192</f>
        <v>8.8000000000000007</v>
      </c>
    </row>
    <row r="193" spans="1:21" x14ac:dyDescent="0.3">
      <c r="A193" s="10" t="s">
        <v>716</v>
      </c>
      <c r="B193" s="11" t="s">
        <v>717</v>
      </c>
      <c r="C193" s="11"/>
      <c r="D193" s="11" t="s">
        <v>718</v>
      </c>
      <c r="E193" s="11">
        <f xml:space="preserve"> IF($U$193,1,0)</f>
        <v>0</v>
      </c>
      <c r="F193" s="11" t="s">
        <v>719</v>
      </c>
      <c r="G193" s="11">
        <v>0</v>
      </c>
      <c r="H193" s="11">
        <v>0</v>
      </c>
      <c r="I193" s="11">
        <v>0</v>
      </c>
      <c r="J193" s="11">
        <v>0</v>
      </c>
      <c r="K193" s="11">
        <v>0</v>
      </c>
      <c r="L193" s="11">
        <v>0</v>
      </c>
      <c r="M193" s="11">
        <v>0</v>
      </c>
      <c r="N193" s="11">
        <v>0</v>
      </c>
      <c r="O193" s="11">
        <v>0</v>
      </c>
      <c r="P193" s="11">
        <v>0</v>
      </c>
      <c r="Q193" s="12">
        <v>0</v>
      </c>
      <c r="R193" s="12">
        <v>0</v>
      </c>
      <c r="S193" s="12">
        <f>$G$193*$G$8+$H$193*$H$8+$I$193*$I$8+$J$193*$J$8+$K$193*$K$8+$L$193*$L$8+$M$193*$M$8+$N$193*$N$8+$O$193*$O$8+$P$193*$P$8</f>
        <v>0</v>
      </c>
      <c r="T193" s="12">
        <f>SUM($Q$193:$R$193)</f>
        <v>0</v>
      </c>
      <c r="U193" s="12">
        <f>$S$193+$T$193</f>
        <v>0</v>
      </c>
    </row>
    <row r="194" spans="1:21" x14ac:dyDescent="0.3">
      <c r="A194" s="13" t="s">
        <v>720</v>
      </c>
      <c r="B194" s="14" t="s">
        <v>721</v>
      </c>
      <c r="C194" s="14"/>
      <c r="D194" s="14" t="s">
        <v>722</v>
      </c>
      <c r="E194" s="14">
        <f xml:space="preserve"> IF($U$194,1,0)</f>
        <v>0</v>
      </c>
      <c r="F194" s="14" t="s">
        <v>723</v>
      </c>
      <c r="G194" s="14">
        <v>0</v>
      </c>
      <c r="H194" s="14">
        <v>0</v>
      </c>
      <c r="I194" s="14">
        <v>0</v>
      </c>
      <c r="J194" s="14">
        <v>0</v>
      </c>
      <c r="K194" s="14">
        <v>0</v>
      </c>
      <c r="L194" s="14">
        <v>0</v>
      </c>
      <c r="M194" s="14">
        <v>0</v>
      </c>
      <c r="N194" s="14">
        <v>0</v>
      </c>
      <c r="O194" s="14">
        <v>0</v>
      </c>
      <c r="P194" s="14">
        <v>0</v>
      </c>
      <c r="Q194" s="15">
        <v>0</v>
      </c>
      <c r="R194" s="15">
        <v>0</v>
      </c>
      <c r="S194" s="15">
        <f>$G$194*$G$8+$H$194*$H$8+$I$194*$I$8+$J$194*$J$8+$K$194*$K$8+$L$194*$L$8+$M$194*$M$8+$N$194*$N$8+$O$194*$O$8+$P$194*$P$8</f>
        <v>0</v>
      </c>
      <c r="T194" s="15">
        <f>SUM($Q$194:$R$194)</f>
        <v>0</v>
      </c>
      <c r="U194" s="15">
        <f>$S$194+$T$194</f>
        <v>0</v>
      </c>
    </row>
    <row r="195" spans="1:21" x14ac:dyDescent="0.3">
      <c r="A195" s="10" t="s">
        <v>724</v>
      </c>
      <c r="B195" s="11" t="s">
        <v>721</v>
      </c>
      <c r="C195" s="11"/>
      <c r="D195" s="11" t="s">
        <v>725</v>
      </c>
      <c r="E195" s="11">
        <f xml:space="preserve"> IF($U$195,1,0)</f>
        <v>1</v>
      </c>
      <c r="F195" s="11" t="s">
        <v>726</v>
      </c>
      <c r="G195" s="11">
        <v>2</v>
      </c>
      <c r="H195" s="11">
        <v>2</v>
      </c>
      <c r="I195" s="11">
        <v>0</v>
      </c>
      <c r="J195" s="11">
        <v>0</v>
      </c>
      <c r="K195" s="11">
        <v>0</v>
      </c>
      <c r="L195" s="11">
        <v>0</v>
      </c>
      <c r="M195" s="11">
        <v>0</v>
      </c>
      <c r="N195" s="11">
        <v>0</v>
      </c>
      <c r="O195" s="11">
        <v>0</v>
      </c>
      <c r="P195" s="11">
        <v>2</v>
      </c>
      <c r="Q195" s="12">
        <v>0</v>
      </c>
      <c r="R195" s="12">
        <v>0</v>
      </c>
      <c r="S195" s="12">
        <f>$G$195*$G$8+$H$195*$H$8+$I$195*$I$8+$J$195*$J$8+$K$195*$K$8+$L$195*$L$8+$M$195*$M$8+$N$195*$N$8+$O$195*$O$8+$P$195*$P$8</f>
        <v>7</v>
      </c>
      <c r="T195" s="12">
        <f>SUM($Q$195:$R$195)</f>
        <v>0</v>
      </c>
      <c r="U195" s="12">
        <f>$S$195+$T$195</f>
        <v>7</v>
      </c>
    </row>
    <row r="196" spans="1:21" x14ac:dyDescent="0.3">
      <c r="A196" s="13" t="s">
        <v>727</v>
      </c>
      <c r="B196" s="14" t="s">
        <v>728</v>
      </c>
      <c r="C196" s="14"/>
      <c r="D196" s="14" t="s">
        <v>729</v>
      </c>
      <c r="E196" s="14">
        <f xml:space="preserve"> IF($U$196,1,0)</f>
        <v>0</v>
      </c>
      <c r="F196" s="14" t="s">
        <v>730</v>
      </c>
      <c r="G196" s="14">
        <v>0</v>
      </c>
      <c r="H196" s="14">
        <v>0</v>
      </c>
      <c r="I196" s="14">
        <v>0</v>
      </c>
      <c r="J196" s="14">
        <v>0</v>
      </c>
      <c r="K196" s="14">
        <v>0</v>
      </c>
      <c r="L196" s="14">
        <v>0</v>
      </c>
      <c r="M196" s="14">
        <v>0</v>
      </c>
      <c r="N196" s="14">
        <v>0</v>
      </c>
      <c r="O196" s="14">
        <v>0</v>
      </c>
      <c r="P196" s="14">
        <v>0</v>
      </c>
      <c r="Q196" s="15">
        <v>0</v>
      </c>
      <c r="R196" s="15">
        <v>0</v>
      </c>
      <c r="S196" s="15">
        <f>$G$196*$G$8+$H$196*$H$8+$I$196*$I$8+$J$196*$J$8+$K$196*$K$8+$L$196*$L$8+$M$196*$M$8+$N$196*$N$8+$O$196*$O$8+$P$196*$P$8</f>
        <v>0</v>
      </c>
      <c r="T196" s="15">
        <f>SUM($Q$196:$R$196)</f>
        <v>0</v>
      </c>
      <c r="U196" s="15">
        <f>$S$196+$T$196</f>
        <v>0</v>
      </c>
    </row>
    <row r="197" spans="1:21" x14ac:dyDescent="0.3">
      <c r="A197" s="10" t="s">
        <v>731</v>
      </c>
      <c r="B197" s="11" t="s">
        <v>732</v>
      </c>
      <c r="C197" s="11"/>
      <c r="D197" s="11" t="s">
        <v>733</v>
      </c>
      <c r="E197" s="11">
        <f xml:space="preserve"> IF($U$197,1,0)</f>
        <v>0</v>
      </c>
      <c r="F197" s="11" t="s">
        <v>734</v>
      </c>
      <c r="G197" s="11">
        <v>0</v>
      </c>
      <c r="H197" s="11">
        <v>0</v>
      </c>
      <c r="I197" s="11">
        <v>0</v>
      </c>
      <c r="J197" s="11">
        <v>0</v>
      </c>
      <c r="K197" s="11">
        <v>0</v>
      </c>
      <c r="L197" s="11">
        <v>0</v>
      </c>
      <c r="M197" s="11">
        <v>0</v>
      </c>
      <c r="N197" s="11">
        <v>0</v>
      </c>
      <c r="O197" s="11">
        <v>0</v>
      </c>
      <c r="P197" s="11">
        <v>0</v>
      </c>
      <c r="Q197" s="12">
        <v>0</v>
      </c>
      <c r="R197" s="12">
        <v>0</v>
      </c>
      <c r="S197" s="12">
        <f>$G$197*$G$8+$H$197*$H$8+$I$197*$I$8+$J$197*$J$8+$K$197*$K$8+$L$197*$L$8+$M$197*$M$8+$N$197*$N$8+$O$197*$O$8+$P$197*$P$8</f>
        <v>0</v>
      </c>
      <c r="T197" s="12">
        <f>SUM($Q$197:$R$197)</f>
        <v>0</v>
      </c>
      <c r="U197" s="12">
        <f>$S$197+$T$197</f>
        <v>0</v>
      </c>
    </row>
    <row r="198" spans="1:21" x14ac:dyDescent="0.3">
      <c r="A198" s="13" t="s">
        <v>735</v>
      </c>
      <c r="B198" s="14" t="s">
        <v>736</v>
      </c>
      <c r="C198" s="14"/>
      <c r="D198" s="14" t="s">
        <v>737</v>
      </c>
      <c r="E198" s="14">
        <f xml:space="preserve"> IF($U$198,1,0)</f>
        <v>0</v>
      </c>
      <c r="F198" s="14" t="s">
        <v>738</v>
      </c>
      <c r="G198" s="14">
        <v>0</v>
      </c>
      <c r="H198" s="14">
        <v>0</v>
      </c>
      <c r="I198" s="14">
        <v>0</v>
      </c>
      <c r="J198" s="14">
        <v>0</v>
      </c>
      <c r="K198" s="14">
        <v>0</v>
      </c>
      <c r="L198" s="14">
        <v>0</v>
      </c>
      <c r="M198" s="14">
        <v>0</v>
      </c>
      <c r="N198" s="14">
        <v>0</v>
      </c>
      <c r="O198" s="14">
        <v>0</v>
      </c>
      <c r="P198" s="14">
        <v>0</v>
      </c>
      <c r="Q198" s="15">
        <v>0</v>
      </c>
      <c r="R198" s="15">
        <v>0</v>
      </c>
      <c r="S198" s="15">
        <f>$G$198*$G$8+$H$198*$H$8+$I$198*$I$8+$J$198*$J$8+$K$198*$K$8+$L$198*$L$8+$M$198*$M$8+$N$198*$N$8+$O$198*$O$8+$P$198*$P$8</f>
        <v>0</v>
      </c>
      <c r="T198" s="15">
        <f>SUM($Q$198:$R$198)</f>
        <v>0</v>
      </c>
      <c r="U198" s="15">
        <f>$S$198+$T$198</f>
        <v>0</v>
      </c>
    </row>
    <row r="199" spans="1:21" x14ac:dyDescent="0.3">
      <c r="A199" s="10" t="s">
        <v>739</v>
      </c>
      <c r="B199" s="11" t="s">
        <v>740</v>
      </c>
      <c r="C199" s="11" t="s">
        <v>65</v>
      </c>
      <c r="D199" s="11" t="s">
        <v>239</v>
      </c>
      <c r="E199" s="11">
        <f xml:space="preserve"> IF($U$199,1,0)</f>
        <v>0</v>
      </c>
      <c r="F199" s="11" t="s">
        <v>741</v>
      </c>
      <c r="G199" s="11">
        <v>0</v>
      </c>
      <c r="H199" s="11">
        <v>0</v>
      </c>
      <c r="I199" s="11">
        <v>0</v>
      </c>
      <c r="J199" s="11">
        <v>0</v>
      </c>
      <c r="K199" s="11">
        <v>0</v>
      </c>
      <c r="L199" s="11">
        <v>0</v>
      </c>
      <c r="M199" s="11">
        <v>0</v>
      </c>
      <c r="N199" s="11">
        <v>0</v>
      </c>
      <c r="O199" s="11">
        <v>0</v>
      </c>
      <c r="P199" s="11">
        <v>0</v>
      </c>
      <c r="Q199" s="12">
        <v>0</v>
      </c>
      <c r="R199" s="12">
        <v>0</v>
      </c>
      <c r="S199" s="12">
        <f>$G$199*$G$8+$H$199*$H$8+$I$199*$I$8+$J$199*$J$8+$K$199*$K$8+$L$199*$L$8+$M$199*$M$8+$N$199*$N$8+$O$199*$O$8+$P$199*$P$8</f>
        <v>0</v>
      </c>
      <c r="T199" s="12">
        <f>SUM($Q$199:$R$199)</f>
        <v>0</v>
      </c>
      <c r="U199" s="12">
        <f>$S$199+$T$199</f>
        <v>0</v>
      </c>
    </row>
    <row r="200" spans="1:21" x14ac:dyDescent="0.3">
      <c r="A200" s="13" t="s">
        <v>742</v>
      </c>
      <c r="B200" s="14" t="s">
        <v>743</v>
      </c>
      <c r="C200" s="14"/>
      <c r="D200" s="14" t="s">
        <v>744</v>
      </c>
      <c r="E200" s="14">
        <f xml:space="preserve"> IF($U$200,1,0)</f>
        <v>1</v>
      </c>
      <c r="F200" s="14" t="s">
        <v>745</v>
      </c>
      <c r="G200" s="14">
        <v>1</v>
      </c>
      <c r="H200" s="14">
        <v>6</v>
      </c>
      <c r="I200" s="14">
        <v>0</v>
      </c>
      <c r="J200" s="14">
        <v>0</v>
      </c>
      <c r="K200" s="14">
        <v>0</v>
      </c>
      <c r="L200" s="14">
        <v>1</v>
      </c>
      <c r="M200" s="14">
        <v>0</v>
      </c>
      <c r="N200" s="14">
        <v>0</v>
      </c>
      <c r="O200" s="14">
        <v>0</v>
      </c>
      <c r="P200" s="14">
        <v>0</v>
      </c>
      <c r="Q200" s="15">
        <v>0</v>
      </c>
      <c r="R200" s="15">
        <v>0</v>
      </c>
      <c r="S200" s="15">
        <f>$G$200*$G$8+$H$200*$H$8+$I$200*$I$8+$J$200*$J$8+$K$200*$K$8+$L$200*$L$8+$M$200*$M$8+$N$200*$N$8+$O$200*$O$8+$P$200*$P$8</f>
        <v>14.5</v>
      </c>
      <c r="T200" s="15">
        <f>SUM($Q$200:$R$200)</f>
        <v>0</v>
      </c>
      <c r="U200" s="15">
        <f>$S$200+$T$200</f>
        <v>14.5</v>
      </c>
    </row>
    <row r="201" spans="1:21" x14ac:dyDescent="0.3">
      <c r="A201" s="10" t="s">
        <v>746</v>
      </c>
      <c r="B201" s="11" t="s">
        <v>747</v>
      </c>
      <c r="C201" s="11"/>
      <c r="D201" s="11" t="s">
        <v>748</v>
      </c>
      <c r="E201" s="11">
        <f xml:space="preserve"> IF($U$201,1,0)</f>
        <v>0</v>
      </c>
      <c r="F201" s="11" t="s">
        <v>749</v>
      </c>
      <c r="G201" s="11">
        <v>0</v>
      </c>
      <c r="H201" s="11">
        <v>0</v>
      </c>
      <c r="I201" s="11">
        <v>0</v>
      </c>
      <c r="J201" s="11">
        <v>0</v>
      </c>
      <c r="K201" s="11">
        <v>0</v>
      </c>
      <c r="L201" s="11">
        <v>0</v>
      </c>
      <c r="M201" s="11">
        <v>0</v>
      </c>
      <c r="N201" s="11">
        <v>0</v>
      </c>
      <c r="O201" s="11">
        <v>0</v>
      </c>
      <c r="P201" s="11">
        <v>0</v>
      </c>
      <c r="Q201" s="12">
        <v>0</v>
      </c>
      <c r="R201" s="12">
        <v>0</v>
      </c>
      <c r="S201" s="12">
        <f>$G$201*$G$8+$H$201*$H$8+$I$201*$I$8+$J$201*$J$8+$K$201*$K$8+$L$201*$L$8+$M$201*$M$8+$N$201*$N$8+$O$201*$O$8+$P$201*$P$8</f>
        <v>0</v>
      </c>
      <c r="T201" s="12">
        <f>SUM($Q$201:$R$201)</f>
        <v>0</v>
      </c>
      <c r="U201" s="12">
        <f>$S$201+$T$201</f>
        <v>0</v>
      </c>
    </row>
    <row r="202" spans="1:21" x14ac:dyDescent="0.3">
      <c r="A202" s="13" t="s">
        <v>750</v>
      </c>
      <c r="B202" s="14" t="s">
        <v>751</v>
      </c>
      <c r="C202" s="14"/>
      <c r="D202" s="14" t="s">
        <v>752</v>
      </c>
      <c r="E202" s="14">
        <f xml:space="preserve"> IF($U$202,1,0)</f>
        <v>0</v>
      </c>
      <c r="F202" s="14" t="s">
        <v>753</v>
      </c>
      <c r="G202" s="14">
        <v>0</v>
      </c>
      <c r="H202" s="14">
        <v>0</v>
      </c>
      <c r="I202" s="14">
        <v>0</v>
      </c>
      <c r="J202" s="14">
        <v>0</v>
      </c>
      <c r="K202" s="14">
        <v>0</v>
      </c>
      <c r="L202" s="14">
        <v>0</v>
      </c>
      <c r="M202" s="14">
        <v>0</v>
      </c>
      <c r="N202" s="14">
        <v>0</v>
      </c>
      <c r="O202" s="14">
        <v>0</v>
      </c>
      <c r="P202" s="14">
        <v>0</v>
      </c>
      <c r="Q202" s="15">
        <v>0</v>
      </c>
      <c r="R202" s="15">
        <v>0</v>
      </c>
      <c r="S202" s="15">
        <f>$G$202*$G$8+$H$202*$H$8+$I$202*$I$8+$J$202*$J$8+$K$202*$K$8+$L$202*$L$8+$M$202*$M$8+$N$202*$N$8+$O$202*$O$8+$P$202*$P$8</f>
        <v>0</v>
      </c>
      <c r="T202" s="15">
        <f>SUM($Q$202:$R$202)</f>
        <v>0</v>
      </c>
      <c r="U202" s="15">
        <f>$S$202+$T$202</f>
        <v>0</v>
      </c>
    </row>
    <row r="203" spans="1:21" x14ac:dyDescent="0.3">
      <c r="A203" s="10" t="s">
        <v>754</v>
      </c>
      <c r="B203" s="11" t="s">
        <v>755</v>
      </c>
      <c r="C203" s="11"/>
      <c r="D203" s="11" t="s">
        <v>756</v>
      </c>
      <c r="E203" s="11">
        <f xml:space="preserve"> IF($U$203,1,0)</f>
        <v>0</v>
      </c>
      <c r="F203" s="11" t="s">
        <v>757</v>
      </c>
      <c r="G203" s="11">
        <v>0</v>
      </c>
      <c r="H203" s="11">
        <v>0</v>
      </c>
      <c r="I203" s="11">
        <v>0</v>
      </c>
      <c r="J203" s="11">
        <v>0</v>
      </c>
      <c r="K203" s="11">
        <v>0</v>
      </c>
      <c r="L203" s="11">
        <v>0</v>
      </c>
      <c r="M203" s="11">
        <v>0</v>
      </c>
      <c r="N203" s="11">
        <v>0</v>
      </c>
      <c r="O203" s="11">
        <v>0</v>
      </c>
      <c r="P203" s="11">
        <v>0</v>
      </c>
      <c r="Q203" s="12">
        <v>0</v>
      </c>
      <c r="R203" s="12">
        <v>0</v>
      </c>
      <c r="S203" s="12">
        <f>$G$203*$G$8+$H$203*$H$8+$I$203*$I$8+$J$203*$J$8+$K$203*$K$8+$L$203*$L$8+$M$203*$M$8+$N$203*$N$8+$O$203*$O$8+$P$203*$P$8</f>
        <v>0</v>
      </c>
      <c r="T203" s="12">
        <f>SUM($Q$203:$R$203)</f>
        <v>0</v>
      </c>
      <c r="U203" s="12">
        <f>$S$203+$T$203</f>
        <v>0</v>
      </c>
    </row>
    <row r="204" spans="1:21" x14ac:dyDescent="0.3">
      <c r="A204" s="13" t="s">
        <v>758</v>
      </c>
      <c r="B204" s="14" t="s">
        <v>759</v>
      </c>
      <c r="C204" s="14"/>
      <c r="D204" s="14" t="s">
        <v>760</v>
      </c>
      <c r="E204" s="14">
        <f xml:space="preserve"> IF($U$204,1,0)</f>
        <v>0</v>
      </c>
      <c r="F204" s="14" t="s">
        <v>761</v>
      </c>
      <c r="G204" s="14">
        <v>0</v>
      </c>
      <c r="H204" s="14">
        <v>0</v>
      </c>
      <c r="I204" s="14">
        <v>0</v>
      </c>
      <c r="J204" s="14">
        <v>0</v>
      </c>
      <c r="K204" s="14">
        <v>0</v>
      </c>
      <c r="L204" s="14">
        <v>0</v>
      </c>
      <c r="M204" s="14">
        <v>0</v>
      </c>
      <c r="N204" s="14">
        <v>0</v>
      </c>
      <c r="O204" s="14">
        <v>0</v>
      </c>
      <c r="P204" s="14">
        <v>0</v>
      </c>
      <c r="Q204" s="15">
        <v>0</v>
      </c>
      <c r="R204" s="15">
        <v>0</v>
      </c>
      <c r="S204" s="15">
        <f>$G$204*$G$8+$H$204*$H$8+$I$204*$I$8+$J$204*$J$8+$K$204*$K$8+$L$204*$L$8+$M$204*$M$8+$N$204*$N$8+$O$204*$O$8+$P$204*$P$8</f>
        <v>0</v>
      </c>
      <c r="T204" s="15">
        <f>SUM($Q$204:$R$204)</f>
        <v>0</v>
      </c>
      <c r="U204" s="15">
        <f>$S$204+$T$204</f>
        <v>0</v>
      </c>
    </row>
    <row r="205" spans="1:21" x14ac:dyDescent="0.3">
      <c r="A205" s="10" t="s">
        <v>762</v>
      </c>
      <c r="B205" s="11" t="s">
        <v>763</v>
      </c>
      <c r="C205" s="11"/>
      <c r="D205" s="11" t="s">
        <v>764</v>
      </c>
      <c r="E205" s="11">
        <f xml:space="preserve"> IF($U$205,1,0)</f>
        <v>0</v>
      </c>
      <c r="F205" s="11" t="s">
        <v>765</v>
      </c>
      <c r="G205" s="11">
        <v>0</v>
      </c>
      <c r="H205" s="11">
        <v>0</v>
      </c>
      <c r="I205" s="11">
        <v>0</v>
      </c>
      <c r="J205" s="11">
        <v>0</v>
      </c>
      <c r="K205" s="11">
        <v>0</v>
      </c>
      <c r="L205" s="11">
        <v>0</v>
      </c>
      <c r="M205" s="11">
        <v>0</v>
      </c>
      <c r="N205" s="11">
        <v>0</v>
      </c>
      <c r="O205" s="11">
        <v>0</v>
      </c>
      <c r="P205" s="11">
        <v>0</v>
      </c>
      <c r="Q205" s="12">
        <v>0</v>
      </c>
      <c r="R205" s="12">
        <v>0</v>
      </c>
      <c r="S205" s="12">
        <f>$G$205*$G$8+$H$205*$H$8+$I$205*$I$8+$J$205*$J$8+$K$205*$K$8+$L$205*$L$8+$M$205*$M$8+$N$205*$N$8+$O$205*$O$8+$P$205*$P$8</f>
        <v>0</v>
      </c>
      <c r="T205" s="12">
        <f>SUM($Q$205:$R$205)</f>
        <v>0</v>
      </c>
      <c r="U205" s="12">
        <f>$S$205+$T$205</f>
        <v>0</v>
      </c>
    </row>
    <row r="206" spans="1:21" x14ac:dyDescent="0.3">
      <c r="A206" s="13" t="s">
        <v>766</v>
      </c>
      <c r="B206" s="14" t="s">
        <v>767</v>
      </c>
      <c r="C206" s="14"/>
      <c r="D206" s="14" t="s">
        <v>768</v>
      </c>
      <c r="E206" s="14">
        <f xml:space="preserve"> IF($U$206,1,0)</f>
        <v>0</v>
      </c>
      <c r="F206" s="14" t="s">
        <v>769</v>
      </c>
      <c r="G206" s="14">
        <v>0</v>
      </c>
      <c r="H206" s="14">
        <v>0</v>
      </c>
      <c r="I206" s="14">
        <v>0</v>
      </c>
      <c r="J206" s="14">
        <v>0</v>
      </c>
      <c r="K206" s="14">
        <v>0</v>
      </c>
      <c r="L206" s="14">
        <v>0</v>
      </c>
      <c r="M206" s="14">
        <v>0</v>
      </c>
      <c r="N206" s="14">
        <v>0</v>
      </c>
      <c r="O206" s="14">
        <v>0</v>
      </c>
      <c r="P206" s="14">
        <v>0</v>
      </c>
      <c r="Q206" s="15">
        <v>0</v>
      </c>
      <c r="R206" s="15">
        <v>0</v>
      </c>
      <c r="S206" s="15">
        <f>$G$206*$G$8+$H$206*$H$8+$I$206*$I$8+$J$206*$J$8+$K$206*$K$8+$L$206*$L$8+$M$206*$M$8+$N$206*$N$8+$O$206*$O$8+$P$206*$P$8</f>
        <v>0</v>
      </c>
      <c r="T206" s="15">
        <f>SUM($Q$206:$R$206)</f>
        <v>0</v>
      </c>
      <c r="U206" s="15">
        <f>$S$206+$T$206</f>
        <v>0</v>
      </c>
    </row>
    <row r="207" spans="1:21" x14ac:dyDescent="0.3">
      <c r="A207" s="10" t="s">
        <v>770</v>
      </c>
      <c r="B207" s="11" t="s">
        <v>771</v>
      </c>
      <c r="C207" s="11"/>
      <c r="D207" s="11" t="s">
        <v>772</v>
      </c>
      <c r="E207" s="11">
        <f xml:space="preserve"> IF($U$207,1,0)</f>
        <v>0</v>
      </c>
      <c r="F207" s="11" t="s">
        <v>773</v>
      </c>
      <c r="G207" s="11">
        <v>0</v>
      </c>
      <c r="H207" s="11">
        <v>0</v>
      </c>
      <c r="I207" s="11">
        <v>0</v>
      </c>
      <c r="J207" s="11">
        <v>0</v>
      </c>
      <c r="K207" s="11">
        <v>0</v>
      </c>
      <c r="L207" s="11">
        <v>0</v>
      </c>
      <c r="M207" s="11">
        <v>0</v>
      </c>
      <c r="N207" s="11">
        <v>0</v>
      </c>
      <c r="O207" s="11">
        <v>0</v>
      </c>
      <c r="P207" s="11">
        <v>0</v>
      </c>
      <c r="Q207" s="12">
        <v>0</v>
      </c>
      <c r="R207" s="12">
        <v>0</v>
      </c>
      <c r="S207" s="12">
        <f>$G$207*$G$8+$H$207*$H$8+$I$207*$I$8+$J$207*$J$8+$K$207*$K$8+$L$207*$L$8+$M$207*$M$8+$N$207*$N$8+$O$207*$O$8+$P$207*$P$8</f>
        <v>0</v>
      </c>
      <c r="T207" s="12">
        <f>SUM($Q$207:$R$207)</f>
        <v>0</v>
      </c>
      <c r="U207" s="12">
        <f>$S$207+$T$207</f>
        <v>0</v>
      </c>
    </row>
    <row r="208" spans="1:21" x14ac:dyDescent="0.3">
      <c r="A208" s="13" t="s">
        <v>774</v>
      </c>
      <c r="B208" s="14" t="s">
        <v>775</v>
      </c>
      <c r="C208" s="14"/>
      <c r="D208" s="14" t="s">
        <v>776</v>
      </c>
      <c r="E208" s="14">
        <f xml:space="preserve"> IF($U$208,1,0)</f>
        <v>0</v>
      </c>
      <c r="F208" s="14" t="s">
        <v>777</v>
      </c>
      <c r="G208" s="14">
        <v>0</v>
      </c>
      <c r="H208" s="14">
        <v>0</v>
      </c>
      <c r="I208" s="14">
        <v>0</v>
      </c>
      <c r="J208" s="14">
        <v>0</v>
      </c>
      <c r="K208" s="14">
        <v>0</v>
      </c>
      <c r="L208" s="14">
        <v>0</v>
      </c>
      <c r="M208" s="14">
        <v>0</v>
      </c>
      <c r="N208" s="14">
        <v>0</v>
      </c>
      <c r="O208" s="14">
        <v>0</v>
      </c>
      <c r="P208" s="14">
        <v>0</v>
      </c>
      <c r="Q208" s="15">
        <v>0</v>
      </c>
      <c r="R208" s="15">
        <v>0</v>
      </c>
      <c r="S208" s="15">
        <f>$G$208*$G$8+$H$208*$H$8+$I$208*$I$8+$J$208*$J$8+$K$208*$K$8+$L$208*$L$8+$M$208*$M$8+$N$208*$N$8+$O$208*$O$8+$P$208*$P$8</f>
        <v>0</v>
      </c>
      <c r="T208" s="15">
        <f>SUM($Q$208:$R$208)</f>
        <v>0</v>
      </c>
      <c r="U208" s="15">
        <f>$S$208+$T$208</f>
        <v>0</v>
      </c>
    </row>
    <row r="209" spans="1:21" x14ac:dyDescent="0.3">
      <c r="A209" s="10" t="s">
        <v>778</v>
      </c>
      <c r="B209" s="11" t="s">
        <v>779</v>
      </c>
      <c r="C209" s="11"/>
      <c r="D209" s="11" t="s">
        <v>780</v>
      </c>
      <c r="E209" s="11">
        <f xml:space="preserve"> IF($U$209,1,0)</f>
        <v>0</v>
      </c>
      <c r="F209" s="11" t="s">
        <v>781</v>
      </c>
      <c r="G209" s="11">
        <v>0</v>
      </c>
      <c r="H209" s="11">
        <v>0</v>
      </c>
      <c r="I209" s="11">
        <v>0</v>
      </c>
      <c r="J209" s="11">
        <v>0</v>
      </c>
      <c r="K209" s="11">
        <v>0</v>
      </c>
      <c r="L209" s="11">
        <v>0</v>
      </c>
      <c r="M209" s="11">
        <v>0</v>
      </c>
      <c r="N209" s="11">
        <v>0</v>
      </c>
      <c r="O209" s="11">
        <v>0</v>
      </c>
      <c r="P209" s="11">
        <v>0</v>
      </c>
      <c r="Q209" s="12">
        <v>0</v>
      </c>
      <c r="R209" s="12">
        <v>0</v>
      </c>
      <c r="S209" s="12">
        <f>$G$209*$G$8+$H$209*$H$8+$I$209*$I$8+$J$209*$J$8+$K$209*$K$8+$L$209*$L$8+$M$209*$M$8+$N$209*$N$8+$O$209*$O$8+$P$209*$P$8</f>
        <v>0</v>
      </c>
      <c r="T209" s="12">
        <f>SUM($Q$209:$R$209)</f>
        <v>0</v>
      </c>
      <c r="U209" s="12">
        <f>$S$209+$T$209</f>
        <v>0</v>
      </c>
    </row>
    <row r="210" spans="1:21" x14ac:dyDescent="0.3">
      <c r="A210" s="13" t="s">
        <v>782</v>
      </c>
      <c r="B210" s="14" t="s">
        <v>779</v>
      </c>
      <c r="C210" s="14"/>
      <c r="D210" s="14" t="s">
        <v>783</v>
      </c>
      <c r="E210" s="14">
        <f xml:space="preserve"> IF($U$210,1,0)</f>
        <v>0</v>
      </c>
      <c r="F210" s="14" t="s">
        <v>784</v>
      </c>
      <c r="G210" s="14">
        <v>0</v>
      </c>
      <c r="H210" s="14">
        <v>0</v>
      </c>
      <c r="I210" s="14">
        <v>0</v>
      </c>
      <c r="J210" s="14">
        <v>0</v>
      </c>
      <c r="K210" s="14">
        <v>0</v>
      </c>
      <c r="L210" s="14">
        <v>0</v>
      </c>
      <c r="M210" s="14">
        <v>0</v>
      </c>
      <c r="N210" s="14">
        <v>0</v>
      </c>
      <c r="O210" s="14">
        <v>0</v>
      </c>
      <c r="P210" s="14">
        <v>0</v>
      </c>
      <c r="Q210" s="15">
        <v>0</v>
      </c>
      <c r="R210" s="15">
        <v>0</v>
      </c>
      <c r="S210" s="15">
        <f>$G$210*$G$8+$H$210*$H$8+$I$210*$I$8+$J$210*$J$8+$K$210*$K$8+$L$210*$L$8+$M$210*$M$8+$N$210*$N$8+$O$210*$O$8+$P$210*$P$8</f>
        <v>0</v>
      </c>
      <c r="T210" s="15">
        <f>SUM($Q$210:$R$210)</f>
        <v>0</v>
      </c>
      <c r="U210" s="15">
        <f>$S$210+$T$210</f>
        <v>0</v>
      </c>
    </row>
    <row r="211" spans="1:21" x14ac:dyDescent="0.3">
      <c r="A211" s="10" t="s">
        <v>785</v>
      </c>
      <c r="B211" s="11" t="s">
        <v>779</v>
      </c>
      <c r="C211" s="11"/>
      <c r="D211" s="11" t="s">
        <v>786</v>
      </c>
      <c r="E211" s="11">
        <f xml:space="preserve"> IF($U$211,1,0)</f>
        <v>1</v>
      </c>
      <c r="F211" s="11" t="s">
        <v>787</v>
      </c>
      <c r="G211" s="11">
        <v>1</v>
      </c>
      <c r="H211" s="11">
        <v>0</v>
      </c>
      <c r="I211" s="11">
        <v>1</v>
      </c>
      <c r="J211" s="11">
        <v>0</v>
      </c>
      <c r="K211" s="11">
        <v>0</v>
      </c>
      <c r="L211" s="11">
        <v>0</v>
      </c>
      <c r="M211" s="11">
        <v>0</v>
      </c>
      <c r="N211" s="11">
        <v>0</v>
      </c>
      <c r="O211" s="11">
        <v>0</v>
      </c>
      <c r="P211" s="11">
        <v>0</v>
      </c>
      <c r="Q211" s="12">
        <v>0</v>
      </c>
      <c r="R211" s="12">
        <v>0</v>
      </c>
      <c r="S211" s="12">
        <f>$G$211*$G$8+$H$211*$H$8+$I$211*$I$8+$J$211*$J$8+$K$211*$K$8+$L$211*$L$8+$M$211*$M$8+$N$211*$N$8+$O$211*$O$8+$P$211*$P$8</f>
        <v>1.7</v>
      </c>
      <c r="T211" s="12">
        <f>SUM($Q$211:$R$211)</f>
        <v>0</v>
      </c>
      <c r="U211" s="12">
        <f>$S$211+$T$211</f>
        <v>1.7</v>
      </c>
    </row>
    <row r="212" spans="1:21" x14ac:dyDescent="0.3">
      <c r="A212" s="13" t="s">
        <v>788</v>
      </c>
      <c r="B212" s="14" t="s">
        <v>789</v>
      </c>
      <c r="C212" s="14"/>
      <c r="D212" s="14" t="s">
        <v>790</v>
      </c>
      <c r="E212" s="14">
        <f xml:space="preserve"> IF($U$212,1,0)</f>
        <v>0</v>
      </c>
      <c r="F212" s="14" t="s">
        <v>791</v>
      </c>
      <c r="G212" s="14">
        <v>0</v>
      </c>
      <c r="H212" s="14">
        <v>0</v>
      </c>
      <c r="I212" s="14">
        <v>0</v>
      </c>
      <c r="J212" s="14">
        <v>0</v>
      </c>
      <c r="K212" s="14">
        <v>0</v>
      </c>
      <c r="L212" s="14">
        <v>0</v>
      </c>
      <c r="M212" s="14">
        <v>0</v>
      </c>
      <c r="N212" s="14">
        <v>0</v>
      </c>
      <c r="O212" s="14">
        <v>0</v>
      </c>
      <c r="P212" s="14">
        <v>0</v>
      </c>
      <c r="Q212" s="15">
        <v>0</v>
      </c>
      <c r="R212" s="15">
        <v>0</v>
      </c>
      <c r="S212" s="15">
        <f>$G$212*$G$8+$H$212*$H$8+$I$212*$I$8+$J$212*$J$8+$K$212*$K$8+$L$212*$L$8+$M$212*$M$8+$N$212*$N$8+$O$212*$O$8+$P$212*$P$8</f>
        <v>0</v>
      </c>
      <c r="T212" s="15">
        <f>SUM($Q$212:$R$212)</f>
        <v>0</v>
      </c>
      <c r="U212" s="15">
        <f>$S$212+$T$212</f>
        <v>0</v>
      </c>
    </row>
    <row r="213" spans="1:21" x14ac:dyDescent="0.3">
      <c r="A213" s="10" t="s">
        <v>792</v>
      </c>
      <c r="B213" s="11" t="s">
        <v>793</v>
      </c>
      <c r="C213" s="11"/>
      <c r="D213" s="11" t="s">
        <v>794</v>
      </c>
      <c r="E213" s="11">
        <f xml:space="preserve"> IF($U$213,1,0)</f>
        <v>0</v>
      </c>
      <c r="F213" s="11" t="s">
        <v>795</v>
      </c>
      <c r="G213" s="11">
        <v>0</v>
      </c>
      <c r="H213" s="11">
        <v>0</v>
      </c>
      <c r="I213" s="11">
        <v>0</v>
      </c>
      <c r="J213" s="11">
        <v>0</v>
      </c>
      <c r="K213" s="11">
        <v>0</v>
      </c>
      <c r="L213" s="11">
        <v>0</v>
      </c>
      <c r="M213" s="11">
        <v>0</v>
      </c>
      <c r="N213" s="11">
        <v>0</v>
      </c>
      <c r="O213" s="11">
        <v>0</v>
      </c>
      <c r="P213" s="11">
        <v>0</v>
      </c>
      <c r="Q213" s="12">
        <v>0</v>
      </c>
      <c r="R213" s="12">
        <v>0</v>
      </c>
      <c r="S213" s="12">
        <f>$G$213*$G$8+$H$213*$H$8+$I$213*$I$8+$J$213*$J$8+$K$213*$K$8+$L$213*$L$8+$M$213*$M$8+$N$213*$N$8+$O$213*$O$8+$P$213*$P$8</f>
        <v>0</v>
      </c>
      <c r="T213" s="12">
        <f>SUM($Q$213:$R$213)</f>
        <v>0</v>
      </c>
      <c r="U213" s="12">
        <f>$S$213+$T$213</f>
        <v>0</v>
      </c>
    </row>
    <row r="214" spans="1:21" x14ac:dyDescent="0.3">
      <c r="A214" s="13" t="s">
        <v>796</v>
      </c>
      <c r="B214" s="14" t="s">
        <v>797</v>
      </c>
      <c r="C214" s="14"/>
      <c r="D214" s="14" t="s">
        <v>798</v>
      </c>
      <c r="E214" s="14">
        <f xml:space="preserve"> IF($U$214,1,0)</f>
        <v>0</v>
      </c>
      <c r="F214" s="14" t="s">
        <v>799</v>
      </c>
      <c r="G214" s="14">
        <v>0</v>
      </c>
      <c r="H214" s="14">
        <v>0</v>
      </c>
      <c r="I214" s="14">
        <v>0</v>
      </c>
      <c r="J214" s="14">
        <v>0</v>
      </c>
      <c r="K214" s="14">
        <v>0</v>
      </c>
      <c r="L214" s="14">
        <v>0</v>
      </c>
      <c r="M214" s="14">
        <v>0</v>
      </c>
      <c r="N214" s="14">
        <v>0</v>
      </c>
      <c r="O214" s="14">
        <v>0</v>
      </c>
      <c r="P214" s="14">
        <v>0</v>
      </c>
      <c r="Q214" s="15">
        <v>0</v>
      </c>
      <c r="R214" s="15">
        <v>0</v>
      </c>
      <c r="S214" s="15">
        <f>$G$214*$G$8+$H$214*$H$8+$I$214*$I$8+$J$214*$J$8+$K$214*$K$8+$L$214*$L$8+$M$214*$M$8+$N$214*$N$8+$O$214*$O$8+$P$214*$P$8</f>
        <v>0</v>
      </c>
      <c r="T214" s="15">
        <f>SUM($Q$214:$R$214)</f>
        <v>0</v>
      </c>
      <c r="U214" s="15">
        <f>$S$214+$T$214</f>
        <v>0</v>
      </c>
    </row>
    <row r="215" spans="1:21" x14ac:dyDescent="0.3">
      <c r="A215" s="10" t="s">
        <v>800</v>
      </c>
      <c r="B215" s="11" t="s">
        <v>797</v>
      </c>
      <c r="C215" s="11" t="s">
        <v>34</v>
      </c>
      <c r="D215" s="11" t="s">
        <v>801</v>
      </c>
      <c r="E215" s="11">
        <f xml:space="preserve"> IF($U$215,1,0)</f>
        <v>0</v>
      </c>
      <c r="F215" s="11" t="s">
        <v>802</v>
      </c>
      <c r="G215" s="11">
        <v>0</v>
      </c>
      <c r="H215" s="11">
        <v>0</v>
      </c>
      <c r="I215" s="11">
        <v>0</v>
      </c>
      <c r="J215" s="11">
        <v>0</v>
      </c>
      <c r="K215" s="11">
        <v>0</v>
      </c>
      <c r="L215" s="11">
        <v>0</v>
      </c>
      <c r="M215" s="11">
        <v>0</v>
      </c>
      <c r="N215" s="11">
        <v>0</v>
      </c>
      <c r="O215" s="11">
        <v>0</v>
      </c>
      <c r="P215" s="11">
        <v>0</v>
      </c>
      <c r="Q215" s="12">
        <v>0</v>
      </c>
      <c r="R215" s="12">
        <v>0</v>
      </c>
      <c r="S215" s="12">
        <f>$G$215*$G$8+$H$215*$H$8+$I$215*$I$8+$J$215*$J$8+$K$215*$K$8+$L$215*$L$8+$M$215*$M$8+$N$215*$N$8+$O$215*$O$8+$P$215*$P$8</f>
        <v>0</v>
      </c>
      <c r="T215" s="12">
        <f>SUM($Q$215:$R$215)</f>
        <v>0</v>
      </c>
      <c r="U215" s="12">
        <f>$S$215+$T$215</f>
        <v>0</v>
      </c>
    </row>
    <row r="216" spans="1:21" x14ac:dyDescent="0.3">
      <c r="A216" s="13" t="s">
        <v>803</v>
      </c>
      <c r="B216" s="14" t="s">
        <v>804</v>
      </c>
      <c r="C216" s="14" t="s">
        <v>34</v>
      </c>
      <c r="D216" s="14" t="s">
        <v>805</v>
      </c>
      <c r="E216" s="14">
        <f xml:space="preserve"> IF($U$216,1,0)</f>
        <v>0</v>
      </c>
      <c r="F216" s="14" t="s">
        <v>806</v>
      </c>
      <c r="G216" s="14">
        <v>0</v>
      </c>
      <c r="H216" s="14">
        <v>0</v>
      </c>
      <c r="I216" s="14">
        <v>0</v>
      </c>
      <c r="J216" s="14">
        <v>0</v>
      </c>
      <c r="K216" s="14">
        <v>0</v>
      </c>
      <c r="L216" s="14">
        <v>0</v>
      </c>
      <c r="M216" s="14">
        <v>0</v>
      </c>
      <c r="N216" s="14">
        <v>0</v>
      </c>
      <c r="O216" s="14">
        <v>0</v>
      </c>
      <c r="P216" s="14">
        <v>0</v>
      </c>
      <c r="Q216" s="15">
        <v>0</v>
      </c>
      <c r="R216" s="15">
        <v>0</v>
      </c>
      <c r="S216" s="15">
        <f>$G$216*$G$8+$H$216*$H$8+$I$216*$I$8+$J$216*$J$8+$K$216*$K$8+$L$216*$L$8+$M$216*$M$8+$N$216*$N$8+$O$216*$O$8+$P$216*$P$8</f>
        <v>0</v>
      </c>
      <c r="T216" s="15">
        <f>SUM($Q$216:$R$216)</f>
        <v>0</v>
      </c>
      <c r="U216" s="15">
        <f>$S$216+$T$216</f>
        <v>0</v>
      </c>
    </row>
    <row r="217" spans="1:21" x14ac:dyDescent="0.3">
      <c r="A217" s="10" t="s">
        <v>807</v>
      </c>
      <c r="B217" s="11" t="s">
        <v>808</v>
      </c>
      <c r="C217" s="11"/>
      <c r="D217" s="11" t="s">
        <v>809</v>
      </c>
      <c r="E217" s="11">
        <f xml:space="preserve"> IF($U$217,1,0)</f>
        <v>0</v>
      </c>
      <c r="F217" s="11" t="s">
        <v>810</v>
      </c>
      <c r="G217" s="11">
        <v>0</v>
      </c>
      <c r="H217" s="11">
        <v>0</v>
      </c>
      <c r="I217" s="11">
        <v>0</v>
      </c>
      <c r="J217" s="11">
        <v>0</v>
      </c>
      <c r="K217" s="11">
        <v>0</v>
      </c>
      <c r="L217" s="11">
        <v>0</v>
      </c>
      <c r="M217" s="11">
        <v>0</v>
      </c>
      <c r="N217" s="11">
        <v>0</v>
      </c>
      <c r="O217" s="11">
        <v>0</v>
      </c>
      <c r="P217" s="11">
        <v>0</v>
      </c>
      <c r="Q217" s="12">
        <v>0</v>
      </c>
      <c r="R217" s="12">
        <v>0</v>
      </c>
      <c r="S217" s="12">
        <f>$G$217*$G$8+$H$217*$H$8+$I$217*$I$8+$J$217*$J$8+$K$217*$K$8+$L$217*$L$8+$M$217*$M$8+$N$217*$N$8+$O$217*$O$8+$P$217*$P$8</f>
        <v>0</v>
      </c>
      <c r="T217" s="12">
        <f>SUM($Q$217:$R$217)</f>
        <v>0</v>
      </c>
      <c r="U217" s="12">
        <f>$S$217+$T$217</f>
        <v>0</v>
      </c>
    </row>
    <row r="218" spans="1:21" x14ac:dyDescent="0.3">
      <c r="A218" s="13" t="s">
        <v>811</v>
      </c>
      <c r="B218" s="14" t="s">
        <v>812</v>
      </c>
      <c r="C218" s="14"/>
      <c r="D218" s="14" t="s">
        <v>813</v>
      </c>
      <c r="E218" s="14">
        <f xml:space="preserve"> IF($U$218,1,0)</f>
        <v>0</v>
      </c>
      <c r="F218" s="14" t="s">
        <v>814</v>
      </c>
      <c r="G218" s="14">
        <v>0</v>
      </c>
      <c r="H218" s="14">
        <v>0</v>
      </c>
      <c r="I218" s="14">
        <v>0</v>
      </c>
      <c r="J218" s="14">
        <v>0</v>
      </c>
      <c r="K218" s="14">
        <v>0</v>
      </c>
      <c r="L218" s="14">
        <v>0</v>
      </c>
      <c r="M218" s="14">
        <v>0</v>
      </c>
      <c r="N218" s="14">
        <v>0</v>
      </c>
      <c r="O218" s="14">
        <v>0</v>
      </c>
      <c r="P218" s="14">
        <v>0</v>
      </c>
      <c r="Q218" s="15">
        <v>0</v>
      </c>
      <c r="R218" s="15">
        <v>0</v>
      </c>
      <c r="S218" s="15">
        <f>$G$218*$G$8+$H$218*$H$8+$I$218*$I$8+$J$218*$J$8+$K$218*$K$8+$L$218*$L$8+$M$218*$M$8+$N$218*$N$8+$O$218*$O$8+$P$218*$P$8</f>
        <v>0</v>
      </c>
      <c r="T218" s="15">
        <f>SUM($Q$218:$R$218)</f>
        <v>0</v>
      </c>
      <c r="U218" s="15">
        <f>$S$218+$T$218</f>
        <v>0</v>
      </c>
    </row>
    <row r="219" spans="1:21" x14ac:dyDescent="0.3">
      <c r="A219" s="10" t="s">
        <v>815</v>
      </c>
      <c r="B219" s="11" t="s">
        <v>816</v>
      </c>
      <c r="C219" s="11"/>
      <c r="D219" s="11" t="s">
        <v>817</v>
      </c>
      <c r="E219" s="11">
        <f xml:space="preserve"> IF($U$219,1,0)</f>
        <v>0</v>
      </c>
      <c r="F219" s="11" t="s">
        <v>818</v>
      </c>
      <c r="G219" s="11">
        <v>0</v>
      </c>
      <c r="H219" s="11">
        <v>0</v>
      </c>
      <c r="I219" s="11">
        <v>0</v>
      </c>
      <c r="J219" s="11">
        <v>0</v>
      </c>
      <c r="K219" s="11">
        <v>0</v>
      </c>
      <c r="L219" s="11">
        <v>0</v>
      </c>
      <c r="M219" s="11">
        <v>0</v>
      </c>
      <c r="N219" s="11">
        <v>0</v>
      </c>
      <c r="O219" s="11">
        <v>0</v>
      </c>
      <c r="P219" s="11">
        <v>0</v>
      </c>
      <c r="Q219" s="12">
        <v>0</v>
      </c>
      <c r="R219" s="12">
        <v>0</v>
      </c>
      <c r="S219" s="12">
        <f>$G$219*$G$8+$H$219*$H$8+$I$219*$I$8+$J$219*$J$8+$K$219*$K$8+$L$219*$L$8+$M$219*$M$8+$N$219*$N$8+$O$219*$O$8+$P$219*$P$8</f>
        <v>0</v>
      </c>
      <c r="T219" s="12">
        <f>SUM($Q$219:$R$219)</f>
        <v>0</v>
      </c>
      <c r="U219" s="12">
        <f>$S$219+$T$219</f>
        <v>0</v>
      </c>
    </row>
    <row r="220" spans="1:21" x14ac:dyDescent="0.3">
      <c r="A220" s="13" t="s">
        <v>819</v>
      </c>
      <c r="B220" s="14" t="s">
        <v>820</v>
      </c>
      <c r="C220" s="14"/>
      <c r="D220" s="14" t="s">
        <v>821</v>
      </c>
      <c r="E220" s="14">
        <f xml:space="preserve"> IF($U$220,1,0)</f>
        <v>0</v>
      </c>
      <c r="F220" s="14" t="s">
        <v>822</v>
      </c>
      <c r="G220" s="14">
        <v>0</v>
      </c>
      <c r="H220" s="14">
        <v>0</v>
      </c>
      <c r="I220" s="14">
        <v>0</v>
      </c>
      <c r="J220" s="14">
        <v>0</v>
      </c>
      <c r="K220" s="14">
        <v>0</v>
      </c>
      <c r="L220" s="14">
        <v>0</v>
      </c>
      <c r="M220" s="14">
        <v>0</v>
      </c>
      <c r="N220" s="14">
        <v>0</v>
      </c>
      <c r="O220" s="14">
        <v>0</v>
      </c>
      <c r="P220" s="14">
        <v>0</v>
      </c>
      <c r="Q220" s="15">
        <v>0</v>
      </c>
      <c r="R220" s="15">
        <v>0</v>
      </c>
      <c r="S220" s="15">
        <f>$G$220*$G$8+$H$220*$H$8+$I$220*$I$8+$J$220*$J$8+$K$220*$K$8+$L$220*$L$8+$M$220*$M$8+$N$220*$N$8+$O$220*$O$8+$P$220*$P$8</f>
        <v>0</v>
      </c>
      <c r="T220" s="15">
        <f>SUM($Q$220:$R$220)</f>
        <v>0</v>
      </c>
      <c r="U220" s="15">
        <f>$S$220+$T$220</f>
        <v>0</v>
      </c>
    </row>
    <row r="221" spans="1:21" x14ac:dyDescent="0.3">
      <c r="A221" s="10" t="s">
        <v>823</v>
      </c>
      <c r="B221" s="11" t="s">
        <v>824</v>
      </c>
      <c r="C221" s="11"/>
      <c r="D221" s="11" t="s">
        <v>825</v>
      </c>
      <c r="E221" s="11">
        <f xml:space="preserve"> IF($U$221,1,0)</f>
        <v>0</v>
      </c>
      <c r="F221" s="11" t="s">
        <v>826</v>
      </c>
      <c r="G221" s="11">
        <v>0</v>
      </c>
      <c r="H221" s="11">
        <v>0</v>
      </c>
      <c r="I221" s="11">
        <v>0</v>
      </c>
      <c r="J221" s="11">
        <v>0</v>
      </c>
      <c r="K221" s="11">
        <v>0</v>
      </c>
      <c r="L221" s="11">
        <v>0</v>
      </c>
      <c r="M221" s="11">
        <v>0</v>
      </c>
      <c r="N221" s="11">
        <v>0</v>
      </c>
      <c r="O221" s="11">
        <v>0</v>
      </c>
      <c r="P221" s="11">
        <v>0</v>
      </c>
      <c r="Q221" s="12">
        <v>0</v>
      </c>
      <c r="R221" s="12">
        <v>0</v>
      </c>
      <c r="S221" s="12">
        <f>$G$221*$G$8+$H$221*$H$8+$I$221*$I$8+$J$221*$J$8+$K$221*$K$8+$L$221*$L$8+$M$221*$M$8+$N$221*$N$8+$O$221*$O$8+$P$221*$P$8</f>
        <v>0</v>
      </c>
      <c r="T221" s="12">
        <f>SUM($Q$221:$R$221)</f>
        <v>0</v>
      </c>
      <c r="U221" s="12">
        <f>$S$221+$T$221</f>
        <v>0</v>
      </c>
    </row>
    <row r="222" spans="1:21" x14ac:dyDescent="0.3">
      <c r="A222" s="13" t="s">
        <v>827</v>
      </c>
      <c r="B222" s="14" t="s">
        <v>828</v>
      </c>
      <c r="C222" s="14"/>
      <c r="D222" s="14" t="s">
        <v>829</v>
      </c>
      <c r="E222" s="14">
        <f xml:space="preserve"> IF($U$222,1,0)</f>
        <v>0</v>
      </c>
      <c r="F222" s="14" t="s">
        <v>830</v>
      </c>
      <c r="G222" s="14">
        <v>0</v>
      </c>
      <c r="H222" s="14">
        <v>0</v>
      </c>
      <c r="I222" s="14">
        <v>0</v>
      </c>
      <c r="J222" s="14">
        <v>0</v>
      </c>
      <c r="K222" s="14">
        <v>0</v>
      </c>
      <c r="L222" s="14">
        <v>0</v>
      </c>
      <c r="M222" s="14">
        <v>0</v>
      </c>
      <c r="N222" s="14">
        <v>0</v>
      </c>
      <c r="O222" s="14">
        <v>0</v>
      </c>
      <c r="P222" s="14">
        <v>0</v>
      </c>
      <c r="Q222" s="15">
        <v>0</v>
      </c>
      <c r="R222" s="15">
        <v>0</v>
      </c>
      <c r="S222" s="15">
        <f>$G$222*$G$8+$H$222*$H$8+$I$222*$I$8+$J$222*$J$8+$K$222*$K$8+$L$222*$L$8+$M$222*$M$8+$N$222*$N$8+$O$222*$O$8+$P$222*$P$8</f>
        <v>0</v>
      </c>
      <c r="T222" s="15">
        <f>SUM($Q$222:$R$222)</f>
        <v>0</v>
      </c>
      <c r="U222" s="15">
        <f>$S$222+$T$222</f>
        <v>0</v>
      </c>
    </row>
    <row r="223" spans="1:21" x14ac:dyDescent="0.3">
      <c r="A223" s="10" t="s">
        <v>831</v>
      </c>
      <c r="B223" s="11" t="s">
        <v>832</v>
      </c>
      <c r="C223" s="11"/>
      <c r="D223" s="11" t="s">
        <v>833</v>
      </c>
      <c r="E223" s="11">
        <f xml:space="preserve"> IF($U$223,1,0)</f>
        <v>1</v>
      </c>
      <c r="F223" s="11" t="s">
        <v>834</v>
      </c>
      <c r="G223" s="11">
        <v>5</v>
      </c>
      <c r="H223" s="11">
        <v>0</v>
      </c>
      <c r="I223" s="11">
        <v>0</v>
      </c>
      <c r="J223" s="11">
        <v>0</v>
      </c>
      <c r="K223" s="11">
        <v>0</v>
      </c>
      <c r="L223" s="11">
        <v>0</v>
      </c>
      <c r="M223" s="11">
        <v>0</v>
      </c>
      <c r="N223" s="11">
        <v>0</v>
      </c>
      <c r="O223" s="11">
        <v>0</v>
      </c>
      <c r="P223" s="11">
        <v>0</v>
      </c>
      <c r="Q223" s="12">
        <v>0</v>
      </c>
      <c r="R223" s="12">
        <v>0</v>
      </c>
      <c r="S223" s="12">
        <f>$G$223*$G$8+$H$223*$H$8+$I$223*$I$8+$J$223*$J$8+$K$223*$K$8+$L$223*$L$8+$M$223*$M$8+$N$223*$N$8+$O$223*$O$8+$P$223*$P$8</f>
        <v>3.5</v>
      </c>
      <c r="T223" s="12">
        <f>SUM($Q$223:$R$223)</f>
        <v>0</v>
      </c>
      <c r="U223" s="12">
        <f>$S$223+$T$223</f>
        <v>3.5</v>
      </c>
    </row>
    <row r="224" spans="1:21" x14ac:dyDescent="0.3">
      <c r="A224" s="13" t="s">
        <v>835</v>
      </c>
      <c r="B224" s="14" t="s">
        <v>836</v>
      </c>
      <c r="C224" s="14"/>
      <c r="D224" s="14" t="s">
        <v>837</v>
      </c>
      <c r="E224" s="14">
        <f xml:space="preserve"> IF($U$224,1,0)</f>
        <v>0</v>
      </c>
      <c r="F224" s="14" t="s">
        <v>838</v>
      </c>
      <c r="G224" s="14">
        <v>0</v>
      </c>
      <c r="H224" s="14">
        <v>0</v>
      </c>
      <c r="I224" s="14">
        <v>0</v>
      </c>
      <c r="J224" s="14">
        <v>0</v>
      </c>
      <c r="K224" s="14">
        <v>0</v>
      </c>
      <c r="L224" s="14">
        <v>0</v>
      </c>
      <c r="M224" s="14">
        <v>0</v>
      </c>
      <c r="N224" s="14">
        <v>0</v>
      </c>
      <c r="O224" s="14">
        <v>0</v>
      </c>
      <c r="P224" s="14">
        <v>0</v>
      </c>
      <c r="Q224" s="15">
        <v>0</v>
      </c>
      <c r="R224" s="15">
        <v>0</v>
      </c>
      <c r="S224" s="15">
        <f>$G$224*$G$8+$H$224*$H$8+$I$224*$I$8+$J$224*$J$8+$K$224*$K$8+$L$224*$L$8+$M$224*$M$8+$N$224*$N$8+$O$224*$O$8+$P$224*$P$8</f>
        <v>0</v>
      </c>
      <c r="T224" s="15">
        <f>SUM($Q$224:$R$224)</f>
        <v>0</v>
      </c>
      <c r="U224" s="15">
        <f>$S$224+$T$224</f>
        <v>0</v>
      </c>
    </row>
    <row r="225" spans="1:21" x14ac:dyDescent="0.3">
      <c r="A225" s="10" t="s">
        <v>839</v>
      </c>
      <c r="B225" s="11" t="s">
        <v>840</v>
      </c>
      <c r="C225" s="11"/>
      <c r="D225" s="11" t="s">
        <v>841</v>
      </c>
      <c r="E225" s="11">
        <f xml:space="preserve"> IF($U$225,1,0)</f>
        <v>0</v>
      </c>
      <c r="F225" s="11" t="s">
        <v>842</v>
      </c>
      <c r="G225" s="11">
        <v>0</v>
      </c>
      <c r="H225" s="11">
        <v>0</v>
      </c>
      <c r="I225" s="11">
        <v>0</v>
      </c>
      <c r="J225" s="11">
        <v>0</v>
      </c>
      <c r="K225" s="11">
        <v>0</v>
      </c>
      <c r="L225" s="11">
        <v>0</v>
      </c>
      <c r="M225" s="11">
        <v>0</v>
      </c>
      <c r="N225" s="11">
        <v>0</v>
      </c>
      <c r="O225" s="11">
        <v>0</v>
      </c>
      <c r="P225" s="11">
        <v>0</v>
      </c>
      <c r="Q225" s="12">
        <v>0</v>
      </c>
      <c r="R225" s="12">
        <v>0</v>
      </c>
      <c r="S225" s="12">
        <f>$G$225*$G$8+$H$225*$H$8+$I$225*$I$8+$J$225*$J$8+$K$225*$K$8+$L$225*$L$8+$M$225*$M$8+$N$225*$N$8+$O$225*$O$8+$P$225*$P$8</f>
        <v>0</v>
      </c>
      <c r="T225" s="12">
        <f>SUM($Q$225:$R$225)</f>
        <v>0</v>
      </c>
      <c r="U225" s="12">
        <f>$S$225+$T$225</f>
        <v>0</v>
      </c>
    </row>
    <row r="226" spans="1:21" x14ac:dyDescent="0.3">
      <c r="A226" s="13" t="s">
        <v>843</v>
      </c>
      <c r="B226" s="14" t="s">
        <v>844</v>
      </c>
      <c r="C226" s="14"/>
      <c r="D226" s="14" t="s">
        <v>845</v>
      </c>
      <c r="E226" s="14">
        <f xml:space="preserve"> IF($U$226,1,0)</f>
        <v>0</v>
      </c>
      <c r="F226" s="14" t="s">
        <v>846</v>
      </c>
      <c r="G226" s="14">
        <v>0</v>
      </c>
      <c r="H226" s="14">
        <v>0</v>
      </c>
      <c r="I226" s="14">
        <v>0</v>
      </c>
      <c r="J226" s="14">
        <v>0</v>
      </c>
      <c r="K226" s="14">
        <v>0</v>
      </c>
      <c r="L226" s="14">
        <v>0</v>
      </c>
      <c r="M226" s="14">
        <v>0</v>
      </c>
      <c r="N226" s="14">
        <v>0</v>
      </c>
      <c r="O226" s="14">
        <v>0</v>
      </c>
      <c r="P226" s="14">
        <v>0</v>
      </c>
      <c r="Q226" s="15">
        <v>0</v>
      </c>
      <c r="R226" s="15">
        <v>0</v>
      </c>
      <c r="S226" s="15">
        <f>$G$226*$G$8+$H$226*$H$8+$I$226*$I$8+$J$226*$J$8+$K$226*$K$8+$L$226*$L$8+$M$226*$M$8+$N$226*$N$8+$O$226*$O$8+$P$226*$P$8</f>
        <v>0</v>
      </c>
      <c r="T226" s="15">
        <f>SUM($Q$226:$R$226)</f>
        <v>0</v>
      </c>
      <c r="U226" s="15">
        <f>$S$226+$T$226</f>
        <v>0</v>
      </c>
    </row>
    <row r="227" spans="1:21" x14ac:dyDescent="0.3">
      <c r="A227" s="10" t="s">
        <v>847</v>
      </c>
      <c r="B227" s="11" t="s">
        <v>848</v>
      </c>
      <c r="C227" s="11" t="s">
        <v>202</v>
      </c>
      <c r="D227" s="11" t="s">
        <v>849</v>
      </c>
      <c r="E227" s="11">
        <f xml:space="preserve"> IF($U$227,1,0)</f>
        <v>1</v>
      </c>
      <c r="F227" s="11" t="s">
        <v>850</v>
      </c>
      <c r="G227" s="11">
        <v>0</v>
      </c>
      <c r="H227" s="11">
        <v>4</v>
      </c>
      <c r="I227" s="11">
        <v>0</v>
      </c>
      <c r="J227" s="11">
        <v>0</v>
      </c>
      <c r="K227" s="11">
        <v>0</v>
      </c>
      <c r="L227" s="11">
        <v>0</v>
      </c>
      <c r="M227" s="11">
        <v>0</v>
      </c>
      <c r="N227" s="11">
        <v>0</v>
      </c>
      <c r="O227" s="11">
        <v>0</v>
      </c>
      <c r="P227" s="11">
        <v>0</v>
      </c>
      <c r="Q227" s="12">
        <v>0</v>
      </c>
      <c r="R227" s="12">
        <v>0</v>
      </c>
      <c r="S227" s="12">
        <f>$G$227*$G$8+$H$227*$H$8+$I$227*$I$8+$J$227*$J$8+$K$227*$K$8+$L$227*$L$8+$M$227*$M$8+$N$227*$N$8+$O$227*$O$8+$P$227*$P$8</f>
        <v>7.2</v>
      </c>
      <c r="T227" s="12">
        <f>SUM($Q$227:$R$227)</f>
        <v>0</v>
      </c>
      <c r="U227" s="12">
        <f>$S$227+$T$227</f>
        <v>7.2</v>
      </c>
    </row>
    <row r="228" spans="1:21" x14ac:dyDescent="0.3">
      <c r="A228" s="13" t="s">
        <v>851</v>
      </c>
      <c r="B228" s="14" t="s">
        <v>852</v>
      </c>
      <c r="C228" s="14"/>
      <c r="D228" s="14" t="s">
        <v>853</v>
      </c>
      <c r="E228" s="14">
        <f xml:space="preserve"> IF($U$228,1,0)</f>
        <v>0</v>
      </c>
      <c r="F228" s="14" t="s">
        <v>854</v>
      </c>
      <c r="G228" s="14">
        <v>0</v>
      </c>
      <c r="H228" s="14">
        <v>0</v>
      </c>
      <c r="I228" s="14">
        <v>0</v>
      </c>
      <c r="J228" s="14">
        <v>0</v>
      </c>
      <c r="K228" s="14">
        <v>0</v>
      </c>
      <c r="L228" s="14">
        <v>0</v>
      </c>
      <c r="M228" s="14">
        <v>0</v>
      </c>
      <c r="N228" s="14">
        <v>0</v>
      </c>
      <c r="O228" s="14">
        <v>0</v>
      </c>
      <c r="P228" s="14">
        <v>0</v>
      </c>
      <c r="Q228" s="15">
        <v>0</v>
      </c>
      <c r="R228" s="15">
        <v>0</v>
      </c>
      <c r="S228" s="15">
        <f>$G$228*$G$8+$H$228*$H$8+$I$228*$I$8+$J$228*$J$8+$K$228*$K$8+$L$228*$L$8+$M$228*$M$8+$N$228*$N$8+$O$228*$O$8+$P$228*$P$8</f>
        <v>0</v>
      </c>
      <c r="T228" s="15">
        <f>SUM($Q$228:$R$228)</f>
        <v>0</v>
      </c>
      <c r="U228" s="15">
        <f>$S$228+$T$228</f>
        <v>0</v>
      </c>
    </row>
    <row r="229" spans="1:21" x14ac:dyDescent="0.3">
      <c r="A229" s="10" t="s">
        <v>855</v>
      </c>
      <c r="B229" s="11" t="s">
        <v>856</v>
      </c>
      <c r="C229" s="11"/>
      <c r="D229" s="11" t="s">
        <v>790</v>
      </c>
      <c r="E229" s="11">
        <f xml:space="preserve"> IF($U$229,1,0)</f>
        <v>0</v>
      </c>
      <c r="F229" s="11" t="s">
        <v>857</v>
      </c>
      <c r="G229" s="11">
        <v>0</v>
      </c>
      <c r="H229" s="11">
        <v>0</v>
      </c>
      <c r="I229" s="11">
        <v>0</v>
      </c>
      <c r="J229" s="11">
        <v>0</v>
      </c>
      <c r="K229" s="11">
        <v>0</v>
      </c>
      <c r="L229" s="11">
        <v>0</v>
      </c>
      <c r="M229" s="11">
        <v>0</v>
      </c>
      <c r="N229" s="11">
        <v>0</v>
      </c>
      <c r="O229" s="11">
        <v>0</v>
      </c>
      <c r="P229" s="11">
        <v>0</v>
      </c>
      <c r="Q229" s="12">
        <v>0</v>
      </c>
      <c r="R229" s="12">
        <v>0</v>
      </c>
      <c r="S229" s="12">
        <f>$G$229*$G$8+$H$229*$H$8+$I$229*$I$8+$J$229*$J$8+$K$229*$K$8+$L$229*$L$8+$M$229*$M$8+$N$229*$N$8+$O$229*$O$8+$P$229*$P$8</f>
        <v>0</v>
      </c>
      <c r="T229" s="12">
        <f>SUM($Q$229:$R$229)</f>
        <v>0</v>
      </c>
      <c r="U229" s="12">
        <f>$S$229+$T$229</f>
        <v>0</v>
      </c>
    </row>
    <row r="230" spans="1:21" x14ac:dyDescent="0.3">
      <c r="A230" s="13" t="s">
        <v>858</v>
      </c>
      <c r="B230" s="14" t="s">
        <v>859</v>
      </c>
      <c r="C230" s="14"/>
      <c r="D230" s="14" t="s">
        <v>860</v>
      </c>
      <c r="E230" s="14">
        <f xml:space="preserve"> IF($U$230,1,0)</f>
        <v>0</v>
      </c>
      <c r="F230" s="14" t="s">
        <v>861</v>
      </c>
      <c r="G230" s="14">
        <v>0</v>
      </c>
      <c r="H230" s="14">
        <v>0</v>
      </c>
      <c r="I230" s="14">
        <v>0</v>
      </c>
      <c r="J230" s="14">
        <v>0</v>
      </c>
      <c r="K230" s="14">
        <v>0</v>
      </c>
      <c r="L230" s="14">
        <v>0</v>
      </c>
      <c r="M230" s="14">
        <v>0</v>
      </c>
      <c r="N230" s="14">
        <v>0</v>
      </c>
      <c r="O230" s="14">
        <v>0</v>
      </c>
      <c r="P230" s="14">
        <v>0</v>
      </c>
      <c r="Q230" s="15">
        <v>0</v>
      </c>
      <c r="R230" s="15">
        <v>0</v>
      </c>
      <c r="S230" s="15">
        <f>$G$230*$G$8+$H$230*$H$8+$I$230*$I$8+$J$230*$J$8+$K$230*$K$8+$L$230*$L$8+$M$230*$M$8+$N$230*$N$8+$O$230*$O$8+$P$230*$P$8</f>
        <v>0</v>
      </c>
      <c r="T230" s="15">
        <f>SUM($Q$230:$R$230)</f>
        <v>0</v>
      </c>
      <c r="U230" s="15">
        <f>$S$230+$T$230</f>
        <v>0</v>
      </c>
    </row>
    <row r="231" spans="1:21" x14ac:dyDescent="0.3">
      <c r="A231" s="10" t="s">
        <v>862</v>
      </c>
      <c r="B231" s="11" t="s">
        <v>863</v>
      </c>
      <c r="C231" s="11"/>
      <c r="D231" s="11" t="s">
        <v>864</v>
      </c>
      <c r="E231" s="11">
        <f xml:space="preserve"> IF($U$231,1,0)</f>
        <v>0</v>
      </c>
      <c r="F231" s="11" t="s">
        <v>865</v>
      </c>
      <c r="G231" s="11">
        <v>0</v>
      </c>
      <c r="H231" s="11">
        <v>0</v>
      </c>
      <c r="I231" s="11">
        <v>0</v>
      </c>
      <c r="J231" s="11">
        <v>0</v>
      </c>
      <c r="K231" s="11">
        <v>0</v>
      </c>
      <c r="L231" s="11">
        <v>0</v>
      </c>
      <c r="M231" s="11">
        <v>0</v>
      </c>
      <c r="N231" s="11">
        <v>0</v>
      </c>
      <c r="O231" s="11">
        <v>0</v>
      </c>
      <c r="P231" s="11">
        <v>0</v>
      </c>
      <c r="Q231" s="12">
        <v>0</v>
      </c>
      <c r="R231" s="12">
        <v>0</v>
      </c>
      <c r="S231" s="12">
        <f>$G$231*$G$8+$H$231*$H$8+$I$231*$I$8+$J$231*$J$8+$K$231*$K$8+$L$231*$L$8+$M$231*$M$8+$N$231*$N$8+$O$231*$O$8+$P$231*$P$8</f>
        <v>0</v>
      </c>
      <c r="T231" s="12">
        <f>SUM($Q$231:$R$231)</f>
        <v>0</v>
      </c>
      <c r="U231" s="12">
        <f>$S$231+$T$231</f>
        <v>0</v>
      </c>
    </row>
    <row r="232" spans="1:21" x14ac:dyDescent="0.3">
      <c r="A232" s="13" t="s">
        <v>866</v>
      </c>
      <c r="B232" s="14" t="s">
        <v>867</v>
      </c>
      <c r="C232" s="14"/>
      <c r="D232" s="14" t="s">
        <v>868</v>
      </c>
      <c r="E232" s="14">
        <f xml:space="preserve"> IF($U$232,1,0)</f>
        <v>0</v>
      </c>
      <c r="F232" s="14" t="s">
        <v>869</v>
      </c>
      <c r="G232" s="14">
        <v>0</v>
      </c>
      <c r="H232" s="14">
        <v>0</v>
      </c>
      <c r="I232" s="14">
        <v>0</v>
      </c>
      <c r="J232" s="14">
        <v>0</v>
      </c>
      <c r="K232" s="14">
        <v>0</v>
      </c>
      <c r="L232" s="14">
        <v>0</v>
      </c>
      <c r="M232" s="14">
        <v>0</v>
      </c>
      <c r="N232" s="14">
        <v>0</v>
      </c>
      <c r="O232" s="14">
        <v>0</v>
      </c>
      <c r="P232" s="14">
        <v>0</v>
      </c>
      <c r="Q232" s="15">
        <v>0</v>
      </c>
      <c r="R232" s="15">
        <v>0</v>
      </c>
      <c r="S232" s="15">
        <f>$G$232*$G$8+$H$232*$H$8+$I$232*$I$8+$J$232*$J$8+$K$232*$K$8+$L$232*$L$8+$M$232*$M$8+$N$232*$N$8+$O$232*$O$8+$P$232*$P$8</f>
        <v>0</v>
      </c>
      <c r="T232" s="15">
        <f>SUM($Q$232:$R$232)</f>
        <v>0</v>
      </c>
      <c r="U232" s="15">
        <f>$S$232+$T$232</f>
        <v>0</v>
      </c>
    </row>
    <row r="233" spans="1:21" x14ac:dyDescent="0.3">
      <c r="A233" s="10" t="s">
        <v>870</v>
      </c>
      <c r="B233" s="11" t="s">
        <v>871</v>
      </c>
      <c r="C233" s="11" t="s">
        <v>243</v>
      </c>
      <c r="D233" s="11" t="s">
        <v>399</v>
      </c>
      <c r="E233" s="11">
        <f xml:space="preserve"> IF($U$233,1,0)</f>
        <v>0</v>
      </c>
      <c r="F233" s="11" t="s">
        <v>872</v>
      </c>
      <c r="G233" s="11">
        <v>0</v>
      </c>
      <c r="H233" s="11">
        <v>0</v>
      </c>
      <c r="I233" s="11">
        <v>0</v>
      </c>
      <c r="J233" s="11">
        <v>0</v>
      </c>
      <c r="K233" s="11">
        <v>0</v>
      </c>
      <c r="L233" s="11">
        <v>0</v>
      </c>
      <c r="M233" s="11">
        <v>0</v>
      </c>
      <c r="N233" s="11">
        <v>0</v>
      </c>
      <c r="O233" s="11">
        <v>0</v>
      </c>
      <c r="P233" s="11">
        <v>0</v>
      </c>
      <c r="Q233" s="12">
        <v>0</v>
      </c>
      <c r="R233" s="12">
        <v>0</v>
      </c>
      <c r="S233" s="12">
        <f>$G$233*$G$8+$H$233*$H$8+$I$233*$I$8+$J$233*$J$8+$K$233*$K$8+$L$233*$L$8+$M$233*$M$8+$N$233*$N$8+$O$233*$O$8+$P$233*$P$8</f>
        <v>0</v>
      </c>
      <c r="T233" s="12">
        <f>SUM($Q$233:$R$233)</f>
        <v>0</v>
      </c>
      <c r="U233" s="12">
        <f>$S$233+$T$233</f>
        <v>0</v>
      </c>
    </row>
    <row r="234" spans="1:21" x14ac:dyDescent="0.3">
      <c r="A234" s="13" t="s">
        <v>873</v>
      </c>
      <c r="B234" s="14" t="s">
        <v>874</v>
      </c>
      <c r="C234" s="14"/>
      <c r="D234" s="14" t="s">
        <v>875</v>
      </c>
      <c r="E234" s="14">
        <f xml:space="preserve"> IF($U$234,1,0)</f>
        <v>0</v>
      </c>
      <c r="F234" s="14" t="s">
        <v>876</v>
      </c>
      <c r="G234" s="14">
        <v>0</v>
      </c>
      <c r="H234" s="14">
        <v>0</v>
      </c>
      <c r="I234" s="14">
        <v>0</v>
      </c>
      <c r="J234" s="14">
        <v>0</v>
      </c>
      <c r="K234" s="14">
        <v>0</v>
      </c>
      <c r="L234" s="14">
        <v>0</v>
      </c>
      <c r="M234" s="14">
        <v>0</v>
      </c>
      <c r="N234" s="14">
        <v>0</v>
      </c>
      <c r="O234" s="14">
        <v>0</v>
      </c>
      <c r="P234" s="14">
        <v>0</v>
      </c>
      <c r="Q234" s="15">
        <v>0</v>
      </c>
      <c r="R234" s="15">
        <v>0</v>
      </c>
      <c r="S234" s="15">
        <f>$G$234*$G$8+$H$234*$H$8+$I$234*$I$8+$J$234*$J$8+$K$234*$K$8+$L$234*$L$8+$M$234*$M$8+$N$234*$N$8+$O$234*$O$8+$P$234*$P$8</f>
        <v>0</v>
      </c>
      <c r="T234" s="15">
        <f>SUM($Q$234:$R$234)</f>
        <v>0</v>
      </c>
      <c r="U234" s="15">
        <f>$S$234+$T$234</f>
        <v>0</v>
      </c>
    </row>
    <row r="235" spans="1:21" x14ac:dyDescent="0.3">
      <c r="A235" s="10" t="s">
        <v>877</v>
      </c>
      <c r="B235" s="11" t="s">
        <v>878</v>
      </c>
      <c r="C235" s="11"/>
      <c r="D235" s="11" t="s">
        <v>879</v>
      </c>
      <c r="E235" s="11">
        <f xml:space="preserve"> IF($U$235,1,0)</f>
        <v>1</v>
      </c>
      <c r="F235" s="11" t="s">
        <v>880</v>
      </c>
      <c r="G235" s="11">
        <v>2</v>
      </c>
      <c r="H235" s="11">
        <v>0</v>
      </c>
      <c r="I235" s="11">
        <v>0</v>
      </c>
      <c r="J235" s="11">
        <v>0</v>
      </c>
      <c r="K235" s="11">
        <v>0</v>
      </c>
      <c r="L235" s="11">
        <v>0</v>
      </c>
      <c r="M235" s="11">
        <v>0</v>
      </c>
      <c r="N235" s="11">
        <v>0</v>
      </c>
      <c r="O235" s="11">
        <v>0</v>
      </c>
      <c r="P235" s="11">
        <v>0</v>
      </c>
      <c r="Q235" s="12">
        <v>0</v>
      </c>
      <c r="R235" s="12">
        <v>0</v>
      </c>
      <c r="S235" s="12">
        <f>$G$235*$G$8+$H$235*$H$8+$I$235*$I$8+$J$235*$J$8+$K$235*$K$8+$L$235*$L$8+$M$235*$M$8+$N$235*$N$8+$O$235*$O$8+$P$235*$P$8</f>
        <v>1.4</v>
      </c>
      <c r="T235" s="12">
        <f>SUM($Q$235:$R$235)</f>
        <v>0</v>
      </c>
      <c r="U235" s="12">
        <f>$S$235+$T$235</f>
        <v>1.4</v>
      </c>
    </row>
    <row r="236" spans="1:21" x14ac:dyDescent="0.3">
      <c r="A236" s="13" t="s">
        <v>881</v>
      </c>
      <c r="B236" s="14" t="s">
        <v>882</v>
      </c>
      <c r="C236" s="14"/>
      <c r="D236" s="14" t="s">
        <v>883</v>
      </c>
      <c r="E236" s="14">
        <f xml:space="preserve"> IF($U$236,1,0)</f>
        <v>1</v>
      </c>
      <c r="F236" s="14" t="s">
        <v>884</v>
      </c>
      <c r="G236" s="14">
        <v>3</v>
      </c>
      <c r="H236" s="14">
        <v>2</v>
      </c>
      <c r="I236" s="14">
        <v>0</v>
      </c>
      <c r="J236" s="14">
        <v>0</v>
      </c>
      <c r="K236" s="14">
        <v>0</v>
      </c>
      <c r="L236" s="14">
        <v>0</v>
      </c>
      <c r="M236" s="14">
        <v>0</v>
      </c>
      <c r="N236" s="14">
        <v>0</v>
      </c>
      <c r="O236" s="14">
        <v>0</v>
      </c>
      <c r="P236" s="14">
        <v>0</v>
      </c>
      <c r="Q236" s="15">
        <v>0</v>
      </c>
      <c r="R236" s="15">
        <v>0</v>
      </c>
      <c r="S236" s="15">
        <f>$G$236*$G$8+$H$236*$H$8+$I$236*$I$8+$J$236*$J$8+$K$236*$K$8+$L$236*$L$8+$M$236*$M$8+$N$236*$N$8+$O$236*$O$8+$P$236*$P$8</f>
        <v>5.6999999999999993</v>
      </c>
      <c r="T236" s="15">
        <f>SUM($Q$236:$R$236)</f>
        <v>0</v>
      </c>
      <c r="U236" s="15">
        <f>$S$236+$T$236</f>
        <v>5.6999999999999993</v>
      </c>
    </row>
    <row r="237" spans="1:21" x14ac:dyDescent="0.3">
      <c r="A237" s="10" t="s">
        <v>885</v>
      </c>
      <c r="B237" s="11" t="s">
        <v>886</v>
      </c>
      <c r="C237" s="11" t="s">
        <v>887</v>
      </c>
      <c r="D237" s="11" t="s">
        <v>888</v>
      </c>
      <c r="E237" s="11">
        <f xml:space="preserve"> IF($U$237,1,0)</f>
        <v>0</v>
      </c>
      <c r="F237" s="11" t="s">
        <v>889</v>
      </c>
      <c r="G237" s="11">
        <v>0</v>
      </c>
      <c r="H237" s="11">
        <v>0</v>
      </c>
      <c r="I237" s="11">
        <v>0</v>
      </c>
      <c r="J237" s="11">
        <v>0</v>
      </c>
      <c r="K237" s="11">
        <v>0</v>
      </c>
      <c r="L237" s="11">
        <v>0</v>
      </c>
      <c r="M237" s="11">
        <v>0</v>
      </c>
      <c r="N237" s="11">
        <v>0</v>
      </c>
      <c r="O237" s="11">
        <v>0</v>
      </c>
      <c r="P237" s="11">
        <v>0</v>
      </c>
      <c r="Q237" s="12">
        <v>0</v>
      </c>
      <c r="R237" s="12">
        <v>0</v>
      </c>
      <c r="S237" s="12">
        <f>$G$237*$G$8+$H$237*$H$8+$I$237*$I$8+$J$237*$J$8+$K$237*$K$8+$L$237*$L$8+$M$237*$M$8+$N$237*$N$8+$O$237*$O$8+$P$237*$P$8</f>
        <v>0</v>
      </c>
      <c r="T237" s="12">
        <f>SUM($Q$237:$R$237)</f>
        <v>0</v>
      </c>
      <c r="U237" s="12">
        <f>$S$237+$T$237</f>
        <v>0</v>
      </c>
    </row>
    <row r="238" spans="1:21" x14ac:dyDescent="0.3">
      <c r="A238" s="13" t="s">
        <v>890</v>
      </c>
      <c r="B238" s="14" t="s">
        <v>886</v>
      </c>
      <c r="C238" s="14"/>
      <c r="D238" s="14" t="s">
        <v>891</v>
      </c>
      <c r="E238" s="14">
        <f xml:space="preserve"> IF($U$238,1,0)</f>
        <v>0</v>
      </c>
      <c r="F238" s="14" t="s">
        <v>892</v>
      </c>
      <c r="G238" s="14">
        <v>0</v>
      </c>
      <c r="H238" s="14">
        <v>0</v>
      </c>
      <c r="I238" s="14">
        <v>0</v>
      </c>
      <c r="J238" s="14">
        <v>0</v>
      </c>
      <c r="K238" s="14">
        <v>0</v>
      </c>
      <c r="L238" s="14">
        <v>0</v>
      </c>
      <c r="M238" s="14">
        <v>0</v>
      </c>
      <c r="N238" s="14">
        <v>0</v>
      </c>
      <c r="O238" s="14">
        <v>0</v>
      </c>
      <c r="P238" s="14">
        <v>0</v>
      </c>
      <c r="Q238" s="15">
        <v>0</v>
      </c>
      <c r="R238" s="15">
        <v>0</v>
      </c>
      <c r="S238" s="15">
        <f>$G$238*$G$8+$H$238*$H$8+$I$238*$I$8+$J$238*$J$8+$K$238*$K$8+$L$238*$L$8+$M$238*$M$8+$N$238*$N$8+$O$238*$O$8+$P$238*$P$8</f>
        <v>0</v>
      </c>
      <c r="T238" s="15">
        <f>SUM($Q$238:$R$238)</f>
        <v>0</v>
      </c>
      <c r="U238" s="15">
        <f>$S$238+$T$238</f>
        <v>0</v>
      </c>
    </row>
    <row r="239" spans="1:21" x14ac:dyDescent="0.3">
      <c r="A239" s="10" t="s">
        <v>893</v>
      </c>
      <c r="B239" s="11" t="s">
        <v>894</v>
      </c>
      <c r="C239" s="11"/>
      <c r="D239" s="11" t="s">
        <v>895</v>
      </c>
      <c r="E239" s="11">
        <f xml:space="preserve"> IF($U$239,1,0)</f>
        <v>0</v>
      </c>
      <c r="F239" s="11" t="s">
        <v>896</v>
      </c>
      <c r="G239" s="11">
        <v>0</v>
      </c>
      <c r="H239" s="11">
        <v>0</v>
      </c>
      <c r="I239" s="11">
        <v>0</v>
      </c>
      <c r="J239" s="11">
        <v>0</v>
      </c>
      <c r="K239" s="11">
        <v>0</v>
      </c>
      <c r="L239" s="11">
        <v>0</v>
      </c>
      <c r="M239" s="11">
        <v>0</v>
      </c>
      <c r="N239" s="11">
        <v>0</v>
      </c>
      <c r="O239" s="11">
        <v>0</v>
      </c>
      <c r="P239" s="11">
        <v>0</v>
      </c>
      <c r="Q239" s="12">
        <v>0</v>
      </c>
      <c r="R239" s="12">
        <v>0</v>
      </c>
      <c r="S239" s="12">
        <f>$G$239*$G$8+$H$239*$H$8+$I$239*$I$8+$J$239*$J$8+$K$239*$K$8+$L$239*$L$8+$M$239*$M$8+$N$239*$N$8+$O$239*$O$8+$P$239*$P$8</f>
        <v>0</v>
      </c>
      <c r="T239" s="12">
        <f>SUM($Q$239:$R$239)</f>
        <v>0</v>
      </c>
      <c r="U239" s="12">
        <f>$S$239+$T$239</f>
        <v>0</v>
      </c>
    </row>
    <row r="240" spans="1:21" x14ac:dyDescent="0.3">
      <c r="A240" s="13" t="s">
        <v>897</v>
      </c>
      <c r="B240" s="14" t="s">
        <v>898</v>
      </c>
      <c r="C240" s="14"/>
      <c r="D240" s="14" t="s">
        <v>899</v>
      </c>
      <c r="E240" s="14">
        <f xml:space="preserve"> IF($U$240,1,0)</f>
        <v>0</v>
      </c>
      <c r="F240" s="14" t="s">
        <v>900</v>
      </c>
      <c r="G240" s="14">
        <v>0</v>
      </c>
      <c r="H240" s="14">
        <v>0</v>
      </c>
      <c r="I240" s="14">
        <v>0</v>
      </c>
      <c r="J240" s="14">
        <v>0</v>
      </c>
      <c r="K240" s="14">
        <v>0</v>
      </c>
      <c r="L240" s="14">
        <v>0</v>
      </c>
      <c r="M240" s="14">
        <v>0</v>
      </c>
      <c r="N240" s="14">
        <v>0</v>
      </c>
      <c r="O240" s="14">
        <v>0</v>
      </c>
      <c r="P240" s="14">
        <v>0</v>
      </c>
      <c r="Q240" s="15">
        <v>0</v>
      </c>
      <c r="R240" s="15">
        <v>0</v>
      </c>
      <c r="S240" s="15">
        <f>$G$240*$G$8+$H$240*$H$8+$I$240*$I$8+$J$240*$J$8+$K$240*$K$8+$L$240*$L$8+$M$240*$M$8+$N$240*$N$8+$O$240*$O$8+$P$240*$P$8</f>
        <v>0</v>
      </c>
      <c r="T240" s="15">
        <f>SUM($Q$240:$R$240)</f>
        <v>0</v>
      </c>
      <c r="U240" s="15">
        <f>$S$240+$T$240</f>
        <v>0</v>
      </c>
    </row>
    <row r="241" spans="1:21" x14ac:dyDescent="0.3">
      <c r="A241" s="10" t="s">
        <v>901</v>
      </c>
      <c r="B241" s="11" t="s">
        <v>902</v>
      </c>
      <c r="C241" s="11"/>
      <c r="D241" s="11" t="s">
        <v>903</v>
      </c>
      <c r="E241" s="11">
        <f xml:space="preserve"> IF($U$241,1,0)</f>
        <v>0</v>
      </c>
      <c r="F241" s="11" t="s">
        <v>904</v>
      </c>
      <c r="G241" s="11">
        <v>0</v>
      </c>
      <c r="H241" s="11">
        <v>0</v>
      </c>
      <c r="I241" s="11">
        <v>0</v>
      </c>
      <c r="J241" s="11">
        <v>0</v>
      </c>
      <c r="K241" s="11">
        <v>0</v>
      </c>
      <c r="L241" s="11">
        <v>0</v>
      </c>
      <c r="M241" s="11">
        <v>0</v>
      </c>
      <c r="N241" s="11">
        <v>0</v>
      </c>
      <c r="O241" s="11">
        <v>0</v>
      </c>
      <c r="P241" s="11">
        <v>0</v>
      </c>
      <c r="Q241" s="12">
        <v>0</v>
      </c>
      <c r="R241" s="12">
        <v>0</v>
      </c>
      <c r="S241" s="12">
        <f>$G$241*$G$8+$H$241*$H$8+$I$241*$I$8+$J$241*$J$8+$K$241*$K$8+$L$241*$L$8+$M$241*$M$8+$N$241*$N$8+$O$241*$O$8+$P$241*$P$8</f>
        <v>0</v>
      </c>
      <c r="T241" s="12">
        <f>SUM($Q$241:$R$241)</f>
        <v>0</v>
      </c>
      <c r="U241" s="12">
        <f>$S$241+$T$241</f>
        <v>0</v>
      </c>
    </row>
    <row r="242" spans="1:21" x14ac:dyDescent="0.3">
      <c r="A242" s="13" t="s">
        <v>905</v>
      </c>
      <c r="B242" s="14" t="s">
        <v>906</v>
      </c>
      <c r="C242" s="14" t="s">
        <v>283</v>
      </c>
      <c r="D242" s="14" t="s">
        <v>296</v>
      </c>
      <c r="E242" s="14">
        <f xml:space="preserve"> IF($U$242,1,0)</f>
        <v>0</v>
      </c>
      <c r="F242" s="14" t="s">
        <v>907</v>
      </c>
      <c r="G242" s="14">
        <v>0</v>
      </c>
      <c r="H242" s="14">
        <v>0</v>
      </c>
      <c r="I242" s="14">
        <v>0</v>
      </c>
      <c r="J242" s="14">
        <v>0</v>
      </c>
      <c r="K242" s="14">
        <v>0</v>
      </c>
      <c r="L242" s="14">
        <v>0</v>
      </c>
      <c r="M242" s="14">
        <v>0</v>
      </c>
      <c r="N242" s="14">
        <v>0</v>
      </c>
      <c r="O242" s="14">
        <v>0</v>
      </c>
      <c r="P242" s="14">
        <v>0</v>
      </c>
      <c r="Q242" s="15">
        <v>0</v>
      </c>
      <c r="R242" s="15">
        <v>0</v>
      </c>
      <c r="S242" s="15">
        <f>$G$242*$G$8+$H$242*$H$8+$I$242*$I$8+$J$242*$J$8+$K$242*$K$8+$L$242*$L$8+$M$242*$M$8+$N$242*$N$8+$O$242*$O$8+$P$242*$P$8</f>
        <v>0</v>
      </c>
      <c r="T242" s="15">
        <f>SUM($Q$242:$R$242)</f>
        <v>0</v>
      </c>
      <c r="U242" s="15">
        <f>$S$242+$T$242</f>
        <v>0</v>
      </c>
    </row>
    <row r="243" spans="1:21" x14ac:dyDescent="0.3">
      <c r="A243" s="10" t="s">
        <v>908</v>
      </c>
      <c r="B243" s="11" t="s">
        <v>909</v>
      </c>
      <c r="C243" s="11"/>
      <c r="D243" s="11" t="s">
        <v>910</v>
      </c>
      <c r="E243" s="11">
        <f xml:space="preserve"> IF($U$243,1,0)</f>
        <v>0</v>
      </c>
      <c r="F243" s="11" t="s">
        <v>911</v>
      </c>
      <c r="G243" s="11">
        <v>0</v>
      </c>
      <c r="H243" s="11">
        <v>0</v>
      </c>
      <c r="I243" s="11">
        <v>0</v>
      </c>
      <c r="J243" s="11">
        <v>0</v>
      </c>
      <c r="K243" s="11">
        <v>0</v>
      </c>
      <c r="L243" s="11">
        <v>0</v>
      </c>
      <c r="M243" s="11">
        <v>0</v>
      </c>
      <c r="N243" s="11">
        <v>0</v>
      </c>
      <c r="O243" s="11">
        <v>0</v>
      </c>
      <c r="P243" s="11">
        <v>0</v>
      </c>
      <c r="Q243" s="12">
        <v>0</v>
      </c>
      <c r="R243" s="12">
        <v>0</v>
      </c>
      <c r="S243" s="12">
        <f>$G$243*$G$8+$H$243*$H$8+$I$243*$I$8+$J$243*$J$8+$K$243*$K$8+$L$243*$L$8+$M$243*$M$8+$N$243*$N$8+$O$243*$O$8+$P$243*$P$8</f>
        <v>0</v>
      </c>
      <c r="T243" s="12">
        <f>SUM($Q$243:$R$243)</f>
        <v>0</v>
      </c>
      <c r="U243" s="12">
        <f>$S$243+$T$243</f>
        <v>0</v>
      </c>
    </row>
    <row r="244" spans="1:21" x14ac:dyDescent="0.3">
      <c r="A244" s="13" t="s">
        <v>912</v>
      </c>
      <c r="B244" s="14" t="s">
        <v>913</v>
      </c>
      <c r="C244" s="14" t="s">
        <v>65</v>
      </c>
      <c r="D244" s="14" t="s">
        <v>914</v>
      </c>
      <c r="E244" s="14">
        <f xml:space="preserve"> IF($U$244,1,0)</f>
        <v>1</v>
      </c>
      <c r="F244" s="14" t="s">
        <v>915</v>
      </c>
      <c r="G244" s="14">
        <v>8</v>
      </c>
      <c r="H244" s="14">
        <v>0</v>
      </c>
      <c r="I244" s="14">
        <v>0</v>
      </c>
      <c r="J244" s="14">
        <v>0</v>
      </c>
      <c r="K244" s="14">
        <v>0</v>
      </c>
      <c r="L244" s="14">
        <v>0</v>
      </c>
      <c r="M244" s="14">
        <v>0</v>
      </c>
      <c r="N244" s="14">
        <v>0</v>
      </c>
      <c r="O244" s="14">
        <v>0</v>
      </c>
      <c r="P244" s="14">
        <v>0</v>
      </c>
      <c r="Q244" s="15">
        <v>0</v>
      </c>
      <c r="R244" s="15">
        <v>0</v>
      </c>
      <c r="S244" s="15">
        <f>$G$244*$G$8+$H$244*$H$8+$I$244*$I$8+$J$244*$J$8+$K$244*$K$8+$L$244*$L$8+$M$244*$M$8+$N$244*$N$8+$O$244*$O$8+$P$244*$P$8</f>
        <v>5.6</v>
      </c>
      <c r="T244" s="15">
        <f>SUM($Q$244:$R$244)</f>
        <v>0</v>
      </c>
      <c r="U244" s="15">
        <f>$S$244+$T$244</f>
        <v>5.6</v>
      </c>
    </row>
    <row r="245" spans="1:21" x14ac:dyDescent="0.3">
      <c r="A245" s="10" t="s">
        <v>916</v>
      </c>
      <c r="B245" s="11" t="s">
        <v>917</v>
      </c>
      <c r="C245" s="11"/>
      <c r="D245" s="11" t="s">
        <v>918</v>
      </c>
      <c r="E245" s="11">
        <f xml:space="preserve"> IF($U$245,1,0)</f>
        <v>0</v>
      </c>
      <c r="F245" s="11" t="s">
        <v>919</v>
      </c>
      <c r="G245" s="11">
        <v>0</v>
      </c>
      <c r="H245" s="11">
        <v>0</v>
      </c>
      <c r="I245" s="11">
        <v>0</v>
      </c>
      <c r="J245" s="11">
        <v>0</v>
      </c>
      <c r="K245" s="11">
        <v>0</v>
      </c>
      <c r="L245" s="11">
        <v>0</v>
      </c>
      <c r="M245" s="11">
        <v>0</v>
      </c>
      <c r="N245" s="11">
        <v>0</v>
      </c>
      <c r="O245" s="11">
        <v>0</v>
      </c>
      <c r="P245" s="11">
        <v>0</v>
      </c>
      <c r="Q245" s="12">
        <v>0</v>
      </c>
      <c r="R245" s="12">
        <v>0</v>
      </c>
      <c r="S245" s="12">
        <f>$G$245*$G$8+$H$245*$H$8+$I$245*$I$8+$J$245*$J$8+$K$245*$K$8+$L$245*$L$8+$M$245*$M$8+$N$245*$N$8+$O$245*$O$8+$P$245*$P$8</f>
        <v>0</v>
      </c>
      <c r="T245" s="12">
        <f>SUM($Q$245:$R$245)</f>
        <v>0</v>
      </c>
      <c r="U245" s="12">
        <f>$S$245+$T$245</f>
        <v>0</v>
      </c>
    </row>
    <row r="246" spans="1:21" x14ac:dyDescent="0.3">
      <c r="A246" s="13" t="s">
        <v>920</v>
      </c>
      <c r="B246" s="14" t="s">
        <v>917</v>
      </c>
      <c r="C246" s="14"/>
      <c r="D246" s="14" t="s">
        <v>921</v>
      </c>
      <c r="E246" s="14">
        <f xml:space="preserve"> IF($U$246,1,0)</f>
        <v>0</v>
      </c>
      <c r="F246" s="14" t="s">
        <v>922</v>
      </c>
      <c r="G246" s="14">
        <v>0</v>
      </c>
      <c r="H246" s="14">
        <v>0</v>
      </c>
      <c r="I246" s="14">
        <v>0</v>
      </c>
      <c r="J246" s="14">
        <v>0</v>
      </c>
      <c r="K246" s="14">
        <v>0</v>
      </c>
      <c r="L246" s="14">
        <v>0</v>
      </c>
      <c r="M246" s="14">
        <v>0</v>
      </c>
      <c r="N246" s="14">
        <v>0</v>
      </c>
      <c r="O246" s="14">
        <v>0</v>
      </c>
      <c r="P246" s="14">
        <v>0</v>
      </c>
      <c r="Q246" s="15">
        <v>0</v>
      </c>
      <c r="R246" s="15">
        <v>0</v>
      </c>
      <c r="S246" s="15">
        <f>$G$246*$G$8+$H$246*$H$8+$I$246*$I$8+$J$246*$J$8+$K$246*$K$8+$L$246*$L$8+$M$246*$M$8+$N$246*$N$8+$O$246*$O$8+$P$246*$P$8</f>
        <v>0</v>
      </c>
      <c r="T246" s="15">
        <f>SUM($Q$246:$R$246)</f>
        <v>0</v>
      </c>
      <c r="U246" s="15">
        <f>$S$246+$T$246</f>
        <v>0</v>
      </c>
    </row>
    <row r="247" spans="1:21" x14ac:dyDescent="0.3">
      <c r="A247" s="10" t="s">
        <v>923</v>
      </c>
      <c r="B247" s="11" t="s">
        <v>917</v>
      </c>
      <c r="C247" s="11" t="s">
        <v>34</v>
      </c>
      <c r="D247" s="11" t="s">
        <v>924</v>
      </c>
      <c r="E247" s="11">
        <f xml:space="preserve"> IF($U$247,1,0)</f>
        <v>0</v>
      </c>
      <c r="F247" s="11" t="s">
        <v>925</v>
      </c>
      <c r="G247" s="11">
        <v>0</v>
      </c>
      <c r="H247" s="11">
        <v>0</v>
      </c>
      <c r="I247" s="11">
        <v>0</v>
      </c>
      <c r="J247" s="11">
        <v>0</v>
      </c>
      <c r="K247" s="11">
        <v>0</v>
      </c>
      <c r="L247" s="11">
        <v>0</v>
      </c>
      <c r="M247" s="11">
        <v>0</v>
      </c>
      <c r="N247" s="11">
        <v>0</v>
      </c>
      <c r="O247" s="11">
        <v>0</v>
      </c>
      <c r="P247" s="11">
        <v>0</v>
      </c>
      <c r="Q247" s="12">
        <v>0</v>
      </c>
      <c r="R247" s="12">
        <v>0</v>
      </c>
      <c r="S247" s="12">
        <f>$G$247*$G$8+$H$247*$H$8+$I$247*$I$8+$J$247*$J$8+$K$247*$K$8+$L$247*$L$8+$M$247*$M$8+$N$247*$N$8+$O$247*$O$8+$P$247*$P$8</f>
        <v>0</v>
      </c>
      <c r="T247" s="12">
        <f>SUM($Q$247:$R$247)</f>
        <v>0</v>
      </c>
      <c r="U247" s="12">
        <f>$S$247+$T$247</f>
        <v>0</v>
      </c>
    </row>
    <row r="248" spans="1:21" x14ac:dyDescent="0.3">
      <c r="A248" s="13" t="s">
        <v>926</v>
      </c>
      <c r="B248" s="14" t="s">
        <v>927</v>
      </c>
      <c r="C248" s="14"/>
      <c r="D248" s="14" t="s">
        <v>928</v>
      </c>
      <c r="E248" s="14">
        <f xml:space="preserve"> IF($U$248,1,0)</f>
        <v>0</v>
      </c>
      <c r="F248" s="14" t="s">
        <v>929</v>
      </c>
      <c r="G248" s="14">
        <v>0</v>
      </c>
      <c r="H248" s="14">
        <v>0</v>
      </c>
      <c r="I248" s="14">
        <v>0</v>
      </c>
      <c r="J248" s="14">
        <v>0</v>
      </c>
      <c r="K248" s="14">
        <v>0</v>
      </c>
      <c r="L248" s="14">
        <v>0</v>
      </c>
      <c r="M248" s="14">
        <v>0</v>
      </c>
      <c r="N248" s="14">
        <v>0</v>
      </c>
      <c r="O248" s="14">
        <v>0</v>
      </c>
      <c r="P248" s="14">
        <v>0</v>
      </c>
      <c r="Q248" s="15">
        <v>0</v>
      </c>
      <c r="R248" s="15">
        <v>0</v>
      </c>
      <c r="S248" s="15">
        <f>$G$248*$G$8+$H$248*$H$8+$I$248*$I$8+$J$248*$J$8+$K$248*$K$8+$L$248*$L$8+$M$248*$M$8+$N$248*$N$8+$O$248*$O$8+$P$248*$P$8</f>
        <v>0</v>
      </c>
      <c r="T248" s="15">
        <f>SUM($Q$248:$R$248)</f>
        <v>0</v>
      </c>
      <c r="U248" s="15">
        <f>$S$248+$T$248</f>
        <v>0</v>
      </c>
    </row>
    <row r="249" spans="1:21" x14ac:dyDescent="0.3">
      <c r="A249" s="10" t="s">
        <v>930</v>
      </c>
      <c r="B249" s="11" t="s">
        <v>931</v>
      </c>
      <c r="C249" s="11"/>
      <c r="D249" s="11" t="s">
        <v>932</v>
      </c>
      <c r="E249" s="11">
        <f xml:space="preserve"> IF($U$249,1,0)</f>
        <v>0</v>
      </c>
      <c r="F249" s="11" t="s">
        <v>933</v>
      </c>
      <c r="G249" s="11">
        <v>0</v>
      </c>
      <c r="H249" s="11">
        <v>0</v>
      </c>
      <c r="I249" s="11">
        <v>0</v>
      </c>
      <c r="J249" s="11">
        <v>0</v>
      </c>
      <c r="K249" s="11">
        <v>0</v>
      </c>
      <c r="L249" s="11">
        <v>0</v>
      </c>
      <c r="M249" s="11">
        <v>0</v>
      </c>
      <c r="N249" s="11">
        <v>0</v>
      </c>
      <c r="O249" s="11">
        <v>0</v>
      </c>
      <c r="P249" s="11">
        <v>0</v>
      </c>
      <c r="Q249" s="12">
        <v>0</v>
      </c>
      <c r="R249" s="12">
        <v>0</v>
      </c>
      <c r="S249" s="12">
        <f>$G$249*$G$8+$H$249*$H$8+$I$249*$I$8+$J$249*$J$8+$K$249*$K$8+$L$249*$L$8+$M$249*$M$8+$N$249*$N$8+$O$249*$O$8+$P$249*$P$8</f>
        <v>0</v>
      </c>
      <c r="T249" s="12">
        <f>SUM($Q$249:$R$249)</f>
        <v>0</v>
      </c>
      <c r="U249" s="12">
        <f>$S$249+$T$249</f>
        <v>0</v>
      </c>
    </row>
    <row r="250" spans="1:21" x14ac:dyDescent="0.3">
      <c r="A250" s="13" t="s">
        <v>934</v>
      </c>
      <c r="B250" s="14" t="s">
        <v>935</v>
      </c>
      <c r="C250" s="14"/>
      <c r="D250" s="14" t="s">
        <v>936</v>
      </c>
      <c r="E250" s="14">
        <f xml:space="preserve"> IF($U$250,1,0)</f>
        <v>0</v>
      </c>
      <c r="F250" s="14" t="s">
        <v>937</v>
      </c>
      <c r="G250" s="14">
        <v>0</v>
      </c>
      <c r="H250" s="14">
        <v>0</v>
      </c>
      <c r="I250" s="14">
        <v>0</v>
      </c>
      <c r="J250" s="14">
        <v>0</v>
      </c>
      <c r="K250" s="14">
        <v>0</v>
      </c>
      <c r="L250" s="14">
        <v>0</v>
      </c>
      <c r="M250" s="14">
        <v>0</v>
      </c>
      <c r="N250" s="14">
        <v>0</v>
      </c>
      <c r="O250" s="14">
        <v>0</v>
      </c>
      <c r="P250" s="14">
        <v>0</v>
      </c>
      <c r="Q250" s="15">
        <v>0</v>
      </c>
      <c r="R250" s="15">
        <v>0</v>
      </c>
      <c r="S250" s="15">
        <f>$G$250*$G$8+$H$250*$H$8+$I$250*$I$8+$J$250*$J$8+$K$250*$K$8+$L$250*$L$8+$M$250*$M$8+$N$250*$N$8+$O$250*$O$8+$P$250*$P$8</f>
        <v>0</v>
      </c>
      <c r="T250" s="15">
        <f>SUM($Q$250:$R$250)</f>
        <v>0</v>
      </c>
      <c r="U250" s="15">
        <f>$S$250+$T$250</f>
        <v>0</v>
      </c>
    </row>
    <row r="251" spans="1:21" x14ac:dyDescent="0.3">
      <c r="A251" s="10" t="s">
        <v>938</v>
      </c>
      <c r="B251" s="11" t="s">
        <v>939</v>
      </c>
      <c r="C251" s="11"/>
      <c r="D251" s="11" t="s">
        <v>940</v>
      </c>
      <c r="E251" s="11">
        <f xml:space="preserve"> IF($U$251,1,0)</f>
        <v>1</v>
      </c>
      <c r="F251" s="11" t="s">
        <v>941</v>
      </c>
      <c r="G251" s="11">
        <v>0</v>
      </c>
      <c r="H251" s="11">
        <v>4</v>
      </c>
      <c r="I251" s="11">
        <v>1</v>
      </c>
      <c r="J251" s="11">
        <v>0</v>
      </c>
      <c r="K251" s="11">
        <v>0</v>
      </c>
      <c r="L251" s="11">
        <v>0</v>
      </c>
      <c r="M251" s="11">
        <v>0</v>
      </c>
      <c r="N251" s="11">
        <v>0</v>
      </c>
      <c r="O251" s="11">
        <v>1</v>
      </c>
      <c r="P251" s="11">
        <v>1</v>
      </c>
      <c r="Q251" s="12">
        <v>0</v>
      </c>
      <c r="R251" s="12">
        <v>0</v>
      </c>
      <c r="S251" s="12">
        <f>$G$251*$G$8+$H$251*$H$8+$I$251*$I$8+$J$251*$J$8+$K$251*$K$8+$L$251*$L$8+$M$251*$M$8+$N$251*$N$8+$O$251*$O$8+$P$251*$P$8</f>
        <v>9.6999999999999993</v>
      </c>
      <c r="T251" s="12">
        <f>SUM($Q$251:$R$251)</f>
        <v>0</v>
      </c>
      <c r="U251" s="12">
        <f>$S$251+$T$251</f>
        <v>9.6999999999999993</v>
      </c>
    </row>
    <row r="252" spans="1:21" x14ac:dyDescent="0.3">
      <c r="A252" s="13" t="s">
        <v>942</v>
      </c>
      <c r="B252" s="14" t="s">
        <v>943</v>
      </c>
      <c r="C252" s="14"/>
      <c r="D252" s="14" t="s">
        <v>944</v>
      </c>
      <c r="E252" s="14">
        <f xml:space="preserve"> IF($U$252,1,0)</f>
        <v>0</v>
      </c>
      <c r="F252" s="14" t="s">
        <v>945</v>
      </c>
      <c r="G252" s="14">
        <v>0</v>
      </c>
      <c r="H252" s="14">
        <v>0</v>
      </c>
      <c r="I252" s="14">
        <v>0</v>
      </c>
      <c r="J252" s="14">
        <v>0</v>
      </c>
      <c r="K252" s="14">
        <v>0</v>
      </c>
      <c r="L252" s="14">
        <v>0</v>
      </c>
      <c r="M252" s="14">
        <v>0</v>
      </c>
      <c r="N252" s="14">
        <v>0</v>
      </c>
      <c r="O252" s="14">
        <v>0</v>
      </c>
      <c r="P252" s="14">
        <v>0</v>
      </c>
      <c r="Q252" s="15">
        <v>0</v>
      </c>
      <c r="R252" s="15">
        <v>0</v>
      </c>
      <c r="S252" s="15">
        <f>$G$252*$G$8+$H$252*$H$8+$I$252*$I$8+$J$252*$J$8+$K$252*$K$8+$L$252*$L$8+$M$252*$M$8+$N$252*$N$8+$O$252*$O$8+$P$252*$P$8</f>
        <v>0</v>
      </c>
      <c r="T252" s="15">
        <f>SUM($Q$252:$R$252)</f>
        <v>0</v>
      </c>
      <c r="U252" s="15">
        <f>$S$252+$T$252</f>
        <v>0</v>
      </c>
    </row>
    <row r="253" spans="1:21" x14ac:dyDescent="0.3">
      <c r="A253" s="10" t="s">
        <v>946</v>
      </c>
      <c r="B253" s="11" t="s">
        <v>947</v>
      </c>
      <c r="C253" s="11"/>
      <c r="D253" s="11" t="s">
        <v>948</v>
      </c>
      <c r="E253" s="11">
        <f xml:space="preserve"> IF($U$253,1,0)</f>
        <v>1</v>
      </c>
      <c r="F253" s="11" t="s">
        <v>949</v>
      </c>
      <c r="G253" s="11">
        <v>3</v>
      </c>
      <c r="H253" s="11">
        <v>0</v>
      </c>
      <c r="I253" s="11">
        <v>0</v>
      </c>
      <c r="J253" s="11">
        <v>0</v>
      </c>
      <c r="K253" s="11">
        <v>0</v>
      </c>
      <c r="L253" s="11">
        <v>0</v>
      </c>
      <c r="M253" s="11">
        <v>0</v>
      </c>
      <c r="N253" s="11">
        <v>0</v>
      </c>
      <c r="O253" s="11">
        <v>0</v>
      </c>
      <c r="P253" s="11">
        <v>0</v>
      </c>
      <c r="Q253" s="12">
        <v>0</v>
      </c>
      <c r="R253" s="12">
        <v>0</v>
      </c>
      <c r="S253" s="12">
        <f>$G$253*$G$8+$H$253*$H$8+$I$253*$I$8+$J$253*$J$8+$K$253*$K$8+$L$253*$L$8+$M$253*$M$8+$N$253*$N$8+$O$253*$O$8+$P$253*$P$8</f>
        <v>2.0999999999999996</v>
      </c>
      <c r="T253" s="12">
        <f>SUM($Q$253:$R$253)</f>
        <v>0</v>
      </c>
      <c r="U253" s="12">
        <f>$S$253+$T$253</f>
        <v>2.0999999999999996</v>
      </c>
    </row>
    <row r="254" spans="1:21" x14ac:dyDescent="0.3">
      <c r="A254" s="13" t="s">
        <v>950</v>
      </c>
      <c r="B254" s="14" t="s">
        <v>951</v>
      </c>
      <c r="C254" s="14" t="s">
        <v>34</v>
      </c>
      <c r="D254" s="14" t="s">
        <v>118</v>
      </c>
      <c r="E254" s="14">
        <f xml:space="preserve"> IF($U$254,1,0)</f>
        <v>0</v>
      </c>
      <c r="F254" s="14" t="s">
        <v>952</v>
      </c>
      <c r="G254" s="14">
        <v>0</v>
      </c>
      <c r="H254" s="14">
        <v>0</v>
      </c>
      <c r="I254" s="14">
        <v>0</v>
      </c>
      <c r="J254" s="14">
        <v>0</v>
      </c>
      <c r="K254" s="14">
        <v>0</v>
      </c>
      <c r="L254" s="14">
        <v>0</v>
      </c>
      <c r="M254" s="14">
        <v>0</v>
      </c>
      <c r="N254" s="14">
        <v>0</v>
      </c>
      <c r="O254" s="14">
        <v>0</v>
      </c>
      <c r="P254" s="14">
        <v>0</v>
      </c>
      <c r="Q254" s="15">
        <v>0</v>
      </c>
      <c r="R254" s="15">
        <v>0</v>
      </c>
      <c r="S254" s="15">
        <f>$G$254*$G$8+$H$254*$H$8+$I$254*$I$8+$J$254*$J$8+$K$254*$K$8+$L$254*$L$8+$M$254*$M$8+$N$254*$N$8+$O$254*$O$8+$P$254*$P$8</f>
        <v>0</v>
      </c>
      <c r="T254" s="15">
        <f>SUM($Q$254:$R$254)</f>
        <v>0</v>
      </c>
      <c r="U254" s="15">
        <f>$S$254+$T$254</f>
        <v>0</v>
      </c>
    </row>
    <row r="255" spans="1:21" x14ac:dyDescent="0.3">
      <c r="A255" s="10" t="s">
        <v>953</v>
      </c>
      <c r="B255" s="11" t="s">
        <v>954</v>
      </c>
      <c r="C255" s="11"/>
      <c r="D255" s="11" t="s">
        <v>955</v>
      </c>
      <c r="E255" s="11">
        <f xml:space="preserve"> IF($U$255,1,0)</f>
        <v>1</v>
      </c>
      <c r="F255" s="11" t="s">
        <v>956</v>
      </c>
      <c r="G255" s="11">
        <v>8</v>
      </c>
      <c r="H255" s="11">
        <v>0</v>
      </c>
      <c r="I255" s="11">
        <v>0</v>
      </c>
      <c r="J255" s="11">
        <v>0</v>
      </c>
      <c r="K255" s="11">
        <v>0</v>
      </c>
      <c r="L255" s="11">
        <v>0</v>
      </c>
      <c r="M255" s="11">
        <v>0</v>
      </c>
      <c r="N255" s="11">
        <v>0</v>
      </c>
      <c r="O255" s="11">
        <v>0</v>
      </c>
      <c r="P255" s="11">
        <v>0</v>
      </c>
      <c r="Q255" s="12">
        <v>0</v>
      </c>
      <c r="R255" s="12">
        <v>0</v>
      </c>
      <c r="S255" s="12">
        <f>$G$255*$G$8+$H$255*$H$8+$I$255*$I$8+$J$255*$J$8+$K$255*$K$8+$L$255*$L$8+$M$255*$M$8+$N$255*$N$8+$O$255*$O$8+$P$255*$P$8</f>
        <v>5.6</v>
      </c>
      <c r="T255" s="12">
        <f>SUM($Q$255:$R$255)</f>
        <v>0</v>
      </c>
      <c r="U255" s="12">
        <f>$S$255+$T$255</f>
        <v>5.6</v>
      </c>
    </row>
    <row r="256" spans="1:21" x14ac:dyDescent="0.3">
      <c r="A256" s="13" t="s">
        <v>957</v>
      </c>
      <c r="B256" s="14" t="s">
        <v>958</v>
      </c>
      <c r="C256" s="14" t="s">
        <v>65</v>
      </c>
      <c r="D256" s="14" t="s">
        <v>959</v>
      </c>
      <c r="E256" s="14">
        <f xml:space="preserve"> IF($U$256,1,0)</f>
        <v>0</v>
      </c>
      <c r="F256" s="14" t="s">
        <v>960</v>
      </c>
      <c r="G256" s="14">
        <v>0</v>
      </c>
      <c r="H256" s="14">
        <v>0</v>
      </c>
      <c r="I256" s="14">
        <v>0</v>
      </c>
      <c r="J256" s="14">
        <v>0</v>
      </c>
      <c r="K256" s="14">
        <v>0</v>
      </c>
      <c r="L256" s="14">
        <v>0</v>
      </c>
      <c r="M256" s="14">
        <v>0</v>
      </c>
      <c r="N256" s="14">
        <v>0</v>
      </c>
      <c r="O256" s="14">
        <v>0</v>
      </c>
      <c r="P256" s="14">
        <v>0</v>
      </c>
      <c r="Q256" s="15">
        <v>0</v>
      </c>
      <c r="R256" s="15">
        <v>0</v>
      </c>
      <c r="S256" s="15">
        <f>$G$256*$G$8+$H$256*$H$8+$I$256*$I$8+$J$256*$J$8+$K$256*$K$8+$L$256*$L$8+$M$256*$M$8+$N$256*$N$8+$O$256*$O$8+$P$256*$P$8</f>
        <v>0</v>
      </c>
      <c r="T256" s="15">
        <f>SUM($Q$256:$R$256)</f>
        <v>0</v>
      </c>
      <c r="U256" s="15">
        <f>$S$256+$T$256</f>
        <v>0</v>
      </c>
    </row>
    <row r="257" spans="1:21" x14ac:dyDescent="0.3">
      <c r="A257" s="10" t="s">
        <v>961</v>
      </c>
      <c r="B257" s="11" t="s">
        <v>962</v>
      </c>
      <c r="C257" s="11" t="s">
        <v>202</v>
      </c>
      <c r="D257" s="11" t="s">
        <v>963</v>
      </c>
      <c r="E257" s="11">
        <f xml:space="preserve"> IF($U$257,1,0)</f>
        <v>0</v>
      </c>
      <c r="F257" s="11" t="s">
        <v>964</v>
      </c>
      <c r="G257" s="11">
        <v>0</v>
      </c>
      <c r="H257" s="11">
        <v>0</v>
      </c>
      <c r="I257" s="11">
        <v>0</v>
      </c>
      <c r="J257" s="11">
        <v>0</v>
      </c>
      <c r="K257" s="11">
        <v>0</v>
      </c>
      <c r="L257" s="11">
        <v>0</v>
      </c>
      <c r="M257" s="11">
        <v>0</v>
      </c>
      <c r="N257" s="11">
        <v>0</v>
      </c>
      <c r="O257" s="11">
        <v>0</v>
      </c>
      <c r="P257" s="11">
        <v>0</v>
      </c>
      <c r="Q257" s="12">
        <v>0</v>
      </c>
      <c r="R257" s="12">
        <v>0</v>
      </c>
      <c r="S257" s="12">
        <f>$G$257*$G$8+$H$257*$H$8+$I$257*$I$8+$J$257*$J$8+$K$257*$K$8+$L$257*$L$8+$M$257*$M$8+$N$257*$N$8+$O$257*$O$8+$P$257*$P$8</f>
        <v>0</v>
      </c>
      <c r="T257" s="12">
        <f>SUM($Q$257:$R$257)</f>
        <v>0</v>
      </c>
      <c r="U257" s="12">
        <f>$S$257+$T$257</f>
        <v>0</v>
      </c>
    </row>
    <row r="258" spans="1:21" x14ac:dyDescent="0.3">
      <c r="A258" s="13" t="s">
        <v>965</v>
      </c>
      <c r="B258" s="14" t="s">
        <v>966</v>
      </c>
      <c r="C258" s="14"/>
      <c r="D258" s="14" t="s">
        <v>609</v>
      </c>
      <c r="E258" s="14">
        <f xml:space="preserve"> IF($U$258,1,0)</f>
        <v>0</v>
      </c>
      <c r="F258" s="14" t="s">
        <v>967</v>
      </c>
      <c r="G258" s="14">
        <v>0</v>
      </c>
      <c r="H258" s="14">
        <v>0</v>
      </c>
      <c r="I258" s="14">
        <v>0</v>
      </c>
      <c r="J258" s="14">
        <v>0</v>
      </c>
      <c r="K258" s="14">
        <v>0</v>
      </c>
      <c r="L258" s="14">
        <v>0</v>
      </c>
      <c r="M258" s="14">
        <v>0</v>
      </c>
      <c r="N258" s="14">
        <v>0</v>
      </c>
      <c r="O258" s="14">
        <v>0</v>
      </c>
      <c r="P258" s="14">
        <v>0</v>
      </c>
      <c r="Q258" s="15">
        <v>0</v>
      </c>
      <c r="R258" s="15">
        <v>0</v>
      </c>
      <c r="S258" s="15">
        <f>$G$258*$G$8+$H$258*$H$8+$I$258*$I$8+$J$258*$J$8+$K$258*$K$8+$L$258*$L$8+$M$258*$M$8+$N$258*$N$8+$O$258*$O$8+$P$258*$P$8</f>
        <v>0</v>
      </c>
      <c r="T258" s="15">
        <f>SUM($Q$258:$R$258)</f>
        <v>0</v>
      </c>
      <c r="U258" s="15">
        <f>$S$258+$T$258</f>
        <v>0</v>
      </c>
    </row>
    <row r="259" spans="1:21" x14ac:dyDescent="0.3">
      <c r="A259" s="10" t="s">
        <v>968</v>
      </c>
      <c r="B259" s="11" t="s">
        <v>969</v>
      </c>
      <c r="C259" s="11"/>
      <c r="D259" s="11" t="s">
        <v>970</v>
      </c>
      <c r="E259" s="11">
        <f xml:space="preserve"> IF($U$259,1,0)</f>
        <v>1</v>
      </c>
      <c r="F259" s="11" t="s">
        <v>971</v>
      </c>
      <c r="G259" s="11">
        <v>4</v>
      </c>
      <c r="H259" s="11">
        <v>0</v>
      </c>
      <c r="I259" s="11">
        <v>0</v>
      </c>
      <c r="J259" s="11">
        <v>0</v>
      </c>
      <c r="K259" s="11">
        <v>0</v>
      </c>
      <c r="L259" s="11">
        <v>0</v>
      </c>
      <c r="M259" s="11">
        <v>0</v>
      </c>
      <c r="N259" s="11">
        <v>0</v>
      </c>
      <c r="O259" s="11">
        <v>0</v>
      </c>
      <c r="P259" s="11">
        <v>0</v>
      </c>
      <c r="Q259" s="12">
        <v>0</v>
      </c>
      <c r="R259" s="12">
        <v>0</v>
      </c>
      <c r="S259" s="12">
        <f>$G$259*$G$8+$H$259*$H$8+$I$259*$I$8+$J$259*$J$8+$K$259*$K$8+$L$259*$L$8+$M$259*$M$8+$N$259*$N$8+$O$259*$O$8+$P$259*$P$8</f>
        <v>2.8</v>
      </c>
      <c r="T259" s="12">
        <f>SUM($Q$259:$R$259)</f>
        <v>0</v>
      </c>
      <c r="U259" s="12">
        <f>$S$259+$T$259</f>
        <v>2.8</v>
      </c>
    </row>
    <row r="260" spans="1:21" x14ac:dyDescent="0.3">
      <c r="A260" s="13" t="s">
        <v>972</v>
      </c>
      <c r="B260" s="14" t="s">
        <v>973</v>
      </c>
      <c r="C260" s="14"/>
      <c r="D260" s="14" t="s">
        <v>974</v>
      </c>
      <c r="E260" s="14">
        <f xml:space="preserve"> IF($U$260,1,0)</f>
        <v>0</v>
      </c>
      <c r="F260" s="14" t="s">
        <v>975</v>
      </c>
      <c r="G260" s="14">
        <v>0</v>
      </c>
      <c r="H260" s="14">
        <v>0</v>
      </c>
      <c r="I260" s="14">
        <v>0</v>
      </c>
      <c r="J260" s="14">
        <v>0</v>
      </c>
      <c r="K260" s="14">
        <v>0</v>
      </c>
      <c r="L260" s="14">
        <v>0</v>
      </c>
      <c r="M260" s="14">
        <v>0</v>
      </c>
      <c r="N260" s="14">
        <v>0</v>
      </c>
      <c r="O260" s="14">
        <v>0</v>
      </c>
      <c r="P260" s="14">
        <v>0</v>
      </c>
      <c r="Q260" s="15">
        <v>0</v>
      </c>
      <c r="R260" s="15">
        <v>0</v>
      </c>
      <c r="S260" s="15">
        <f>$G$260*$G$8+$H$260*$H$8+$I$260*$I$8+$J$260*$J$8+$K$260*$K$8+$L$260*$L$8+$M$260*$M$8+$N$260*$N$8+$O$260*$O$8+$P$260*$P$8</f>
        <v>0</v>
      </c>
      <c r="T260" s="15">
        <f>SUM($Q$260:$R$260)</f>
        <v>0</v>
      </c>
      <c r="U260" s="15">
        <f>$S$260+$T$260</f>
        <v>0</v>
      </c>
    </row>
    <row r="261" spans="1:21" x14ac:dyDescent="0.3">
      <c r="A261" s="10" t="s">
        <v>976</v>
      </c>
      <c r="B261" s="11" t="s">
        <v>977</v>
      </c>
      <c r="C261" s="11"/>
      <c r="D261" s="11" t="s">
        <v>978</v>
      </c>
      <c r="E261" s="11">
        <f xml:space="preserve"> IF($U$261,1,0)</f>
        <v>0</v>
      </c>
      <c r="F261" s="11" t="s">
        <v>979</v>
      </c>
      <c r="G261" s="11">
        <v>0</v>
      </c>
      <c r="H261" s="11">
        <v>0</v>
      </c>
      <c r="I261" s="11">
        <v>0</v>
      </c>
      <c r="J261" s="11">
        <v>0</v>
      </c>
      <c r="K261" s="11">
        <v>0</v>
      </c>
      <c r="L261" s="11">
        <v>0</v>
      </c>
      <c r="M261" s="11">
        <v>0</v>
      </c>
      <c r="N261" s="11">
        <v>0</v>
      </c>
      <c r="O261" s="11">
        <v>0</v>
      </c>
      <c r="P261" s="11">
        <v>0</v>
      </c>
      <c r="Q261" s="12">
        <v>0</v>
      </c>
      <c r="R261" s="12">
        <v>0</v>
      </c>
      <c r="S261" s="12">
        <f>$G$261*$G$8+$H$261*$H$8+$I$261*$I$8+$J$261*$J$8+$K$261*$K$8+$L$261*$L$8+$M$261*$M$8+$N$261*$N$8+$O$261*$O$8+$P$261*$P$8</f>
        <v>0</v>
      </c>
      <c r="T261" s="12">
        <f>SUM($Q$261:$R$261)</f>
        <v>0</v>
      </c>
      <c r="U261" s="12">
        <f>$S$261+$T$261</f>
        <v>0</v>
      </c>
    </row>
    <row r="262" spans="1:21" x14ac:dyDescent="0.3">
      <c r="A262" s="13" t="s">
        <v>980</v>
      </c>
      <c r="B262" s="14" t="s">
        <v>981</v>
      </c>
      <c r="C262" s="14" t="s">
        <v>34</v>
      </c>
      <c r="D262" s="14" t="s">
        <v>982</v>
      </c>
      <c r="E262" s="14">
        <f xml:space="preserve"> IF($U$262,1,0)</f>
        <v>0</v>
      </c>
      <c r="F262" s="14" t="s">
        <v>983</v>
      </c>
      <c r="G262" s="14">
        <v>0</v>
      </c>
      <c r="H262" s="14">
        <v>0</v>
      </c>
      <c r="I262" s="14">
        <v>0</v>
      </c>
      <c r="J262" s="14">
        <v>0</v>
      </c>
      <c r="K262" s="14">
        <v>0</v>
      </c>
      <c r="L262" s="14">
        <v>0</v>
      </c>
      <c r="M262" s="14">
        <v>0</v>
      </c>
      <c r="N262" s="14">
        <v>0</v>
      </c>
      <c r="O262" s="14">
        <v>0</v>
      </c>
      <c r="P262" s="14">
        <v>0</v>
      </c>
      <c r="Q262" s="15">
        <v>0</v>
      </c>
      <c r="R262" s="15">
        <v>0</v>
      </c>
      <c r="S262" s="15">
        <f>$G$262*$G$8+$H$262*$H$8+$I$262*$I$8+$J$262*$J$8+$K$262*$K$8+$L$262*$L$8+$M$262*$M$8+$N$262*$N$8+$O$262*$O$8+$P$262*$P$8</f>
        <v>0</v>
      </c>
      <c r="T262" s="15">
        <f>SUM($Q$262:$R$262)</f>
        <v>0</v>
      </c>
      <c r="U262" s="15">
        <f>$S$262+$T$262</f>
        <v>0</v>
      </c>
    </row>
    <row r="263" spans="1:21" x14ac:dyDescent="0.3">
      <c r="A263" s="10" t="s">
        <v>984</v>
      </c>
      <c r="B263" s="11" t="s">
        <v>985</v>
      </c>
      <c r="C263" s="11" t="s">
        <v>202</v>
      </c>
      <c r="D263" s="11" t="s">
        <v>986</v>
      </c>
      <c r="E263" s="11">
        <f xml:space="preserve"> IF($U$263,1,0)</f>
        <v>0</v>
      </c>
      <c r="F263" s="11" t="s">
        <v>987</v>
      </c>
      <c r="G263" s="11">
        <v>0</v>
      </c>
      <c r="H263" s="11">
        <v>0</v>
      </c>
      <c r="I263" s="11">
        <v>0</v>
      </c>
      <c r="J263" s="11">
        <v>0</v>
      </c>
      <c r="K263" s="11">
        <v>0</v>
      </c>
      <c r="L263" s="11">
        <v>0</v>
      </c>
      <c r="M263" s="11">
        <v>0</v>
      </c>
      <c r="N263" s="11">
        <v>0</v>
      </c>
      <c r="O263" s="11">
        <v>0</v>
      </c>
      <c r="P263" s="11">
        <v>0</v>
      </c>
      <c r="Q263" s="12">
        <v>0</v>
      </c>
      <c r="R263" s="12">
        <v>0</v>
      </c>
      <c r="S263" s="12">
        <f>$G$263*$G$8+$H$263*$H$8+$I$263*$I$8+$J$263*$J$8+$K$263*$K$8+$L$263*$L$8+$M$263*$M$8+$N$263*$N$8+$O$263*$O$8+$P$263*$P$8</f>
        <v>0</v>
      </c>
      <c r="T263" s="12">
        <f>SUM($Q$263:$R$263)</f>
        <v>0</v>
      </c>
      <c r="U263" s="12">
        <f>$S$263+$T$263</f>
        <v>0</v>
      </c>
    </row>
    <row r="264" spans="1:21" x14ac:dyDescent="0.3">
      <c r="A264" s="13" t="s">
        <v>1261</v>
      </c>
      <c r="B264" s="14" t="s">
        <v>1262</v>
      </c>
      <c r="C264" s="14"/>
      <c r="D264" s="14" t="s">
        <v>1263</v>
      </c>
      <c r="E264" s="14">
        <f xml:space="preserve"> IF($U$264,1,0)</f>
        <v>1</v>
      </c>
      <c r="F264" s="14" t="s">
        <v>1264</v>
      </c>
      <c r="G264" s="14">
        <v>3</v>
      </c>
      <c r="H264" s="14">
        <v>5</v>
      </c>
      <c r="I264" s="14">
        <v>0</v>
      </c>
      <c r="J264" s="14">
        <v>0</v>
      </c>
      <c r="K264" s="14">
        <v>0</v>
      </c>
      <c r="L264" s="14">
        <v>1</v>
      </c>
      <c r="M264" s="14">
        <v>0</v>
      </c>
      <c r="N264" s="14">
        <v>0</v>
      </c>
      <c r="O264" s="14">
        <v>0</v>
      </c>
      <c r="P264" s="14">
        <v>0</v>
      </c>
      <c r="Q264" s="15">
        <v>0</v>
      </c>
      <c r="R264" s="15">
        <v>0</v>
      </c>
      <c r="S264" s="15">
        <f>$G$264*$G$8+$H$264*$H$8+$I$264*$I$8+$J$264*$J$8+$K$264*$K$8+$L$264*$L$8+$M$264*$M$8+$N$264*$N$8+$O$264*$O$8+$P$264*$P$8</f>
        <v>14.1</v>
      </c>
      <c r="T264" s="15">
        <f>SUM($Q$264:$R$264)</f>
        <v>0</v>
      </c>
      <c r="U264" s="15">
        <f>$S$264+$T$264</f>
        <v>14.1</v>
      </c>
    </row>
    <row r="265" spans="1:21" x14ac:dyDescent="0.3">
      <c r="A265" s="10" t="s">
        <v>988</v>
      </c>
      <c r="B265" s="11" t="s">
        <v>989</v>
      </c>
      <c r="C265" s="11" t="s">
        <v>887</v>
      </c>
      <c r="D265" s="11" t="s">
        <v>1060</v>
      </c>
      <c r="E265" s="11">
        <f xml:space="preserve"> IF($U$265,1,0)</f>
        <v>1</v>
      </c>
      <c r="F265" s="11" t="s">
        <v>1256</v>
      </c>
      <c r="G265" s="11">
        <v>7</v>
      </c>
      <c r="H265" s="11">
        <v>0</v>
      </c>
      <c r="I265" s="11">
        <v>0</v>
      </c>
      <c r="J265" s="11">
        <v>0</v>
      </c>
      <c r="K265" s="11">
        <v>0</v>
      </c>
      <c r="L265" s="11">
        <v>0</v>
      </c>
      <c r="M265" s="11">
        <v>0</v>
      </c>
      <c r="N265" s="11">
        <v>0</v>
      </c>
      <c r="O265" s="11">
        <v>0</v>
      </c>
      <c r="P265" s="11">
        <v>0</v>
      </c>
      <c r="Q265" s="12">
        <v>0</v>
      </c>
      <c r="R265" s="12">
        <v>0</v>
      </c>
      <c r="S265" s="12">
        <f>$G$265*$G$8+$H$265*$H$8+$I$265*$I$8+$J$265*$J$8+$K$265*$K$8+$L$265*$L$8+$M$265*$M$8+$N$265*$N$8+$O$265*$O$8+$P$265*$P$8</f>
        <v>4.8999999999999995</v>
      </c>
      <c r="T265" s="12">
        <f>SUM($Q$265:$R$265)</f>
        <v>0</v>
      </c>
      <c r="U265" s="12">
        <f>$S$265+$T$265</f>
        <v>4.8999999999999995</v>
      </c>
    </row>
    <row r="266" spans="1:21" x14ac:dyDescent="0.3">
      <c r="A266" s="13" t="s">
        <v>992</v>
      </c>
      <c r="B266" s="14" t="s">
        <v>343</v>
      </c>
      <c r="C266" s="14"/>
      <c r="D266" s="14" t="s">
        <v>993</v>
      </c>
      <c r="E266" s="14">
        <f xml:space="preserve"> IF($U$266,1,0)</f>
        <v>1</v>
      </c>
      <c r="F266" s="14" t="s">
        <v>994</v>
      </c>
      <c r="G266" s="14">
        <v>0</v>
      </c>
      <c r="H266" s="14">
        <v>0</v>
      </c>
      <c r="I266" s="14">
        <v>0</v>
      </c>
      <c r="J266" s="14">
        <v>0</v>
      </c>
      <c r="K266" s="14">
        <v>0</v>
      </c>
      <c r="L266" s="14">
        <v>0</v>
      </c>
      <c r="M266" s="14">
        <v>0</v>
      </c>
      <c r="N266" s="14">
        <v>0</v>
      </c>
      <c r="O266" s="14">
        <v>0</v>
      </c>
      <c r="P266" s="14">
        <v>1</v>
      </c>
      <c r="Q266" s="15">
        <v>0</v>
      </c>
      <c r="R266" s="15">
        <v>0</v>
      </c>
      <c r="S266" s="15">
        <f>$G$266*$G$8+$H$266*$H$8+$I$266*$I$8+$J$266*$J$8+$K$266*$K$8+$L$266*$L$8+$M$266*$M$8+$N$266*$N$8+$O$266*$O$8+$P$266*$P$8</f>
        <v>1</v>
      </c>
      <c r="T266" s="15">
        <f>SUM($Q$266:$R$266)</f>
        <v>0</v>
      </c>
      <c r="U266" s="15">
        <f>$S$266+$T$266</f>
        <v>1</v>
      </c>
    </row>
    <row r="267" spans="1:21" x14ac:dyDescent="0.3">
      <c r="A267" s="10" t="s">
        <v>995</v>
      </c>
      <c r="B267" s="11" t="s">
        <v>996</v>
      </c>
      <c r="C267" s="11"/>
      <c r="D267" s="11" t="s">
        <v>997</v>
      </c>
      <c r="E267" s="11">
        <f xml:space="preserve"> IF($U$267,1,0)</f>
        <v>0</v>
      </c>
      <c r="F267" s="11" t="s">
        <v>998</v>
      </c>
      <c r="G267" s="11">
        <v>0</v>
      </c>
      <c r="H267" s="11">
        <v>0</v>
      </c>
      <c r="I267" s="11">
        <v>0</v>
      </c>
      <c r="J267" s="11">
        <v>0</v>
      </c>
      <c r="K267" s="11">
        <v>0</v>
      </c>
      <c r="L267" s="11">
        <v>0</v>
      </c>
      <c r="M267" s="11">
        <v>0</v>
      </c>
      <c r="N267" s="11">
        <v>0</v>
      </c>
      <c r="O267" s="11">
        <v>0</v>
      </c>
      <c r="P267" s="11">
        <v>0</v>
      </c>
      <c r="Q267" s="12">
        <v>0</v>
      </c>
      <c r="R267" s="12">
        <v>0</v>
      </c>
      <c r="S267" s="12">
        <f>$G$267*$G$8+$H$267*$H$8+$I$267*$I$8+$J$267*$J$8+$K$267*$K$8+$L$267*$L$8+$M$267*$M$8+$N$267*$N$8+$O$267*$O$8+$P$267*$P$8</f>
        <v>0</v>
      </c>
      <c r="T267" s="12">
        <f>SUM($Q$267:$R$267)</f>
        <v>0</v>
      </c>
      <c r="U267" s="12">
        <f>$S$267+$T$267</f>
        <v>0</v>
      </c>
    </row>
    <row r="268" spans="1:21" x14ac:dyDescent="0.3">
      <c r="A268" s="13" t="s">
        <v>999</v>
      </c>
      <c r="B268" s="14" t="s">
        <v>1000</v>
      </c>
      <c r="C268" s="14" t="s">
        <v>202</v>
      </c>
      <c r="D268" s="14" t="s">
        <v>1001</v>
      </c>
      <c r="E268" s="14">
        <f xml:space="preserve"> IF($U$268,1,0)</f>
        <v>0</v>
      </c>
      <c r="F268" s="14" t="s">
        <v>1002</v>
      </c>
      <c r="G268" s="14">
        <v>0</v>
      </c>
      <c r="H268" s="14">
        <v>0</v>
      </c>
      <c r="I268" s="14">
        <v>0</v>
      </c>
      <c r="J268" s="14">
        <v>0</v>
      </c>
      <c r="K268" s="14">
        <v>0</v>
      </c>
      <c r="L268" s="14">
        <v>0</v>
      </c>
      <c r="M268" s="14">
        <v>0</v>
      </c>
      <c r="N268" s="14">
        <v>0</v>
      </c>
      <c r="O268" s="14">
        <v>0</v>
      </c>
      <c r="P268" s="14">
        <v>0</v>
      </c>
      <c r="Q268" s="15">
        <v>0</v>
      </c>
      <c r="R268" s="15">
        <v>0</v>
      </c>
      <c r="S268" s="15">
        <f>$G$268*$G$8+$H$268*$H$8+$I$268*$I$8+$J$268*$J$8+$K$268*$K$8+$L$268*$L$8+$M$268*$M$8+$N$268*$N$8+$O$268*$O$8+$P$268*$P$8</f>
        <v>0</v>
      </c>
      <c r="T268" s="15">
        <f>SUM($Q$268:$R$268)</f>
        <v>0</v>
      </c>
      <c r="U268" s="15">
        <f>$S$268+$T$268</f>
        <v>0</v>
      </c>
    </row>
    <row r="269" spans="1:21" x14ac:dyDescent="0.3">
      <c r="A269" s="10" t="s">
        <v>1003</v>
      </c>
      <c r="B269" s="11" t="s">
        <v>1004</v>
      </c>
      <c r="C269" s="11"/>
      <c r="D269" s="11" t="s">
        <v>1005</v>
      </c>
      <c r="E269" s="11">
        <f xml:space="preserve"> IF($U$269,1,0)</f>
        <v>0</v>
      </c>
      <c r="F269" s="11" t="s">
        <v>1006</v>
      </c>
      <c r="G269" s="11">
        <v>0</v>
      </c>
      <c r="H269" s="11">
        <v>0</v>
      </c>
      <c r="I269" s="11">
        <v>0</v>
      </c>
      <c r="J269" s="11">
        <v>0</v>
      </c>
      <c r="K269" s="11">
        <v>0</v>
      </c>
      <c r="L269" s="11">
        <v>0</v>
      </c>
      <c r="M269" s="11">
        <v>0</v>
      </c>
      <c r="N269" s="11">
        <v>0</v>
      </c>
      <c r="O269" s="11">
        <v>0</v>
      </c>
      <c r="P269" s="11">
        <v>0</v>
      </c>
      <c r="Q269" s="12">
        <v>0</v>
      </c>
      <c r="R269" s="12">
        <v>0</v>
      </c>
      <c r="S269" s="12">
        <f>$G$269*$G$8+$H$269*$H$8+$I$269*$I$8+$J$269*$J$8+$K$269*$K$8+$L$269*$L$8+$M$269*$M$8+$N$269*$N$8+$O$269*$O$8+$P$269*$P$8</f>
        <v>0</v>
      </c>
      <c r="T269" s="12">
        <f>SUM($Q$269:$R$269)</f>
        <v>0</v>
      </c>
      <c r="U269" s="12">
        <f>$S$269+$T$269</f>
        <v>0</v>
      </c>
    </row>
    <row r="270" spans="1:21" x14ac:dyDescent="0.3">
      <c r="A270" s="13" t="s">
        <v>1007</v>
      </c>
      <c r="B270" s="14" t="s">
        <v>1004</v>
      </c>
      <c r="C270" s="14"/>
      <c r="D270" s="14" t="s">
        <v>1008</v>
      </c>
      <c r="E270" s="14">
        <f xml:space="preserve"> IF($U$270,1,0)</f>
        <v>0</v>
      </c>
      <c r="F270" s="14" t="s">
        <v>1009</v>
      </c>
      <c r="G270" s="14">
        <v>0</v>
      </c>
      <c r="H270" s="14">
        <v>0</v>
      </c>
      <c r="I270" s="14">
        <v>0</v>
      </c>
      <c r="J270" s="14">
        <v>0</v>
      </c>
      <c r="K270" s="14">
        <v>0</v>
      </c>
      <c r="L270" s="14">
        <v>0</v>
      </c>
      <c r="M270" s="14">
        <v>0</v>
      </c>
      <c r="N270" s="14">
        <v>0</v>
      </c>
      <c r="O270" s="14">
        <v>0</v>
      </c>
      <c r="P270" s="14">
        <v>0</v>
      </c>
      <c r="Q270" s="15">
        <v>0</v>
      </c>
      <c r="R270" s="15">
        <v>0</v>
      </c>
      <c r="S270" s="15">
        <f>$G$270*$G$8+$H$270*$H$8+$I$270*$I$8+$J$270*$J$8+$K$270*$K$8+$L$270*$L$8+$M$270*$M$8+$N$270*$N$8+$O$270*$O$8+$P$270*$P$8</f>
        <v>0</v>
      </c>
      <c r="T270" s="15">
        <f>SUM($Q$270:$R$270)</f>
        <v>0</v>
      </c>
      <c r="U270" s="15">
        <f>$S$270+$T$270</f>
        <v>0</v>
      </c>
    </row>
    <row r="271" spans="1:21" x14ac:dyDescent="0.3">
      <c r="A271" s="10" t="s">
        <v>1010</v>
      </c>
      <c r="B271" s="11" t="s">
        <v>1011</v>
      </c>
      <c r="C271" s="11"/>
      <c r="D271" s="11" t="s">
        <v>1012</v>
      </c>
      <c r="E271" s="11">
        <f xml:space="preserve"> IF($U$271,1,0)</f>
        <v>0</v>
      </c>
      <c r="F271" s="11" t="s">
        <v>1013</v>
      </c>
      <c r="G271" s="11">
        <v>0</v>
      </c>
      <c r="H271" s="11">
        <v>0</v>
      </c>
      <c r="I271" s="11">
        <v>0</v>
      </c>
      <c r="J271" s="11">
        <v>0</v>
      </c>
      <c r="K271" s="11">
        <v>0</v>
      </c>
      <c r="L271" s="11">
        <v>0</v>
      </c>
      <c r="M271" s="11">
        <v>0</v>
      </c>
      <c r="N271" s="11">
        <v>0</v>
      </c>
      <c r="O271" s="11">
        <v>0</v>
      </c>
      <c r="P271" s="11">
        <v>0</v>
      </c>
      <c r="Q271" s="12">
        <v>0</v>
      </c>
      <c r="R271" s="12">
        <v>0</v>
      </c>
      <c r="S271" s="12">
        <f>$G$271*$G$8+$H$271*$H$8+$I$271*$I$8+$J$271*$J$8+$K$271*$K$8+$L$271*$L$8+$M$271*$M$8+$N$271*$N$8+$O$271*$O$8+$P$271*$P$8</f>
        <v>0</v>
      </c>
      <c r="T271" s="12">
        <f>SUM($Q$271:$R$271)</f>
        <v>0</v>
      </c>
      <c r="U271" s="12">
        <f>$S$271+$T$271</f>
        <v>0</v>
      </c>
    </row>
    <row r="272" spans="1:21" x14ac:dyDescent="0.3">
      <c r="A272" s="13" t="s">
        <v>1014</v>
      </c>
      <c r="B272" s="14" t="s">
        <v>1015</v>
      </c>
      <c r="C272" s="14"/>
      <c r="D272" s="14" t="s">
        <v>1016</v>
      </c>
      <c r="E272" s="14">
        <f xml:space="preserve"> IF($U$272,1,0)</f>
        <v>0</v>
      </c>
      <c r="F272" s="14" t="s">
        <v>1017</v>
      </c>
      <c r="G272" s="14">
        <v>0</v>
      </c>
      <c r="H272" s="14">
        <v>0</v>
      </c>
      <c r="I272" s="14">
        <v>0</v>
      </c>
      <c r="J272" s="14">
        <v>0</v>
      </c>
      <c r="K272" s="14">
        <v>0</v>
      </c>
      <c r="L272" s="14">
        <v>0</v>
      </c>
      <c r="M272" s="14">
        <v>0</v>
      </c>
      <c r="N272" s="14">
        <v>0</v>
      </c>
      <c r="O272" s="14">
        <v>0</v>
      </c>
      <c r="P272" s="14">
        <v>0</v>
      </c>
      <c r="Q272" s="15">
        <v>0</v>
      </c>
      <c r="R272" s="15">
        <v>0</v>
      </c>
      <c r="S272" s="15">
        <f>$G$272*$G$8+$H$272*$H$8+$I$272*$I$8+$J$272*$J$8+$K$272*$K$8+$L$272*$L$8+$M$272*$M$8+$N$272*$N$8+$O$272*$O$8+$P$272*$P$8</f>
        <v>0</v>
      </c>
      <c r="T272" s="15">
        <f>SUM($Q$272:$R$272)</f>
        <v>0</v>
      </c>
      <c r="U272" s="15">
        <f>$S$272+$T$272</f>
        <v>0</v>
      </c>
    </row>
    <row r="273" spans="1:21" x14ac:dyDescent="0.3">
      <c r="A273" s="10" t="s">
        <v>1018</v>
      </c>
      <c r="B273" s="11" t="s">
        <v>1015</v>
      </c>
      <c r="C273" s="11"/>
      <c r="D273" s="11" t="s">
        <v>1019</v>
      </c>
      <c r="E273" s="11">
        <f xml:space="preserve"> IF($U$273,1,0)</f>
        <v>0</v>
      </c>
      <c r="F273" s="11" t="s">
        <v>1020</v>
      </c>
      <c r="G273" s="11">
        <v>0</v>
      </c>
      <c r="H273" s="11">
        <v>0</v>
      </c>
      <c r="I273" s="11">
        <v>0</v>
      </c>
      <c r="J273" s="11">
        <v>0</v>
      </c>
      <c r="K273" s="11">
        <v>0</v>
      </c>
      <c r="L273" s="11">
        <v>0</v>
      </c>
      <c r="M273" s="11">
        <v>0</v>
      </c>
      <c r="N273" s="11">
        <v>0</v>
      </c>
      <c r="O273" s="11">
        <v>0</v>
      </c>
      <c r="P273" s="11">
        <v>0</v>
      </c>
      <c r="Q273" s="12">
        <v>0</v>
      </c>
      <c r="R273" s="12">
        <v>0</v>
      </c>
      <c r="S273" s="12">
        <f>$G$273*$G$8+$H$273*$H$8+$I$273*$I$8+$J$273*$J$8+$K$273*$K$8+$L$273*$L$8+$M$273*$M$8+$N$273*$N$8+$O$273*$O$8+$P$273*$P$8</f>
        <v>0</v>
      </c>
      <c r="T273" s="12">
        <f>SUM($Q$273:$R$273)</f>
        <v>0</v>
      </c>
      <c r="U273" s="12">
        <f>$S$273+$T$273</f>
        <v>0</v>
      </c>
    </row>
    <row r="274" spans="1:21" x14ac:dyDescent="0.3">
      <c r="A274" s="13" t="s">
        <v>1021</v>
      </c>
      <c r="B274" s="14" t="s">
        <v>1022</v>
      </c>
      <c r="C274" s="14" t="s">
        <v>283</v>
      </c>
      <c r="D274" s="14" t="s">
        <v>1023</v>
      </c>
      <c r="E274" s="14">
        <f xml:space="preserve"> IF($U$274,1,0)</f>
        <v>0</v>
      </c>
      <c r="F274" s="14" t="s">
        <v>1024</v>
      </c>
      <c r="G274" s="14">
        <v>0</v>
      </c>
      <c r="H274" s="14">
        <v>0</v>
      </c>
      <c r="I274" s="14">
        <v>0</v>
      </c>
      <c r="J274" s="14">
        <v>0</v>
      </c>
      <c r="K274" s="14">
        <v>0</v>
      </c>
      <c r="L274" s="14">
        <v>0</v>
      </c>
      <c r="M274" s="14">
        <v>0</v>
      </c>
      <c r="N274" s="14">
        <v>0</v>
      </c>
      <c r="O274" s="14">
        <v>0</v>
      </c>
      <c r="P274" s="14">
        <v>0</v>
      </c>
      <c r="Q274" s="15">
        <v>0</v>
      </c>
      <c r="R274" s="15">
        <v>0</v>
      </c>
      <c r="S274" s="15">
        <f>$G$274*$G$8+$H$274*$H$8+$I$274*$I$8+$J$274*$J$8+$K$274*$K$8+$L$274*$L$8+$M$274*$M$8+$N$274*$N$8+$O$274*$O$8+$P$274*$P$8</f>
        <v>0</v>
      </c>
      <c r="T274" s="15">
        <f>SUM($Q$274:$R$274)</f>
        <v>0</v>
      </c>
      <c r="U274" s="15">
        <f>$S$274+$T$274</f>
        <v>0</v>
      </c>
    </row>
    <row r="275" spans="1:21" x14ac:dyDescent="0.3">
      <c r="A275" s="10" t="s">
        <v>1025</v>
      </c>
      <c r="B275" s="11" t="s">
        <v>1026</v>
      </c>
      <c r="C275" s="11"/>
      <c r="D275" s="11" t="s">
        <v>1027</v>
      </c>
      <c r="E275" s="11">
        <f xml:space="preserve"> IF($U$275,1,0)</f>
        <v>0</v>
      </c>
      <c r="F275" s="11" t="s">
        <v>1028</v>
      </c>
      <c r="G275" s="11">
        <v>0</v>
      </c>
      <c r="H275" s="11">
        <v>0</v>
      </c>
      <c r="I275" s="11">
        <v>0</v>
      </c>
      <c r="J275" s="11">
        <v>0</v>
      </c>
      <c r="K275" s="11">
        <v>0</v>
      </c>
      <c r="L275" s="11">
        <v>0</v>
      </c>
      <c r="M275" s="11">
        <v>0</v>
      </c>
      <c r="N275" s="11">
        <v>0</v>
      </c>
      <c r="O275" s="11">
        <v>0</v>
      </c>
      <c r="P275" s="11">
        <v>0</v>
      </c>
      <c r="Q275" s="12">
        <v>0</v>
      </c>
      <c r="R275" s="12">
        <v>0</v>
      </c>
      <c r="S275" s="12">
        <f>$G$275*$G$8+$H$275*$H$8+$I$275*$I$8+$J$275*$J$8+$K$275*$K$8+$L$275*$L$8+$M$275*$M$8+$N$275*$N$8+$O$275*$O$8+$P$275*$P$8</f>
        <v>0</v>
      </c>
      <c r="T275" s="12">
        <f>SUM($Q$275:$R$275)</f>
        <v>0</v>
      </c>
      <c r="U275" s="12">
        <f>$S$275+$T$275</f>
        <v>0</v>
      </c>
    </row>
    <row r="276" spans="1:21" x14ac:dyDescent="0.3">
      <c r="A276" s="13" t="s">
        <v>1029</v>
      </c>
      <c r="B276" s="14" t="s">
        <v>1030</v>
      </c>
      <c r="C276" s="14" t="s">
        <v>34</v>
      </c>
      <c r="D276" s="14" t="s">
        <v>1031</v>
      </c>
      <c r="E276" s="14">
        <f xml:space="preserve"> IF($U$276,1,0)</f>
        <v>1</v>
      </c>
      <c r="F276" s="14" t="s">
        <v>1032</v>
      </c>
      <c r="G276" s="14">
        <v>1</v>
      </c>
      <c r="H276" s="14">
        <v>0</v>
      </c>
      <c r="I276" s="14">
        <v>1</v>
      </c>
      <c r="J276" s="14">
        <v>0</v>
      </c>
      <c r="K276" s="14">
        <v>1</v>
      </c>
      <c r="L276" s="14">
        <v>0</v>
      </c>
      <c r="M276" s="14">
        <v>0</v>
      </c>
      <c r="N276" s="14">
        <v>0</v>
      </c>
      <c r="O276" s="14">
        <v>1</v>
      </c>
      <c r="P276" s="14">
        <v>1</v>
      </c>
      <c r="Q276" s="15">
        <v>0</v>
      </c>
      <c r="R276" s="15">
        <v>0</v>
      </c>
      <c r="S276" s="15">
        <f>$G$276*$G$8+$H$276*$H$8+$I$276*$I$8+$J$276*$J$8+$K$276*$K$8+$L$276*$L$8+$M$276*$M$8+$N$276*$N$8+$O$276*$O$8+$P$276*$P$8</f>
        <v>5.2</v>
      </c>
      <c r="T276" s="15">
        <f>SUM($Q$276:$R$276)</f>
        <v>0</v>
      </c>
      <c r="U276" s="15">
        <f>$S$276+$T$276</f>
        <v>5.2</v>
      </c>
    </row>
    <row r="277" spans="1:21" x14ac:dyDescent="0.3">
      <c r="A277" s="10" t="s">
        <v>1033</v>
      </c>
      <c r="B277" s="11" t="s">
        <v>1030</v>
      </c>
      <c r="C277" s="11"/>
      <c r="D277" s="11" t="s">
        <v>1034</v>
      </c>
      <c r="E277" s="11">
        <f xml:space="preserve"> IF($U$277,1,0)</f>
        <v>0</v>
      </c>
      <c r="F277" s="11" t="s">
        <v>1035</v>
      </c>
      <c r="G277" s="11">
        <v>0</v>
      </c>
      <c r="H277" s="11">
        <v>0</v>
      </c>
      <c r="I277" s="11">
        <v>0</v>
      </c>
      <c r="J277" s="11">
        <v>0</v>
      </c>
      <c r="K277" s="11">
        <v>0</v>
      </c>
      <c r="L277" s="11">
        <v>0</v>
      </c>
      <c r="M277" s="11">
        <v>0</v>
      </c>
      <c r="N277" s="11">
        <v>0</v>
      </c>
      <c r="O277" s="11">
        <v>0</v>
      </c>
      <c r="P277" s="11">
        <v>0</v>
      </c>
      <c r="Q277" s="12">
        <v>0</v>
      </c>
      <c r="R277" s="12">
        <v>0</v>
      </c>
      <c r="S277" s="12">
        <f>$G$277*$G$8+$H$277*$H$8+$I$277*$I$8+$J$277*$J$8+$K$277*$K$8+$L$277*$L$8+$M$277*$M$8+$N$277*$N$8+$O$277*$O$8+$P$277*$P$8</f>
        <v>0</v>
      </c>
      <c r="T277" s="12">
        <f>SUM($Q$277:$R$277)</f>
        <v>0</v>
      </c>
      <c r="U277" s="12">
        <f>$S$277+$T$277</f>
        <v>0</v>
      </c>
    </row>
    <row r="278" spans="1:21" x14ac:dyDescent="0.3">
      <c r="A278" s="13" t="s">
        <v>1036</v>
      </c>
      <c r="B278" s="14" t="s">
        <v>1037</v>
      </c>
      <c r="C278" s="14"/>
      <c r="D278" s="14" t="s">
        <v>1038</v>
      </c>
      <c r="E278" s="14">
        <f xml:space="preserve"> IF($U$278,1,0)</f>
        <v>0</v>
      </c>
      <c r="F278" s="14" t="s">
        <v>1039</v>
      </c>
      <c r="G278" s="14">
        <v>0</v>
      </c>
      <c r="H278" s="14">
        <v>0</v>
      </c>
      <c r="I278" s="14">
        <v>0</v>
      </c>
      <c r="J278" s="14">
        <v>0</v>
      </c>
      <c r="K278" s="14">
        <v>0</v>
      </c>
      <c r="L278" s="14">
        <v>0</v>
      </c>
      <c r="M278" s="14">
        <v>0</v>
      </c>
      <c r="N278" s="14">
        <v>0</v>
      </c>
      <c r="O278" s="14">
        <v>0</v>
      </c>
      <c r="P278" s="14">
        <v>0</v>
      </c>
      <c r="Q278" s="15">
        <v>0</v>
      </c>
      <c r="R278" s="15">
        <v>0</v>
      </c>
      <c r="S278" s="15">
        <f>$G$278*$G$8+$H$278*$H$8+$I$278*$I$8+$J$278*$J$8+$K$278*$K$8+$L$278*$L$8+$M$278*$M$8+$N$278*$N$8+$O$278*$O$8+$P$278*$P$8</f>
        <v>0</v>
      </c>
      <c r="T278" s="15">
        <f>SUM($Q$278:$R$278)</f>
        <v>0</v>
      </c>
      <c r="U278" s="15">
        <f>$S$278+$T$278</f>
        <v>0</v>
      </c>
    </row>
    <row r="279" spans="1:21" x14ac:dyDescent="0.3">
      <c r="A279" s="10" t="s">
        <v>1040</v>
      </c>
      <c r="B279" s="11" t="s">
        <v>1037</v>
      </c>
      <c r="C279" s="11" t="s">
        <v>202</v>
      </c>
      <c r="D279" s="11" t="s">
        <v>1041</v>
      </c>
      <c r="E279" s="11">
        <f xml:space="preserve"> IF($U$279,1,0)</f>
        <v>0</v>
      </c>
      <c r="F279" s="11" t="s">
        <v>1042</v>
      </c>
      <c r="G279" s="11">
        <v>0</v>
      </c>
      <c r="H279" s="11">
        <v>0</v>
      </c>
      <c r="I279" s="11">
        <v>0</v>
      </c>
      <c r="J279" s="11">
        <v>0</v>
      </c>
      <c r="K279" s="11">
        <v>0</v>
      </c>
      <c r="L279" s="11">
        <v>0</v>
      </c>
      <c r="M279" s="11">
        <v>0</v>
      </c>
      <c r="N279" s="11">
        <v>0</v>
      </c>
      <c r="O279" s="11">
        <v>0</v>
      </c>
      <c r="P279" s="11">
        <v>0</v>
      </c>
      <c r="Q279" s="12">
        <v>0</v>
      </c>
      <c r="R279" s="12">
        <v>0</v>
      </c>
      <c r="S279" s="12">
        <f>$G$279*$G$8+$H$279*$H$8+$I$279*$I$8+$J$279*$J$8+$K$279*$K$8+$L$279*$L$8+$M$279*$M$8+$N$279*$N$8+$O$279*$O$8+$P$279*$P$8</f>
        <v>0</v>
      </c>
      <c r="T279" s="12">
        <f>SUM($Q$279:$R$279)</f>
        <v>0</v>
      </c>
      <c r="U279" s="12">
        <f>$S$279+$T$279</f>
        <v>0</v>
      </c>
    </row>
    <row r="280" spans="1:21" x14ac:dyDescent="0.3">
      <c r="A280" s="13" t="s">
        <v>1043</v>
      </c>
      <c r="B280" s="14" t="s">
        <v>1044</v>
      </c>
      <c r="C280" s="14"/>
      <c r="D280" s="14" t="s">
        <v>1045</v>
      </c>
      <c r="E280" s="14">
        <f xml:space="preserve"> IF($U$280,1,0)</f>
        <v>0</v>
      </c>
      <c r="F280" s="14" t="s">
        <v>1046</v>
      </c>
      <c r="G280" s="14">
        <v>0</v>
      </c>
      <c r="H280" s="14">
        <v>0</v>
      </c>
      <c r="I280" s="14">
        <v>0</v>
      </c>
      <c r="J280" s="14">
        <v>0</v>
      </c>
      <c r="K280" s="14">
        <v>0</v>
      </c>
      <c r="L280" s="14">
        <v>0</v>
      </c>
      <c r="M280" s="14">
        <v>0</v>
      </c>
      <c r="N280" s="14">
        <v>0</v>
      </c>
      <c r="O280" s="14">
        <v>0</v>
      </c>
      <c r="P280" s="14">
        <v>0</v>
      </c>
      <c r="Q280" s="15">
        <v>0</v>
      </c>
      <c r="R280" s="15">
        <v>0</v>
      </c>
      <c r="S280" s="15">
        <f>$G$280*$G$8+$H$280*$H$8+$I$280*$I$8+$J$280*$J$8+$K$280*$K$8+$L$280*$L$8+$M$280*$M$8+$N$280*$N$8+$O$280*$O$8+$P$280*$P$8</f>
        <v>0</v>
      </c>
      <c r="T280" s="15">
        <f>SUM($Q$280:$R$280)</f>
        <v>0</v>
      </c>
      <c r="U280" s="15">
        <f>$S$280+$T$280</f>
        <v>0</v>
      </c>
    </row>
    <row r="281" spans="1:21" x14ac:dyDescent="0.3">
      <c r="A281" s="10" t="s">
        <v>1047</v>
      </c>
      <c r="B281" s="11" t="s">
        <v>1048</v>
      </c>
      <c r="C281" s="11"/>
      <c r="D281" s="11" t="s">
        <v>1049</v>
      </c>
      <c r="E281" s="11">
        <f xml:space="preserve"> IF($U$281,1,0)</f>
        <v>1</v>
      </c>
      <c r="F281" s="11" t="s">
        <v>1050</v>
      </c>
      <c r="G281" s="11">
        <v>2</v>
      </c>
      <c r="H281" s="11">
        <v>0</v>
      </c>
      <c r="I281" s="11">
        <v>0</v>
      </c>
      <c r="J281" s="11">
        <v>0</v>
      </c>
      <c r="K281" s="11">
        <v>0</v>
      </c>
      <c r="L281" s="11">
        <v>0</v>
      </c>
      <c r="M281" s="11">
        <v>0</v>
      </c>
      <c r="N281" s="11">
        <v>0</v>
      </c>
      <c r="O281" s="11">
        <v>0</v>
      </c>
      <c r="P281" s="11">
        <v>0</v>
      </c>
      <c r="Q281" s="12">
        <v>0</v>
      </c>
      <c r="R281" s="12">
        <v>0</v>
      </c>
      <c r="S281" s="12">
        <f>$G$281*$G$8+$H$281*$H$8+$I$281*$I$8+$J$281*$J$8+$K$281*$K$8+$L$281*$L$8+$M$281*$M$8+$N$281*$N$8+$O$281*$O$8+$P$281*$P$8</f>
        <v>1.4</v>
      </c>
      <c r="T281" s="12">
        <f>SUM($Q$281:$R$281)</f>
        <v>0</v>
      </c>
      <c r="U281" s="12">
        <f>$S$281+$T$281</f>
        <v>1.4</v>
      </c>
    </row>
    <row r="282" spans="1:21" x14ac:dyDescent="0.3">
      <c r="A282" s="13" t="s">
        <v>1051</v>
      </c>
      <c r="B282" s="14" t="s">
        <v>1052</v>
      </c>
      <c r="C282" s="14" t="s">
        <v>34</v>
      </c>
      <c r="D282" s="14" t="s">
        <v>1053</v>
      </c>
      <c r="E282" s="14">
        <f xml:space="preserve"> IF($U$282,1,0)</f>
        <v>0</v>
      </c>
      <c r="F282" s="14" t="s">
        <v>1054</v>
      </c>
      <c r="G282" s="14">
        <v>0</v>
      </c>
      <c r="H282" s="14">
        <v>0</v>
      </c>
      <c r="I282" s="14">
        <v>0</v>
      </c>
      <c r="J282" s="14">
        <v>0</v>
      </c>
      <c r="K282" s="14">
        <v>0</v>
      </c>
      <c r="L282" s="14">
        <v>0</v>
      </c>
      <c r="M282" s="14">
        <v>0</v>
      </c>
      <c r="N282" s="14">
        <v>0</v>
      </c>
      <c r="O282" s="14">
        <v>0</v>
      </c>
      <c r="P282" s="14">
        <v>0</v>
      </c>
      <c r="Q282" s="15">
        <v>0</v>
      </c>
      <c r="R282" s="15">
        <v>0</v>
      </c>
      <c r="S282" s="15">
        <f>$G$282*$G$8+$H$282*$H$8+$I$282*$I$8+$J$282*$J$8+$K$282*$K$8+$L$282*$L$8+$M$282*$M$8+$N$282*$N$8+$O$282*$O$8+$P$282*$P$8</f>
        <v>0</v>
      </c>
      <c r="T282" s="15">
        <f>SUM($Q$282:$R$282)</f>
        <v>0</v>
      </c>
      <c r="U282" s="15">
        <f>$S$282+$T$282</f>
        <v>0</v>
      </c>
    </row>
    <row r="283" spans="1:21" x14ac:dyDescent="0.3">
      <c r="A283" s="10" t="s">
        <v>1055</v>
      </c>
      <c r="B283" s="11" t="s">
        <v>1056</v>
      </c>
      <c r="C283" s="11" t="s">
        <v>243</v>
      </c>
      <c r="D283" s="11" t="s">
        <v>1057</v>
      </c>
      <c r="E283" s="11">
        <f xml:space="preserve"> IF($U$283,1,0)</f>
        <v>0</v>
      </c>
      <c r="F283" s="11" t="s">
        <v>1058</v>
      </c>
      <c r="G283" s="11">
        <v>0</v>
      </c>
      <c r="H283" s="11">
        <v>0</v>
      </c>
      <c r="I283" s="11">
        <v>0</v>
      </c>
      <c r="J283" s="11">
        <v>0</v>
      </c>
      <c r="K283" s="11">
        <v>0</v>
      </c>
      <c r="L283" s="11">
        <v>0</v>
      </c>
      <c r="M283" s="11">
        <v>0</v>
      </c>
      <c r="N283" s="11">
        <v>0</v>
      </c>
      <c r="O283" s="11">
        <v>0</v>
      </c>
      <c r="P283" s="11">
        <v>0</v>
      </c>
      <c r="Q283" s="12">
        <v>0</v>
      </c>
      <c r="R283" s="12">
        <v>0</v>
      </c>
      <c r="S283" s="12">
        <f>$G$283*$G$8+$H$283*$H$8+$I$283*$I$8+$J$283*$J$8+$K$283*$K$8+$L$283*$L$8+$M$283*$M$8+$N$283*$N$8+$O$283*$O$8+$P$283*$P$8</f>
        <v>0</v>
      </c>
      <c r="T283" s="12">
        <f>SUM($Q$283:$R$283)</f>
        <v>0</v>
      </c>
      <c r="U283" s="12">
        <f>$S$283+$T$283</f>
        <v>0</v>
      </c>
    </row>
    <row r="284" spans="1:21" x14ac:dyDescent="0.3">
      <c r="A284" s="13" t="s">
        <v>1059</v>
      </c>
      <c r="B284" s="14" t="s">
        <v>1056</v>
      </c>
      <c r="C284" s="14" t="s">
        <v>278</v>
      </c>
      <c r="D284" s="14" t="s">
        <v>1060</v>
      </c>
      <c r="E284" s="14">
        <f xml:space="preserve"> IF($U$284,1,0)</f>
        <v>0</v>
      </c>
      <c r="F284" s="14" t="s">
        <v>1061</v>
      </c>
      <c r="G284" s="14">
        <v>0</v>
      </c>
      <c r="H284" s="14">
        <v>0</v>
      </c>
      <c r="I284" s="14">
        <v>0</v>
      </c>
      <c r="J284" s="14">
        <v>0</v>
      </c>
      <c r="K284" s="14">
        <v>0</v>
      </c>
      <c r="L284" s="14">
        <v>0</v>
      </c>
      <c r="M284" s="14">
        <v>0</v>
      </c>
      <c r="N284" s="14">
        <v>0</v>
      </c>
      <c r="O284" s="14">
        <v>0</v>
      </c>
      <c r="P284" s="14">
        <v>0</v>
      </c>
      <c r="Q284" s="15">
        <v>0</v>
      </c>
      <c r="R284" s="15">
        <v>0</v>
      </c>
      <c r="S284" s="15">
        <f>$G$284*$G$8+$H$284*$H$8+$I$284*$I$8+$J$284*$J$8+$K$284*$K$8+$L$284*$L$8+$M$284*$M$8+$N$284*$N$8+$O$284*$O$8+$P$284*$P$8</f>
        <v>0</v>
      </c>
      <c r="T284" s="15">
        <f>SUM($Q$284:$R$284)</f>
        <v>0</v>
      </c>
      <c r="U284" s="15">
        <f>$S$284+$T$284</f>
        <v>0</v>
      </c>
    </row>
    <row r="285" spans="1:21" x14ac:dyDescent="0.3">
      <c r="A285" s="10" t="s">
        <v>1062</v>
      </c>
      <c r="B285" s="11" t="s">
        <v>1063</v>
      </c>
      <c r="C285" s="11"/>
      <c r="D285" s="11" t="s">
        <v>1064</v>
      </c>
      <c r="E285" s="11">
        <f xml:space="preserve"> IF($U$285,1,0)</f>
        <v>0</v>
      </c>
      <c r="F285" s="11" t="s">
        <v>1065</v>
      </c>
      <c r="G285" s="11">
        <v>0</v>
      </c>
      <c r="H285" s="11">
        <v>0</v>
      </c>
      <c r="I285" s="11">
        <v>0</v>
      </c>
      <c r="J285" s="11">
        <v>0</v>
      </c>
      <c r="K285" s="11">
        <v>0</v>
      </c>
      <c r="L285" s="11">
        <v>0</v>
      </c>
      <c r="M285" s="11">
        <v>0</v>
      </c>
      <c r="N285" s="11">
        <v>0</v>
      </c>
      <c r="O285" s="11">
        <v>0</v>
      </c>
      <c r="P285" s="11">
        <v>0</v>
      </c>
      <c r="Q285" s="12">
        <v>0</v>
      </c>
      <c r="R285" s="12">
        <v>0</v>
      </c>
      <c r="S285" s="12">
        <f>$G$285*$G$8+$H$285*$H$8+$I$285*$I$8+$J$285*$J$8+$K$285*$K$8+$L$285*$L$8+$M$285*$M$8+$N$285*$N$8+$O$285*$O$8+$P$285*$P$8</f>
        <v>0</v>
      </c>
      <c r="T285" s="12">
        <f>SUM($Q$285:$R$285)</f>
        <v>0</v>
      </c>
      <c r="U285" s="12">
        <f>$S$285+$T$285</f>
        <v>0</v>
      </c>
    </row>
    <row r="286" spans="1:21" x14ac:dyDescent="0.3">
      <c r="A286" s="13" t="s">
        <v>1066</v>
      </c>
      <c r="B286" s="14" t="s">
        <v>1067</v>
      </c>
      <c r="C286" s="14" t="s">
        <v>202</v>
      </c>
      <c r="D286" s="14" t="s">
        <v>1068</v>
      </c>
      <c r="E286" s="14">
        <f xml:space="preserve"> IF($U$286,1,0)</f>
        <v>0</v>
      </c>
      <c r="F286" s="14" t="s">
        <v>1069</v>
      </c>
      <c r="G286" s="14">
        <v>0</v>
      </c>
      <c r="H286" s="14">
        <v>0</v>
      </c>
      <c r="I286" s="14">
        <v>0</v>
      </c>
      <c r="J286" s="14">
        <v>0</v>
      </c>
      <c r="K286" s="14">
        <v>0</v>
      </c>
      <c r="L286" s="14">
        <v>0</v>
      </c>
      <c r="M286" s="14">
        <v>0</v>
      </c>
      <c r="N286" s="14">
        <v>0</v>
      </c>
      <c r="O286" s="14">
        <v>0</v>
      </c>
      <c r="P286" s="14">
        <v>0</v>
      </c>
      <c r="Q286" s="15">
        <v>0</v>
      </c>
      <c r="R286" s="15">
        <v>0</v>
      </c>
      <c r="S286" s="15">
        <f>$G$286*$G$8+$H$286*$H$8+$I$286*$I$8+$J$286*$J$8+$K$286*$K$8+$L$286*$L$8+$M$286*$M$8+$N$286*$N$8+$O$286*$O$8+$P$286*$P$8</f>
        <v>0</v>
      </c>
      <c r="T286" s="15">
        <f>SUM($Q$286:$R$286)</f>
        <v>0</v>
      </c>
      <c r="U286" s="15">
        <f>$S$286+$T$286</f>
        <v>0</v>
      </c>
    </row>
    <row r="287" spans="1:21" x14ac:dyDescent="0.3">
      <c r="A287" s="10" t="s">
        <v>1070</v>
      </c>
      <c r="B287" s="11" t="s">
        <v>1071</v>
      </c>
      <c r="C287" s="11"/>
      <c r="D287" s="11" t="s">
        <v>1072</v>
      </c>
      <c r="E287" s="11">
        <f xml:space="preserve"> IF($U$287,1,0)</f>
        <v>1</v>
      </c>
      <c r="F287" s="11" t="s">
        <v>1073</v>
      </c>
      <c r="G287" s="11">
        <v>1</v>
      </c>
      <c r="H287" s="11">
        <v>0</v>
      </c>
      <c r="I287" s="11">
        <v>0</v>
      </c>
      <c r="J287" s="11">
        <v>0</v>
      </c>
      <c r="K287" s="11">
        <v>0</v>
      </c>
      <c r="L287" s="11">
        <v>0</v>
      </c>
      <c r="M287" s="11">
        <v>0</v>
      </c>
      <c r="N287" s="11">
        <v>0</v>
      </c>
      <c r="O287" s="11">
        <v>0</v>
      </c>
      <c r="P287" s="11">
        <v>0</v>
      </c>
      <c r="Q287" s="12">
        <v>0</v>
      </c>
      <c r="R287" s="12">
        <v>0</v>
      </c>
      <c r="S287" s="12">
        <f>$G$287*$G$8+$H$287*$H$8+$I$287*$I$8+$J$287*$J$8+$K$287*$K$8+$L$287*$L$8+$M$287*$M$8+$N$287*$N$8+$O$287*$O$8+$P$287*$P$8</f>
        <v>0.7</v>
      </c>
      <c r="T287" s="12">
        <f>SUM($Q$287:$R$287)</f>
        <v>0</v>
      </c>
      <c r="U287" s="12">
        <f>$S$287+$T$287</f>
        <v>0.7</v>
      </c>
    </row>
    <row r="288" spans="1:21" x14ac:dyDescent="0.3">
      <c r="A288" s="13" t="s">
        <v>1074</v>
      </c>
      <c r="B288" s="14" t="s">
        <v>1071</v>
      </c>
      <c r="C288" s="14"/>
      <c r="D288" s="14" t="s">
        <v>1075</v>
      </c>
      <c r="E288" s="14">
        <f xml:space="preserve"> IF($U$288,1,0)</f>
        <v>1</v>
      </c>
      <c r="F288" s="14" t="s">
        <v>1076</v>
      </c>
      <c r="G288" s="14">
        <v>3</v>
      </c>
      <c r="H288" s="14">
        <v>0</v>
      </c>
      <c r="I288" s="14">
        <v>0</v>
      </c>
      <c r="J288" s="14">
        <v>0</v>
      </c>
      <c r="K288" s="14">
        <v>1</v>
      </c>
      <c r="L288" s="14">
        <v>0</v>
      </c>
      <c r="M288" s="14">
        <v>0</v>
      </c>
      <c r="N288" s="14">
        <v>0</v>
      </c>
      <c r="O288" s="14">
        <v>0</v>
      </c>
      <c r="P288" s="14">
        <v>3</v>
      </c>
      <c r="Q288" s="15">
        <v>0</v>
      </c>
      <c r="R288" s="15">
        <v>0</v>
      </c>
      <c r="S288" s="15">
        <f>$G$288*$G$8+$H$288*$H$8+$I$288*$I$8+$J$288*$J$8+$K$288*$K$8+$L$288*$L$8+$M$288*$M$8+$N$288*$N$8+$O$288*$O$8+$P$288*$P$8</f>
        <v>7.1</v>
      </c>
      <c r="T288" s="15">
        <f>SUM($Q$288:$R$288)</f>
        <v>0</v>
      </c>
      <c r="U288" s="15">
        <f>$S$288+$T$288</f>
        <v>7.1</v>
      </c>
    </row>
    <row r="289" spans="1:21" x14ac:dyDescent="0.3">
      <c r="A289" s="10" t="s">
        <v>1077</v>
      </c>
      <c r="B289" s="11" t="s">
        <v>1078</v>
      </c>
      <c r="C289" s="11"/>
      <c r="D289" s="11" t="s">
        <v>1079</v>
      </c>
      <c r="E289" s="11">
        <f xml:space="preserve"> IF($U$289,1,0)</f>
        <v>0</v>
      </c>
      <c r="F289" s="11" t="s">
        <v>1080</v>
      </c>
      <c r="G289" s="11">
        <v>0</v>
      </c>
      <c r="H289" s="11">
        <v>0</v>
      </c>
      <c r="I289" s="11">
        <v>0</v>
      </c>
      <c r="J289" s="11">
        <v>0</v>
      </c>
      <c r="K289" s="11">
        <v>0</v>
      </c>
      <c r="L289" s="11">
        <v>0</v>
      </c>
      <c r="M289" s="11">
        <v>0</v>
      </c>
      <c r="N289" s="11">
        <v>0</v>
      </c>
      <c r="O289" s="11">
        <v>0</v>
      </c>
      <c r="P289" s="11">
        <v>0</v>
      </c>
      <c r="Q289" s="12">
        <v>0</v>
      </c>
      <c r="R289" s="12">
        <v>0</v>
      </c>
      <c r="S289" s="12">
        <f>$G$289*$G$8+$H$289*$H$8+$I$289*$I$8+$J$289*$J$8+$K$289*$K$8+$L$289*$L$8+$M$289*$M$8+$N$289*$N$8+$O$289*$O$8+$P$289*$P$8</f>
        <v>0</v>
      </c>
      <c r="T289" s="12">
        <f>SUM($Q$289:$R$289)</f>
        <v>0</v>
      </c>
      <c r="U289" s="12">
        <f>$S$289+$T$289</f>
        <v>0</v>
      </c>
    </row>
    <row r="290" spans="1:21" x14ac:dyDescent="0.3">
      <c r="A290" s="13" t="s">
        <v>1081</v>
      </c>
      <c r="B290" s="14" t="s">
        <v>1082</v>
      </c>
      <c r="C290" s="14"/>
      <c r="D290" s="14" t="s">
        <v>1083</v>
      </c>
      <c r="E290" s="14">
        <f xml:space="preserve"> IF($U$290,1,0)</f>
        <v>0</v>
      </c>
      <c r="F290" s="14" t="s">
        <v>1084</v>
      </c>
      <c r="G290" s="14">
        <v>0</v>
      </c>
      <c r="H290" s="14">
        <v>0</v>
      </c>
      <c r="I290" s="14">
        <v>0</v>
      </c>
      <c r="J290" s="14">
        <v>0</v>
      </c>
      <c r="K290" s="14">
        <v>0</v>
      </c>
      <c r="L290" s="14">
        <v>0</v>
      </c>
      <c r="M290" s="14">
        <v>0</v>
      </c>
      <c r="N290" s="14">
        <v>0</v>
      </c>
      <c r="O290" s="14">
        <v>0</v>
      </c>
      <c r="P290" s="14">
        <v>0</v>
      </c>
      <c r="Q290" s="15">
        <v>0</v>
      </c>
      <c r="R290" s="15">
        <v>0</v>
      </c>
      <c r="S290" s="15">
        <f>$G$290*$G$8+$H$290*$H$8+$I$290*$I$8+$J$290*$J$8+$K$290*$K$8+$L$290*$L$8+$M$290*$M$8+$N$290*$N$8+$O$290*$O$8+$P$290*$P$8</f>
        <v>0</v>
      </c>
      <c r="T290" s="15">
        <f>SUM($Q$290:$R$290)</f>
        <v>0</v>
      </c>
      <c r="U290" s="15">
        <f>$S$290+$T$290</f>
        <v>0</v>
      </c>
    </row>
    <row r="291" spans="1:21" x14ac:dyDescent="0.3">
      <c r="A291" s="10" t="s">
        <v>1085</v>
      </c>
      <c r="B291" s="11" t="s">
        <v>1082</v>
      </c>
      <c r="C291" s="11"/>
      <c r="D291" s="11" t="s">
        <v>1086</v>
      </c>
      <c r="E291" s="11">
        <f xml:space="preserve"> IF($U$291,1,0)</f>
        <v>0</v>
      </c>
      <c r="F291" s="11" t="s">
        <v>1087</v>
      </c>
      <c r="G291" s="11">
        <v>0</v>
      </c>
      <c r="H291" s="11">
        <v>0</v>
      </c>
      <c r="I291" s="11">
        <v>0</v>
      </c>
      <c r="J291" s="11">
        <v>0</v>
      </c>
      <c r="K291" s="11">
        <v>0</v>
      </c>
      <c r="L291" s="11">
        <v>0</v>
      </c>
      <c r="M291" s="11">
        <v>0</v>
      </c>
      <c r="N291" s="11">
        <v>0</v>
      </c>
      <c r="O291" s="11">
        <v>0</v>
      </c>
      <c r="P291" s="11">
        <v>0</v>
      </c>
      <c r="Q291" s="12">
        <v>0</v>
      </c>
      <c r="R291" s="12">
        <v>0</v>
      </c>
      <c r="S291" s="12">
        <f>$G$291*$G$8+$H$291*$H$8+$I$291*$I$8+$J$291*$J$8+$K$291*$K$8+$L$291*$L$8+$M$291*$M$8+$N$291*$N$8+$O$291*$O$8+$P$291*$P$8</f>
        <v>0</v>
      </c>
      <c r="T291" s="12">
        <f>SUM($Q$291:$R$291)</f>
        <v>0</v>
      </c>
      <c r="U291" s="12">
        <f>$S$291+$T$291</f>
        <v>0</v>
      </c>
    </row>
    <row r="292" spans="1:21" x14ac:dyDescent="0.3">
      <c r="A292" s="13" t="s">
        <v>1088</v>
      </c>
      <c r="B292" s="14" t="s">
        <v>1082</v>
      </c>
      <c r="C292" s="14" t="s">
        <v>65</v>
      </c>
      <c r="D292" s="14" t="s">
        <v>1089</v>
      </c>
      <c r="E292" s="14">
        <f xml:space="preserve"> IF($U$292,1,0)</f>
        <v>0</v>
      </c>
      <c r="F292" s="14" t="s">
        <v>1090</v>
      </c>
      <c r="G292" s="14">
        <v>0</v>
      </c>
      <c r="H292" s="14">
        <v>0</v>
      </c>
      <c r="I292" s="14">
        <v>0</v>
      </c>
      <c r="J292" s="14">
        <v>0</v>
      </c>
      <c r="K292" s="14">
        <v>0</v>
      </c>
      <c r="L292" s="14">
        <v>0</v>
      </c>
      <c r="M292" s="14">
        <v>0</v>
      </c>
      <c r="N292" s="14">
        <v>0</v>
      </c>
      <c r="O292" s="14">
        <v>0</v>
      </c>
      <c r="P292" s="14">
        <v>0</v>
      </c>
      <c r="Q292" s="15">
        <v>0</v>
      </c>
      <c r="R292" s="15">
        <v>0</v>
      </c>
      <c r="S292" s="15">
        <f>$G$292*$G$8+$H$292*$H$8+$I$292*$I$8+$J$292*$J$8+$K$292*$K$8+$L$292*$L$8+$M$292*$M$8+$N$292*$N$8+$O$292*$O$8+$P$292*$P$8</f>
        <v>0</v>
      </c>
      <c r="T292" s="15">
        <f>SUM($Q$292:$R$292)</f>
        <v>0</v>
      </c>
      <c r="U292" s="15">
        <f>$S$292+$T$292</f>
        <v>0</v>
      </c>
    </row>
    <row r="293" spans="1:21" x14ac:dyDescent="0.3">
      <c r="A293" s="10" t="s">
        <v>1091</v>
      </c>
      <c r="B293" s="11" t="s">
        <v>1082</v>
      </c>
      <c r="C293" s="11"/>
      <c r="D293" s="11" t="s">
        <v>1092</v>
      </c>
      <c r="E293" s="11">
        <f xml:space="preserve"> IF($U$293,1,0)</f>
        <v>0</v>
      </c>
      <c r="F293" s="11" t="s">
        <v>1093</v>
      </c>
      <c r="G293" s="11">
        <v>0</v>
      </c>
      <c r="H293" s="11">
        <v>0</v>
      </c>
      <c r="I293" s="11">
        <v>0</v>
      </c>
      <c r="J293" s="11">
        <v>0</v>
      </c>
      <c r="K293" s="11">
        <v>0</v>
      </c>
      <c r="L293" s="11">
        <v>0</v>
      </c>
      <c r="M293" s="11">
        <v>0</v>
      </c>
      <c r="N293" s="11">
        <v>0</v>
      </c>
      <c r="O293" s="11">
        <v>0</v>
      </c>
      <c r="P293" s="11">
        <v>0</v>
      </c>
      <c r="Q293" s="12">
        <v>0</v>
      </c>
      <c r="R293" s="12">
        <v>0</v>
      </c>
      <c r="S293" s="12">
        <f>$G$293*$G$8+$H$293*$H$8+$I$293*$I$8+$J$293*$J$8+$K$293*$K$8+$L$293*$L$8+$M$293*$M$8+$N$293*$N$8+$O$293*$O$8+$P$293*$P$8</f>
        <v>0</v>
      </c>
      <c r="T293" s="12">
        <f>SUM($Q$293:$R$293)</f>
        <v>0</v>
      </c>
      <c r="U293" s="12">
        <f>$S$293+$T$293</f>
        <v>0</v>
      </c>
    </row>
    <row r="294" spans="1:21" x14ac:dyDescent="0.3">
      <c r="A294" s="13" t="s">
        <v>1094</v>
      </c>
      <c r="B294" s="14" t="s">
        <v>1095</v>
      </c>
      <c r="C294" s="14" t="s">
        <v>34</v>
      </c>
      <c r="D294" s="14" t="s">
        <v>1096</v>
      </c>
      <c r="E294" s="14">
        <f xml:space="preserve"> IF($U$294,1,0)</f>
        <v>0</v>
      </c>
      <c r="F294" s="14" t="s">
        <v>1097</v>
      </c>
      <c r="G294" s="14">
        <v>0</v>
      </c>
      <c r="H294" s="14">
        <v>0</v>
      </c>
      <c r="I294" s="14">
        <v>0</v>
      </c>
      <c r="J294" s="14">
        <v>0</v>
      </c>
      <c r="K294" s="14">
        <v>0</v>
      </c>
      <c r="L294" s="14">
        <v>0</v>
      </c>
      <c r="M294" s="14">
        <v>0</v>
      </c>
      <c r="N294" s="14">
        <v>0</v>
      </c>
      <c r="O294" s="14">
        <v>0</v>
      </c>
      <c r="P294" s="14">
        <v>0</v>
      </c>
      <c r="Q294" s="15">
        <v>0</v>
      </c>
      <c r="R294" s="15">
        <v>0</v>
      </c>
      <c r="S294" s="15">
        <f>$G$294*$G$8+$H$294*$H$8+$I$294*$I$8+$J$294*$J$8+$K$294*$K$8+$L$294*$L$8+$M$294*$M$8+$N$294*$N$8+$O$294*$O$8+$P$294*$P$8</f>
        <v>0</v>
      </c>
      <c r="T294" s="15">
        <f>SUM($Q$294:$R$294)</f>
        <v>0</v>
      </c>
      <c r="U294" s="15">
        <f>$S$294+$T$294</f>
        <v>0</v>
      </c>
    </row>
    <row r="295" spans="1:21" x14ac:dyDescent="0.3">
      <c r="A295" s="10" t="s">
        <v>1098</v>
      </c>
      <c r="B295" s="11" t="s">
        <v>1099</v>
      </c>
      <c r="C295" s="11"/>
      <c r="D295" s="11" t="s">
        <v>1100</v>
      </c>
      <c r="E295" s="11">
        <f xml:space="preserve"> IF($U$295,1,0)</f>
        <v>0</v>
      </c>
      <c r="F295" s="11" t="s">
        <v>1101</v>
      </c>
      <c r="G295" s="11">
        <v>0</v>
      </c>
      <c r="H295" s="11">
        <v>0</v>
      </c>
      <c r="I295" s="11">
        <v>0</v>
      </c>
      <c r="J295" s="11">
        <v>0</v>
      </c>
      <c r="K295" s="11">
        <v>0</v>
      </c>
      <c r="L295" s="11">
        <v>0</v>
      </c>
      <c r="M295" s="11">
        <v>0</v>
      </c>
      <c r="N295" s="11">
        <v>0</v>
      </c>
      <c r="O295" s="11">
        <v>0</v>
      </c>
      <c r="P295" s="11">
        <v>0</v>
      </c>
      <c r="Q295" s="12">
        <v>0</v>
      </c>
      <c r="R295" s="12">
        <v>0</v>
      </c>
      <c r="S295" s="12">
        <f>$G$295*$G$8+$H$295*$H$8+$I$295*$I$8+$J$295*$J$8+$K$295*$K$8+$L$295*$L$8+$M$295*$M$8+$N$295*$N$8+$O$295*$O$8+$P$295*$P$8</f>
        <v>0</v>
      </c>
      <c r="T295" s="12">
        <f>SUM($Q$295:$R$295)</f>
        <v>0</v>
      </c>
      <c r="U295" s="12">
        <f>$S$295+$T$295</f>
        <v>0</v>
      </c>
    </row>
    <row r="296" spans="1:21" x14ac:dyDescent="0.3">
      <c r="A296" s="13" t="s">
        <v>1102</v>
      </c>
      <c r="B296" s="14" t="s">
        <v>1103</v>
      </c>
      <c r="C296" s="14"/>
      <c r="D296" s="14" t="s">
        <v>1104</v>
      </c>
      <c r="E296" s="14">
        <f xml:space="preserve"> IF($U$296,1,0)</f>
        <v>0</v>
      </c>
      <c r="F296" s="14" t="s">
        <v>1105</v>
      </c>
      <c r="G296" s="14">
        <v>0</v>
      </c>
      <c r="H296" s="14">
        <v>0</v>
      </c>
      <c r="I296" s="14">
        <v>0</v>
      </c>
      <c r="J296" s="14">
        <v>0</v>
      </c>
      <c r="K296" s="14">
        <v>0</v>
      </c>
      <c r="L296" s="14">
        <v>0</v>
      </c>
      <c r="M296" s="14">
        <v>0</v>
      </c>
      <c r="N296" s="14">
        <v>0</v>
      </c>
      <c r="O296" s="14">
        <v>0</v>
      </c>
      <c r="P296" s="14">
        <v>0</v>
      </c>
      <c r="Q296" s="15">
        <v>0</v>
      </c>
      <c r="R296" s="15">
        <v>0</v>
      </c>
      <c r="S296" s="15">
        <f>$G$296*$G$8+$H$296*$H$8+$I$296*$I$8+$J$296*$J$8+$K$296*$K$8+$L$296*$L$8+$M$296*$M$8+$N$296*$N$8+$O$296*$O$8+$P$296*$P$8</f>
        <v>0</v>
      </c>
      <c r="T296" s="15">
        <f>SUM($Q$296:$R$296)</f>
        <v>0</v>
      </c>
      <c r="U296" s="15">
        <f>$S$296+$T$296</f>
        <v>0</v>
      </c>
    </row>
    <row r="297" spans="1:21" x14ac:dyDescent="0.3">
      <c r="A297" s="10" t="s">
        <v>1106</v>
      </c>
      <c r="B297" s="11" t="s">
        <v>1107</v>
      </c>
      <c r="C297" s="11"/>
      <c r="D297" s="11" t="s">
        <v>1107</v>
      </c>
      <c r="E297" s="11">
        <f xml:space="preserve"> IF($U$297,1,0)</f>
        <v>0</v>
      </c>
      <c r="F297" s="11" t="s">
        <v>1108</v>
      </c>
      <c r="G297" s="11">
        <v>0</v>
      </c>
      <c r="H297" s="11">
        <v>0</v>
      </c>
      <c r="I297" s="11">
        <v>0</v>
      </c>
      <c r="J297" s="11">
        <v>0</v>
      </c>
      <c r="K297" s="11">
        <v>0</v>
      </c>
      <c r="L297" s="11">
        <v>0</v>
      </c>
      <c r="M297" s="11">
        <v>0</v>
      </c>
      <c r="N297" s="11">
        <v>0</v>
      </c>
      <c r="O297" s="11">
        <v>0</v>
      </c>
      <c r="P297" s="11">
        <v>0</v>
      </c>
      <c r="Q297" s="12">
        <v>0</v>
      </c>
      <c r="R297" s="12">
        <v>0</v>
      </c>
      <c r="S297" s="12">
        <f>$G$297*$G$8+$H$297*$H$8+$I$297*$I$8+$J$297*$J$8+$K$297*$K$8+$L$297*$L$8+$M$297*$M$8+$N$297*$N$8+$O$297*$O$8+$P$297*$P$8</f>
        <v>0</v>
      </c>
      <c r="T297" s="12">
        <f>SUM($Q$297:$R$297)</f>
        <v>0</v>
      </c>
      <c r="U297" s="12">
        <f>$S$297+$T$297</f>
        <v>0</v>
      </c>
    </row>
    <row r="298" spans="1:21" x14ac:dyDescent="0.3">
      <c r="A298" s="13" t="s">
        <v>1109</v>
      </c>
      <c r="B298" s="14" t="s">
        <v>1110</v>
      </c>
      <c r="C298" s="14" t="s">
        <v>34</v>
      </c>
      <c r="D298" s="14" t="s">
        <v>1111</v>
      </c>
      <c r="E298" s="14">
        <f xml:space="preserve"> IF($U$298,1,0)</f>
        <v>0</v>
      </c>
      <c r="F298" s="14" t="s">
        <v>1112</v>
      </c>
      <c r="G298" s="14">
        <v>0</v>
      </c>
      <c r="H298" s="14">
        <v>0</v>
      </c>
      <c r="I298" s="14">
        <v>0</v>
      </c>
      <c r="J298" s="14">
        <v>0</v>
      </c>
      <c r="K298" s="14">
        <v>0</v>
      </c>
      <c r="L298" s="14">
        <v>0</v>
      </c>
      <c r="M298" s="14">
        <v>0</v>
      </c>
      <c r="N298" s="14">
        <v>0</v>
      </c>
      <c r="O298" s="14">
        <v>0</v>
      </c>
      <c r="P298" s="14">
        <v>0</v>
      </c>
      <c r="Q298" s="15">
        <v>0</v>
      </c>
      <c r="R298" s="15">
        <v>0</v>
      </c>
      <c r="S298" s="15">
        <f>$G$298*$G$8+$H$298*$H$8+$I$298*$I$8+$J$298*$J$8+$K$298*$K$8+$L$298*$L$8+$M$298*$M$8+$N$298*$N$8+$O$298*$O$8+$P$298*$P$8</f>
        <v>0</v>
      </c>
      <c r="T298" s="15">
        <f>SUM($Q$298:$R$298)</f>
        <v>0</v>
      </c>
      <c r="U298" s="15">
        <f>$S$298+$T$298</f>
        <v>0</v>
      </c>
    </row>
    <row r="299" spans="1:21" x14ac:dyDescent="0.3">
      <c r="A299" s="10" t="s">
        <v>1113</v>
      </c>
      <c r="B299" s="11" t="s">
        <v>1114</v>
      </c>
      <c r="C299" s="11" t="s">
        <v>34</v>
      </c>
      <c r="D299" s="11" t="s">
        <v>239</v>
      </c>
      <c r="E299" s="11">
        <f xml:space="preserve"> IF($U$299,1,0)</f>
        <v>0</v>
      </c>
      <c r="F299" s="11" t="s">
        <v>1115</v>
      </c>
      <c r="G299" s="11">
        <v>0</v>
      </c>
      <c r="H299" s="11">
        <v>0</v>
      </c>
      <c r="I299" s="11">
        <v>0</v>
      </c>
      <c r="J299" s="11">
        <v>0</v>
      </c>
      <c r="K299" s="11">
        <v>0</v>
      </c>
      <c r="L299" s="11">
        <v>0</v>
      </c>
      <c r="M299" s="11">
        <v>0</v>
      </c>
      <c r="N299" s="11">
        <v>0</v>
      </c>
      <c r="O299" s="11">
        <v>0</v>
      </c>
      <c r="P299" s="11">
        <v>0</v>
      </c>
      <c r="Q299" s="12">
        <v>0</v>
      </c>
      <c r="R299" s="12">
        <v>0</v>
      </c>
      <c r="S299" s="12">
        <f>$G$299*$G$8+$H$299*$H$8+$I$299*$I$8+$J$299*$J$8+$K$299*$K$8+$L$299*$L$8+$M$299*$M$8+$N$299*$N$8+$O$299*$O$8+$P$299*$P$8</f>
        <v>0</v>
      </c>
      <c r="T299" s="12">
        <f>SUM($Q$299:$R$299)</f>
        <v>0</v>
      </c>
      <c r="U299" s="12">
        <f>$S$299+$T$299</f>
        <v>0</v>
      </c>
    </row>
    <row r="300" spans="1:21" x14ac:dyDescent="0.3">
      <c r="A300" s="13" t="s">
        <v>1257</v>
      </c>
      <c r="B300" s="14" t="s">
        <v>1117</v>
      </c>
      <c r="C300" s="14" t="s">
        <v>202</v>
      </c>
      <c r="D300" s="14" t="s">
        <v>442</v>
      </c>
      <c r="E300" s="14">
        <f xml:space="preserve"> IF($U$300,1,0)</f>
        <v>1</v>
      </c>
      <c r="F300" s="14" t="s">
        <v>1258</v>
      </c>
      <c r="G300" s="14">
        <v>4</v>
      </c>
      <c r="H300" s="14">
        <v>0</v>
      </c>
      <c r="I300" s="14">
        <v>0</v>
      </c>
      <c r="J300" s="14">
        <v>0</v>
      </c>
      <c r="K300" s="14">
        <v>0</v>
      </c>
      <c r="L300" s="14">
        <v>0</v>
      </c>
      <c r="M300" s="14">
        <v>0</v>
      </c>
      <c r="N300" s="14">
        <v>0</v>
      </c>
      <c r="O300" s="14">
        <v>0</v>
      </c>
      <c r="P300" s="14">
        <v>0</v>
      </c>
      <c r="Q300" s="15">
        <v>0</v>
      </c>
      <c r="R300" s="15">
        <v>0</v>
      </c>
      <c r="S300" s="15">
        <f>$G$300*$G$8+$H$300*$H$8+$I$300*$I$8+$J$300*$J$8+$K$300*$K$8+$L$300*$L$8+$M$300*$M$8+$N$300*$N$8+$O$300*$O$8+$P$300*$P$8</f>
        <v>2.8</v>
      </c>
      <c r="T300" s="15">
        <f>SUM($Q$300:$R$300)</f>
        <v>0</v>
      </c>
      <c r="U300" s="15">
        <f>$S$300+$T$300</f>
        <v>2.8</v>
      </c>
    </row>
    <row r="301" spans="1:21" x14ac:dyDescent="0.3">
      <c r="A301" s="10" t="s">
        <v>1116</v>
      </c>
      <c r="B301" s="11" t="s">
        <v>1117</v>
      </c>
      <c r="C301" s="11"/>
      <c r="D301" s="11" t="s">
        <v>1118</v>
      </c>
      <c r="E301" s="11">
        <f xml:space="preserve"> IF($U$301,1,0)</f>
        <v>0</v>
      </c>
      <c r="F301" s="11" t="s">
        <v>1119</v>
      </c>
      <c r="G301" s="11">
        <v>0</v>
      </c>
      <c r="H301" s="11">
        <v>0</v>
      </c>
      <c r="I301" s="11">
        <v>0</v>
      </c>
      <c r="J301" s="11">
        <v>0</v>
      </c>
      <c r="K301" s="11">
        <v>0</v>
      </c>
      <c r="L301" s="11">
        <v>0</v>
      </c>
      <c r="M301" s="11">
        <v>0</v>
      </c>
      <c r="N301" s="11">
        <v>0</v>
      </c>
      <c r="O301" s="11">
        <v>0</v>
      </c>
      <c r="P301" s="11">
        <v>0</v>
      </c>
      <c r="Q301" s="12">
        <v>0</v>
      </c>
      <c r="R301" s="12">
        <v>0</v>
      </c>
      <c r="S301" s="12">
        <f>$G$301*$G$8+$H$301*$H$8+$I$301*$I$8+$J$301*$J$8+$K$301*$K$8+$L$301*$L$8+$M$301*$M$8+$N$301*$N$8+$O$301*$O$8+$P$301*$P$8</f>
        <v>0</v>
      </c>
      <c r="T301" s="12">
        <f>SUM($Q$301:$R$301)</f>
        <v>0</v>
      </c>
      <c r="U301" s="12">
        <f>$S$301+$T$301</f>
        <v>0</v>
      </c>
    </row>
    <row r="302" spans="1:21" x14ac:dyDescent="0.3">
      <c r="A302" s="13" t="s">
        <v>1120</v>
      </c>
      <c r="B302" s="14" t="s">
        <v>1117</v>
      </c>
      <c r="C302" s="14"/>
      <c r="D302" s="14" t="s">
        <v>1121</v>
      </c>
      <c r="E302" s="14">
        <f xml:space="preserve"> IF($U$302,1,0)</f>
        <v>0</v>
      </c>
      <c r="F302" s="14" t="s">
        <v>1122</v>
      </c>
      <c r="G302" s="14">
        <v>0</v>
      </c>
      <c r="H302" s="14">
        <v>0</v>
      </c>
      <c r="I302" s="14">
        <v>0</v>
      </c>
      <c r="J302" s="14">
        <v>0</v>
      </c>
      <c r="K302" s="14">
        <v>0</v>
      </c>
      <c r="L302" s="14">
        <v>0</v>
      </c>
      <c r="M302" s="14">
        <v>0</v>
      </c>
      <c r="N302" s="14">
        <v>0</v>
      </c>
      <c r="O302" s="14">
        <v>0</v>
      </c>
      <c r="P302" s="14">
        <v>0</v>
      </c>
      <c r="Q302" s="15">
        <v>0</v>
      </c>
      <c r="R302" s="15">
        <v>0</v>
      </c>
      <c r="S302" s="15">
        <f>$G$302*$G$8+$H$302*$H$8+$I$302*$I$8+$J$302*$J$8+$K$302*$K$8+$L$302*$L$8+$M$302*$M$8+$N$302*$N$8+$O$302*$O$8+$P$302*$P$8</f>
        <v>0</v>
      </c>
      <c r="T302" s="15">
        <f>SUM($Q$302:$R$302)</f>
        <v>0</v>
      </c>
      <c r="U302" s="15">
        <f>$S$302+$T$302</f>
        <v>0</v>
      </c>
    </row>
    <row r="303" spans="1:21" x14ac:dyDescent="0.3">
      <c r="A303" s="10" t="s">
        <v>1123</v>
      </c>
      <c r="B303" s="11" t="s">
        <v>1117</v>
      </c>
      <c r="C303" s="11"/>
      <c r="D303" s="11" t="s">
        <v>1124</v>
      </c>
      <c r="E303" s="11">
        <f xml:space="preserve"> IF($U$303,1,0)</f>
        <v>0</v>
      </c>
      <c r="F303" s="11" t="s">
        <v>1125</v>
      </c>
      <c r="G303" s="11">
        <v>0</v>
      </c>
      <c r="H303" s="11">
        <v>0</v>
      </c>
      <c r="I303" s="11">
        <v>0</v>
      </c>
      <c r="J303" s="11">
        <v>0</v>
      </c>
      <c r="K303" s="11">
        <v>0</v>
      </c>
      <c r="L303" s="11">
        <v>0</v>
      </c>
      <c r="M303" s="11">
        <v>0</v>
      </c>
      <c r="N303" s="11">
        <v>0</v>
      </c>
      <c r="O303" s="11">
        <v>0</v>
      </c>
      <c r="P303" s="11">
        <v>0</v>
      </c>
      <c r="Q303" s="12">
        <v>0</v>
      </c>
      <c r="R303" s="12">
        <v>0</v>
      </c>
      <c r="S303" s="12">
        <f>$G$303*$G$8+$H$303*$H$8+$I$303*$I$8+$J$303*$J$8+$K$303*$K$8+$L$303*$L$8+$M$303*$M$8+$N$303*$N$8+$O$303*$O$8+$P$303*$P$8</f>
        <v>0</v>
      </c>
      <c r="T303" s="12">
        <f>SUM($Q$303:$R$303)</f>
        <v>0</v>
      </c>
      <c r="U303" s="12">
        <f>$S$303+$T$303</f>
        <v>0</v>
      </c>
    </row>
    <row r="304" spans="1:21" x14ac:dyDescent="0.3">
      <c r="A304" s="13" t="s">
        <v>1126</v>
      </c>
      <c r="B304" s="14" t="s">
        <v>1117</v>
      </c>
      <c r="C304" s="14"/>
      <c r="D304" s="14" t="s">
        <v>1127</v>
      </c>
      <c r="E304" s="14">
        <f xml:space="preserve"> IF($U$304,1,0)</f>
        <v>0</v>
      </c>
      <c r="F304" s="14" t="s">
        <v>1128</v>
      </c>
      <c r="G304" s="14">
        <v>0</v>
      </c>
      <c r="H304" s="14">
        <v>0</v>
      </c>
      <c r="I304" s="14">
        <v>0</v>
      </c>
      <c r="J304" s="14">
        <v>0</v>
      </c>
      <c r="K304" s="14">
        <v>0</v>
      </c>
      <c r="L304" s="14">
        <v>0</v>
      </c>
      <c r="M304" s="14">
        <v>0</v>
      </c>
      <c r="N304" s="14">
        <v>0</v>
      </c>
      <c r="O304" s="14">
        <v>0</v>
      </c>
      <c r="P304" s="14">
        <v>0</v>
      </c>
      <c r="Q304" s="15">
        <v>0</v>
      </c>
      <c r="R304" s="15">
        <v>0</v>
      </c>
      <c r="S304" s="15">
        <f>$G$304*$G$8+$H$304*$H$8+$I$304*$I$8+$J$304*$J$8+$K$304*$K$8+$L$304*$L$8+$M$304*$M$8+$N$304*$N$8+$O$304*$O$8+$P$304*$P$8</f>
        <v>0</v>
      </c>
      <c r="T304" s="15">
        <f>SUM($Q$304:$R$304)</f>
        <v>0</v>
      </c>
      <c r="U304" s="15">
        <f>$S$304+$T$304</f>
        <v>0</v>
      </c>
    </row>
    <row r="305" spans="1:21" x14ac:dyDescent="0.3">
      <c r="A305" s="10" t="s">
        <v>1129</v>
      </c>
      <c r="B305" s="11" t="s">
        <v>1130</v>
      </c>
      <c r="C305" s="11" t="s">
        <v>34</v>
      </c>
      <c r="D305" s="11" t="s">
        <v>1131</v>
      </c>
      <c r="E305" s="11">
        <f xml:space="preserve"> IF($U$305,1,0)</f>
        <v>0</v>
      </c>
      <c r="F305" s="11" t="s">
        <v>1132</v>
      </c>
      <c r="G305" s="11">
        <v>0</v>
      </c>
      <c r="H305" s="11">
        <v>0</v>
      </c>
      <c r="I305" s="11">
        <v>0</v>
      </c>
      <c r="J305" s="11">
        <v>0</v>
      </c>
      <c r="K305" s="11">
        <v>0</v>
      </c>
      <c r="L305" s="11">
        <v>0</v>
      </c>
      <c r="M305" s="11">
        <v>0</v>
      </c>
      <c r="N305" s="11">
        <v>0</v>
      </c>
      <c r="O305" s="11">
        <v>0</v>
      </c>
      <c r="P305" s="11">
        <v>0</v>
      </c>
      <c r="Q305" s="12">
        <v>0</v>
      </c>
      <c r="R305" s="12">
        <v>0</v>
      </c>
      <c r="S305" s="12">
        <f>$G$305*$G$8+$H$305*$H$8+$I$305*$I$8+$J$305*$J$8+$K$305*$K$8+$L$305*$L$8+$M$305*$M$8+$N$305*$N$8+$O$305*$O$8+$P$305*$P$8</f>
        <v>0</v>
      </c>
      <c r="T305" s="12">
        <f>SUM($Q$305:$R$305)</f>
        <v>0</v>
      </c>
      <c r="U305" s="12">
        <f>$S$305+$T$305</f>
        <v>0</v>
      </c>
    </row>
    <row r="306" spans="1:21" x14ac:dyDescent="0.3">
      <c r="A306" s="13" t="s">
        <v>1133</v>
      </c>
      <c r="B306" s="14" t="s">
        <v>1134</v>
      </c>
      <c r="C306" s="14"/>
      <c r="D306" s="14" t="s">
        <v>1135</v>
      </c>
      <c r="E306" s="14">
        <f xml:space="preserve"> IF($U$306,1,0)</f>
        <v>0</v>
      </c>
      <c r="F306" s="14" t="s">
        <v>1136</v>
      </c>
      <c r="G306" s="14">
        <v>0</v>
      </c>
      <c r="H306" s="14">
        <v>0</v>
      </c>
      <c r="I306" s="14">
        <v>0</v>
      </c>
      <c r="J306" s="14">
        <v>0</v>
      </c>
      <c r="K306" s="14">
        <v>0</v>
      </c>
      <c r="L306" s="14">
        <v>0</v>
      </c>
      <c r="M306" s="14">
        <v>0</v>
      </c>
      <c r="N306" s="14">
        <v>0</v>
      </c>
      <c r="O306" s="14">
        <v>0</v>
      </c>
      <c r="P306" s="14">
        <v>0</v>
      </c>
      <c r="Q306" s="15">
        <v>0</v>
      </c>
      <c r="R306" s="15">
        <v>0</v>
      </c>
      <c r="S306" s="15">
        <f>$G$306*$G$8+$H$306*$H$8+$I$306*$I$8+$J$306*$J$8+$K$306*$K$8+$L$306*$L$8+$M$306*$M$8+$N$306*$N$8+$O$306*$O$8+$P$306*$P$8</f>
        <v>0</v>
      </c>
      <c r="T306" s="15">
        <f>SUM($Q$306:$R$306)</f>
        <v>0</v>
      </c>
      <c r="U306" s="15">
        <f>$S$306+$T$306</f>
        <v>0</v>
      </c>
    </row>
    <row r="307" spans="1:21" x14ac:dyDescent="0.3">
      <c r="A307" s="10" t="s">
        <v>1137</v>
      </c>
      <c r="B307" s="11" t="s">
        <v>1138</v>
      </c>
      <c r="C307" s="11"/>
      <c r="D307" s="11" t="s">
        <v>1139</v>
      </c>
      <c r="E307" s="11">
        <f xml:space="preserve"> IF($U$307,1,0)</f>
        <v>0</v>
      </c>
      <c r="F307" s="11" t="s">
        <v>1140</v>
      </c>
      <c r="G307" s="11">
        <v>0</v>
      </c>
      <c r="H307" s="11">
        <v>0</v>
      </c>
      <c r="I307" s="11">
        <v>0</v>
      </c>
      <c r="J307" s="11">
        <v>0</v>
      </c>
      <c r="K307" s="11">
        <v>0</v>
      </c>
      <c r="L307" s="11">
        <v>0</v>
      </c>
      <c r="M307" s="11">
        <v>0</v>
      </c>
      <c r="N307" s="11">
        <v>0</v>
      </c>
      <c r="O307" s="11">
        <v>0</v>
      </c>
      <c r="P307" s="11">
        <v>0</v>
      </c>
      <c r="Q307" s="12">
        <v>0</v>
      </c>
      <c r="R307" s="12">
        <v>0</v>
      </c>
      <c r="S307" s="12">
        <f>$G$307*$G$8+$H$307*$H$8+$I$307*$I$8+$J$307*$J$8+$K$307*$K$8+$L$307*$L$8+$M$307*$M$8+$N$307*$N$8+$O$307*$O$8+$P$307*$P$8</f>
        <v>0</v>
      </c>
      <c r="T307" s="12">
        <f>SUM($Q$307:$R$307)</f>
        <v>0</v>
      </c>
      <c r="U307" s="12">
        <f>$S$307+$T$307</f>
        <v>0</v>
      </c>
    </row>
    <row r="308" spans="1:21" x14ac:dyDescent="0.3">
      <c r="A308" s="13" t="s">
        <v>1141</v>
      </c>
      <c r="B308" s="14" t="s">
        <v>1142</v>
      </c>
      <c r="C308" s="14" t="s">
        <v>202</v>
      </c>
      <c r="D308" s="14" t="s">
        <v>442</v>
      </c>
      <c r="E308" s="14">
        <f xml:space="preserve"> IF($U$308,1,0)</f>
        <v>0</v>
      </c>
      <c r="F308" s="14" t="s">
        <v>1143</v>
      </c>
      <c r="G308" s="14">
        <v>0</v>
      </c>
      <c r="H308" s="14">
        <v>0</v>
      </c>
      <c r="I308" s="14">
        <v>0</v>
      </c>
      <c r="J308" s="14">
        <v>0</v>
      </c>
      <c r="K308" s="14">
        <v>0</v>
      </c>
      <c r="L308" s="14">
        <v>0</v>
      </c>
      <c r="M308" s="14">
        <v>0</v>
      </c>
      <c r="N308" s="14">
        <v>0</v>
      </c>
      <c r="O308" s="14">
        <v>0</v>
      </c>
      <c r="P308" s="14">
        <v>0</v>
      </c>
      <c r="Q308" s="15">
        <v>0</v>
      </c>
      <c r="R308" s="15">
        <v>0</v>
      </c>
      <c r="S308" s="15">
        <f>$G$308*$G$8+$H$308*$H$8+$I$308*$I$8+$J$308*$J$8+$K$308*$K$8+$L$308*$L$8+$M$308*$M$8+$N$308*$N$8+$O$308*$O$8+$P$308*$P$8</f>
        <v>0</v>
      </c>
      <c r="T308" s="15">
        <f>SUM($Q$308:$R$308)</f>
        <v>0</v>
      </c>
      <c r="U308" s="15">
        <f>$S$308+$T$308</f>
        <v>0</v>
      </c>
    </row>
    <row r="309" spans="1:21" x14ac:dyDescent="0.3">
      <c r="A309" s="10" t="s">
        <v>1144</v>
      </c>
      <c r="B309" s="11" t="s">
        <v>1142</v>
      </c>
      <c r="C309" s="11"/>
      <c r="D309" s="11" t="s">
        <v>1145</v>
      </c>
      <c r="E309" s="11">
        <f xml:space="preserve"> IF($U$309,1,0)</f>
        <v>1</v>
      </c>
      <c r="F309" s="11" t="s">
        <v>1146</v>
      </c>
      <c r="G309" s="11">
        <v>3</v>
      </c>
      <c r="H309" s="11">
        <v>0</v>
      </c>
      <c r="I309" s="11">
        <v>1</v>
      </c>
      <c r="J309" s="11">
        <v>0</v>
      </c>
      <c r="K309" s="11">
        <v>0</v>
      </c>
      <c r="L309" s="11">
        <v>0</v>
      </c>
      <c r="M309" s="11">
        <v>0</v>
      </c>
      <c r="N309" s="11">
        <v>0</v>
      </c>
      <c r="O309" s="11">
        <v>0</v>
      </c>
      <c r="P309" s="11">
        <v>0</v>
      </c>
      <c r="Q309" s="12">
        <v>0</v>
      </c>
      <c r="R309" s="12">
        <v>0</v>
      </c>
      <c r="S309" s="12">
        <f>$G$309*$G$8+$H$309*$H$8+$I$309*$I$8+$J$309*$J$8+$K$309*$K$8+$L$309*$L$8+$M$309*$M$8+$N$309*$N$8+$O$309*$O$8+$P$309*$P$8</f>
        <v>3.0999999999999996</v>
      </c>
      <c r="T309" s="12">
        <f>SUM($Q$309:$R$309)</f>
        <v>0</v>
      </c>
      <c r="U309" s="12">
        <f>$S$309+$T$309</f>
        <v>3.0999999999999996</v>
      </c>
    </row>
    <row r="310" spans="1:21" x14ac:dyDescent="0.3">
      <c r="A310" s="13" t="s">
        <v>1147</v>
      </c>
      <c r="B310" s="14" t="s">
        <v>1142</v>
      </c>
      <c r="C310" s="14"/>
      <c r="D310" s="14" t="s">
        <v>138</v>
      </c>
      <c r="E310" s="14">
        <f xml:space="preserve"> IF($U$310,1,0)</f>
        <v>0</v>
      </c>
      <c r="F310" s="14" t="s">
        <v>1148</v>
      </c>
      <c r="G310" s="14">
        <v>0</v>
      </c>
      <c r="H310" s="14">
        <v>0</v>
      </c>
      <c r="I310" s="14">
        <v>0</v>
      </c>
      <c r="J310" s="14">
        <v>0</v>
      </c>
      <c r="K310" s="14">
        <v>0</v>
      </c>
      <c r="L310" s="14">
        <v>0</v>
      </c>
      <c r="M310" s="14">
        <v>0</v>
      </c>
      <c r="N310" s="14">
        <v>0</v>
      </c>
      <c r="O310" s="14">
        <v>0</v>
      </c>
      <c r="P310" s="14">
        <v>0</v>
      </c>
      <c r="Q310" s="15">
        <v>0</v>
      </c>
      <c r="R310" s="15">
        <v>0</v>
      </c>
      <c r="S310" s="15">
        <f>$G$310*$G$8+$H$310*$H$8+$I$310*$I$8+$J$310*$J$8+$K$310*$K$8+$L$310*$L$8+$M$310*$M$8+$N$310*$N$8+$O$310*$O$8+$P$310*$P$8</f>
        <v>0</v>
      </c>
      <c r="T310" s="15">
        <f>SUM($Q$310:$R$310)</f>
        <v>0</v>
      </c>
      <c r="U310" s="15">
        <f>$S$310+$T$310</f>
        <v>0</v>
      </c>
    </row>
    <row r="311" spans="1:21" x14ac:dyDescent="0.3">
      <c r="A311" s="10" t="s">
        <v>1149</v>
      </c>
      <c r="B311" s="11" t="s">
        <v>1142</v>
      </c>
      <c r="C311" s="11"/>
      <c r="D311" s="11" t="s">
        <v>1150</v>
      </c>
      <c r="E311" s="11">
        <f xml:space="preserve"> IF($U$311,1,0)</f>
        <v>0</v>
      </c>
      <c r="F311" s="11" t="s">
        <v>1151</v>
      </c>
      <c r="G311" s="11">
        <v>0</v>
      </c>
      <c r="H311" s="11">
        <v>0</v>
      </c>
      <c r="I311" s="11">
        <v>0</v>
      </c>
      <c r="J311" s="11">
        <v>0</v>
      </c>
      <c r="K311" s="11">
        <v>0</v>
      </c>
      <c r="L311" s="11">
        <v>0</v>
      </c>
      <c r="M311" s="11">
        <v>0</v>
      </c>
      <c r="N311" s="11">
        <v>0</v>
      </c>
      <c r="O311" s="11">
        <v>0</v>
      </c>
      <c r="P311" s="11">
        <v>0</v>
      </c>
      <c r="Q311" s="12">
        <v>0</v>
      </c>
      <c r="R311" s="12">
        <v>0</v>
      </c>
      <c r="S311" s="12">
        <f>$G$311*$G$8+$H$311*$H$8+$I$311*$I$8+$J$311*$J$8+$K$311*$K$8+$L$311*$L$8+$M$311*$M$8+$N$311*$N$8+$O$311*$O$8+$P$311*$P$8</f>
        <v>0</v>
      </c>
      <c r="T311" s="12">
        <f>SUM($Q$311:$R$311)</f>
        <v>0</v>
      </c>
      <c r="U311" s="12">
        <f>$S$311+$T$311</f>
        <v>0</v>
      </c>
    </row>
    <row r="312" spans="1:21" x14ac:dyDescent="0.3">
      <c r="A312" s="13" t="s">
        <v>1152</v>
      </c>
      <c r="B312" s="14" t="s">
        <v>1142</v>
      </c>
      <c r="C312" s="14"/>
      <c r="D312" s="14" t="s">
        <v>1153</v>
      </c>
      <c r="E312" s="14">
        <f xml:space="preserve"> IF($U$312,1,0)</f>
        <v>0</v>
      </c>
      <c r="F312" s="14" t="s">
        <v>1154</v>
      </c>
      <c r="G312" s="14">
        <v>0</v>
      </c>
      <c r="H312" s="14">
        <v>0</v>
      </c>
      <c r="I312" s="14">
        <v>0</v>
      </c>
      <c r="J312" s="14">
        <v>0</v>
      </c>
      <c r="K312" s="14">
        <v>0</v>
      </c>
      <c r="L312" s="14">
        <v>0</v>
      </c>
      <c r="M312" s="14">
        <v>0</v>
      </c>
      <c r="N312" s="14">
        <v>0</v>
      </c>
      <c r="O312" s="14">
        <v>0</v>
      </c>
      <c r="P312" s="14">
        <v>0</v>
      </c>
      <c r="Q312" s="15">
        <v>0</v>
      </c>
      <c r="R312" s="15">
        <v>0</v>
      </c>
      <c r="S312" s="15">
        <f>$G$312*$G$8+$H$312*$H$8+$I$312*$I$8+$J$312*$J$8+$K$312*$K$8+$L$312*$L$8+$M$312*$M$8+$N$312*$N$8+$O$312*$O$8+$P$312*$P$8</f>
        <v>0</v>
      </c>
      <c r="T312" s="15">
        <f>SUM($Q$312:$R$312)</f>
        <v>0</v>
      </c>
      <c r="U312" s="15">
        <f>$S$312+$T$312</f>
        <v>0</v>
      </c>
    </row>
    <row r="313" spans="1:21" x14ac:dyDescent="0.3">
      <c r="A313" s="10" t="s">
        <v>1155</v>
      </c>
      <c r="B313" s="11" t="s">
        <v>1156</v>
      </c>
      <c r="C313" s="11"/>
      <c r="D313" s="11" t="s">
        <v>1157</v>
      </c>
      <c r="E313" s="11">
        <f xml:space="preserve"> IF($U$313,1,0)</f>
        <v>0</v>
      </c>
      <c r="F313" s="11" t="s">
        <v>1158</v>
      </c>
      <c r="G313" s="11">
        <v>0</v>
      </c>
      <c r="H313" s="11">
        <v>0</v>
      </c>
      <c r="I313" s="11">
        <v>0</v>
      </c>
      <c r="J313" s="11">
        <v>0</v>
      </c>
      <c r="K313" s="11">
        <v>0</v>
      </c>
      <c r="L313" s="11">
        <v>0</v>
      </c>
      <c r="M313" s="11">
        <v>0</v>
      </c>
      <c r="N313" s="11">
        <v>0</v>
      </c>
      <c r="O313" s="11">
        <v>0</v>
      </c>
      <c r="P313" s="11">
        <v>0</v>
      </c>
      <c r="Q313" s="12">
        <v>0</v>
      </c>
      <c r="R313" s="12">
        <v>0</v>
      </c>
      <c r="S313" s="12">
        <f>$G$313*$G$8+$H$313*$H$8+$I$313*$I$8+$J$313*$J$8+$K$313*$K$8+$L$313*$L$8+$M$313*$M$8+$N$313*$N$8+$O$313*$O$8+$P$313*$P$8</f>
        <v>0</v>
      </c>
      <c r="T313" s="12">
        <f>SUM($Q$313:$R$313)</f>
        <v>0</v>
      </c>
      <c r="U313" s="12">
        <f>$S$313+$T$313</f>
        <v>0</v>
      </c>
    </row>
    <row r="314" spans="1:21" x14ac:dyDescent="0.3">
      <c r="A314" s="13" t="s">
        <v>1159</v>
      </c>
      <c r="B314" s="14" t="s">
        <v>1160</v>
      </c>
      <c r="C314" s="14"/>
      <c r="D314" s="14" t="s">
        <v>1161</v>
      </c>
      <c r="E314" s="14">
        <f xml:space="preserve"> IF($U$314,1,0)</f>
        <v>0</v>
      </c>
      <c r="F314" s="14" t="s">
        <v>1162</v>
      </c>
      <c r="G314" s="14">
        <v>0</v>
      </c>
      <c r="H314" s="14">
        <v>0</v>
      </c>
      <c r="I314" s="14">
        <v>0</v>
      </c>
      <c r="J314" s="14">
        <v>0</v>
      </c>
      <c r="K314" s="14">
        <v>0</v>
      </c>
      <c r="L314" s="14">
        <v>0</v>
      </c>
      <c r="M314" s="14">
        <v>0</v>
      </c>
      <c r="N314" s="14">
        <v>0</v>
      </c>
      <c r="O314" s="14">
        <v>0</v>
      </c>
      <c r="P314" s="14">
        <v>0</v>
      </c>
      <c r="Q314" s="15">
        <v>0</v>
      </c>
      <c r="R314" s="15">
        <v>0</v>
      </c>
      <c r="S314" s="15">
        <f>$G$314*$G$8+$H$314*$H$8+$I$314*$I$8+$J$314*$J$8+$K$314*$K$8+$L$314*$L$8+$M$314*$M$8+$N$314*$N$8+$O$314*$O$8+$P$314*$P$8</f>
        <v>0</v>
      </c>
      <c r="T314" s="15">
        <f>SUM($Q$314:$R$314)</f>
        <v>0</v>
      </c>
      <c r="U314" s="15">
        <f>$S$314+$T$314</f>
        <v>0</v>
      </c>
    </row>
    <row r="315" spans="1:21" x14ac:dyDescent="0.3">
      <c r="A315" s="10" t="s">
        <v>1163</v>
      </c>
      <c r="B315" s="11" t="s">
        <v>1160</v>
      </c>
      <c r="C315" s="11"/>
      <c r="D315" s="11" t="s">
        <v>1164</v>
      </c>
      <c r="E315" s="11">
        <f xml:space="preserve"> IF($U$315,1,0)</f>
        <v>0</v>
      </c>
      <c r="F315" s="11" t="s">
        <v>1165</v>
      </c>
      <c r="G315" s="11">
        <v>0</v>
      </c>
      <c r="H315" s="11">
        <v>0</v>
      </c>
      <c r="I315" s="11">
        <v>0</v>
      </c>
      <c r="J315" s="11">
        <v>0</v>
      </c>
      <c r="K315" s="11">
        <v>0</v>
      </c>
      <c r="L315" s="11">
        <v>0</v>
      </c>
      <c r="M315" s="11">
        <v>0</v>
      </c>
      <c r="N315" s="11">
        <v>0</v>
      </c>
      <c r="O315" s="11">
        <v>0</v>
      </c>
      <c r="P315" s="11">
        <v>0</v>
      </c>
      <c r="Q315" s="12">
        <v>0</v>
      </c>
      <c r="R315" s="12">
        <v>0</v>
      </c>
      <c r="S315" s="12">
        <f>$G$315*$G$8+$H$315*$H$8+$I$315*$I$8+$J$315*$J$8+$K$315*$K$8+$L$315*$L$8+$M$315*$M$8+$N$315*$N$8+$O$315*$O$8+$P$315*$P$8</f>
        <v>0</v>
      </c>
      <c r="T315" s="12">
        <f>SUM($Q$315:$R$315)</f>
        <v>0</v>
      </c>
      <c r="U315" s="12">
        <f>$S$315+$T$315</f>
        <v>0</v>
      </c>
    </row>
    <row r="316" spans="1:21" x14ac:dyDescent="0.3">
      <c r="A316" s="13" t="s">
        <v>1166</v>
      </c>
      <c r="B316" s="14" t="s">
        <v>1160</v>
      </c>
      <c r="C316" s="14" t="s">
        <v>243</v>
      </c>
      <c r="D316" s="14" t="s">
        <v>1167</v>
      </c>
      <c r="E316" s="14">
        <f xml:space="preserve"> IF($U$316,1,0)</f>
        <v>1</v>
      </c>
      <c r="F316" s="14" t="s">
        <v>1168</v>
      </c>
      <c r="G316" s="14">
        <v>1</v>
      </c>
      <c r="H316" s="14">
        <v>1</v>
      </c>
      <c r="I316" s="14">
        <v>0</v>
      </c>
      <c r="J316" s="14">
        <v>0</v>
      </c>
      <c r="K316" s="14">
        <v>0</v>
      </c>
      <c r="L316" s="14">
        <v>1</v>
      </c>
      <c r="M316" s="14">
        <v>0</v>
      </c>
      <c r="N316" s="14">
        <v>0</v>
      </c>
      <c r="O316" s="14">
        <v>0</v>
      </c>
      <c r="P316" s="14">
        <v>0</v>
      </c>
      <c r="Q316" s="15">
        <v>0</v>
      </c>
      <c r="R316" s="15">
        <v>0</v>
      </c>
      <c r="S316" s="15">
        <f>$G$316*$G$8+$H$316*$H$8+$I$316*$I$8+$J$316*$J$8+$K$316*$K$8+$L$316*$L$8+$M$316*$M$8+$N$316*$N$8+$O$316*$O$8+$P$316*$P$8</f>
        <v>5.5</v>
      </c>
      <c r="T316" s="15">
        <f>SUM($Q$316:$R$316)</f>
        <v>0</v>
      </c>
      <c r="U316" s="15">
        <f>$S$316+$T$316</f>
        <v>5.5</v>
      </c>
    </row>
    <row r="317" spans="1:21" x14ac:dyDescent="0.3">
      <c r="A317" s="10" t="s">
        <v>1169</v>
      </c>
      <c r="B317" s="11" t="s">
        <v>1170</v>
      </c>
      <c r="C317" s="11"/>
      <c r="D317" s="11" t="s">
        <v>1171</v>
      </c>
      <c r="E317" s="11">
        <f xml:space="preserve"> IF($U$317,1,0)</f>
        <v>0</v>
      </c>
      <c r="F317" s="11" t="s">
        <v>1172</v>
      </c>
      <c r="G317" s="11">
        <v>0</v>
      </c>
      <c r="H317" s="11">
        <v>0</v>
      </c>
      <c r="I317" s="11">
        <v>0</v>
      </c>
      <c r="J317" s="11">
        <v>0</v>
      </c>
      <c r="K317" s="11">
        <v>0</v>
      </c>
      <c r="L317" s="11">
        <v>0</v>
      </c>
      <c r="M317" s="11">
        <v>0</v>
      </c>
      <c r="N317" s="11">
        <v>0</v>
      </c>
      <c r="O317" s="11">
        <v>0</v>
      </c>
      <c r="P317" s="11">
        <v>0</v>
      </c>
      <c r="Q317" s="12">
        <v>0</v>
      </c>
      <c r="R317" s="12">
        <v>0</v>
      </c>
      <c r="S317" s="12">
        <f>$G$317*$G$8+$H$317*$H$8+$I$317*$I$8+$J$317*$J$8+$K$317*$K$8+$L$317*$L$8+$M$317*$M$8+$N$317*$N$8+$O$317*$O$8+$P$317*$P$8</f>
        <v>0</v>
      </c>
      <c r="T317" s="12">
        <f>SUM($Q$317:$R$317)</f>
        <v>0</v>
      </c>
      <c r="U317" s="12">
        <f>$S$317+$T$317</f>
        <v>0</v>
      </c>
    </row>
    <row r="318" spans="1:21" x14ac:dyDescent="0.3">
      <c r="A318" s="13" t="s">
        <v>1173</v>
      </c>
      <c r="B318" s="14" t="s">
        <v>1174</v>
      </c>
      <c r="C318" s="14"/>
      <c r="D318" s="14" t="s">
        <v>1175</v>
      </c>
      <c r="E318" s="14">
        <f xml:space="preserve"> IF($U$318,1,0)</f>
        <v>0</v>
      </c>
      <c r="F318" s="14" t="s">
        <v>1176</v>
      </c>
      <c r="G318" s="14">
        <v>0</v>
      </c>
      <c r="H318" s="14">
        <v>0</v>
      </c>
      <c r="I318" s="14">
        <v>0</v>
      </c>
      <c r="J318" s="14">
        <v>0</v>
      </c>
      <c r="K318" s="14">
        <v>0</v>
      </c>
      <c r="L318" s="14">
        <v>0</v>
      </c>
      <c r="M318" s="14">
        <v>0</v>
      </c>
      <c r="N318" s="14">
        <v>0</v>
      </c>
      <c r="O318" s="14">
        <v>0</v>
      </c>
      <c r="P318" s="14">
        <v>0</v>
      </c>
      <c r="Q318" s="15">
        <v>0</v>
      </c>
      <c r="R318" s="15">
        <v>0</v>
      </c>
      <c r="S318" s="15">
        <f>$G$318*$G$8+$H$318*$H$8+$I$318*$I$8+$J$318*$J$8+$K$318*$K$8+$L$318*$L$8+$M$318*$M$8+$N$318*$N$8+$O$318*$O$8+$P$318*$P$8</f>
        <v>0</v>
      </c>
      <c r="T318" s="15">
        <f>SUM($Q$318:$R$318)</f>
        <v>0</v>
      </c>
      <c r="U318" s="15">
        <f>$S$318+$T$318</f>
        <v>0</v>
      </c>
    </row>
    <row r="319" spans="1:21" x14ac:dyDescent="0.3">
      <c r="A319" s="10" t="s">
        <v>1177</v>
      </c>
      <c r="B319" s="11" t="s">
        <v>1174</v>
      </c>
      <c r="C319" s="11" t="s">
        <v>65</v>
      </c>
      <c r="D319" s="11" t="s">
        <v>1178</v>
      </c>
      <c r="E319" s="11">
        <f xml:space="preserve"> IF($U$319,1,0)</f>
        <v>0</v>
      </c>
      <c r="F319" s="11" t="s">
        <v>1179</v>
      </c>
      <c r="G319" s="11">
        <v>0</v>
      </c>
      <c r="H319" s="11">
        <v>0</v>
      </c>
      <c r="I319" s="11">
        <v>0</v>
      </c>
      <c r="J319" s="11">
        <v>0</v>
      </c>
      <c r="K319" s="11">
        <v>0</v>
      </c>
      <c r="L319" s="11">
        <v>0</v>
      </c>
      <c r="M319" s="11">
        <v>0</v>
      </c>
      <c r="N319" s="11">
        <v>0</v>
      </c>
      <c r="O319" s="11">
        <v>0</v>
      </c>
      <c r="P319" s="11">
        <v>0</v>
      </c>
      <c r="Q319" s="12">
        <v>0</v>
      </c>
      <c r="R319" s="12">
        <v>0</v>
      </c>
      <c r="S319" s="12">
        <f>$G$319*$G$8+$H$319*$H$8+$I$319*$I$8+$J$319*$J$8+$K$319*$K$8+$L$319*$L$8+$M$319*$M$8+$N$319*$N$8+$O$319*$O$8+$P$319*$P$8</f>
        <v>0</v>
      </c>
      <c r="T319" s="12">
        <f>SUM($Q$319:$R$319)</f>
        <v>0</v>
      </c>
      <c r="U319" s="12">
        <f>$S$319+$T$319</f>
        <v>0</v>
      </c>
    </row>
    <row r="320" spans="1:21" x14ac:dyDescent="0.3">
      <c r="A320" s="13" t="s">
        <v>1180</v>
      </c>
      <c r="B320" s="14" t="s">
        <v>1181</v>
      </c>
      <c r="C320" s="14"/>
      <c r="D320" s="14" t="s">
        <v>1182</v>
      </c>
      <c r="E320" s="14">
        <f xml:space="preserve"> IF($U$320,1,0)</f>
        <v>0</v>
      </c>
      <c r="F320" s="14" t="s">
        <v>1183</v>
      </c>
      <c r="G320" s="14">
        <v>0</v>
      </c>
      <c r="H320" s="14">
        <v>0</v>
      </c>
      <c r="I320" s="14">
        <v>0</v>
      </c>
      <c r="J320" s="14">
        <v>0</v>
      </c>
      <c r="K320" s="14">
        <v>0</v>
      </c>
      <c r="L320" s="14">
        <v>0</v>
      </c>
      <c r="M320" s="14">
        <v>0</v>
      </c>
      <c r="N320" s="14">
        <v>0</v>
      </c>
      <c r="O320" s="14">
        <v>0</v>
      </c>
      <c r="P320" s="14">
        <v>0</v>
      </c>
      <c r="Q320" s="15">
        <v>0</v>
      </c>
      <c r="R320" s="15">
        <v>0</v>
      </c>
      <c r="S320" s="15">
        <f>$G$320*$G$8+$H$320*$H$8+$I$320*$I$8+$J$320*$J$8+$K$320*$K$8+$L$320*$L$8+$M$320*$M$8+$N$320*$N$8+$O$320*$O$8+$P$320*$P$8</f>
        <v>0</v>
      </c>
      <c r="T320" s="15">
        <f>SUM($Q$320:$R$320)</f>
        <v>0</v>
      </c>
      <c r="U320" s="15">
        <f>$S$320+$T$320</f>
        <v>0</v>
      </c>
    </row>
    <row r="321" spans="1:21" x14ac:dyDescent="0.3">
      <c r="A321" s="10" t="s">
        <v>1184</v>
      </c>
      <c r="B321" s="11" t="s">
        <v>1185</v>
      </c>
      <c r="C321" s="11" t="s">
        <v>65</v>
      </c>
      <c r="D321" s="11" t="s">
        <v>1186</v>
      </c>
      <c r="E321" s="11">
        <f xml:space="preserve"> IF($U$321,1,0)</f>
        <v>0</v>
      </c>
      <c r="F321" s="11" t="s">
        <v>1187</v>
      </c>
      <c r="G321" s="11">
        <v>0</v>
      </c>
      <c r="H321" s="11">
        <v>0</v>
      </c>
      <c r="I321" s="11">
        <v>0</v>
      </c>
      <c r="J321" s="11">
        <v>0</v>
      </c>
      <c r="K321" s="11">
        <v>0</v>
      </c>
      <c r="L321" s="11">
        <v>0</v>
      </c>
      <c r="M321" s="11">
        <v>0</v>
      </c>
      <c r="N321" s="11">
        <v>0</v>
      </c>
      <c r="O321" s="11">
        <v>0</v>
      </c>
      <c r="P321" s="11">
        <v>0</v>
      </c>
      <c r="Q321" s="12">
        <v>0</v>
      </c>
      <c r="R321" s="12">
        <v>0</v>
      </c>
      <c r="S321" s="12">
        <f>$G$321*$G$8+$H$321*$H$8+$I$321*$I$8+$J$321*$J$8+$K$321*$K$8+$L$321*$L$8+$M$321*$M$8+$N$321*$N$8+$O$321*$O$8+$P$321*$P$8</f>
        <v>0</v>
      </c>
      <c r="T321" s="12">
        <f>SUM($Q$321:$R$321)</f>
        <v>0</v>
      </c>
      <c r="U321" s="12">
        <f>$S$321+$T$321</f>
        <v>0</v>
      </c>
    </row>
    <row r="322" spans="1:21" x14ac:dyDescent="0.3">
      <c r="A322" s="13" t="s">
        <v>1188</v>
      </c>
      <c r="B322" s="14" t="s">
        <v>1189</v>
      </c>
      <c r="C322" s="14"/>
      <c r="D322" s="14" t="s">
        <v>1190</v>
      </c>
      <c r="E322" s="14">
        <f xml:space="preserve"> IF($U$322,1,0)</f>
        <v>0</v>
      </c>
      <c r="F322" s="14" t="s">
        <v>1191</v>
      </c>
      <c r="G322" s="14">
        <v>0</v>
      </c>
      <c r="H322" s="14">
        <v>0</v>
      </c>
      <c r="I322" s="14">
        <v>0</v>
      </c>
      <c r="J322" s="14">
        <v>0</v>
      </c>
      <c r="K322" s="14">
        <v>0</v>
      </c>
      <c r="L322" s="14">
        <v>0</v>
      </c>
      <c r="M322" s="14">
        <v>0</v>
      </c>
      <c r="N322" s="14">
        <v>0</v>
      </c>
      <c r="O322" s="14">
        <v>0</v>
      </c>
      <c r="P322" s="14">
        <v>0</v>
      </c>
      <c r="Q322" s="15">
        <v>0</v>
      </c>
      <c r="R322" s="15">
        <v>0</v>
      </c>
      <c r="S322" s="15">
        <f>$G$322*$G$8+$H$322*$H$8+$I$322*$I$8+$J$322*$J$8+$K$322*$K$8+$L$322*$L$8+$M$322*$M$8+$N$322*$N$8+$O$322*$O$8+$P$322*$P$8</f>
        <v>0</v>
      </c>
      <c r="T322" s="15">
        <f>SUM($Q$322:$R$322)</f>
        <v>0</v>
      </c>
      <c r="U322" s="15">
        <f>$S$322+$T$322</f>
        <v>0</v>
      </c>
    </row>
    <row r="323" spans="1:21" x14ac:dyDescent="0.3">
      <c r="A323" s="10" t="s">
        <v>1192</v>
      </c>
      <c r="B323" s="11" t="s">
        <v>1193</v>
      </c>
      <c r="C323" s="11"/>
      <c r="D323" s="11" t="s">
        <v>1194</v>
      </c>
      <c r="E323" s="11">
        <f xml:space="preserve"> IF($U$323,1,0)</f>
        <v>1</v>
      </c>
      <c r="F323" s="11" t="s">
        <v>1195</v>
      </c>
      <c r="G323" s="11">
        <v>7</v>
      </c>
      <c r="H323" s="11">
        <v>1</v>
      </c>
      <c r="I323" s="11">
        <v>0</v>
      </c>
      <c r="J323" s="11">
        <v>0</v>
      </c>
      <c r="K323" s="11">
        <v>0</v>
      </c>
      <c r="L323" s="11">
        <v>0</v>
      </c>
      <c r="M323" s="11">
        <v>0</v>
      </c>
      <c r="N323" s="11">
        <v>0</v>
      </c>
      <c r="O323" s="11">
        <v>0</v>
      </c>
      <c r="P323" s="11">
        <v>0</v>
      </c>
      <c r="Q323" s="12">
        <v>0</v>
      </c>
      <c r="R323" s="12">
        <v>0</v>
      </c>
      <c r="S323" s="12">
        <f>$G$323*$G$8+$H$323*$H$8+$I$323*$I$8+$J$323*$J$8+$K$323*$K$8+$L$323*$L$8+$M$323*$M$8+$N$323*$N$8+$O$323*$O$8+$P$323*$P$8</f>
        <v>6.6999999999999993</v>
      </c>
      <c r="T323" s="12">
        <f>SUM($Q$323:$R$323)</f>
        <v>0</v>
      </c>
      <c r="U323" s="12">
        <f>$S$323+$T$323</f>
        <v>6.6999999999999993</v>
      </c>
    </row>
    <row r="324" spans="1:21" x14ac:dyDescent="0.3">
      <c r="A324" s="13" t="s">
        <v>1196</v>
      </c>
      <c r="B324" s="14" t="s">
        <v>1197</v>
      </c>
      <c r="C324" s="14"/>
      <c r="D324" s="14" t="s">
        <v>1198</v>
      </c>
      <c r="E324" s="14">
        <f xml:space="preserve"> IF($U$324,1,0)</f>
        <v>0</v>
      </c>
      <c r="F324" s="14" t="s">
        <v>1199</v>
      </c>
      <c r="G324" s="14">
        <v>0</v>
      </c>
      <c r="H324" s="14">
        <v>0</v>
      </c>
      <c r="I324" s="14">
        <v>0</v>
      </c>
      <c r="J324" s="14">
        <v>0</v>
      </c>
      <c r="K324" s="14">
        <v>0</v>
      </c>
      <c r="L324" s="14">
        <v>0</v>
      </c>
      <c r="M324" s="14">
        <v>0</v>
      </c>
      <c r="N324" s="14">
        <v>0</v>
      </c>
      <c r="O324" s="14">
        <v>0</v>
      </c>
      <c r="P324" s="14">
        <v>0</v>
      </c>
      <c r="Q324" s="15">
        <v>0</v>
      </c>
      <c r="R324" s="15">
        <v>0</v>
      </c>
      <c r="S324" s="15">
        <f>$G$324*$G$8+$H$324*$H$8+$I$324*$I$8+$J$324*$J$8+$K$324*$K$8+$L$324*$L$8+$M$324*$M$8+$N$324*$N$8+$O$324*$O$8+$P$324*$P$8</f>
        <v>0</v>
      </c>
      <c r="T324" s="15">
        <f>SUM($Q$324:$R$324)</f>
        <v>0</v>
      </c>
      <c r="U324" s="15">
        <f>$S$324+$T$324</f>
        <v>0</v>
      </c>
    </row>
    <row r="325" spans="1:21" x14ac:dyDescent="0.3">
      <c r="A325" s="10" t="s">
        <v>1200</v>
      </c>
      <c r="B325" s="11" t="s">
        <v>1201</v>
      </c>
      <c r="C325" s="11"/>
      <c r="D325" s="11" t="s">
        <v>1202</v>
      </c>
      <c r="E325" s="11">
        <f xml:space="preserve"> IF($U$325,1,0)</f>
        <v>0</v>
      </c>
      <c r="F325" s="11" t="s">
        <v>1203</v>
      </c>
      <c r="G325" s="11">
        <v>0</v>
      </c>
      <c r="H325" s="11">
        <v>0</v>
      </c>
      <c r="I325" s="11">
        <v>0</v>
      </c>
      <c r="J325" s="11">
        <v>0</v>
      </c>
      <c r="K325" s="11">
        <v>0</v>
      </c>
      <c r="L325" s="11">
        <v>0</v>
      </c>
      <c r="M325" s="11">
        <v>0</v>
      </c>
      <c r="N325" s="11">
        <v>0</v>
      </c>
      <c r="O325" s="11">
        <v>0</v>
      </c>
      <c r="P325" s="11">
        <v>0</v>
      </c>
      <c r="Q325" s="12">
        <v>0</v>
      </c>
      <c r="R325" s="12">
        <v>0</v>
      </c>
      <c r="S325" s="12">
        <f>$G$325*$G$8+$H$325*$H$8+$I$325*$I$8+$J$325*$J$8+$K$325*$K$8+$L$325*$L$8+$M$325*$M$8+$N$325*$N$8+$O$325*$O$8+$P$325*$P$8</f>
        <v>0</v>
      </c>
      <c r="T325" s="12">
        <f>SUM($Q$325:$R$325)</f>
        <v>0</v>
      </c>
      <c r="U325" s="12">
        <f>$S$325+$T$325</f>
        <v>0</v>
      </c>
    </row>
    <row r="326" spans="1:21" x14ac:dyDescent="0.3">
      <c r="A326" s="13" t="s">
        <v>1204</v>
      </c>
      <c r="B326" s="14" t="s">
        <v>1205</v>
      </c>
      <c r="C326" s="14"/>
      <c r="D326" s="14" t="s">
        <v>1206</v>
      </c>
      <c r="E326" s="14">
        <f xml:space="preserve"> IF($U$326,1,0)</f>
        <v>0</v>
      </c>
      <c r="F326" s="14" t="s">
        <v>1207</v>
      </c>
      <c r="G326" s="14">
        <v>0</v>
      </c>
      <c r="H326" s="14">
        <v>0</v>
      </c>
      <c r="I326" s="14">
        <v>0</v>
      </c>
      <c r="J326" s="14">
        <v>0</v>
      </c>
      <c r="K326" s="14">
        <v>0</v>
      </c>
      <c r="L326" s="14">
        <v>0</v>
      </c>
      <c r="M326" s="14">
        <v>0</v>
      </c>
      <c r="N326" s="14">
        <v>0</v>
      </c>
      <c r="O326" s="14">
        <v>0</v>
      </c>
      <c r="P326" s="14">
        <v>0</v>
      </c>
      <c r="Q326" s="15">
        <v>0</v>
      </c>
      <c r="R326" s="15">
        <v>0</v>
      </c>
      <c r="S326" s="15">
        <f>$G$326*$G$8+$H$326*$H$8+$I$326*$I$8+$J$326*$J$8+$K$326*$K$8+$L$326*$L$8+$M$326*$M$8+$N$326*$N$8+$O$326*$O$8+$P$326*$P$8</f>
        <v>0</v>
      </c>
      <c r="T326" s="15">
        <f>SUM($Q$326:$R$326)</f>
        <v>0</v>
      </c>
      <c r="U326" s="15">
        <f>$S$326+$T$326</f>
        <v>0</v>
      </c>
    </row>
    <row r="327" spans="1:21" x14ac:dyDescent="0.3">
      <c r="A327" s="10" t="s">
        <v>1208</v>
      </c>
      <c r="B327" s="11" t="s">
        <v>1205</v>
      </c>
      <c r="C327" s="11"/>
      <c r="D327" s="11" t="s">
        <v>1209</v>
      </c>
      <c r="E327" s="11">
        <f xml:space="preserve"> IF($U$327,1,0)</f>
        <v>1</v>
      </c>
      <c r="F327" s="11" t="s">
        <v>1210</v>
      </c>
      <c r="G327" s="11">
        <v>3</v>
      </c>
      <c r="H327" s="11">
        <v>2</v>
      </c>
      <c r="I327" s="11">
        <v>0</v>
      </c>
      <c r="J327" s="11">
        <v>0</v>
      </c>
      <c r="K327" s="11">
        <v>0</v>
      </c>
      <c r="L327" s="11">
        <v>0</v>
      </c>
      <c r="M327" s="11">
        <v>0</v>
      </c>
      <c r="N327" s="11">
        <v>0</v>
      </c>
      <c r="O327" s="11">
        <v>0</v>
      </c>
      <c r="P327" s="11">
        <v>0</v>
      </c>
      <c r="Q327" s="12">
        <v>0</v>
      </c>
      <c r="R327" s="12">
        <v>0</v>
      </c>
      <c r="S327" s="12">
        <f>$G$327*$G$8+$H$327*$H$8+$I$327*$I$8+$J$327*$J$8+$K$327*$K$8+$L$327*$L$8+$M$327*$M$8+$N$327*$N$8+$O$327*$O$8+$P$327*$P$8</f>
        <v>5.6999999999999993</v>
      </c>
      <c r="T327" s="12">
        <f>SUM($Q$327:$R$327)</f>
        <v>0</v>
      </c>
      <c r="U327" s="12">
        <f>$S$327+$T$327</f>
        <v>5.6999999999999993</v>
      </c>
    </row>
    <row r="328" spans="1:21" x14ac:dyDescent="0.3">
      <c r="A328" s="13" t="s">
        <v>1211</v>
      </c>
      <c r="B328" s="14" t="s">
        <v>1212</v>
      </c>
      <c r="C328" s="14"/>
      <c r="D328" s="14" t="s">
        <v>670</v>
      </c>
      <c r="E328" s="14">
        <f xml:space="preserve"> IF($U$328,1,0)</f>
        <v>1</v>
      </c>
      <c r="F328" s="14" t="s">
        <v>1213</v>
      </c>
      <c r="G328" s="14">
        <v>2</v>
      </c>
      <c r="H328" s="14">
        <v>0</v>
      </c>
      <c r="I328" s="14">
        <v>0</v>
      </c>
      <c r="J328" s="14">
        <v>0</v>
      </c>
      <c r="K328" s="14">
        <v>0</v>
      </c>
      <c r="L328" s="14">
        <v>0</v>
      </c>
      <c r="M328" s="14">
        <v>0</v>
      </c>
      <c r="N328" s="14">
        <v>0</v>
      </c>
      <c r="O328" s="14">
        <v>0</v>
      </c>
      <c r="P328" s="14">
        <v>0</v>
      </c>
      <c r="Q328" s="15">
        <v>0</v>
      </c>
      <c r="R328" s="15">
        <v>0</v>
      </c>
      <c r="S328" s="15">
        <f>$G$328*$G$8+$H$328*$H$8+$I$328*$I$8+$J$328*$J$8+$K$328*$K$8+$L$328*$L$8+$M$328*$M$8+$N$328*$N$8+$O$328*$O$8+$P$328*$P$8</f>
        <v>1.4</v>
      </c>
      <c r="T328" s="15">
        <f>SUM($Q$328:$R$328)</f>
        <v>0</v>
      </c>
      <c r="U328" s="15">
        <f>$S$328+$T$328</f>
        <v>1.4</v>
      </c>
    </row>
    <row r="329" spans="1:21" x14ac:dyDescent="0.3">
      <c r="A329" s="10" t="s">
        <v>1214</v>
      </c>
      <c r="B329" s="11" t="s">
        <v>1215</v>
      </c>
      <c r="C329" s="11"/>
      <c r="D329" s="11" t="s">
        <v>1216</v>
      </c>
      <c r="E329" s="11">
        <f xml:space="preserve"> IF($U$329,1,0)</f>
        <v>1</v>
      </c>
      <c r="F329" s="11" t="s">
        <v>1217</v>
      </c>
      <c r="G329" s="11">
        <v>4</v>
      </c>
      <c r="H329" s="11">
        <v>0</v>
      </c>
      <c r="I329" s="11">
        <v>0</v>
      </c>
      <c r="J329" s="11">
        <v>0</v>
      </c>
      <c r="K329" s="11">
        <v>1</v>
      </c>
      <c r="L329" s="11">
        <v>0</v>
      </c>
      <c r="M329" s="11">
        <v>0</v>
      </c>
      <c r="N329" s="11">
        <v>0</v>
      </c>
      <c r="O329" s="11">
        <v>0</v>
      </c>
      <c r="P329" s="11">
        <v>0</v>
      </c>
      <c r="Q329" s="12">
        <v>0</v>
      </c>
      <c r="R329" s="12">
        <v>0</v>
      </c>
      <c r="S329" s="12">
        <f>$G$329*$G$8+$H$329*$H$8+$I$329*$I$8+$J$329*$J$8+$K$329*$K$8+$L$329*$L$8+$M$329*$M$8+$N$329*$N$8+$O$329*$O$8+$P$329*$P$8</f>
        <v>4.8</v>
      </c>
      <c r="T329" s="12">
        <f>SUM($Q$329:$R$329)</f>
        <v>0</v>
      </c>
      <c r="U329" s="12">
        <f>$S$329+$T$329</f>
        <v>4.8</v>
      </c>
    </row>
    <row r="330" spans="1:21" x14ac:dyDescent="0.3">
      <c r="A330" s="13" t="s">
        <v>1218</v>
      </c>
      <c r="B330" s="14" t="s">
        <v>1219</v>
      </c>
      <c r="C330" s="14" t="s">
        <v>202</v>
      </c>
      <c r="D330" s="14" t="s">
        <v>1068</v>
      </c>
      <c r="E330" s="14">
        <f xml:space="preserve"> IF($U$330,1,0)</f>
        <v>0</v>
      </c>
      <c r="F330" s="14" t="s">
        <v>1220</v>
      </c>
      <c r="G330" s="14">
        <v>0</v>
      </c>
      <c r="H330" s="14">
        <v>0</v>
      </c>
      <c r="I330" s="14">
        <v>0</v>
      </c>
      <c r="J330" s="14">
        <v>0</v>
      </c>
      <c r="K330" s="14">
        <v>0</v>
      </c>
      <c r="L330" s="14">
        <v>0</v>
      </c>
      <c r="M330" s="14">
        <v>0</v>
      </c>
      <c r="N330" s="14">
        <v>0</v>
      </c>
      <c r="O330" s="14">
        <v>0</v>
      </c>
      <c r="P330" s="14">
        <v>0</v>
      </c>
      <c r="Q330" s="15">
        <v>0</v>
      </c>
      <c r="R330" s="15">
        <v>0</v>
      </c>
      <c r="S330" s="15">
        <f>$G$330*$G$8+$H$330*$H$8+$I$330*$I$8+$J$330*$J$8+$K$330*$K$8+$L$330*$L$8+$M$330*$M$8+$N$330*$N$8+$O$330*$O$8+$P$330*$P$8</f>
        <v>0</v>
      </c>
      <c r="T330" s="15">
        <f>SUM($Q$330:$R$330)</f>
        <v>0</v>
      </c>
      <c r="U330" s="15">
        <f>$S$330+$T$330</f>
        <v>0</v>
      </c>
    </row>
    <row r="331" spans="1:21" x14ac:dyDescent="0.3">
      <c r="A331" s="10" t="s">
        <v>1221</v>
      </c>
      <c r="B331" s="11" t="s">
        <v>1222</v>
      </c>
      <c r="C331" s="11"/>
      <c r="D331" s="11" t="s">
        <v>1223</v>
      </c>
      <c r="E331" s="11">
        <f xml:space="preserve"> IF($U$331,1,0)</f>
        <v>0</v>
      </c>
      <c r="F331" s="11" t="s">
        <v>1224</v>
      </c>
      <c r="G331" s="11">
        <v>0</v>
      </c>
      <c r="H331" s="11">
        <v>0</v>
      </c>
      <c r="I331" s="11">
        <v>0</v>
      </c>
      <c r="J331" s="11">
        <v>0</v>
      </c>
      <c r="K331" s="11">
        <v>0</v>
      </c>
      <c r="L331" s="11">
        <v>0</v>
      </c>
      <c r="M331" s="11">
        <v>0</v>
      </c>
      <c r="N331" s="11">
        <v>0</v>
      </c>
      <c r="O331" s="11">
        <v>0</v>
      </c>
      <c r="P331" s="11">
        <v>0</v>
      </c>
      <c r="Q331" s="12">
        <v>0</v>
      </c>
      <c r="R331" s="12">
        <v>0</v>
      </c>
      <c r="S331" s="12">
        <f>$G$331*$G$8+$H$331*$H$8+$I$331*$I$8+$J$331*$J$8+$K$331*$K$8+$L$331*$L$8+$M$331*$M$8+$N$331*$N$8+$O$331*$O$8+$P$331*$P$8</f>
        <v>0</v>
      </c>
      <c r="T331" s="12">
        <f>SUM($Q$331:$R$331)</f>
        <v>0</v>
      </c>
      <c r="U331" s="12">
        <f>$S$331+$T$331</f>
        <v>0</v>
      </c>
    </row>
    <row r="332" spans="1:21" x14ac:dyDescent="0.3">
      <c r="A332" s="13" t="s">
        <v>1225</v>
      </c>
      <c r="B332" s="14" t="s">
        <v>1226</v>
      </c>
      <c r="C332" s="14" t="s">
        <v>34</v>
      </c>
      <c r="D332" s="14" t="s">
        <v>1227</v>
      </c>
      <c r="E332" s="14">
        <f xml:space="preserve"> IF($U$332,1,0)</f>
        <v>0</v>
      </c>
      <c r="F332" s="14" t="s">
        <v>1228</v>
      </c>
      <c r="G332" s="14">
        <v>0</v>
      </c>
      <c r="H332" s="14">
        <v>0</v>
      </c>
      <c r="I332" s="14">
        <v>0</v>
      </c>
      <c r="J332" s="14">
        <v>0</v>
      </c>
      <c r="K332" s="14">
        <v>0</v>
      </c>
      <c r="L332" s="14">
        <v>0</v>
      </c>
      <c r="M332" s="14">
        <v>0</v>
      </c>
      <c r="N332" s="14">
        <v>0</v>
      </c>
      <c r="O332" s="14">
        <v>0</v>
      </c>
      <c r="P332" s="14">
        <v>0</v>
      </c>
      <c r="Q332" s="15">
        <v>0</v>
      </c>
      <c r="R332" s="15">
        <v>0</v>
      </c>
      <c r="S332" s="15">
        <f>$G$332*$G$8+$H$332*$H$8+$I$332*$I$8+$J$332*$J$8+$K$332*$K$8+$L$332*$L$8+$M$332*$M$8+$N$332*$N$8+$O$332*$O$8+$P$332*$P$8</f>
        <v>0</v>
      </c>
      <c r="T332" s="15">
        <f>SUM($Q$332:$R$332)</f>
        <v>0</v>
      </c>
      <c r="U332" s="15">
        <f>$S$332+$T$332</f>
        <v>0</v>
      </c>
    </row>
    <row r="333" spans="1:21" x14ac:dyDescent="0.3">
      <c r="A333" s="10" t="s">
        <v>1229</v>
      </c>
      <c r="B333" s="11" t="s">
        <v>1230</v>
      </c>
      <c r="C333" s="11"/>
      <c r="D333" s="11" t="s">
        <v>1231</v>
      </c>
      <c r="E333" s="11">
        <f xml:space="preserve"> IF($U$333,1,0)</f>
        <v>1</v>
      </c>
      <c r="F333" s="11" t="s">
        <v>1232</v>
      </c>
      <c r="G333" s="11">
        <v>0</v>
      </c>
      <c r="H333" s="11">
        <v>0</v>
      </c>
      <c r="I333" s="11">
        <v>0</v>
      </c>
      <c r="J333" s="11">
        <v>0</v>
      </c>
      <c r="K333" s="11">
        <v>1</v>
      </c>
      <c r="L333" s="11">
        <v>0</v>
      </c>
      <c r="M333" s="11">
        <v>0</v>
      </c>
      <c r="N333" s="11">
        <v>0</v>
      </c>
      <c r="O333" s="11">
        <v>0</v>
      </c>
      <c r="P333" s="11">
        <v>0</v>
      </c>
      <c r="Q333" s="12">
        <v>0</v>
      </c>
      <c r="R333" s="12">
        <v>0</v>
      </c>
      <c r="S333" s="12">
        <f>$G$333*$G$8+$H$333*$H$8+$I$333*$I$8+$J$333*$J$8+$K$333*$K$8+$L$333*$L$8+$M$333*$M$8+$N$333*$N$8+$O$333*$O$8+$P$333*$P$8</f>
        <v>2</v>
      </c>
      <c r="T333" s="12">
        <f>SUM($Q$333:$R$333)</f>
        <v>0</v>
      </c>
      <c r="U333" s="12">
        <f>$S$333+$T$333</f>
        <v>2</v>
      </c>
    </row>
    <row r="334" spans="1:21" x14ac:dyDescent="0.3">
      <c r="A334" s="13" t="s">
        <v>1233</v>
      </c>
      <c r="B334" s="14" t="s">
        <v>1230</v>
      </c>
      <c r="C334" s="14"/>
      <c r="D334" s="14" t="s">
        <v>1234</v>
      </c>
      <c r="E334" s="14">
        <f xml:space="preserve"> IF($U$334,1,0)</f>
        <v>0</v>
      </c>
      <c r="F334" s="14" t="s">
        <v>1235</v>
      </c>
      <c r="G334" s="14">
        <v>0</v>
      </c>
      <c r="H334" s="14">
        <v>0</v>
      </c>
      <c r="I334" s="14">
        <v>0</v>
      </c>
      <c r="J334" s="14">
        <v>0</v>
      </c>
      <c r="K334" s="14">
        <v>0</v>
      </c>
      <c r="L334" s="14">
        <v>0</v>
      </c>
      <c r="M334" s="14">
        <v>0</v>
      </c>
      <c r="N334" s="14">
        <v>0</v>
      </c>
      <c r="O334" s="14">
        <v>0</v>
      </c>
      <c r="P334" s="14">
        <v>0</v>
      </c>
      <c r="Q334" s="15">
        <v>0</v>
      </c>
      <c r="R334" s="15">
        <v>0</v>
      </c>
      <c r="S334" s="15">
        <f>$G$334*$G$8+$H$334*$H$8+$I$334*$I$8+$J$334*$J$8+$K$334*$K$8+$L$334*$L$8+$M$334*$M$8+$N$334*$N$8+$O$334*$O$8+$P$334*$P$8</f>
        <v>0</v>
      </c>
      <c r="T334" s="15">
        <f>SUM($Q$334:$R$334)</f>
        <v>0</v>
      </c>
      <c r="U334" s="15">
        <f>$S$334+$T$334</f>
        <v>0</v>
      </c>
    </row>
    <row r="335" spans="1:21" x14ac:dyDescent="0.3">
      <c r="A335" s="10" t="s">
        <v>1236</v>
      </c>
      <c r="B335" s="11" t="s">
        <v>1237</v>
      </c>
      <c r="C335" s="11"/>
      <c r="D335" s="11" t="s">
        <v>1237</v>
      </c>
      <c r="E335" s="11">
        <f xml:space="preserve"> IF($U$335,1,0)</f>
        <v>0</v>
      </c>
      <c r="F335" s="11" t="s">
        <v>1238</v>
      </c>
      <c r="G335" s="11">
        <v>0</v>
      </c>
      <c r="H335" s="11">
        <v>0</v>
      </c>
      <c r="I335" s="11">
        <v>0</v>
      </c>
      <c r="J335" s="11">
        <v>0</v>
      </c>
      <c r="K335" s="11">
        <v>0</v>
      </c>
      <c r="L335" s="11">
        <v>0</v>
      </c>
      <c r="M335" s="11">
        <v>0</v>
      </c>
      <c r="N335" s="11">
        <v>0</v>
      </c>
      <c r="O335" s="11">
        <v>0</v>
      </c>
      <c r="P335" s="11">
        <v>0</v>
      </c>
      <c r="Q335" s="12">
        <v>0</v>
      </c>
      <c r="R335" s="12">
        <v>0</v>
      </c>
      <c r="S335" s="12">
        <f>$G$335*$G$8+$H$335*$H$8+$I$335*$I$8+$J$335*$J$8+$K$335*$K$8+$L$335*$L$8+$M$335*$M$8+$N$335*$N$8+$O$335*$O$8+$P$335*$P$8</f>
        <v>0</v>
      </c>
      <c r="T335" s="12">
        <f>SUM($Q$335:$R$335)</f>
        <v>0</v>
      </c>
      <c r="U335" s="12">
        <f>$S$335+$T$335</f>
        <v>0</v>
      </c>
    </row>
    <row r="337" spans="5:21" ht="15" thickBot="1" x14ac:dyDescent="0.35">
      <c r="E337" s="5" t="s">
        <v>18</v>
      </c>
      <c r="F337" s="6" t="s">
        <v>19</v>
      </c>
      <c r="G337" s="6" t="s">
        <v>4</v>
      </c>
      <c r="H337" s="6" t="s">
        <v>1245</v>
      </c>
      <c r="I337" s="6" t="s">
        <v>6</v>
      </c>
      <c r="J337" s="6" t="s">
        <v>7</v>
      </c>
      <c r="K337" s="6" t="s">
        <v>8</v>
      </c>
      <c r="L337" s="6" t="s">
        <v>9</v>
      </c>
      <c r="M337" s="6" t="s">
        <v>10</v>
      </c>
      <c r="N337" s="6" t="s">
        <v>11</v>
      </c>
      <c r="O337" s="6" t="s">
        <v>12</v>
      </c>
      <c r="P337" s="6" t="s">
        <v>13</v>
      </c>
      <c r="Q337" s="6" t="s">
        <v>1259</v>
      </c>
      <c r="R337" s="6" t="s">
        <v>1260</v>
      </c>
      <c r="S337" s="6" t="s">
        <v>23</v>
      </c>
      <c r="T337" s="6" t="s">
        <v>26</v>
      </c>
      <c r="U337" s="6" t="s">
        <v>25</v>
      </c>
    </row>
    <row r="338" spans="5:21" ht="15" thickTop="1" x14ac:dyDescent="0.3">
      <c r="E338" s="7">
        <f xml:space="preserve"> IF($U$338,1,0)</f>
        <v>1</v>
      </c>
      <c r="F338" s="8" t="s">
        <v>1247</v>
      </c>
      <c r="G338" s="8">
        <v>2</v>
      </c>
      <c r="H338" s="8">
        <v>2</v>
      </c>
      <c r="I338" s="8">
        <v>0</v>
      </c>
      <c r="J338" s="8">
        <v>0</v>
      </c>
      <c r="K338" s="8">
        <v>0</v>
      </c>
      <c r="L338" s="8">
        <v>0</v>
      </c>
      <c r="M338" s="8">
        <v>0</v>
      </c>
      <c r="N338" s="8">
        <v>0</v>
      </c>
      <c r="O338" s="8">
        <v>0</v>
      </c>
      <c r="P338" s="8">
        <v>0</v>
      </c>
      <c r="Q338" s="8"/>
      <c r="R338" s="8"/>
      <c r="S338" s="9">
        <f>$G$338*$G$8+$H$338*$H$8+$I$338*$I$8+$J$338*$J$8+$K$338*$K$8+$L$338*$L$8+$M$338*$M$8+$N$338*$N$8+$O$338*$O$8+$P$338*$P$8</f>
        <v>5</v>
      </c>
      <c r="T338" s="9">
        <f>$U$338/2</f>
        <v>2.5</v>
      </c>
      <c r="U338" s="9">
        <f>$G$338*$G$8+$H$338*$H$8+$I$338*$I$8+$J$338*$J$8+$K$338*$K$8+$L$338*$L$8+$M$338*$M$8+$N$338*$N$8+$O$338*$O$8+$P$338*$P$8</f>
        <v>5</v>
      </c>
    </row>
    <row r="339" spans="5:21" x14ac:dyDescent="0.3">
      <c r="E339" s="10">
        <f xml:space="preserve"> IF($U$339,1,0)</f>
        <v>1</v>
      </c>
      <c r="F339" s="11" t="s">
        <v>27</v>
      </c>
      <c r="G339" s="11">
        <v>1</v>
      </c>
      <c r="H339" s="11">
        <v>0</v>
      </c>
      <c r="I339" s="11">
        <v>0</v>
      </c>
      <c r="J339" s="11">
        <v>0</v>
      </c>
      <c r="K339" s="11">
        <v>0</v>
      </c>
      <c r="L339" s="11">
        <v>1</v>
      </c>
      <c r="M339" s="11">
        <v>0</v>
      </c>
      <c r="N339" s="11">
        <v>0</v>
      </c>
      <c r="O339" s="11">
        <v>0</v>
      </c>
      <c r="P339" s="11">
        <v>0</v>
      </c>
      <c r="Q339" s="11"/>
      <c r="R339" s="11"/>
      <c r="S339" s="12">
        <f>$G$339*$G$8+$H$339*$H$8+$I$339*$I$8+$J$339*$J$8+$K$339*$K$8+$L$339*$L$8+$M$339*$M$8+$N$339*$N$8+$O$339*$O$8+$P$339*$P$8</f>
        <v>3.7</v>
      </c>
      <c r="T339" s="12">
        <f>$U$339/2</f>
        <v>1.85</v>
      </c>
      <c r="U339" s="12">
        <f>$G$339*$G$8+$H$339*$H$8+$I$339*$I$8+$J$339*$J$8+$K$339*$K$8+$L$339*$L$8+$M$339*$M$8+$N$339*$N$8+$O$339*$O$8+$P$339*$P$8</f>
        <v>3.7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96D04-8630-414C-990A-4B0B471E3E6A}">
  <sheetPr codeName="Blad15"/>
  <dimension ref="A2:U339"/>
  <sheetViews>
    <sheetView topLeftCell="F1" workbookViewId="0">
      <selection activeCell="R2" sqref="R2"/>
    </sheetView>
  </sheetViews>
  <sheetFormatPr defaultRowHeight="14.4" x14ac:dyDescent="0.3"/>
  <cols>
    <col min="2" max="2" width="14.77734375" customWidth="1"/>
    <col min="3" max="3" width="18.77734375" customWidth="1"/>
    <col min="4" max="4" width="20.77734375" customWidth="1"/>
    <col min="5" max="5" width="14.77734375" customWidth="1"/>
    <col min="6" max="6" width="25.77734375" customWidth="1"/>
    <col min="8" max="8" width="11.109375" customWidth="1"/>
    <col min="11" max="14" width="11.44140625" customWidth="1"/>
    <col min="16" max="16" width="14.21875" customWidth="1"/>
    <col min="17" max="17" width="13.21875" customWidth="1"/>
    <col min="18" max="18" width="12.21875" customWidth="1"/>
    <col min="19" max="19" width="22.109375" customWidth="1"/>
    <col min="20" max="20" width="18.6640625" customWidth="1"/>
  </cols>
  <sheetData>
    <row r="2" spans="1:21" x14ac:dyDescent="0.3">
      <c r="F2" t="s">
        <v>20</v>
      </c>
      <c r="G2">
        <f>SUM($G$10:$G$335)+ SUM($G$338:$G$339)</f>
        <v>228</v>
      </c>
      <c r="H2">
        <f>SUM($H$10:$H$335)+ SUM($H$338:$H$339)</f>
        <v>56</v>
      </c>
      <c r="I2">
        <f>SUM($I$10:$I$335)+ SUM($I$338:$I$339)</f>
        <v>13</v>
      </c>
      <c r="J2">
        <f>SUM($J$10:$J$335)+ SUM($J$338:$J$339)</f>
        <v>1</v>
      </c>
      <c r="K2">
        <f>SUM($K$10:$K$335)+ SUM($K$338:$K$339)</f>
        <v>12</v>
      </c>
      <c r="L2">
        <f>SUM($L$10:$L$335)+ SUM($L$338:$L$339)</f>
        <v>18</v>
      </c>
      <c r="M2">
        <f>SUM($M$10:$M$335)+ SUM($M$338:$M$339)</f>
        <v>11</v>
      </c>
      <c r="N2">
        <f>SUM($N$10:$N$335)+ SUM($N$338:$N$339)</f>
        <v>2</v>
      </c>
      <c r="O2">
        <f>SUM($O$10:$O$335)+ SUM($O$338:$O$339)</f>
        <v>3</v>
      </c>
      <c r="P2">
        <f>SUM($P$10:$P$335)+ SUM($P$338:$P$339)</f>
        <v>19</v>
      </c>
      <c r="R2" t="s">
        <v>1239</v>
      </c>
    </row>
    <row r="3" spans="1:21" x14ac:dyDescent="0.3">
      <c r="F3" t="s">
        <v>21</v>
      </c>
      <c r="G3" s="3">
        <f>$G$8*G2</f>
        <v>159.6</v>
      </c>
      <c r="H3" s="3">
        <f>$H$8*H2</f>
        <v>100.8</v>
      </c>
      <c r="I3" s="3">
        <f>$I$8*I2</f>
        <v>13</v>
      </c>
      <c r="J3" s="3">
        <f>$J$8*J2</f>
        <v>4.75</v>
      </c>
      <c r="K3" s="3">
        <f>$K$8*K2</f>
        <v>24</v>
      </c>
      <c r="L3" s="3">
        <f>$L$8*L2</f>
        <v>54</v>
      </c>
      <c r="M3" s="3">
        <f>$M$8*M2</f>
        <v>44</v>
      </c>
      <c r="N3" s="3">
        <f>$N$8*N2</f>
        <v>10</v>
      </c>
      <c r="O3" s="3">
        <f>$O$8*O2</f>
        <v>1.5</v>
      </c>
      <c r="P3" s="3">
        <f>$P$8*P2</f>
        <v>19</v>
      </c>
      <c r="R3">
        <f>SUM($E$10:$E$335)</f>
        <v>69</v>
      </c>
    </row>
    <row r="7" spans="1:21" x14ac:dyDescent="0.3">
      <c r="Q7" s="3">
        <f>SUM(Q10:Q335)</f>
        <v>5</v>
      </c>
      <c r="R7" s="3">
        <f>SUM(R10:R335)</f>
        <v>3.7</v>
      </c>
    </row>
    <row r="8" spans="1:21" x14ac:dyDescent="0.3">
      <c r="F8" t="s">
        <v>22</v>
      </c>
      <c r="G8" s="4">
        <v>0.7</v>
      </c>
      <c r="H8" s="4">
        <v>1.8</v>
      </c>
      <c r="I8" s="4">
        <v>1</v>
      </c>
      <c r="J8" s="4">
        <v>4.75</v>
      </c>
      <c r="K8" s="4">
        <v>2</v>
      </c>
      <c r="L8" s="4">
        <v>3</v>
      </c>
      <c r="M8" s="4">
        <v>4</v>
      </c>
      <c r="N8" s="4">
        <v>5</v>
      </c>
      <c r="O8" s="4">
        <v>0.5</v>
      </c>
      <c r="P8" s="4">
        <v>1</v>
      </c>
    </row>
    <row r="9" spans="1:21" ht="15" thickBot="1" x14ac:dyDescent="0.35">
      <c r="A9" s="5" t="s">
        <v>14</v>
      </c>
      <c r="B9" s="6" t="s">
        <v>15</v>
      </c>
      <c r="C9" s="6" t="s">
        <v>16</v>
      </c>
      <c r="D9" s="6" t="s">
        <v>17</v>
      </c>
      <c r="E9" s="6" t="s">
        <v>18</v>
      </c>
      <c r="F9" s="6" t="s">
        <v>19</v>
      </c>
      <c r="G9" s="6" t="s">
        <v>4</v>
      </c>
      <c r="H9" s="6" t="s">
        <v>1245</v>
      </c>
      <c r="I9" s="6" t="s">
        <v>6</v>
      </c>
      <c r="J9" s="6" t="s">
        <v>7</v>
      </c>
      <c r="K9" s="6" t="s">
        <v>8</v>
      </c>
      <c r="L9" s="6" t="s">
        <v>9</v>
      </c>
      <c r="M9" s="6" t="s">
        <v>10</v>
      </c>
      <c r="N9" s="6" t="s">
        <v>11</v>
      </c>
      <c r="O9" s="6" t="s">
        <v>12</v>
      </c>
      <c r="P9" s="6" t="s">
        <v>13</v>
      </c>
      <c r="Q9" s="6" t="s">
        <v>1247</v>
      </c>
      <c r="R9" s="6" t="s">
        <v>27</v>
      </c>
      <c r="S9" s="6" t="s">
        <v>23</v>
      </c>
      <c r="T9" s="6" t="s">
        <v>24</v>
      </c>
      <c r="U9" s="6" t="s">
        <v>25</v>
      </c>
    </row>
    <row r="10" spans="1:21" ht="15" thickTop="1" x14ac:dyDescent="0.3">
      <c r="A10" s="7" t="s">
        <v>28</v>
      </c>
      <c r="B10" s="8" t="s">
        <v>29</v>
      </c>
      <c r="C10" s="8"/>
      <c r="D10" s="8" t="s">
        <v>30</v>
      </c>
      <c r="E10" s="8">
        <f xml:space="preserve"> IF($U$10,1,0)</f>
        <v>0</v>
      </c>
      <c r="F10" s="8" t="s">
        <v>31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9">
        <v>0</v>
      </c>
      <c r="R10" s="9">
        <v>0</v>
      </c>
      <c r="S10" s="9">
        <f>$G$10*$G$8+$H$10*$H$8+$I$10*$I$8+$J$10*$J$8+$K$10*$K$8+$L$10*$L$8+$M$10*$M$8+$N$10*$N$8+$O$10*$O$8+$P$10*$P$8</f>
        <v>0</v>
      </c>
      <c r="T10" s="9">
        <f>SUM($Q$10:$R$10)</f>
        <v>0</v>
      </c>
      <c r="U10" s="9">
        <f>$S$10+$T$10</f>
        <v>0</v>
      </c>
    </row>
    <row r="11" spans="1:21" x14ac:dyDescent="0.3">
      <c r="A11" s="10" t="s">
        <v>32</v>
      </c>
      <c r="B11" s="11" t="s">
        <v>33</v>
      </c>
      <c r="C11" s="11" t="s">
        <v>34</v>
      </c>
      <c r="D11" s="11" t="s">
        <v>35</v>
      </c>
      <c r="E11" s="11">
        <f xml:space="preserve"> IF($U$11,1,0)</f>
        <v>1</v>
      </c>
      <c r="F11" s="11" t="s">
        <v>36</v>
      </c>
      <c r="G11" s="11">
        <v>0</v>
      </c>
      <c r="H11" s="11">
        <v>0</v>
      </c>
      <c r="I11" s="11">
        <v>1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2">
        <v>0</v>
      </c>
      <c r="R11" s="12">
        <v>0</v>
      </c>
      <c r="S11" s="12">
        <f>$G$11*$G$8+$H$11*$H$8+$I$11*$I$8+$J$11*$J$8+$K$11*$K$8+$L$11*$L$8+$M$11*$M$8+$N$11*$N$8+$O$11*$O$8+$P$11*$P$8</f>
        <v>1</v>
      </c>
      <c r="T11" s="12">
        <f>SUM($Q$11:$R$11)</f>
        <v>0</v>
      </c>
      <c r="U11" s="12">
        <f>$S$11+$T$11</f>
        <v>1</v>
      </c>
    </row>
    <row r="12" spans="1:21" x14ac:dyDescent="0.3">
      <c r="A12" s="13" t="s">
        <v>37</v>
      </c>
      <c r="B12" s="14" t="s">
        <v>38</v>
      </c>
      <c r="C12" s="14"/>
      <c r="D12" s="14" t="s">
        <v>39</v>
      </c>
      <c r="E12" s="14">
        <f xml:space="preserve"> IF($U$12,1,0)</f>
        <v>0</v>
      </c>
      <c r="F12" s="14" t="s">
        <v>40</v>
      </c>
      <c r="G12" s="14">
        <v>0</v>
      </c>
      <c r="H12" s="14">
        <v>0</v>
      </c>
      <c r="I12" s="14">
        <v>0</v>
      </c>
      <c r="J12" s="14">
        <v>0</v>
      </c>
      <c r="K12" s="14">
        <v>0</v>
      </c>
      <c r="L12" s="14">
        <v>0</v>
      </c>
      <c r="M12" s="14">
        <v>0</v>
      </c>
      <c r="N12" s="14">
        <v>0</v>
      </c>
      <c r="O12" s="14">
        <v>0</v>
      </c>
      <c r="P12" s="14">
        <v>0</v>
      </c>
      <c r="Q12" s="15">
        <v>0</v>
      </c>
      <c r="R12" s="15">
        <v>0</v>
      </c>
      <c r="S12" s="15">
        <f>$G$12*$G$8+$H$12*$H$8+$I$12*$I$8+$J$12*$J$8+$K$12*$K$8+$L$12*$L$8+$M$12*$M$8+$N$12*$N$8+$O$12*$O$8+$P$12*$P$8</f>
        <v>0</v>
      </c>
      <c r="T12" s="15">
        <f>SUM($Q$12:$R$12)</f>
        <v>0</v>
      </c>
      <c r="U12" s="15">
        <f>$S$12+$T$12</f>
        <v>0</v>
      </c>
    </row>
    <row r="13" spans="1:21" x14ac:dyDescent="0.3">
      <c r="A13" s="10" t="s">
        <v>41</v>
      </c>
      <c r="B13" s="11" t="s">
        <v>38</v>
      </c>
      <c r="C13" s="11"/>
      <c r="D13" s="11" t="s">
        <v>42</v>
      </c>
      <c r="E13" s="11">
        <f xml:space="preserve"> IF($U$13,1,0)</f>
        <v>0</v>
      </c>
      <c r="F13" s="11" t="s">
        <v>43</v>
      </c>
      <c r="G13" s="11">
        <v>0</v>
      </c>
      <c r="H13" s="11">
        <v>0</v>
      </c>
      <c r="I13" s="11">
        <v>0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2">
        <v>0</v>
      </c>
      <c r="R13" s="12">
        <v>0</v>
      </c>
      <c r="S13" s="12">
        <f>$G$13*$G$8+$H$13*$H$8+$I$13*$I$8+$J$13*$J$8+$K$13*$K$8+$L$13*$L$8+$M$13*$M$8+$N$13*$N$8+$O$13*$O$8+$P$13*$P$8</f>
        <v>0</v>
      </c>
      <c r="T13" s="12">
        <f>SUM($Q$13:$R$13)</f>
        <v>0</v>
      </c>
      <c r="U13" s="12">
        <f>$S$13+$T$13</f>
        <v>0</v>
      </c>
    </row>
    <row r="14" spans="1:21" x14ac:dyDescent="0.3">
      <c r="A14" s="13" t="s">
        <v>44</v>
      </c>
      <c r="B14" s="14" t="s">
        <v>45</v>
      </c>
      <c r="C14" s="14"/>
      <c r="D14" s="14" t="s">
        <v>46</v>
      </c>
      <c r="E14" s="14">
        <f xml:space="preserve"> IF($U$14,1,0)</f>
        <v>0</v>
      </c>
      <c r="F14" s="14" t="s">
        <v>47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5">
        <v>0</v>
      </c>
      <c r="R14" s="15">
        <v>0</v>
      </c>
      <c r="S14" s="15">
        <f>$G$14*$G$8+$H$14*$H$8+$I$14*$I$8+$J$14*$J$8+$K$14*$K$8+$L$14*$L$8+$M$14*$M$8+$N$14*$N$8+$O$14*$O$8+$P$14*$P$8</f>
        <v>0</v>
      </c>
      <c r="T14" s="15">
        <f>SUM($Q$14:$R$14)</f>
        <v>0</v>
      </c>
      <c r="U14" s="15">
        <f>$S$14+$T$14</f>
        <v>0</v>
      </c>
    </row>
    <row r="15" spans="1:21" x14ac:dyDescent="0.3">
      <c r="A15" s="10" t="s">
        <v>48</v>
      </c>
      <c r="B15" s="11" t="s">
        <v>45</v>
      </c>
      <c r="C15" s="11"/>
      <c r="D15" s="11" t="s">
        <v>49</v>
      </c>
      <c r="E15" s="11">
        <f xml:space="preserve"> IF($U$15,1,0)</f>
        <v>0</v>
      </c>
      <c r="F15" s="11" t="s">
        <v>50</v>
      </c>
      <c r="G15" s="11">
        <v>0</v>
      </c>
      <c r="H15" s="11">
        <v>0</v>
      </c>
      <c r="I15" s="11">
        <v>0</v>
      </c>
      <c r="J15" s="11">
        <v>0</v>
      </c>
      <c r="K15" s="11">
        <v>0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2">
        <v>0</v>
      </c>
      <c r="R15" s="12">
        <v>0</v>
      </c>
      <c r="S15" s="12">
        <f>$G$15*$G$8+$H$15*$H$8+$I$15*$I$8+$J$15*$J$8+$K$15*$K$8+$L$15*$L$8+$M$15*$M$8+$N$15*$N$8+$O$15*$O$8+$P$15*$P$8</f>
        <v>0</v>
      </c>
      <c r="T15" s="12">
        <f>SUM($Q$15:$R$15)</f>
        <v>0</v>
      </c>
      <c r="U15" s="12">
        <f>$S$15+$T$15</f>
        <v>0</v>
      </c>
    </row>
    <row r="16" spans="1:21" x14ac:dyDescent="0.3">
      <c r="A16" s="13" t="s">
        <v>51</v>
      </c>
      <c r="B16" s="14" t="s">
        <v>52</v>
      </c>
      <c r="C16" s="14"/>
      <c r="D16" s="14" t="s">
        <v>53</v>
      </c>
      <c r="E16" s="14">
        <f xml:space="preserve"> IF($U$16,1,0)</f>
        <v>1</v>
      </c>
      <c r="F16" s="14" t="s">
        <v>54</v>
      </c>
      <c r="G16" s="14">
        <v>5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4">
        <v>0</v>
      </c>
      <c r="O16" s="14">
        <v>0</v>
      </c>
      <c r="P16" s="14">
        <v>0</v>
      </c>
      <c r="Q16" s="15">
        <v>0</v>
      </c>
      <c r="R16" s="15">
        <v>0</v>
      </c>
      <c r="S16" s="15">
        <f>$G$16*$G$8+$H$16*$H$8+$I$16*$I$8+$J$16*$J$8+$K$16*$K$8+$L$16*$L$8+$M$16*$M$8+$N$16*$N$8+$O$16*$O$8+$P$16*$P$8</f>
        <v>3.5</v>
      </c>
      <c r="T16" s="15">
        <f>SUM($Q$16:$R$16)</f>
        <v>0</v>
      </c>
      <c r="U16" s="15">
        <f>$S$16+$T$16</f>
        <v>3.5</v>
      </c>
    </row>
    <row r="17" spans="1:21" x14ac:dyDescent="0.3">
      <c r="A17" s="10" t="s">
        <v>55</v>
      </c>
      <c r="B17" s="11" t="s">
        <v>56</v>
      </c>
      <c r="C17" s="11"/>
      <c r="D17" s="11" t="s">
        <v>57</v>
      </c>
      <c r="E17" s="11">
        <f xml:space="preserve"> IF($U$17,1,0)</f>
        <v>0</v>
      </c>
      <c r="F17" s="11" t="s">
        <v>58</v>
      </c>
      <c r="G17" s="11">
        <v>0</v>
      </c>
      <c r="H17" s="11">
        <v>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2">
        <v>0</v>
      </c>
      <c r="R17" s="12">
        <v>0</v>
      </c>
      <c r="S17" s="12">
        <f>$G$17*$G$8+$H$17*$H$8+$I$17*$I$8+$J$17*$J$8+$K$17*$K$8+$L$17*$L$8+$M$17*$M$8+$N$17*$N$8+$O$17*$O$8+$P$17*$P$8</f>
        <v>0</v>
      </c>
      <c r="T17" s="12">
        <f>SUM($Q$17:$R$17)</f>
        <v>0</v>
      </c>
      <c r="U17" s="12">
        <f>$S$17+$T$17</f>
        <v>0</v>
      </c>
    </row>
    <row r="18" spans="1:21" x14ac:dyDescent="0.3">
      <c r="A18" s="13" t="s">
        <v>59</v>
      </c>
      <c r="B18" s="14" t="s">
        <v>60</v>
      </c>
      <c r="C18" s="14"/>
      <c r="D18" s="14" t="s">
        <v>61</v>
      </c>
      <c r="E18" s="14">
        <f xml:space="preserve"> IF($U$18,1,0)</f>
        <v>0</v>
      </c>
      <c r="F18" s="14" t="s">
        <v>62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5">
        <v>0</v>
      </c>
      <c r="R18" s="15">
        <v>0</v>
      </c>
      <c r="S18" s="15">
        <f>$G$18*$G$8+$H$18*$H$8+$I$18*$I$8+$J$18*$J$8+$K$18*$K$8+$L$18*$L$8+$M$18*$M$8+$N$18*$N$8+$O$18*$O$8+$P$18*$P$8</f>
        <v>0</v>
      </c>
      <c r="T18" s="15">
        <f>SUM($Q$18:$R$18)</f>
        <v>0</v>
      </c>
      <c r="U18" s="15">
        <f>$S$18+$T$18</f>
        <v>0</v>
      </c>
    </row>
    <row r="19" spans="1:21" x14ac:dyDescent="0.3">
      <c r="A19" s="10" t="s">
        <v>63</v>
      </c>
      <c r="B19" s="11" t="s">
        <v>64</v>
      </c>
      <c r="C19" s="11" t="s">
        <v>65</v>
      </c>
      <c r="D19" s="11" t="s">
        <v>66</v>
      </c>
      <c r="E19" s="11">
        <f xml:space="preserve"> IF($U$19,1,0)</f>
        <v>0</v>
      </c>
      <c r="F19" s="11" t="s">
        <v>67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2">
        <v>0</v>
      </c>
      <c r="R19" s="12">
        <v>0</v>
      </c>
      <c r="S19" s="12">
        <f>$G$19*$G$8+$H$19*$H$8+$I$19*$I$8+$J$19*$J$8+$K$19*$K$8+$L$19*$L$8+$M$19*$M$8+$N$19*$N$8+$O$19*$O$8+$P$19*$P$8</f>
        <v>0</v>
      </c>
      <c r="T19" s="12">
        <f>SUM($Q$19:$R$19)</f>
        <v>0</v>
      </c>
      <c r="U19" s="12">
        <f>$S$19+$T$19</f>
        <v>0</v>
      </c>
    </row>
    <row r="20" spans="1:21" x14ac:dyDescent="0.3">
      <c r="A20" s="13" t="s">
        <v>68</v>
      </c>
      <c r="B20" s="14" t="s">
        <v>69</v>
      </c>
      <c r="C20" s="14"/>
      <c r="D20" s="14" t="s">
        <v>70</v>
      </c>
      <c r="E20" s="14">
        <f xml:space="preserve"> IF($U$20,1,0)</f>
        <v>0</v>
      </c>
      <c r="F20" s="14" t="s">
        <v>71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4">
        <v>0</v>
      </c>
      <c r="N20" s="14">
        <v>0</v>
      </c>
      <c r="O20" s="14">
        <v>0</v>
      </c>
      <c r="P20" s="14">
        <v>0</v>
      </c>
      <c r="Q20" s="15">
        <v>0</v>
      </c>
      <c r="R20" s="15">
        <v>0</v>
      </c>
      <c r="S20" s="15">
        <f>$G$20*$G$8+$H$20*$H$8+$I$20*$I$8+$J$20*$J$8+$K$20*$K$8+$L$20*$L$8+$M$20*$M$8+$N$20*$N$8+$O$20*$O$8+$P$20*$P$8</f>
        <v>0</v>
      </c>
      <c r="T20" s="15">
        <f>SUM($Q$20:$R$20)</f>
        <v>0</v>
      </c>
      <c r="U20" s="15">
        <f>$S$20+$T$20</f>
        <v>0</v>
      </c>
    </row>
    <row r="21" spans="1:21" x14ac:dyDescent="0.3">
      <c r="A21" s="10" t="s">
        <v>72</v>
      </c>
      <c r="B21" s="11" t="s">
        <v>73</v>
      </c>
      <c r="C21" s="11"/>
      <c r="D21" s="11" t="s">
        <v>74</v>
      </c>
      <c r="E21" s="11">
        <f xml:space="preserve"> IF($U$21,1,0)</f>
        <v>1</v>
      </c>
      <c r="F21" s="11" t="s">
        <v>75</v>
      </c>
      <c r="G21" s="11">
        <v>2</v>
      </c>
      <c r="H21" s="11">
        <v>0</v>
      </c>
      <c r="I21" s="11">
        <v>2</v>
      </c>
      <c r="J21" s="11">
        <v>0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2">
        <v>0</v>
      </c>
      <c r="R21" s="12">
        <v>0</v>
      </c>
      <c r="S21" s="12">
        <f>$G$21*$G$8+$H$21*$H$8+$I$21*$I$8+$J$21*$J$8+$K$21*$K$8+$L$21*$L$8+$M$21*$M$8+$N$21*$N$8+$O$21*$O$8+$P$21*$P$8</f>
        <v>3.4</v>
      </c>
      <c r="T21" s="12">
        <f>SUM($Q$21:$R$21)</f>
        <v>0</v>
      </c>
      <c r="U21" s="12">
        <f>$S$21+$T$21</f>
        <v>3.4</v>
      </c>
    </row>
    <row r="22" spans="1:21" x14ac:dyDescent="0.3">
      <c r="A22" s="13" t="s">
        <v>76</v>
      </c>
      <c r="B22" s="14" t="s">
        <v>77</v>
      </c>
      <c r="C22" s="14"/>
      <c r="D22" s="14" t="s">
        <v>78</v>
      </c>
      <c r="E22" s="14">
        <f xml:space="preserve"> IF($U$22,1,0)</f>
        <v>1</v>
      </c>
      <c r="F22" s="14" t="s">
        <v>79</v>
      </c>
      <c r="G22" s="14">
        <v>5</v>
      </c>
      <c r="H22" s="14">
        <v>0</v>
      </c>
      <c r="I22" s="14">
        <v>0</v>
      </c>
      <c r="J22" s="14">
        <v>0</v>
      </c>
      <c r="K22" s="14">
        <v>0</v>
      </c>
      <c r="L22" s="14">
        <v>0</v>
      </c>
      <c r="M22" s="14">
        <v>0</v>
      </c>
      <c r="N22" s="14">
        <v>0</v>
      </c>
      <c r="O22" s="14">
        <v>0</v>
      </c>
      <c r="P22" s="14">
        <v>2</v>
      </c>
      <c r="Q22" s="15">
        <v>0</v>
      </c>
      <c r="R22" s="15">
        <v>0</v>
      </c>
      <c r="S22" s="15">
        <f>$G$22*$G$8+$H$22*$H$8+$I$22*$I$8+$J$22*$J$8+$K$22*$K$8+$L$22*$L$8+$M$22*$M$8+$N$22*$N$8+$O$22*$O$8+$P$22*$P$8</f>
        <v>5.5</v>
      </c>
      <c r="T22" s="15">
        <f>SUM($Q$22:$R$22)</f>
        <v>0</v>
      </c>
      <c r="U22" s="15">
        <f>$S$22+$T$22</f>
        <v>5.5</v>
      </c>
    </row>
    <row r="23" spans="1:21" x14ac:dyDescent="0.3">
      <c r="A23" s="10" t="s">
        <v>80</v>
      </c>
      <c r="B23" s="11" t="s">
        <v>77</v>
      </c>
      <c r="C23" s="11" t="s">
        <v>65</v>
      </c>
      <c r="D23" s="11" t="s">
        <v>81</v>
      </c>
      <c r="E23" s="11">
        <f xml:space="preserve"> IF($U$23,1,0)</f>
        <v>0</v>
      </c>
      <c r="F23" s="11" t="s">
        <v>82</v>
      </c>
      <c r="G23" s="11">
        <v>0</v>
      </c>
      <c r="H23" s="11">
        <v>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2">
        <v>0</v>
      </c>
      <c r="R23" s="12">
        <v>0</v>
      </c>
      <c r="S23" s="12">
        <f>$G$23*$G$8+$H$23*$H$8+$I$23*$I$8+$J$23*$J$8+$K$23*$K$8+$L$23*$L$8+$M$23*$M$8+$N$23*$N$8+$O$23*$O$8+$P$23*$P$8</f>
        <v>0</v>
      </c>
      <c r="T23" s="12">
        <f>SUM($Q$23:$R$23)</f>
        <v>0</v>
      </c>
      <c r="U23" s="12">
        <f>$S$23+$T$23</f>
        <v>0</v>
      </c>
    </row>
    <row r="24" spans="1:21" x14ac:dyDescent="0.3">
      <c r="A24" s="13" t="s">
        <v>83</v>
      </c>
      <c r="B24" s="14" t="s">
        <v>84</v>
      </c>
      <c r="C24" s="14"/>
      <c r="D24" s="14" t="s">
        <v>81</v>
      </c>
      <c r="E24" s="14">
        <f xml:space="preserve"> IF($U$24,1,0)</f>
        <v>0</v>
      </c>
      <c r="F24" s="14" t="s">
        <v>85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5">
        <v>0</v>
      </c>
      <c r="R24" s="15">
        <v>0</v>
      </c>
      <c r="S24" s="15">
        <f>$G$24*$G$8+$H$24*$H$8+$I$24*$I$8+$J$24*$J$8+$K$24*$K$8+$L$24*$L$8+$M$24*$M$8+$N$24*$N$8+$O$24*$O$8+$P$24*$P$8</f>
        <v>0</v>
      </c>
      <c r="T24" s="15">
        <f>SUM($Q$24:$R$24)</f>
        <v>0</v>
      </c>
      <c r="U24" s="15">
        <f>$S$24+$T$24</f>
        <v>0</v>
      </c>
    </row>
    <row r="25" spans="1:21" x14ac:dyDescent="0.3">
      <c r="A25" s="10" t="s">
        <v>86</v>
      </c>
      <c r="B25" s="11" t="s">
        <v>87</v>
      </c>
      <c r="C25" s="11"/>
      <c r="D25" s="11" t="s">
        <v>88</v>
      </c>
      <c r="E25" s="11">
        <f xml:space="preserve"> IF($U$25,1,0)</f>
        <v>0</v>
      </c>
      <c r="F25" s="11" t="s">
        <v>89</v>
      </c>
      <c r="G25" s="11">
        <v>0</v>
      </c>
      <c r="H25" s="11">
        <v>0</v>
      </c>
      <c r="I25" s="11">
        <v>0</v>
      </c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2">
        <v>0</v>
      </c>
      <c r="R25" s="12">
        <v>0</v>
      </c>
      <c r="S25" s="12">
        <f>$G$25*$G$8+$H$25*$H$8+$I$25*$I$8+$J$25*$J$8+$K$25*$K$8+$L$25*$L$8+$M$25*$M$8+$N$25*$N$8+$O$25*$O$8+$P$25*$P$8</f>
        <v>0</v>
      </c>
      <c r="T25" s="12">
        <f>SUM($Q$25:$R$25)</f>
        <v>0</v>
      </c>
      <c r="U25" s="12">
        <f>$S$25+$T$25</f>
        <v>0</v>
      </c>
    </row>
    <row r="26" spans="1:21" x14ac:dyDescent="0.3">
      <c r="A26" s="13" t="s">
        <v>90</v>
      </c>
      <c r="B26" s="14" t="s">
        <v>91</v>
      </c>
      <c r="C26" s="14"/>
      <c r="D26" s="14" t="s">
        <v>92</v>
      </c>
      <c r="E26" s="14">
        <f xml:space="preserve"> IF($U$26,1,0)</f>
        <v>0</v>
      </c>
      <c r="F26" s="14" t="s">
        <v>93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5">
        <v>0</v>
      </c>
      <c r="R26" s="15">
        <v>0</v>
      </c>
      <c r="S26" s="15">
        <f>$G$26*$G$8+$H$26*$H$8+$I$26*$I$8+$J$26*$J$8+$K$26*$K$8+$L$26*$L$8+$M$26*$M$8+$N$26*$N$8+$O$26*$O$8+$P$26*$P$8</f>
        <v>0</v>
      </c>
      <c r="T26" s="15">
        <f>SUM($Q$26:$R$26)</f>
        <v>0</v>
      </c>
      <c r="U26" s="15">
        <f>$S$26+$T$26</f>
        <v>0</v>
      </c>
    </row>
    <row r="27" spans="1:21" x14ac:dyDescent="0.3">
      <c r="A27" s="10" t="s">
        <v>94</v>
      </c>
      <c r="B27" s="11" t="s">
        <v>95</v>
      </c>
      <c r="C27" s="11"/>
      <c r="D27" s="11" t="s">
        <v>96</v>
      </c>
      <c r="E27" s="11">
        <f xml:space="preserve"> IF($U$27,1,0)</f>
        <v>0</v>
      </c>
      <c r="F27" s="11" t="s">
        <v>97</v>
      </c>
      <c r="G27" s="11">
        <v>0</v>
      </c>
      <c r="H27" s="11">
        <v>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2">
        <v>0</v>
      </c>
      <c r="R27" s="12">
        <v>0</v>
      </c>
      <c r="S27" s="12">
        <f>$G$27*$G$8+$H$27*$H$8+$I$27*$I$8+$J$27*$J$8+$K$27*$K$8+$L$27*$L$8+$M$27*$M$8+$N$27*$N$8+$O$27*$O$8+$P$27*$P$8</f>
        <v>0</v>
      </c>
      <c r="T27" s="12">
        <f>SUM($Q$27:$R$27)</f>
        <v>0</v>
      </c>
      <c r="U27" s="12">
        <f>$S$27+$T$27</f>
        <v>0</v>
      </c>
    </row>
    <row r="28" spans="1:21" x14ac:dyDescent="0.3">
      <c r="A28" s="13" t="s">
        <v>98</v>
      </c>
      <c r="B28" s="14" t="s">
        <v>99</v>
      </c>
      <c r="C28" s="14"/>
      <c r="D28" s="14" t="s">
        <v>100</v>
      </c>
      <c r="E28" s="14">
        <f xml:space="preserve"> IF($U$28,1,0)</f>
        <v>0</v>
      </c>
      <c r="F28" s="14" t="s">
        <v>101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5">
        <v>0</v>
      </c>
      <c r="R28" s="15">
        <v>0</v>
      </c>
      <c r="S28" s="15">
        <f>$G$28*$G$8+$H$28*$H$8+$I$28*$I$8+$J$28*$J$8+$K$28*$K$8+$L$28*$L$8+$M$28*$M$8+$N$28*$N$8+$O$28*$O$8+$P$28*$P$8</f>
        <v>0</v>
      </c>
      <c r="T28" s="15">
        <f>SUM($Q$28:$R$28)</f>
        <v>0</v>
      </c>
      <c r="U28" s="15">
        <f>$S$28+$T$28</f>
        <v>0</v>
      </c>
    </row>
    <row r="29" spans="1:21" x14ac:dyDescent="0.3">
      <c r="A29" s="10" t="s">
        <v>102</v>
      </c>
      <c r="B29" s="11" t="s">
        <v>103</v>
      </c>
      <c r="C29" s="11"/>
      <c r="D29" s="11" t="s">
        <v>104</v>
      </c>
      <c r="E29" s="11">
        <f xml:space="preserve"> IF($U$29,1,0)</f>
        <v>1</v>
      </c>
      <c r="F29" s="11" t="s">
        <v>105</v>
      </c>
      <c r="G29" s="11">
        <v>3</v>
      </c>
      <c r="H29" s="11">
        <v>0</v>
      </c>
      <c r="I29" s="11">
        <v>0</v>
      </c>
      <c r="J29" s="11">
        <v>0</v>
      </c>
      <c r="K29" s="11">
        <v>0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2">
        <v>0</v>
      </c>
      <c r="R29" s="12">
        <v>0</v>
      </c>
      <c r="S29" s="12">
        <f>$G$29*$G$8+$H$29*$H$8+$I$29*$I$8+$J$29*$J$8+$K$29*$K$8+$L$29*$L$8+$M$29*$M$8+$N$29*$N$8+$O$29*$O$8+$P$29*$P$8</f>
        <v>2.0999999999999996</v>
      </c>
      <c r="T29" s="12">
        <f>SUM($Q$29:$R$29)</f>
        <v>0</v>
      </c>
      <c r="U29" s="12">
        <f>$S$29+$T$29</f>
        <v>2.0999999999999996</v>
      </c>
    </row>
    <row r="30" spans="1:21" x14ac:dyDescent="0.3">
      <c r="A30" s="13" t="s">
        <v>106</v>
      </c>
      <c r="B30" s="14" t="s">
        <v>103</v>
      </c>
      <c r="C30" s="14"/>
      <c r="D30" s="14" t="s">
        <v>107</v>
      </c>
      <c r="E30" s="14">
        <f xml:space="preserve"> IF($U$30,1,0)</f>
        <v>0</v>
      </c>
      <c r="F30" s="14" t="s">
        <v>108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5">
        <v>0</v>
      </c>
      <c r="R30" s="15">
        <v>0</v>
      </c>
      <c r="S30" s="15">
        <f>$G$30*$G$8+$H$30*$H$8+$I$30*$I$8+$J$30*$J$8+$K$30*$K$8+$L$30*$L$8+$M$30*$M$8+$N$30*$N$8+$O$30*$O$8+$P$30*$P$8</f>
        <v>0</v>
      </c>
      <c r="T30" s="15">
        <f>SUM($Q$30:$R$30)</f>
        <v>0</v>
      </c>
      <c r="U30" s="15">
        <f>$S$30+$T$30</f>
        <v>0</v>
      </c>
    </row>
    <row r="31" spans="1:21" x14ac:dyDescent="0.3">
      <c r="A31" s="10" t="s">
        <v>109</v>
      </c>
      <c r="B31" s="11" t="s">
        <v>103</v>
      </c>
      <c r="C31" s="11"/>
      <c r="D31" s="11" t="s">
        <v>110</v>
      </c>
      <c r="E31" s="11">
        <f xml:space="preserve"> IF($U$31,1,0)</f>
        <v>0</v>
      </c>
      <c r="F31" s="11" t="s">
        <v>111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2">
        <v>0</v>
      </c>
      <c r="R31" s="12">
        <v>0</v>
      </c>
      <c r="S31" s="12">
        <f>$G$31*$G$8+$H$31*$H$8+$I$31*$I$8+$J$31*$J$8+$K$31*$K$8+$L$31*$L$8+$M$31*$M$8+$N$31*$N$8+$O$31*$O$8+$P$31*$P$8</f>
        <v>0</v>
      </c>
      <c r="T31" s="12">
        <f>SUM($Q$31:$R$31)</f>
        <v>0</v>
      </c>
      <c r="U31" s="12">
        <f>$S$31+$T$31</f>
        <v>0</v>
      </c>
    </row>
    <row r="32" spans="1:21" x14ac:dyDescent="0.3">
      <c r="A32" s="13" t="s">
        <v>112</v>
      </c>
      <c r="B32" s="14" t="s">
        <v>113</v>
      </c>
      <c r="C32" s="14"/>
      <c r="D32" s="14" t="s">
        <v>114</v>
      </c>
      <c r="E32" s="14">
        <f xml:space="preserve"> IF($U$32,1,0)</f>
        <v>0</v>
      </c>
      <c r="F32" s="14" t="s">
        <v>115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5">
        <v>0</v>
      </c>
      <c r="R32" s="15">
        <v>0</v>
      </c>
      <c r="S32" s="15">
        <f>$G$32*$G$8+$H$32*$H$8+$I$32*$I$8+$J$32*$J$8+$K$32*$K$8+$L$32*$L$8+$M$32*$M$8+$N$32*$N$8+$O$32*$O$8+$P$32*$P$8</f>
        <v>0</v>
      </c>
      <c r="T32" s="15">
        <f>SUM($Q$32:$R$32)</f>
        <v>0</v>
      </c>
      <c r="U32" s="15">
        <f>$S$32+$T$32</f>
        <v>0</v>
      </c>
    </row>
    <row r="33" spans="1:21" x14ac:dyDescent="0.3">
      <c r="A33" s="10" t="s">
        <v>116</v>
      </c>
      <c r="B33" s="11" t="s">
        <v>117</v>
      </c>
      <c r="C33" s="11" t="s">
        <v>34</v>
      </c>
      <c r="D33" s="11" t="s">
        <v>118</v>
      </c>
      <c r="E33" s="11">
        <f xml:space="preserve"> IF($U$33,1,0)</f>
        <v>1</v>
      </c>
      <c r="F33" s="11" t="s">
        <v>119</v>
      </c>
      <c r="G33" s="11">
        <v>2</v>
      </c>
      <c r="H33" s="11">
        <v>0</v>
      </c>
      <c r="I33" s="11">
        <v>0</v>
      </c>
      <c r="J33" s="11">
        <v>0</v>
      </c>
      <c r="K33" s="11">
        <v>0</v>
      </c>
      <c r="L33" s="11">
        <v>0</v>
      </c>
      <c r="M33" s="11">
        <v>0</v>
      </c>
      <c r="N33" s="11">
        <v>0</v>
      </c>
      <c r="O33" s="11">
        <v>0</v>
      </c>
      <c r="P33" s="11">
        <v>0</v>
      </c>
      <c r="Q33" s="12">
        <v>0</v>
      </c>
      <c r="R33" s="12">
        <v>0</v>
      </c>
      <c r="S33" s="12">
        <f>$G$33*$G$8+$H$33*$H$8+$I$33*$I$8+$J$33*$J$8+$K$33*$K$8+$L$33*$L$8+$M$33*$M$8+$N$33*$N$8+$O$33*$O$8+$P$33*$P$8</f>
        <v>1.4</v>
      </c>
      <c r="T33" s="12">
        <f>SUM($Q$33:$R$33)</f>
        <v>0</v>
      </c>
      <c r="U33" s="12">
        <f>$S$33+$T$33</f>
        <v>1.4</v>
      </c>
    </row>
    <row r="34" spans="1:21" x14ac:dyDescent="0.3">
      <c r="A34" s="13" t="s">
        <v>120</v>
      </c>
      <c r="B34" s="14" t="s">
        <v>121</v>
      </c>
      <c r="C34" s="14"/>
      <c r="D34" s="14" t="s">
        <v>122</v>
      </c>
      <c r="E34" s="14">
        <f xml:space="preserve"> IF($U$34,1,0)</f>
        <v>0</v>
      </c>
      <c r="F34" s="14" t="s">
        <v>123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5">
        <v>0</v>
      </c>
      <c r="R34" s="15">
        <v>0</v>
      </c>
      <c r="S34" s="15">
        <f>$G$34*$G$8+$H$34*$H$8+$I$34*$I$8+$J$34*$J$8+$K$34*$K$8+$L$34*$L$8+$M$34*$M$8+$N$34*$N$8+$O$34*$O$8+$P$34*$P$8</f>
        <v>0</v>
      </c>
      <c r="T34" s="15">
        <f>SUM($Q$34:$R$34)</f>
        <v>0</v>
      </c>
      <c r="U34" s="15">
        <f>$S$34+$T$34</f>
        <v>0</v>
      </c>
    </row>
    <row r="35" spans="1:21" x14ac:dyDescent="0.3">
      <c r="A35" s="10" t="s">
        <v>124</v>
      </c>
      <c r="B35" s="11" t="s">
        <v>125</v>
      </c>
      <c r="C35" s="11"/>
      <c r="D35" s="11" t="s">
        <v>126</v>
      </c>
      <c r="E35" s="11">
        <f xml:space="preserve"> IF($U$35,1,0)</f>
        <v>0</v>
      </c>
      <c r="F35" s="11" t="s">
        <v>127</v>
      </c>
      <c r="G35" s="11">
        <v>0</v>
      </c>
      <c r="H35" s="11">
        <v>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0</v>
      </c>
      <c r="Q35" s="12">
        <v>0</v>
      </c>
      <c r="R35" s="12">
        <v>0</v>
      </c>
      <c r="S35" s="12">
        <f>$G$35*$G$8+$H$35*$H$8+$I$35*$I$8+$J$35*$J$8+$K$35*$K$8+$L$35*$L$8+$M$35*$M$8+$N$35*$N$8+$O$35*$O$8+$P$35*$P$8</f>
        <v>0</v>
      </c>
      <c r="T35" s="12">
        <f>SUM($Q$35:$R$35)</f>
        <v>0</v>
      </c>
      <c r="U35" s="12">
        <f>$S$35+$T$35</f>
        <v>0</v>
      </c>
    </row>
    <row r="36" spans="1:21" x14ac:dyDescent="0.3">
      <c r="A36" s="13" t="s">
        <v>128</v>
      </c>
      <c r="B36" s="14" t="s">
        <v>129</v>
      </c>
      <c r="C36" s="14" t="s">
        <v>34</v>
      </c>
      <c r="D36" s="14" t="s">
        <v>130</v>
      </c>
      <c r="E36" s="14">
        <f xml:space="preserve"> IF($U$36,1,0)</f>
        <v>0</v>
      </c>
      <c r="F36" s="14" t="s">
        <v>131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5">
        <v>0</v>
      </c>
      <c r="R36" s="15">
        <v>0</v>
      </c>
      <c r="S36" s="15">
        <f>$G$36*$G$8+$H$36*$H$8+$I$36*$I$8+$J$36*$J$8+$K$36*$K$8+$L$36*$L$8+$M$36*$M$8+$N$36*$N$8+$O$36*$O$8+$P$36*$P$8</f>
        <v>0</v>
      </c>
      <c r="T36" s="15">
        <f>SUM($Q$36:$R$36)</f>
        <v>0</v>
      </c>
      <c r="U36" s="15">
        <f>$S$36+$T$36</f>
        <v>0</v>
      </c>
    </row>
    <row r="37" spans="1:21" x14ac:dyDescent="0.3">
      <c r="A37" s="10" t="s">
        <v>132</v>
      </c>
      <c r="B37" s="11" t="s">
        <v>133</v>
      </c>
      <c r="C37" s="11"/>
      <c r="D37" s="11" t="s">
        <v>134</v>
      </c>
      <c r="E37" s="11">
        <f xml:space="preserve"> IF($U$37,1,0)</f>
        <v>0</v>
      </c>
      <c r="F37" s="11" t="s">
        <v>135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2">
        <v>0</v>
      </c>
      <c r="R37" s="12">
        <v>0</v>
      </c>
      <c r="S37" s="12">
        <f>$G$37*$G$8+$H$37*$H$8+$I$37*$I$8+$J$37*$J$8+$K$37*$K$8+$L$37*$L$8+$M$37*$M$8+$N$37*$N$8+$O$37*$O$8+$P$37*$P$8</f>
        <v>0</v>
      </c>
      <c r="T37" s="12">
        <f>SUM($Q$37:$R$37)</f>
        <v>0</v>
      </c>
      <c r="U37" s="12">
        <f>$S$37+$T$37</f>
        <v>0</v>
      </c>
    </row>
    <row r="38" spans="1:21" x14ac:dyDescent="0.3">
      <c r="A38" s="13" t="s">
        <v>136</v>
      </c>
      <c r="B38" s="14" t="s">
        <v>137</v>
      </c>
      <c r="C38" s="14"/>
      <c r="D38" s="14" t="s">
        <v>138</v>
      </c>
      <c r="E38" s="14">
        <f xml:space="preserve"> IF($U$38,1,0)</f>
        <v>0</v>
      </c>
      <c r="F38" s="14" t="s">
        <v>139</v>
      </c>
      <c r="G38" s="14">
        <v>0</v>
      </c>
      <c r="H38" s="14">
        <v>0</v>
      </c>
      <c r="I38" s="14">
        <v>0</v>
      </c>
      <c r="J38" s="14">
        <v>0</v>
      </c>
      <c r="K38" s="14">
        <v>0</v>
      </c>
      <c r="L38" s="14">
        <v>0</v>
      </c>
      <c r="M38" s="14">
        <v>0</v>
      </c>
      <c r="N38" s="14">
        <v>0</v>
      </c>
      <c r="O38" s="14">
        <v>0</v>
      </c>
      <c r="P38" s="14">
        <v>0</v>
      </c>
      <c r="Q38" s="15">
        <v>0</v>
      </c>
      <c r="R38" s="15">
        <v>0</v>
      </c>
      <c r="S38" s="15">
        <f>$G$38*$G$8+$H$38*$H$8+$I$38*$I$8+$J$38*$J$8+$K$38*$K$8+$L$38*$L$8+$M$38*$M$8+$N$38*$N$8+$O$38*$O$8+$P$38*$P$8</f>
        <v>0</v>
      </c>
      <c r="T38" s="15">
        <f>SUM($Q$38:$R$38)</f>
        <v>0</v>
      </c>
      <c r="U38" s="15">
        <f>$S$38+$T$38</f>
        <v>0</v>
      </c>
    </row>
    <row r="39" spans="1:21" x14ac:dyDescent="0.3">
      <c r="A39" s="10" t="s">
        <v>140</v>
      </c>
      <c r="B39" s="11" t="s">
        <v>141</v>
      </c>
      <c r="C39" s="11"/>
      <c r="D39" s="11" t="s">
        <v>142</v>
      </c>
      <c r="E39" s="11">
        <f xml:space="preserve"> IF($U$39,1,0)</f>
        <v>0</v>
      </c>
      <c r="F39" s="11" t="s">
        <v>143</v>
      </c>
      <c r="G39" s="11">
        <v>0</v>
      </c>
      <c r="H39" s="11">
        <v>0</v>
      </c>
      <c r="I39" s="11">
        <v>0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2">
        <v>0</v>
      </c>
      <c r="R39" s="12">
        <v>0</v>
      </c>
      <c r="S39" s="12">
        <f>$G$39*$G$8+$H$39*$H$8+$I$39*$I$8+$J$39*$J$8+$K$39*$K$8+$L$39*$L$8+$M$39*$M$8+$N$39*$N$8+$O$39*$O$8+$P$39*$P$8</f>
        <v>0</v>
      </c>
      <c r="T39" s="12">
        <f>SUM($Q$39:$R$39)</f>
        <v>0</v>
      </c>
      <c r="U39" s="12">
        <f>$S$39+$T$39</f>
        <v>0</v>
      </c>
    </row>
    <row r="40" spans="1:21" x14ac:dyDescent="0.3">
      <c r="A40" s="13" t="s">
        <v>144</v>
      </c>
      <c r="B40" s="14" t="s">
        <v>145</v>
      </c>
      <c r="C40" s="14"/>
      <c r="D40" s="14" t="s">
        <v>146</v>
      </c>
      <c r="E40" s="14">
        <f xml:space="preserve"> IF($U$40,1,0)</f>
        <v>0</v>
      </c>
      <c r="F40" s="14" t="s">
        <v>147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5">
        <v>0</v>
      </c>
      <c r="R40" s="15">
        <v>0</v>
      </c>
      <c r="S40" s="15">
        <f>$G$40*$G$8+$H$40*$H$8+$I$40*$I$8+$J$40*$J$8+$K$40*$K$8+$L$40*$L$8+$M$40*$M$8+$N$40*$N$8+$O$40*$O$8+$P$40*$P$8</f>
        <v>0</v>
      </c>
      <c r="T40" s="15">
        <f>SUM($Q$40:$R$40)</f>
        <v>0</v>
      </c>
      <c r="U40" s="15">
        <f>$S$40+$T$40</f>
        <v>0</v>
      </c>
    </row>
    <row r="41" spans="1:21" x14ac:dyDescent="0.3">
      <c r="A41" s="10" t="s">
        <v>148</v>
      </c>
      <c r="B41" s="11" t="s">
        <v>149</v>
      </c>
      <c r="C41" s="11"/>
      <c r="D41" s="11" t="s">
        <v>150</v>
      </c>
      <c r="E41" s="11">
        <f xml:space="preserve"> IF($U$41,1,0)</f>
        <v>0</v>
      </c>
      <c r="F41" s="11" t="s">
        <v>151</v>
      </c>
      <c r="G41" s="11">
        <v>0</v>
      </c>
      <c r="H41" s="11">
        <v>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2">
        <v>0</v>
      </c>
      <c r="R41" s="12">
        <v>0</v>
      </c>
      <c r="S41" s="12">
        <f>$G$41*$G$8+$H$41*$H$8+$I$41*$I$8+$J$41*$J$8+$K$41*$K$8+$L$41*$L$8+$M$41*$M$8+$N$41*$N$8+$O$41*$O$8+$P$41*$P$8</f>
        <v>0</v>
      </c>
      <c r="T41" s="12">
        <f>SUM($Q$41:$R$41)</f>
        <v>0</v>
      </c>
      <c r="U41" s="12">
        <f>$S$41+$T$41</f>
        <v>0</v>
      </c>
    </row>
    <row r="42" spans="1:21" x14ac:dyDescent="0.3">
      <c r="A42" s="13" t="s">
        <v>152</v>
      </c>
      <c r="B42" s="14" t="s">
        <v>153</v>
      </c>
      <c r="C42" s="14"/>
      <c r="D42" s="14" t="s">
        <v>154</v>
      </c>
      <c r="E42" s="14">
        <f xml:space="preserve"> IF($U$42,1,0)</f>
        <v>1</v>
      </c>
      <c r="F42" s="14" t="s">
        <v>155</v>
      </c>
      <c r="G42" s="14">
        <v>2</v>
      </c>
      <c r="H42" s="14">
        <v>2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2</v>
      </c>
      <c r="Q42" s="15">
        <v>0</v>
      </c>
      <c r="R42" s="15">
        <v>0</v>
      </c>
      <c r="S42" s="15">
        <f>$G$42*$G$8+$H$42*$H$8+$I$42*$I$8+$J$42*$J$8+$K$42*$K$8+$L$42*$L$8+$M$42*$M$8+$N$42*$N$8+$O$42*$O$8+$P$42*$P$8</f>
        <v>7</v>
      </c>
      <c r="T42" s="15">
        <f>SUM($Q$42:$R$42)</f>
        <v>0</v>
      </c>
      <c r="U42" s="15">
        <f>$S$42+$T$42</f>
        <v>7</v>
      </c>
    </row>
    <row r="43" spans="1:21" x14ac:dyDescent="0.3">
      <c r="A43" s="10" t="s">
        <v>156</v>
      </c>
      <c r="B43" s="11" t="s">
        <v>157</v>
      </c>
      <c r="C43" s="11" t="s">
        <v>65</v>
      </c>
      <c r="D43" s="11" t="s">
        <v>158</v>
      </c>
      <c r="E43" s="11">
        <f xml:space="preserve"> IF($U$43,1,0)</f>
        <v>0</v>
      </c>
      <c r="F43" s="11" t="s">
        <v>159</v>
      </c>
      <c r="G43" s="11">
        <v>0</v>
      </c>
      <c r="H43" s="11">
        <v>0</v>
      </c>
      <c r="I43" s="11">
        <v>0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2">
        <v>0</v>
      </c>
      <c r="R43" s="12">
        <v>0</v>
      </c>
      <c r="S43" s="12">
        <f>$G$43*$G$8+$H$43*$H$8+$I$43*$I$8+$J$43*$J$8+$K$43*$K$8+$L$43*$L$8+$M$43*$M$8+$N$43*$N$8+$O$43*$O$8+$P$43*$P$8</f>
        <v>0</v>
      </c>
      <c r="T43" s="12">
        <f>SUM($Q$43:$R$43)</f>
        <v>0</v>
      </c>
      <c r="U43" s="12">
        <f>$S$43+$T$43</f>
        <v>0</v>
      </c>
    </row>
    <row r="44" spans="1:21" x14ac:dyDescent="0.3">
      <c r="A44" s="13" t="s">
        <v>160</v>
      </c>
      <c r="B44" s="14" t="s">
        <v>161</v>
      </c>
      <c r="C44" s="14"/>
      <c r="D44" s="14" t="s">
        <v>162</v>
      </c>
      <c r="E44" s="14">
        <f xml:space="preserve"> IF($U$44,1,0)</f>
        <v>0</v>
      </c>
      <c r="F44" s="14" t="s">
        <v>163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14">
        <v>0</v>
      </c>
      <c r="P44" s="14">
        <v>0</v>
      </c>
      <c r="Q44" s="15">
        <v>0</v>
      </c>
      <c r="R44" s="15">
        <v>0</v>
      </c>
      <c r="S44" s="15">
        <f>$G$44*$G$8+$H$44*$H$8+$I$44*$I$8+$J$44*$J$8+$K$44*$K$8+$L$44*$L$8+$M$44*$M$8+$N$44*$N$8+$O$44*$O$8+$P$44*$P$8</f>
        <v>0</v>
      </c>
      <c r="T44" s="15">
        <f>SUM($Q$44:$R$44)</f>
        <v>0</v>
      </c>
      <c r="U44" s="15">
        <f>$S$44+$T$44</f>
        <v>0</v>
      </c>
    </row>
    <row r="45" spans="1:21" x14ac:dyDescent="0.3">
      <c r="A45" s="10" t="s">
        <v>164</v>
      </c>
      <c r="B45" s="11" t="s">
        <v>165</v>
      </c>
      <c r="C45" s="11"/>
      <c r="D45" s="11" t="s">
        <v>166</v>
      </c>
      <c r="E45" s="11">
        <f xml:space="preserve"> IF($U$45,1,0)</f>
        <v>0</v>
      </c>
      <c r="F45" s="11" t="s">
        <v>167</v>
      </c>
      <c r="G45" s="11">
        <v>0</v>
      </c>
      <c r="H45" s="11">
        <v>0</v>
      </c>
      <c r="I45" s="11">
        <v>0</v>
      </c>
      <c r="J45" s="11">
        <v>0</v>
      </c>
      <c r="K45" s="11">
        <v>0</v>
      </c>
      <c r="L45" s="11">
        <v>0</v>
      </c>
      <c r="M45" s="11">
        <v>0</v>
      </c>
      <c r="N45" s="11">
        <v>0</v>
      </c>
      <c r="O45" s="11">
        <v>0</v>
      </c>
      <c r="P45" s="11">
        <v>0</v>
      </c>
      <c r="Q45" s="12">
        <v>0</v>
      </c>
      <c r="R45" s="12">
        <v>0</v>
      </c>
      <c r="S45" s="12">
        <f>$G$45*$G$8+$H$45*$H$8+$I$45*$I$8+$J$45*$J$8+$K$45*$K$8+$L$45*$L$8+$M$45*$M$8+$N$45*$N$8+$O$45*$O$8+$P$45*$P$8</f>
        <v>0</v>
      </c>
      <c r="T45" s="12">
        <f>SUM($Q$45:$R$45)</f>
        <v>0</v>
      </c>
      <c r="U45" s="12">
        <f>$S$45+$T$45</f>
        <v>0</v>
      </c>
    </row>
    <row r="46" spans="1:21" x14ac:dyDescent="0.3">
      <c r="A46" s="13" t="s">
        <v>168</v>
      </c>
      <c r="B46" s="14" t="s">
        <v>169</v>
      </c>
      <c r="C46" s="14" t="s">
        <v>65</v>
      </c>
      <c r="D46" s="14" t="s">
        <v>170</v>
      </c>
      <c r="E46" s="14">
        <f xml:space="preserve"> IF($U$46,1,0)</f>
        <v>0</v>
      </c>
      <c r="F46" s="14" t="s">
        <v>171</v>
      </c>
      <c r="G46" s="14">
        <v>0</v>
      </c>
      <c r="H46" s="14">
        <v>0</v>
      </c>
      <c r="I46" s="14">
        <v>0</v>
      </c>
      <c r="J46" s="14">
        <v>0</v>
      </c>
      <c r="K46" s="14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5">
        <v>0</v>
      </c>
      <c r="R46" s="15">
        <v>0</v>
      </c>
      <c r="S46" s="15">
        <f>$G$46*$G$8+$H$46*$H$8+$I$46*$I$8+$J$46*$J$8+$K$46*$K$8+$L$46*$L$8+$M$46*$M$8+$N$46*$N$8+$O$46*$O$8+$P$46*$P$8</f>
        <v>0</v>
      </c>
      <c r="T46" s="15">
        <f>SUM($Q$46:$R$46)</f>
        <v>0</v>
      </c>
      <c r="U46" s="15">
        <f>$S$46+$T$46</f>
        <v>0</v>
      </c>
    </row>
    <row r="47" spans="1:21" x14ac:dyDescent="0.3">
      <c r="A47" s="10" t="s">
        <v>172</v>
      </c>
      <c r="B47" s="11" t="s">
        <v>173</v>
      </c>
      <c r="C47" s="11"/>
      <c r="D47" s="11" t="s">
        <v>174</v>
      </c>
      <c r="E47" s="11">
        <f xml:space="preserve"> IF($U$47,1,0)</f>
        <v>0</v>
      </c>
      <c r="F47" s="11" t="s">
        <v>175</v>
      </c>
      <c r="G47" s="11">
        <v>0</v>
      </c>
      <c r="H47" s="11">
        <v>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2">
        <v>0</v>
      </c>
      <c r="R47" s="12">
        <v>0</v>
      </c>
      <c r="S47" s="12">
        <f>$G$47*$G$8+$H$47*$H$8+$I$47*$I$8+$J$47*$J$8+$K$47*$K$8+$L$47*$L$8+$M$47*$M$8+$N$47*$N$8+$O$47*$O$8+$P$47*$P$8</f>
        <v>0</v>
      </c>
      <c r="T47" s="12">
        <f>SUM($Q$47:$R$47)</f>
        <v>0</v>
      </c>
      <c r="U47" s="12">
        <f>$S$47+$T$47</f>
        <v>0</v>
      </c>
    </row>
    <row r="48" spans="1:21" x14ac:dyDescent="0.3">
      <c r="A48" s="13" t="s">
        <v>176</v>
      </c>
      <c r="B48" s="14" t="s">
        <v>177</v>
      </c>
      <c r="C48" s="14"/>
      <c r="D48" s="14" t="s">
        <v>178</v>
      </c>
      <c r="E48" s="14">
        <f xml:space="preserve"> IF($U$48,1,0)</f>
        <v>0</v>
      </c>
      <c r="F48" s="14" t="s">
        <v>179</v>
      </c>
      <c r="G48" s="14">
        <v>0</v>
      </c>
      <c r="H48" s="14">
        <v>0</v>
      </c>
      <c r="I48" s="14">
        <v>0</v>
      </c>
      <c r="J48" s="14">
        <v>0</v>
      </c>
      <c r="K48" s="14">
        <v>0</v>
      </c>
      <c r="L48" s="14">
        <v>0</v>
      </c>
      <c r="M48" s="14">
        <v>0</v>
      </c>
      <c r="N48" s="14">
        <v>0</v>
      </c>
      <c r="O48" s="14">
        <v>0</v>
      </c>
      <c r="P48" s="14">
        <v>0</v>
      </c>
      <c r="Q48" s="15">
        <v>0</v>
      </c>
      <c r="R48" s="15">
        <v>0</v>
      </c>
      <c r="S48" s="15">
        <f>$G$48*$G$8+$H$48*$H$8+$I$48*$I$8+$J$48*$J$8+$K$48*$K$8+$L$48*$L$8+$M$48*$M$8+$N$48*$N$8+$O$48*$O$8+$P$48*$P$8</f>
        <v>0</v>
      </c>
      <c r="T48" s="15">
        <f>SUM($Q$48:$R$48)</f>
        <v>0</v>
      </c>
      <c r="U48" s="15">
        <f>$S$48+$T$48</f>
        <v>0</v>
      </c>
    </row>
    <row r="49" spans="1:21" x14ac:dyDescent="0.3">
      <c r="A49" s="10" t="s">
        <v>180</v>
      </c>
      <c r="B49" s="11" t="s">
        <v>177</v>
      </c>
      <c r="C49" s="11"/>
      <c r="D49" s="11" t="s">
        <v>181</v>
      </c>
      <c r="E49" s="11">
        <f xml:space="preserve"> IF($U$49,1,0)</f>
        <v>1</v>
      </c>
      <c r="F49" s="11" t="s">
        <v>182</v>
      </c>
      <c r="G49" s="11">
        <v>12</v>
      </c>
      <c r="H49" s="11">
        <v>0</v>
      </c>
      <c r="I49" s="11">
        <v>0</v>
      </c>
      <c r="J49" s="11">
        <v>0</v>
      </c>
      <c r="K49" s="11">
        <v>2</v>
      </c>
      <c r="L49" s="11">
        <v>2</v>
      </c>
      <c r="M49" s="11">
        <v>2</v>
      </c>
      <c r="N49" s="11">
        <v>0</v>
      </c>
      <c r="O49" s="11">
        <v>0</v>
      </c>
      <c r="P49" s="11">
        <v>0</v>
      </c>
      <c r="Q49" s="12">
        <v>0</v>
      </c>
      <c r="R49" s="12">
        <f>$T$339</f>
        <v>1.85</v>
      </c>
      <c r="S49" s="12">
        <f>$G$49*$G$8+$H$49*$H$8+$I$49*$I$8+$J$49*$J$8+$K$49*$K$8+$L$49*$L$8+$M$49*$M$8+$N$49*$N$8+$O$49*$O$8+$P$49*$P$8</f>
        <v>26.4</v>
      </c>
      <c r="T49" s="12">
        <f>SUM($Q$49:$R$49)</f>
        <v>1.85</v>
      </c>
      <c r="U49" s="12">
        <f>$S$49+$T$49</f>
        <v>28.25</v>
      </c>
    </row>
    <row r="50" spans="1:21" x14ac:dyDescent="0.3">
      <c r="A50" s="13" t="s">
        <v>183</v>
      </c>
      <c r="B50" s="14" t="s">
        <v>177</v>
      </c>
      <c r="C50" s="14"/>
      <c r="D50" s="14" t="s">
        <v>184</v>
      </c>
      <c r="E50" s="14">
        <f xml:space="preserve"> IF($U$50,1,0)</f>
        <v>0</v>
      </c>
      <c r="F50" s="14" t="s">
        <v>185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  <c r="M50" s="14">
        <v>0</v>
      </c>
      <c r="N50" s="14">
        <v>0</v>
      </c>
      <c r="O50" s="14">
        <v>0</v>
      </c>
      <c r="P50" s="14">
        <v>0</v>
      </c>
      <c r="Q50" s="15">
        <v>0</v>
      </c>
      <c r="R50" s="15">
        <v>0</v>
      </c>
      <c r="S50" s="15">
        <f>$G$50*$G$8+$H$50*$H$8+$I$50*$I$8+$J$50*$J$8+$K$50*$K$8+$L$50*$L$8+$M$50*$M$8+$N$50*$N$8+$O$50*$O$8+$P$50*$P$8</f>
        <v>0</v>
      </c>
      <c r="T50" s="15">
        <f>SUM($Q$50:$R$50)</f>
        <v>0</v>
      </c>
      <c r="U50" s="15">
        <f>$S$50+$T$50</f>
        <v>0</v>
      </c>
    </row>
    <row r="51" spans="1:21" x14ac:dyDescent="0.3">
      <c r="A51" s="10" t="s">
        <v>186</v>
      </c>
      <c r="B51" s="11" t="s">
        <v>177</v>
      </c>
      <c r="C51" s="11"/>
      <c r="D51" s="11" t="s">
        <v>187</v>
      </c>
      <c r="E51" s="11">
        <f xml:space="preserve"> IF($U$51,1,0)</f>
        <v>1</v>
      </c>
      <c r="F51" s="11" t="s">
        <v>188</v>
      </c>
      <c r="G51" s="11">
        <v>2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2">
        <v>0</v>
      </c>
      <c r="R51" s="12">
        <v>0</v>
      </c>
      <c r="S51" s="12">
        <f>$G$51*$G$8+$H$51*$H$8+$I$51*$I$8+$J$51*$J$8+$K$51*$K$8+$L$51*$L$8+$M$51*$M$8+$N$51*$N$8+$O$51*$O$8+$P$51*$P$8</f>
        <v>1.4</v>
      </c>
      <c r="T51" s="12">
        <f>SUM($Q$51:$R$51)</f>
        <v>0</v>
      </c>
      <c r="U51" s="12">
        <f>$S$51+$T$51</f>
        <v>1.4</v>
      </c>
    </row>
    <row r="52" spans="1:21" x14ac:dyDescent="0.3">
      <c r="A52" s="13" t="s">
        <v>189</v>
      </c>
      <c r="B52" s="14" t="s">
        <v>177</v>
      </c>
      <c r="C52" s="14"/>
      <c r="D52" s="14" t="s">
        <v>190</v>
      </c>
      <c r="E52" s="14">
        <f xml:space="preserve"> IF($U$52,1,0)</f>
        <v>0</v>
      </c>
      <c r="F52" s="14" t="s">
        <v>191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5">
        <v>0</v>
      </c>
      <c r="R52" s="15">
        <v>0</v>
      </c>
      <c r="S52" s="15">
        <f>$G$52*$G$8+$H$52*$H$8+$I$52*$I$8+$J$52*$J$8+$K$52*$K$8+$L$52*$L$8+$M$52*$M$8+$N$52*$N$8+$O$52*$O$8+$P$52*$P$8</f>
        <v>0</v>
      </c>
      <c r="T52" s="15">
        <f>SUM($Q$52:$R$52)</f>
        <v>0</v>
      </c>
      <c r="U52" s="15">
        <f>$S$52+$T$52</f>
        <v>0</v>
      </c>
    </row>
    <row r="53" spans="1:21" x14ac:dyDescent="0.3">
      <c r="A53" s="10" t="s">
        <v>192</v>
      </c>
      <c r="B53" s="11" t="s">
        <v>177</v>
      </c>
      <c r="C53" s="11"/>
      <c r="D53" s="11" t="s">
        <v>193</v>
      </c>
      <c r="E53" s="11">
        <f xml:space="preserve"> IF($U$53,1,0)</f>
        <v>0</v>
      </c>
      <c r="F53" s="11" t="s">
        <v>194</v>
      </c>
      <c r="G53" s="11">
        <v>0</v>
      </c>
      <c r="H53" s="11">
        <v>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2">
        <v>0</v>
      </c>
      <c r="R53" s="12">
        <v>0</v>
      </c>
      <c r="S53" s="12">
        <f>$G$53*$G$8+$H$53*$H$8+$I$53*$I$8+$J$53*$J$8+$K$53*$K$8+$L$53*$L$8+$M$53*$M$8+$N$53*$N$8+$O$53*$O$8+$P$53*$P$8</f>
        <v>0</v>
      </c>
      <c r="T53" s="12">
        <f>SUM($Q$53:$R$53)</f>
        <v>0</v>
      </c>
      <c r="U53" s="12">
        <f>$S$53+$T$53</f>
        <v>0</v>
      </c>
    </row>
    <row r="54" spans="1:21" x14ac:dyDescent="0.3">
      <c r="A54" s="13" t="s">
        <v>195</v>
      </c>
      <c r="B54" s="14" t="s">
        <v>177</v>
      </c>
      <c r="C54" s="14"/>
      <c r="D54" s="14" t="s">
        <v>196</v>
      </c>
      <c r="E54" s="14">
        <f xml:space="preserve"> IF($U$54,1,0)</f>
        <v>0</v>
      </c>
      <c r="F54" s="14" t="s">
        <v>197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5">
        <v>0</v>
      </c>
      <c r="R54" s="15">
        <v>0</v>
      </c>
      <c r="S54" s="15">
        <f>$G$54*$G$8+$H$54*$H$8+$I$54*$I$8+$J$54*$J$8+$K$54*$K$8+$L$54*$L$8+$M$54*$M$8+$N$54*$N$8+$O$54*$O$8+$P$54*$P$8</f>
        <v>0</v>
      </c>
      <c r="T54" s="15">
        <f>SUM($Q$54:$R$54)</f>
        <v>0</v>
      </c>
      <c r="U54" s="15">
        <f>$S$54+$T$54</f>
        <v>0</v>
      </c>
    </row>
    <row r="55" spans="1:21" x14ac:dyDescent="0.3">
      <c r="A55" s="10" t="s">
        <v>198</v>
      </c>
      <c r="B55" s="11" t="s">
        <v>177</v>
      </c>
      <c r="C55" s="11" t="s">
        <v>65</v>
      </c>
      <c r="D55" s="11" t="s">
        <v>199</v>
      </c>
      <c r="E55" s="11">
        <f xml:space="preserve"> IF($U$55,1,0)</f>
        <v>0</v>
      </c>
      <c r="F55" s="11" t="s">
        <v>200</v>
      </c>
      <c r="G55" s="11">
        <v>0</v>
      </c>
      <c r="H55" s="11">
        <v>0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2">
        <v>0</v>
      </c>
      <c r="R55" s="12">
        <v>0</v>
      </c>
      <c r="S55" s="12">
        <f>$G$55*$G$8+$H$55*$H$8+$I$55*$I$8+$J$55*$J$8+$K$55*$K$8+$L$55*$L$8+$M$55*$M$8+$N$55*$N$8+$O$55*$O$8+$P$55*$P$8</f>
        <v>0</v>
      </c>
      <c r="T55" s="12">
        <f>SUM($Q$55:$R$55)</f>
        <v>0</v>
      </c>
      <c r="U55" s="12">
        <f>$S$55+$T$55</f>
        <v>0</v>
      </c>
    </row>
    <row r="56" spans="1:21" x14ac:dyDescent="0.3">
      <c r="A56" s="13" t="s">
        <v>201</v>
      </c>
      <c r="B56" s="14" t="s">
        <v>177</v>
      </c>
      <c r="C56" s="14" t="s">
        <v>202</v>
      </c>
      <c r="D56" s="14" t="s">
        <v>203</v>
      </c>
      <c r="E56" s="14">
        <f xml:space="preserve"> IF($U$56,1,0)</f>
        <v>1</v>
      </c>
      <c r="F56" s="14" t="s">
        <v>204</v>
      </c>
      <c r="G56" s="14">
        <v>0</v>
      </c>
      <c r="H56" s="14">
        <v>4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5">
        <v>0</v>
      </c>
      <c r="R56" s="15">
        <v>0</v>
      </c>
      <c r="S56" s="15">
        <f>$G$56*$G$8+$H$56*$H$8+$I$56*$I$8+$J$56*$J$8+$K$56*$K$8+$L$56*$L$8+$M$56*$M$8+$N$56*$N$8+$O$56*$O$8+$P$56*$P$8</f>
        <v>7.2</v>
      </c>
      <c r="T56" s="15">
        <f>SUM($Q$56:$R$56)</f>
        <v>0</v>
      </c>
      <c r="U56" s="15">
        <f>$S$56+$T$56</f>
        <v>7.2</v>
      </c>
    </row>
    <row r="57" spans="1:21" x14ac:dyDescent="0.3">
      <c r="A57" s="10" t="s">
        <v>205</v>
      </c>
      <c r="B57" s="11" t="s">
        <v>206</v>
      </c>
      <c r="C57" s="11"/>
      <c r="D57" s="11" t="s">
        <v>207</v>
      </c>
      <c r="E57" s="11">
        <f xml:space="preserve"> IF($U$57,1,0)</f>
        <v>0</v>
      </c>
      <c r="F57" s="11" t="s">
        <v>208</v>
      </c>
      <c r="G57" s="11">
        <v>0</v>
      </c>
      <c r="H57" s="11">
        <v>0</v>
      </c>
      <c r="I57" s="11">
        <v>0</v>
      </c>
      <c r="J57" s="11">
        <v>0</v>
      </c>
      <c r="K57" s="11">
        <v>0</v>
      </c>
      <c r="L57" s="11">
        <v>0</v>
      </c>
      <c r="M57" s="11">
        <v>0</v>
      </c>
      <c r="N57" s="11">
        <v>0</v>
      </c>
      <c r="O57" s="11">
        <v>0</v>
      </c>
      <c r="P57" s="11">
        <v>0</v>
      </c>
      <c r="Q57" s="12">
        <v>0</v>
      </c>
      <c r="R57" s="12">
        <v>0</v>
      </c>
      <c r="S57" s="12">
        <f>$G$57*$G$8+$H$57*$H$8+$I$57*$I$8+$J$57*$J$8+$K$57*$K$8+$L$57*$L$8+$M$57*$M$8+$N$57*$N$8+$O$57*$O$8+$P$57*$P$8</f>
        <v>0</v>
      </c>
      <c r="T57" s="12">
        <f>SUM($Q$57:$R$57)</f>
        <v>0</v>
      </c>
      <c r="U57" s="12">
        <f>$S$57+$T$57</f>
        <v>0</v>
      </c>
    </row>
    <row r="58" spans="1:21" x14ac:dyDescent="0.3">
      <c r="A58" s="13" t="s">
        <v>209</v>
      </c>
      <c r="B58" s="14" t="s">
        <v>210</v>
      </c>
      <c r="C58" s="14"/>
      <c r="D58" s="14" t="s">
        <v>211</v>
      </c>
      <c r="E58" s="14">
        <f xml:space="preserve"> IF($U$58,1,0)</f>
        <v>1</v>
      </c>
      <c r="F58" s="14" t="s">
        <v>212</v>
      </c>
      <c r="G58" s="14">
        <v>4</v>
      </c>
      <c r="H58" s="14">
        <v>3</v>
      </c>
      <c r="I58" s="14">
        <v>0</v>
      </c>
      <c r="J58" s="14">
        <v>0</v>
      </c>
      <c r="K58" s="14">
        <v>2</v>
      </c>
      <c r="L58" s="14">
        <v>1</v>
      </c>
      <c r="M58" s="14">
        <v>0</v>
      </c>
      <c r="N58" s="14">
        <v>0</v>
      </c>
      <c r="O58" s="14">
        <v>0</v>
      </c>
      <c r="P58" s="14">
        <v>1</v>
      </c>
      <c r="Q58" s="15">
        <v>0</v>
      </c>
      <c r="R58" s="15">
        <v>0</v>
      </c>
      <c r="S58" s="15">
        <f>$G$58*$G$8+$H$58*$H$8+$I$58*$I$8+$J$58*$J$8+$K$58*$K$8+$L$58*$L$8+$M$58*$M$8+$N$58*$N$8+$O$58*$O$8+$P$58*$P$8</f>
        <v>16.2</v>
      </c>
      <c r="T58" s="15">
        <f>SUM($Q$58:$R$58)</f>
        <v>0</v>
      </c>
      <c r="U58" s="15">
        <f>$S$58+$T$58</f>
        <v>16.2</v>
      </c>
    </row>
    <row r="59" spans="1:21" x14ac:dyDescent="0.3">
      <c r="A59" s="10" t="s">
        <v>213</v>
      </c>
      <c r="B59" s="11" t="s">
        <v>210</v>
      </c>
      <c r="C59" s="11"/>
      <c r="D59" s="11" t="s">
        <v>214</v>
      </c>
      <c r="E59" s="11">
        <f xml:space="preserve"> IF($U$59,1,0)</f>
        <v>0</v>
      </c>
      <c r="F59" s="11" t="s">
        <v>215</v>
      </c>
      <c r="G59" s="11">
        <v>0</v>
      </c>
      <c r="H59" s="11">
        <v>0</v>
      </c>
      <c r="I59" s="11">
        <v>0</v>
      </c>
      <c r="J59" s="11">
        <v>0</v>
      </c>
      <c r="K59" s="11">
        <v>0</v>
      </c>
      <c r="L59" s="11">
        <v>0</v>
      </c>
      <c r="M59" s="11">
        <v>0</v>
      </c>
      <c r="N59" s="11">
        <v>0</v>
      </c>
      <c r="O59" s="11">
        <v>0</v>
      </c>
      <c r="P59" s="11">
        <v>0</v>
      </c>
      <c r="Q59" s="12">
        <v>0</v>
      </c>
      <c r="R59" s="12">
        <v>0</v>
      </c>
      <c r="S59" s="12">
        <f>$G$59*$G$8+$H$59*$H$8+$I$59*$I$8+$J$59*$J$8+$K$59*$K$8+$L$59*$L$8+$M$59*$M$8+$N$59*$N$8+$O$59*$O$8+$P$59*$P$8</f>
        <v>0</v>
      </c>
      <c r="T59" s="12">
        <f>SUM($Q$59:$R$59)</f>
        <v>0</v>
      </c>
      <c r="U59" s="12">
        <f>$S$59+$T$59</f>
        <v>0</v>
      </c>
    </row>
    <row r="60" spans="1:21" x14ac:dyDescent="0.3">
      <c r="A60" s="13" t="s">
        <v>216</v>
      </c>
      <c r="B60" s="14" t="s">
        <v>217</v>
      </c>
      <c r="C60" s="14"/>
      <c r="D60" s="14" t="s">
        <v>218</v>
      </c>
      <c r="E60" s="14">
        <f xml:space="preserve"> IF($U$60,1,0)</f>
        <v>0</v>
      </c>
      <c r="F60" s="14" t="s">
        <v>219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0</v>
      </c>
      <c r="M60" s="14">
        <v>0</v>
      </c>
      <c r="N60" s="14">
        <v>0</v>
      </c>
      <c r="O60" s="14">
        <v>0</v>
      </c>
      <c r="P60" s="14">
        <v>0</v>
      </c>
      <c r="Q60" s="15">
        <v>0</v>
      </c>
      <c r="R60" s="15">
        <v>0</v>
      </c>
      <c r="S60" s="15">
        <f>$G$60*$G$8+$H$60*$H$8+$I$60*$I$8+$J$60*$J$8+$K$60*$K$8+$L$60*$L$8+$M$60*$M$8+$N$60*$N$8+$O$60*$O$8+$P$60*$P$8</f>
        <v>0</v>
      </c>
      <c r="T60" s="15">
        <f>SUM($Q$60:$R$60)</f>
        <v>0</v>
      </c>
      <c r="U60" s="15">
        <f>$S$60+$T$60</f>
        <v>0</v>
      </c>
    </row>
    <row r="61" spans="1:21" x14ac:dyDescent="0.3">
      <c r="A61" s="10" t="s">
        <v>220</v>
      </c>
      <c r="B61" s="11" t="s">
        <v>221</v>
      </c>
      <c r="C61" s="11" t="s">
        <v>34</v>
      </c>
      <c r="D61" s="11" t="s">
        <v>222</v>
      </c>
      <c r="E61" s="11">
        <f xml:space="preserve"> IF($U$61,1,0)</f>
        <v>0</v>
      </c>
      <c r="F61" s="11" t="s">
        <v>223</v>
      </c>
      <c r="G61" s="11">
        <v>0</v>
      </c>
      <c r="H61" s="11">
        <v>0</v>
      </c>
      <c r="I61" s="11">
        <v>0</v>
      </c>
      <c r="J61" s="11">
        <v>0</v>
      </c>
      <c r="K61" s="11">
        <v>0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2">
        <v>0</v>
      </c>
      <c r="R61" s="12">
        <v>0</v>
      </c>
      <c r="S61" s="12">
        <f>$G$61*$G$8+$H$61*$H$8+$I$61*$I$8+$J$61*$J$8+$K$61*$K$8+$L$61*$L$8+$M$61*$M$8+$N$61*$N$8+$O$61*$O$8+$P$61*$P$8</f>
        <v>0</v>
      </c>
      <c r="T61" s="12">
        <f>SUM($Q$61:$R$61)</f>
        <v>0</v>
      </c>
      <c r="U61" s="12">
        <f>$S$61+$T$61</f>
        <v>0</v>
      </c>
    </row>
    <row r="62" spans="1:21" x14ac:dyDescent="0.3">
      <c r="A62" s="13" t="s">
        <v>224</v>
      </c>
      <c r="B62" s="14" t="s">
        <v>225</v>
      </c>
      <c r="C62" s="14"/>
      <c r="D62" s="14" t="s">
        <v>226</v>
      </c>
      <c r="E62" s="14">
        <f xml:space="preserve"> IF($U$62,1,0)</f>
        <v>0</v>
      </c>
      <c r="F62" s="14" t="s">
        <v>227</v>
      </c>
      <c r="G62" s="14">
        <v>0</v>
      </c>
      <c r="H62" s="14">
        <v>0</v>
      </c>
      <c r="I62" s="14">
        <v>0</v>
      </c>
      <c r="J62" s="14">
        <v>0</v>
      </c>
      <c r="K62" s="14">
        <v>0</v>
      </c>
      <c r="L62" s="14">
        <v>0</v>
      </c>
      <c r="M62" s="14">
        <v>0</v>
      </c>
      <c r="N62" s="14">
        <v>0</v>
      </c>
      <c r="O62" s="14">
        <v>0</v>
      </c>
      <c r="P62" s="14">
        <v>0</v>
      </c>
      <c r="Q62" s="15">
        <v>0</v>
      </c>
      <c r="R62" s="15">
        <v>0</v>
      </c>
      <c r="S62" s="15">
        <f>$G$62*$G$8+$H$62*$H$8+$I$62*$I$8+$J$62*$J$8+$K$62*$K$8+$L$62*$L$8+$M$62*$M$8+$N$62*$N$8+$O$62*$O$8+$P$62*$P$8</f>
        <v>0</v>
      </c>
      <c r="T62" s="15">
        <f>SUM($Q$62:$R$62)</f>
        <v>0</v>
      </c>
      <c r="U62" s="15">
        <f>$S$62+$T$62</f>
        <v>0</v>
      </c>
    </row>
    <row r="63" spans="1:21" x14ac:dyDescent="0.3">
      <c r="A63" s="10" t="s">
        <v>228</v>
      </c>
      <c r="B63" s="11" t="s">
        <v>225</v>
      </c>
      <c r="C63" s="11"/>
      <c r="D63" s="11" t="s">
        <v>229</v>
      </c>
      <c r="E63" s="11">
        <f xml:space="preserve"> IF($U$63,1,0)</f>
        <v>0</v>
      </c>
      <c r="F63" s="11" t="s">
        <v>230</v>
      </c>
      <c r="G63" s="11">
        <v>0</v>
      </c>
      <c r="H63" s="11">
        <v>0</v>
      </c>
      <c r="I63" s="11">
        <v>0</v>
      </c>
      <c r="J63" s="11">
        <v>0</v>
      </c>
      <c r="K63" s="11">
        <v>0</v>
      </c>
      <c r="L63" s="11">
        <v>0</v>
      </c>
      <c r="M63" s="11">
        <v>0</v>
      </c>
      <c r="N63" s="11">
        <v>0</v>
      </c>
      <c r="O63" s="11">
        <v>0</v>
      </c>
      <c r="P63" s="11">
        <v>0</v>
      </c>
      <c r="Q63" s="12">
        <v>0</v>
      </c>
      <c r="R63" s="12">
        <v>0</v>
      </c>
      <c r="S63" s="12">
        <f>$G$63*$G$8+$H$63*$H$8+$I$63*$I$8+$J$63*$J$8+$K$63*$K$8+$L$63*$L$8+$M$63*$M$8+$N$63*$N$8+$O$63*$O$8+$P$63*$P$8</f>
        <v>0</v>
      </c>
      <c r="T63" s="12">
        <f>SUM($Q$63:$R$63)</f>
        <v>0</v>
      </c>
      <c r="U63" s="12">
        <f>$S$63+$T$63</f>
        <v>0</v>
      </c>
    </row>
    <row r="64" spans="1:21" x14ac:dyDescent="0.3">
      <c r="A64" s="13" t="s">
        <v>231</v>
      </c>
      <c r="B64" s="14" t="s">
        <v>225</v>
      </c>
      <c r="C64" s="14"/>
      <c r="D64" s="14" t="s">
        <v>232</v>
      </c>
      <c r="E64" s="14">
        <f xml:space="preserve"> IF($U$64,1,0)</f>
        <v>0</v>
      </c>
      <c r="F64" s="14" t="s">
        <v>233</v>
      </c>
      <c r="G64" s="14">
        <v>0</v>
      </c>
      <c r="H64" s="14">
        <v>0</v>
      </c>
      <c r="I64" s="14">
        <v>0</v>
      </c>
      <c r="J64" s="14">
        <v>0</v>
      </c>
      <c r="K64" s="14">
        <v>0</v>
      </c>
      <c r="L64" s="14">
        <v>0</v>
      </c>
      <c r="M64" s="14">
        <v>0</v>
      </c>
      <c r="N64" s="14">
        <v>0</v>
      </c>
      <c r="O64" s="14">
        <v>0</v>
      </c>
      <c r="P64" s="14">
        <v>0</v>
      </c>
      <c r="Q64" s="15">
        <v>0</v>
      </c>
      <c r="R64" s="15">
        <v>0</v>
      </c>
      <c r="S64" s="15">
        <f>$G$64*$G$8+$H$64*$H$8+$I$64*$I$8+$J$64*$J$8+$K$64*$K$8+$L$64*$L$8+$M$64*$M$8+$N$64*$N$8+$O$64*$O$8+$P$64*$P$8</f>
        <v>0</v>
      </c>
      <c r="T64" s="15">
        <f>SUM($Q$64:$R$64)</f>
        <v>0</v>
      </c>
      <c r="U64" s="15">
        <f>$S$64+$T$64</f>
        <v>0</v>
      </c>
    </row>
    <row r="65" spans="1:21" x14ac:dyDescent="0.3">
      <c r="A65" s="10" t="s">
        <v>234</v>
      </c>
      <c r="B65" s="11" t="s">
        <v>235</v>
      </c>
      <c r="C65" s="11"/>
      <c r="D65" s="11" t="s">
        <v>236</v>
      </c>
      <c r="E65" s="11">
        <f xml:space="preserve"> IF($U$65,1,0)</f>
        <v>0</v>
      </c>
      <c r="F65" s="11" t="s">
        <v>237</v>
      </c>
      <c r="G65" s="11">
        <v>0</v>
      </c>
      <c r="H65" s="11">
        <v>0</v>
      </c>
      <c r="I65" s="11">
        <v>0</v>
      </c>
      <c r="J65" s="11">
        <v>0</v>
      </c>
      <c r="K65" s="11">
        <v>0</v>
      </c>
      <c r="L65" s="11">
        <v>0</v>
      </c>
      <c r="M65" s="11">
        <v>0</v>
      </c>
      <c r="N65" s="11">
        <v>0</v>
      </c>
      <c r="O65" s="11">
        <v>0</v>
      </c>
      <c r="P65" s="11">
        <v>0</v>
      </c>
      <c r="Q65" s="12">
        <v>0</v>
      </c>
      <c r="R65" s="12">
        <v>0</v>
      </c>
      <c r="S65" s="12">
        <f>$G$65*$G$8+$H$65*$H$8+$I$65*$I$8+$J$65*$J$8+$K$65*$K$8+$L$65*$L$8+$M$65*$M$8+$N$65*$N$8+$O$65*$O$8+$P$65*$P$8</f>
        <v>0</v>
      </c>
      <c r="T65" s="12">
        <f>SUM($Q$65:$R$65)</f>
        <v>0</v>
      </c>
      <c r="U65" s="12">
        <f>$S$65+$T$65</f>
        <v>0</v>
      </c>
    </row>
    <row r="66" spans="1:21" x14ac:dyDescent="0.3">
      <c r="A66" s="13" t="s">
        <v>238</v>
      </c>
      <c r="B66" s="14" t="s">
        <v>235</v>
      </c>
      <c r="C66" s="14" t="s">
        <v>34</v>
      </c>
      <c r="D66" s="14" t="s">
        <v>239</v>
      </c>
      <c r="E66" s="14">
        <f xml:space="preserve"> IF($U$66,1,0)</f>
        <v>0</v>
      </c>
      <c r="F66" s="14" t="s">
        <v>240</v>
      </c>
      <c r="G66" s="14">
        <v>0</v>
      </c>
      <c r="H66" s="14">
        <v>0</v>
      </c>
      <c r="I66" s="14">
        <v>0</v>
      </c>
      <c r="J66" s="14">
        <v>0</v>
      </c>
      <c r="K66" s="14">
        <v>0</v>
      </c>
      <c r="L66" s="14">
        <v>0</v>
      </c>
      <c r="M66" s="14">
        <v>0</v>
      </c>
      <c r="N66" s="14">
        <v>0</v>
      </c>
      <c r="O66" s="14">
        <v>0</v>
      </c>
      <c r="P66" s="14">
        <v>0</v>
      </c>
      <c r="Q66" s="15">
        <v>0</v>
      </c>
      <c r="R66" s="15">
        <v>0</v>
      </c>
      <c r="S66" s="15">
        <f>$G$66*$G$8+$H$66*$H$8+$I$66*$I$8+$J$66*$J$8+$K$66*$K$8+$L$66*$L$8+$M$66*$M$8+$N$66*$N$8+$O$66*$O$8+$P$66*$P$8</f>
        <v>0</v>
      </c>
      <c r="T66" s="15">
        <f>SUM($Q$66:$R$66)</f>
        <v>0</v>
      </c>
      <c r="U66" s="15">
        <f>$S$66+$T$66</f>
        <v>0</v>
      </c>
    </row>
    <row r="67" spans="1:21" x14ac:dyDescent="0.3">
      <c r="A67" s="10" t="s">
        <v>241</v>
      </c>
      <c r="B67" s="11" t="s">
        <v>242</v>
      </c>
      <c r="C67" s="11" t="s">
        <v>243</v>
      </c>
      <c r="D67" s="11" t="s">
        <v>244</v>
      </c>
      <c r="E67" s="11">
        <f xml:space="preserve"> IF($U$67,1,0)</f>
        <v>0</v>
      </c>
      <c r="F67" s="11" t="s">
        <v>245</v>
      </c>
      <c r="G67" s="11">
        <v>0</v>
      </c>
      <c r="H67" s="11">
        <v>0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2">
        <v>0</v>
      </c>
      <c r="R67" s="12">
        <v>0</v>
      </c>
      <c r="S67" s="12">
        <f>$G$67*$G$8+$H$67*$H$8+$I$67*$I$8+$J$67*$J$8+$K$67*$K$8+$L$67*$L$8+$M$67*$M$8+$N$67*$N$8+$O$67*$O$8+$P$67*$P$8</f>
        <v>0</v>
      </c>
      <c r="T67" s="12">
        <f>SUM($Q$67:$R$67)</f>
        <v>0</v>
      </c>
      <c r="U67" s="12">
        <f>$S$67+$T$67</f>
        <v>0</v>
      </c>
    </row>
    <row r="68" spans="1:21" x14ac:dyDescent="0.3">
      <c r="A68" s="13" t="s">
        <v>246</v>
      </c>
      <c r="B68" s="14" t="s">
        <v>242</v>
      </c>
      <c r="C68" s="14"/>
      <c r="D68" s="14" t="s">
        <v>247</v>
      </c>
      <c r="E68" s="14">
        <f xml:space="preserve"> IF($U$68,1,0)</f>
        <v>0</v>
      </c>
      <c r="F68" s="14" t="s">
        <v>248</v>
      </c>
      <c r="G68" s="14">
        <v>0</v>
      </c>
      <c r="H68" s="14">
        <v>0</v>
      </c>
      <c r="I68" s="14">
        <v>0</v>
      </c>
      <c r="J68" s="14">
        <v>0</v>
      </c>
      <c r="K68" s="14">
        <v>0</v>
      </c>
      <c r="L68" s="14">
        <v>0</v>
      </c>
      <c r="M68" s="14">
        <v>0</v>
      </c>
      <c r="N68" s="14">
        <v>0</v>
      </c>
      <c r="O68" s="14">
        <v>0</v>
      </c>
      <c r="P68" s="14">
        <v>0</v>
      </c>
      <c r="Q68" s="15">
        <v>0</v>
      </c>
      <c r="R68" s="15">
        <v>0</v>
      </c>
      <c r="S68" s="15">
        <f>$G$68*$G$8+$H$68*$H$8+$I$68*$I$8+$J$68*$J$8+$K$68*$K$8+$L$68*$L$8+$M$68*$M$8+$N$68*$N$8+$O$68*$O$8+$P$68*$P$8</f>
        <v>0</v>
      </c>
      <c r="T68" s="15">
        <f>SUM($Q$68:$R$68)</f>
        <v>0</v>
      </c>
      <c r="U68" s="15">
        <f>$S$68+$T$68</f>
        <v>0</v>
      </c>
    </row>
    <row r="69" spans="1:21" x14ac:dyDescent="0.3">
      <c r="A69" s="10" t="s">
        <v>249</v>
      </c>
      <c r="B69" s="11" t="s">
        <v>242</v>
      </c>
      <c r="C69" s="11" t="s">
        <v>34</v>
      </c>
      <c r="D69" s="11" t="s">
        <v>250</v>
      </c>
      <c r="E69" s="11">
        <f xml:space="preserve"> IF($U$69,1,0)</f>
        <v>0</v>
      </c>
      <c r="F69" s="11" t="s">
        <v>251</v>
      </c>
      <c r="G69" s="11">
        <v>0</v>
      </c>
      <c r="H69" s="11">
        <v>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2">
        <v>0</v>
      </c>
      <c r="R69" s="12">
        <v>0</v>
      </c>
      <c r="S69" s="12">
        <f>$G$69*$G$8+$H$69*$H$8+$I$69*$I$8+$J$69*$J$8+$K$69*$K$8+$L$69*$L$8+$M$69*$M$8+$N$69*$N$8+$O$69*$O$8+$P$69*$P$8</f>
        <v>0</v>
      </c>
      <c r="T69" s="12">
        <f>SUM($Q$69:$R$69)</f>
        <v>0</v>
      </c>
      <c r="U69" s="12">
        <f>$S$69+$T$69</f>
        <v>0</v>
      </c>
    </row>
    <row r="70" spans="1:21" x14ac:dyDescent="0.3">
      <c r="A70" s="13" t="s">
        <v>252</v>
      </c>
      <c r="B70" s="14" t="s">
        <v>253</v>
      </c>
      <c r="C70" s="14"/>
      <c r="D70" s="14" t="s">
        <v>254</v>
      </c>
      <c r="E70" s="14">
        <f xml:space="preserve"> IF($U$70,1,0)</f>
        <v>0</v>
      </c>
      <c r="F70" s="14" t="s">
        <v>255</v>
      </c>
      <c r="G70" s="14">
        <v>0</v>
      </c>
      <c r="H70" s="14">
        <v>0</v>
      </c>
      <c r="I70" s="14">
        <v>0</v>
      </c>
      <c r="J70" s="14">
        <v>0</v>
      </c>
      <c r="K70" s="14">
        <v>0</v>
      </c>
      <c r="L70" s="14">
        <v>0</v>
      </c>
      <c r="M70" s="14">
        <v>0</v>
      </c>
      <c r="N70" s="14">
        <v>0</v>
      </c>
      <c r="O70" s="14">
        <v>0</v>
      </c>
      <c r="P70" s="14">
        <v>0</v>
      </c>
      <c r="Q70" s="15">
        <v>0</v>
      </c>
      <c r="R70" s="15">
        <v>0</v>
      </c>
      <c r="S70" s="15">
        <f>$G$70*$G$8+$H$70*$H$8+$I$70*$I$8+$J$70*$J$8+$K$70*$K$8+$L$70*$L$8+$M$70*$M$8+$N$70*$N$8+$O$70*$O$8+$P$70*$P$8</f>
        <v>0</v>
      </c>
      <c r="T70" s="15">
        <f>SUM($Q$70:$R$70)</f>
        <v>0</v>
      </c>
      <c r="U70" s="15">
        <f>$S$70+$T$70</f>
        <v>0</v>
      </c>
    </row>
    <row r="71" spans="1:21" x14ac:dyDescent="0.3">
      <c r="A71" s="10" t="s">
        <v>256</v>
      </c>
      <c r="B71" s="11" t="s">
        <v>257</v>
      </c>
      <c r="C71" s="11"/>
      <c r="D71" s="11" t="s">
        <v>258</v>
      </c>
      <c r="E71" s="11">
        <f xml:space="preserve"> IF($U$71,1,0)</f>
        <v>0</v>
      </c>
      <c r="F71" s="11" t="s">
        <v>259</v>
      </c>
      <c r="G71" s="11">
        <v>0</v>
      </c>
      <c r="H71" s="11">
        <v>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0</v>
      </c>
      <c r="O71" s="11">
        <v>0</v>
      </c>
      <c r="P71" s="11">
        <v>0</v>
      </c>
      <c r="Q71" s="12">
        <v>0</v>
      </c>
      <c r="R71" s="12">
        <v>0</v>
      </c>
      <c r="S71" s="12">
        <f>$G$71*$G$8+$H$71*$H$8+$I$71*$I$8+$J$71*$J$8+$K$71*$K$8+$L$71*$L$8+$M$71*$M$8+$N$71*$N$8+$O$71*$O$8+$P$71*$P$8</f>
        <v>0</v>
      </c>
      <c r="T71" s="12">
        <f>SUM($Q$71:$R$71)</f>
        <v>0</v>
      </c>
      <c r="U71" s="12">
        <f>$S$71+$T$71</f>
        <v>0</v>
      </c>
    </row>
    <row r="72" spans="1:21" x14ac:dyDescent="0.3">
      <c r="A72" s="13" t="s">
        <v>1248</v>
      </c>
      <c r="B72" s="14" t="s">
        <v>1249</v>
      </c>
      <c r="C72" s="14"/>
      <c r="D72" s="14" t="s">
        <v>1250</v>
      </c>
      <c r="E72" s="14">
        <f xml:space="preserve"> IF($U$72,1,0)</f>
        <v>1</v>
      </c>
      <c r="F72" s="14" t="s">
        <v>1251</v>
      </c>
      <c r="G72" s="14">
        <v>0</v>
      </c>
      <c r="H72" s="14">
        <v>0</v>
      </c>
      <c r="I72" s="14">
        <v>0</v>
      </c>
      <c r="J72" s="14">
        <v>0</v>
      </c>
      <c r="K72" s="14">
        <v>0</v>
      </c>
      <c r="L72" s="14">
        <v>0</v>
      </c>
      <c r="M72" s="14">
        <v>1</v>
      </c>
      <c r="N72" s="14">
        <v>0</v>
      </c>
      <c r="O72" s="14">
        <v>0</v>
      </c>
      <c r="P72" s="14">
        <v>0</v>
      </c>
      <c r="Q72" s="15">
        <v>0</v>
      </c>
      <c r="R72" s="15">
        <v>0</v>
      </c>
      <c r="S72" s="15">
        <f>$G$72*$G$8+$H$72*$H$8+$I$72*$I$8+$J$72*$J$8+$K$72*$K$8+$L$72*$L$8+$M$72*$M$8+$N$72*$N$8+$O$72*$O$8+$P$72*$P$8</f>
        <v>4</v>
      </c>
      <c r="T72" s="15">
        <f>SUM($Q$72:$R$72)</f>
        <v>0</v>
      </c>
      <c r="U72" s="15">
        <f>$S$72+$T$72</f>
        <v>4</v>
      </c>
    </row>
    <row r="73" spans="1:21" x14ac:dyDescent="0.3">
      <c r="A73" s="10" t="s">
        <v>260</v>
      </c>
      <c r="B73" s="11" t="s">
        <v>261</v>
      </c>
      <c r="C73" s="11"/>
      <c r="D73" s="11" t="s">
        <v>262</v>
      </c>
      <c r="E73" s="11">
        <f xml:space="preserve"> IF($U$73,1,0)</f>
        <v>0</v>
      </c>
      <c r="F73" s="11" t="s">
        <v>263</v>
      </c>
      <c r="G73" s="11">
        <v>0</v>
      </c>
      <c r="H73" s="11">
        <v>0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2">
        <v>0</v>
      </c>
      <c r="R73" s="12">
        <v>0</v>
      </c>
      <c r="S73" s="12">
        <f>$G$73*$G$8+$H$73*$H$8+$I$73*$I$8+$J$73*$J$8+$K$73*$K$8+$L$73*$L$8+$M$73*$M$8+$N$73*$N$8+$O$73*$O$8+$P$73*$P$8</f>
        <v>0</v>
      </c>
      <c r="T73" s="12">
        <f>SUM($Q$73:$R$73)</f>
        <v>0</v>
      </c>
      <c r="U73" s="12">
        <f>$S$73+$T$73</f>
        <v>0</v>
      </c>
    </row>
    <row r="74" spans="1:21" x14ac:dyDescent="0.3">
      <c r="A74" s="13" t="s">
        <v>264</v>
      </c>
      <c r="B74" s="14" t="s">
        <v>265</v>
      </c>
      <c r="C74" s="14"/>
      <c r="D74" s="14" t="s">
        <v>266</v>
      </c>
      <c r="E74" s="14">
        <f xml:space="preserve"> IF($U$74,1,0)</f>
        <v>0</v>
      </c>
      <c r="F74" s="14" t="s">
        <v>267</v>
      </c>
      <c r="G74" s="14">
        <v>0</v>
      </c>
      <c r="H74" s="14">
        <v>0</v>
      </c>
      <c r="I74" s="14">
        <v>0</v>
      </c>
      <c r="J74" s="14">
        <v>0</v>
      </c>
      <c r="K74" s="14">
        <v>0</v>
      </c>
      <c r="L74" s="14">
        <v>0</v>
      </c>
      <c r="M74" s="14">
        <v>0</v>
      </c>
      <c r="N74" s="14">
        <v>0</v>
      </c>
      <c r="O74" s="14">
        <v>0</v>
      </c>
      <c r="P74" s="14">
        <v>0</v>
      </c>
      <c r="Q74" s="15">
        <v>0</v>
      </c>
      <c r="R74" s="15">
        <v>0</v>
      </c>
      <c r="S74" s="15">
        <f>$G$74*$G$8+$H$74*$H$8+$I$74*$I$8+$J$74*$J$8+$K$74*$K$8+$L$74*$L$8+$M$74*$M$8+$N$74*$N$8+$O$74*$O$8+$P$74*$P$8</f>
        <v>0</v>
      </c>
      <c r="T74" s="15">
        <f>SUM($Q$74:$R$74)</f>
        <v>0</v>
      </c>
      <c r="U74" s="15">
        <f>$S$74+$T$74</f>
        <v>0</v>
      </c>
    </row>
    <row r="75" spans="1:21" x14ac:dyDescent="0.3">
      <c r="A75" s="10" t="s">
        <v>268</v>
      </c>
      <c r="B75" s="11" t="s">
        <v>269</v>
      </c>
      <c r="C75" s="11"/>
      <c r="D75" s="11" t="s">
        <v>270</v>
      </c>
      <c r="E75" s="11">
        <f xml:space="preserve"> IF($U$75,1,0)</f>
        <v>0</v>
      </c>
      <c r="F75" s="11" t="s">
        <v>271</v>
      </c>
      <c r="G75" s="11">
        <v>0</v>
      </c>
      <c r="H75" s="11">
        <v>0</v>
      </c>
      <c r="I75" s="11">
        <v>0</v>
      </c>
      <c r="J75" s="11">
        <v>0</v>
      </c>
      <c r="K75" s="11">
        <v>0</v>
      </c>
      <c r="L75" s="11">
        <v>0</v>
      </c>
      <c r="M75" s="11">
        <v>0</v>
      </c>
      <c r="N75" s="11">
        <v>0</v>
      </c>
      <c r="O75" s="11">
        <v>0</v>
      </c>
      <c r="P75" s="11">
        <v>0</v>
      </c>
      <c r="Q75" s="12">
        <v>0</v>
      </c>
      <c r="R75" s="12">
        <v>0</v>
      </c>
      <c r="S75" s="12">
        <f>$G$75*$G$8+$H$75*$H$8+$I$75*$I$8+$J$75*$J$8+$K$75*$K$8+$L$75*$L$8+$M$75*$M$8+$N$75*$N$8+$O$75*$O$8+$P$75*$P$8</f>
        <v>0</v>
      </c>
      <c r="T75" s="12">
        <f>SUM($Q$75:$R$75)</f>
        <v>0</v>
      </c>
      <c r="U75" s="12">
        <f>$S$75+$T$75</f>
        <v>0</v>
      </c>
    </row>
    <row r="76" spans="1:21" x14ac:dyDescent="0.3">
      <c r="A76" s="13" t="s">
        <v>272</v>
      </c>
      <c r="B76" s="14" t="s">
        <v>273</v>
      </c>
      <c r="C76" s="14"/>
      <c r="D76" s="14" t="s">
        <v>274</v>
      </c>
      <c r="E76" s="14">
        <f xml:space="preserve"> IF($U$76,1,0)</f>
        <v>1</v>
      </c>
      <c r="F76" s="14" t="s">
        <v>275</v>
      </c>
      <c r="G76" s="14">
        <v>8</v>
      </c>
      <c r="H76" s="14">
        <v>1</v>
      </c>
      <c r="I76" s="14">
        <v>0</v>
      </c>
      <c r="J76" s="14">
        <v>0</v>
      </c>
      <c r="K76" s="14">
        <v>1</v>
      </c>
      <c r="L76" s="14">
        <v>3</v>
      </c>
      <c r="M76" s="14">
        <v>2</v>
      </c>
      <c r="N76" s="14">
        <v>0</v>
      </c>
      <c r="O76" s="14">
        <v>0</v>
      </c>
      <c r="P76" s="14">
        <v>0</v>
      </c>
      <c r="Q76" s="15">
        <v>0</v>
      </c>
      <c r="R76" s="15">
        <v>0</v>
      </c>
      <c r="S76" s="15">
        <f>$G$76*$G$8+$H$76*$H$8+$I$76*$I$8+$J$76*$J$8+$K$76*$K$8+$L$76*$L$8+$M$76*$M$8+$N$76*$N$8+$O$76*$O$8+$P$76*$P$8</f>
        <v>26.4</v>
      </c>
      <c r="T76" s="15">
        <f>SUM($Q$76:$R$76)</f>
        <v>0</v>
      </c>
      <c r="U76" s="15">
        <f>$S$76+$T$76</f>
        <v>26.4</v>
      </c>
    </row>
    <row r="77" spans="1:21" x14ac:dyDescent="0.3">
      <c r="A77" s="10" t="s">
        <v>276</v>
      </c>
      <c r="B77" s="11" t="s">
        <v>277</v>
      </c>
      <c r="C77" s="11" t="s">
        <v>278</v>
      </c>
      <c r="D77" s="11" t="s">
        <v>279</v>
      </c>
      <c r="E77" s="11">
        <f xml:space="preserve"> IF($U$77,1,0)</f>
        <v>1</v>
      </c>
      <c r="F77" s="11" t="s">
        <v>280</v>
      </c>
      <c r="G77" s="11">
        <v>2</v>
      </c>
      <c r="H77" s="11">
        <v>0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2">
        <v>0</v>
      </c>
      <c r="R77" s="12">
        <v>0</v>
      </c>
      <c r="S77" s="12">
        <f>$G$77*$G$8+$H$77*$H$8+$I$77*$I$8+$J$77*$J$8+$K$77*$K$8+$L$77*$L$8+$M$77*$M$8+$N$77*$N$8+$O$77*$O$8+$P$77*$P$8</f>
        <v>1.4</v>
      </c>
      <c r="T77" s="12">
        <f>SUM($Q$77:$R$77)</f>
        <v>0</v>
      </c>
      <c r="U77" s="12">
        <f>$S$77+$T$77</f>
        <v>1.4</v>
      </c>
    </row>
    <row r="78" spans="1:21" x14ac:dyDescent="0.3">
      <c r="A78" s="13" t="s">
        <v>281</v>
      </c>
      <c r="B78" s="14" t="s">
        <v>282</v>
      </c>
      <c r="C78" s="14" t="s">
        <v>283</v>
      </c>
      <c r="D78" s="14" t="s">
        <v>284</v>
      </c>
      <c r="E78" s="14">
        <f xml:space="preserve"> IF($U$78,1,0)</f>
        <v>0</v>
      </c>
      <c r="F78" s="14" t="s">
        <v>285</v>
      </c>
      <c r="G78" s="14">
        <v>0</v>
      </c>
      <c r="H78" s="14">
        <v>0</v>
      </c>
      <c r="I78" s="14">
        <v>0</v>
      </c>
      <c r="J78" s="14">
        <v>0</v>
      </c>
      <c r="K78" s="14">
        <v>0</v>
      </c>
      <c r="L78" s="14">
        <v>0</v>
      </c>
      <c r="M78" s="14">
        <v>0</v>
      </c>
      <c r="N78" s="14">
        <v>0</v>
      </c>
      <c r="O78" s="14">
        <v>0</v>
      </c>
      <c r="P78" s="14">
        <v>0</v>
      </c>
      <c r="Q78" s="15">
        <v>0</v>
      </c>
      <c r="R78" s="15">
        <v>0</v>
      </c>
      <c r="S78" s="15">
        <f>$G$78*$G$8+$H$78*$H$8+$I$78*$I$8+$J$78*$J$8+$K$78*$K$8+$L$78*$L$8+$M$78*$M$8+$N$78*$N$8+$O$78*$O$8+$P$78*$P$8</f>
        <v>0</v>
      </c>
      <c r="T78" s="15">
        <f>SUM($Q$78:$R$78)</f>
        <v>0</v>
      </c>
      <c r="U78" s="15">
        <f>$S$78+$T$78</f>
        <v>0</v>
      </c>
    </row>
    <row r="79" spans="1:21" x14ac:dyDescent="0.3">
      <c r="A79" s="10" t="s">
        <v>286</v>
      </c>
      <c r="B79" s="11" t="s">
        <v>287</v>
      </c>
      <c r="C79" s="11" t="s">
        <v>278</v>
      </c>
      <c r="D79" s="11" t="s">
        <v>288</v>
      </c>
      <c r="E79" s="11">
        <f xml:space="preserve"> IF($U$79,1,0)</f>
        <v>0</v>
      </c>
      <c r="F79" s="11" t="s">
        <v>289</v>
      </c>
      <c r="G79" s="11">
        <v>0</v>
      </c>
      <c r="H79" s="11">
        <v>0</v>
      </c>
      <c r="I79" s="11">
        <v>0</v>
      </c>
      <c r="J79" s="11">
        <v>0</v>
      </c>
      <c r="K79" s="11">
        <v>0</v>
      </c>
      <c r="L79" s="11">
        <v>0</v>
      </c>
      <c r="M79" s="11">
        <v>0</v>
      </c>
      <c r="N79" s="11">
        <v>0</v>
      </c>
      <c r="O79" s="11">
        <v>0</v>
      </c>
      <c r="P79" s="11">
        <v>0</v>
      </c>
      <c r="Q79" s="12">
        <v>0</v>
      </c>
      <c r="R79" s="12">
        <v>0</v>
      </c>
      <c r="S79" s="12">
        <f>$G$79*$G$8+$H$79*$H$8+$I$79*$I$8+$J$79*$J$8+$K$79*$K$8+$L$79*$L$8+$M$79*$M$8+$N$79*$N$8+$O$79*$O$8+$P$79*$P$8</f>
        <v>0</v>
      </c>
      <c r="T79" s="12">
        <f>SUM($Q$79:$R$79)</f>
        <v>0</v>
      </c>
      <c r="U79" s="12">
        <f>$S$79+$T$79</f>
        <v>0</v>
      </c>
    </row>
    <row r="80" spans="1:21" x14ac:dyDescent="0.3">
      <c r="A80" s="13" t="s">
        <v>290</v>
      </c>
      <c r="B80" s="14" t="s">
        <v>291</v>
      </c>
      <c r="C80" s="14"/>
      <c r="D80" s="14" t="s">
        <v>292</v>
      </c>
      <c r="E80" s="14">
        <f xml:space="preserve"> IF($U$80,1,0)</f>
        <v>0</v>
      </c>
      <c r="F80" s="14" t="s">
        <v>293</v>
      </c>
      <c r="G80" s="14">
        <v>0</v>
      </c>
      <c r="H80" s="14">
        <v>0</v>
      </c>
      <c r="I80" s="14">
        <v>0</v>
      </c>
      <c r="J80" s="14">
        <v>0</v>
      </c>
      <c r="K80" s="14">
        <v>0</v>
      </c>
      <c r="L80" s="14">
        <v>0</v>
      </c>
      <c r="M80" s="14">
        <v>0</v>
      </c>
      <c r="N80" s="14">
        <v>0</v>
      </c>
      <c r="O80" s="14">
        <v>0</v>
      </c>
      <c r="P80" s="14">
        <v>0</v>
      </c>
      <c r="Q80" s="15">
        <v>0</v>
      </c>
      <c r="R80" s="15">
        <v>0</v>
      </c>
      <c r="S80" s="15">
        <f>$G$80*$G$8+$H$80*$H$8+$I$80*$I$8+$J$80*$J$8+$K$80*$K$8+$L$80*$L$8+$M$80*$M$8+$N$80*$N$8+$O$80*$O$8+$P$80*$P$8</f>
        <v>0</v>
      </c>
      <c r="T80" s="15">
        <f>SUM($Q$80:$R$80)</f>
        <v>0</v>
      </c>
      <c r="U80" s="15">
        <f>$S$80+$T$80</f>
        <v>0</v>
      </c>
    </row>
    <row r="81" spans="1:21" x14ac:dyDescent="0.3">
      <c r="A81" s="10" t="s">
        <v>294</v>
      </c>
      <c r="B81" s="11" t="s">
        <v>295</v>
      </c>
      <c r="C81" s="11"/>
      <c r="D81" s="11" t="s">
        <v>296</v>
      </c>
      <c r="E81" s="11">
        <f xml:space="preserve"> IF($U$81,1,0)</f>
        <v>0</v>
      </c>
      <c r="F81" s="11" t="s">
        <v>297</v>
      </c>
      <c r="G81" s="11">
        <v>0</v>
      </c>
      <c r="H81" s="11">
        <v>0</v>
      </c>
      <c r="I81" s="11">
        <v>0</v>
      </c>
      <c r="J81" s="11">
        <v>0</v>
      </c>
      <c r="K81" s="11">
        <v>0</v>
      </c>
      <c r="L81" s="11">
        <v>0</v>
      </c>
      <c r="M81" s="11">
        <v>0</v>
      </c>
      <c r="N81" s="11">
        <v>0</v>
      </c>
      <c r="O81" s="11">
        <v>0</v>
      </c>
      <c r="P81" s="11">
        <v>0</v>
      </c>
      <c r="Q81" s="12">
        <v>0</v>
      </c>
      <c r="R81" s="12">
        <v>0</v>
      </c>
      <c r="S81" s="12">
        <f>$G$81*$G$8+$H$81*$H$8+$I$81*$I$8+$J$81*$J$8+$K$81*$K$8+$L$81*$L$8+$M$81*$M$8+$N$81*$N$8+$O$81*$O$8+$P$81*$P$8</f>
        <v>0</v>
      </c>
      <c r="T81" s="12">
        <f>SUM($Q$81:$R$81)</f>
        <v>0</v>
      </c>
      <c r="U81" s="12">
        <f>$S$81+$T$81</f>
        <v>0</v>
      </c>
    </row>
    <row r="82" spans="1:21" x14ac:dyDescent="0.3">
      <c r="A82" s="13" t="s">
        <v>298</v>
      </c>
      <c r="B82" s="14" t="s">
        <v>295</v>
      </c>
      <c r="C82" s="14"/>
      <c r="D82" s="14" t="s">
        <v>299</v>
      </c>
      <c r="E82" s="14">
        <f xml:space="preserve"> IF($U$82,1,0)</f>
        <v>0</v>
      </c>
      <c r="F82" s="14" t="s">
        <v>300</v>
      </c>
      <c r="G82" s="14">
        <v>0</v>
      </c>
      <c r="H82" s="14">
        <v>0</v>
      </c>
      <c r="I82" s="14">
        <v>0</v>
      </c>
      <c r="J82" s="14">
        <v>0</v>
      </c>
      <c r="K82" s="14">
        <v>0</v>
      </c>
      <c r="L82" s="14">
        <v>0</v>
      </c>
      <c r="M82" s="14">
        <v>0</v>
      </c>
      <c r="N82" s="14">
        <v>0</v>
      </c>
      <c r="O82" s="14">
        <v>0</v>
      </c>
      <c r="P82" s="14">
        <v>0</v>
      </c>
      <c r="Q82" s="15">
        <v>0</v>
      </c>
      <c r="R82" s="15">
        <v>0</v>
      </c>
      <c r="S82" s="15">
        <f>$G$82*$G$8+$H$82*$H$8+$I$82*$I$8+$J$82*$J$8+$K$82*$K$8+$L$82*$L$8+$M$82*$M$8+$N$82*$N$8+$O$82*$O$8+$P$82*$P$8</f>
        <v>0</v>
      </c>
      <c r="T82" s="15">
        <f>SUM($Q$82:$R$82)</f>
        <v>0</v>
      </c>
      <c r="U82" s="15">
        <f>$S$82+$T$82</f>
        <v>0</v>
      </c>
    </row>
    <row r="83" spans="1:21" x14ac:dyDescent="0.3">
      <c r="A83" s="10" t="s">
        <v>301</v>
      </c>
      <c r="B83" s="11" t="s">
        <v>302</v>
      </c>
      <c r="C83" s="11"/>
      <c r="D83" s="11" t="s">
        <v>303</v>
      </c>
      <c r="E83" s="11">
        <f xml:space="preserve"> IF($U$83,1,0)</f>
        <v>0</v>
      </c>
      <c r="F83" s="11" t="s">
        <v>304</v>
      </c>
      <c r="G83" s="11">
        <v>0</v>
      </c>
      <c r="H83" s="11">
        <v>0</v>
      </c>
      <c r="I83" s="11">
        <v>0</v>
      </c>
      <c r="J83" s="11">
        <v>0</v>
      </c>
      <c r="K83" s="11">
        <v>0</v>
      </c>
      <c r="L83" s="11">
        <v>0</v>
      </c>
      <c r="M83" s="11">
        <v>0</v>
      </c>
      <c r="N83" s="11">
        <v>0</v>
      </c>
      <c r="O83" s="11">
        <v>0</v>
      </c>
      <c r="P83" s="11">
        <v>0</v>
      </c>
      <c r="Q83" s="12">
        <v>0</v>
      </c>
      <c r="R83" s="12">
        <v>0</v>
      </c>
      <c r="S83" s="12">
        <f>$G$83*$G$8+$H$83*$H$8+$I$83*$I$8+$J$83*$J$8+$K$83*$K$8+$L$83*$L$8+$M$83*$M$8+$N$83*$N$8+$O$83*$O$8+$P$83*$P$8</f>
        <v>0</v>
      </c>
      <c r="T83" s="12">
        <f>SUM($Q$83:$R$83)</f>
        <v>0</v>
      </c>
      <c r="U83" s="12">
        <f>$S$83+$T$83</f>
        <v>0</v>
      </c>
    </row>
    <row r="84" spans="1:21" x14ac:dyDescent="0.3">
      <c r="A84" s="13" t="s">
        <v>305</v>
      </c>
      <c r="B84" s="14" t="s">
        <v>306</v>
      </c>
      <c r="C84" s="14"/>
      <c r="D84" s="14" t="s">
        <v>307</v>
      </c>
      <c r="E84" s="14">
        <f xml:space="preserve"> IF($U$84,1,0)</f>
        <v>0</v>
      </c>
      <c r="F84" s="14" t="s">
        <v>308</v>
      </c>
      <c r="G84" s="14">
        <v>0</v>
      </c>
      <c r="H84" s="14">
        <v>0</v>
      </c>
      <c r="I84" s="14">
        <v>0</v>
      </c>
      <c r="J84" s="14">
        <v>0</v>
      </c>
      <c r="K84" s="14">
        <v>0</v>
      </c>
      <c r="L84" s="14">
        <v>0</v>
      </c>
      <c r="M84" s="14">
        <v>0</v>
      </c>
      <c r="N84" s="14">
        <v>0</v>
      </c>
      <c r="O84" s="14">
        <v>0</v>
      </c>
      <c r="P84" s="14">
        <v>0</v>
      </c>
      <c r="Q84" s="15">
        <v>0</v>
      </c>
      <c r="R84" s="15">
        <v>0</v>
      </c>
      <c r="S84" s="15">
        <f>$G$84*$G$8+$H$84*$H$8+$I$84*$I$8+$J$84*$J$8+$K$84*$K$8+$L$84*$L$8+$M$84*$M$8+$N$84*$N$8+$O$84*$O$8+$P$84*$P$8</f>
        <v>0</v>
      </c>
      <c r="T84" s="15">
        <f>SUM($Q$84:$R$84)</f>
        <v>0</v>
      </c>
      <c r="U84" s="15">
        <f>$S$84+$T$84</f>
        <v>0</v>
      </c>
    </row>
    <row r="85" spans="1:21" x14ac:dyDescent="0.3">
      <c r="A85" s="10" t="s">
        <v>309</v>
      </c>
      <c r="B85" s="11" t="s">
        <v>310</v>
      </c>
      <c r="C85" s="11"/>
      <c r="D85" s="11" t="s">
        <v>311</v>
      </c>
      <c r="E85" s="11">
        <f xml:space="preserve"> IF($U$85,1,0)</f>
        <v>0</v>
      </c>
      <c r="F85" s="11" t="s">
        <v>312</v>
      </c>
      <c r="G85" s="11">
        <v>0</v>
      </c>
      <c r="H85" s="11">
        <v>0</v>
      </c>
      <c r="I85" s="11">
        <v>0</v>
      </c>
      <c r="J85" s="11">
        <v>0</v>
      </c>
      <c r="K85" s="11">
        <v>0</v>
      </c>
      <c r="L85" s="11">
        <v>0</v>
      </c>
      <c r="M85" s="11">
        <v>0</v>
      </c>
      <c r="N85" s="11">
        <v>0</v>
      </c>
      <c r="O85" s="11">
        <v>0</v>
      </c>
      <c r="P85" s="11">
        <v>0</v>
      </c>
      <c r="Q85" s="12">
        <v>0</v>
      </c>
      <c r="R85" s="12">
        <v>0</v>
      </c>
      <c r="S85" s="12">
        <f>$G$85*$G$8+$H$85*$H$8+$I$85*$I$8+$J$85*$J$8+$K$85*$K$8+$L$85*$L$8+$M$85*$M$8+$N$85*$N$8+$O$85*$O$8+$P$85*$P$8</f>
        <v>0</v>
      </c>
      <c r="T85" s="12">
        <f>SUM($Q$85:$R$85)</f>
        <v>0</v>
      </c>
      <c r="U85" s="12">
        <f>$S$85+$T$85</f>
        <v>0</v>
      </c>
    </row>
    <row r="86" spans="1:21" x14ac:dyDescent="0.3">
      <c r="A86" s="13" t="s">
        <v>313</v>
      </c>
      <c r="B86" s="14" t="s">
        <v>314</v>
      </c>
      <c r="C86" s="14"/>
      <c r="D86" s="14" t="s">
        <v>315</v>
      </c>
      <c r="E86" s="14">
        <f xml:space="preserve"> IF($U$86,1,0)</f>
        <v>1</v>
      </c>
      <c r="F86" s="14" t="s">
        <v>316</v>
      </c>
      <c r="G86" s="14">
        <v>4</v>
      </c>
      <c r="H86" s="14">
        <v>2</v>
      </c>
      <c r="I86" s="14">
        <v>0</v>
      </c>
      <c r="J86" s="14">
        <v>0</v>
      </c>
      <c r="K86" s="14">
        <v>0</v>
      </c>
      <c r="L86" s="14">
        <v>0</v>
      </c>
      <c r="M86" s="14">
        <v>0</v>
      </c>
      <c r="N86" s="14">
        <v>0</v>
      </c>
      <c r="O86" s="14">
        <v>0</v>
      </c>
      <c r="P86" s="14">
        <v>0</v>
      </c>
      <c r="Q86" s="15">
        <v>0</v>
      </c>
      <c r="R86" s="15">
        <v>0</v>
      </c>
      <c r="S86" s="15">
        <f>$G$86*$G$8+$H$86*$H$8+$I$86*$I$8+$J$86*$J$8+$K$86*$K$8+$L$86*$L$8+$M$86*$M$8+$N$86*$N$8+$O$86*$O$8+$P$86*$P$8</f>
        <v>6.4</v>
      </c>
      <c r="T86" s="15">
        <f>SUM($Q$86:$R$86)</f>
        <v>0</v>
      </c>
      <c r="U86" s="15">
        <f>$S$86+$T$86</f>
        <v>6.4</v>
      </c>
    </row>
    <row r="87" spans="1:21" x14ac:dyDescent="0.3">
      <c r="A87" s="10" t="s">
        <v>317</v>
      </c>
      <c r="B87" s="11" t="s">
        <v>318</v>
      </c>
      <c r="C87" s="11"/>
      <c r="D87" s="11" t="s">
        <v>319</v>
      </c>
      <c r="E87" s="11">
        <f xml:space="preserve"> IF($U$87,1,0)</f>
        <v>0</v>
      </c>
      <c r="F87" s="11" t="s">
        <v>320</v>
      </c>
      <c r="G87" s="11">
        <v>0</v>
      </c>
      <c r="H87" s="11">
        <v>0</v>
      </c>
      <c r="I87" s="11">
        <v>0</v>
      </c>
      <c r="J87" s="11">
        <v>0</v>
      </c>
      <c r="K87" s="11">
        <v>0</v>
      </c>
      <c r="L87" s="11">
        <v>0</v>
      </c>
      <c r="M87" s="11">
        <v>0</v>
      </c>
      <c r="N87" s="11">
        <v>0</v>
      </c>
      <c r="O87" s="11">
        <v>0</v>
      </c>
      <c r="P87" s="11">
        <v>0</v>
      </c>
      <c r="Q87" s="12">
        <v>0</v>
      </c>
      <c r="R87" s="12">
        <v>0</v>
      </c>
      <c r="S87" s="12">
        <f>$G$87*$G$8+$H$87*$H$8+$I$87*$I$8+$J$87*$J$8+$K$87*$K$8+$L$87*$L$8+$M$87*$M$8+$N$87*$N$8+$O$87*$O$8+$P$87*$P$8</f>
        <v>0</v>
      </c>
      <c r="T87" s="12">
        <f>SUM($Q$87:$R$87)</f>
        <v>0</v>
      </c>
      <c r="U87" s="12">
        <f>$S$87+$T$87</f>
        <v>0</v>
      </c>
    </row>
    <row r="88" spans="1:21" x14ac:dyDescent="0.3">
      <c r="A88" s="13" t="s">
        <v>321</v>
      </c>
      <c r="B88" s="14" t="s">
        <v>322</v>
      </c>
      <c r="C88" s="14"/>
      <c r="D88" s="14" t="s">
        <v>323</v>
      </c>
      <c r="E88" s="14">
        <f xml:space="preserve"> IF($U$88,1,0)</f>
        <v>0</v>
      </c>
      <c r="F88" s="14" t="s">
        <v>324</v>
      </c>
      <c r="G88" s="14">
        <v>0</v>
      </c>
      <c r="H88" s="14">
        <v>0</v>
      </c>
      <c r="I88" s="14">
        <v>0</v>
      </c>
      <c r="J88" s="14">
        <v>0</v>
      </c>
      <c r="K88" s="14">
        <v>0</v>
      </c>
      <c r="L88" s="14">
        <v>0</v>
      </c>
      <c r="M88" s="14">
        <v>0</v>
      </c>
      <c r="N88" s="14">
        <v>0</v>
      </c>
      <c r="O88" s="14">
        <v>0</v>
      </c>
      <c r="P88" s="14">
        <v>0</v>
      </c>
      <c r="Q88" s="15">
        <v>0</v>
      </c>
      <c r="R88" s="15">
        <v>0</v>
      </c>
      <c r="S88" s="15">
        <f>$G$88*$G$8+$H$88*$H$8+$I$88*$I$8+$J$88*$J$8+$K$88*$K$8+$L$88*$L$8+$M$88*$M$8+$N$88*$N$8+$O$88*$O$8+$P$88*$P$8</f>
        <v>0</v>
      </c>
      <c r="T88" s="15">
        <f>SUM($Q$88:$R$88)</f>
        <v>0</v>
      </c>
      <c r="U88" s="15">
        <f>$S$88+$T$88</f>
        <v>0</v>
      </c>
    </row>
    <row r="89" spans="1:21" x14ac:dyDescent="0.3">
      <c r="A89" s="10" t="s">
        <v>325</v>
      </c>
      <c r="B89" s="11" t="s">
        <v>326</v>
      </c>
      <c r="C89" s="11" t="s">
        <v>243</v>
      </c>
      <c r="D89" s="11" t="s">
        <v>327</v>
      </c>
      <c r="E89" s="11">
        <f xml:space="preserve"> IF($U$89,1,0)</f>
        <v>0</v>
      </c>
      <c r="F89" s="11" t="s">
        <v>328</v>
      </c>
      <c r="G89" s="11">
        <v>0</v>
      </c>
      <c r="H89" s="11">
        <v>0</v>
      </c>
      <c r="I89" s="11">
        <v>0</v>
      </c>
      <c r="J89" s="11">
        <v>0</v>
      </c>
      <c r="K89" s="11">
        <v>0</v>
      </c>
      <c r="L89" s="11">
        <v>0</v>
      </c>
      <c r="M89" s="11">
        <v>0</v>
      </c>
      <c r="N89" s="11">
        <v>0</v>
      </c>
      <c r="O89" s="11">
        <v>0</v>
      </c>
      <c r="P89" s="11">
        <v>0</v>
      </c>
      <c r="Q89" s="12">
        <v>0</v>
      </c>
      <c r="R89" s="12">
        <v>0</v>
      </c>
      <c r="S89" s="12">
        <f>$G$89*$G$8+$H$89*$H$8+$I$89*$I$8+$J$89*$J$8+$K$89*$K$8+$L$89*$L$8+$M$89*$M$8+$N$89*$N$8+$O$89*$O$8+$P$89*$P$8</f>
        <v>0</v>
      </c>
      <c r="T89" s="12">
        <f>SUM($Q$89:$R$89)</f>
        <v>0</v>
      </c>
      <c r="U89" s="12">
        <f>$S$89+$T$89</f>
        <v>0</v>
      </c>
    </row>
    <row r="90" spans="1:21" x14ac:dyDescent="0.3">
      <c r="A90" s="13" t="s">
        <v>329</v>
      </c>
      <c r="B90" s="14" t="s">
        <v>330</v>
      </c>
      <c r="C90" s="14"/>
      <c r="D90" s="14" t="s">
        <v>331</v>
      </c>
      <c r="E90" s="14">
        <f xml:space="preserve"> IF($U$90,1,0)</f>
        <v>1</v>
      </c>
      <c r="F90" s="14" t="s">
        <v>332</v>
      </c>
      <c r="G90" s="14">
        <v>0</v>
      </c>
      <c r="H90" s="14">
        <v>0</v>
      </c>
      <c r="I90" s="14">
        <v>0</v>
      </c>
      <c r="J90" s="14">
        <v>0</v>
      </c>
      <c r="K90" s="14">
        <v>1</v>
      </c>
      <c r="L90" s="14">
        <v>1</v>
      </c>
      <c r="M90" s="14">
        <v>0</v>
      </c>
      <c r="N90" s="14">
        <v>0</v>
      </c>
      <c r="O90" s="14">
        <v>0</v>
      </c>
      <c r="P90" s="14">
        <v>0</v>
      </c>
      <c r="Q90" s="15">
        <v>0</v>
      </c>
      <c r="R90" s="15">
        <v>0</v>
      </c>
      <c r="S90" s="15">
        <f>$G$90*$G$8+$H$90*$H$8+$I$90*$I$8+$J$90*$J$8+$K$90*$K$8+$L$90*$L$8+$M$90*$M$8+$N$90*$N$8+$O$90*$O$8+$P$90*$P$8</f>
        <v>5</v>
      </c>
      <c r="T90" s="15">
        <f>SUM($Q$90:$R$90)</f>
        <v>0</v>
      </c>
      <c r="U90" s="15">
        <f>$S$90+$T$90</f>
        <v>5</v>
      </c>
    </row>
    <row r="91" spans="1:21" x14ac:dyDescent="0.3">
      <c r="A91" s="10" t="s">
        <v>333</v>
      </c>
      <c r="B91" s="11" t="s">
        <v>334</v>
      </c>
      <c r="C91" s="11"/>
      <c r="D91" s="11" t="s">
        <v>335</v>
      </c>
      <c r="E91" s="11">
        <f xml:space="preserve"> IF($U$91,1,0)</f>
        <v>0</v>
      </c>
      <c r="F91" s="11" t="s">
        <v>336</v>
      </c>
      <c r="G91" s="11">
        <v>0</v>
      </c>
      <c r="H91" s="11">
        <v>0</v>
      </c>
      <c r="I91" s="11">
        <v>0</v>
      </c>
      <c r="J91" s="11">
        <v>0</v>
      </c>
      <c r="K91" s="11">
        <v>0</v>
      </c>
      <c r="L91" s="11">
        <v>0</v>
      </c>
      <c r="M91" s="11">
        <v>0</v>
      </c>
      <c r="N91" s="11">
        <v>0</v>
      </c>
      <c r="O91" s="11">
        <v>0</v>
      </c>
      <c r="P91" s="11">
        <v>0</v>
      </c>
      <c r="Q91" s="12">
        <v>0</v>
      </c>
      <c r="R91" s="12">
        <v>0</v>
      </c>
      <c r="S91" s="12">
        <f>$G$91*$G$8+$H$91*$H$8+$I$91*$I$8+$J$91*$J$8+$K$91*$K$8+$L$91*$L$8+$M$91*$M$8+$N$91*$N$8+$O$91*$O$8+$P$91*$P$8</f>
        <v>0</v>
      </c>
      <c r="T91" s="12">
        <f>SUM($Q$91:$R$91)</f>
        <v>0</v>
      </c>
      <c r="U91" s="12">
        <f>$S$91+$T$91</f>
        <v>0</v>
      </c>
    </row>
    <row r="92" spans="1:21" x14ac:dyDescent="0.3">
      <c r="A92" s="13" t="s">
        <v>337</v>
      </c>
      <c r="B92" s="14" t="s">
        <v>334</v>
      </c>
      <c r="C92" s="14"/>
      <c r="D92" s="14" t="s">
        <v>338</v>
      </c>
      <c r="E92" s="14">
        <f xml:space="preserve"> IF($U$92,1,0)</f>
        <v>0</v>
      </c>
      <c r="F92" s="14" t="s">
        <v>339</v>
      </c>
      <c r="G92" s="14">
        <v>0</v>
      </c>
      <c r="H92" s="14">
        <v>0</v>
      </c>
      <c r="I92" s="14">
        <v>0</v>
      </c>
      <c r="J92" s="14">
        <v>0</v>
      </c>
      <c r="K92" s="14">
        <v>0</v>
      </c>
      <c r="L92" s="14">
        <v>0</v>
      </c>
      <c r="M92" s="14">
        <v>0</v>
      </c>
      <c r="N92" s="14">
        <v>0</v>
      </c>
      <c r="O92" s="14">
        <v>0</v>
      </c>
      <c r="P92" s="14">
        <v>0</v>
      </c>
      <c r="Q92" s="15">
        <v>0</v>
      </c>
      <c r="R92" s="15">
        <v>0</v>
      </c>
      <c r="S92" s="15">
        <f>$G$92*$G$8+$H$92*$H$8+$I$92*$I$8+$J$92*$J$8+$K$92*$K$8+$L$92*$L$8+$M$92*$M$8+$N$92*$N$8+$O$92*$O$8+$P$92*$P$8</f>
        <v>0</v>
      </c>
      <c r="T92" s="15">
        <f>SUM($Q$92:$R$92)</f>
        <v>0</v>
      </c>
      <c r="U92" s="15">
        <f>$S$92+$T$92</f>
        <v>0</v>
      </c>
    </row>
    <row r="93" spans="1:21" x14ac:dyDescent="0.3">
      <c r="A93" s="10" t="s">
        <v>340</v>
      </c>
      <c r="B93" s="11" t="s">
        <v>341</v>
      </c>
      <c r="C93" s="11" t="s">
        <v>342</v>
      </c>
      <c r="D93" s="11" t="s">
        <v>343</v>
      </c>
      <c r="E93" s="11">
        <f xml:space="preserve"> IF($U$93,1,0)</f>
        <v>0</v>
      </c>
      <c r="F93" s="11" t="s">
        <v>344</v>
      </c>
      <c r="G93" s="11">
        <v>0</v>
      </c>
      <c r="H93" s="11">
        <v>0</v>
      </c>
      <c r="I93" s="11">
        <v>0</v>
      </c>
      <c r="J93" s="11">
        <v>0</v>
      </c>
      <c r="K93" s="11">
        <v>0</v>
      </c>
      <c r="L93" s="11">
        <v>0</v>
      </c>
      <c r="M93" s="11">
        <v>0</v>
      </c>
      <c r="N93" s="11">
        <v>0</v>
      </c>
      <c r="O93" s="11">
        <v>0</v>
      </c>
      <c r="P93" s="11">
        <v>0</v>
      </c>
      <c r="Q93" s="12">
        <v>0</v>
      </c>
      <c r="R93" s="12">
        <v>0</v>
      </c>
      <c r="S93" s="12">
        <f>$G$93*$G$8+$H$93*$H$8+$I$93*$I$8+$J$93*$J$8+$K$93*$K$8+$L$93*$L$8+$M$93*$M$8+$N$93*$N$8+$O$93*$O$8+$P$93*$P$8</f>
        <v>0</v>
      </c>
      <c r="T93" s="12">
        <f>SUM($Q$93:$R$93)</f>
        <v>0</v>
      </c>
      <c r="U93" s="12">
        <f>$S$93+$T$93</f>
        <v>0</v>
      </c>
    </row>
    <row r="94" spans="1:21" x14ac:dyDescent="0.3">
      <c r="A94" s="13" t="s">
        <v>345</v>
      </c>
      <c r="B94" s="14" t="s">
        <v>346</v>
      </c>
      <c r="C94" s="14"/>
      <c r="D94" s="14" t="s">
        <v>347</v>
      </c>
      <c r="E94" s="14">
        <f xml:space="preserve"> IF($U$94,1,0)</f>
        <v>0</v>
      </c>
      <c r="F94" s="14" t="s">
        <v>348</v>
      </c>
      <c r="G94" s="14">
        <v>0</v>
      </c>
      <c r="H94" s="14">
        <v>0</v>
      </c>
      <c r="I94" s="14">
        <v>0</v>
      </c>
      <c r="J94" s="14">
        <v>0</v>
      </c>
      <c r="K94" s="14">
        <v>0</v>
      </c>
      <c r="L94" s="14">
        <v>0</v>
      </c>
      <c r="M94" s="14">
        <v>0</v>
      </c>
      <c r="N94" s="14">
        <v>0</v>
      </c>
      <c r="O94" s="14">
        <v>0</v>
      </c>
      <c r="P94" s="14">
        <v>0</v>
      </c>
      <c r="Q94" s="15">
        <v>0</v>
      </c>
      <c r="R94" s="15">
        <v>0</v>
      </c>
      <c r="S94" s="15">
        <f>$G$94*$G$8+$H$94*$H$8+$I$94*$I$8+$J$94*$J$8+$K$94*$K$8+$L$94*$L$8+$M$94*$M$8+$N$94*$N$8+$O$94*$O$8+$P$94*$P$8</f>
        <v>0</v>
      </c>
      <c r="T94" s="15">
        <f>SUM($Q$94:$R$94)</f>
        <v>0</v>
      </c>
      <c r="U94" s="15">
        <f>$S$94+$T$94</f>
        <v>0</v>
      </c>
    </row>
    <row r="95" spans="1:21" x14ac:dyDescent="0.3">
      <c r="A95" s="10" t="s">
        <v>349</v>
      </c>
      <c r="B95" s="11" t="s">
        <v>350</v>
      </c>
      <c r="C95" s="11"/>
      <c r="D95" s="11" t="s">
        <v>351</v>
      </c>
      <c r="E95" s="11">
        <f xml:space="preserve"> IF($U$95,1,0)</f>
        <v>0</v>
      </c>
      <c r="F95" s="11" t="s">
        <v>352</v>
      </c>
      <c r="G95" s="11">
        <v>0</v>
      </c>
      <c r="H95" s="11">
        <v>0</v>
      </c>
      <c r="I95" s="11">
        <v>0</v>
      </c>
      <c r="J95" s="11">
        <v>0</v>
      </c>
      <c r="K95" s="11">
        <v>0</v>
      </c>
      <c r="L95" s="11">
        <v>0</v>
      </c>
      <c r="M95" s="11">
        <v>0</v>
      </c>
      <c r="N95" s="11">
        <v>0</v>
      </c>
      <c r="O95" s="11">
        <v>0</v>
      </c>
      <c r="P95" s="11">
        <v>0</v>
      </c>
      <c r="Q95" s="12">
        <v>0</v>
      </c>
      <c r="R95" s="12">
        <v>0</v>
      </c>
      <c r="S95" s="12">
        <f>$G$95*$G$8+$H$95*$H$8+$I$95*$I$8+$J$95*$J$8+$K$95*$K$8+$L$95*$L$8+$M$95*$M$8+$N$95*$N$8+$O$95*$O$8+$P$95*$P$8</f>
        <v>0</v>
      </c>
      <c r="T95" s="12">
        <f>SUM($Q$95:$R$95)</f>
        <v>0</v>
      </c>
      <c r="U95" s="12">
        <f>$S$95+$T$95</f>
        <v>0</v>
      </c>
    </row>
    <row r="96" spans="1:21" x14ac:dyDescent="0.3">
      <c r="A96" s="13" t="s">
        <v>353</v>
      </c>
      <c r="B96" s="14" t="s">
        <v>354</v>
      </c>
      <c r="C96" s="14"/>
      <c r="D96" s="14" t="s">
        <v>355</v>
      </c>
      <c r="E96" s="14">
        <f xml:space="preserve"> IF($U$96,1,0)</f>
        <v>0</v>
      </c>
      <c r="F96" s="14" t="s">
        <v>356</v>
      </c>
      <c r="G96" s="14">
        <v>0</v>
      </c>
      <c r="H96" s="14">
        <v>0</v>
      </c>
      <c r="I96" s="14">
        <v>0</v>
      </c>
      <c r="J96" s="14">
        <v>0</v>
      </c>
      <c r="K96" s="14">
        <v>0</v>
      </c>
      <c r="L96" s="14">
        <v>0</v>
      </c>
      <c r="M96" s="14">
        <v>0</v>
      </c>
      <c r="N96" s="14">
        <v>0</v>
      </c>
      <c r="O96" s="14">
        <v>0</v>
      </c>
      <c r="P96" s="14">
        <v>0</v>
      </c>
      <c r="Q96" s="15">
        <v>0</v>
      </c>
      <c r="R96" s="15">
        <v>0</v>
      </c>
      <c r="S96" s="15">
        <f>$G$96*$G$8+$H$96*$H$8+$I$96*$I$8+$J$96*$J$8+$K$96*$K$8+$L$96*$L$8+$M$96*$M$8+$N$96*$N$8+$O$96*$O$8+$P$96*$P$8</f>
        <v>0</v>
      </c>
      <c r="T96" s="15">
        <f>SUM($Q$96:$R$96)</f>
        <v>0</v>
      </c>
      <c r="U96" s="15">
        <f>$S$96+$T$96</f>
        <v>0</v>
      </c>
    </row>
    <row r="97" spans="1:21" x14ac:dyDescent="0.3">
      <c r="A97" s="10" t="s">
        <v>357</v>
      </c>
      <c r="B97" s="11" t="s">
        <v>358</v>
      </c>
      <c r="C97" s="11" t="s">
        <v>34</v>
      </c>
      <c r="D97" s="11" t="s">
        <v>359</v>
      </c>
      <c r="E97" s="11">
        <f xml:space="preserve"> IF($U$97,1,0)</f>
        <v>0</v>
      </c>
      <c r="F97" s="11" t="s">
        <v>360</v>
      </c>
      <c r="G97" s="11">
        <v>0</v>
      </c>
      <c r="H97" s="11">
        <v>0</v>
      </c>
      <c r="I97" s="11">
        <v>0</v>
      </c>
      <c r="J97" s="11">
        <v>0</v>
      </c>
      <c r="K97" s="11">
        <v>0</v>
      </c>
      <c r="L97" s="11">
        <v>0</v>
      </c>
      <c r="M97" s="11">
        <v>0</v>
      </c>
      <c r="N97" s="11">
        <v>0</v>
      </c>
      <c r="O97" s="11">
        <v>0</v>
      </c>
      <c r="P97" s="11">
        <v>0</v>
      </c>
      <c r="Q97" s="12">
        <v>0</v>
      </c>
      <c r="R97" s="12">
        <v>0</v>
      </c>
      <c r="S97" s="12">
        <f>$G$97*$G$8+$H$97*$H$8+$I$97*$I$8+$J$97*$J$8+$K$97*$K$8+$L$97*$L$8+$M$97*$M$8+$N$97*$N$8+$O$97*$O$8+$P$97*$P$8</f>
        <v>0</v>
      </c>
      <c r="T97" s="12">
        <f>SUM($Q$97:$R$97)</f>
        <v>0</v>
      </c>
      <c r="U97" s="12">
        <f>$S$97+$T$97</f>
        <v>0</v>
      </c>
    </row>
    <row r="98" spans="1:21" x14ac:dyDescent="0.3">
      <c r="A98" s="13" t="s">
        <v>361</v>
      </c>
      <c r="B98" s="14" t="s">
        <v>358</v>
      </c>
      <c r="C98" s="14" t="s">
        <v>34</v>
      </c>
      <c r="D98" s="14" t="s">
        <v>362</v>
      </c>
      <c r="E98" s="14">
        <f xml:space="preserve"> IF($U$98,1,0)</f>
        <v>1</v>
      </c>
      <c r="F98" s="14" t="s">
        <v>363</v>
      </c>
      <c r="G98" s="14">
        <v>2</v>
      </c>
      <c r="H98" s="14">
        <v>0</v>
      </c>
      <c r="I98" s="14">
        <v>0</v>
      </c>
      <c r="J98" s="14">
        <v>0</v>
      </c>
      <c r="K98" s="14">
        <v>2</v>
      </c>
      <c r="L98" s="14">
        <v>4</v>
      </c>
      <c r="M98" s="14">
        <v>3</v>
      </c>
      <c r="N98" s="14">
        <v>2</v>
      </c>
      <c r="O98" s="14">
        <v>0</v>
      </c>
      <c r="P98" s="14">
        <v>2</v>
      </c>
      <c r="Q98" s="15">
        <v>0</v>
      </c>
      <c r="R98" s="15">
        <v>0</v>
      </c>
      <c r="S98" s="15">
        <f>$G$98*$G$8+$H$98*$H$8+$I$98*$I$8+$J$98*$J$8+$K$98*$K$8+$L$98*$L$8+$M$98*$M$8+$N$98*$N$8+$O$98*$O$8+$P$98*$P$8</f>
        <v>41.4</v>
      </c>
      <c r="T98" s="15">
        <f>SUM($Q$98:$R$98)</f>
        <v>0</v>
      </c>
      <c r="U98" s="15">
        <f>$S$98+$T$98</f>
        <v>41.4</v>
      </c>
    </row>
    <row r="99" spans="1:21" x14ac:dyDescent="0.3">
      <c r="A99" s="10" t="s">
        <v>364</v>
      </c>
      <c r="B99" s="11" t="s">
        <v>358</v>
      </c>
      <c r="C99" s="11"/>
      <c r="D99" s="11" t="s">
        <v>365</v>
      </c>
      <c r="E99" s="11">
        <f xml:space="preserve"> IF($U$99,1,0)</f>
        <v>1</v>
      </c>
      <c r="F99" s="11" t="s">
        <v>366</v>
      </c>
      <c r="G99" s="11">
        <v>0</v>
      </c>
      <c r="H99" s="11">
        <v>2</v>
      </c>
      <c r="I99" s="11">
        <v>0</v>
      </c>
      <c r="J99" s="11">
        <v>0</v>
      </c>
      <c r="K99" s="11">
        <v>0</v>
      </c>
      <c r="L99" s="11">
        <v>1</v>
      </c>
      <c r="M99" s="11">
        <v>2</v>
      </c>
      <c r="N99" s="11">
        <v>0</v>
      </c>
      <c r="O99" s="11">
        <v>0</v>
      </c>
      <c r="P99" s="11">
        <v>0</v>
      </c>
      <c r="Q99" s="12">
        <f>$T$338</f>
        <v>2.5</v>
      </c>
      <c r="R99" s="12">
        <f>$T$339</f>
        <v>1.85</v>
      </c>
      <c r="S99" s="12">
        <f>$G$99*$G$8+$H$99*$H$8+$I$99*$I$8+$J$99*$J$8+$K$99*$K$8+$L$99*$L$8+$M$99*$M$8+$N$99*$N$8+$O$99*$O$8+$P$99*$P$8</f>
        <v>14.6</v>
      </c>
      <c r="T99" s="12">
        <f>SUM($Q$99:$R$99)</f>
        <v>4.3499999999999996</v>
      </c>
      <c r="U99" s="12">
        <f>$S$99+$T$99</f>
        <v>18.95</v>
      </c>
    </row>
    <row r="100" spans="1:21" x14ac:dyDescent="0.3">
      <c r="A100" s="13" t="s">
        <v>367</v>
      </c>
      <c r="B100" s="14" t="s">
        <v>368</v>
      </c>
      <c r="C100" s="14" t="s">
        <v>34</v>
      </c>
      <c r="D100" s="14" t="s">
        <v>118</v>
      </c>
      <c r="E100" s="14">
        <f xml:space="preserve"> IF($U$100,1,0)</f>
        <v>0</v>
      </c>
      <c r="F100" s="14" t="s">
        <v>369</v>
      </c>
      <c r="G100" s="14">
        <v>0</v>
      </c>
      <c r="H100" s="14">
        <v>0</v>
      </c>
      <c r="I100" s="14">
        <v>0</v>
      </c>
      <c r="J100" s="14">
        <v>0</v>
      </c>
      <c r="K100" s="14">
        <v>0</v>
      </c>
      <c r="L100" s="14">
        <v>0</v>
      </c>
      <c r="M100" s="14">
        <v>0</v>
      </c>
      <c r="N100" s="14">
        <v>0</v>
      </c>
      <c r="O100" s="14">
        <v>0</v>
      </c>
      <c r="P100" s="14">
        <v>0</v>
      </c>
      <c r="Q100" s="15">
        <v>0</v>
      </c>
      <c r="R100" s="15">
        <v>0</v>
      </c>
      <c r="S100" s="15">
        <f>$G$100*$G$8+$H$100*$H$8+$I$100*$I$8+$J$100*$J$8+$K$100*$K$8+$L$100*$L$8+$M$100*$M$8+$N$100*$N$8+$O$100*$O$8+$P$100*$P$8</f>
        <v>0</v>
      </c>
      <c r="T100" s="15">
        <f>SUM($Q$100:$R$100)</f>
        <v>0</v>
      </c>
      <c r="U100" s="15">
        <f>$S$100+$T$100</f>
        <v>0</v>
      </c>
    </row>
    <row r="101" spans="1:21" x14ac:dyDescent="0.3">
      <c r="A101" s="10" t="s">
        <v>370</v>
      </c>
      <c r="B101" s="11" t="s">
        <v>371</v>
      </c>
      <c r="C101" s="11"/>
      <c r="D101" s="11" t="s">
        <v>372</v>
      </c>
      <c r="E101" s="11">
        <f xml:space="preserve"> IF($U$101,1,0)</f>
        <v>0</v>
      </c>
      <c r="F101" s="11" t="s">
        <v>373</v>
      </c>
      <c r="G101" s="11">
        <v>0</v>
      </c>
      <c r="H101" s="11">
        <v>0</v>
      </c>
      <c r="I101" s="11">
        <v>0</v>
      </c>
      <c r="J101" s="11">
        <v>0</v>
      </c>
      <c r="K101" s="11">
        <v>0</v>
      </c>
      <c r="L101" s="11">
        <v>0</v>
      </c>
      <c r="M101" s="11">
        <v>0</v>
      </c>
      <c r="N101" s="11">
        <v>0</v>
      </c>
      <c r="O101" s="11">
        <v>0</v>
      </c>
      <c r="P101" s="11">
        <v>0</v>
      </c>
      <c r="Q101" s="12">
        <v>0</v>
      </c>
      <c r="R101" s="12">
        <v>0</v>
      </c>
      <c r="S101" s="12">
        <f>$G$101*$G$8+$H$101*$H$8+$I$101*$I$8+$J$101*$J$8+$K$101*$K$8+$L$101*$L$8+$M$101*$M$8+$N$101*$N$8+$O$101*$O$8+$P$101*$P$8</f>
        <v>0</v>
      </c>
      <c r="T101" s="12">
        <f>SUM($Q$101:$R$101)</f>
        <v>0</v>
      </c>
      <c r="U101" s="12">
        <f>$S$101+$T$101</f>
        <v>0</v>
      </c>
    </row>
    <row r="102" spans="1:21" x14ac:dyDescent="0.3">
      <c r="A102" s="13" t="s">
        <v>374</v>
      </c>
      <c r="B102" s="14" t="s">
        <v>375</v>
      </c>
      <c r="C102" s="14"/>
      <c r="D102" s="14" t="s">
        <v>376</v>
      </c>
      <c r="E102" s="14">
        <f xml:space="preserve"> IF($U$102,1,0)</f>
        <v>0</v>
      </c>
      <c r="F102" s="14" t="s">
        <v>377</v>
      </c>
      <c r="G102" s="14">
        <v>0</v>
      </c>
      <c r="H102" s="14">
        <v>0</v>
      </c>
      <c r="I102" s="14">
        <v>0</v>
      </c>
      <c r="J102" s="14">
        <v>0</v>
      </c>
      <c r="K102" s="14">
        <v>0</v>
      </c>
      <c r="L102" s="14">
        <v>0</v>
      </c>
      <c r="M102" s="14">
        <v>0</v>
      </c>
      <c r="N102" s="14">
        <v>0</v>
      </c>
      <c r="O102" s="14">
        <v>0</v>
      </c>
      <c r="P102" s="14">
        <v>0</v>
      </c>
      <c r="Q102" s="15">
        <v>0</v>
      </c>
      <c r="R102" s="15">
        <v>0</v>
      </c>
      <c r="S102" s="15">
        <f>$G$102*$G$8+$H$102*$H$8+$I$102*$I$8+$J$102*$J$8+$K$102*$K$8+$L$102*$L$8+$M$102*$M$8+$N$102*$N$8+$O$102*$O$8+$P$102*$P$8</f>
        <v>0</v>
      </c>
      <c r="T102" s="15">
        <f>SUM($Q$102:$R$102)</f>
        <v>0</v>
      </c>
      <c r="U102" s="15">
        <f>$S$102+$T$102</f>
        <v>0</v>
      </c>
    </row>
    <row r="103" spans="1:21" x14ac:dyDescent="0.3">
      <c r="A103" s="10" t="s">
        <v>378</v>
      </c>
      <c r="B103" s="11" t="s">
        <v>379</v>
      </c>
      <c r="C103" s="11"/>
      <c r="D103" s="11" t="s">
        <v>380</v>
      </c>
      <c r="E103" s="11">
        <f xml:space="preserve"> IF($U$103,1,0)</f>
        <v>0</v>
      </c>
      <c r="F103" s="11" t="s">
        <v>381</v>
      </c>
      <c r="G103" s="11">
        <v>0</v>
      </c>
      <c r="H103" s="11">
        <v>0</v>
      </c>
      <c r="I103" s="11">
        <v>0</v>
      </c>
      <c r="J103" s="11">
        <v>0</v>
      </c>
      <c r="K103" s="11">
        <v>0</v>
      </c>
      <c r="L103" s="11">
        <v>0</v>
      </c>
      <c r="M103" s="11">
        <v>0</v>
      </c>
      <c r="N103" s="11">
        <v>0</v>
      </c>
      <c r="O103" s="11">
        <v>0</v>
      </c>
      <c r="P103" s="11">
        <v>0</v>
      </c>
      <c r="Q103" s="12">
        <v>0</v>
      </c>
      <c r="R103" s="12">
        <v>0</v>
      </c>
      <c r="S103" s="12">
        <f>$G$103*$G$8+$H$103*$H$8+$I$103*$I$8+$J$103*$J$8+$K$103*$K$8+$L$103*$L$8+$M$103*$M$8+$N$103*$N$8+$O$103*$O$8+$P$103*$P$8</f>
        <v>0</v>
      </c>
      <c r="T103" s="12">
        <f>SUM($Q$103:$R$103)</f>
        <v>0</v>
      </c>
      <c r="U103" s="12">
        <f>$S$103+$T$103</f>
        <v>0</v>
      </c>
    </row>
    <row r="104" spans="1:21" x14ac:dyDescent="0.3">
      <c r="A104" s="13" t="s">
        <v>382</v>
      </c>
      <c r="B104" s="14" t="s">
        <v>383</v>
      </c>
      <c r="C104" s="14"/>
      <c r="D104" s="14" t="s">
        <v>384</v>
      </c>
      <c r="E104" s="14">
        <f xml:space="preserve"> IF($U$104,1,0)</f>
        <v>1</v>
      </c>
      <c r="F104" s="14" t="s">
        <v>385</v>
      </c>
      <c r="G104" s="14">
        <v>2</v>
      </c>
      <c r="H104" s="14">
        <v>0</v>
      </c>
      <c r="I104" s="14">
        <v>0</v>
      </c>
      <c r="J104" s="14">
        <v>0</v>
      </c>
      <c r="K104" s="14">
        <v>0</v>
      </c>
      <c r="L104" s="14">
        <v>0</v>
      </c>
      <c r="M104" s="14">
        <v>0</v>
      </c>
      <c r="N104" s="14">
        <v>0</v>
      </c>
      <c r="O104" s="14">
        <v>0</v>
      </c>
      <c r="P104" s="14">
        <v>0</v>
      </c>
      <c r="Q104" s="15">
        <v>0</v>
      </c>
      <c r="R104" s="15">
        <v>0</v>
      </c>
      <c r="S104" s="15">
        <f>$G$104*$G$8+$H$104*$H$8+$I$104*$I$8+$J$104*$J$8+$K$104*$K$8+$L$104*$L$8+$M$104*$M$8+$N$104*$N$8+$O$104*$O$8+$P$104*$P$8</f>
        <v>1.4</v>
      </c>
      <c r="T104" s="15">
        <f>SUM($Q$104:$R$104)</f>
        <v>0</v>
      </c>
      <c r="U104" s="15">
        <f>$S$104+$T$104</f>
        <v>1.4</v>
      </c>
    </row>
    <row r="105" spans="1:21" x14ac:dyDescent="0.3">
      <c r="A105" s="10" t="s">
        <v>386</v>
      </c>
      <c r="B105" s="11" t="s">
        <v>387</v>
      </c>
      <c r="C105" s="11" t="s">
        <v>278</v>
      </c>
      <c r="D105" s="11" t="s">
        <v>388</v>
      </c>
      <c r="E105" s="11">
        <f xml:space="preserve"> IF($U$105,1,0)</f>
        <v>0</v>
      </c>
      <c r="F105" s="11" t="s">
        <v>389</v>
      </c>
      <c r="G105" s="11">
        <v>0</v>
      </c>
      <c r="H105" s="11">
        <v>0</v>
      </c>
      <c r="I105" s="11">
        <v>0</v>
      </c>
      <c r="J105" s="11">
        <v>0</v>
      </c>
      <c r="K105" s="11">
        <v>0</v>
      </c>
      <c r="L105" s="11">
        <v>0</v>
      </c>
      <c r="M105" s="11">
        <v>0</v>
      </c>
      <c r="N105" s="11">
        <v>0</v>
      </c>
      <c r="O105" s="11">
        <v>0</v>
      </c>
      <c r="P105" s="11">
        <v>0</v>
      </c>
      <c r="Q105" s="12">
        <v>0</v>
      </c>
      <c r="R105" s="12">
        <v>0</v>
      </c>
      <c r="S105" s="12">
        <f>$G$105*$G$8+$H$105*$H$8+$I$105*$I$8+$J$105*$J$8+$K$105*$K$8+$L$105*$L$8+$M$105*$M$8+$N$105*$N$8+$O$105*$O$8+$P$105*$P$8</f>
        <v>0</v>
      </c>
      <c r="T105" s="12">
        <f>SUM($Q$105:$R$105)</f>
        <v>0</v>
      </c>
      <c r="U105" s="12">
        <f>$S$105+$T$105</f>
        <v>0</v>
      </c>
    </row>
    <row r="106" spans="1:21" x14ac:dyDescent="0.3">
      <c r="A106" s="13" t="s">
        <v>390</v>
      </c>
      <c r="B106" s="14" t="s">
        <v>387</v>
      </c>
      <c r="C106" s="14" t="s">
        <v>34</v>
      </c>
      <c r="D106" s="14" t="s">
        <v>391</v>
      </c>
      <c r="E106" s="14">
        <f xml:space="preserve"> IF($U$106,1,0)</f>
        <v>0</v>
      </c>
      <c r="F106" s="14" t="s">
        <v>392</v>
      </c>
      <c r="G106" s="14">
        <v>0</v>
      </c>
      <c r="H106" s="14">
        <v>0</v>
      </c>
      <c r="I106" s="14">
        <v>0</v>
      </c>
      <c r="J106" s="14">
        <v>0</v>
      </c>
      <c r="K106" s="14">
        <v>0</v>
      </c>
      <c r="L106" s="14">
        <v>0</v>
      </c>
      <c r="M106" s="14">
        <v>0</v>
      </c>
      <c r="N106" s="14">
        <v>0</v>
      </c>
      <c r="O106" s="14">
        <v>0</v>
      </c>
      <c r="P106" s="14">
        <v>0</v>
      </c>
      <c r="Q106" s="15">
        <v>0</v>
      </c>
      <c r="R106" s="15">
        <v>0</v>
      </c>
      <c r="S106" s="15">
        <f>$G$106*$G$8+$H$106*$H$8+$I$106*$I$8+$J$106*$J$8+$K$106*$K$8+$L$106*$L$8+$M$106*$M$8+$N$106*$N$8+$O$106*$O$8+$P$106*$P$8</f>
        <v>0</v>
      </c>
      <c r="T106" s="15">
        <f>SUM($Q$106:$R$106)</f>
        <v>0</v>
      </c>
      <c r="U106" s="15">
        <f>$S$106+$T$106</f>
        <v>0</v>
      </c>
    </row>
    <row r="107" spans="1:21" x14ac:dyDescent="0.3">
      <c r="A107" s="10" t="s">
        <v>393</v>
      </c>
      <c r="B107" s="11" t="s">
        <v>394</v>
      </c>
      <c r="C107" s="11"/>
      <c r="D107" s="11" t="s">
        <v>395</v>
      </c>
      <c r="E107" s="11">
        <f xml:space="preserve"> IF($U$107,1,0)</f>
        <v>1</v>
      </c>
      <c r="F107" s="11" t="s">
        <v>396</v>
      </c>
      <c r="G107" s="11">
        <v>10</v>
      </c>
      <c r="H107" s="11">
        <v>7</v>
      </c>
      <c r="I107" s="11">
        <v>0</v>
      </c>
      <c r="J107" s="11">
        <v>0</v>
      </c>
      <c r="K107" s="11">
        <v>0</v>
      </c>
      <c r="L107" s="11">
        <v>0</v>
      </c>
      <c r="M107" s="11">
        <v>0</v>
      </c>
      <c r="N107" s="11">
        <v>0</v>
      </c>
      <c r="O107" s="11">
        <v>0</v>
      </c>
      <c r="P107" s="11">
        <v>1</v>
      </c>
      <c r="Q107" s="12">
        <v>0</v>
      </c>
      <c r="R107" s="12">
        <v>0</v>
      </c>
      <c r="S107" s="12">
        <f>$G$107*$G$8+$H$107*$H$8+$I$107*$I$8+$J$107*$J$8+$K$107*$K$8+$L$107*$L$8+$M$107*$M$8+$N$107*$N$8+$O$107*$O$8+$P$107*$P$8</f>
        <v>20.6</v>
      </c>
      <c r="T107" s="12">
        <f>SUM($Q$107:$R$107)</f>
        <v>0</v>
      </c>
      <c r="U107" s="12">
        <f>$S$107+$T$107</f>
        <v>20.6</v>
      </c>
    </row>
    <row r="108" spans="1:21" x14ac:dyDescent="0.3">
      <c r="A108" s="13" t="s">
        <v>397</v>
      </c>
      <c r="B108" s="14" t="s">
        <v>398</v>
      </c>
      <c r="C108" s="14" t="s">
        <v>243</v>
      </c>
      <c r="D108" s="14" t="s">
        <v>399</v>
      </c>
      <c r="E108" s="14">
        <f xml:space="preserve"> IF($U$108,1,0)</f>
        <v>0</v>
      </c>
      <c r="F108" s="14" t="s">
        <v>400</v>
      </c>
      <c r="G108" s="14">
        <v>0</v>
      </c>
      <c r="H108" s="14">
        <v>0</v>
      </c>
      <c r="I108" s="14">
        <v>0</v>
      </c>
      <c r="J108" s="14">
        <v>0</v>
      </c>
      <c r="K108" s="14">
        <v>0</v>
      </c>
      <c r="L108" s="14">
        <v>0</v>
      </c>
      <c r="M108" s="14">
        <v>0</v>
      </c>
      <c r="N108" s="14">
        <v>0</v>
      </c>
      <c r="O108" s="14">
        <v>0</v>
      </c>
      <c r="P108" s="14">
        <v>0</v>
      </c>
      <c r="Q108" s="15">
        <v>0</v>
      </c>
      <c r="R108" s="15">
        <v>0</v>
      </c>
      <c r="S108" s="15">
        <f>$G$108*$G$8+$H$108*$H$8+$I$108*$I$8+$J$108*$J$8+$K$108*$K$8+$L$108*$L$8+$M$108*$M$8+$N$108*$N$8+$O$108*$O$8+$P$108*$P$8</f>
        <v>0</v>
      </c>
      <c r="T108" s="15">
        <f>SUM($Q$108:$R$108)</f>
        <v>0</v>
      </c>
      <c r="U108" s="15">
        <f>$S$108+$T$108</f>
        <v>0</v>
      </c>
    </row>
    <row r="109" spans="1:21" x14ac:dyDescent="0.3">
      <c r="A109" s="10" t="s">
        <v>401</v>
      </c>
      <c r="B109" s="11" t="s">
        <v>402</v>
      </c>
      <c r="C109" s="11"/>
      <c r="D109" s="11" t="s">
        <v>403</v>
      </c>
      <c r="E109" s="11">
        <f xml:space="preserve"> IF($U$109,1,0)</f>
        <v>1</v>
      </c>
      <c r="F109" s="11" t="s">
        <v>404</v>
      </c>
      <c r="G109" s="11">
        <v>3</v>
      </c>
      <c r="H109" s="11">
        <v>0</v>
      </c>
      <c r="I109" s="11">
        <v>0</v>
      </c>
      <c r="J109" s="11">
        <v>0</v>
      </c>
      <c r="K109" s="11">
        <v>0</v>
      </c>
      <c r="L109" s="11">
        <v>0</v>
      </c>
      <c r="M109" s="11">
        <v>0</v>
      </c>
      <c r="N109" s="11">
        <v>0</v>
      </c>
      <c r="O109" s="11">
        <v>0</v>
      </c>
      <c r="P109" s="11">
        <v>1</v>
      </c>
      <c r="Q109" s="12">
        <v>0</v>
      </c>
      <c r="R109" s="12">
        <v>0</v>
      </c>
      <c r="S109" s="12">
        <f>$G$109*$G$8+$H$109*$H$8+$I$109*$I$8+$J$109*$J$8+$K$109*$K$8+$L$109*$L$8+$M$109*$M$8+$N$109*$N$8+$O$109*$O$8+$P$109*$P$8</f>
        <v>3.0999999999999996</v>
      </c>
      <c r="T109" s="12">
        <f>SUM($Q$109:$R$109)</f>
        <v>0</v>
      </c>
      <c r="U109" s="12">
        <f>$S$109+$T$109</f>
        <v>3.0999999999999996</v>
      </c>
    </row>
    <row r="110" spans="1:21" x14ac:dyDescent="0.3">
      <c r="A110" s="13" t="s">
        <v>405</v>
      </c>
      <c r="B110" s="14" t="s">
        <v>406</v>
      </c>
      <c r="C110" s="14"/>
      <c r="D110" s="14" t="s">
        <v>407</v>
      </c>
      <c r="E110" s="14">
        <f xml:space="preserve"> IF($U$110,1,0)</f>
        <v>1</v>
      </c>
      <c r="F110" s="14" t="s">
        <v>408</v>
      </c>
      <c r="G110" s="14">
        <v>4</v>
      </c>
      <c r="H110" s="14">
        <v>0</v>
      </c>
      <c r="I110" s="14">
        <v>0</v>
      </c>
      <c r="J110" s="14">
        <v>0</v>
      </c>
      <c r="K110" s="14">
        <v>0</v>
      </c>
      <c r="L110" s="14">
        <v>0</v>
      </c>
      <c r="M110" s="14">
        <v>0</v>
      </c>
      <c r="N110" s="14">
        <v>0</v>
      </c>
      <c r="O110" s="14">
        <v>0</v>
      </c>
      <c r="P110" s="14">
        <v>0</v>
      </c>
      <c r="Q110" s="15">
        <v>0</v>
      </c>
      <c r="R110" s="15">
        <v>0</v>
      </c>
      <c r="S110" s="15">
        <f>$G$110*$G$8+$H$110*$H$8+$I$110*$I$8+$J$110*$J$8+$K$110*$K$8+$L$110*$L$8+$M$110*$M$8+$N$110*$N$8+$O$110*$O$8+$P$110*$P$8</f>
        <v>2.8</v>
      </c>
      <c r="T110" s="15">
        <f>SUM($Q$110:$R$110)</f>
        <v>0</v>
      </c>
      <c r="U110" s="15">
        <f>$S$110+$T$110</f>
        <v>2.8</v>
      </c>
    </row>
    <row r="111" spans="1:21" x14ac:dyDescent="0.3">
      <c r="A111" s="10" t="s">
        <v>409</v>
      </c>
      <c r="B111" s="11" t="s">
        <v>410</v>
      </c>
      <c r="C111" s="11"/>
      <c r="D111" s="11" t="s">
        <v>411</v>
      </c>
      <c r="E111" s="11">
        <f xml:space="preserve"> IF($U$111,1,0)</f>
        <v>0</v>
      </c>
      <c r="F111" s="11" t="s">
        <v>412</v>
      </c>
      <c r="G111" s="11">
        <v>0</v>
      </c>
      <c r="H111" s="11">
        <v>0</v>
      </c>
      <c r="I111" s="11">
        <v>0</v>
      </c>
      <c r="J111" s="11">
        <v>0</v>
      </c>
      <c r="K111" s="11">
        <v>0</v>
      </c>
      <c r="L111" s="11">
        <v>0</v>
      </c>
      <c r="M111" s="11">
        <v>0</v>
      </c>
      <c r="N111" s="11">
        <v>0</v>
      </c>
      <c r="O111" s="11">
        <v>0</v>
      </c>
      <c r="P111" s="11">
        <v>0</v>
      </c>
      <c r="Q111" s="12">
        <v>0</v>
      </c>
      <c r="R111" s="12">
        <v>0</v>
      </c>
      <c r="S111" s="12">
        <f>$G$111*$G$8+$H$111*$H$8+$I$111*$I$8+$J$111*$J$8+$K$111*$K$8+$L$111*$L$8+$M$111*$M$8+$N$111*$N$8+$O$111*$O$8+$P$111*$P$8</f>
        <v>0</v>
      </c>
      <c r="T111" s="12">
        <f>SUM($Q$111:$R$111)</f>
        <v>0</v>
      </c>
      <c r="U111" s="12">
        <f>$S$111+$T$111</f>
        <v>0</v>
      </c>
    </row>
    <row r="112" spans="1:21" x14ac:dyDescent="0.3">
      <c r="A112" s="13" t="s">
        <v>413</v>
      </c>
      <c r="B112" s="14" t="s">
        <v>414</v>
      </c>
      <c r="C112" s="14"/>
      <c r="D112" s="14" t="s">
        <v>415</v>
      </c>
      <c r="E112" s="14">
        <f xml:space="preserve"> IF($U$112,1,0)</f>
        <v>0</v>
      </c>
      <c r="F112" s="14" t="s">
        <v>416</v>
      </c>
      <c r="G112" s="14">
        <v>0</v>
      </c>
      <c r="H112" s="14">
        <v>0</v>
      </c>
      <c r="I112" s="14">
        <v>0</v>
      </c>
      <c r="J112" s="14">
        <v>0</v>
      </c>
      <c r="K112" s="14">
        <v>0</v>
      </c>
      <c r="L112" s="14">
        <v>0</v>
      </c>
      <c r="M112" s="14">
        <v>0</v>
      </c>
      <c r="N112" s="14">
        <v>0</v>
      </c>
      <c r="O112" s="14">
        <v>0</v>
      </c>
      <c r="P112" s="14">
        <v>0</v>
      </c>
      <c r="Q112" s="15">
        <v>0</v>
      </c>
      <c r="R112" s="15">
        <v>0</v>
      </c>
      <c r="S112" s="15">
        <f>$G$112*$G$8+$H$112*$H$8+$I$112*$I$8+$J$112*$J$8+$K$112*$K$8+$L$112*$L$8+$M$112*$M$8+$N$112*$N$8+$O$112*$O$8+$P$112*$P$8</f>
        <v>0</v>
      </c>
      <c r="T112" s="15">
        <f>SUM($Q$112:$R$112)</f>
        <v>0</v>
      </c>
      <c r="U112" s="15">
        <f>$S$112+$T$112</f>
        <v>0</v>
      </c>
    </row>
    <row r="113" spans="1:21" x14ac:dyDescent="0.3">
      <c r="A113" s="10" t="s">
        <v>417</v>
      </c>
      <c r="B113" s="11" t="s">
        <v>418</v>
      </c>
      <c r="C113" s="11"/>
      <c r="D113" s="11" t="s">
        <v>419</v>
      </c>
      <c r="E113" s="11">
        <f xml:space="preserve"> IF($U$113,1,0)</f>
        <v>0</v>
      </c>
      <c r="F113" s="11" t="s">
        <v>420</v>
      </c>
      <c r="G113" s="11">
        <v>0</v>
      </c>
      <c r="H113" s="11">
        <v>0</v>
      </c>
      <c r="I113" s="11">
        <v>0</v>
      </c>
      <c r="J113" s="11">
        <v>0</v>
      </c>
      <c r="K113" s="11">
        <v>0</v>
      </c>
      <c r="L113" s="11">
        <v>0</v>
      </c>
      <c r="M113" s="11">
        <v>0</v>
      </c>
      <c r="N113" s="11">
        <v>0</v>
      </c>
      <c r="O113" s="11">
        <v>0</v>
      </c>
      <c r="P113" s="11">
        <v>0</v>
      </c>
      <c r="Q113" s="12">
        <v>0</v>
      </c>
      <c r="R113" s="12">
        <v>0</v>
      </c>
      <c r="S113" s="12">
        <f>$G$113*$G$8+$H$113*$H$8+$I$113*$I$8+$J$113*$J$8+$K$113*$K$8+$L$113*$L$8+$M$113*$M$8+$N$113*$N$8+$O$113*$O$8+$P$113*$P$8</f>
        <v>0</v>
      </c>
      <c r="T113" s="12">
        <f>SUM($Q$113:$R$113)</f>
        <v>0</v>
      </c>
      <c r="U113" s="12">
        <f>$S$113+$T$113</f>
        <v>0</v>
      </c>
    </row>
    <row r="114" spans="1:21" x14ac:dyDescent="0.3">
      <c r="A114" s="13" t="s">
        <v>421</v>
      </c>
      <c r="B114" s="14" t="s">
        <v>422</v>
      </c>
      <c r="C114" s="14"/>
      <c r="D114" s="14" t="s">
        <v>423</v>
      </c>
      <c r="E114" s="14">
        <f xml:space="preserve"> IF($U$114,1,0)</f>
        <v>0</v>
      </c>
      <c r="F114" s="14" t="s">
        <v>424</v>
      </c>
      <c r="G114" s="14">
        <v>0</v>
      </c>
      <c r="H114" s="14">
        <v>0</v>
      </c>
      <c r="I114" s="14">
        <v>0</v>
      </c>
      <c r="J114" s="14">
        <v>0</v>
      </c>
      <c r="K114" s="14">
        <v>0</v>
      </c>
      <c r="L114" s="14">
        <v>0</v>
      </c>
      <c r="M114" s="14">
        <v>0</v>
      </c>
      <c r="N114" s="14">
        <v>0</v>
      </c>
      <c r="O114" s="14">
        <v>0</v>
      </c>
      <c r="P114" s="14">
        <v>0</v>
      </c>
      <c r="Q114" s="15">
        <v>0</v>
      </c>
      <c r="R114" s="15">
        <v>0</v>
      </c>
      <c r="S114" s="15">
        <f>$G$114*$G$8+$H$114*$H$8+$I$114*$I$8+$J$114*$J$8+$K$114*$K$8+$L$114*$L$8+$M$114*$M$8+$N$114*$N$8+$O$114*$O$8+$P$114*$P$8</f>
        <v>0</v>
      </c>
      <c r="T114" s="15">
        <f>SUM($Q$114:$R$114)</f>
        <v>0</v>
      </c>
      <c r="U114" s="15">
        <f>$S$114+$T$114</f>
        <v>0</v>
      </c>
    </row>
    <row r="115" spans="1:21" x14ac:dyDescent="0.3">
      <c r="A115" s="10" t="s">
        <v>425</v>
      </c>
      <c r="B115" s="11" t="s">
        <v>426</v>
      </c>
      <c r="C115" s="11" t="s">
        <v>34</v>
      </c>
      <c r="D115" s="11" t="s">
        <v>427</v>
      </c>
      <c r="E115" s="11">
        <f xml:space="preserve"> IF($U$115,1,0)</f>
        <v>0</v>
      </c>
      <c r="F115" s="11" t="s">
        <v>428</v>
      </c>
      <c r="G115" s="11">
        <v>0</v>
      </c>
      <c r="H115" s="11">
        <v>0</v>
      </c>
      <c r="I115" s="11">
        <v>0</v>
      </c>
      <c r="J115" s="11">
        <v>0</v>
      </c>
      <c r="K115" s="11">
        <v>0</v>
      </c>
      <c r="L115" s="11">
        <v>0</v>
      </c>
      <c r="M115" s="11">
        <v>0</v>
      </c>
      <c r="N115" s="11">
        <v>0</v>
      </c>
      <c r="O115" s="11">
        <v>0</v>
      </c>
      <c r="P115" s="11">
        <v>0</v>
      </c>
      <c r="Q115" s="12">
        <v>0</v>
      </c>
      <c r="R115" s="12">
        <v>0</v>
      </c>
      <c r="S115" s="12">
        <f>$G$115*$G$8+$H$115*$H$8+$I$115*$I$8+$J$115*$J$8+$K$115*$K$8+$L$115*$L$8+$M$115*$M$8+$N$115*$N$8+$O$115*$O$8+$P$115*$P$8</f>
        <v>0</v>
      </c>
      <c r="T115" s="12">
        <f>SUM($Q$115:$R$115)</f>
        <v>0</v>
      </c>
      <c r="U115" s="12">
        <f>$S$115+$T$115</f>
        <v>0</v>
      </c>
    </row>
    <row r="116" spans="1:21" x14ac:dyDescent="0.3">
      <c r="A116" s="13" t="s">
        <v>429</v>
      </c>
      <c r="B116" s="14" t="s">
        <v>430</v>
      </c>
      <c r="C116" s="14"/>
      <c r="D116" s="14" t="s">
        <v>431</v>
      </c>
      <c r="E116" s="14">
        <f xml:space="preserve"> IF($U$116,1,0)</f>
        <v>0</v>
      </c>
      <c r="F116" s="14" t="s">
        <v>432</v>
      </c>
      <c r="G116" s="14">
        <v>0</v>
      </c>
      <c r="H116" s="14">
        <v>0</v>
      </c>
      <c r="I116" s="14">
        <v>0</v>
      </c>
      <c r="J116" s="14">
        <v>0</v>
      </c>
      <c r="K116" s="14">
        <v>0</v>
      </c>
      <c r="L116" s="14">
        <v>0</v>
      </c>
      <c r="M116" s="14">
        <v>0</v>
      </c>
      <c r="N116" s="14">
        <v>0</v>
      </c>
      <c r="O116" s="14">
        <v>0</v>
      </c>
      <c r="P116" s="14">
        <v>0</v>
      </c>
      <c r="Q116" s="15">
        <v>0</v>
      </c>
      <c r="R116" s="15">
        <v>0</v>
      </c>
      <c r="S116" s="15">
        <f>$G$116*$G$8+$H$116*$H$8+$I$116*$I$8+$J$116*$J$8+$K$116*$K$8+$L$116*$L$8+$M$116*$M$8+$N$116*$N$8+$O$116*$O$8+$P$116*$P$8</f>
        <v>0</v>
      </c>
      <c r="T116" s="15">
        <f>SUM($Q$116:$R$116)</f>
        <v>0</v>
      </c>
      <c r="U116" s="15">
        <f>$S$116+$T$116</f>
        <v>0</v>
      </c>
    </row>
    <row r="117" spans="1:21" x14ac:dyDescent="0.3">
      <c r="A117" s="10" t="s">
        <v>1252</v>
      </c>
      <c r="B117" s="11" t="s">
        <v>1253</v>
      </c>
      <c r="C117" s="11"/>
      <c r="D117" s="11" t="s">
        <v>1254</v>
      </c>
      <c r="E117" s="11">
        <f xml:space="preserve"> IF($U$117,1,0)</f>
        <v>1</v>
      </c>
      <c r="F117" s="11" t="s">
        <v>1255</v>
      </c>
      <c r="G117" s="11">
        <v>9</v>
      </c>
      <c r="H117" s="11">
        <v>0</v>
      </c>
      <c r="I117" s="11">
        <v>0</v>
      </c>
      <c r="J117" s="11">
        <v>0</v>
      </c>
      <c r="K117" s="11">
        <v>0</v>
      </c>
      <c r="L117" s="11">
        <v>0</v>
      </c>
      <c r="M117" s="11">
        <v>0</v>
      </c>
      <c r="N117" s="11">
        <v>0</v>
      </c>
      <c r="O117" s="11">
        <v>0</v>
      </c>
      <c r="P117" s="11">
        <v>0</v>
      </c>
      <c r="Q117" s="12">
        <v>0</v>
      </c>
      <c r="R117" s="12">
        <v>0</v>
      </c>
      <c r="S117" s="12">
        <f>$G$117*$G$8+$H$117*$H$8+$I$117*$I$8+$J$117*$J$8+$K$117*$K$8+$L$117*$L$8+$M$117*$M$8+$N$117*$N$8+$O$117*$O$8+$P$117*$P$8</f>
        <v>6.3</v>
      </c>
      <c r="T117" s="12">
        <f>SUM($Q$117:$R$117)</f>
        <v>0</v>
      </c>
      <c r="U117" s="12">
        <f>$S$117+$T$117</f>
        <v>6.3</v>
      </c>
    </row>
    <row r="118" spans="1:21" x14ac:dyDescent="0.3">
      <c r="A118" s="13" t="s">
        <v>433</v>
      </c>
      <c r="B118" s="14" t="s">
        <v>434</v>
      </c>
      <c r="C118" s="14" t="s">
        <v>202</v>
      </c>
      <c r="D118" s="14" t="s">
        <v>435</v>
      </c>
      <c r="E118" s="14">
        <f xml:space="preserve"> IF($U$118,1,0)</f>
        <v>0</v>
      </c>
      <c r="F118" s="14" t="s">
        <v>436</v>
      </c>
      <c r="G118" s="14">
        <v>0</v>
      </c>
      <c r="H118" s="14">
        <v>0</v>
      </c>
      <c r="I118" s="14">
        <v>0</v>
      </c>
      <c r="J118" s="14">
        <v>0</v>
      </c>
      <c r="K118" s="14">
        <v>0</v>
      </c>
      <c r="L118" s="14">
        <v>0</v>
      </c>
      <c r="M118" s="14">
        <v>0</v>
      </c>
      <c r="N118" s="14">
        <v>0</v>
      </c>
      <c r="O118" s="14">
        <v>0</v>
      </c>
      <c r="P118" s="14">
        <v>0</v>
      </c>
      <c r="Q118" s="15">
        <v>0</v>
      </c>
      <c r="R118" s="15">
        <v>0</v>
      </c>
      <c r="S118" s="15">
        <f>$G$118*$G$8+$H$118*$H$8+$I$118*$I$8+$J$118*$J$8+$K$118*$K$8+$L$118*$L$8+$M$118*$M$8+$N$118*$N$8+$O$118*$O$8+$P$118*$P$8</f>
        <v>0</v>
      </c>
      <c r="T118" s="15">
        <f>SUM($Q$118:$R$118)</f>
        <v>0</v>
      </c>
      <c r="U118" s="15">
        <f>$S$118+$T$118</f>
        <v>0</v>
      </c>
    </row>
    <row r="119" spans="1:21" x14ac:dyDescent="0.3">
      <c r="A119" s="10" t="s">
        <v>437</v>
      </c>
      <c r="B119" s="11" t="s">
        <v>434</v>
      </c>
      <c r="C119" s="11"/>
      <c r="D119" s="11" t="s">
        <v>438</v>
      </c>
      <c r="E119" s="11">
        <f xml:space="preserve"> IF($U$119,1,0)</f>
        <v>0</v>
      </c>
      <c r="F119" s="11" t="s">
        <v>439</v>
      </c>
      <c r="G119" s="11">
        <v>0</v>
      </c>
      <c r="H119" s="11">
        <v>0</v>
      </c>
      <c r="I119" s="11">
        <v>0</v>
      </c>
      <c r="J119" s="11">
        <v>0</v>
      </c>
      <c r="K119" s="11">
        <v>0</v>
      </c>
      <c r="L119" s="11">
        <v>0</v>
      </c>
      <c r="M119" s="11">
        <v>0</v>
      </c>
      <c r="N119" s="11">
        <v>0</v>
      </c>
      <c r="O119" s="11">
        <v>0</v>
      </c>
      <c r="P119" s="11">
        <v>0</v>
      </c>
      <c r="Q119" s="12">
        <v>0</v>
      </c>
      <c r="R119" s="12">
        <v>0</v>
      </c>
      <c r="S119" s="12">
        <f>$G$119*$G$8+$H$119*$H$8+$I$119*$I$8+$J$119*$J$8+$K$119*$K$8+$L$119*$L$8+$M$119*$M$8+$N$119*$N$8+$O$119*$O$8+$P$119*$P$8</f>
        <v>0</v>
      </c>
      <c r="T119" s="12">
        <f>SUM($Q$119:$R$119)</f>
        <v>0</v>
      </c>
      <c r="U119" s="12">
        <f>$S$119+$T$119</f>
        <v>0</v>
      </c>
    </row>
    <row r="120" spans="1:21" x14ac:dyDescent="0.3">
      <c r="A120" s="13" t="s">
        <v>440</v>
      </c>
      <c r="B120" s="14" t="s">
        <v>441</v>
      </c>
      <c r="C120" s="14" t="s">
        <v>202</v>
      </c>
      <c r="D120" s="14" t="s">
        <v>442</v>
      </c>
      <c r="E120" s="14">
        <f xml:space="preserve"> IF($U$120,1,0)</f>
        <v>0</v>
      </c>
      <c r="F120" s="14" t="s">
        <v>443</v>
      </c>
      <c r="G120" s="14">
        <v>0</v>
      </c>
      <c r="H120" s="14">
        <v>0</v>
      </c>
      <c r="I120" s="14">
        <v>0</v>
      </c>
      <c r="J120" s="14">
        <v>0</v>
      </c>
      <c r="K120" s="14">
        <v>0</v>
      </c>
      <c r="L120" s="14">
        <v>0</v>
      </c>
      <c r="M120" s="14">
        <v>0</v>
      </c>
      <c r="N120" s="14">
        <v>0</v>
      </c>
      <c r="O120" s="14">
        <v>0</v>
      </c>
      <c r="P120" s="14">
        <v>0</v>
      </c>
      <c r="Q120" s="15">
        <v>0</v>
      </c>
      <c r="R120" s="15">
        <v>0</v>
      </c>
      <c r="S120" s="15">
        <f>$G$120*$G$8+$H$120*$H$8+$I$120*$I$8+$J$120*$J$8+$K$120*$K$8+$L$120*$L$8+$M$120*$M$8+$N$120*$N$8+$O$120*$O$8+$P$120*$P$8</f>
        <v>0</v>
      </c>
      <c r="T120" s="15">
        <f>SUM($Q$120:$R$120)</f>
        <v>0</v>
      </c>
      <c r="U120" s="15">
        <f>$S$120+$T$120</f>
        <v>0</v>
      </c>
    </row>
    <row r="121" spans="1:21" x14ac:dyDescent="0.3">
      <c r="A121" s="10" t="s">
        <v>444</v>
      </c>
      <c r="B121" s="11" t="s">
        <v>445</v>
      </c>
      <c r="C121" s="11"/>
      <c r="D121" s="11" t="s">
        <v>446</v>
      </c>
      <c r="E121" s="11">
        <f xml:space="preserve"> IF($U$121,1,0)</f>
        <v>0</v>
      </c>
      <c r="F121" s="11" t="s">
        <v>447</v>
      </c>
      <c r="G121" s="11">
        <v>0</v>
      </c>
      <c r="H121" s="11">
        <v>0</v>
      </c>
      <c r="I121" s="11">
        <v>0</v>
      </c>
      <c r="J121" s="11">
        <v>0</v>
      </c>
      <c r="K121" s="11">
        <v>0</v>
      </c>
      <c r="L121" s="11">
        <v>0</v>
      </c>
      <c r="M121" s="11">
        <v>0</v>
      </c>
      <c r="N121" s="11">
        <v>0</v>
      </c>
      <c r="O121" s="11">
        <v>0</v>
      </c>
      <c r="P121" s="11">
        <v>0</v>
      </c>
      <c r="Q121" s="12">
        <v>0</v>
      </c>
      <c r="R121" s="12">
        <v>0</v>
      </c>
      <c r="S121" s="12">
        <f>$G$121*$G$8+$H$121*$H$8+$I$121*$I$8+$J$121*$J$8+$K$121*$K$8+$L$121*$L$8+$M$121*$M$8+$N$121*$N$8+$O$121*$O$8+$P$121*$P$8</f>
        <v>0</v>
      </c>
      <c r="T121" s="12">
        <f>SUM($Q$121:$R$121)</f>
        <v>0</v>
      </c>
      <c r="U121" s="12">
        <f>$S$121+$T$121</f>
        <v>0</v>
      </c>
    </row>
    <row r="122" spans="1:21" x14ac:dyDescent="0.3">
      <c r="A122" s="13" t="s">
        <v>448</v>
      </c>
      <c r="B122" s="14" t="s">
        <v>449</v>
      </c>
      <c r="C122" s="14"/>
      <c r="D122" s="14" t="s">
        <v>450</v>
      </c>
      <c r="E122" s="14">
        <f xml:space="preserve"> IF($U$122,1,0)</f>
        <v>0</v>
      </c>
      <c r="F122" s="14" t="s">
        <v>451</v>
      </c>
      <c r="G122" s="14">
        <v>0</v>
      </c>
      <c r="H122" s="14">
        <v>0</v>
      </c>
      <c r="I122" s="14">
        <v>0</v>
      </c>
      <c r="J122" s="14">
        <v>0</v>
      </c>
      <c r="K122" s="14">
        <v>0</v>
      </c>
      <c r="L122" s="14">
        <v>0</v>
      </c>
      <c r="M122" s="14">
        <v>0</v>
      </c>
      <c r="N122" s="14">
        <v>0</v>
      </c>
      <c r="O122" s="14">
        <v>0</v>
      </c>
      <c r="P122" s="14">
        <v>0</v>
      </c>
      <c r="Q122" s="15">
        <v>0</v>
      </c>
      <c r="R122" s="15">
        <v>0</v>
      </c>
      <c r="S122" s="15">
        <f>$G$122*$G$8+$H$122*$H$8+$I$122*$I$8+$J$122*$J$8+$K$122*$K$8+$L$122*$L$8+$M$122*$M$8+$N$122*$N$8+$O$122*$O$8+$P$122*$P$8</f>
        <v>0</v>
      </c>
      <c r="T122" s="15">
        <f>SUM($Q$122:$R$122)</f>
        <v>0</v>
      </c>
      <c r="U122" s="15">
        <f>$S$122+$T$122</f>
        <v>0</v>
      </c>
    </row>
    <row r="123" spans="1:21" x14ac:dyDescent="0.3">
      <c r="A123" s="10" t="s">
        <v>452</v>
      </c>
      <c r="B123" s="11" t="s">
        <v>453</v>
      </c>
      <c r="C123" s="11"/>
      <c r="D123" s="11" t="s">
        <v>454</v>
      </c>
      <c r="E123" s="11">
        <f xml:space="preserve"> IF($U$123,1,0)</f>
        <v>1</v>
      </c>
      <c r="F123" s="11" t="s">
        <v>455</v>
      </c>
      <c r="G123" s="11">
        <v>16</v>
      </c>
      <c r="H123" s="11">
        <v>0</v>
      </c>
      <c r="I123" s="11">
        <v>0</v>
      </c>
      <c r="J123" s="11">
        <v>0</v>
      </c>
      <c r="K123" s="11">
        <v>0</v>
      </c>
      <c r="L123" s="11">
        <v>0</v>
      </c>
      <c r="M123" s="11">
        <v>0</v>
      </c>
      <c r="N123" s="11">
        <v>0</v>
      </c>
      <c r="O123" s="11">
        <v>0</v>
      </c>
      <c r="P123" s="11">
        <v>0</v>
      </c>
      <c r="Q123" s="12">
        <v>0</v>
      </c>
      <c r="R123" s="12">
        <v>0</v>
      </c>
      <c r="S123" s="12">
        <f>$G$123*$G$8+$H$123*$H$8+$I$123*$I$8+$J$123*$J$8+$K$123*$K$8+$L$123*$L$8+$M$123*$M$8+$N$123*$N$8+$O$123*$O$8+$P$123*$P$8</f>
        <v>11.2</v>
      </c>
      <c r="T123" s="12">
        <f>SUM($Q$123:$R$123)</f>
        <v>0</v>
      </c>
      <c r="U123" s="12">
        <f>$S$123+$T$123</f>
        <v>11.2</v>
      </c>
    </row>
    <row r="124" spans="1:21" x14ac:dyDescent="0.3">
      <c r="A124" s="13" t="s">
        <v>456</v>
      </c>
      <c r="B124" s="14" t="s">
        <v>457</v>
      </c>
      <c r="C124" s="14"/>
      <c r="D124" s="14" t="s">
        <v>458</v>
      </c>
      <c r="E124" s="14">
        <f xml:space="preserve"> IF($U$124,1,0)</f>
        <v>0</v>
      </c>
      <c r="F124" s="14" t="s">
        <v>459</v>
      </c>
      <c r="G124" s="14">
        <v>0</v>
      </c>
      <c r="H124" s="14">
        <v>0</v>
      </c>
      <c r="I124" s="14">
        <v>0</v>
      </c>
      <c r="J124" s="14">
        <v>0</v>
      </c>
      <c r="K124" s="14">
        <v>0</v>
      </c>
      <c r="L124" s="14">
        <v>0</v>
      </c>
      <c r="M124" s="14">
        <v>0</v>
      </c>
      <c r="N124" s="14">
        <v>0</v>
      </c>
      <c r="O124" s="14">
        <v>0</v>
      </c>
      <c r="P124" s="14">
        <v>0</v>
      </c>
      <c r="Q124" s="15">
        <v>0</v>
      </c>
      <c r="R124" s="15">
        <v>0</v>
      </c>
      <c r="S124" s="15">
        <f>$G$124*$G$8+$H$124*$H$8+$I$124*$I$8+$J$124*$J$8+$K$124*$K$8+$L$124*$L$8+$M$124*$M$8+$N$124*$N$8+$O$124*$O$8+$P$124*$P$8</f>
        <v>0</v>
      </c>
      <c r="T124" s="15">
        <f>SUM($Q$124:$R$124)</f>
        <v>0</v>
      </c>
      <c r="U124" s="15">
        <f>$S$124+$T$124</f>
        <v>0</v>
      </c>
    </row>
    <row r="125" spans="1:21" x14ac:dyDescent="0.3">
      <c r="A125" s="10" t="s">
        <v>460</v>
      </c>
      <c r="B125" s="11" t="s">
        <v>457</v>
      </c>
      <c r="C125" s="11"/>
      <c r="D125" s="11" t="s">
        <v>461</v>
      </c>
      <c r="E125" s="11">
        <f xml:space="preserve"> IF($U$125,1,0)</f>
        <v>0</v>
      </c>
      <c r="F125" s="11" t="s">
        <v>462</v>
      </c>
      <c r="G125" s="11">
        <v>0</v>
      </c>
      <c r="H125" s="11">
        <v>0</v>
      </c>
      <c r="I125" s="11">
        <v>0</v>
      </c>
      <c r="J125" s="11">
        <v>0</v>
      </c>
      <c r="K125" s="11">
        <v>0</v>
      </c>
      <c r="L125" s="11">
        <v>0</v>
      </c>
      <c r="M125" s="11">
        <v>0</v>
      </c>
      <c r="N125" s="11">
        <v>0</v>
      </c>
      <c r="O125" s="11">
        <v>0</v>
      </c>
      <c r="P125" s="11">
        <v>0</v>
      </c>
      <c r="Q125" s="12">
        <v>0</v>
      </c>
      <c r="R125" s="12">
        <v>0</v>
      </c>
      <c r="S125" s="12">
        <f>$G$125*$G$8+$H$125*$H$8+$I$125*$I$8+$J$125*$J$8+$K$125*$K$8+$L$125*$L$8+$M$125*$M$8+$N$125*$N$8+$O$125*$O$8+$P$125*$P$8</f>
        <v>0</v>
      </c>
      <c r="T125" s="12">
        <f>SUM($Q$125:$R$125)</f>
        <v>0</v>
      </c>
      <c r="U125" s="12">
        <f>$S$125+$T$125</f>
        <v>0</v>
      </c>
    </row>
    <row r="126" spans="1:21" x14ac:dyDescent="0.3">
      <c r="A126" s="13" t="s">
        <v>463</v>
      </c>
      <c r="B126" s="14" t="s">
        <v>457</v>
      </c>
      <c r="C126" s="14" t="s">
        <v>34</v>
      </c>
      <c r="D126" s="14" t="s">
        <v>464</v>
      </c>
      <c r="E126" s="14">
        <f xml:space="preserve"> IF($U$126,1,0)</f>
        <v>1</v>
      </c>
      <c r="F126" s="14" t="s">
        <v>465</v>
      </c>
      <c r="G126" s="14">
        <v>0</v>
      </c>
      <c r="H126" s="14">
        <v>0</v>
      </c>
      <c r="I126" s="14">
        <v>0</v>
      </c>
      <c r="J126" s="14">
        <v>0</v>
      </c>
      <c r="K126" s="14">
        <v>0</v>
      </c>
      <c r="L126" s="14">
        <v>0</v>
      </c>
      <c r="M126" s="14">
        <v>0</v>
      </c>
      <c r="N126" s="14">
        <v>0</v>
      </c>
      <c r="O126" s="14">
        <v>0</v>
      </c>
      <c r="P126" s="14">
        <v>0</v>
      </c>
      <c r="Q126" s="15">
        <f>$T$338</f>
        <v>2.5</v>
      </c>
      <c r="R126" s="15">
        <v>0</v>
      </c>
      <c r="S126" s="15">
        <f>$G$126*$G$8+$H$126*$H$8+$I$126*$I$8+$J$126*$J$8+$K$126*$K$8+$L$126*$L$8+$M$126*$M$8+$N$126*$N$8+$O$126*$O$8+$P$126*$P$8</f>
        <v>0</v>
      </c>
      <c r="T126" s="15">
        <f>SUM($Q$126:$R$126)</f>
        <v>2.5</v>
      </c>
      <c r="U126" s="15">
        <f>$S$126+$T$126</f>
        <v>2.5</v>
      </c>
    </row>
    <row r="127" spans="1:21" x14ac:dyDescent="0.3">
      <c r="A127" s="10" t="s">
        <v>466</v>
      </c>
      <c r="B127" s="11" t="s">
        <v>457</v>
      </c>
      <c r="C127" s="11"/>
      <c r="D127" s="11" t="s">
        <v>467</v>
      </c>
      <c r="E127" s="11">
        <f xml:space="preserve"> IF($U$127,1,0)</f>
        <v>0</v>
      </c>
      <c r="F127" s="11" t="s">
        <v>468</v>
      </c>
      <c r="G127" s="11">
        <v>0</v>
      </c>
      <c r="H127" s="11">
        <v>0</v>
      </c>
      <c r="I127" s="11">
        <v>0</v>
      </c>
      <c r="J127" s="11">
        <v>0</v>
      </c>
      <c r="K127" s="11">
        <v>0</v>
      </c>
      <c r="L127" s="11">
        <v>0</v>
      </c>
      <c r="M127" s="11">
        <v>0</v>
      </c>
      <c r="N127" s="11">
        <v>0</v>
      </c>
      <c r="O127" s="11">
        <v>0</v>
      </c>
      <c r="P127" s="11">
        <v>0</v>
      </c>
      <c r="Q127" s="12">
        <v>0</v>
      </c>
      <c r="R127" s="12">
        <v>0</v>
      </c>
      <c r="S127" s="12">
        <f>$G$127*$G$8+$H$127*$H$8+$I$127*$I$8+$J$127*$J$8+$K$127*$K$8+$L$127*$L$8+$M$127*$M$8+$N$127*$N$8+$O$127*$O$8+$P$127*$P$8</f>
        <v>0</v>
      </c>
      <c r="T127" s="12">
        <f>SUM($Q$127:$R$127)</f>
        <v>0</v>
      </c>
      <c r="U127" s="12">
        <f>$S$127+$T$127</f>
        <v>0</v>
      </c>
    </row>
    <row r="128" spans="1:21" x14ac:dyDescent="0.3">
      <c r="A128" s="13" t="s">
        <v>469</v>
      </c>
      <c r="B128" s="14" t="s">
        <v>470</v>
      </c>
      <c r="C128" s="14"/>
      <c r="D128" s="14" t="s">
        <v>471</v>
      </c>
      <c r="E128" s="14">
        <f xml:space="preserve"> IF($U$128,1,0)</f>
        <v>0</v>
      </c>
      <c r="F128" s="14" t="s">
        <v>472</v>
      </c>
      <c r="G128" s="14">
        <v>0</v>
      </c>
      <c r="H128" s="14">
        <v>0</v>
      </c>
      <c r="I128" s="14">
        <v>0</v>
      </c>
      <c r="J128" s="14">
        <v>0</v>
      </c>
      <c r="K128" s="14">
        <v>0</v>
      </c>
      <c r="L128" s="14">
        <v>0</v>
      </c>
      <c r="M128" s="14">
        <v>0</v>
      </c>
      <c r="N128" s="14">
        <v>0</v>
      </c>
      <c r="O128" s="14">
        <v>0</v>
      </c>
      <c r="P128" s="14">
        <v>0</v>
      </c>
      <c r="Q128" s="15">
        <v>0</v>
      </c>
      <c r="R128" s="15">
        <v>0</v>
      </c>
      <c r="S128" s="15">
        <f>$G$128*$G$8+$H$128*$H$8+$I$128*$I$8+$J$128*$J$8+$K$128*$K$8+$L$128*$L$8+$M$128*$M$8+$N$128*$N$8+$O$128*$O$8+$P$128*$P$8</f>
        <v>0</v>
      </c>
      <c r="T128" s="15">
        <f>SUM($Q$128:$R$128)</f>
        <v>0</v>
      </c>
      <c r="U128" s="15">
        <f>$S$128+$T$128</f>
        <v>0</v>
      </c>
    </row>
    <row r="129" spans="1:21" x14ac:dyDescent="0.3">
      <c r="A129" s="10" t="s">
        <v>473</v>
      </c>
      <c r="B129" s="11" t="s">
        <v>474</v>
      </c>
      <c r="C129" s="11"/>
      <c r="D129" s="11" t="s">
        <v>475</v>
      </c>
      <c r="E129" s="11">
        <f xml:space="preserve"> IF($U$129,1,0)</f>
        <v>0</v>
      </c>
      <c r="F129" s="11" t="s">
        <v>476</v>
      </c>
      <c r="G129" s="11">
        <v>0</v>
      </c>
      <c r="H129" s="11">
        <v>0</v>
      </c>
      <c r="I129" s="11">
        <v>0</v>
      </c>
      <c r="J129" s="11">
        <v>0</v>
      </c>
      <c r="K129" s="11">
        <v>0</v>
      </c>
      <c r="L129" s="11">
        <v>0</v>
      </c>
      <c r="M129" s="11">
        <v>0</v>
      </c>
      <c r="N129" s="11">
        <v>0</v>
      </c>
      <c r="O129" s="11">
        <v>0</v>
      </c>
      <c r="P129" s="11">
        <v>0</v>
      </c>
      <c r="Q129" s="12">
        <v>0</v>
      </c>
      <c r="R129" s="12">
        <v>0</v>
      </c>
      <c r="S129" s="12">
        <f>$G$129*$G$8+$H$129*$H$8+$I$129*$I$8+$J$129*$J$8+$K$129*$K$8+$L$129*$L$8+$M$129*$M$8+$N$129*$N$8+$O$129*$O$8+$P$129*$P$8</f>
        <v>0</v>
      </c>
      <c r="T129" s="12">
        <f>SUM($Q$129:$R$129)</f>
        <v>0</v>
      </c>
      <c r="U129" s="12">
        <f>$S$129+$T$129</f>
        <v>0</v>
      </c>
    </row>
    <row r="130" spans="1:21" x14ac:dyDescent="0.3">
      <c r="A130" s="13" t="s">
        <v>477</v>
      </c>
      <c r="B130" s="14" t="s">
        <v>478</v>
      </c>
      <c r="C130" s="14"/>
      <c r="D130" s="14" t="s">
        <v>479</v>
      </c>
      <c r="E130" s="14">
        <f xml:space="preserve"> IF($U$130,1,0)</f>
        <v>0</v>
      </c>
      <c r="F130" s="14" t="s">
        <v>480</v>
      </c>
      <c r="G130" s="14">
        <v>0</v>
      </c>
      <c r="H130" s="14">
        <v>0</v>
      </c>
      <c r="I130" s="14">
        <v>0</v>
      </c>
      <c r="J130" s="14">
        <v>0</v>
      </c>
      <c r="K130" s="14">
        <v>0</v>
      </c>
      <c r="L130" s="14">
        <v>0</v>
      </c>
      <c r="M130" s="14">
        <v>0</v>
      </c>
      <c r="N130" s="14">
        <v>0</v>
      </c>
      <c r="O130" s="14">
        <v>0</v>
      </c>
      <c r="P130" s="14">
        <v>0</v>
      </c>
      <c r="Q130" s="15">
        <v>0</v>
      </c>
      <c r="R130" s="15">
        <v>0</v>
      </c>
      <c r="S130" s="15">
        <f>$G$130*$G$8+$H$130*$H$8+$I$130*$I$8+$J$130*$J$8+$K$130*$K$8+$L$130*$L$8+$M$130*$M$8+$N$130*$N$8+$O$130*$O$8+$P$130*$P$8</f>
        <v>0</v>
      </c>
      <c r="T130" s="15">
        <f>SUM($Q$130:$R$130)</f>
        <v>0</v>
      </c>
      <c r="U130" s="15">
        <f>$S$130+$T$130</f>
        <v>0</v>
      </c>
    </row>
    <row r="131" spans="1:21" x14ac:dyDescent="0.3">
      <c r="A131" s="10" t="s">
        <v>481</v>
      </c>
      <c r="B131" s="11" t="s">
        <v>482</v>
      </c>
      <c r="C131" s="11"/>
      <c r="D131" s="11" t="s">
        <v>483</v>
      </c>
      <c r="E131" s="11">
        <f xml:space="preserve"> IF($U$131,1,0)</f>
        <v>0</v>
      </c>
      <c r="F131" s="11" t="s">
        <v>484</v>
      </c>
      <c r="G131" s="11">
        <v>0</v>
      </c>
      <c r="H131" s="11">
        <v>0</v>
      </c>
      <c r="I131" s="11">
        <v>0</v>
      </c>
      <c r="J131" s="11">
        <v>0</v>
      </c>
      <c r="K131" s="11">
        <v>0</v>
      </c>
      <c r="L131" s="11">
        <v>0</v>
      </c>
      <c r="M131" s="11">
        <v>0</v>
      </c>
      <c r="N131" s="11">
        <v>0</v>
      </c>
      <c r="O131" s="11">
        <v>0</v>
      </c>
      <c r="P131" s="11">
        <v>0</v>
      </c>
      <c r="Q131" s="12">
        <v>0</v>
      </c>
      <c r="R131" s="12">
        <v>0</v>
      </c>
      <c r="S131" s="12">
        <f>$G$131*$G$8+$H$131*$H$8+$I$131*$I$8+$J$131*$J$8+$K$131*$K$8+$L$131*$L$8+$M$131*$M$8+$N$131*$N$8+$O$131*$O$8+$P$131*$P$8</f>
        <v>0</v>
      </c>
      <c r="T131" s="12">
        <f>SUM($Q$131:$R$131)</f>
        <v>0</v>
      </c>
      <c r="U131" s="12">
        <f>$S$131+$T$131</f>
        <v>0</v>
      </c>
    </row>
    <row r="132" spans="1:21" x14ac:dyDescent="0.3">
      <c r="A132" s="13" t="s">
        <v>485</v>
      </c>
      <c r="B132" s="14" t="s">
        <v>486</v>
      </c>
      <c r="C132" s="14"/>
      <c r="D132" s="14" t="s">
        <v>487</v>
      </c>
      <c r="E132" s="14">
        <f xml:space="preserve"> IF($U$132,1,0)</f>
        <v>1</v>
      </c>
      <c r="F132" s="14" t="s">
        <v>488</v>
      </c>
      <c r="G132" s="14">
        <v>2</v>
      </c>
      <c r="H132" s="14">
        <v>0</v>
      </c>
      <c r="I132" s="14">
        <v>0</v>
      </c>
      <c r="J132" s="14">
        <v>0</v>
      </c>
      <c r="K132" s="14">
        <v>0</v>
      </c>
      <c r="L132" s="14">
        <v>0</v>
      </c>
      <c r="M132" s="14">
        <v>0</v>
      </c>
      <c r="N132" s="14">
        <v>0</v>
      </c>
      <c r="O132" s="14">
        <v>0</v>
      </c>
      <c r="P132" s="14">
        <v>0</v>
      </c>
      <c r="Q132" s="15">
        <v>0</v>
      </c>
      <c r="R132" s="15">
        <v>0</v>
      </c>
      <c r="S132" s="15">
        <f>$G$132*$G$8+$H$132*$H$8+$I$132*$I$8+$J$132*$J$8+$K$132*$K$8+$L$132*$L$8+$M$132*$M$8+$N$132*$N$8+$O$132*$O$8+$P$132*$P$8</f>
        <v>1.4</v>
      </c>
      <c r="T132" s="15">
        <f>SUM($Q$132:$R$132)</f>
        <v>0</v>
      </c>
      <c r="U132" s="15">
        <f>$S$132+$T$132</f>
        <v>1.4</v>
      </c>
    </row>
    <row r="133" spans="1:21" x14ac:dyDescent="0.3">
      <c r="A133" s="10" t="s">
        <v>489</v>
      </c>
      <c r="B133" s="11" t="s">
        <v>490</v>
      </c>
      <c r="C133" s="11"/>
      <c r="D133" s="11" t="s">
        <v>491</v>
      </c>
      <c r="E133" s="11">
        <f xml:space="preserve"> IF($U$133,1,0)</f>
        <v>0</v>
      </c>
      <c r="F133" s="11" t="s">
        <v>492</v>
      </c>
      <c r="G133" s="11">
        <v>0</v>
      </c>
      <c r="H133" s="11">
        <v>0</v>
      </c>
      <c r="I133" s="11">
        <v>0</v>
      </c>
      <c r="J133" s="11">
        <v>0</v>
      </c>
      <c r="K133" s="11">
        <v>0</v>
      </c>
      <c r="L133" s="11">
        <v>0</v>
      </c>
      <c r="M133" s="11">
        <v>0</v>
      </c>
      <c r="N133" s="11">
        <v>0</v>
      </c>
      <c r="O133" s="11">
        <v>0</v>
      </c>
      <c r="P133" s="11">
        <v>0</v>
      </c>
      <c r="Q133" s="12">
        <v>0</v>
      </c>
      <c r="R133" s="12">
        <v>0</v>
      </c>
      <c r="S133" s="12">
        <f>$G$133*$G$8+$H$133*$H$8+$I$133*$I$8+$J$133*$J$8+$K$133*$K$8+$L$133*$L$8+$M$133*$M$8+$N$133*$N$8+$O$133*$O$8+$P$133*$P$8</f>
        <v>0</v>
      </c>
      <c r="T133" s="12">
        <f>SUM($Q$133:$R$133)</f>
        <v>0</v>
      </c>
      <c r="U133" s="12">
        <f>$S$133+$T$133</f>
        <v>0</v>
      </c>
    </row>
    <row r="134" spans="1:21" x14ac:dyDescent="0.3">
      <c r="A134" s="13" t="s">
        <v>493</v>
      </c>
      <c r="B134" s="14" t="s">
        <v>494</v>
      </c>
      <c r="C134" s="14" t="s">
        <v>34</v>
      </c>
      <c r="D134" s="14" t="s">
        <v>495</v>
      </c>
      <c r="E134" s="14">
        <f xml:space="preserve"> IF($U$134,1,0)</f>
        <v>0</v>
      </c>
      <c r="F134" s="14" t="s">
        <v>496</v>
      </c>
      <c r="G134" s="14">
        <v>0</v>
      </c>
      <c r="H134" s="14">
        <v>0</v>
      </c>
      <c r="I134" s="14">
        <v>0</v>
      </c>
      <c r="J134" s="14">
        <v>0</v>
      </c>
      <c r="K134" s="14">
        <v>0</v>
      </c>
      <c r="L134" s="14">
        <v>0</v>
      </c>
      <c r="M134" s="14">
        <v>0</v>
      </c>
      <c r="N134" s="14">
        <v>0</v>
      </c>
      <c r="O134" s="14">
        <v>0</v>
      </c>
      <c r="P134" s="14">
        <v>0</v>
      </c>
      <c r="Q134" s="15">
        <v>0</v>
      </c>
      <c r="R134" s="15">
        <v>0</v>
      </c>
      <c r="S134" s="15">
        <f>$G$134*$G$8+$H$134*$H$8+$I$134*$I$8+$J$134*$J$8+$K$134*$K$8+$L$134*$L$8+$M$134*$M$8+$N$134*$N$8+$O$134*$O$8+$P$134*$P$8</f>
        <v>0</v>
      </c>
      <c r="T134" s="15">
        <f>SUM($Q$134:$R$134)</f>
        <v>0</v>
      </c>
      <c r="U134" s="15">
        <f>$S$134+$T$134</f>
        <v>0</v>
      </c>
    </row>
    <row r="135" spans="1:21" x14ac:dyDescent="0.3">
      <c r="A135" s="10" t="s">
        <v>497</v>
      </c>
      <c r="B135" s="11" t="s">
        <v>498</v>
      </c>
      <c r="C135" s="11"/>
      <c r="D135" s="11" t="s">
        <v>499</v>
      </c>
      <c r="E135" s="11">
        <f xml:space="preserve"> IF($U$135,1,0)</f>
        <v>0</v>
      </c>
      <c r="F135" s="11" t="s">
        <v>500</v>
      </c>
      <c r="G135" s="11">
        <v>0</v>
      </c>
      <c r="H135" s="11">
        <v>0</v>
      </c>
      <c r="I135" s="11">
        <v>0</v>
      </c>
      <c r="J135" s="11">
        <v>0</v>
      </c>
      <c r="K135" s="11">
        <v>0</v>
      </c>
      <c r="L135" s="11">
        <v>0</v>
      </c>
      <c r="M135" s="11">
        <v>0</v>
      </c>
      <c r="N135" s="11">
        <v>0</v>
      </c>
      <c r="O135" s="11">
        <v>0</v>
      </c>
      <c r="P135" s="11">
        <v>0</v>
      </c>
      <c r="Q135" s="12">
        <v>0</v>
      </c>
      <c r="R135" s="12">
        <v>0</v>
      </c>
      <c r="S135" s="12">
        <f>$G$135*$G$8+$H$135*$H$8+$I$135*$I$8+$J$135*$J$8+$K$135*$K$8+$L$135*$L$8+$M$135*$M$8+$N$135*$N$8+$O$135*$O$8+$P$135*$P$8</f>
        <v>0</v>
      </c>
      <c r="T135" s="12">
        <f>SUM($Q$135:$R$135)</f>
        <v>0</v>
      </c>
      <c r="U135" s="12">
        <f>$S$135+$T$135</f>
        <v>0</v>
      </c>
    </row>
    <row r="136" spans="1:21" x14ac:dyDescent="0.3">
      <c r="A136" s="13" t="s">
        <v>501</v>
      </c>
      <c r="B136" s="14" t="s">
        <v>502</v>
      </c>
      <c r="C136" s="14" t="s">
        <v>34</v>
      </c>
      <c r="D136" s="14" t="s">
        <v>503</v>
      </c>
      <c r="E136" s="14">
        <f xml:space="preserve"> IF($U$136,1,0)</f>
        <v>1</v>
      </c>
      <c r="F136" s="14" t="s">
        <v>504</v>
      </c>
      <c r="G136" s="14">
        <v>12</v>
      </c>
      <c r="H136" s="14">
        <v>0</v>
      </c>
      <c r="I136" s="14">
        <v>0</v>
      </c>
      <c r="J136" s="14">
        <v>0</v>
      </c>
      <c r="K136" s="14">
        <v>0</v>
      </c>
      <c r="L136" s="14">
        <v>0</v>
      </c>
      <c r="M136" s="14">
        <v>0</v>
      </c>
      <c r="N136" s="14">
        <v>0</v>
      </c>
      <c r="O136" s="14">
        <v>0</v>
      </c>
      <c r="P136" s="14">
        <v>1</v>
      </c>
      <c r="Q136" s="15">
        <v>0</v>
      </c>
      <c r="R136" s="15">
        <v>0</v>
      </c>
      <c r="S136" s="15">
        <f>$G$136*$G$8+$H$136*$H$8+$I$136*$I$8+$J$136*$J$8+$K$136*$K$8+$L$136*$L$8+$M$136*$M$8+$N$136*$N$8+$O$136*$O$8+$P$136*$P$8</f>
        <v>9.3999999999999986</v>
      </c>
      <c r="T136" s="15">
        <f>SUM($Q$136:$R$136)</f>
        <v>0</v>
      </c>
      <c r="U136" s="15">
        <f>$S$136+$T$136</f>
        <v>9.3999999999999986</v>
      </c>
    </row>
    <row r="137" spans="1:21" x14ac:dyDescent="0.3">
      <c r="A137" s="10" t="s">
        <v>505</v>
      </c>
      <c r="B137" s="11" t="s">
        <v>502</v>
      </c>
      <c r="C137" s="11"/>
      <c r="D137" s="11" t="s">
        <v>232</v>
      </c>
      <c r="E137" s="11">
        <f xml:space="preserve"> IF($U$137,1,0)</f>
        <v>0</v>
      </c>
      <c r="F137" s="11" t="s">
        <v>506</v>
      </c>
      <c r="G137" s="11">
        <v>0</v>
      </c>
      <c r="H137" s="11">
        <v>0</v>
      </c>
      <c r="I137" s="11">
        <v>0</v>
      </c>
      <c r="J137" s="11">
        <v>0</v>
      </c>
      <c r="K137" s="11">
        <v>0</v>
      </c>
      <c r="L137" s="11">
        <v>0</v>
      </c>
      <c r="M137" s="11">
        <v>0</v>
      </c>
      <c r="N137" s="11">
        <v>0</v>
      </c>
      <c r="O137" s="11">
        <v>0</v>
      </c>
      <c r="P137" s="11">
        <v>0</v>
      </c>
      <c r="Q137" s="12">
        <v>0</v>
      </c>
      <c r="R137" s="12">
        <v>0</v>
      </c>
      <c r="S137" s="12">
        <f>$G$137*$G$8+$H$137*$H$8+$I$137*$I$8+$J$137*$J$8+$K$137*$K$8+$L$137*$L$8+$M$137*$M$8+$N$137*$N$8+$O$137*$O$8+$P$137*$P$8</f>
        <v>0</v>
      </c>
      <c r="T137" s="12">
        <f>SUM($Q$137:$R$137)</f>
        <v>0</v>
      </c>
      <c r="U137" s="12">
        <f>$S$137+$T$137</f>
        <v>0</v>
      </c>
    </row>
    <row r="138" spans="1:21" x14ac:dyDescent="0.3">
      <c r="A138" s="13" t="s">
        <v>507</v>
      </c>
      <c r="B138" s="14" t="s">
        <v>508</v>
      </c>
      <c r="C138" s="14" t="s">
        <v>65</v>
      </c>
      <c r="D138" s="14" t="s">
        <v>509</v>
      </c>
      <c r="E138" s="14">
        <f xml:space="preserve"> IF($U$138,1,0)</f>
        <v>0</v>
      </c>
      <c r="F138" s="14" t="s">
        <v>510</v>
      </c>
      <c r="G138" s="14">
        <v>0</v>
      </c>
      <c r="H138" s="14">
        <v>0</v>
      </c>
      <c r="I138" s="14">
        <v>0</v>
      </c>
      <c r="J138" s="14">
        <v>0</v>
      </c>
      <c r="K138" s="14">
        <v>0</v>
      </c>
      <c r="L138" s="14">
        <v>0</v>
      </c>
      <c r="M138" s="14">
        <v>0</v>
      </c>
      <c r="N138" s="14">
        <v>0</v>
      </c>
      <c r="O138" s="14">
        <v>0</v>
      </c>
      <c r="P138" s="14">
        <v>0</v>
      </c>
      <c r="Q138" s="15">
        <v>0</v>
      </c>
      <c r="R138" s="15">
        <v>0</v>
      </c>
      <c r="S138" s="15">
        <f>$G$138*$G$8+$H$138*$H$8+$I$138*$I$8+$J$138*$J$8+$K$138*$K$8+$L$138*$L$8+$M$138*$M$8+$N$138*$N$8+$O$138*$O$8+$P$138*$P$8</f>
        <v>0</v>
      </c>
      <c r="T138" s="15">
        <f>SUM($Q$138:$R$138)</f>
        <v>0</v>
      </c>
      <c r="U138" s="15">
        <f>$S$138+$T$138</f>
        <v>0</v>
      </c>
    </row>
    <row r="139" spans="1:21" x14ac:dyDescent="0.3">
      <c r="A139" s="10" t="s">
        <v>511</v>
      </c>
      <c r="B139" s="11" t="s">
        <v>512</v>
      </c>
      <c r="C139" s="11" t="s">
        <v>513</v>
      </c>
      <c r="D139" s="11" t="s">
        <v>514</v>
      </c>
      <c r="E139" s="11">
        <f xml:space="preserve"> IF($U$139,1,0)</f>
        <v>1</v>
      </c>
      <c r="F139" s="11" t="s">
        <v>515</v>
      </c>
      <c r="G139" s="11">
        <v>0</v>
      </c>
      <c r="H139" s="11">
        <v>4</v>
      </c>
      <c r="I139" s="11">
        <v>0</v>
      </c>
      <c r="J139" s="11">
        <v>0</v>
      </c>
      <c r="K139" s="11">
        <v>0</v>
      </c>
      <c r="L139" s="11">
        <v>0</v>
      </c>
      <c r="M139" s="11">
        <v>1</v>
      </c>
      <c r="N139" s="11">
        <v>0</v>
      </c>
      <c r="O139" s="11">
        <v>0</v>
      </c>
      <c r="P139" s="11">
        <v>0</v>
      </c>
      <c r="Q139" s="12">
        <v>0</v>
      </c>
      <c r="R139" s="12">
        <v>0</v>
      </c>
      <c r="S139" s="12">
        <f>$G$139*$G$8+$H$139*$H$8+$I$139*$I$8+$J$139*$J$8+$K$139*$K$8+$L$139*$L$8+$M$139*$M$8+$N$139*$N$8+$O$139*$O$8+$P$139*$P$8</f>
        <v>11.2</v>
      </c>
      <c r="T139" s="12">
        <f>SUM($Q$139:$R$139)</f>
        <v>0</v>
      </c>
      <c r="U139" s="12">
        <f>$S$139+$T$139</f>
        <v>11.2</v>
      </c>
    </row>
    <row r="140" spans="1:21" x14ac:dyDescent="0.3">
      <c r="A140" s="13" t="s">
        <v>516</v>
      </c>
      <c r="B140" s="14" t="s">
        <v>517</v>
      </c>
      <c r="C140" s="14" t="s">
        <v>65</v>
      </c>
      <c r="D140" s="14" t="s">
        <v>518</v>
      </c>
      <c r="E140" s="14">
        <f xml:space="preserve"> IF($U$140,1,0)</f>
        <v>1</v>
      </c>
      <c r="F140" s="14" t="s">
        <v>519</v>
      </c>
      <c r="G140" s="14">
        <v>2</v>
      </c>
      <c r="H140" s="14">
        <v>0</v>
      </c>
      <c r="I140" s="14">
        <v>0</v>
      </c>
      <c r="J140" s="14">
        <v>0</v>
      </c>
      <c r="K140" s="14">
        <v>0</v>
      </c>
      <c r="L140" s="14">
        <v>0</v>
      </c>
      <c r="M140" s="14">
        <v>0</v>
      </c>
      <c r="N140" s="14">
        <v>0</v>
      </c>
      <c r="O140" s="14">
        <v>0</v>
      </c>
      <c r="P140" s="14">
        <v>0</v>
      </c>
      <c r="Q140" s="15">
        <v>0</v>
      </c>
      <c r="R140" s="15">
        <v>0</v>
      </c>
      <c r="S140" s="15">
        <f>$G$140*$G$8+$H$140*$H$8+$I$140*$I$8+$J$140*$J$8+$K$140*$K$8+$L$140*$L$8+$M$140*$M$8+$N$140*$N$8+$O$140*$O$8+$P$140*$P$8</f>
        <v>1.4</v>
      </c>
      <c r="T140" s="15">
        <f>SUM($Q$140:$R$140)</f>
        <v>0</v>
      </c>
      <c r="U140" s="15">
        <f>$S$140+$T$140</f>
        <v>1.4</v>
      </c>
    </row>
    <row r="141" spans="1:21" x14ac:dyDescent="0.3">
      <c r="A141" s="10" t="s">
        <v>520</v>
      </c>
      <c r="B141" s="11" t="s">
        <v>517</v>
      </c>
      <c r="C141" s="11"/>
      <c r="D141" s="11" t="s">
        <v>521</v>
      </c>
      <c r="E141" s="11">
        <f xml:space="preserve"> IF($U$141,1,0)</f>
        <v>1</v>
      </c>
      <c r="F141" s="11" t="s">
        <v>522</v>
      </c>
      <c r="G141" s="11">
        <v>3</v>
      </c>
      <c r="H141" s="11">
        <v>0</v>
      </c>
      <c r="I141" s="11">
        <v>1</v>
      </c>
      <c r="J141" s="11">
        <v>0</v>
      </c>
      <c r="K141" s="11">
        <v>0</v>
      </c>
      <c r="L141" s="11">
        <v>0</v>
      </c>
      <c r="M141" s="11">
        <v>0</v>
      </c>
      <c r="N141" s="11">
        <v>0</v>
      </c>
      <c r="O141" s="11">
        <v>0</v>
      </c>
      <c r="P141" s="11">
        <v>0</v>
      </c>
      <c r="Q141" s="12">
        <v>0</v>
      </c>
      <c r="R141" s="12">
        <v>0</v>
      </c>
      <c r="S141" s="12">
        <f>$G$141*$G$8+$H$141*$H$8+$I$141*$I$8+$J$141*$J$8+$K$141*$K$8+$L$141*$L$8+$M$141*$M$8+$N$141*$N$8+$O$141*$O$8+$P$141*$P$8</f>
        <v>3.0999999999999996</v>
      </c>
      <c r="T141" s="12">
        <f>SUM($Q$141:$R$141)</f>
        <v>0</v>
      </c>
      <c r="U141" s="12">
        <f>$S$141+$T$141</f>
        <v>3.0999999999999996</v>
      </c>
    </row>
    <row r="142" spans="1:21" x14ac:dyDescent="0.3">
      <c r="A142" s="13" t="s">
        <v>523</v>
      </c>
      <c r="B142" s="14" t="s">
        <v>524</v>
      </c>
      <c r="C142" s="14" t="s">
        <v>65</v>
      </c>
      <c r="D142" s="14" t="s">
        <v>327</v>
      </c>
      <c r="E142" s="14">
        <f xml:space="preserve"> IF($U$142,1,0)</f>
        <v>0</v>
      </c>
      <c r="F142" s="14" t="s">
        <v>525</v>
      </c>
      <c r="G142" s="14">
        <v>0</v>
      </c>
      <c r="H142" s="14">
        <v>0</v>
      </c>
      <c r="I142" s="14">
        <v>0</v>
      </c>
      <c r="J142" s="14">
        <v>0</v>
      </c>
      <c r="K142" s="14">
        <v>0</v>
      </c>
      <c r="L142" s="14">
        <v>0</v>
      </c>
      <c r="M142" s="14">
        <v>0</v>
      </c>
      <c r="N142" s="14">
        <v>0</v>
      </c>
      <c r="O142" s="14">
        <v>0</v>
      </c>
      <c r="P142" s="14">
        <v>0</v>
      </c>
      <c r="Q142" s="15">
        <v>0</v>
      </c>
      <c r="R142" s="15">
        <v>0</v>
      </c>
      <c r="S142" s="15">
        <f>$G$142*$G$8+$H$142*$H$8+$I$142*$I$8+$J$142*$J$8+$K$142*$K$8+$L$142*$L$8+$M$142*$M$8+$N$142*$N$8+$O$142*$O$8+$P$142*$P$8</f>
        <v>0</v>
      </c>
      <c r="T142" s="15">
        <f>SUM($Q$142:$R$142)</f>
        <v>0</v>
      </c>
      <c r="U142" s="15">
        <f>$S$142+$T$142</f>
        <v>0</v>
      </c>
    </row>
    <row r="143" spans="1:21" x14ac:dyDescent="0.3">
      <c r="A143" s="10" t="s">
        <v>526</v>
      </c>
      <c r="B143" s="11" t="s">
        <v>527</v>
      </c>
      <c r="C143" s="11"/>
      <c r="D143" s="11" t="s">
        <v>528</v>
      </c>
      <c r="E143" s="11">
        <f xml:space="preserve"> IF($U$143,1,0)</f>
        <v>0</v>
      </c>
      <c r="F143" s="11" t="s">
        <v>529</v>
      </c>
      <c r="G143" s="11">
        <v>0</v>
      </c>
      <c r="H143" s="11">
        <v>0</v>
      </c>
      <c r="I143" s="11">
        <v>0</v>
      </c>
      <c r="J143" s="11">
        <v>0</v>
      </c>
      <c r="K143" s="11">
        <v>0</v>
      </c>
      <c r="L143" s="11">
        <v>0</v>
      </c>
      <c r="M143" s="11">
        <v>0</v>
      </c>
      <c r="N143" s="11">
        <v>0</v>
      </c>
      <c r="O143" s="11">
        <v>0</v>
      </c>
      <c r="P143" s="11">
        <v>0</v>
      </c>
      <c r="Q143" s="12">
        <v>0</v>
      </c>
      <c r="R143" s="12">
        <v>0</v>
      </c>
      <c r="S143" s="12">
        <f>$G$143*$G$8+$H$143*$H$8+$I$143*$I$8+$J$143*$J$8+$K$143*$K$8+$L$143*$L$8+$M$143*$M$8+$N$143*$N$8+$O$143*$O$8+$P$143*$P$8</f>
        <v>0</v>
      </c>
      <c r="T143" s="12">
        <f>SUM($Q$143:$R$143)</f>
        <v>0</v>
      </c>
      <c r="U143" s="12">
        <f>$S$143+$T$143</f>
        <v>0</v>
      </c>
    </row>
    <row r="144" spans="1:21" x14ac:dyDescent="0.3">
      <c r="A144" s="13" t="s">
        <v>530</v>
      </c>
      <c r="B144" s="14" t="s">
        <v>531</v>
      </c>
      <c r="C144" s="14"/>
      <c r="D144" s="14" t="s">
        <v>532</v>
      </c>
      <c r="E144" s="14">
        <f xml:space="preserve"> IF($U$144,1,0)</f>
        <v>1</v>
      </c>
      <c r="F144" s="14" t="s">
        <v>533</v>
      </c>
      <c r="G144" s="14">
        <v>0</v>
      </c>
      <c r="H144" s="14">
        <v>0</v>
      </c>
      <c r="I144" s="14">
        <v>1</v>
      </c>
      <c r="J144" s="14">
        <v>0</v>
      </c>
      <c r="K144" s="14">
        <v>0</v>
      </c>
      <c r="L144" s="14">
        <v>0</v>
      </c>
      <c r="M144" s="14">
        <v>0</v>
      </c>
      <c r="N144" s="14">
        <v>0</v>
      </c>
      <c r="O144" s="14">
        <v>0</v>
      </c>
      <c r="P144" s="14">
        <v>0</v>
      </c>
      <c r="Q144" s="15">
        <v>0</v>
      </c>
      <c r="R144" s="15">
        <v>0</v>
      </c>
      <c r="S144" s="15">
        <f>$G$144*$G$8+$H$144*$H$8+$I$144*$I$8+$J$144*$J$8+$K$144*$K$8+$L$144*$L$8+$M$144*$M$8+$N$144*$N$8+$O$144*$O$8+$P$144*$P$8</f>
        <v>1</v>
      </c>
      <c r="T144" s="15">
        <f>SUM($Q$144:$R$144)</f>
        <v>0</v>
      </c>
      <c r="U144" s="15">
        <f>$S$144+$T$144</f>
        <v>1</v>
      </c>
    </row>
    <row r="145" spans="1:21" x14ac:dyDescent="0.3">
      <c r="A145" s="10" t="s">
        <v>534</v>
      </c>
      <c r="B145" s="11" t="s">
        <v>535</v>
      </c>
      <c r="C145" s="11"/>
      <c r="D145" s="11" t="s">
        <v>536</v>
      </c>
      <c r="E145" s="11">
        <f xml:space="preserve"> IF($U$145,1,0)</f>
        <v>1</v>
      </c>
      <c r="F145" s="11" t="s">
        <v>537</v>
      </c>
      <c r="G145" s="11">
        <v>3</v>
      </c>
      <c r="H145" s="11">
        <v>0</v>
      </c>
      <c r="I145" s="11">
        <v>0</v>
      </c>
      <c r="J145" s="11">
        <v>0</v>
      </c>
      <c r="K145" s="11">
        <v>0</v>
      </c>
      <c r="L145" s="11">
        <v>0</v>
      </c>
      <c r="M145" s="11">
        <v>0</v>
      </c>
      <c r="N145" s="11">
        <v>0</v>
      </c>
      <c r="O145" s="11">
        <v>0</v>
      </c>
      <c r="P145" s="11">
        <v>0</v>
      </c>
      <c r="Q145" s="12">
        <v>0</v>
      </c>
      <c r="R145" s="12">
        <v>0</v>
      </c>
      <c r="S145" s="12">
        <f>$G$145*$G$8+$H$145*$H$8+$I$145*$I$8+$J$145*$J$8+$K$145*$K$8+$L$145*$L$8+$M$145*$M$8+$N$145*$N$8+$O$145*$O$8+$P$145*$P$8</f>
        <v>2.0999999999999996</v>
      </c>
      <c r="T145" s="12">
        <f>SUM($Q$145:$R$145)</f>
        <v>0</v>
      </c>
      <c r="U145" s="12">
        <f>$S$145+$T$145</f>
        <v>2.0999999999999996</v>
      </c>
    </row>
    <row r="146" spans="1:21" x14ac:dyDescent="0.3">
      <c r="A146" s="13" t="s">
        <v>538</v>
      </c>
      <c r="B146" s="14" t="s">
        <v>535</v>
      </c>
      <c r="C146" s="14"/>
      <c r="D146" s="14" t="s">
        <v>539</v>
      </c>
      <c r="E146" s="14">
        <f xml:space="preserve"> IF($U$146,1,0)</f>
        <v>0</v>
      </c>
      <c r="F146" s="14" t="s">
        <v>540</v>
      </c>
      <c r="G146" s="14">
        <v>0</v>
      </c>
      <c r="H146" s="14">
        <v>0</v>
      </c>
      <c r="I146" s="14">
        <v>0</v>
      </c>
      <c r="J146" s="14">
        <v>0</v>
      </c>
      <c r="K146" s="14">
        <v>0</v>
      </c>
      <c r="L146" s="14">
        <v>0</v>
      </c>
      <c r="M146" s="14">
        <v>0</v>
      </c>
      <c r="N146" s="14">
        <v>0</v>
      </c>
      <c r="O146" s="14">
        <v>0</v>
      </c>
      <c r="P146" s="14">
        <v>0</v>
      </c>
      <c r="Q146" s="15">
        <v>0</v>
      </c>
      <c r="R146" s="15">
        <v>0</v>
      </c>
      <c r="S146" s="15">
        <f>$G$146*$G$8+$H$146*$H$8+$I$146*$I$8+$J$146*$J$8+$K$146*$K$8+$L$146*$L$8+$M$146*$M$8+$N$146*$N$8+$O$146*$O$8+$P$146*$P$8</f>
        <v>0</v>
      </c>
      <c r="T146" s="15">
        <f>SUM($Q$146:$R$146)</f>
        <v>0</v>
      </c>
      <c r="U146" s="15">
        <f>$S$146+$T$146</f>
        <v>0</v>
      </c>
    </row>
    <row r="147" spans="1:21" x14ac:dyDescent="0.3">
      <c r="A147" s="10" t="s">
        <v>541</v>
      </c>
      <c r="B147" s="11" t="s">
        <v>542</v>
      </c>
      <c r="C147" s="11"/>
      <c r="D147" s="11" t="s">
        <v>543</v>
      </c>
      <c r="E147" s="11">
        <f xml:space="preserve"> IF($U$147,1,0)</f>
        <v>0</v>
      </c>
      <c r="F147" s="11" t="s">
        <v>544</v>
      </c>
      <c r="G147" s="11">
        <v>0</v>
      </c>
      <c r="H147" s="11">
        <v>0</v>
      </c>
      <c r="I147" s="11">
        <v>0</v>
      </c>
      <c r="J147" s="11">
        <v>0</v>
      </c>
      <c r="K147" s="11">
        <v>0</v>
      </c>
      <c r="L147" s="11">
        <v>0</v>
      </c>
      <c r="M147" s="11">
        <v>0</v>
      </c>
      <c r="N147" s="11">
        <v>0</v>
      </c>
      <c r="O147" s="11">
        <v>0</v>
      </c>
      <c r="P147" s="11">
        <v>0</v>
      </c>
      <c r="Q147" s="12">
        <v>0</v>
      </c>
      <c r="R147" s="12">
        <v>0</v>
      </c>
      <c r="S147" s="12">
        <f>$G$147*$G$8+$H$147*$H$8+$I$147*$I$8+$J$147*$J$8+$K$147*$K$8+$L$147*$L$8+$M$147*$M$8+$N$147*$N$8+$O$147*$O$8+$P$147*$P$8</f>
        <v>0</v>
      </c>
      <c r="T147" s="12">
        <f>SUM($Q$147:$R$147)</f>
        <v>0</v>
      </c>
      <c r="U147" s="12">
        <f>$S$147+$T$147</f>
        <v>0</v>
      </c>
    </row>
    <row r="148" spans="1:21" x14ac:dyDescent="0.3">
      <c r="A148" s="13" t="s">
        <v>545</v>
      </c>
      <c r="B148" s="14" t="s">
        <v>546</v>
      </c>
      <c r="C148" s="14"/>
      <c r="D148" s="14" t="s">
        <v>547</v>
      </c>
      <c r="E148" s="14">
        <f xml:space="preserve"> IF($U$148,1,0)</f>
        <v>0</v>
      </c>
      <c r="F148" s="14" t="s">
        <v>548</v>
      </c>
      <c r="G148" s="14">
        <v>0</v>
      </c>
      <c r="H148" s="14">
        <v>0</v>
      </c>
      <c r="I148" s="14">
        <v>0</v>
      </c>
      <c r="J148" s="14">
        <v>0</v>
      </c>
      <c r="K148" s="14">
        <v>0</v>
      </c>
      <c r="L148" s="14">
        <v>0</v>
      </c>
      <c r="M148" s="14">
        <v>0</v>
      </c>
      <c r="N148" s="14">
        <v>0</v>
      </c>
      <c r="O148" s="14">
        <v>0</v>
      </c>
      <c r="P148" s="14">
        <v>0</v>
      </c>
      <c r="Q148" s="15">
        <v>0</v>
      </c>
      <c r="R148" s="15">
        <v>0</v>
      </c>
      <c r="S148" s="15">
        <f>$G$148*$G$8+$H$148*$H$8+$I$148*$I$8+$J$148*$J$8+$K$148*$K$8+$L$148*$L$8+$M$148*$M$8+$N$148*$N$8+$O$148*$O$8+$P$148*$P$8</f>
        <v>0</v>
      </c>
      <c r="T148" s="15">
        <f>SUM($Q$148:$R$148)</f>
        <v>0</v>
      </c>
      <c r="U148" s="15">
        <f>$S$148+$T$148</f>
        <v>0</v>
      </c>
    </row>
    <row r="149" spans="1:21" x14ac:dyDescent="0.3">
      <c r="A149" s="10" t="s">
        <v>549</v>
      </c>
      <c r="B149" s="11" t="s">
        <v>550</v>
      </c>
      <c r="C149" s="11" t="s">
        <v>34</v>
      </c>
      <c r="D149" s="11" t="s">
        <v>551</v>
      </c>
      <c r="E149" s="11">
        <f xml:space="preserve"> IF($U$149,1,0)</f>
        <v>1</v>
      </c>
      <c r="F149" s="11" t="s">
        <v>552</v>
      </c>
      <c r="G149" s="11">
        <v>2</v>
      </c>
      <c r="H149" s="11">
        <v>0</v>
      </c>
      <c r="I149" s="11">
        <v>0</v>
      </c>
      <c r="J149" s="11">
        <v>0</v>
      </c>
      <c r="K149" s="11">
        <v>0</v>
      </c>
      <c r="L149" s="11">
        <v>0</v>
      </c>
      <c r="M149" s="11">
        <v>0</v>
      </c>
      <c r="N149" s="11">
        <v>0</v>
      </c>
      <c r="O149" s="11">
        <v>0</v>
      </c>
      <c r="P149" s="11">
        <v>0</v>
      </c>
      <c r="Q149" s="12">
        <v>0</v>
      </c>
      <c r="R149" s="12">
        <v>0</v>
      </c>
      <c r="S149" s="12">
        <f>$G$149*$G$8+$H$149*$H$8+$I$149*$I$8+$J$149*$J$8+$K$149*$K$8+$L$149*$L$8+$M$149*$M$8+$N$149*$N$8+$O$149*$O$8+$P$149*$P$8</f>
        <v>1.4</v>
      </c>
      <c r="T149" s="12">
        <f>SUM($Q$149:$R$149)</f>
        <v>0</v>
      </c>
      <c r="U149" s="12">
        <f>$S$149+$T$149</f>
        <v>1.4</v>
      </c>
    </row>
    <row r="150" spans="1:21" x14ac:dyDescent="0.3">
      <c r="A150" s="13" t="s">
        <v>553</v>
      </c>
      <c r="B150" s="14" t="s">
        <v>554</v>
      </c>
      <c r="C150" s="14"/>
      <c r="D150" s="14" t="s">
        <v>555</v>
      </c>
      <c r="E150" s="14">
        <f xml:space="preserve"> IF($U$150,1,0)</f>
        <v>0</v>
      </c>
      <c r="F150" s="14" t="s">
        <v>556</v>
      </c>
      <c r="G150" s="14">
        <v>0</v>
      </c>
      <c r="H150" s="14">
        <v>0</v>
      </c>
      <c r="I150" s="14">
        <v>0</v>
      </c>
      <c r="J150" s="14">
        <v>0</v>
      </c>
      <c r="K150" s="14">
        <v>0</v>
      </c>
      <c r="L150" s="14">
        <v>0</v>
      </c>
      <c r="M150" s="14">
        <v>0</v>
      </c>
      <c r="N150" s="14">
        <v>0</v>
      </c>
      <c r="O150" s="14">
        <v>0</v>
      </c>
      <c r="P150" s="14">
        <v>0</v>
      </c>
      <c r="Q150" s="15">
        <v>0</v>
      </c>
      <c r="R150" s="15">
        <v>0</v>
      </c>
      <c r="S150" s="15">
        <f>$G$150*$G$8+$H$150*$H$8+$I$150*$I$8+$J$150*$J$8+$K$150*$K$8+$L$150*$L$8+$M$150*$M$8+$N$150*$N$8+$O$150*$O$8+$P$150*$P$8</f>
        <v>0</v>
      </c>
      <c r="T150" s="15">
        <f>SUM($Q$150:$R$150)</f>
        <v>0</v>
      </c>
      <c r="U150" s="15">
        <f>$S$150+$T$150</f>
        <v>0</v>
      </c>
    </row>
    <row r="151" spans="1:21" x14ac:dyDescent="0.3">
      <c r="A151" s="10" t="s">
        <v>557</v>
      </c>
      <c r="B151" s="11" t="s">
        <v>554</v>
      </c>
      <c r="C151" s="11"/>
      <c r="D151" s="11" t="s">
        <v>558</v>
      </c>
      <c r="E151" s="11">
        <f xml:space="preserve"> IF($U$151,1,0)</f>
        <v>0</v>
      </c>
      <c r="F151" s="11" t="s">
        <v>559</v>
      </c>
      <c r="G151" s="11">
        <v>0</v>
      </c>
      <c r="H151" s="11">
        <v>0</v>
      </c>
      <c r="I151" s="11">
        <v>0</v>
      </c>
      <c r="J151" s="11">
        <v>0</v>
      </c>
      <c r="K151" s="11">
        <v>0</v>
      </c>
      <c r="L151" s="11">
        <v>0</v>
      </c>
      <c r="M151" s="11">
        <v>0</v>
      </c>
      <c r="N151" s="11">
        <v>0</v>
      </c>
      <c r="O151" s="11">
        <v>0</v>
      </c>
      <c r="P151" s="11">
        <v>0</v>
      </c>
      <c r="Q151" s="12">
        <v>0</v>
      </c>
      <c r="R151" s="12">
        <v>0</v>
      </c>
      <c r="S151" s="12">
        <f>$G$151*$G$8+$H$151*$H$8+$I$151*$I$8+$J$151*$J$8+$K$151*$K$8+$L$151*$L$8+$M$151*$M$8+$N$151*$N$8+$O$151*$O$8+$P$151*$P$8</f>
        <v>0</v>
      </c>
      <c r="T151" s="12">
        <f>SUM($Q$151:$R$151)</f>
        <v>0</v>
      </c>
      <c r="U151" s="12">
        <f>$S$151+$T$151</f>
        <v>0</v>
      </c>
    </row>
    <row r="152" spans="1:21" x14ac:dyDescent="0.3">
      <c r="A152" s="13" t="s">
        <v>560</v>
      </c>
      <c r="B152" s="14" t="s">
        <v>561</v>
      </c>
      <c r="C152" s="14"/>
      <c r="D152" s="14" t="s">
        <v>562</v>
      </c>
      <c r="E152" s="14">
        <f xml:space="preserve"> IF($U$152,1,0)</f>
        <v>0</v>
      </c>
      <c r="F152" s="14" t="s">
        <v>563</v>
      </c>
      <c r="G152" s="14">
        <v>0</v>
      </c>
      <c r="H152" s="14">
        <v>0</v>
      </c>
      <c r="I152" s="14">
        <v>0</v>
      </c>
      <c r="J152" s="14">
        <v>0</v>
      </c>
      <c r="K152" s="14">
        <v>0</v>
      </c>
      <c r="L152" s="14">
        <v>0</v>
      </c>
      <c r="M152" s="14">
        <v>0</v>
      </c>
      <c r="N152" s="14">
        <v>0</v>
      </c>
      <c r="O152" s="14">
        <v>0</v>
      </c>
      <c r="P152" s="14">
        <v>0</v>
      </c>
      <c r="Q152" s="15">
        <v>0</v>
      </c>
      <c r="R152" s="15">
        <v>0</v>
      </c>
      <c r="S152" s="15">
        <f>$G$152*$G$8+$H$152*$H$8+$I$152*$I$8+$J$152*$J$8+$K$152*$K$8+$L$152*$L$8+$M$152*$M$8+$N$152*$N$8+$O$152*$O$8+$P$152*$P$8</f>
        <v>0</v>
      </c>
      <c r="T152" s="15">
        <f>SUM($Q$152:$R$152)</f>
        <v>0</v>
      </c>
      <c r="U152" s="15">
        <f>$S$152+$T$152</f>
        <v>0</v>
      </c>
    </row>
    <row r="153" spans="1:21" x14ac:dyDescent="0.3">
      <c r="A153" s="10" t="s">
        <v>564</v>
      </c>
      <c r="B153" s="11" t="s">
        <v>565</v>
      </c>
      <c r="C153" s="11"/>
      <c r="D153" s="11" t="s">
        <v>566</v>
      </c>
      <c r="E153" s="11">
        <f xml:space="preserve"> IF($U$153,1,0)</f>
        <v>1</v>
      </c>
      <c r="F153" s="11" t="s">
        <v>567</v>
      </c>
      <c r="G153" s="11">
        <v>2</v>
      </c>
      <c r="H153" s="11">
        <v>0</v>
      </c>
      <c r="I153" s="11">
        <v>0</v>
      </c>
      <c r="J153" s="11">
        <v>1</v>
      </c>
      <c r="K153" s="11">
        <v>0</v>
      </c>
      <c r="L153" s="11">
        <v>0</v>
      </c>
      <c r="M153" s="11">
        <v>0</v>
      </c>
      <c r="N153" s="11">
        <v>0</v>
      </c>
      <c r="O153" s="11">
        <v>0</v>
      </c>
      <c r="P153" s="11">
        <v>0</v>
      </c>
      <c r="Q153" s="12">
        <v>0</v>
      </c>
      <c r="R153" s="12">
        <v>0</v>
      </c>
      <c r="S153" s="12">
        <f>$G$153*$G$8+$H$153*$H$8+$I$153*$I$8+$J$153*$J$8+$K$153*$K$8+$L$153*$L$8+$M$153*$M$8+$N$153*$N$8+$O$153*$O$8+$P$153*$P$8</f>
        <v>6.15</v>
      </c>
      <c r="T153" s="12">
        <f>SUM($Q$153:$R$153)</f>
        <v>0</v>
      </c>
      <c r="U153" s="12">
        <f>$S$153+$T$153</f>
        <v>6.15</v>
      </c>
    </row>
    <row r="154" spans="1:21" x14ac:dyDescent="0.3">
      <c r="A154" s="13" t="s">
        <v>568</v>
      </c>
      <c r="B154" s="14" t="s">
        <v>569</v>
      </c>
      <c r="C154" s="14"/>
      <c r="D154" s="14" t="s">
        <v>570</v>
      </c>
      <c r="E154" s="14">
        <f xml:space="preserve"> IF($U$154,1,0)</f>
        <v>1</v>
      </c>
      <c r="F154" s="14" t="s">
        <v>571</v>
      </c>
      <c r="G154" s="14">
        <v>2</v>
      </c>
      <c r="H154" s="14">
        <v>0</v>
      </c>
      <c r="I154" s="14">
        <v>0</v>
      </c>
      <c r="J154" s="14">
        <v>0</v>
      </c>
      <c r="K154" s="14">
        <v>0</v>
      </c>
      <c r="L154" s="14">
        <v>0</v>
      </c>
      <c r="M154" s="14">
        <v>0</v>
      </c>
      <c r="N154" s="14">
        <v>0</v>
      </c>
      <c r="O154" s="14">
        <v>0</v>
      </c>
      <c r="P154" s="14">
        <v>0</v>
      </c>
      <c r="Q154" s="15">
        <v>0</v>
      </c>
      <c r="R154" s="15">
        <v>0</v>
      </c>
      <c r="S154" s="15">
        <f>$G$154*$G$8+$H$154*$H$8+$I$154*$I$8+$J$154*$J$8+$K$154*$K$8+$L$154*$L$8+$M$154*$M$8+$N$154*$N$8+$O$154*$O$8+$P$154*$P$8</f>
        <v>1.4</v>
      </c>
      <c r="T154" s="15">
        <f>SUM($Q$154:$R$154)</f>
        <v>0</v>
      </c>
      <c r="U154" s="15">
        <f>$S$154+$T$154</f>
        <v>1.4</v>
      </c>
    </row>
    <row r="155" spans="1:21" x14ac:dyDescent="0.3">
      <c r="A155" s="10" t="s">
        <v>572</v>
      </c>
      <c r="B155" s="11" t="s">
        <v>573</v>
      </c>
      <c r="C155" s="11" t="s">
        <v>34</v>
      </c>
      <c r="D155" s="11" t="s">
        <v>574</v>
      </c>
      <c r="E155" s="11">
        <f xml:space="preserve"> IF($U$155,1,0)</f>
        <v>0</v>
      </c>
      <c r="F155" s="11" t="s">
        <v>575</v>
      </c>
      <c r="G155" s="11">
        <v>0</v>
      </c>
      <c r="H155" s="11">
        <v>0</v>
      </c>
      <c r="I155" s="11">
        <v>0</v>
      </c>
      <c r="J155" s="11">
        <v>0</v>
      </c>
      <c r="K155" s="11">
        <v>0</v>
      </c>
      <c r="L155" s="11">
        <v>0</v>
      </c>
      <c r="M155" s="11">
        <v>0</v>
      </c>
      <c r="N155" s="11">
        <v>0</v>
      </c>
      <c r="O155" s="11">
        <v>0</v>
      </c>
      <c r="P155" s="11">
        <v>0</v>
      </c>
      <c r="Q155" s="12">
        <v>0</v>
      </c>
      <c r="R155" s="12">
        <v>0</v>
      </c>
      <c r="S155" s="12">
        <f>$G$155*$G$8+$H$155*$H$8+$I$155*$I$8+$J$155*$J$8+$K$155*$K$8+$L$155*$L$8+$M$155*$M$8+$N$155*$N$8+$O$155*$O$8+$P$155*$P$8</f>
        <v>0</v>
      </c>
      <c r="T155" s="12">
        <f>SUM($Q$155:$R$155)</f>
        <v>0</v>
      </c>
      <c r="U155" s="12">
        <f>$S$155+$T$155</f>
        <v>0</v>
      </c>
    </row>
    <row r="156" spans="1:21" x14ac:dyDescent="0.3">
      <c r="A156" s="13" t="s">
        <v>576</v>
      </c>
      <c r="B156" s="14" t="s">
        <v>577</v>
      </c>
      <c r="C156" s="14"/>
      <c r="D156" s="14" t="s">
        <v>578</v>
      </c>
      <c r="E156" s="14">
        <f xml:space="preserve"> IF($U$156,1,0)</f>
        <v>0</v>
      </c>
      <c r="F156" s="14" t="s">
        <v>579</v>
      </c>
      <c r="G156" s="14">
        <v>0</v>
      </c>
      <c r="H156" s="14">
        <v>0</v>
      </c>
      <c r="I156" s="14">
        <v>0</v>
      </c>
      <c r="J156" s="14">
        <v>0</v>
      </c>
      <c r="K156" s="14">
        <v>0</v>
      </c>
      <c r="L156" s="14">
        <v>0</v>
      </c>
      <c r="M156" s="14">
        <v>0</v>
      </c>
      <c r="N156" s="14">
        <v>0</v>
      </c>
      <c r="O156" s="14">
        <v>0</v>
      </c>
      <c r="P156" s="14">
        <v>0</v>
      </c>
      <c r="Q156" s="15">
        <v>0</v>
      </c>
      <c r="R156" s="15">
        <v>0</v>
      </c>
      <c r="S156" s="15">
        <f>$G$156*$G$8+$H$156*$H$8+$I$156*$I$8+$J$156*$J$8+$K$156*$K$8+$L$156*$L$8+$M$156*$M$8+$N$156*$N$8+$O$156*$O$8+$P$156*$P$8</f>
        <v>0</v>
      </c>
      <c r="T156" s="15">
        <f>SUM($Q$156:$R$156)</f>
        <v>0</v>
      </c>
      <c r="U156" s="15">
        <f>$S$156+$T$156</f>
        <v>0</v>
      </c>
    </row>
    <row r="157" spans="1:21" x14ac:dyDescent="0.3">
      <c r="A157" s="10" t="s">
        <v>580</v>
      </c>
      <c r="B157" s="11" t="s">
        <v>581</v>
      </c>
      <c r="C157" s="11"/>
      <c r="D157" s="11" t="s">
        <v>582</v>
      </c>
      <c r="E157" s="11">
        <f xml:space="preserve"> IF($U$157,1,0)</f>
        <v>1</v>
      </c>
      <c r="F157" s="11" t="s">
        <v>583</v>
      </c>
      <c r="G157" s="11">
        <v>4</v>
      </c>
      <c r="H157" s="11">
        <v>1</v>
      </c>
      <c r="I157" s="11">
        <v>1</v>
      </c>
      <c r="J157" s="11">
        <v>0</v>
      </c>
      <c r="K157" s="11">
        <v>0</v>
      </c>
      <c r="L157" s="11">
        <v>0</v>
      </c>
      <c r="M157" s="11">
        <v>0</v>
      </c>
      <c r="N157" s="11">
        <v>0</v>
      </c>
      <c r="O157" s="11">
        <v>0</v>
      </c>
      <c r="P157" s="11">
        <v>1</v>
      </c>
      <c r="Q157" s="12">
        <v>0</v>
      </c>
      <c r="R157" s="12">
        <v>0</v>
      </c>
      <c r="S157" s="12">
        <f>$G$157*$G$8+$H$157*$H$8+$I$157*$I$8+$J$157*$J$8+$K$157*$K$8+$L$157*$L$8+$M$157*$M$8+$N$157*$N$8+$O$157*$O$8+$P$157*$P$8</f>
        <v>6.6</v>
      </c>
      <c r="T157" s="12">
        <f>SUM($Q$157:$R$157)</f>
        <v>0</v>
      </c>
      <c r="U157" s="12">
        <f>$S$157+$T$157</f>
        <v>6.6</v>
      </c>
    </row>
    <row r="158" spans="1:21" x14ac:dyDescent="0.3">
      <c r="A158" s="13" t="s">
        <v>584</v>
      </c>
      <c r="B158" s="14" t="s">
        <v>585</v>
      </c>
      <c r="C158" s="14"/>
      <c r="D158" s="14" t="s">
        <v>586</v>
      </c>
      <c r="E158" s="14">
        <f xml:space="preserve"> IF($U$158,1,0)</f>
        <v>0</v>
      </c>
      <c r="F158" s="14" t="s">
        <v>587</v>
      </c>
      <c r="G158" s="14">
        <v>0</v>
      </c>
      <c r="H158" s="14">
        <v>0</v>
      </c>
      <c r="I158" s="14">
        <v>0</v>
      </c>
      <c r="J158" s="14">
        <v>0</v>
      </c>
      <c r="K158" s="14">
        <v>0</v>
      </c>
      <c r="L158" s="14">
        <v>0</v>
      </c>
      <c r="M158" s="14">
        <v>0</v>
      </c>
      <c r="N158" s="14">
        <v>0</v>
      </c>
      <c r="O158" s="14">
        <v>0</v>
      </c>
      <c r="P158" s="14">
        <v>0</v>
      </c>
      <c r="Q158" s="15">
        <v>0</v>
      </c>
      <c r="R158" s="15">
        <v>0</v>
      </c>
      <c r="S158" s="15">
        <f>$G$158*$G$8+$H$158*$H$8+$I$158*$I$8+$J$158*$J$8+$K$158*$K$8+$L$158*$L$8+$M$158*$M$8+$N$158*$N$8+$O$158*$O$8+$P$158*$P$8</f>
        <v>0</v>
      </c>
      <c r="T158" s="15">
        <f>SUM($Q$158:$R$158)</f>
        <v>0</v>
      </c>
      <c r="U158" s="15">
        <f>$S$158+$T$158</f>
        <v>0</v>
      </c>
    </row>
    <row r="159" spans="1:21" x14ac:dyDescent="0.3">
      <c r="A159" s="10" t="s">
        <v>588</v>
      </c>
      <c r="B159" s="11" t="s">
        <v>589</v>
      </c>
      <c r="C159" s="11"/>
      <c r="D159" s="11" t="s">
        <v>590</v>
      </c>
      <c r="E159" s="11">
        <f xml:space="preserve"> IF($U$159,1,0)</f>
        <v>0</v>
      </c>
      <c r="F159" s="11" t="s">
        <v>591</v>
      </c>
      <c r="G159" s="11">
        <v>0</v>
      </c>
      <c r="H159" s="11">
        <v>0</v>
      </c>
      <c r="I159" s="11">
        <v>0</v>
      </c>
      <c r="J159" s="11">
        <v>0</v>
      </c>
      <c r="K159" s="11">
        <v>0</v>
      </c>
      <c r="L159" s="11">
        <v>0</v>
      </c>
      <c r="M159" s="11">
        <v>0</v>
      </c>
      <c r="N159" s="11">
        <v>0</v>
      </c>
      <c r="O159" s="11">
        <v>0</v>
      </c>
      <c r="P159" s="11">
        <v>0</v>
      </c>
      <c r="Q159" s="12">
        <v>0</v>
      </c>
      <c r="R159" s="12">
        <v>0</v>
      </c>
      <c r="S159" s="12">
        <f>$G$159*$G$8+$H$159*$H$8+$I$159*$I$8+$J$159*$J$8+$K$159*$K$8+$L$159*$L$8+$M$159*$M$8+$N$159*$N$8+$O$159*$O$8+$P$159*$P$8</f>
        <v>0</v>
      </c>
      <c r="T159" s="12">
        <f>SUM($Q$159:$R$159)</f>
        <v>0</v>
      </c>
      <c r="U159" s="12">
        <f>$S$159+$T$159</f>
        <v>0</v>
      </c>
    </row>
    <row r="160" spans="1:21" x14ac:dyDescent="0.3">
      <c r="A160" s="13" t="s">
        <v>592</v>
      </c>
      <c r="B160" s="14" t="s">
        <v>593</v>
      </c>
      <c r="C160" s="14"/>
      <c r="D160" s="14" t="s">
        <v>594</v>
      </c>
      <c r="E160" s="14">
        <f xml:space="preserve"> IF($U$160,1,0)</f>
        <v>0</v>
      </c>
      <c r="F160" s="14" t="s">
        <v>595</v>
      </c>
      <c r="G160" s="14">
        <v>0</v>
      </c>
      <c r="H160" s="14">
        <v>0</v>
      </c>
      <c r="I160" s="14">
        <v>0</v>
      </c>
      <c r="J160" s="14">
        <v>0</v>
      </c>
      <c r="K160" s="14">
        <v>0</v>
      </c>
      <c r="L160" s="14">
        <v>0</v>
      </c>
      <c r="M160" s="14">
        <v>0</v>
      </c>
      <c r="N160" s="14">
        <v>0</v>
      </c>
      <c r="O160" s="14">
        <v>0</v>
      </c>
      <c r="P160" s="14">
        <v>0</v>
      </c>
      <c r="Q160" s="15">
        <v>0</v>
      </c>
      <c r="R160" s="15">
        <v>0</v>
      </c>
      <c r="S160" s="15">
        <f>$G$160*$G$8+$H$160*$H$8+$I$160*$I$8+$J$160*$J$8+$K$160*$K$8+$L$160*$L$8+$M$160*$M$8+$N$160*$N$8+$O$160*$O$8+$P$160*$P$8</f>
        <v>0</v>
      </c>
      <c r="T160" s="15">
        <f>SUM($Q$160:$R$160)</f>
        <v>0</v>
      </c>
      <c r="U160" s="15">
        <f>$S$160+$T$160</f>
        <v>0</v>
      </c>
    </row>
    <row r="161" spans="1:21" x14ac:dyDescent="0.3">
      <c r="A161" s="10" t="s">
        <v>596</v>
      </c>
      <c r="B161" s="11" t="s">
        <v>597</v>
      </c>
      <c r="C161" s="11"/>
      <c r="D161" s="11" t="s">
        <v>598</v>
      </c>
      <c r="E161" s="11">
        <f xml:space="preserve"> IF($U$161,1,0)</f>
        <v>0</v>
      </c>
      <c r="F161" s="11" t="s">
        <v>599</v>
      </c>
      <c r="G161" s="11">
        <v>0</v>
      </c>
      <c r="H161" s="11">
        <v>0</v>
      </c>
      <c r="I161" s="11">
        <v>0</v>
      </c>
      <c r="J161" s="11">
        <v>0</v>
      </c>
      <c r="K161" s="11">
        <v>0</v>
      </c>
      <c r="L161" s="11">
        <v>0</v>
      </c>
      <c r="M161" s="11">
        <v>0</v>
      </c>
      <c r="N161" s="11">
        <v>0</v>
      </c>
      <c r="O161" s="11">
        <v>0</v>
      </c>
      <c r="P161" s="11">
        <v>0</v>
      </c>
      <c r="Q161" s="12">
        <v>0</v>
      </c>
      <c r="R161" s="12">
        <v>0</v>
      </c>
      <c r="S161" s="12">
        <f>$G$161*$G$8+$H$161*$H$8+$I$161*$I$8+$J$161*$J$8+$K$161*$K$8+$L$161*$L$8+$M$161*$M$8+$N$161*$N$8+$O$161*$O$8+$P$161*$P$8</f>
        <v>0</v>
      </c>
      <c r="T161" s="12">
        <f>SUM($Q$161:$R$161)</f>
        <v>0</v>
      </c>
      <c r="U161" s="12">
        <f>$S$161+$T$161</f>
        <v>0</v>
      </c>
    </row>
    <row r="162" spans="1:21" x14ac:dyDescent="0.3">
      <c r="A162" s="13" t="s">
        <v>600</v>
      </c>
      <c r="B162" s="14" t="s">
        <v>601</v>
      </c>
      <c r="C162" s="14"/>
      <c r="D162" s="14" t="s">
        <v>70</v>
      </c>
      <c r="E162" s="14">
        <f xml:space="preserve"> IF($U$162,1,0)</f>
        <v>0</v>
      </c>
      <c r="F162" s="14" t="s">
        <v>602</v>
      </c>
      <c r="G162" s="14">
        <v>0</v>
      </c>
      <c r="H162" s="14">
        <v>0</v>
      </c>
      <c r="I162" s="14">
        <v>0</v>
      </c>
      <c r="J162" s="14">
        <v>0</v>
      </c>
      <c r="K162" s="14">
        <v>0</v>
      </c>
      <c r="L162" s="14">
        <v>0</v>
      </c>
      <c r="M162" s="14">
        <v>0</v>
      </c>
      <c r="N162" s="14">
        <v>0</v>
      </c>
      <c r="O162" s="14">
        <v>0</v>
      </c>
      <c r="P162" s="14">
        <v>0</v>
      </c>
      <c r="Q162" s="15">
        <v>0</v>
      </c>
      <c r="R162" s="15">
        <v>0</v>
      </c>
      <c r="S162" s="15">
        <f>$G$162*$G$8+$H$162*$H$8+$I$162*$I$8+$J$162*$J$8+$K$162*$K$8+$L$162*$L$8+$M$162*$M$8+$N$162*$N$8+$O$162*$O$8+$P$162*$P$8</f>
        <v>0</v>
      </c>
      <c r="T162" s="15">
        <f>SUM($Q$162:$R$162)</f>
        <v>0</v>
      </c>
      <c r="U162" s="15">
        <f>$S$162+$T$162</f>
        <v>0</v>
      </c>
    </row>
    <row r="163" spans="1:21" x14ac:dyDescent="0.3">
      <c r="A163" s="10" t="s">
        <v>603</v>
      </c>
      <c r="B163" s="11" t="s">
        <v>604</v>
      </c>
      <c r="C163" s="11"/>
      <c r="D163" s="11" t="s">
        <v>605</v>
      </c>
      <c r="E163" s="11">
        <f xml:space="preserve"> IF($U$163,1,0)</f>
        <v>0</v>
      </c>
      <c r="F163" s="11" t="s">
        <v>606</v>
      </c>
      <c r="G163" s="11">
        <v>0</v>
      </c>
      <c r="H163" s="11">
        <v>0</v>
      </c>
      <c r="I163" s="11">
        <v>0</v>
      </c>
      <c r="J163" s="11">
        <v>0</v>
      </c>
      <c r="K163" s="11">
        <v>0</v>
      </c>
      <c r="L163" s="11">
        <v>0</v>
      </c>
      <c r="M163" s="11">
        <v>0</v>
      </c>
      <c r="N163" s="11">
        <v>0</v>
      </c>
      <c r="O163" s="11">
        <v>0</v>
      </c>
      <c r="P163" s="11">
        <v>0</v>
      </c>
      <c r="Q163" s="12">
        <v>0</v>
      </c>
      <c r="R163" s="12">
        <v>0</v>
      </c>
      <c r="S163" s="12">
        <f>$G$163*$G$8+$H$163*$H$8+$I$163*$I$8+$J$163*$J$8+$K$163*$K$8+$L$163*$L$8+$M$163*$M$8+$N$163*$N$8+$O$163*$O$8+$P$163*$P$8</f>
        <v>0</v>
      </c>
      <c r="T163" s="12">
        <f>SUM($Q$163:$R$163)</f>
        <v>0</v>
      </c>
      <c r="U163" s="12">
        <f>$S$163+$T$163</f>
        <v>0</v>
      </c>
    </row>
    <row r="164" spans="1:21" x14ac:dyDescent="0.3">
      <c r="A164" s="13" t="s">
        <v>607</v>
      </c>
      <c r="B164" s="14" t="s">
        <v>608</v>
      </c>
      <c r="C164" s="14"/>
      <c r="D164" s="14" t="s">
        <v>609</v>
      </c>
      <c r="E164" s="14">
        <f xml:space="preserve"> IF($U$164,1,0)</f>
        <v>0</v>
      </c>
      <c r="F164" s="14" t="s">
        <v>610</v>
      </c>
      <c r="G164" s="14">
        <v>0</v>
      </c>
      <c r="H164" s="14">
        <v>0</v>
      </c>
      <c r="I164" s="14">
        <v>0</v>
      </c>
      <c r="J164" s="14">
        <v>0</v>
      </c>
      <c r="K164" s="14">
        <v>0</v>
      </c>
      <c r="L164" s="14">
        <v>0</v>
      </c>
      <c r="M164" s="14">
        <v>0</v>
      </c>
      <c r="N164" s="14">
        <v>0</v>
      </c>
      <c r="O164" s="14">
        <v>0</v>
      </c>
      <c r="P164" s="14">
        <v>0</v>
      </c>
      <c r="Q164" s="15">
        <v>0</v>
      </c>
      <c r="R164" s="15">
        <v>0</v>
      </c>
      <c r="S164" s="15">
        <f>$G$164*$G$8+$H$164*$H$8+$I$164*$I$8+$J$164*$J$8+$K$164*$K$8+$L$164*$L$8+$M$164*$M$8+$N$164*$N$8+$O$164*$O$8+$P$164*$P$8</f>
        <v>0</v>
      </c>
      <c r="T164" s="15">
        <f>SUM($Q$164:$R$164)</f>
        <v>0</v>
      </c>
      <c r="U164" s="15">
        <f>$S$164+$T$164</f>
        <v>0</v>
      </c>
    </row>
    <row r="165" spans="1:21" x14ac:dyDescent="0.3">
      <c r="A165" s="10" t="s">
        <v>611</v>
      </c>
      <c r="B165" s="11" t="s">
        <v>612</v>
      </c>
      <c r="C165" s="11"/>
      <c r="D165" s="11" t="s">
        <v>613</v>
      </c>
      <c r="E165" s="11">
        <f xml:space="preserve"> IF($U$165,1,0)</f>
        <v>0</v>
      </c>
      <c r="F165" s="11" t="s">
        <v>614</v>
      </c>
      <c r="G165" s="11">
        <v>0</v>
      </c>
      <c r="H165" s="11">
        <v>0</v>
      </c>
      <c r="I165" s="11">
        <v>0</v>
      </c>
      <c r="J165" s="11">
        <v>0</v>
      </c>
      <c r="K165" s="11">
        <v>0</v>
      </c>
      <c r="L165" s="11">
        <v>0</v>
      </c>
      <c r="M165" s="11">
        <v>0</v>
      </c>
      <c r="N165" s="11">
        <v>0</v>
      </c>
      <c r="O165" s="11">
        <v>0</v>
      </c>
      <c r="P165" s="11">
        <v>0</v>
      </c>
      <c r="Q165" s="12">
        <v>0</v>
      </c>
      <c r="R165" s="12">
        <v>0</v>
      </c>
      <c r="S165" s="12">
        <f>$G$165*$G$8+$H$165*$H$8+$I$165*$I$8+$J$165*$J$8+$K$165*$K$8+$L$165*$L$8+$M$165*$M$8+$N$165*$N$8+$O$165*$O$8+$P$165*$P$8</f>
        <v>0</v>
      </c>
      <c r="T165" s="12">
        <f>SUM($Q$165:$R$165)</f>
        <v>0</v>
      </c>
      <c r="U165" s="12">
        <f>$S$165+$T$165</f>
        <v>0</v>
      </c>
    </row>
    <row r="166" spans="1:21" x14ac:dyDescent="0.3">
      <c r="A166" s="13" t="s">
        <v>615</v>
      </c>
      <c r="B166" s="14" t="s">
        <v>616</v>
      </c>
      <c r="C166" s="14"/>
      <c r="D166" s="14" t="s">
        <v>617</v>
      </c>
      <c r="E166" s="14">
        <f xml:space="preserve"> IF($U$166,1,0)</f>
        <v>0</v>
      </c>
      <c r="F166" s="14" t="s">
        <v>618</v>
      </c>
      <c r="G166" s="14">
        <v>0</v>
      </c>
      <c r="H166" s="14">
        <v>0</v>
      </c>
      <c r="I166" s="14">
        <v>0</v>
      </c>
      <c r="J166" s="14">
        <v>0</v>
      </c>
      <c r="K166" s="14">
        <v>0</v>
      </c>
      <c r="L166" s="14">
        <v>0</v>
      </c>
      <c r="M166" s="14">
        <v>0</v>
      </c>
      <c r="N166" s="14">
        <v>0</v>
      </c>
      <c r="O166" s="14">
        <v>0</v>
      </c>
      <c r="P166" s="14">
        <v>0</v>
      </c>
      <c r="Q166" s="15">
        <v>0</v>
      </c>
      <c r="R166" s="15">
        <v>0</v>
      </c>
      <c r="S166" s="15">
        <f>$G$166*$G$8+$H$166*$H$8+$I$166*$I$8+$J$166*$J$8+$K$166*$K$8+$L$166*$L$8+$M$166*$M$8+$N$166*$N$8+$O$166*$O$8+$P$166*$P$8</f>
        <v>0</v>
      </c>
      <c r="T166" s="15">
        <f>SUM($Q$166:$R$166)</f>
        <v>0</v>
      </c>
      <c r="U166" s="15">
        <f>$S$166+$T$166</f>
        <v>0</v>
      </c>
    </row>
    <row r="167" spans="1:21" x14ac:dyDescent="0.3">
      <c r="A167" s="10" t="s">
        <v>619</v>
      </c>
      <c r="B167" s="11" t="s">
        <v>620</v>
      </c>
      <c r="C167" s="11" t="s">
        <v>34</v>
      </c>
      <c r="D167" s="11" t="s">
        <v>621</v>
      </c>
      <c r="E167" s="11">
        <f xml:space="preserve"> IF($U$167,1,0)</f>
        <v>0</v>
      </c>
      <c r="F167" s="11" t="s">
        <v>622</v>
      </c>
      <c r="G167" s="11">
        <v>0</v>
      </c>
      <c r="H167" s="11">
        <v>0</v>
      </c>
      <c r="I167" s="11">
        <v>0</v>
      </c>
      <c r="J167" s="11">
        <v>0</v>
      </c>
      <c r="K167" s="11">
        <v>0</v>
      </c>
      <c r="L167" s="11">
        <v>0</v>
      </c>
      <c r="M167" s="11">
        <v>0</v>
      </c>
      <c r="N167" s="11">
        <v>0</v>
      </c>
      <c r="O167" s="11">
        <v>0</v>
      </c>
      <c r="P167" s="11">
        <v>0</v>
      </c>
      <c r="Q167" s="12">
        <v>0</v>
      </c>
      <c r="R167" s="12">
        <v>0</v>
      </c>
      <c r="S167" s="12">
        <f>$G$167*$G$8+$H$167*$H$8+$I$167*$I$8+$J$167*$J$8+$K$167*$K$8+$L$167*$L$8+$M$167*$M$8+$N$167*$N$8+$O$167*$O$8+$P$167*$P$8</f>
        <v>0</v>
      </c>
      <c r="T167" s="12">
        <f>SUM($Q$167:$R$167)</f>
        <v>0</v>
      </c>
      <c r="U167" s="12">
        <f>$S$167+$T$167</f>
        <v>0</v>
      </c>
    </row>
    <row r="168" spans="1:21" x14ac:dyDescent="0.3">
      <c r="A168" s="13" t="s">
        <v>623</v>
      </c>
      <c r="B168" s="14" t="s">
        <v>624</v>
      </c>
      <c r="C168" s="14"/>
      <c r="D168" s="14" t="s">
        <v>625</v>
      </c>
      <c r="E168" s="14">
        <f xml:space="preserve"> IF($U$168,1,0)</f>
        <v>0</v>
      </c>
      <c r="F168" s="14" t="s">
        <v>626</v>
      </c>
      <c r="G168" s="14">
        <v>0</v>
      </c>
      <c r="H168" s="14">
        <v>0</v>
      </c>
      <c r="I168" s="14">
        <v>0</v>
      </c>
      <c r="J168" s="14">
        <v>0</v>
      </c>
      <c r="K168" s="14">
        <v>0</v>
      </c>
      <c r="L168" s="14">
        <v>0</v>
      </c>
      <c r="M168" s="14">
        <v>0</v>
      </c>
      <c r="N168" s="14">
        <v>0</v>
      </c>
      <c r="O168" s="14">
        <v>0</v>
      </c>
      <c r="P168" s="14">
        <v>0</v>
      </c>
      <c r="Q168" s="15">
        <v>0</v>
      </c>
      <c r="R168" s="15">
        <v>0</v>
      </c>
      <c r="S168" s="15">
        <f>$G$168*$G$8+$H$168*$H$8+$I$168*$I$8+$J$168*$J$8+$K$168*$K$8+$L$168*$L$8+$M$168*$M$8+$N$168*$N$8+$O$168*$O$8+$P$168*$P$8</f>
        <v>0</v>
      </c>
      <c r="T168" s="15">
        <f>SUM($Q$168:$R$168)</f>
        <v>0</v>
      </c>
      <c r="U168" s="15">
        <f>$S$168+$T$168</f>
        <v>0</v>
      </c>
    </row>
    <row r="169" spans="1:21" x14ac:dyDescent="0.3">
      <c r="A169" s="10" t="s">
        <v>627</v>
      </c>
      <c r="B169" s="11" t="s">
        <v>624</v>
      </c>
      <c r="C169" s="11"/>
      <c r="D169" s="11" t="s">
        <v>628</v>
      </c>
      <c r="E169" s="11">
        <f xml:space="preserve"> IF($U$169,1,0)</f>
        <v>0</v>
      </c>
      <c r="F169" s="11" t="s">
        <v>629</v>
      </c>
      <c r="G169" s="11">
        <v>0</v>
      </c>
      <c r="H169" s="11">
        <v>0</v>
      </c>
      <c r="I169" s="11">
        <v>0</v>
      </c>
      <c r="J169" s="11">
        <v>0</v>
      </c>
      <c r="K169" s="11">
        <v>0</v>
      </c>
      <c r="L169" s="11">
        <v>0</v>
      </c>
      <c r="M169" s="11">
        <v>0</v>
      </c>
      <c r="N169" s="11">
        <v>0</v>
      </c>
      <c r="O169" s="11">
        <v>0</v>
      </c>
      <c r="P169" s="11">
        <v>0</v>
      </c>
      <c r="Q169" s="12">
        <v>0</v>
      </c>
      <c r="R169" s="12">
        <v>0</v>
      </c>
      <c r="S169" s="12">
        <f>$G$169*$G$8+$H$169*$H$8+$I$169*$I$8+$J$169*$J$8+$K$169*$K$8+$L$169*$L$8+$M$169*$M$8+$N$169*$N$8+$O$169*$O$8+$P$169*$P$8</f>
        <v>0</v>
      </c>
      <c r="T169" s="12">
        <f>SUM($Q$169:$R$169)</f>
        <v>0</v>
      </c>
      <c r="U169" s="12">
        <f>$S$169+$T$169</f>
        <v>0</v>
      </c>
    </row>
    <row r="170" spans="1:21" x14ac:dyDescent="0.3">
      <c r="A170" s="13" t="s">
        <v>630</v>
      </c>
      <c r="B170" s="14" t="s">
        <v>631</v>
      </c>
      <c r="C170" s="14"/>
      <c r="D170" s="14" t="s">
        <v>632</v>
      </c>
      <c r="E170" s="14">
        <f xml:space="preserve"> IF($U$170,1,0)</f>
        <v>1</v>
      </c>
      <c r="F170" s="14" t="s">
        <v>633</v>
      </c>
      <c r="G170" s="14">
        <v>4</v>
      </c>
      <c r="H170" s="14">
        <v>1</v>
      </c>
      <c r="I170" s="14">
        <v>2</v>
      </c>
      <c r="J170" s="14">
        <v>0</v>
      </c>
      <c r="K170" s="14">
        <v>0</v>
      </c>
      <c r="L170" s="14">
        <v>0</v>
      </c>
      <c r="M170" s="14">
        <v>0</v>
      </c>
      <c r="N170" s="14">
        <v>0</v>
      </c>
      <c r="O170" s="14">
        <v>0</v>
      </c>
      <c r="P170" s="14">
        <v>0</v>
      </c>
      <c r="Q170" s="15">
        <v>0</v>
      </c>
      <c r="R170" s="15">
        <v>0</v>
      </c>
      <c r="S170" s="15">
        <f>$G$170*$G$8+$H$170*$H$8+$I$170*$I$8+$J$170*$J$8+$K$170*$K$8+$L$170*$L$8+$M$170*$M$8+$N$170*$N$8+$O$170*$O$8+$P$170*$P$8</f>
        <v>6.6</v>
      </c>
      <c r="T170" s="15">
        <f>SUM($Q$170:$R$170)</f>
        <v>0</v>
      </c>
      <c r="U170" s="15">
        <f>$S$170+$T$170</f>
        <v>6.6</v>
      </c>
    </row>
    <row r="171" spans="1:21" x14ac:dyDescent="0.3">
      <c r="A171" s="10" t="s">
        <v>634</v>
      </c>
      <c r="B171" s="11" t="s">
        <v>635</v>
      </c>
      <c r="C171" s="11"/>
      <c r="D171" s="11" t="s">
        <v>636</v>
      </c>
      <c r="E171" s="11">
        <f xml:space="preserve"> IF($U$171,1,0)</f>
        <v>0</v>
      </c>
      <c r="F171" s="11" t="s">
        <v>637</v>
      </c>
      <c r="G171" s="11">
        <v>0</v>
      </c>
      <c r="H171" s="11">
        <v>0</v>
      </c>
      <c r="I171" s="11">
        <v>0</v>
      </c>
      <c r="J171" s="11">
        <v>0</v>
      </c>
      <c r="K171" s="11">
        <v>0</v>
      </c>
      <c r="L171" s="11">
        <v>0</v>
      </c>
      <c r="M171" s="11">
        <v>0</v>
      </c>
      <c r="N171" s="11">
        <v>0</v>
      </c>
      <c r="O171" s="11">
        <v>0</v>
      </c>
      <c r="P171" s="11">
        <v>0</v>
      </c>
      <c r="Q171" s="12">
        <v>0</v>
      </c>
      <c r="R171" s="12">
        <v>0</v>
      </c>
      <c r="S171" s="12">
        <f>$G$171*$G$8+$H$171*$H$8+$I$171*$I$8+$J$171*$J$8+$K$171*$K$8+$L$171*$L$8+$M$171*$M$8+$N$171*$N$8+$O$171*$O$8+$P$171*$P$8</f>
        <v>0</v>
      </c>
      <c r="T171" s="12">
        <f>SUM($Q$171:$R$171)</f>
        <v>0</v>
      </c>
      <c r="U171" s="12">
        <f>$S$171+$T$171</f>
        <v>0</v>
      </c>
    </row>
    <row r="172" spans="1:21" x14ac:dyDescent="0.3">
      <c r="A172" s="13" t="s">
        <v>638</v>
      </c>
      <c r="B172" s="14" t="s">
        <v>639</v>
      </c>
      <c r="C172" s="14"/>
      <c r="D172" s="14" t="s">
        <v>274</v>
      </c>
      <c r="E172" s="14">
        <f xml:space="preserve"> IF($U$172,1,0)</f>
        <v>0</v>
      </c>
      <c r="F172" s="14" t="s">
        <v>640</v>
      </c>
      <c r="G172" s="14">
        <v>0</v>
      </c>
      <c r="H172" s="14">
        <v>0</v>
      </c>
      <c r="I172" s="14">
        <v>0</v>
      </c>
      <c r="J172" s="14">
        <v>0</v>
      </c>
      <c r="K172" s="14">
        <v>0</v>
      </c>
      <c r="L172" s="14">
        <v>0</v>
      </c>
      <c r="M172" s="14">
        <v>0</v>
      </c>
      <c r="N172" s="14">
        <v>0</v>
      </c>
      <c r="O172" s="14">
        <v>0</v>
      </c>
      <c r="P172" s="14">
        <v>0</v>
      </c>
      <c r="Q172" s="15">
        <v>0</v>
      </c>
      <c r="R172" s="15">
        <v>0</v>
      </c>
      <c r="S172" s="15">
        <f>$G$172*$G$8+$H$172*$H$8+$I$172*$I$8+$J$172*$J$8+$K$172*$K$8+$L$172*$L$8+$M$172*$M$8+$N$172*$N$8+$O$172*$O$8+$P$172*$P$8</f>
        <v>0</v>
      </c>
      <c r="T172" s="15">
        <f>SUM($Q$172:$R$172)</f>
        <v>0</v>
      </c>
      <c r="U172" s="15">
        <f>$S$172+$T$172</f>
        <v>0</v>
      </c>
    </row>
    <row r="173" spans="1:21" x14ac:dyDescent="0.3">
      <c r="A173" s="10" t="s">
        <v>641</v>
      </c>
      <c r="B173" s="11" t="s">
        <v>642</v>
      </c>
      <c r="C173" s="11"/>
      <c r="D173" s="11" t="s">
        <v>643</v>
      </c>
      <c r="E173" s="11">
        <f xml:space="preserve"> IF($U$173,1,0)</f>
        <v>0</v>
      </c>
      <c r="F173" s="11" t="s">
        <v>644</v>
      </c>
      <c r="G173" s="11">
        <v>0</v>
      </c>
      <c r="H173" s="11">
        <v>0</v>
      </c>
      <c r="I173" s="11">
        <v>0</v>
      </c>
      <c r="J173" s="11">
        <v>0</v>
      </c>
      <c r="K173" s="11">
        <v>0</v>
      </c>
      <c r="L173" s="11">
        <v>0</v>
      </c>
      <c r="M173" s="11">
        <v>0</v>
      </c>
      <c r="N173" s="11">
        <v>0</v>
      </c>
      <c r="O173" s="11">
        <v>0</v>
      </c>
      <c r="P173" s="11">
        <v>0</v>
      </c>
      <c r="Q173" s="12">
        <v>0</v>
      </c>
      <c r="R173" s="12">
        <v>0</v>
      </c>
      <c r="S173" s="12">
        <f>$G$173*$G$8+$H$173*$H$8+$I$173*$I$8+$J$173*$J$8+$K$173*$K$8+$L$173*$L$8+$M$173*$M$8+$N$173*$N$8+$O$173*$O$8+$P$173*$P$8</f>
        <v>0</v>
      </c>
      <c r="T173" s="12">
        <f>SUM($Q$173:$R$173)</f>
        <v>0</v>
      </c>
      <c r="U173" s="12">
        <f>$S$173+$T$173</f>
        <v>0</v>
      </c>
    </row>
    <row r="174" spans="1:21" x14ac:dyDescent="0.3">
      <c r="A174" s="13" t="s">
        <v>645</v>
      </c>
      <c r="B174" s="14" t="s">
        <v>646</v>
      </c>
      <c r="C174" s="14"/>
      <c r="D174" s="14" t="s">
        <v>647</v>
      </c>
      <c r="E174" s="14">
        <f xml:space="preserve"> IF($U$174,1,0)</f>
        <v>0</v>
      </c>
      <c r="F174" s="14" t="s">
        <v>648</v>
      </c>
      <c r="G174" s="14">
        <v>0</v>
      </c>
      <c r="H174" s="14">
        <v>0</v>
      </c>
      <c r="I174" s="14">
        <v>0</v>
      </c>
      <c r="J174" s="14">
        <v>0</v>
      </c>
      <c r="K174" s="14">
        <v>0</v>
      </c>
      <c r="L174" s="14">
        <v>0</v>
      </c>
      <c r="M174" s="14">
        <v>0</v>
      </c>
      <c r="N174" s="14">
        <v>0</v>
      </c>
      <c r="O174" s="14">
        <v>0</v>
      </c>
      <c r="P174" s="14">
        <v>0</v>
      </c>
      <c r="Q174" s="15">
        <v>0</v>
      </c>
      <c r="R174" s="15">
        <v>0</v>
      </c>
      <c r="S174" s="15">
        <f>$G$174*$G$8+$H$174*$H$8+$I$174*$I$8+$J$174*$J$8+$K$174*$K$8+$L$174*$L$8+$M$174*$M$8+$N$174*$N$8+$O$174*$O$8+$P$174*$P$8</f>
        <v>0</v>
      </c>
      <c r="T174" s="15">
        <f>SUM($Q$174:$R$174)</f>
        <v>0</v>
      </c>
      <c r="U174" s="15">
        <f>$S$174+$T$174</f>
        <v>0</v>
      </c>
    </row>
    <row r="175" spans="1:21" x14ac:dyDescent="0.3">
      <c r="A175" s="10" t="s">
        <v>649</v>
      </c>
      <c r="B175" s="11" t="s">
        <v>650</v>
      </c>
      <c r="C175" s="11"/>
      <c r="D175" s="11" t="s">
        <v>651</v>
      </c>
      <c r="E175" s="11">
        <f xml:space="preserve"> IF($U$175,1,0)</f>
        <v>0</v>
      </c>
      <c r="F175" s="11" t="s">
        <v>652</v>
      </c>
      <c r="G175" s="11">
        <v>0</v>
      </c>
      <c r="H175" s="11">
        <v>0</v>
      </c>
      <c r="I175" s="11">
        <v>0</v>
      </c>
      <c r="J175" s="11">
        <v>0</v>
      </c>
      <c r="K175" s="11">
        <v>0</v>
      </c>
      <c r="L175" s="11">
        <v>0</v>
      </c>
      <c r="M175" s="11">
        <v>0</v>
      </c>
      <c r="N175" s="11">
        <v>0</v>
      </c>
      <c r="O175" s="11">
        <v>0</v>
      </c>
      <c r="P175" s="11">
        <v>0</v>
      </c>
      <c r="Q175" s="12">
        <v>0</v>
      </c>
      <c r="R175" s="12">
        <v>0</v>
      </c>
      <c r="S175" s="12">
        <f>$G$175*$G$8+$H$175*$H$8+$I$175*$I$8+$J$175*$J$8+$K$175*$K$8+$L$175*$L$8+$M$175*$M$8+$N$175*$N$8+$O$175*$O$8+$P$175*$P$8</f>
        <v>0</v>
      </c>
      <c r="T175" s="12">
        <f>SUM($Q$175:$R$175)</f>
        <v>0</v>
      </c>
      <c r="U175" s="12">
        <f>$S$175+$T$175</f>
        <v>0</v>
      </c>
    </row>
    <row r="176" spans="1:21" x14ac:dyDescent="0.3">
      <c r="A176" s="13" t="s">
        <v>653</v>
      </c>
      <c r="B176" s="14" t="s">
        <v>654</v>
      </c>
      <c r="C176" s="14"/>
      <c r="D176" s="14" t="s">
        <v>655</v>
      </c>
      <c r="E176" s="14">
        <f xml:space="preserve"> IF($U$176,1,0)</f>
        <v>0</v>
      </c>
      <c r="F176" s="14" t="s">
        <v>656</v>
      </c>
      <c r="G176" s="14">
        <v>0</v>
      </c>
      <c r="H176" s="14">
        <v>0</v>
      </c>
      <c r="I176" s="14">
        <v>0</v>
      </c>
      <c r="J176" s="14">
        <v>0</v>
      </c>
      <c r="K176" s="14">
        <v>0</v>
      </c>
      <c r="L176" s="14">
        <v>0</v>
      </c>
      <c r="M176" s="14">
        <v>0</v>
      </c>
      <c r="N176" s="14">
        <v>0</v>
      </c>
      <c r="O176" s="14">
        <v>0</v>
      </c>
      <c r="P176" s="14">
        <v>0</v>
      </c>
      <c r="Q176" s="15">
        <v>0</v>
      </c>
      <c r="R176" s="15">
        <v>0</v>
      </c>
      <c r="S176" s="15">
        <f>$G$176*$G$8+$H$176*$H$8+$I$176*$I$8+$J$176*$J$8+$K$176*$K$8+$L$176*$L$8+$M$176*$M$8+$N$176*$N$8+$O$176*$O$8+$P$176*$P$8</f>
        <v>0</v>
      </c>
      <c r="T176" s="15">
        <f>SUM($Q$176:$R$176)</f>
        <v>0</v>
      </c>
      <c r="U176" s="15">
        <f>$S$176+$T$176</f>
        <v>0</v>
      </c>
    </row>
    <row r="177" spans="1:21" x14ac:dyDescent="0.3">
      <c r="A177" s="10" t="s">
        <v>657</v>
      </c>
      <c r="B177" s="11" t="s">
        <v>658</v>
      </c>
      <c r="C177" s="11"/>
      <c r="D177" s="11" t="s">
        <v>659</v>
      </c>
      <c r="E177" s="11">
        <f xml:space="preserve"> IF($U$177,1,0)</f>
        <v>0</v>
      </c>
      <c r="F177" s="11" t="s">
        <v>660</v>
      </c>
      <c r="G177" s="11">
        <v>0</v>
      </c>
      <c r="H177" s="11">
        <v>0</v>
      </c>
      <c r="I177" s="11">
        <v>0</v>
      </c>
      <c r="J177" s="11">
        <v>0</v>
      </c>
      <c r="K177" s="11">
        <v>0</v>
      </c>
      <c r="L177" s="11">
        <v>0</v>
      </c>
      <c r="M177" s="11">
        <v>0</v>
      </c>
      <c r="N177" s="11">
        <v>0</v>
      </c>
      <c r="O177" s="11">
        <v>0</v>
      </c>
      <c r="P177" s="11">
        <v>0</v>
      </c>
      <c r="Q177" s="12">
        <v>0</v>
      </c>
      <c r="R177" s="12">
        <v>0</v>
      </c>
      <c r="S177" s="12">
        <f>$G$177*$G$8+$H$177*$H$8+$I$177*$I$8+$J$177*$J$8+$K$177*$K$8+$L$177*$L$8+$M$177*$M$8+$N$177*$N$8+$O$177*$O$8+$P$177*$P$8</f>
        <v>0</v>
      </c>
      <c r="T177" s="12">
        <f>SUM($Q$177:$R$177)</f>
        <v>0</v>
      </c>
      <c r="U177" s="12">
        <f>$S$177+$T$177</f>
        <v>0</v>
      </c>
    </row>
    <row r="178" spans="1:21" x14ac:dyDescent="0.3">
      <c r="A178" s="13" t="s">
        <v>661</v>
      </c>
      <c r="B178" s="14" t="s">
        <v>658</v>
      </c>
      <c r="C178" s="14" t="s">
        <v>202</v>
      </c>
      <c r="D178" s="14" t="s">
        <v>662</v>
      </c>
      <c r="E178" s="14">
        <f xml:space="preserve"> IF($U$178,1,0)</f>
        <v>0</v>
      </c>
      <c r="F178" s="14" t="s">
        <v>663</v>
      </c>
      <c r="G178" s="14">
        <v>0</v>
      </c>
      <c r="H178" s="14">
        <v>0</v>
      </c>
      <c r="I178" s="14">
        <v>0</v>
      </c>
      <c r="J178" s="14">
        <v>0</v>
      </c>
      <c r="K178" s="14">
        <v>0</v>
      </c>
      <c r="L178" s="14">
        <v>0</v>
      </c>
      <c r="M178" s="14">
        <v>0</v>
      </c>
      <c r="N178" s="14">
        <v>0</v>
      </c>
      <c r="O178" s="14">
        <v>0</v>
      </c>
      <c r="P178" s="14">
        <v>0</v>
      </c>
      <c r="Q178" s="15">
        <v>0</v>
      </c>
      <c r="R178" s="15">
        <v>0</v>
      </c>
      <c r="S178" s="15">
        <f>$G$178*$G$8+$H$178*$H$8+$I$178*$I$8+$J$178*$J$8+$K$178*$K$8+$L$178*$L$8+$M$178*$M$8+$N$178*$N$8+$O$178*$O$8+$P$178*$P$8</f>
        <v>0</v>
      </c>
      <c r="T178" s="15">
        <f>SUM($Q$178:$R$178)</f>
        <v>0</v>
      </c>
      <c r="U178" s="15">
        <f>$S$178+$T$178</f>
        <v>0</v>
      </c>
    </row>
    <row r="179" spans="1:21" x14ac:dyDescent="0.3">
      <c r="A179" s="10" t="s">
        <v>664</v>
      </c>
      <c r="B179" s="11" t="s">
        <v>665</v>
      </c>
      <c r="C179" s="11"/>
      <c r="D179" s="11" t="s">
        <v>666</v>
      </c>
      <c r="E179" s="11">
        <f xml:space="preserve"> IF($U$179,1,0)</f>
        <v>0</v>
      </c>
      <c r="F179" s="11" t="s">
        <v>667</v>
      </c>
      <c r="G179" s="11">
        <v>0</v>
      </c>
      <c r="H179" s="11">
        <v>0</v>
      </c>
      <c r="I179" s="11">
        <v>0</v>
      </c>
      <c r="J179" s="11">
        <v>0</v>
      </c>
      <c r="K179" s="11">
        <v>0</v>
      </c>
      <c r="L179" s="11">
        <v>0</v>
      </c>
      <c r="M179" s="11">
        <v>0</v>
      </c>
      <c r="N179" s="11">
        <v>0</v>
      </c>
      <c r="O179" s="11">
        <v>0</v>
      </c>
      <c r="P179" s="11">
        <v>0</v>
      </c>
      <c r="Q179" s="12">
        <v>0</v>
      </c>
      <c r="R179" s="12">
        <v>0</v>
      </c>
      <c r="S179" s="12">
        <f>$G$179*$G$8+$H$179*$H$8+$I$179*$I$8+$J$179*$J$8+$K$179*$K$8+$L$179*$L$8+$M$179*$M$8+$N$179*$N$8+$O$179*$O$8+$P$179*$P$8</f>
        <v>0</v>
      </c>
      <c r="T179" s="12">
        <f>SUM($Q$179:$R$179)</f>
        <v>0</v>
      </c>
      <c r="U179" s="12">
        <f>$S$179+$T$179</f>
        <v>0</v>
      </c>
    </row>
    <row r="180" spans="1:21" x14ac:dyDescent="0.3">
      <c r="A180" s="13" t="s">
        <v>668</v>
      </c>
      <c r="B180" s="14" t="s">
        <v>669</v>
      </c>
      <c r="C180" s="14"/>
      <c r="D180" s="14" t="s">
        <v>670</v>
      </c>
      <c r="E180" s="14">
        <f xml:space="preserve"> IF($U$180,1,0)</f>
        <v>0</v>
      </c>
      <c r="F180" s="14" t="s">
        <v>671</v>
      </c>
      <c r="G180" s="14">
        <v>0</v>
      </c>
      <c r="H180" s="14">
        <v>0</v>
      </c>
      <c r="I180" s="14">
        <v>0</v>
      </c>
      <c r="J180" s="14">
        <v>0</v>
      </c>
      <c r="K180" s="14">
        <v>0</v>
      </c>
      <c r="L180" s="14">
        <v>0</v>
      </c>
      <c r="M180" s="14">
        <v>0</v>
      </c>
      <c r="N180" s="14">
        <v>0</v>
      </c>
      <c r="O180" s="14">
        <v>0</v>
      </c>
      <c r="P180" s="14">
        <v>0</v>
      </c>
      <c r="Q180" s="15">
        <v>0</v>
      </c>
      <c r="R180" s="15">
        <v>0</v>
      </c>
      <c r="S180" s="15">
        <f>$G$180*$G$8+$H$180*$H$8+$I$180*$I$8+$J$180*$J$8+$K$180*$K$8+$L$180*$L$8+$M$180*$M$8+$N$180*$N$8+$O$180*$O$8+$P$180*$P$8</f>
        <v>0</v>
      </c>
      <c r="T180" s="15">
        <f>SUM($Q$180:$R$180)</f>
        <v>0</v>
      </c>
      <c r="U180" s="15">
        <f>$S$180+$T$180</f>
        <v>0</v>
      </c>
    </row>
    <row r="181" spans="1:21" x14ac:dyDescent="0.3">
      <c r="A181" s="10" t="s">
        <v>672</v>
      </c>
      <c r="B181" s="11" t="s">
        <v>673</v>
      </c>
      <c r="C181" s="11"/>
      <c r="D181" s="11" t="s">
        <v>674</v>
      </c>
      <c r="E181" s="11">
        <f xml:space="preserve"> IF($U$181,1,0)</f>
        <v>0</v>
      </c>
      <c r="F181" s="11" t="s">
        <v>675</v>
      </c>
      <c r="G181" s="11">
        <v>0</v>
      </c>
      <c r="H181" s="11">
        <v>0</v>
      </c>
      <c r="I181" s="11">
        <v>0</v>
      </c>
      <c r="J181" s="11">
        <v>0</v>
      </c>
      <c r="K181" s="11">
        <v>0</v>
      </c>
      <c r="L181" s="11">
        <v>0</v>
      </c>
      <c r="M181" s="11">
        <v>0</v>
      </c>
      <c r="N181" s="11">
        <v>0</v>
      </c>
      <c r="O181" s="11">
        <v>0</v>
      </c>
      <c r="P181" s="11">
        <v>0</v>
      </c>
      <c r="Q181" s="12">
        <v>0</v>
      </c>
      <c r="R181" s="12">
        <v>0</v>
      </c>
      <c r="S181" s="12">
        <f>$G$181*$G$8+$H$181*$H$8+$I$181*$I$8+$J$181*$J$8+$K$181*$K$8+$L$181*$L$8+$M$181*$M$8+$N$181*$N$8+$O$181*$O$8+$P$181*$P$8</f>
        <v>0</v>
      </c>
      <c r="T181" s="12">
        <f>SUM($Q$181:$R$181)</f>
        <v>0</v>
      </c>
      <c r="U181" s="12">
        <f>$S$181+$T$181</f>
        <v>0</v>
      </c>
    </row>
    <row r="182" spans="1:21" x14ac:dyDescent="0.3">
      <c r="A182" s="13" t="s">
        <v>676</v>
      </c>
      <c r="B182" s="14" t="s">
        <v>677</v>
      </c>
      <c r="C182" s="14"/>
      <c r="D182" s="14" t="s">
        <v>678</v>
      </c>
      <c r="E182" s="14">
        <f xml:space="preserve"> IF($U$182,1,0)</f>
        <v>0</v>
      </c>
      <c r="F182" s="14" t="s">
        <v>679</v>
      </c>
      <c r="G182" s="14">
        <v>0</v>
      </c>
      <c r="H182" s="14">
        <v>0</v>
      </c>
      <c r="I182" s="14">
        <v>0</v>
      </c>
      <c r="J182" s="14">
        <v>0</v>
      </c>
      <c r="K182" s="14">
        <v>0</v>
      </c>
      <c r="L182" s="14">
        <v>0</v>
      </c>
      <c r="M182" s="14">
        <v>0</v>
      </c>
      <c r="N182" s="14">
        <v>0</v>
      </c>
      <c r="O182" s="14">
        <v>0</v>
      </c>
      <c r="P182" s="14">
        <v>0</v>
      </c>
      <c r="Q182" s="15">
        <v>0</v>
      </c>
      <c r="R182" s="15">
        <v>0</v>
      </c>
      <c r="S182" s="15">
        <f>$G$182*$G$8+$H$182*$H$8+$I$182*$I$8+$J$182*$J$8+$K$182*$K$8+$L$182*$L$8+$M$182*$M$8+$N$182*$N$8+$O$182*$O$8+$P$182*$P$8</f>
        <v>0</v>
      </c>
      <c r="T182" s="15">
        <f>SUM($Q$182:$R$182)</f>
        <v>0</v>
      </c>
      <c r="U182" s="15">
        <f>$S$182+$T$182</f>
        <v>0</v>
      </c>
    </row>
    <row r="183" spans="1:21" x14ac:dyDescent="0.3">
      <c r="A183" s="10" t="s">
        <v>680</v>
      </c>
      <c r="B183" s="11" t="s">
        <v>681</v>
      </c>
      <c r="C183" s="11"/>
      <c r="D183" s="11" t="s">
        <v>682</v>
      </c>
      <c r="E183" s="11">
        <f xml:space="preserve"> IF($U$183,1,0)</f>
        <v>0</v>
      </c>
      <c r="F183" s="11" t="s">
        <v>683</v>
      </c>
      <c r="G183" s="11">
        <v>0</v>
      </c>
      <c r="H183" s="11">
        <v>0</v>
      </c>
      <c r="I183" s="11">
        <v>0</v>
      </c>
      <c r="J183" s="11">
        <v>0</v>
      </c>
      <c r="K183" s="11">
        <v>0</v>
      </c>
      <c r="L183" s="11">
        <v>0</v>
      </c>
      <c r="M183" s="11">
        <v>0</v>
      </c>
      <c r="N183" s="11">
        <v>0</v>
      </c>
      <c r="O183" s="11">
        <v>0</v>
      </c>
      <c r="P183" s="11">
        <v>0</v>
      </c>
      <c r="Q183" s="12">
        <v>0</v>
      </c>
      <c r="R183" s="12">
        <v>0</v>
      </c>
      <c r="S183" s="12">
        <f>$G$183*$G$8+$H$183*$H$8+$I$183*$I$8+$J$183*$J$8+$K$183*$K$8+$L$183*$L$8+$M$183*$M$8+$N$183*$N$8+$O$183*$O$8+$P$183*$P$8</f>
        <v>0</v>
      </c>
      <c r="T183" s="12">
        <f>SUM($Q$183:$R$183)</f>
        <v>0</v>
      </c>
      <c r="U183" s="12">
        <f>$S$183+$T$183</f>
        <v>0</v>
      </c>
    </row>
    <row r="184" spans="1:21" x14ac:dyDescent="0.3">
      <c r="A184" s="13" t="s">
        <v>684</v>
      </c>
      <c r="B184" s="14" t="s">
        <v>685</v>
      </c>
      <c r="C184" s="14"/>
      <c r="D184" s="14" t="s">
        <v>686</v>
      </c>
      <c r="E184" s="14">
        <f xml:space="preserve"> IF($U$184,1,0)</f>
        <v>1</v>
      </c>
      <c r="F184" s="14" t="s">
        <v>687</v>
      </c>
      <c r="G184" s="14">
        <v>4</v>
      </c>
      <c r="H184" s="14">
        <v>0</v>
      </c>
      <c r="I184" s="14">
        <v>0</v>
      </c>
      <c r="J184" s="14">
        <v>0</v>
      </c>
      <c r="K184" s="14">
        <v>0</v>
      </c>
      <c r="L184" s="14">
        <v>0</v>
      </c>
      <c r="M184" s="14">
        <v>0</v>
      </c>
      <c r="N184" s="14">
        <v>0</v>
      </c>
      <c r="O184" s="14">
        <v>0</v>
      </c>
      <c r="P184" s="14">
        <v>0</v>
      </c>
      <c r="Q184" s="15">
        <v>0</v>
      </c>
      <c r="R184" s="15">
        <v>0</v>
      </c>
      <c r="S184" s="15">
        <f>$G$184*$G$8+$H$184*$H$8+$I$184*$I$8+$J$184*$J$8+$K$184*$K$8+$L$184*$L$8+$M$184*$M$8+$N$184*$N$8+$O$184*$O$8+$P$184*$P$8</f>
        <v>2.8</v>
      </c>
      <c r="T184" s="15">
        <f>SUM($Q$184:$R$184)</f>
        <v>0</v>
      </c>
      <c r="U184" s="15">
        <f>$S$184+$T$184</f>
        <v>2.8</v>
      </c>
    </row>
    <row r="185" spans="1:21" x14ac:dyDescent="0.3">
      <c r="A185" s="10" t="s">
        <v>688</v>
      </c>
      <c r="B185" s="11" t="s">
        <v>689</v>
      </c>
      <c r="C185" s="11"/>
      <c r="D185" s="11" t="s">
        <v>690</v>
      </c>
      <c r="E185" s="11">
        <f xml:space="preserve"> IF($U$185,1,0)</f>
        <v>1</v>
      </c>
      <c r="F185" s="11" t="s">
        <v>691</v>
      </c>
      <c r="G185" s="11">
        <v>6</v>
      </c>
      <c r="H185" s="11">
        <v>0</v>
      </c>
      <c r="I185" s="11">
        <v>0</v>
      </c>
      <c r="J185" s="11">
        <v>0</v>
      </c>
      <c r="K185" s="11">
        <v>0</v>
      </c>
      <c r="L185" s="11">
        <v>0</v>
      </c>
      <c r="M185" s="11">
        <v>0</v>
      </c>
      <c r="N185" s="11">
        <v>0</v>
      </c>
      <c r="O185" s="11">
        <v>0</v>
      </c>
      <c r="P185" s="11">
        <v>0</v>
      </c>
      <c r="Q185" s="12">
        <v>0</v>
      </c>
      <c r="R185" s="12">
        <v>0</v>
      </c>
      <c r="S185" s="12">
        <f>$G$185*$G$8+$H$185*$H$8+$I$185*$I$8+$J$185*$J$8+$K$185*$K$8+$L$185*$L$8+$M$185*$M$8+$N$185*$N$8+$O$185*$O$8+$P$185*$P$8</f>
        <v>4.1999999999999993</v>
      </c>
      <c r="T185" s="12">
        <f>SUM($Q$185:$R$185)</f>
        <v>0</v>
      </c>
      <c r="U185" s="12">
        <f>$S$185+$T$185</f>
        <v>4.1999999999999993</v>
      </c>
    </row>
    <row r="186" spans="1:21" x14ac:dyDescent="0.3">
      <c r="A186" s="13" t="s">
        <v>692</v>
      </c>
      <c r="B186" s="14" t="s">
        <v>693</v>
      </c>
      <c r="C186" s="14" t="s">
        <v>65</v>
      </c>
      <c r="D186" s="14" t="s">
        <v>694</v>
      </c>
      <c r="E186" s="14">
        <f xml:space="preserve"> IF($U$186,1,0)</f>
        <v>1</v>
      </c>
      <c r="F186" s="14" t="s">
        <v>695</v>
      </c>
      <c r="G186" s="14">
        <v>0</v>
      </c>
      <c r="H186" s="14">
        <v>0</v>
      </c>
      <c r="I186" s="14">
        <v>1</v>
      </c>
      <c r="J186" s="14">
        <v>0</v>
      </c>
      <c r="K186" s="14">
        <v>0</v>
      </c>
      <c r="L186" s="14">
        <v>0</v>
      </c>
      <c r="M186" s="14">
        <v>0</v>
      </c>
      <c r="N186" s="14">
        <v>0</v>
      </c>
      <c r="O186" s="14">
        <v>0</v>
      </c>
      <c r="P186" s="14">
        <v>0</v>
      </c>
      <c r="Q186" s="15">
        <v>0</v>
      </c>
      <c r="R186" s="15">
        <v>0</v>
      </c>
      <c r="S186" s="15">
        <f>$G$186*$G$8+$H$186*$H$8+$I$186*$I$8+$J$186*$J$8+$K$186*$K$8+$L$186*$L$8+$M$186*$M$8+$N$186*$N$8+$O$186*$O$8+$P$186*$P$8</f>
        <v>1</v>
      </c>
      <c r="T186" s="15">
        <f>SUM($Q$186:$R$186)</f>
        <v>0</v>
      </c>
      <c r="U186" s="15">
        <f>$S$186+$T$186</f>
        <v>1</v>
      </c>
    </row>
    <row r="187" spans="1:21" x14ac:dyDescent="0.3">
      <c r="A187" s="10" t="s">
        <v>696</v>
      </c>
      <c r="B187" s="11" t="s">
        <v>697</v>
      </c>
      <c r="C187" s="11"/>
      <c r="D187" s="11" t="s">
        <v>698</v>
      </c>
      <c r="E187" s="11">
        <f xml:space="preserve"> IF($U$187,1,0)</f>
        <v>1</v>
      </c>
      <c r="F187" s="11" t="s">
        <v>699</v>
      </c>
      <c r="G187" s="11">
        <v>0</v>
      </c>
      <c r="H187" s="11">
        <v>0</v>
      </c>
      <c r="I187" s="11">
        <v>0</v>
      </c>
      <c r="J187" s="11">
        <v>0</v>
      </c>
      <c r="K187" s="11">
        <v>0</v>
      </c>
      <c r="L187" s="11">
        <v>0</v>
      </c>
      <c r="M187" s="11">
        <v>0</v>
      </c>
      <c r="N187" s="11">
        <v>0</v>
      </c>
      <c r="O187" s="11">
        <v>1</v>
      </c>
      <c r="P187" s="11">
        <v>0</v>
      </c>
      <c r="Q187" s="12">
        <v>0</v>
      </c>
      <c r="R187" s="12">
        <v>0</v>
      </c>
      <c r="S187" s="12">
        <f>$G$187*$G$8+$H$187*$H$8+$I$187*$I$8+$J$187*$J$8+$K$187*$K$8+$L$187*$L$8+$M$187*$M$8+$N$187*$N$8+$O$187*$O$8+$P$187*$P$8</f>
        <v>0.5</v>
      </c>
      <c r="T187" s="12">
        <f>SUM($Q$187:$R$187)</f>
        <v>0</v>
      </c>
      <c r="U187" s="12">
        <f>$S$187+$T$187</f>
        <v>0.5</v>
      </c>
    </row>
    <row r="188" spans="1:21" x14ac:dyDescent="0.3">
      <c r="A188" s="13" t="s">
        <v>700</v>
      </c>
      <c r="B188" s="14" t="s">
        <v>697</v>
      </c>
      <c r="C188" s="14"/>
      <c r="D188" s="14" t="s">
        <v>701</v>
      </c>
      <c r="E188" s="14">
        <f xml:space="preserve"> IF($U$188,1,0)</f>
        <v>0</v>
      </c>
      <c r="F188" s="14" t="s">
        <v>702</v>
      </c>
      <c r="G188" s="14">
        <v>0</v>
      </c>
      <c r="H188" s="14">
        <v>0</v>
      </c>
      <c r="I188" s="14">
        <v>0</v>
      </c>
      <c r="J188" s="14">
        <v>0</v>
      </c>
      <c r="K188" s="14">
        <v>0</v>
      </c>
      <c r="L188" s="14">
        <v>0</v>
      </c>
      <c r="M188" s="14">
        <v>0</v>
      </c>
      <c r="N188" s="14">
        <v>0</v>
      </c>
      <c r="O188" s="14">
        <v>0</v>
      </c>
      <c r="P188" s="14">
        <v>0</v>
      </c>
      <c r="Q188" s="15">
        <v>0</v>
      </c>
      <c r="R188" s="15">
        <v>0</v>
      </c>
      <c r="S188" s="15">
        <f>$G$188*$G$8+$H$188*$H$8+$I$188*$I$8+$J$188*$J$8+$K$188*$K$8+$L$188*$L$8+$M$188*$M$8+$N$188*$N$8+$O$188*$O$8+$P$188*$P$8</f>
        <v>0</v>
      </c>
      <c r="T188" s="15">
        <f>SUM($Q$188:$R$188)</f>
        <v>0</v>
      </c>
      <c r="U188" s="15">
        <f>$S$188+$T$188</f>
        <v>0</v>
      </c>
    </row>
    <row r="189" spans="1:21" x14ac:dyDescent="0.3">
      <c r="A189" s="10" t="s">
        <v>703</v>
      </c>
      <c r="B189" s="11" t="s">
        <v>704</v>
      </c>
      <c r="C189" s="11"/>
      <c r="D189" s="11" t="s">
        <v>705</v>
      </c>
      <c r="E189" s="11">
        <f xml:space="preserve"> IF($U$189,1,0)</f>
        <v>0</v>
      </c>
      <c r="F189" s="11" t="s">
        <v>706</v>
      </c>
      <c r="G189" s="11">
        <v>0</v>
      </c>
      <c r="H189" s="11">
        <v>0</v>
      </c>
      <c r="I189" s="11">
        <v>0</v>
      </c>
      <c r="J189" s="11">
        <v>0</v>
      </c>
      <c r="K189" s="11">
        <v>0</v>
      </c>
      <c r="L189" s="11">
        <v>0</v>
      </c>
      <c r="M189" s="11">
        <v>0</v>
      </c>
      <c r="N189" s="11">
        <v>0</v>
      </c>
      <c r="O189" s="11">
        <v>0</v>
      </c>
      <c r="P189" s="11">
        <v>0</v>
      </c>
      <c r="Q189" s="12">
        <v>0</v>
      </c>
      <c r="R189" s="12">
        <v>0</v>
      </c>
      <c r="S189" s="12">
        <f>$G$189*$G$8+$H$189*$H$8+$I$189*$I$8+$J$189*$J$8+$K$189*$K$8+$L$189*$L$8+$M$189*$M$8+$N$189*$N$8+$O$189*$O$8+$P$189*$P$8</f>
        <v>0</v>
      </c>
      <c r="T189" s="12">
        <f>SUM($Q$189:$R$189)</f>
        <v>0</v>
      </c>
      <c r="U189" s="12">
        <f>$S$189+$T$189</f>
        <v>0</v>
      </c>
    </row>
    <row r="190" spans="1:21" x14ac:dyDescent="0.3">
      <c r="A190" s="13" t="s">
        <v>707</v>
      </c>
      <c r="B190" s="14" t="s">
        <v>708</v>
      </c>
      <c r="C190" s="14"/>
      <c r="D190" s="14" t="s">
        <v>222</v>
      </c>
      <c r="E190" s="14">
        <f xml:space="preserve"> IF($U$190,1,0)</f>
        <v>0</v>
      </c>
      <c r="F190" s="14" t="s">
        <v>709</v>
      </c>
      <c r="G190" s="14">
        <v>0</v>
      </c>
      <c r="H190" s="14">
        <v>0</v>
      </c>
      <c r="I190" s="14">
        <v>0</v>
      </c>
      <c r="J190" s="14">
        <v>0</v>
      </c>
      <c r="K190" s="14">
        <v>0</v>
      </c>
      <c r="L190" s="14">
        <v>0</v>
      </c>
      <c r="M190" s="14">
        <v>0</v>
      </c>
      <c r="N190" s="14">
        <v>0</v>
      </c>
      <c r="O190" s="14">
        <v>0</v>
      </c>
      <c r="P190" s="14">
        <v>0</v>
      </c>
      <c r="Q190" s="15">
        <v>0</v>
      </c>
      <c r="R190" s="15">
        <v>0</v>
      </c>
      <c r="S190" s="15">
        <f>$G$190*$G$8+$H$190*$H$8+$I$190*$I$8+$J$190*$J$8+$K$190*$K$8+$L$190*$L$8+$M$190*$M$8+$N$190*$N$8+$O$190*$O$8+$P$190*$P$8</f>
        <v>0</v>
      </c>
      <c r="T190" s="15">
        <f>SUM($Q$190:$R$190)</f>
        <v>0</v>
      </c>
      <c r="U190" s="15">
        <f>$S$190+$T$190</f>
        <v>0</v>
      </c>
    </row>
    <row r="191" spans="1:21" x14ac:dyDescent="0.3">
      <c r="A191" s="10" t="s">
        <v>710</v>
      </c>
      <c r="B191" s="11" t="s">
        <v>708</v>
      </c>
      <c r="C191" s="11"/>
      <c r="D191" s="11" t="s">
        <v>711</v>
      </c>
      <c r="E191" s="11">
        <f xml:space="preserve"> IF($U$191,1,0)</f>
        <v>0</v>
      </c>
      <c r="F191" s="11" t="s">
        <v>712</v>
      </c>
      <c r="G191" s="11">
        <v>0</v>
      </c>
      <c r="H191" s="11">
        <v>0</v>
      </c>
      <c r="I191" s="11">
        <v>0</v>
      </c>
      <c r="J191" s="11">
        <v>0</v>
      </c>
      <c r="K191" s="11">
        <v>0</v>
      </c>
      <c r="L191" s="11">
        <v>0</v>
      </c>
      <c r="M191" s="11">
        <v>0</v>
      </c>
      <c r="N191" s="11">
        <v>0</v>
      </c>
      <c r="O191" s="11">
        <v>0</v>
      </c>
      <c r="P191" s="11">
        <v>0</v>
      </c>
      <c r="Q191" s="12">
        <v>0</v>
      </c>
      <c r="R191" s="12">
        <v>0</v>
      </c>
      <c r="S191" s="12">
        <f>$G$191*$G$8+$H$191*$H$8+$I$191*$I$8+$J$191*$J$8+$K$191*$K$8+$L$191*$L$8+$M$191*$M$8+$N$191*$N$8+$O$191*$O$8+$P$191*$P$8</f>
        <v>0</v>
      </c>
      <c r="T191" s="12">
        <f>SUM($Q$191:$R$191)</f>
        <v>0</v>
      </c>
      <c r="U191" s="12">
        <f>$S$191+$T$191</f>
        <v>0</v>
      </c>
    </row>
    <row r="192" spans="1:21" x14ac:dyDescent="0.3">
      <c r="A192" s="13" t="s">
        <v>713</v>
      </c>
      <c r="B192" s="14" t="s">
        <v>708</v>
      </c>
      <c r="C192" s="14"/>
      <c r="D192" s="14" t="s">
        <v>714</v>
      </c>
      <c r="E192" s="14">
        <f xml:space="preserve"> IF($U$192,1,0)</f>
        <v>1</v>
      </c>
      <c r="F192" s="14" t="s">
        <v>715</v>
      </c>
      <c r="G192" s="14">
        <v>4</v>
      </c>
      <c r="H192" s="14">
        <v>0</v>
      </c>
      <c r="I192" s="14">
        <v>0</v>
      </c>
      <c r="J192" s="14">
        <v>0</v>
      </c>
      <c r="K192" s="14">
        <v>0</v>
      </c>
      <c r="L192" s="14">
        <v>2</v>
      </c>
      <c r="M192" s="14">
        <v>0</v>
      </c>
      <c r="N192" s="14">
        <v>0</v>
      </c>
      <c r="O192" s="14">
        <v>0</v>
      </c>
      <c r="P192" s="14">
        <v>0</v>
      </c>
      <c r="Q192" s="15">
        <v>0</v>
      </c>
      <c r="R192" s="15">
        <v>0</v>
      </c>
      <c r="S192" s="15">
        <f>$G$192*$G$8+$H$192*$H$8+$I$192*$I$8+$J$192*$J$8+$K$192*$K$8+$L$192*$L$8+$M$192*$M$8+$N$192*$N$8+$O$192*$O$8+$P$192*$P$8</f>
        <v>8.8000000000000007</v>
      </c>
      <c r="T192" s="15">
        <f>SUM($Q$192:$R$192)</f>
        <v>0</v>
      </c>
      <c r="U192" s="15">
        <f>$S$192+$T$192</f>
        <v>8.8000000000000007</v>
      </c>
    </row>
    <row r="193" spans="1:21" x14ac:dyDescent="0.3">
      <c r="A193" s="10" t="s">
        <v>716</v>
      </c>
      <c r="B193" s="11" t="s">
        <v>717</v>
      </c>
      <c r="C193" s="11"/>
      <c r="D193" s="11" t="s">
        <v>718</v>
      </c>
      <c r="E193" s="11">
        <f xml:space="preserve"> IF($U$193,1,0)</f>
        <v>0</v>
      </c>
      <c r="F193" s="11" t="s">
        <v>719</v>
      </c>
      <c r="G193" s="11">
        <v>0</v>
      </c>
      <c r="H193" s="11">
        <v>0</v>
      </c>
      <c r="I193" s="11">
        <v>0</v>
      </c>
      <c r="J193" s="11">
        <v>0</v>
      </c>
      <c r="K193" s="11">
        <v>0</v>
      </c>
      <c r="L193" s="11">
        <v>0</v>
      </c>
      <c r="M193" s="11">
        <v>0</v>
      </c>
      <c r="N193" s="11">
        <v>0</v>
      </c>
      <c r="O193" s="11">
        <v>0</v>
      </c>
      <c r="P193" s="11">
        <v>0</v>
      </c>
      <c r="Q193" s="12">
        <v>0</v>
      </c>
      <c r="R193" s="12">
        <v>0</v>
      </c>
      <c r="S193" s="12">
        <f>$G$193*$G$8+$H$193*$H$8+$I$193*$I$8+$J$193*$J$8+$K$193*$K$8+$L$193*$L$8+$M$193*$M$8+$N$193*$N$8+$O$193*$O$8+$P$193*$P$8</f>
        <v>0</v>
      </c>
      <c r="T193" s="12">
        <f>SUM($Q$193:$R$193)</f>
        <v>0</v>
      </c>
      <c r="U193" s="12">
        <f>$S$193+$T$193</f>
        <v>0</v>
      </c>
    </row>
    <row r="194" spans="1:21" x14ac:dyDescent="0.3">
      <c r="A194" s="13" t="s">
        <v>720</v>
      </c>
      <c r="B194" s="14" t="s">
        <v>721</v>
      </c>
      <c r="C194" s="14"/>
      <c r="D194" s="14" t="s">
        <v>722</v>
      </c>
      <c r="E194" s="14">
        <f xml:space="preserve"> IF($U$194,1,0)</f>
        <v>0</v>
      </c>
      <c r="F194" s="14" t="s">
        <v>723</v>
      </c>
      <c r="G194" s="14">
        <v>0</v>
      </c>
      <c r="H194" s="14">
        <v>0</v>
      </c>
      <c r="I194" s="14">
        <v>0</v>
      </c>
      <c r="J194" s="14">
        <v>0</v>
      </c>
      <c r="K194" s="14">
        <v>0</v>
      </c>
      <c r="L194" s="14">
        <v>0</v>
      </c>
      <c r="M194" s="14">
        <v>0</v>
      </c>
      <c r="N194" s="14">
        <v>0</v>
      </c>
      <c r="O194" s="14">
        <v>0</v>
      </c>
      <c r="P194" s="14">
        <v>0</v>
      </c>
      <c r="Q194" s="15">
        <v>0</v>
      </c>
      <c r="R194" s="15">
        <v>0</v>
      </c>
      <c r="S194" s="15">
        <f>$G$194*$G$8+$H$194*$H$8+$I$194*$I$8+$J$194*$J$8+$K$194*$K$8+$L$194*$L$8+$M$194*$M$8+$N$194*$N$8+$O$194*$O$8+$P$194*$P$8</f>
        <v>0</v>
      </c>
      <c r="T194" s="15">
        <f>SUM($Q$194:$R$194)</f>
        <v>0</v>
      </c>
      <c r="U194" s="15">
        <f>$S$194+$T$194</f>
        <v>0</v>
      </c>
    </row>
    <row r="195" spans="1:21" x14ac:dyDescent="0.3">
      <c r="A195" s="10" t="s">
        <v>724</v>
      </c>
      <c r="B195" s="11" t="s">
        <v>721</v>
      </c>
      <c r="C195" s="11"/>
      <c r="D195" s="11" t="s">
        <v>725</v>
      </c>
      <c r="E195" s="11">
        <f xml:space="preserve"> IF($U$195,1,0)</f>
        <v>1</v>
      </c>
      <c r="F195" s="11" t="s">
        <v>726</v>
      </c>
      <c r="G195" s="11">
        <v>2</v>
      </c>
      <c r="H195" s="11">
        <v>2</v>
      </c>
      <c r="I195" s="11">
        <v>0</v>
      </c>
      <c r="J195" s="11">
        <v>0</v>
      </c>
      <c r="K195" s="11">
        <v>0</v>
      </c>
      <c r="L195" s="11">
        <v>0</v>
      </c>
      <c r="M195" s="11">
        <v>0</v>
      </c>
      <c r="N195" s="11">
        <v>0</v>
      </c>
      <c r="O195" s="11">
        <v>0</v>
      </c>
      <c r="P195" s="11">
        <v>2</v>
      </c>
      <c r="Q195" s="12">
        <v>0</v>
      </c>
      <c r="R195" s="12">
        <v>0</v>
      </c>
      <c r="S195" s="12">
        <f>$G$195*$G$8+$H$195*$H$8+$I$195*$I$8+$J$195*$J$8+$K$195*$K$8+$L$195*$L$8+$M$195*$M$8+$N$195*$N$8+$O$195*$O$8+$P$195*$P$8</f>
        <v>7</v>
      </c>
      <c r="T195" s="12">
        <f>SUM($Q$195:$R$195)</f>
        <v>0</v>
      </c>
      <c r="U195" s="12">
        <f>$S$195+$T$195</f>
        <v>7</v>
      </c>
    </row>
    <row r="196" spans="1:21" x14ac:dyDescent="0.3">
      <c r="A196" s="13" t="s">
        <v>727</v>
      </c>
      <c r="B196" s="14" t="s">
        <v>728</v>
      </c>
      <c r="C196" s="14"/>
      <c r="D196" s="14" t="s">
        <v>729</v>
      </c>
      <c r="E196" s="14">
        <f xml:space="preserve"> IF($U$196,1,0)</f>
        <v>0</v>
      </c>
      <c r="F196" s="14" t="s">
        <v>730</v>
      </c>
      <c r="G196" s="14">
        <v>0</v>
      </c>
      <c r="H196" s="14">
        <v>0</v>
      </c>
      <c r="I196" s="14">
        <v>0</v>
      </c>
      <c r="J196" s="14">
        <v>0</v>
      </c>
      <c r="K196" s="14">
        <v>0</v>
      </c>
      <c r="L196" s="14">
        <v>0</v>
      </c>
      <c r="M196" s="14">
        <v>0</v>
      </c>
      <c r="N196" s="14">
        <v>0</v>
      </c>
      <c r="O196" s="14">
        <v>0</v>
      </c>
      <c r="P196" s="14">
        <v>0</v>
      </c>
      <c r="Q196" s="15">
        <v>0</v>
      </c>
      <c r="R196" s="15">
        <v>0</v>
      </c>
      <c r="S196" s="15">
        <f>$G$196*$G$8+$H$196*$H$8+$I$196*$I$8+$J$196*$J$8+$K$196*$K$8+$L$196*$L$8+$M$196*$M$8+$N$196*$N$8+$O$196*$O$8+$P$196*$P$8</f>
        <v>0</v>
      </c>
      <c r="T196" s="15">
        <f>SUM($Q$196:$R$196)</f>
        <v>0</v>
      </c>
      <c r="U196" s="15">
        <f>$S$196+$T$196</f>
        <v>0</v>
      </c>
    </row>
    <row r="197" spans="1:21" x14ac:dyDescent="0.3">
      <c r="A197" s="10" t="s">
        <v>731</v>
      </c>
      <c r="B197" s="11" t="s">
        <v>732</v>
      </c>
      <c r="C197" s="11"/>
      <c r="D197" s="11" t="s">
        <v>733</v>
      </c>
      <c r="E197" s="11">
        <f xml:space="preserve"> IF($U$197,1,0)</f>
        <v>0</v>
      </c>
      <c r="F197" s="11" t="s">
        <v>734</v>
      </c>
      <c r="G197" s="11">
        <v>0</v>
      </c>
      <c r="H197" s="11">
        <v>0</v>
      </c>
      <c r="I197" s="11">
        <v>0</v>
      </c>
      <c r="J197" s="11">
        <v>0</v>
      </c>
      <c r="K197" s="11">
        <v>0</v>
      </c>
      <c r="L197" s="11">
        <v>0</v>
      </c>
      <c r="M197" s="11">
        <v>0</v>
      </c>
      <c r="N197" s="11">
        <v>0</v>
      </c>
      <c r="O197" s="11">
        <v>0</v>
      </c>
      <c r="P197" s="11">
        <v>0</v>
      </c>
      <c r="Q197" s="12">
        <v>0</v>
      </c>
      <c r="R197" s="12">
        <v>0</v>
      </c>
      <c r="S197" s="12">
        <f>$G$197*$G$8+$H$197*$H$8+$I$197*$I$8+$J$197*$J$8+$K$197*$K$8+$L$197*$L$8+$M$197*$M$8+$N$197*$N$8+$O$197*$O$8+$P$197*$P$8</f>
        <v>0</v>
      </c>
      <c r="T197" s="12">
        <f>SUM($Q$197:$R$197)</f>
        <v>0</v>
      </c>
      <c r="U197" s="12">
        <f>$S$197+$T$197</f>
        <v>0</v>
      </c>
    </row>
    <row r="198" spans="1:21" x14ac:dyDescent="0.3">
      <c r="A198" s="13" t="s">
        <v>735</v>
      </c>
      <c r="B198" s="14" t="s">
        <v>736</v>
      </c>
      <c r="C198" s="14"/>
      <c r="D198" s="14" t="s">
        <v>737</v>
      </c>
      <c r="E198" s="14">
        <f xml:space="preserve"> IF($U$198,1,0)</f>
        <v>0</v>
      </c>
      <c r="F198" s="14" t="s">
        <v>738</v>
      </c>
      <c r="G198" s="14">
        <v>0</v>
      </c>
      <c r="H198" s="14">
        <v>0</v>
      </c>
      <c r="I198" s="14">
        <v>0</v>
      </c>
      <c r="J198" s="14">
        <v>0</v>
      </c>
      <c r="K198" s="14">
        <v>0</v>
      </c>
      <c r="L198" s="14">
        <v>0</v>
      </c>
      <c r="M198" s="14">
        <v>0</v>
      </c>
      <c r="N198" s="14">
        <v>0</v>
      </c>
      <c r="O198" s="14">
        <v>0</v>
      </c>
      <c r="P198" s="14">
        <v>0</v>
      </c>
      <c r="Q198" s="15">
        <v>0</v>
      </c>
      <c r="R198" s="15">
        <v>0</v>
      </c>
      <c r="S198" s="15">
        <f>$G$198*$G$8+$H$198*$H$8+$I$198*$I$8+$J$198*$J$8+$K$198*$K$8+$L$198*$L$8+$M$198*$M$8+$N$198*$N$8+$O$198*$O$8+$P$198*$P$8</f>
        <v>0</v>
      </c>
      <c r="T198" s="15">
        <f>SUM($Q$198:$R$198)</f>
        <v>0</v>
      </c>
      <c r="U198" s="15">
        <f>$S$198+$T$198</f>
        <v>0</v>
      </c>
    </row>
    <row r="199" spans="1:21" x14ac:dyDescent="0.3">
      <c r="A199" s="10" t="s">
        <v>739</v>
      </c>
      <c r="B199" s="11" t="s">
        <v>740</v>
      </c>
      <c r="C199" s="11" t="s">
        <v>65</v>
      </c>
      <c r="D199" s="11" t="s">
        <v>239</v>
      </c>
      <c r="E199" s="11">
        <f xml:space="preserve"> IF($U$199,1,0)</f>
        <v>0</v>
      </c>
      <c r="F199" s="11" t="s">
        <v>741</v>
      </c>
      <c r="G199" s="11">
        <v>0</v>
      </c>
      <c r="H199" s="11">
        <v>0</v>
      </c>
      <c r="I199" s="11">
        <v>0</v>
      </c>
      <c r="J199" s="11">
        <v>0</v>
      </c>
      <c r="K199" s="11">
        <v>0</v>
      </c>
      <c r="L199" s="11">
        <v>0</v>
      </c>
      <c r="M199" s="11">
        <v>0</v>
      </c>
      <c r="N199" s="11">
        <v>0</v>
      </c>
      <c r="O199" s="11">
        <v>0</v>
      </c>
      <c r="P199" s="11">
        <v>0</v>
      </c>
      <c r="Q199" s="12">
        <v>0</v>
      </c>
      <c r="R199" s="12">
        <v>0</v>
      </c>
      <c r="S199" s="12">
        <f>$G$199*$G$8+$H$199*$H$8+$I$199*$I$8+$J$199*$J$8+$K$199*$K$8+$L$199*$L$8+$M$199*$M$8+$N$199*$N$8+$O$199*$O$8+$P$199*$P$8</f>
        <v>0</v>
      </c>
      <c r="T199" s="12">
        <f>SUM($Q$199:$R$199)</f>
        <v>0</v>
      </c>
      <c r="U199" s="12">
        <f>$S$199+$T$199</f>
        <v>0</v>
      </c>
    </row>
    <row r="200" spans="1:21" x14ac:dyDescent="0.3">
      <c r="A200" s="13" t="s">
        <v>742</v>
      </c>
      <c r="B200" s="14" t="s">
        <v>743</v>
      </c>
      <c r="C200" s="14"/>
      <c r="D200" s="14" t="s">
        <v>744</v>
      </c>
      <c r="E200" s="14">
        <f xml:space="preserve"> IF($U$200,1,0)</f>
        <v>1</v>
      </c>
      <c r="F200" s="14" t="s">
        <v>745</v>
      </c>
      <c r="G200" s="14">
        <v>1</v>
      </c>
      <c r="H200" s="14">
        <v>6</v>
      </c>
      <c r="I200" s="14">
        <v>0</v>
      </c>
      <c r="J200" s="14">
        <v>0</v>
      </c>
      <c r="K200" s="14">
        <v>0</v>
      </c>
      <c r="L200" s="14">
        <v>1</v>
      </c>
      <c r="M200" s="14">
        <v>0</v>
      </c>
      <c r="N200" s="14">
        <v>0</v>
      </c>
      <c r="O200" s="14">
        <v>0</v>
      </c>
      <c r="P200" s="14">
        <v>0</v>
      </c>
      <c r="Q200" s="15">
        <v>0</v>
      </c>
      <c r="R200" s="15">
        <v>0</v>
      </c>
      <c r="S200" s="15">
        <f>$G$200*$G$8+$H$200*$H$8+$I$200*$I$8+$J$200*$J$8+$K$200*$K$8+$L$200*$L$8+$M$200*$M$8+$N$200*$N$8+$O$200*$O$8+$P$200*$P$8</f>
        <v>14.5</v>
      </c>
      <c r="T200" s="15">
        <f>SUM($Q$200:$R$200)</f>
        <v>0</v>
      </c>
      <c r="U200" s="15">
        <f>$S$200+$T$200</f>
        <v>14.5</v>
      </c>
    </row>
    <row r="201" spans="1:21" x14ac:dyDescent="0.3">
      <c r="A201" s="10" t="s">
        <v>746</v>
      </c>
      <c r="B201" s="11" t="s">
        <v>747</v>
      </c>
      <c r="C201" s="11"/>
      <c r="D201" s="11" t="s">
        <v>748</v>
      </c>
      <c r="E201" s="11">
        <f xml:space="preserve"> IF($U$201,1,0)</f>
        <v>0</v>
      </c>
      <c r="F201" s="11" t="s">
        <v>749</v>
      </c>
      <c r="G201" s="11">
        <v>0</v>
      </c>
      <c r="H201" s="11">
        <v>0</v>
      </c>
      <c r="I201" s="11">
        <v>0</v>
      </c>
      <c r="J201" s="11">
        <v>0</v>
      </c>
      <c r="K201" s="11">
        <v>0</v>
      </c>
      <c r="L201" s="11">
        <v>0</v>
      </c>
      <c r="M201" s="11">
        <v>0</v>
      </c>
      <c r="N201" s="11">
        <v>0</v>
      </c>
      <c r="O201" s="11">
        <v>0</v>
      </c>
      <c r="P201" s="11">
        <v>0</v>
      </c>
      <c r="Q201" s="12">
        <v>0</v>
      </c>
      <c r="R201" s="12">
        <v>0</v>
      </c>
      <c r="S201" s="12">
        <f>$G$201*$G$8+$H$201*$H$8+$I$201*$I$8+$J$201*$J$8+$K$201*$K$8+$L$201*$L$8+$M$201*$M$8+$N$201*$N$8+$O$201*$O$8+$P$201*$P$8</f>
        <v>0</v>
      </c>
      <c r="T201" s="12">
        <f>SUM($Q$201:$R$201)</f>
        <v>0</v>
      </c>
      <c r="U201" s="12">
        <f>$S$201+$T$201</f>
        <v>0</v>
      </c>
    </row>
    <row r="202" spans="1:21" x14ac:dyDescent="0.3">
      <c r="A202" s="13" t="s">
        <v>750</v>
      </c>
      <c r="B202" s="14" t="s">
        <v>751</v>
      </c>
      <c r="C202" s="14"/>
      <c r="D202" s="14" t="s">
        <v>752</v>
      </c>
      <c r="E202" s="14">
        <f xml:space="preserve"> IF($U$202,1,0)</f>
        <v>0</v>
      </c>
      <c r="F202" s="14" t="s">
        <v>753</v>
      </c>
      <c r="G202" s="14">
        <v>0</v>
      </c>
      <c r="H202" s="14">
        <v>0</v>
      </c>
      <c r="I202" s="14">
        <v>0</v>
      </c>
      <c r="J202" s="14">
        <v>0</v>
      </c>
      <c r="K202" s="14">
        <v>0</v>
      </c>
      <c r="L202" s="14">
        <v>0</v>
      </c>
      <c r="M202" s="14">
        <v>0</v>
      </c>
      <c r="N202" s="14">
        <v>0</v>
      </c>
      <c r="O202" s="14">
        <v>0</v>
      </c>
      <c r="P202" s="14">
        <v>0</v>
      </c>
      <c r="Q202" s="15">
        <v>0</v>
      </c>
      <c r="R202" s="15">
        <v>0</v>
      </c>
      <c r="S202" s="15">
        <f>$G$202*$G$8+$H$202*$H$8+$I$202*$I$8+$J$202*$J$8+$K$202*$K$8+$L$202*$L$8+$M$202*$M$8+$N$202*$N$8+$O$202*$O$8+$P$202*$P$8</f>
        <v>0</v>
      </c>
      <c r="T202" s="15">
        <f>SUM($Q$202:$R$202)</f>
        <v>0</v>
      </c>
      <c r="U202" s="15">
        <f>$S$202+$T$202</f>
        <v>0</v>
      </c>
    </row>
    <row r="203" spans="1:21" x14ac:dyDescent="0.3">
      <c r="A203" s="10" t="s">
        <v>754</v>
      </c>
      <c r="B203" s="11" t="s">
        <v>755</v>
      </c>
      <c r="C203" s="11"/>
      <c r="D203" s="11" t="s">
        <v>756</v>
      </c>
      <c r="E203" s="11">
        <f xml:space="preserve"> IF($U$203,1,0)</f>
        <v>0</v>
      </c>
      <c r="F203" s="11" t="s">
        <v>757</v>
      </c>
      <c r="G203" s="11">
        <v>0</v>
      </c>
      <c r="H203" s="11">
        <v>0</v>
      </c>
      <c r="I203" s="11">
        <v>0</v>
      </c>
      <c r="J203" s="11">
        <v>0</v>
      </c>
      <c r="K203" s="11">
        <v>0</v>
      </c>
      <c r="L203" s="11">
        <v>0</v>
      </c>
      <c r="M203" s="11">
        <v>0</v>
      </c>
      <c r="N203" s="11">
        <v>0</v>
      </c>
      <c r="O203" s="11">
        <v>0</v>
      </c>
      <c r="P203" s="11">
        <v>0</v>
      </c>
      <c r="Q203" s="12">
        <v>0</v>
      </c>
      <c r="R203" s="12">
        <v>0</v>
      </c>
      <c r="S203" s="12">
        <f>$G$203*$G$8+$H$203*$H$8+$I$203*$I$8+$J$203*$J$8+$K$203*$K$8+$L$203*$L$8+$M$203*$M$8+$N$203*$N$8+$O$203*$O$8+$P$203*$P$8</f>
        <v>0</v>
      </c>
      <c r="T203" s="12">
        <f>SUM($Q$203:$R$203)</f>
        <v>0</v>
      </c>
      <c r="U203" s="12">
        <f>$S$203+$T$203</f>
        <v>0</v>
      </c>
    </row>
    <row r="204" spans="1:21" x14ac:dyDescent="0.3">
      <c r="A204" s="13" t="s">
        <v>758</v>
      </c>
      <c r="B204" s="14" t="s">
        <v>759</v>
      </c>
      <c r="C204" s="14"/>
      <c r="D204" s="14" t="s">
        <v>760</v>
      </c>
      <c r="E204" s="14">
        <f xml:space="preserve"> IF($U$204,1,0)</f>
        <v>0</v>
      </c>
      <c r="F204" s="14" t="s">
        <v>761</v>
      </c>
      <c r="G204" s="14">
        <v>0</v>
      </c>
      <c r="H204" s="14">
        <v>0</v>
      </c>
      <c r="I204" s="14">
        <v>0</v>
      </c>
      <c r="J204" s="14">
        <v>0</v>
      </c>
      <c r="K204" s="14">
        <v>0</v>
      </c>
      <c r="L204" s="14">
        <v>0</v>
      </c>
      <c r="M204" s="14">
        <v>0</v>
      </c>
      <c r="N204" s="14">
        <v>0</v>
      </c>
      <c r="O204" s="14">
        <v>0</v>
      </c>
      <c r="P204" s="14">
        <v>0</v>
      </c>
      <c r="Q204" s="15">
        <v>0</v>
      </c>
      <c r="R204" s="15">
        <v>0</v>
      </c>
      <c r="S204" s="15">
        <f>$G$204*$G$8+$H$204*$H$8+$I$204*$I$8+$J$204*$J$8+$K$204*$K$8+$L$204*$L$8+$M$204*$M$8+$N$204*$N$8+$O$204*$O$8+$P$204*$P$8</f>
        <v>0</v>
      </c>
      <c r="T204" s="15">
        <f>SUM($Q$204:$R$204)</f>
        <v>0</v>
      </c>
      <c r="U204" s="15">
        <f>$S$204+$T$204</f>
        <v>0</v>
      </c>
    </row>
    <row r="205" spans="1:21" x14ac:dyDescent="0.3">
      <c r="A205" s="10" t="s">
        <v>762</v>
      </c>
      <c r="B205" s="11" t="s">
        <v>763</v>
      </c>
      <c r="C205" s="11"/>
      <c r="D205" s="11" t="s">
        <v>764</v>
      </c>
      <c r="E205" s="11">
        <f xml:space="preserve"> IF($U$205,1,0)</f>
        <v>0</v>
      </c>
      <c r="F205" s="11" t="s">
        <v>765</v>
      </c>
      <c r="G205" s="11">
        <v>0</v>
      </c>
      <c r="H205" s="11">
        <v>0</v>
      </c>
      <c r="I205" s="11">
        <v>0</v>
      </c>
      <c r="J205" s="11">
        <v>0</v>
      </c>
      <c r="K205" s="11">
        <v>0</v>
      </c>
      <c r="L205" s="11">
        <v>0</v>
      </c>
      <c r="M205" s="11">
        <v>0</v>
      </c>
      <c r="N205" s="11">
        <v>0</v>
      </c>
      <c r="O205" s="11">
        <v>0</v>
      </c>
      <c r="P205" s="11">
        <v>0</v>
      </c>
      <c r="Q205" s="12">
        <v>0</v>
      </c>
      <c r="R205" s="12">
        <v>0</v>
      </c>
      <c r="S205" s="12">
        <f>$G$205*$G$8+$H$205*$H$8+$I$205*$I$8+$J$205*$J$8+$K$205*$K$8+$L$205*$L$8+$M$205*$M$8+$N$205*$N$8+$O$205*$O$8+$P$205*$P$8</f>
        <v>0</v>
      </c>
      <c r="T205" s="12">
        <f>SUM($Q$205:$R$205)</f>
        <v>0</v>
      </c>
      <c r="U205" s="12">
        <f>$S$205+$T$205</f>
        <v>0</v>
      </c>
    </row>
    <row r="206" spans="1:21" x14ac:dyDescent="0.3">
      <c r="A206" s="13" t="s">
        <v>766</v>
      </c>
      <c r="B206" s="14" t="s">
        <v>767</v>
      </c>
      <c r="C206" s="14"/>
      <c r="D206" s="14" t="s">
        <v>768</v>
      </c>
      <c r="E206" s="14">
        <f xml:space="preserve"> IF($U$206,1,0)</f>
        <v>0</v>
      </c>
      <c r="F206" s="14" t="s">
        <v>769</v>
      </c>
      <c r="G206" s="14">
        <v>0</v>
      </c>
      <c r="H206" s="14">
        <v>0</v>
      </c>
      <c r="I206" s="14">
        <v>0</v>
      </c>
      <c r="J206" s="14">
        <v>0</v>
      </c>
      <c r="K206" s="14">
        <v>0</v>
      </c>
      <c r="L206" s="14">
        <v>0</v>
      </c>
      <c r="M206" s="14">
        <v>0</v>
      </c>
      <c r="N206" s="14">
        <v>0</v>
      </c>
      <c r="O206" s="14">
        <v>0</v>
      </c>
      <c r="P206" s="14">
        <v>0</v>
      </c>
      <c r="Q206" s="15">
        <v>0</v>
      </c>
      <c r="R206" s="15">
        <v>0</v>
      </c>
      <c r="S206" s="15">
        <f>$G$206*$G$8+$H$206*$H$8+$I$206*$I$8+$J$206*$J$8+$K$206*$K$8+$L$206*$L$8+$M$206*$M$8+$N$206*$N$8+$O$206*$O$8+$P$206*$P$8</f>
        <v>0</v>
      </c>
      <c r="T206" s="15">
        <f>SUM($Q$206:$R$206)</f>
        <v>0</v>
      </c>
      <c r="U206" s="15">
        <f>$S$206+$T$206</f>
        <v>0</v>
      </c>
    </row>
    <row r="207" spans="1:21" x14ac:dyDescent="0.3">
      <c r="A207" s="10" t="s">
        <v>770</v>
      </c>
      <c r="B207" s="11" t="s">
        <v>771</v>
      </c>
      <c r="C207" s="11"/>
      <c r="D207" s="11" t="s">
        <v>772</v>
      </c>
      <c r="E207" s="11">
        <f xml:space="preserve"> IF($U$207,1,0)</f>
        <v>0</v>
      </c>
      <c r="F207" s="11" t="s">
        <v>773</v>
      </c>
      <c r="G207" s="11">
        <v>0</v>
      </c>
      <c r="H207" s="11">
        <v>0</v>
      </c>
      <c r="I207" s="11">
        <v>0</v>
      </c>
      <c r="J207" s="11">
        <v>0</v>
      </c>
      <c r="K207" s="11">
        <v>0</v>
      </c>
      <c r="L207" s="11">
        <v>0</v>
      </c>
      <c r="M207" s="11">
        <v>0</v>
      </c>
      <c r="N207" s="11">
        <v>0</v>
      </c>
      <c r="O207" s="11">
        <v>0</v>
      </c>
      <c r="P207" s="11">
        <v>0</v>
      </c>
      <c r="Q207" s="12">
        <v>0</v>
      </c>
      <c r="R207" s="12">
        <v>0</v>
      </c>
      <c r="S207" s="12">
        <f>$G$207*$G$8+$H$207*$H$8+$I$207*$I$8+$J$207*$J$8+$K$207*$K$8+$L$207*$L$8+$M$207*$M$8+$N$207*$N$8+$O$207*$O$8+$P$207*$P$8</f>
        <v>0</v>
      </c>
      <c r="T207" s="12">
        <f>SUM($Q$207:$R$207)</f>
        <v>0</v>
      </c>
      <c r="U207" s="12">
        <f>$S$207+$T$207</f>
        <v>0</v>
      </c>
    </row>
    <row r="208" spans="1:21" x14ac:dyDescent="0.3">
      <c r="A208" s="13" t="s">
        <v>774</v>
      </c>
      <c r="B208" s="14" t="s">
        <v>775</v>
      </c>
      <c r="C208" s="14"/>
      <c r="D208" s="14" t="s">
        <v>776</v>
      </c>
      <c r="E208" s="14">
        <f xml:space="preserve"> IF($U$208,1,0)</f>
        <v>0</v>
      </c>
      <c r="F208" s="14" t="s">
        <v>777</v>
      </c>
      <c r="G208" s="14">
        <v>0</v>
      </c>
      <c r="H208" s="14">
        <v>0</v>
      </c>
      <c r="I208" s="14">
        <v>0</v>
      </c>
      <c r="J208" s="14">
        <v>0</v>
      </c>
      <c r="K208" s="14">
        <v>0</v>
      </c>
      <c r="L208" s="14">
        <v>0</v>
      </c>
      <c r="M208" s="14">
        <v>0</v>
      </c>
      <c r="N208" s="14">
        <v>0</v>
      </c>
      <c r="O208" s="14">
        <v>0</v>
      </c>
      <c r="P208" s="14">
        <v>0</v>
      </c>
      <c r="Q208" s="15">
        <v>0</v>
      </c>
      <c r="R208" s="15">
        <v>0</v>
      </c>
      <c r="S208" s="15">
        <f>$G$208*$G$8+$H$208*$H$8+$I$208*$I$8+$J$208*$J$8+$K$208*$K$8+$L$208*$L$8+$M$208*$M$8+$N$208*$N$8+$O$208*$O$8+$P$208*$P$8</f>
        <v>0</v>
      </c>
      <c r="T208" s="15">
        <f>SUM($Q$208:$R$208)</f>
        <v>0</v>
      </c>
      <c r="U208" s="15">
        <f>$S$208+$T$208</f>
        <v>0</v>
      </c>
    </row>
    <row r="209" spans="1:21" x14ac:dyDescent="0.3">
      <c r="A209" s="10" t="s">
        <v>778</v>
      </c>
      <c r="B209" s="11" t="s">
        <v>779</v>
      </c>
      <c r="C209" s="11"/>
      <c r="D209" s="11" t="s">
        <v>780</v>
      </c>
      <c r="E209" s="11">
        <f xml:space="preserve"> IF($U$209,1,0)</f>
        <v>0</v>
      </c>
      <c r="F209" s="11" t="s">
        <v>781</v>
      </c>
      <c r="G209" s="11">
        <v>0</v>
      </c>
      <c r="H209" s="11">
        <v>0</v>
      </c>
      <c r="I209" s="11">
        <v>0</v>
      </c>
      <c r="J209" s="11">
        <v>0</v>
      </c>
      <c r="K209" s="11">
        <v>0</v>
      </c>
      <c r="L209" s="11">
        <v>0</v>
      </c>
      <c r="M209" s="11">
        <v>0</v>
      </c>
      <c r="N209" s="11">
        <v>0</v>
      </c>
      <c r="O209" s="11">
        <v>0</v>
      </c>
      <c r="P209" s="11">
        <v>0</v>
      </c>
      <c r="Q209" s="12">
        <v>0</v>
      </c>
      <c r="R209" s="12">
        <v>0</v>
      </c>
      <c r="S209" s="12">
        <f>$G$209*$G$8+$H$209*$H$8+$I$209*$I$8+$J$209*$J$8+$K$209*$K$8+$L$209*$L$8+$M$209*$M$8+$N$209*$N$8+$O$209*$O$8+$P$209*$P$8</f>
        <v>0</v>
      </c>
      <c r="T209" s="12">
        <f>SUM($Q$209:$R$209)</f>
        <v>0</v>
      </c>
      <c r="U209" s="12">
        <f>$S$209+$T$209</f>
        <v>0</v>
      </c>
    </row>
    <row r="210" spans="1:21" x14ac:dyDescent="0.3">
      <c r="A210" s="13" t="s">
        <v>782</v>
      </c>
      <c r="B210" s="14" t="s">
        <v>779</v>
      </c>
      <c r="C210" s="14"/>
      <c r="D210" s="14" t="s">
        <v>783</v>
      </c>
      <c r="E210" s="14">
        <f xml:space="preserve"> IF($U$210,1,0)</f>
        <v>0</v>
      </c>
      <c r="F210" s="14" t="s">
        <v>784</v>
      </c>
      <c r="G210" s="14">
        <v>0</v>
      </c>
      <c r="H210" s="14">
        <v>0</v>
      </c>
      <c r="I210" s="14">
        <v>0</v>
      </c>
      <c r="J210" s="14">
        <v>0</v>
      </c>
      <c r="K210" s="14">
        <v>0</v>
      </c>
      <c r="L210" s="14">
        <v>0</v>
      </c>
      <c r="M210" s="14">
        <v>0</v>
      </c>
      <c r="N210" s="14">
        <v>0</v>
      </c>
      <c r="O210" s="14">
        <v>0</v>
      </c>
      <c r="P210" s="14">
        <v>0</v>
      </c>
      <c r="Q210" s="15">
        <v>0</v>
      </c>
      <c r="R210" s="15">
        <v>0</v>
      </c>
      <c r="S210" s="15">
        <f>$G$210*$G$8+$H$210*$H$8+$I$210*$I$8+$J$210*$J$8+$K$210*$K$8+$L$210*$L$8+$M$210*$M$8+$N$210*$N$8+$O$210*$O$8+$P$210*$P$8</f>
        <v>0</v>
      </c>
      <c r="T210" s="15">
        <f>SUM($Q$210:$R$210)</f>
        <v>0</v>
      </c>
      <c r="U210" s="15">
        <f>$S$210+$T$210</f>
        <v>0</v>
      </c>
    </row>
    <row r="211" spans="1:21" x14ac:dyDescent="0.3">
      <c r="A211" s="10" t="s">
        <v>785</v>
      </c>
      <c r="B211" s="11" t="s">
        <v>779</v>
      </c>
      <c r="C211" s="11"/>
      <c r="D211" s="11" t="s">
        <v>786</v>
      </c>
      <c r="E211" s="11">
        <f xml:space="preserve"> IF($U$211,1,0)</f>
        <v>1</v>
      </c>
      <c r="F211" s="11" t="s">
        <v>787</v>
      </c>
      <c r="G211" s="11">
        <v>1</v>
      </c>
      <c r="H211" s="11">
        <v>0</v>
      </c>
      <c r="I211" s="11">
        <v>1</v>
      </c>
      <c r="J211" s="11">
        <v>0</v>
      </c>
      <c r="K211" s="11">
        <v>0</v>
      </c>
      <c r="L211" s="11">
        <v>0</v>
      </c>
      <c r="M211" s="11">
        <v>0</v>
      </c>
      <c r="N211" s="11">
        <v>0</v>
      </c>
      <c r="O211" s="11">
        <v>0</v>
      </c>
      <c r="P211" s="11">
        <v>0</v>
      </c>
      <c r="Q211" s="12">
        <v>0</v>
      </c>
      <c r="R211" s="12">
        <v>0</v>
      </c>
      <c r="S211" s="12">
        <f>$G$211*$G$8+$H$211*$H$8+$I$211*$I$8+$J$211*$J$8+$K$211*$K$8+$L$211*$L$8+$M$211*$M$8+$N$211*$N$8+$O$211*$O$8+$P$211*$P$8</f>
        <v>1.7</v>
      </c>
      <c r="T211" s="12">
        <f>SUM($Q$211:$R$211)</f>
        <v>0</v>
      </c>
      <c r="U211" s="12">
        <f>$S$211+$T$211</f>
        <v>1.7</v>
      </c>
    </row>
    <row r="212" spans="1:21" x14ac:dyDescent="0.3">
      <c r="A212" s="13" t="s">
        <v>788</v>
      </c>
      <c r="B212" s="14" t="s">
        <v>789</v>
      </c>
      <c r="C212" s="14"/>
      <c r="D212" s="14" t="s">
        <v>790</v>
      </c>
      <c r="E212" s="14">
        <f xml:space="preserve"> IF($U$212,1,0)</f>
        <v>0</v>
      </c>
      <c r="F212" s="14" t="s">
        <v>791</v>
      </c>
      <c r="G212" s="14">
        <v>0</v>
      </c>
      <c r="H212" s="14">
        <v>0</v>
      </c>
      <c r="I212" s="14">
        <v>0</v>
      </c>
      <c r="J212" s="14">
        <v>0</v>
      </c>
      <c r="K212" s="14">
        <v>0</v>
      </c>
      <c r="L212" s="14">
        <v>0</v>
      </c>
      <c r="M212" s="14">
        <v>0</v>
      </c>
      <c r="N212" s="14">
        <v>0</v>
      </c>
      <c r="O212" s="14">
        <v>0</v>
      </c>
      <c r="P212" s="14">
        <v>0</v>
      </c>
      <c r="Q212" s="15">
        <v>0</v>
      </c>
      <c r="R212" s="15">
        <v>0</v>
      </c>
      <c r="S212" s="15">
        <f>$G$212*$G$8+$H$212*$H$8+$I$212*$I$8+$J$212*$J$8+$K$212*$K$8+$L$212*$L$8+$M$212*$M$8+$N$212*$N$8+$O$212*$O$8+$P$212*$P$8</f>
        <v>0</v>
      </c>
      <c r="T212" s="15">
        <f>SUM($Q$212:$R$212)</f>
        <v>0</v>
      </c>
      <c r="U212" s="15">
        <f>$S$212+$T$212</f>
        <v>0</v>
      </c>
    </row>
    <row r="213" spans="1:21" x14ac:dyDescent="0.3">
      <c r="A213" s="10" t="s">
        <v>792</v>
      </c>
      <c r="B213" s="11" t="s">
        <v>793</v>
      </c>
      <c r="C213" s="11"/>
      <c r="D213" s="11" t="s">
        <v>794</v>
      </c>
      <c r="E213" s="11">
        <f xml:space="preserve"> IF($U$213,1,0)</f>
        <v>0</v>
      </c>
      <c r="F213" s="11" t="s">
        <v>795</v>
      </c>
      <c r="G213" s="11">
        <v>0</v>
      </c>
      <c r="H213" s="11">
        <v>0</v>
      </c>
      <c r="I213" s="11">
        <v>0</v>
      </c>
      <c r="J213" s="11">
        <v>0</v>
      </c>
      <c r="K213" s="11">
        <v>0</v>
      </c>
      <c r="L213" s="11">
        <v>0</v>
      </c>
      <c r="M213" s="11">
        <v>0</v>
      </c>
      <c r="N213" s="11">
        <v>0</v>
      </c>
      <c r="O213" s="11">
        <v>0</v>
      </c>
      <c r="P213" s="11">
        <v>0</v>
      </c>
      <c r="Q213" s="12">
        <v>0</v>
      </c>
      <c r="R213" s="12">
        <v>0</v>
      </c>
      <c r="S213" s="12">
        <f>$G$213*$G$8+$H$213*$H$8+$I$213*$I$8+$J$213*$J$8+$K$213*$K$8+$L$213*$L$8+$M$213*$M$8+$N$213*$N$8+$O$213*$O$8+$P$213*$P$8</f>
        <v>0</v>
      </c>
      <c r="T213" s="12">
        <f>SUM($Q$213:$R$213)</f>
        <v>0</v>
      </c>
      <c r="U213" s="12">
        <f>$S$213+$T$213</f>
        <v>0</v>
      </c>
    </row>
    <row r="214" spans="1:21" x14ac:dyDescent="0.3">
      <c r="A214" s="13" t="s">
        <v>796</v>
      </c>
      <c r="B214" s="14" t="s">
        <v>797</v>
      </c>
      <c r="C214" s="14"/>
      <c r="D214" s="14" t="s">
        <v>798</v>
      </c>
      <c r="E214" s="14">
        <f xml:space="preserve"> IF($U$214,1,0)</f>
        <v>0</v>
      </c>
      <c r="F214" s="14" t="s">
        <v>799</v>
      </c>
      <c r="G214" s="14">
        <v>0</v>
      </c>
      <c r="H214" s="14">
        <v>0</v>
      </c>
      <c r="I214" s="14">
        <v>0</v>
      </c>
      <c r="J214" s="14">
        <v>0</v>
      </c>
      <c r="K214" s="14">
        <v>0</v>
      </c>
      <c r="L214" s="14">
        <v>0</v>
      </c>
      <c r="M214" s="14">
        <v>0</v>
      </c>
      <c r="N214" s="14">
        <v>0</v>
      </c>
      <c r="O214" s="14">
        <v>0</v>
      </c>
      <c r="P214" s="14">
        <v>0</v>
      </c>
      <c r="Q214" s="15">
        <v>0</v>
      </c>
      <c r="R214" s="15">
        <v>0</v>
      </c>
      <c r="S214" s="15">
        <f>$G$214*$G$8+$H$214*$H$8+$I$214*$I$8+$J$214*$J$8+$K$214*$K$8+$L$214*$L$8+$M$214*$M$8+$N$214*$N$8+$O$214*$O$8+$P$214*$P$8</f>
        <v>0</v>
      </c>
      <c r="T214" s="15">
        <f>SUM($Q$214:$R$214)</f>
        <v>0</v>
      </c>
      <c r="U214" s="15">
        <f>$S$214+$T$214</f>
        <v>0</v>
      </c>
    </row>
    <row r="215" spans="1:21" x14ac:dyDescent="0.3">
      <c r="A215" s="10" t="s">
        <v>800</v>
      </c>
      <c r="B215" s="11" t="s">
        <v>797</v>
      </c>
      <c r="C215" s="11" t="s">
        <v>34</v>
      </c>
      <c r="D215" s="11" t="s">
        <v>801</v>
      </c>
      <c r="E215" s="11">
        <f xml:space="preserve"> IF($U$215,1,0)</f>
        <v>0</v>
      </c>
      <c r="F215" s="11" t="s">
        <v>802</v>
      </c>
      <c r="G215" s="11">
        <v>0</v>
      </c>
      <c r="H215" s="11">
        <v>0</v>
      </c>
      <c r="I215" s="11">
        <v>0</v>
      </c>
      <c r="J215" s="11">
        <v>0</v>
      </c>
      <c r="K215" s="11">
        <v>0</v>
      </c>
      <c r="L215" s="11">
        <v>0</v>
      </c>
      <c r="M215" s="11">
        <v>0</v>
      </c>
      <c r="N215" s="11">
        <v>0</v>
      </c>
      <c r="O215" s="11">
        <v>0</v>
      </c>
      <c r="P215" s="11">
        <v>0</v>
      </c>
      <c r="Q215" s="12">
        <v>0</v>
      </c>
      <c r="R215" s="12">
        <v>0</v>
      </c>
      <c r="S215" s="12">
        <f>$G$215*$G$8+$H$215*$H$8+$I$215*$I$8+$J$215*$J$8+$K$215*$K$8+$L$215*$L$8+$M$215*$M$8+$N$215*$N$8+$O$215*$O$8+$P$215*$P$8</f>
        <v>0</v>
      </c>
      <c r="T215" s="12">
        <f>SUM($Q$215:$R$215)</f>
        <v>0</v>
      </c>
      <c r="U215" s="12">
        <f>$S$215+$T$215</f>
        <v>0</v>
      </c>
    </row>
    <row r="216" spans="1:21" x14ac:dyDescent="0.3">
      <c r="A216" s="13" t="s">
        <v>803</v>
      </c>
      <c r="B216" s="14" t="s">
        <v>804</v>
      </c>
      <c r="C216" s="14" t="s">
        <v>34</v>
      </c>
      <c r="D216" s="14" t="s">
        <v>805</v>
      </c>
      <c r="E216" s="14">
        <f xml:space="preserve"> IF($U$216,1,0)</f>
        <v>0</v>
      </c>
      <c r="F216" s="14" t="s">
        <v>806</v>
      </c>
      <c r="G216" s="14">
        <v>0</v>
      </c>
      <c r="H216" s="14">
        <v>0</v>
      </c>
      <c r="I216" s="14">
        <v>0</v>
      </c>
      <c r="J216" s="14">
        <v>0</v>
      </c>
      <c r="K216" s="14">
        <v>0</v>
      </c>
      <c r="L216" s="14">
        <v>0</v>
      </c>
      <c r="M216" s="14">
        <v>0</v>
      </c>
      <c r="N216" s="14">
        <v>0</v>
      </c>
      <c r="O216" s="14">
        <v>0</v>
      </c>
      <c r="P216" s="14">
        <v>0</v>
      </c>
      <c r="Q216" s="15">
        <v>0</v>
      </c>
      <c r="R216" s="15">
        <v>0</v>
      </c>
      <c r="S216" s="15">
        <f>$G$216*$G$8+$H$216*$H$8+$I$216*$I$8+$J$216*$J$8+$K$216*$K$8+$L$216*$L$8+$M$216*$M$8+$N$216*$N$8+$O$216*$O$8+$P$216*$P$8</f>
        <v>0</v>
      </c>
      <c r="T216" s="15">
        <f>SUM($Q$216:$R$216)</f>
        <v>0</v>
      </c>
      <c r="U216" s="15">
        <f>$S$216+$T$216</f>
        <v>0</v>
      </c>
    </row>
    <row r="217" spans="1:21" x14ac:dyDescent="0.3">
      <c r="A217" s="10" t="s">
        <v>807</v>
      </c>
      <c r="B217" s="11" t="s">
        <v>808</v>
      </c>
      <c r="C217" s="11"/>
      <c r="D217" s="11" t="s">
        <v>809</v>
      </c>
      <c r="E217" s="11">
        <f xml:space="preserve"> IF($U$217,1,0)</f>
        <v>0</v>
      </c>
      <c r="F217" s="11" t="s">
        <v>810</v>
      </c>
      <c r="G217" s="11">
        <v>0</v>
      </c>
      <c r="H217" s="11">
        <v>0</v>
      </c>
      <c r="I217" s="11">
        <v>0</v>
      </c>
      <c r="J217" s="11">
        <v>0</v>
      </c>
      <c r="K217" s="11">
        <v>0</v>
      </c>
      <c r="L217" s="11">
        <v>0</v>
      </c>
      <c r="M217" s="11">
        <v>0</v>
      </c>
      <c r="N217" s="11">
        <v>0</v>
      </c>
      <c r="O217" s="11">
        <v>0</v>
      </c>
      <c r="P217" s="11">
        <v>0</v>
      </c>
      <c r="Q217" s="12">
        <v>0</v>
      </c>
      <c r="R217" s="12">
        <v>0</v>
      </c>
      <c r="S217" s="12">
        <f>$G$217*$G$8+$H$217*$H$8+$I$217*$I$8+$J$217*$J$8+$K$217*$K$8+$L$217*$L$8+$M$217*$M$8+$N$217*$N$8+$O$217*$O$8+$P$217*$P$8</f>
        <v>0</v>
      </c>
      <c r="T217" s="12">
        <f>SUM($Q$217:$R$217)</f>
        <v>0</v>
      </c>
      <c r="U217" s="12">
        <f>$S$217+$T$217</f>
        <v>0</v>
      </c>
    </row>
    <row r="218" spans="1:21" x14ac:dyDescent="0.3">
      <c r="A218" s="13" t="s">
        <v>811</v>
      </c>
      <c r="B218" s="14" t="s">
        <v>812</v>
      </c>
      <c r="C218" s="14"/>
      <c r="D218" s="14" t="s">
        <v>813</v>
      </c>
      <c r="E218" s="14">
        <f xml:space="preserve"> IF($U$218,1,0)</f>
        <v>0</v>
      </c>
      <c r="F218" s="14" t="s">
        <v>814</v>
      </c>
      <c r="G218" s="14">
        <v>0</v>
      </c>
      <c r="H218" s="14">
        <v>0</v>
      </c>
      <c r="I218" s="14">
        <v>0</v>
      </c>
      <c r="J218" s="14">
        <v>0</v>
      </c>
      <c r="K218" s="14">
        <v>0</v>
      </c>
      <c r="L218" s="14">
        <v>0</v>
      </c>
      <c r="M218" s="14">
        <v>0</v>
      </c>
      <c r="N218" s="14">
        <v>0</v>
      </c>
      <c r="O218" s="14">
        <v>0</v>
      </c>
      <c r="P218" s="14">
        <v>0</v>
      </c>
      <c r="Q218" s="15">
        <v>0</v>
      </c>
      <c r="R218" s="15">
        <v>0</v>
      </c>
      <c r="S218" s="15">
        <f>$G$218*$G$8+$H$218*$H$8+$I$218*$I$8+$J$218*$J$8+$K$218*$K$8+$L$218*$L$8+$M$218*$M$8+$N$218*$N$8+$O$218*$O$8+$P$218*$P$8</f>
        <v>0</v>
      </c>
      <c r="T218" s="15">
        <f>SUM($Q$218:$R$218)</f>
        <v>0</v>
      </c>
      <c r="U218" s="15">
        <f>$S$218+$T$218</f>
        <v>0</v>
      </c>
    </row>
    <row r="219" spans="1:21" x14ac:dyDescent="0.3">
      <c r="A219" s="10" t="s">
        <v>815</v>
      </c>
      <c r="B219" s="11" t="s">
        <v>816</v>
      </c>
      <c r="C219" s="11"/>
      <c r="D219" s="11" t="s">
        <v>817</v>
      </c>
      <c r="E219" s="11">
        <f xml:space="preserve"> IF($U$219,1,0)</f>
        <v>0</v>
      </c>
      <c r="F219" s="11" t="s">
        <v>818</v>
      </c>
      <c r="G219" s="11">
        <v>0</v>
      </c>
      <c r="H219" s="11">
        <v>0</v>
      </c>
      <c r="I219" s="11">
        <v>0</v>
      </c>
      <c r="J219" s="11">
        <v>0</v>
      </c>
      <c r="K219" s="11">
        <v>0</v>
      </c>
      <c r="L219" s="11">
        <v>0</v>
      </c>
      <c r="M219" s="11">
        <v>0</v>
      </c>
      <c r="N219" s="11">
        <v>0</v>
      </c>
      <c r="O219" s="11">
        <v>0</v>
      </c>
      <c r="P219" s="11">
        <v>0</v>
      </c>
      <c r="Q219" s="12">
        <v>0</v>
      </c>
      <c r="R219" s="12">
        <v>0</v>
      </c>
      <c r="S219" s="12">
        <f>$G$219*$G$8+$H$219*$H$8+$I$219*$I$8+$J$219*$J$8+$K$219*$K$8+$L$219*$L$8+$M$219*$M$8+$N$219*$N$8+$O$219*$O$8+$P$219*$P$8</f>
        <v>0</v>
      </c>
      <c r="T219" s="12">
        <f>SUM($Q$219:$R$219)</f>
        <v>0</v>
      </c>
      <c r="U219" s="12">
        <f>$S$219+$T$219</f>
        <v>0</v>
      </c>
    </row>
    <row r="220" spans="1:21" x14ac:dyDescent="0.3">
      <c r="A220" s="13" t="s">
        <v>819</v>
      </c>
      <c r="B220" s="14" t="s">
        <v>820</v>
      </c>
      <c r="C220" s="14"/>
      <c r="D220" s="14" t="s">
        <v>821</v>
      </c>
      <c r="E220" s="14">
        <f xml:space="preserve"> IF($U$220,1,0)</f>
        <v>0</v>
      </c>
      <c r="F220" s="14" t="s">
        <v>822</v>
      </c>
      <c r="G220" s="14">
        <v>0</v>
      </c>
      <c r="H220" s="14">
        <v>0</v>
      </c>
      <c r="I220" s="14">
        <v>0</v>
      </c>
      <c r="J220" s="14">
        <v>0</v>
      </c>
      <c r="K220" s="14">
        <v>0</v>
      </c>
      <c r="L220" s="14">
        <v>0</v>
      </c>
      <c r="M220" s="14">
        <v>0</v>
      </c>
      <c r="N220" s="14">
        <v>0</v>
      </c>
      <c r="O220" s="14">
        <v>0</v>
      </c>
      <c r="P220" s="14">
        <v>0</v>
      </c>
      <c r="Q220" s="15">
        <v>0</v>
      </c>
      <c r="R220" s="15">
        <v>0</v>
      </c>
      <c r="S220" s="15">
        <f>$G$220*$G$8+$H$220*$H$8+$I$220*$I$8+$J$220*$J$8+$K$220*$K$8+$L$220*$L$8+$M$220*$M$8+$N$220*$N$8+$O$220*$O$8+$P$220*$P$8</f>
        <v>0</v>
      </c>
      <c r="T220" s="15">
        <f>SUM($Q$220:$R$220)</f>
        <v>0</v>
      </c>
      <c r="U220" s="15">
        <f>$S$220+$T$220</f>
        <v>0</v>
      </c>
    </row>
    <row r="221" spans="1:21" x14ac:dyDescent="0.3">
      <c r="A221" s="10" t="s">
        <v>823</v>
      </c>
      <c r="B221" s="11" t="s">
        <v>824</v>
      </c>
      <c r="C221" s="11"/>
      <c r="D221" s="11" t="s">
        <v>825</v>
      </c>
      <c r="E221" s="11">
        <f xml:space="preserve"> IF($U$221,1,0)</f>
        <v>0</v>
      </c>
      <c r="F221" s="11" t="s">
        <v>826</v>
      </c>
      <c r="G221" s="11">
        <v>0</v>
      </c>
      <c r="H221" s="11">
        <v>0</v>
      </c>
      <c r="I221" s="11">
        <v>0</v>
      </c>
      <c r="J221" s="11">
        <v>0</v>
      </c>
      <c r="K221" s="11">
        <v>0</v>
      </c>
      <c r="L221" s="11">
        <v>0</v>
      </c>
      <c r="M221" s="11">
        <v>0</v>
      </c>
      <c r="N221" s="11">
        <v>0</v>
      </c>
      <c r="O221" s="11">
        <v>0</v>
      </c>
      <c r="P221" s="11">
        <v>0</v>
      </c>
      <c r="Q221" s="12">
        <v>0</v>
      </c>
      <c r="R221" s="12">
        <v>0</v>
      </c>
      <c r="S221" s="12">
        <f>$G$221*$G$8+$H$221*$H$8+$I$221*$I$8+$J$221*$J$8+$K$221*$K$8+$L$221*$L$8+$M$221*$M$8+$N$221*$N$8+$O$221*$O$8+$P$221*$P$8</f>
        <v>0</v>
      </c>
      <c r="T221" s="12">
        <f>SUM($Q$221:$R$221)</f>
        <v>0</v>
      </c>
      <c r="U221" s="12">
        <f>$S$221+$T$221</f>
        <v>0</v>
      </c>
    </row>
    <row r="222" spans="1:21" x14ac:dyDescent="0.3">
      <c r="A222" s="13" t="s">
        <v>827</v>
      </c>
      <c r="B222" s="14" t="s">
        <v>828</v>
      </c>
      <c r="C222" s="14"/>
      <c r="D222" s="14" t="s">
        <v>829</v>
      </c>
      <c r="E222" s="14">
        <f xml:space="preserve"> IF($U$222,1,0)</f>
        <v>0</v>
      </c>
      <c r="F222" s="14" t="s">
        <v>830</v>
      </c>
      <c r="G222" s="14">
        <v>0</v>
      </c>
      <c r="H222" s="14">
        <v>0</v>
      </c>
      <c r="I222" s="14">
        <v>0</v>
      </c>
      <c r="J222" s="14">
        <v>0</v>
      </c>
      <c r="K222" s="14">
        <v>0</v>
      </c>
      <c r="L222" s="14">
        <v>0</v>
      </c>
      <c r="M222" s="14">
        <v>0</v>
      </c>
      <c r="N222" s="14">
        <v>0</v>
      </c>
      <c r="O222" s="14">
        <v>0</v>
      </c>
      <c r="P222" s="14">
        <v>0</v>
      </c>
      <c r="Q222" s="15">
        <v>0</v>
      </c>
      <c r="R222" s="15">
        <v>0</v>
      </c>
      <c r="S222" s="15">
        <f>$G$222*$G$8+$H$222*$H$8+$I$222*$I$8+$J$222*$J$8+$K$222*$K$8+$L$222*$L$8+$M$222*$M$8+$N$222*$N$8+$O$222*$O$8+$P$222*$P$8</f>
        <v>0</v>
      </c>
      <c r="T222" s="15">
        <f>SUM($Q$222:$R$222)</f>
        <v>0</v>
      </c>
      <c r="U222" s="15">
        <f>$S$222+$T$222</f>
        <v>0</v>
      </c>
    </row>
    <row r="223" spans="1:21" x14ac:dyDescent="0.3">
      <c r="A223" s="10" t="s">
        <v>831</v>
      </c>
      <c r="B223" s="11" t="s">
        <v>832</v>
      </c>
      <c r="C223" s="11"/>
      <c r="D223" s="11" t="s">
        <v>833</v>
      </c>
      <c r="E223" s="11">
        <f xml:space="preserve"> IF($U$223,1,0)</f>
        <v>1</v>
      </c>
      <c r="F223" s="11" t="s">
        <v>834</v>
      </c>
      <c r="G223" s="11">
        <v>5</v>
      </c>
      <c r="H223" s="11">
        <v>0</v>
      </c>
      <c r="I223" s="11">
        <v>0</v>
      </c>
      <c r="J223" s="11">
        <v>0</v>
      </c>
      <c r="K223" s="11">
        <v>0</v>
      </c>
      <c r="L223" s="11">
        <v>0</v>
      </c>
      <c r="M223" s="11">
        <v>0</v>
      </c>
      <c r="N223" s="11">
        <v>0</v>
      </c>
      <c r="O223" s="11">
        <v>0</v>
      </c>
      <c r="P223" s="11">
        <v>0</v>
      </c>
      <c r="Q223" s="12">
        <v>0</v>
      </c>
      <c r="R223" s="12">
        <v>0</v>
      </c>
      <c r="S223" s="12">
        <f>$G$223*$G$8+$H$223*$H$8+$I$223*$I$8+$J$223*$J$8+$K$223*$K$8+$L$223*$L$8+$M$223*$M$8+$N$223*$N$8+$O$223*$O$8+$P$223*$P$8</f>
        <v>3.5</v>
      </c>
      <c r="T223" s="12">
        <f>SUM($Q$223:$R$223)</f>
        <v>0</v>
      </c>
      <c r="U223" s="12">
        <f>$S$223+$T$223</f>
        <v>3.5</v>
      </c>
    </row>
    <row r="224" spans="1:21" x14ac:dyDescent="0.3">
      <c r="A224" s="13" t="s">
        <v>835</v>
      </c>
      <c r="B224" s="14" t="s">
        <v>836</v>
      </c>
      <c r="C224" s="14"/>
      <c r="D224" s="14" t="s">
        <v>837</v>
      </c>
      <c r="E224" s="14">
        <f xml:space="preserve"> IF($U$224,1,0)</f>
        <v>0</v>
      </c>
      <c r="F224" s="14" t="s">
        <v>838</v>
      </c>
      <c r="G224" s="14">
        <v>0</v>
      </c>
      <c r="H224" s="14">
        <v>0</v>
      </c>
      <c r="I224" s="14">
        <v>0</v>
      </c>
      <c r="J224" s="14">
        <v>0</v>
      </c>
      <c r="K224" s="14">
        <v>0</v>
      </c>
      <c r="L224" s="14">
        <v>0</v>
      </c>
      <c r="M224" s="14">
        <v>0</v>
      </c>
      <c r="N224" s="14">
        <v>0</v>
      </c>
      <c r="O224" s="14">
        <v>0</v>
      </c>
      <c r="P224" s="14">
        <v>0</v>
      </c>
      <c r="Q224" s="15">
        <v>0</v>
      </c>
      <c r="R224" s="15">
        <v>0</v>
      </c>
      <c r="S224" s="15">
        <f>$G$224*$G$8+$H$224*$H$8+$I$224*$I$8+$J$224*$J$8+$K$224*$K$8+$L$224*$L$8+$M$224*$M$8+$N$224*$N$8+$O$224*$O$8+$P$224*$P$8</f>
        <v>0</v>
      </c>
      <c r="T224" s="15">
        <f>SUM($Q$224:$R$224)</f>
        <v>0</v>
      </c>
      <c r="U224" s="15">
        <f>$S$224+$T$224</f>
        <v>0</v>
      </c>
    </row>
    <row r="225" spans="1:21" x14ac:dyDescent="0.3">
      <c r="A225" s="10" t="s">
        <v>839</v>
      </c>
      <c r="B225" s="11" t="s">
        <v>840</v>
      </c>
      <c r="C225" s="11"/>
      <c r="D225" s="11" t="s">
        <v>841</v>
      </c>
      <c r="E225" s="11">
        <f xml:space="preserve"> IF($U$225,1,0)</f>
        <v>0</v>
      </c>
      <c r="F225" s="11" t="s">
        <v>842</v>
      </c>
      <c r="G225" s="11">
        <v>0</v>
      </c>
      <c r="H225" s="11">
        <v>0</v>
      </c>
      <c r="I225" s="11">
        <v>0</v>
      </c>
      <c r="J225" s="11">
        <v>0</v>
      </c>
      <c r="K225" s="11">
        <v>0</v>
      </c>
      <c r="L225" s="11">
        <v>0</v>
      </c>
      <c r="M225" s="11">
        <v>0</v>
      </c>
      <c r="N225" s="11">
        <v>0</v>
      </c>
      <c r="O225" s="11">
        <v>0</v>
      </c>
      <c r="P225" s="11">
        <v>0</v>
      </c>
      <c r="Q225" s="12">
        <v>0</v>
      </c>
      <c r="R225" s="12">
        <v>0</v>
      </c>
      <c r="S225" s="12">
        <f>$G$225*$G$8+$H$225*$H$8+$I$225*$I$8+$J$225*$J$8+$K$225*$K$8+$L$225*$L$8+$M$225*$M$8+$N$225*$N$8+$O$225*$O$8+$P$225*$P$8</f>
        <v>0</v>
      </c>
      <c r="T225" s="12">
        <f>SUM($Q$225:$R$225)</f>
        <v>0</v>
      </c>
      <c r="U225" s="12">
        <f>$S$225+$T$225</f>
        <v>0</v>
      </c>
    </row>
    <row r="226" spans="1:21" x14ac:dyDescent="0.3">
      <c r="A226" s="13" t="s">
        <v>843</v>
      </c>
      <c r="B226" s="14" t="s">
        <v>844</v>
      </c>
      <c r="C226" s="14"/>
      <c r="D226" s="14" t="s">
        <v>845</v>
      </c>
      <c r="E226" s="14">
        <f xml:space="preserve"> IF($U$226,1,0)</f>
        <v>0</v>
      </c>
      <c r="F226" s="14" t="s">
        <v>846</v>
      </c>
      <c r="G226" s="14">
        <v>0</v>
      </c>
      <c r="H226" s="14">
        <v>0</v>
      </c>
      <c r="I226" s="14">
        <v>0</v>
      </c>
      <c r="J226" s="14">
        <v>0</v>
      </c>
      <c r="K226" s="14">
        <v>0</v>
      </c>
      <c r="L226" s="14">
        <v>0</v>
      </c>
      <c r="M226" s="14">
        <v>0</v>
      </c>
      <c r="N226" s="14">
        <v>0</v>
      </c>
      <c r="O226" s="14">
        <v>0</v>
      </c>
      <c r="P226" s="14">
        <v>0</v>
      </c>
      <c r="Q226" s="15">
        <v>0</v>
      </c>
      <c r="R226" s="15">
        <v>0</v>
      </c>
      <c r="S226" s="15">
        <f>$G$226*$G$8+$H$226*$H$8+$I$226*$I$8+$J$226*$J$8+$K$226*$K$8+$L$226*$L$8+$M$226*$M$8+$N$226*$N$8+$O$226*$O$8+$P$226*$P$8</f>
        <v>0</v>
      </c>
      <c r="T226" s="15">
        <f>SUM($Q$226:$R$226)</f>
        <v>0</v>
      </c>
      <c r="U226" s="15">
        <f>$S$226+$T$226</f>
        <v>0</v>
      </c>
    </row>
    <row r="227" spans="1:21" x14ac:dyDescent="0.3">
      <c r="A227" s="10" t="s">
        <v>847</v>
      </c>
      <c r="B227" s="11" t="s">
        <v>848</v>
      </c>
      <c r="C227" s="11" t="s">
        <v>202</v>
      </c>
      <c r="D227" s="11" t="s">
        <v>849</v>
      </c>
      <c r="E227" s="11">
        <f xml:space="preserve"> IF($U$227,1,0)</f>
        <v>1</v>
      </c>
      <c r="F227" s="11" t="s">
        <v>850</v>
      </c>
      <c r="G227" s="11">
        <v>0</v>
      </c>
      <c r="H227" s="11">
        <v>4</v>
      </c>
      <c r="I227" s="11">
        <v>0</v>
      </c>
      <c r="J227" s="11">
        <v>0</v>
      </c>
      <c r="K227" s="11">
        <v>0</v>
      </c>
      <c r="L227" s="11">
        <v>0</v>
      </c>
      <c r="M227" s="11">
        <v>0</v>
      </c>
      <c r="N227" s="11">
        <v>0</v>
      </c>
      <c r="O227" s="11">
        <v>0</v>
      </c>
      <c r="P227" s="11">
        <v>0</v>
      </c>
      <c r="Q227" s="12">
        <v>0</v>
      </c>
      <c r="R227" s="12">
        <v>0</v>
      </c>
      <c r="S227" s="12">
        <f>$G$227*$G$8+$H$227*$H$8+$I$227*$I$8+$J$227*$J$8+$K$227*$K$8+$L$227*$L$8+$M$227*$M$8+$N$227*$N$8+$O$227*$O$8+$P$227*$P$8</f>
        <v>7.2</v>
      </c>
      <c r="T227" s="12">
        <f>SUM($Q$227:$R$227)</f>
        <v>0</v>
      </c>
      <c r="U227" s="12">
        <f>$S$227+$T$227</f>
        <v>7.2</v>
      </c>
    </row>
    <row r="228" spans="1:21" x14ac:dyDescent="0.3">
      <c r="A228" s="13" t="s">
        <v>851</v>
      </c>
      <c r="B228" s="14" t="s">
        <v>852</v>
      </c>
      <c r="C228" s="14"/>
      <c r="D228" s="14" t="s">
        <v>853</v>
      </c>
      <c r="E228" s="14">
        <f xml:space="preserve"> IF($U$228,1,0)</f>
        <v>0</v>
      </c>
      <c r="F228" s="14" t="s">
        <v>854</v>
      </c>
      <c r="G228" s="14">
        <v>0</v>
      </c>
      <c r="H228" s="14">
        <v>0</v>
      </c>
      <c r="I228" s="14">
        <v>0</v>
      </c>
      <c r="J228" s="14">
        <v>0</v>
      </c>
      <c r="K228" s="14">
        <v>0</v>
      </c>
      <c r="L228" s="14">
        <v>0</v>
      </c>
      <c r="M228" s="14">
        <v>0</v>
      </c>
      <c r="N228" s="14">
        <v>0</v>
      </c>
      <c r="O228" s="14">
        <v>0</v>
      </c>
      <c r="P228" s="14">
        <v>0</v>
      </c>
      <c r="Q228" s="15">
        <v>0</v>
      </c>
      <c r="R228" s="15">
        <v>0</v>
      </c>
      <c r="S228" s="15">
        <f>$G$228*$G$8+$H$228*$H$8+$I$228*$I$8+$J$228*$J$8+$K$228*$K$8+$L$228*$L$8+$M$228*$M$8+$N$228*$N$8+$O$228*$O$8+$P$228*$P$8</f>
        <v>0</v>
      </c>
      <c r="T228" s="15">
        <f>SUM($Q$228:$R$228)</f>
        <v>0</v>
      </c>
      <c r="U228" s="15">
        <f>$S$228+$T$228</f>
        <v>0</v>
      </c>
    </row>
    <row r="229" spans="1:21" x14ac:dyDescent="0.3">
      <c r="A229" s="10" t="s">
        <v>855</v>
      </c>
      <c r="B229" s="11" t="s">
        <v>856</v>
      </c>
      <c r="C229" s="11"/>
      <c r="D229" s="11" t="s">
        <v>790</v>
      </c>
      <c r="E229" s="11">
        <f xml:space="preserve"> IF($U$229,1,0)</f>
        <v>0</v>
      </c>
      <c r="F229" s="11" t="s">
        <v>857</v>
      </c>
      <c r="G229" s="11">
        <v>0</v>
      </c>
      <c r="H229" s="11">
        <v>0</v>
      </c>
      <c r="I229" s="11">
        <v>0</v>
      </c>
      <c r="J229" s="11">
        <v>0</v>
      </c>
      <c r="K229" s="11">
        <v>0</v>
      </c>
      <c r="L229" s="11">
        <v>0</v>
      </c>
      <c r="M229" s="11">
        <v>0</v>
      </c>
      <c r="N229" s="11">
        <v>0</v>
      </c>
      <c r="O229" s="11">
        <v>0</v>
      </c>
      <c r="P229" s="11">
        <v>0</v>
      </c>
      <c r="Q229" s="12">
        <v>0</v>
      </c>
      <c r="R229" s="12">
        <v>0</v>
      </c>
      <c r="S229" s="12">
        <f>$G$229*$G$8+$H$229*$H$8+$I$229*$I$8+$J$229*$J$8+$K$229*$K$8+$L$229*$L$8+$M$229*$M$8+$N$229*$N$8+$O$229*$O$8+$P$229*$P$8</f>
        <v>0</v>
      </c>
      <c r="T229" s="12">
        <f>SUM($Q$229:$R$229)</f>
        <v>0</v>
      </c>
      <c r="U229" s="12">
        <f>$S$229+$T$229</f>
        <v>0</v>
      </c>
    </row>
    <row r="230" spans="1:21" x14ac:dyDescent="0.3">
      <c r="A230" s="13" t="s">
        <v>858</v>
      </c>
      <c r="B230" s="14" t="s">
        <v>859</v>
      </c>
      <c r="C230" s="14"/>
      <c r="D230" s="14" t="s">
        <v>860</v>
      </c>
      <c r="E230" s="14">
        <f xml:space="preserve"> IF($U$230,1,0)</f>
        <v>0</v>
      </c>
      <c r="F230" s="14" t="s">
        <v>861</v>
      </c>
      <c r="G230" s="14">
        <v>0</v>
      </c>
      <c r="H230" s="14">
        <v>0</v>
      </c>
      <c r="I230" s="14">
        <v>0</v>
      </c>
      <c r="J230" s="14">
        <v>0</v>
      </c>
      <c r="K230" s="14">
        <v>0</v>
      </c>
      <c r="L230" s="14">
        <v>0</v>
      </c>
      <c r="M230" s="14">
        <v>0</v>
      </c>
      <c r="N230" s="14">
        <v>0</v>
      </c>
      <c r="O230" s="14">
        <v>0</v>
      </c>
      <c r="P230" s="14">
        <v>0</v>
      </c>
      <c r="Q230" s="15">
        <v>0</v>
      </c>
      <c r="R230" s="15">
        <v>0</v>
      </c>
      <c r="S230" s="15">
        <f>$G$230*$G$8+$H$230*$H$8+$I$230*$I$8+$J$230*$J$8+$K$230*$K$8+$L$230*$L$8+$M$230*$M$8+$N$230*$N$8+$O$230*$O$8+$P$230*$P$8</f>
        <v>0</v>
      </c>
      <c r="T230" s="15">
        <f>SUM($Q$230:$R$230)</f>
        <v>0</v>
      </c>
      <c r="U230" s="15">
        <f>$S$230+$T$230</f>
        <v>0</v>
      </c>
    </row>
    <row r="231" spans="1:21" x14ac:dyDescent="0.3">
      <c r="A231" s="10" t="s">
        <v>862</v>
      </c>
      <c r="B231" s="11" t="s">
        <v>863</v>
      </c>
      <c r="C231" s="11"/>
      <c r="D231" s="11" t="s">
        <v>864</v>
      </c>
      <c r="E231" s="11">
        <f xml:space="preserve"> IF($U$231,1,0)</f>
        <v>0</v>
      </c>
      <c r="F231" s="11" t="s">
        <v>865</v>
      </c>
      <c r="G231" s="11">
        <v>0</v>
      </c>
      <c r="H231" s="11">
        <v>0</v>
      </c>
      <c r="I231" s="11">
        <v>0</v>
      </c>
      <c r="J231" s="11">
        <v>0</v>
      </c>
      <c r="K231" s="11">
        <v>0</v>
      </c>
      <c r="L231" s="11">
        <v>0</v>
      </c>
      <c r="M231" s="11">
        <v>0</v>
      </c>
      <c r="N231" s="11">
        <v>0</v>
      </c>
      <c r="O231" s="11">
        <v>0</v>
      </c>
      <c r="P231" s="11">
        <v>0</v>
      </c>
      <c r="Q231" s="12">
        <v>0</v>
      </c>
      <c r="R231" s="12">
        <v>0</v>
      </c>
      <c r="S231" s="12">
        <f>$G$231*$G$8+$H$231*$H$8+$I$231*$I$8+$J$231*$J$8+$K$231*$K$8+$L$231*$L$8+$M$231*$M$8+$N$231*$N$8+$O$231*$O$8+$P$231*$P$8</f>
        <v>0</v>
      </c>
      <c r="T231" s="12">
        <f>SUM($Q$231:$R$231)</f>
        <v>0</v>
      </c>
      <c r="U231" s="12">
        <f>$S$231+$T$231</f>
        <v>0</v>
      </c>
    </row>
    <row r="232" spans="1:21" x14ac:dyDescent="0.3">
      <c r="A232" s="13" t="s">
        <v>866</v>
      </c>
      <c r="B232" s="14" t="s">
        <v>867</v>
      </c>
      <c r="C232" s="14"/>
      <c r="D232" s="14" t="s">
        <v>868</v>
      </c>
      <c r="E232" s="14">
        <f xml:space="preserve"> IF($U$232,1,0)</f>
        <v>0</v>
      </c>
      <c r="F232" s="14" t="s">
        <v>869</v>
      </c>
      <c r="G232" s="14">
        <v>0</v>
      </c>
      <c r="H232" s="14">
        <v>0</v>
      </c>
      <c r="I232" s="14">
        <v>0</v>
      </c>
      <c r="J232" s="14">
        <v>0</v>
      </c>
      <c r="K232" s="14">
        <v>0</v>
      </c>
      <c r="L232" s="14">
        <v>0</v>
      </c>
      <c r="M232" s="14">
        <v>0</v>
      </c>
      <c r="N232" s="14">
        <v>0</v>
      </c>
      <c r="O232" s="14">
        <v>0</v>
      </c>
      <c r="P232" s="14">
        <v>0</v>
      </c>
      <c r="Q232" s="15">
        <v>0</v>
      </c>
      <c r="R232" s="15">
        <v>0</v>
      </c>
      <c r="S232" s="15">
        <f>$G$232*$G$8+$H$232*$H$8+$I$232*$I$8+$J$232*$J$8+$K$232*$K$8+$L$232*$L$8+$M$232*$M$8+$N$232*$N$8+$O$232*$O$8+$P$232*$P$8</f>
        <v>0</v>
      </c>
      <c r="T232" s="15">
        <f>SUM($Q$232:$R$232)</f>
        <v>0</v>
      </c>
      <c r="U232" s="15">
        <f>$S$232+$T$232</f>
        <v>0</v>
      </c>
    </row>
    <row r="233" spans="1:21" x14ac:dyDescent="0.3">
      <c r="A233" s="10" t="s">
        <v>870</v>
      </c>
      <c r="B233" s="11" t="s">
        <v>871</v>
      </c>
      <c r="C233" s="11" t="s">
        <v>243</v>
      </c>
      <c r="D233" s="11" t="s">
        <v>399</v>
      </c>
      <c r="E233" s="11">
        <f xml:space="preserve"> IF($U$233,1,0)</f>
        <v>0</v>
      </c>
      <c r="F233" s="11" t="s">
        <v>872</v>
      </c>
      <c r="G233" s="11">
        <v>0</v>
      </c>
      <c r="H233" s="11">
        <v>0</v>
      </c>
      <c r="I233" s="11">
        <v>0</v>
      </c>
      <c r="J233" s="11">
        <v>0</v>
      </c>
      <c r="K233" s="11">
        <v>0</v>
      </c>
      <c r="L233" s="11">
        <v>0</v>
      </c>
      <c r="M233" s="11">
        <v>0</v>
      </c>
      <c r="N233" s="11">
        <v>0</v>
      </c>
      <c r="O233" s="11">
        <v>0</v>
      </c>
      <c r="P233" s="11">
        <v>0</v>
      </c>
      <c r="Q233" s="12">
        <v>0</v>
      </c>
      <c r="R233" s="12">
        <v>0</v>
      </c>
      <c r="S233" s="12">
        <f>$G$233*$G$8+$H$233*$H$8+$I$233*$I$8+$J$233*$J$8+$K$233*$K$8+$L$233*$L$8+$M$233*$M$8+$N$233*$N$8+$O$233*$O$8+$P$233*$P$8</f>
        <v>0</v>
      </c>
      <c r="T233" s="12">
        <f>SUM($Q$233:$R$233)</f>
        <v>0</v>
      </c>
      <c r="U233" s="12">
        <f>$S$233+$T$233</f>
        <v>0</v>
      </c>
    </row>
    <row r="234" spans="1:21" x14ac:dyDescent="0.3">
      <c r="A234" s="13" t="s">
        <v>873</v>
      </c>
      <c r="B234" s="14" t="s">
        <v>874</v>
      </c>
      <c r="C234" s="14"/>
      <c r="D234" s="14" t="s">
        <v>875</v>
      </c>
      <c r="E234" s="14">
        <f xml:space="preserve"> IF($U$234,1,0)</f>
        <v>0</v>
      </c>
      <c r="F234" s="14" t="s">
        <v>876</v>
      </c>
      <c r="G234" s="14">
        <v>0</v>
      </c>
      <c r="H234" s="14">
        <v>0</v>
      </c>
      <c r="I234" s="14">
        <v>0</v>
      </c>
      <c r="J234" s="14">
        <v>0</v>
      </c>
      <c r="K234" s="14">
        <v>0</v>
      </c>
      <c r="L234" s="14">
        <v>0</v>
      </c>
      <c r="M234" s="14">
        <v>0</v>
      </c>
      <c r="N234" s="14">
        <v>0</v>
      </c>
      <c r="O234" s="14">
        <v>0</v>
      </c>
      <c r="P234" s="14">
        <v>0</v>
      </c>
      <c r="Q234" s="15">
        <v>0</v>
      </c>
      <c r="R234" s="15">
        <v>0</v>
      </c>
      <c r="S234" s="15">
        <f>$G$234*$G$8+$H$234*$H$8+$I$234*$I$8+$J$234*$J$8+$K$234*$K$8+$L$234*$L$8+$M$234*$M$8+$N$234*$N$8+$O$234*$O$8+$P$234*$P$8</f>
        <v>0</v>
      </c>
      <c r="T234" s="15">
        <f>SUM($Q$234:$R$234)</f>
        <v>0</v>
      </c>
      <c r="U234" s="15">
        <f>$S$234+$T$234</f>
        <v>0</v>
      </c>
    </row>
    <row r="235" spans="1:21" x14ac:dyDescent="0.3">
      <c r="A235" s="10" t="s">
        <v>877</v>
      </c>
      <c r="B235" s="11" t="s">
        <v>878</v>
      </c>
      <c r="C235" s="11"/>
      <c r="D235" s="11" t="s">
        <v>879</v>
      </c>
      <c r="E235" s="11">
        <f xml:space="preserve"> IF($U$235,1,0)</f>
        <v>1</v>
      </c>
      <c r="F235" s="11" t="s">
        <v>880</v>
      </c>
      <c r="G235" s="11">
        <v>2</v>
      </c>
      <c r="H235" s="11">
        <v>0</v>
      </c>
      <c r="I235" s="11">
        <v>0</v>
      </c>
      <c r="J235" s="11">
        <v>0</v>
      </c>
      <c r="K235" s="11">
        <v>0</v>
      </c>
      <c r="L235" s="11">
        <v>0</v>
      </c>
      <c r="M235" s="11">
        <v>0</v>
      </c>
      <c r="N235" s="11">
        <v>0</v>
      </c>
      <c r="O235" s="11">
        <v>0</v>
      </c>
      <c r="P235" s="11">
        <v>0</v>
      </c>
      <c r="Q235" s="12">
        <v>0</v>
      </c>
      <c r="R235" s="12">
        <v>0</v>
      </c>
      <c r="S235" s="12">
        <f>$G$235*$G$8+$H$235*$H$8+$I$235*$I$8+$J$235*$J$8+$K$235*$K$8+$L$235*$L$8+$M$235*$M$8+$N$235*$N$8+$O$235*$O$8+$P$235*$P$8</f>
        <v>1.4</v>
      </c>
      <c r="T235" s="12">
        <f>SUM($Q$235:$R$235)</f>
        <v>0</v>
      </c>
      <c r="U235" s="12">
        <f>$S$235+$T$235</f>
        <v>1.4</v>
      </c>
    </row>
    <row r="236" spans="1:21" x14ac:dyDescent="0.3">
      <c r="A236" s="13" t="s">
        <v>881</v>
      </c>
      <c r="B236" s="14" t="s">
        <v>882</v>
      </c>
      <c r="C236" s="14"/>
      <c r="D236" s="14" t="s">
        <v>883</v>
      </c>
      <c r="E236" s="14">
        <f xml:space="preserve"> IF($U$236,1,0)</f>
        <v>1</v>
      </c>
      <c r="F236" s="14" t="s">
        <v>884</v>
      </c>
      <c r="G236" s="14">
        <v>3</v>
      </c>
      <c r="H236" s="14">
        <v>2</v>
      </c>
      <c r="I236" s="14">
        <v>0</v>
      </c>
      <c r="J236" s="14">
        <v>0</v>
      </c>
      <c r="K236" s="14">
        <v>0</v>
      </c>
      <c r="L236" s="14">
        <v>0</v>
      </c>
      <c r="M236" s="14">
        <v>0</v>
      </c>
      <c r="N236" s="14">
        <v>0</v>
      </c>
      <c r="O236" s="14">
        <v>0</v>
      </c>
      <c r="P236" s="14">
        <v>0</v>
      </c>
      <c r="Q236" s="15">
        <v>0</v>
      </c>
      <c r="R236" s="15">
        <v>0</v>
      </c>
      <c r="S236" s="15">
        <f>$G$236*$G$8+$H$236*$H$8+$I$236*$I$8+$J$236*$J$8+$K$236*$K$8+$L$236*$L$8+$M$236*$M$8+$N$236*$N$8+$O$236*$O$8+$P$236*$P$8</f>
        <v>5.6999999999999993</v>
      </c>
      <c r="T236" s="15">
        <f>SUM($Q$236:$R$236)</f>
        <v>0</v>
      </c>
      <c r="U236" s="15">
        <f>$S$236+$T$236</f>
        <v>5.6999999999999993</v>
      </c>
    </row>
    <row r="237" spans="1:21" x14ac:dyDescent="0.3">
      <c r="A237" s="10" t="s">
        <v>885</v>
      </c>
      <c r="B237" s="11" t="s">
        <v>886</v>
      </c>
      <c r="C237" s="11" t="s">
        <v>887</v>
      </c>
      <c r="D237" s="11" t="s">
        <v>888</v>
      </c>
      <c r="E237" s="11">
        <f xml:space="preserve"> IF($U$237,1,0)</f>
        <v>0</v>
      </c>
      <c r="F237" s="11" t="s">
        <v>889</v>
      </c>
      <c r="G237" s="11">
        <v>0</v>
      </c>
      <c r="H237" s="11">
        <v>0</v>
      </c>
      <c r="I237" s="11">
        <v>0</v>
      </c>
      <c r="J237" s="11">
        <v>0</v>
      </c>
      <c r="K237" s="11">
        <v>0</v>
      </c>
      <c r="L237" s="11">
        <v>0</v>
      </c>
      <c r="M237" s="11">
        <v>0</v>
      </c>
      <c r="N237" s="11">
        <v>0</v>
      </c>
      <c r="O237" s="11">
        <v>0</v>
      </c>
      <c r="P237" s="11">
        <v>0</v>
      </c>
      <c r="Q237" s="12">
        <v>0</v>
      </c>
      <c r="R237" s="12">
        <v>0</v>
      </c>
      <c r="S237" s="12">
        <f>$G$237*$G$8+$H$237*$H$8+$I$237*$I$8+$J$237*$J$8+$K$237*$K$8+$L$237*$L$8+$M$237*$M$8+$N$237*$N$8+$O$237*$O$8+$P$237*$P$8</f>
        <v>0</v>
      </c>
      <c r="T237" s="12">
        <f>SUM($Q$237:$R$237)</f>
        <v>0</v>
      </c>
      <c r="U237" s="12">
        <f>$S$237+$T$237</f>
        <v>0</v>
      </c>
    </row>
    <row r="238" spans="1:21" x14ac:dyDescent="0.3">
      <c r="A238" s="13" t="s">
        <v>890</v>
      </c>
      <c r="B238" s="14" t="s">
        <v>886</v>
      </c>
      <c r="C238" s="14"/>
      <c r="D238" s="14" t="s">
        <v>891</v>
      </c>
      <c r="E238" s="14">
        <f xml:space="preserve"> IF($U$238,1,0)</f>
        <v>0</v>
      </c>
      <c r="F238" s="14" t="s">
        <v>892</v>
      </c>
      <c r="G238" s="14">
        <v>0</v>
      </c>
      <c r="H238" s="14">
        <v>0</v>
      </c>
      <c r="I238" s="14">
        <v>0</v>
      </c>
      <c r="J238" s="14">
        <v>0</v>
      </c>
      <c r="K238" s="14">
        <v>0</v>
      </c>
      <c r="L238" s="14">
        <v>0</v>
      </c>
      <c r="M238" s="14">
        <v>0</v>
      </c>
      <c r="N238" s="14">
        <v>0</v>
      </c>
      <c r="O238" s="14">
        <v>0</v>
      </c>
      <c r="P238" s="14">
        <v>0</v>
      </c>
      <c r="Q238" s="15">
        <v>0</v>
      </c>
      <c r="R238" s="15">
        <v>0</v>
      </c>
      <c r="S238" s="15">
        <f>$G$238*$G$8+$H$238*$H$8+$I$238*$I$8+$J$238*$J$8+$K$238*$K$8+$L$238*$L$8+$M$238*$M$8+$N$238*$N$8+$O$238*$O$8+$P$238*$P$8</f>
        <v>0</v>
      </c>
      <c r="T238" s="15">
        <f>SUM($Q$238:$R$238)</f>
        <v>0</v>
      </c>
      <c r="U238" s="15">
        <f>$S$238+$T$238</f>
        <v>0</v>
      </c>
    </row>
    <row r="239" spans="1:21" x14ac:dyDescent="0.3">
      <c r="A239" s="10" t="s">
        <v>893</v>
      </c>
      <c r="B239" s="11" t="s">
        <v>894</v>
      </c>
      <c r="C239" s="11"/>
      <c r="D239" s="11" t="s">
        <v>895</v>
      </c>
      <c r="E239" s="11">
        <f xml:space="preserve"> IF($U$239,1,0)</f>
        <v>0</v>
      </c>
      <c r="F239" s="11" t="s">
        <v>896</v>
      </c>
      <c r="G239" s="11">
        <v>0</v>
      </c>
      <c r="H239" s="11">
        <v>0</v>
      </c>
      <c r="I239" s="11">
        <v>0</v>
      </c>
      <c r="J239" s="11">
        <v>0</v>
      </c>
      <c r="K239" s="11">
        <v>0</v>
      </c>
      <c r="L239" s="11">
        <v>0</v>
      </c>
      <c r="M239" s="11">
        <v>0</v>
      </c>
      <c r="N239" s="11">
        <v>0</v>
      </c>
      <c r="O239" s="11">
        <v>0</v>
      </c>
      <c r="P239" s="11">
        <v>0</v>
      </c>
      <c r="Q239" s="12">
        <v>0</v>
      </c>
      <c r="R239" s="12">
        <v>0</v>
      </c>
      <c r="S239" s="12">
        <f>$G$239*$G$8+$H$239*$H$8+$I$239*$I$8+$J$239*$J$8+$K$239*$K$8+$L$239*$L$8+$M$239*$M$8+$N$239*$N$8+$O$239*$O$8+$P$239*$P$8</f>
        <v>0</v>
      </c>
      <c r="T239" s="12">
        <f>SUM($Q$239:$R$239)</f>
        <v>0</v>
      </c>
      <c r="U239" s="12">
        <f>$S$239+$T$239</f>
        <v>0</v>
      </c>
    </row>
    <row r="240" spans="1:21" x14ac:dyDescent="0.3">
      <c r="A240" s="13" t="s">
        <v>897</v>
      </c>
      <c r="B240" s="14" t="s">
        <v>898</v>
      </c>
      <c r="C240" s="14"/>
      <c r="D240" s="14" t="s">
        <v>899</v>
      </c>
      <c r="E240" s="14">
        <f xml:space="preserve"> IF($U$240,1,0)</f>
        <v>0</v>
      </c>
      <c r="F240" s="14" t="s">
        <v>900</v>
      </c>
      <c r="G240" s="14">
        <v>0</v>
      </c>
      <c r="H240" s="14">
        <v>0</v>
      </c>
      <c r="I240" s="14">
        <v>0</v>
      </c>
      <c r="J240" s="14">
        <v>0</v>
      </c>
      <c r="K240" s="14">
        <v>0</v>
      </c>
      <c r="L240" s="14">
        <v>0</v>
      </c>
      <c r="M240" s="14">
        <v>0</v>
      </c>
      <c r="N240" s="14">
        <v>0</v>
      </c>
      <c r="O240" s="14">
        <v>0</v>
      </c>
      <c r="P240" s="14">
        <v>0</v>
      </c>
      <c r="Q240" s="15">
        <v>0</v>
      </c>
      <c r="R240" s="15">
        <v>0</v>
      </c>
      <c r="S240" s="15">
        <f>$G$240*$G$8+$H$240*$H$8+$I$240*$I$8+$J$240*$J$8+$K$240*$K$8+$L$240*$L$8+$M$240*$M$8+$N$240*$N$8+$O$240*$O$8+$P$240*$P$8</f>
        <v>0</v>
      </c>
      <c r="T240" s="15">
        <f>SUM($Q$240:$R$240)</f>
        <v>0</v>
      </c>
      <c r="U240" s="15">
        <f>$S$240+$T$240</f>
        <v>0</v>
      </c>
    </row>
    <row r="241" spans="1:21" x14ac:dyDescent="0.3">
      <c r="A241" s="10" t="s">
        <v>901</v>
      </c>
      <c r="B241" s="11" t="s">
        <v>902</v>
      </c>
      <c r="C241" s="11"/>
      <c r="D241" s="11" t="s">
        <v>903</v>
      </c>
      <c r="E241" s="11">
        <f xml:space="preserve"> IF($U$241,1,0)</f>
        <v>0</v>
      </c>
      <c r="F241" s="11" t="s">
        <v>904</v>
      </c>
      <c r="G241" s="11">
        <v>0</v>
      </c>
      <c r="H241" s="11">
        <v>0</v>
      </c>
      <c r="I241" s="11">
        <v>0</v>
      </c>
      <c r="J241" s="11">
        <v>0</v>
      </c>
      <c r="K241" s="11">
        <v>0</v>
      </c>
      <c r="L241" s="11">
        <v>0</v>
      </c>
      <c r="M241" s="11">
        <v>0</v>
      </c>
      <c r="N241" s="11">
        <v>0</v>
      </c>
      <c r="O241" s="11">
        <v>0</v>
      </c>
      <c r="P241" s="11">
        <v>0</v>
      </c>
      <c r="Q241" s="12">
        <v>0</v>
      </c>
      <c r="R241" s="12">
        <v>0</v>
      </c>
      <c r="S241" s="12">
        <f>$G$241*$G$8+$H$241*$H$8+$I$241*$I$8+$J$241*$J$8+$K$241*$K$8+$L$241*$L$8+$M$241*$M$8+$N$241*$N$8+$O$241*$O$8+$P$241*$P$8</f>
        <v>0</v>
      </c>
      <c r="T241" s="12">
        <f>SUM($Q$241:$R$241)</f>
        <v>0</v>
      </c>
      <c r="U241" s="12">
        <f>$S$241+$T$241</f>
        <v>0</v>
      </c>
    </row>
    <row r="242" spans="1:21" x14ac:dyDescent="0.3">
      <c r="A242" s="13" t="s">
        <v>905</v>
      </c>
      <c r="B242" s="14" t="s">
        <v>906</v>
      </c>
      <c r="C242" s="14" t="s">
        <v>283</v>
      </c>
      <c r="D242" s="14" t="s">
        <v>296</v>
      </c>
      <c r="E242" s="14">
        <f xml:space="preserve"> IF($U$242,1,0)</f>
        <v>0</v>
      </c>
      <c r="F242" s="14" t="s">
        <v>907</v>
      </c>
      <c r="G242" s="14">
        <v>0</v>
      </c>
      <c r="H242" s="14">
        <v>0</v>
      </c>
      <c r="I242" s="14">
        <v>0</v>
      </c>
      <c r="J242" s="14">
        <v>0</v>
      </c>
      <c r="K242" s="14">
        <v>0</v>
      </c>
      <c r="L242" s="14">
        <v>0</v>
      </c>
      <c r="M242" s="14">
        <v>0</v>
      </c>
      <c r="N242" s="14">
        <v>0</v>
      </c>
      <c r="O242" s="14">
        <v>0</v>
      </c>
      <c r="P242" s="14">
        <v>0</v>
      </c>
      <c r="Q242" s="15">
        <v>0</v>
      </c>
      <c r="R242" s="15">
        <v>0</v>
      </c>
      <c r="S242" s="15">
        <f>$G$242*$G$8+$H$242*$H$8+$I$242*$I$8+$J$242*$J$8+$K$242*$K$8+$L$242*$L$8+$M$242*$M$8+$N$242*$N$8+$O$242*$O$8+$P$242*$P$8</f>
        <v>0</v>
      </c>
      <c r="T242" s="15">
        <f>SUM($Q$242:$R$242)</f>
        <v>0</v>
      </c>
      <c r="U242" s="15">
        <f>$S$242+$T$242</f>
        <v>0</v>
      </c>
    </row>
    <row r="243" spans="1:21" x14ac:dyDescent="0.3">
      <c r="A243" s="10" t="s">
        <v>908</v>
      </c>
      <c r="B243" s="11" t="s">
        <v>909</v>
      </c>
      <c r="C243" s="11"/>
      <c r="D243" s="11" t="s">
        <v>910</v>
      </c>
      <c r="E243" s="11">
        <f xml:space="preserve"> IF($U$243,1,0)</f>
        <v>0</v>
      </c>
      <c r="F243" s="11" t="s">
        <v>911</v>
      </c>
      <c r="G243" s="11">
        <v>0</v>
      </c>
      <c r="H243" s="11">
        <v>0</v>
      </c>
      <c r="I243" s="11">
        <v>0</v>
      </c>
      <c r="J243" s="11">
        <v>0</v>
      </c>
      <c r="K243" s="11">
        <v>0</v>
      </c>
      <c r="L243" s="11">
        <v>0</v>
      </c>
      <c r="M243" s="11">
        <v>0</v>
      </c>
      <c r="N243" s="11">
        <v>0</v>
      </c>
      <c r="O243" s="11">
        <v>0</v>
      </c>
      <c r="P243" s="11">
        <v>0</v>
      </c>
      <c r="Q243" s="12">
        <v>0</v>
      </c>
      <c r="R243" s="12">
        <v>0</v>
      </c>
      <c r="S243" s="12">
        <f>$G$243*$G$8+$H$243*$H$8+$I$243*$I$8+$J$243*$J$8+$K$243*$K$8+$L$243*$L$8+$M$243*$M$8+$N$243*$N$8+$O$243*$O$8+$P$243*$P$8</f>
        <v>0</v>
      </c>
      <c r="T243" s="12">
        <f>SUM($Q$243:$R$243)</f>
        <v>0</v>
      </c>
      <c r="U243" s="12">
        <f>$S$243+$T$243</f>
        <v>0</v>
      </c>
    </row>
    <row r="244" spans="1:21" x14ac:dyDescent="0.3">
      <c r="A244" s="13" t="s">
        <v>912</v>
      </c>
      <c r="B244" s="14" t="s">
        <v>913</v>
      </c>
      <c r="C244" s="14" t="s">
        <v>65</v>
      </c>
      <c r="D244" s="14" t="s">
        <v>914</v>
      </c>
      <c r="E244" s="14">
        <f xml:space="preserve"> IF($U$244,1,0)</f>
        <v>1</v>
      </c>
      <c r="F244" s="14" t="s">
        <v>915</v>
      </c>
      <c r="G244" s="14">
        <v>8</v>
      </c>
      <c r="H244" s="14">
        <v>0</v>
      </c>
      <c r="I244" s="14">
        <v>0</v>
      </c>
      <c r="J244" s="14">
        <v>0</v>
      </c>
      <c r="K244" s="14">
        <v>0</v>
      </c>
      <c r="L244" s="14">
        <v>0</v>
      </c>
      <c r="M244" s="14">
        <v>0</v>
      </c>
      <c r="N244" s="14">
        <v>0</v>
      </c>
      <c r="O244" s="14">
        <v>0</v>
      </c>
      <c r="P244" s="14">
        <v>0</v>
      </c>
      <c r="Q244" s="15">
        <v>0</v>
      </c>
      <c r="R244" s="15">
        <v>0</v>
      </c>
      <c r="S244" s="15">
        <f>$G$244*$G$8+$H$244*$H$8+$I$244*$I$8+$J$244*$J$8+$K$244*$K$8+$L$244*$L$8+$M$244*$M$8+$N$244*$N$8+$O$244*$O$8+$P$244*$P$8</f>
        <v>5.6</v>
      </c>
      <c r="T244" s="15">
        <f>SUM($Q$244:$R$244)</f>
        <v>0</v>
      </c>
      <c r="U244" s="15">
        <f>$S$244+$T$244</f>
        <v>5.6</v>
      </c>
    </row>
    <row r="245" spans="1:21" x14ac:dyDescent="0.3">
      <c r="A245" s="10" t="s">
        <v>916</v>
      </c>
      <c r="B245" s="11" t="s">
        <v>917</v>
      </c>
      <c r="C245" s="11"/>
      <c r="D245" s="11" t="s">
        <v>918</v>
      </c>
      <c r="E245" s="11">
        <f xml:space="preserve"> IF($U$245,1,0)</f>
        <v>0</v>
      </c>
      <c r="F245" s="11" t="s">
        <v>919</v>
      </c>
      <c r="G245" s="11">
        <v>0</v>
      </c>
      <c r="H245" s="11">
        <v>0</v>
      </c>
      <c r="I245" s="11">
        <v>0</v>
      </c>
      <c r="J245" s="11">
        <v>0</v>
      </c>
      <c r="K245" s="11">
        <v>0</v>
      </c>
      <c r="L245" s="11">
        <v>0</v>
      </c>
      <c r="M245" s="11">
        <v>0</v>
      </c>
      <c r="N245" s="11">
        <v>0</v>
      </c>
      <c r="O245" s="11">
        <v>0</v>
      </c>
      <c r="P245" s="11">
        <v>0</v>
      </c>
      <c r="Q245" s="12">
        <v>0</v>
      </c>
      <c r="R245" s="12">
        <v>0</v>
      </c>
      <c r="S245" s="12">
        <f>$G$245*$G$8+$H$245*$H$8+$I$245*$I$8+$J$245*$J$8+$K$245*$K$8+$L$245*$L$8+$M$245*$M$8+$N$245*$N$8+$O$245*$O$8+$P$245*$P$8</f>
        <v>0</v>
      </c>
      <c r="T245" s="12">
        <f>SUM($Q$245:$R$245)</f>
        <v>0</v>
      </c>
      <c r="U245" s="12">
        <f>$S$245+$T$245</f>
        <v>0</v>
      </c>
    </row>
    <row r="246" spans="1:21" x14ac:dyDescent="0.3">
      <c r="A246" s="13" t="s">
        <v>920</v>
      </c>
      <c r="B246" s="14" t="s">
        <v>917</v>
      </c>
      <c r="C246" s="14"/>
      <c r="D246" s="14" t="s">
        <v>921</v>
      </c>
      <c r="E246" s="14">
        <f xml:space="preserve"> IF($U$246,1,0)</f>
        <v>0</v>
      </c>
      <c r="F246" s="14" t="s">
        <v>922</v>
      </c>
      <c r="G246" s="14">
        <v>0</v>
      </c>
      <c r="H246" s="14">
        <v>0</v>
      </c>
      <c r="I246" s="14">
        <v>0</v>
      </c>
      <c r="J246" s="14">
        <v>0</v>
      </c>
      <c r="K246" s="14">
        <v>0</v>
      </c>
      <c r="L246" s="14">
        <v>0</v>
      </c>
      <c r="M246" s="14">
        <v>0</v>
      </c>
      <c r="N246" s="14">
        <v>0</v>
      </c>
      <c r="O246" s="14">
        <v>0</v>
      </c>
      <c r="P246" s="14">
        <v>0</v>
      </c>
      <c r="Q246" s="15">
        <v>0</v>
      </c>
      <c r="R246" s="15">
        <v>0</v>
      </c>
      <c r="S246" s="15">
        <f>$G$246*$G$8+$H$246*$H$8+$I$246*$I$8+$J$246*$J$8+$K$246*$K$8+$L$246*$L$8+$M$246*$M$8+$N$246*$N$8+$O$246*$O$8+$P$246*$P$8</f>
        <v>0</v>
      </c>
      <c r="T246" s="15">
        <f>SUM($Q$246:$R$246)</f>
        <v>0</v>
      </c>
      <c r="U246" s="15">
        <f>$S$246+$T$246</f>
        <v>0</v>
      </c>
    </row>
    <row r="247" spans="1:21" x14ac:dyDescent="0.3">
      <c r="A247" s="10" t="s">
        <v>923</v>
      </c>
      <c r="B247" s="11" t="s">
        <v>917</v>
      </c>
      <c r="C247" s="11" t="s">
        <v>34</v>
      </c>
      <c r="D247" s="11" t="s">
        <v>924</v>
      </c>
      <c r="E247" s="11">
        <f xml:space="preserve"> IF($U$247,1,0)</f>
        <v>0</v>
      </c>
      <c r="F247" s="11" t="s">
        <v>925</v>
      </c>
      <c r="G247" s="11">
        <v>0</v>
      </c>
      <c r="H247" s="11">
        <v>0</v>
      </c>
      <c r="I247" s="11">
        <v>0</v>
      </c>
      <c r="J247" s="11">
        <v>0</v>
      </c>
      <c r="K247" s="11">
        <v>0</v>
      </c>
      <c r="L247" s="11">
        <v>0</v>
      </c>
      <c r="M247" s="11">
        <v>0</v>
      </c>
      <c r="N247" s="11">
        <v>0</v>
      </c>
      <c r="O247" s="11">
        <v>0</v>
      </c>
      <c r="P247" s="11">
        <v>0</v>
      </c>
      <c r="Q247" s="12">
        <v>0</v>
      </c>
      <c r="R247" s="12">
        <v>0</v>
      </c>
      <c r="S247" s="12">
        <f>$G$247*$G$8+$H$247*$H$8+$I$247*$I$8+$J$247*$J$8+$K$247*$K$8+$L$247*$L$8+$M$247*$M$8+$N$247*$N$8+$O$247*$O$8+$P$247*$P$8</f>
        <v>0</v>
      </c>
      <c r="T247" s="12">
        <f>SUM($Q$247:$R$247)</f>
        <v>0</v>
      </c>
      <c r="U247" s="12">
        <f>$S$247+$T$247</f>
        <v>0</v>
      </c>
    </row>
    <row r="248" spans="1:21" x14ac:dyDescent="0.3">
      <c r="A248" s="13" t="s">
        <v>926</v>
      </c>
      <c r="B248" s="14" t="s">
        <v>927</v>
      </c>
      <c r="C248" s="14"/>
      <c r="D248" s="14" t="s">
        <v>928</v>
      </c>
      <c r="E248" s="14">
        <f xml:space="preserve"> IF($U$248,1,0)</f>
        <v>0</v>
      </c>
      <c r="F248" s="14" t="s">
        <v>929</v>
      </c>
      <c r="G248" s="14">
        <v>0</v>
      </c>
      <c r="H248" s="14">
        <v>0</v>
      </c>
      <c r="I248" s="14">
        <v>0</v>
      </c>
      <c r="J248" s="14">
        <v>0</v>
      </c>
      <c r="K248" s="14">
        <v>0</v>
      </c>
      <c r="L248" s="14">
        <v>0</v>
      </c>
      <c r="M248" s="14">
        <v>0</v>
      </c>
      <c r="N248" s="14">
        <v>0</v>
      </c>
      <c r="O248" s="14">
        <v>0</v>
      </c>
      <c r="P248" s="14">
        <v>0</v>
      </c>
      <c r="Q248" s="15">
        <v>0</v>
      </c>
      <c r="R248" s="15">
        <v>0</v>
      </c>
      <c r="S248" s="15">
        <f>$G$248*$G$8+$H$248*$H$8+$I$248*$I$8+$J$248*$J$8+$K$248*$K$8+$L$248*$L$8+$M$248*$M$8+$N$248*$N$8+$O$248*$O$8+$P$248*$P$8</f>
        <v>0</v>
      </c>
      <c r="T248" s="15">
        <f>SUM($Q$248:$R$248)</f>
        <v>0</v>
      </c>
      <c r="U248" s="15">
        <f>$S$248+$T$248</f>
        <v>0</v>
      </c>
    </row>
    <row r="249" spans="1:21" x14ac:dyDescent="0.3">
      <c r="A249" s="10" t="s">
        <v>930</v>
      </c>
      <c r="B249" s="11" t="s">
        <v>931</v>
      </c>
      <c r="C249" s="11"/>
      <c r="D249" s="11" t="s">
        <v>932</v>
      </c>
      <c r="E249" s="11">
        <f xml:space="preserve"> IF($U$249,1,0)</f>
        <v>0</v>
      </c>
      <c r="F249" s="11" t="s">
        <v>933</v>
      </c>
      <c r="G249" s="11">
        <v>0</v>
      </c>
      <c r="H249" s="11">
        <v>0</v>
      </c>
      <c r="I249" s="11">
        <v>0</v>
      </c>
      <c r="J249" s="11">
        <v>0</v>
      </c>
      <c r="K249" s="11">
        <v>0</v>
      </c>
      <c r="L249" s="11">
        <v>0</v>
      </c>
      <c r="M249" s="11">
        <v>0</v>
      </c>
      <c r="N249" s="11">
        <v>0</v>
      </c>
      <c r="O249" s="11">
        <v>0</v>
      </c>
      <c r="P249" s="11">
        <v>0</v>
      </c>
      <c r="Q249" s="12">
        <v>0</v>
      </c>
      <c r="R249" s="12">
        <v>0</v>
      </c>
      <c r="S249" s="12">
        <f>$G$249*$G$8+$H$249*$H$8+$I$249*$I$8+$J$249*$J$8+$K$249*$K$8+$L$249*$L$8+$M$249*$M$8+$N$249*$N$8+$O$249*$O$8+$P$249*$P$8</f>
        <v>0</v>
      </c>
      <c r="T249" s="12">
        <f>SUM($Q$249:$R$249)</f>
        <v>0</v>
      </c>
      <c r="U249" s="12">
        <f>$S$249+$T$249</f>
        <v>0</v>
      </c>
    </row>
    <row r="250" spans="1:21" x14ac:dyDescent="0.3">
      <c r="A250" s="13" t="s">
        <v>934</v>
      </c>
      <c r="B250" s="14" t="s">
        <v>935</v>
      </c>
      <c r="C250" s="14"/>
      <c r="D250" s="14" t="s">
        <v>936</v>
      </c>
      <c r="E250" s="14">
        <f xml:space="preserve"> IF($U$250,1,0)</f>
        <v>0</v>
      </c>
      <c r="F250" s="14" t="s">
        <v>937</v>
      </c>
      <c r="G250" s="14">
        <v>0</v>
      </c>
      <c r="H250" s="14">
        <v>0</v>
      </c>
      <c r="I250" s="14">
        <v>0</v>
      </c>
      <c r="J250" s="14">
        <v>0</v>
      </c>
      <c r="K250" s="14">
        <v>0</v>
      </c>
      <c r="L250" s="14">
        <v>0</v>
      </c>
      <c r="M250" s="14">
        <v>0</v>
      </c>
      <c r="N250" s="14">
        <v>0</v>
      </c>
      <c r="O250" s="14">
        <v>0</v>
      </c>
      <c r="P250" s="14">
        <v>0</v>
      </c>
      <c r="Q250" s="15">
        <v>0</v>
      </c>
      <c r="R250" s="15">
        <v>0</v>
      </c>
      <c r="S250" s="15">
        <f>$G$250*$G$8+$H$250*$H$8+$I$250*$I$8+$J$250*$J$8+$K$250*$K$8+$L$250*$L$8+$M$250*$M$8+$N$250*$N$8+$O$250*$O$8+$P$250*$P$8</f>
        <v>0</v>
      </c>
      <c r="T250" s="15">
        <f>SUM($Q$250:$R$250)</f>
        <v>0</v>
      </c>
      <c r="U250" s="15">
        <f>$S$250+$T$250</f>
        <v>0</v>
      </c>
    </row>
    <row r="251" spans="1:21" x14ac:dyDescent="0.3">
      <c r="A251" s="10" t="s">
        <v>938</v>
      </c>
      <c r="B251" s="11" t="s">
        <v>939</v>
      </c>
      <c r="C251" s="11"/>
      <c r="D251" s="11" t="s">
        <v>940</v>
      </c>
      <c r="E251" s="11">
        <f xml:space="preserve"> IF($U$251,1,0)</f>
        <v>1</v>
      </c>
      <c r="F251" s="11" t="s">
        <v>941</v>
      </c>
      <c r="G251" s="11">
        <v>0</v>
      </c>
      <c r="H251" s="11">
        <v>4</v>
      </c>
      <c r="I251" s="11">
        <v>1</v>
      </c>
      <c r="J251" s="11">
        <v>0</v>
      </c>
      <c r="K251" s="11">
        <v>0</v>
      </c>
      <c r="L251" s="11">
        <v>0</v>
      </c>
      <c r="M251" s="11">
        <v>0</v>
      </c>
      <c r="N251" s="11">
        <v>0</v>
      </c>
      <c r="O251" s="11">
        <v>1</v>
      </c>
      <c r="P251" s="11">
        <v>1</v>
      </c>
      <c r="Q251" s="12">
        <v>0</v>
      </c>
      <c r="R251" s="12">
        <v>0</v>
      </c>
      <c r="S251" s="12">
        <f>$G$251*$G$8+$H$251*$H$8+$I$251*$I$8+$J$251*$J$8+$K$251*$K$8+$L$251*$L$8+$M$251*$M$8+$N$251*$N$8+$O$251*$O$8+$P$251*$P$8</f>
        <v>9.6999999999999993</v>
      </c>
      <c r="T251" s="12">
        <f>SUM($Q$251:$R$251)</f>
        <v>0</v>
      </c>
      <c r="U251" s="12">
        <f>$S$251+$T$251</f>
        <v>9.6999999999999993</v>
      </c>
    </row>
    <row r="252" spans="1:21" x14ac:dyDescent="0.3">
      <c r="A252" s="13" t="s">
        <v>942</v>
      </c>
      <c r="B252" s="14" t="s">
        <v>943</v>
      </c>
      <c r="C252" s="14"/>
      <c r="D252" s="14" t="s">
        <v>944</v>
      </c>
      <c r="E252" s="14">
        <f xml:space="preserve"> IF($U$252,1,0)</f>
        <v>0</v>
      </c>
      <c r="F252" s="14" t="s">
        <v>945</v>
      </c>
      <c r="G252" s="14">
        <v>0</v>
      </c>
      <c r="H252" s="14">
        <v>0</v>
      </c>
      <c r="I252" s="14">
        <v>0</v>
      </c>
      <c r="J252" s="14">
        <v>0</v>
      </c>
      <c r="K252" s="14">
        <v>0</v>
      </c>
      <c r="L252" s="14">
        <v>0</v>
      </c>
      <c r="M252" s="14">
        <v>0</v>
      </c>
      <c r="N252" s="14">
        <v>0</v>
      </c>
      <c r="O252" s="14">
        <v>0</v>
      </c>
      <c r="P252" s="14">
        <v>0</v>
      </c>
      <c r="Q252" s="15">
        <v>0</v>
      </c>
      <c r="R252" s="15">
        <v>0</v>
      </c>
      <c r="S252" s="15">
        <f>$G$252*$G$8+$H$252*$H$8+$I$252*$I$8+$J$252*$J$8+$K$252*$K$8+$L$252*$L$8+$M$252*$M$8+$N$252*$N$8+$O$252*$O$8+$P$252*$P$8</f>
        <v>0</v>
      </c>
      <c r="T252" s="15">
        <f>SUM($Q$252:$R$252)</f>
        <v>0</v>
      </c>
      <c r="U252" s="15">
        <f>$S$252+$T$252</f>
        <v>0</v>
      </c>
    </row>
    <row r="253" spans="1:21" x14ac:dyDescent="0.3">
      <c r="A253" s="10" t="s">
        <v>946</v>
      </c>
      <c r="B253" s="11" t="s">
        <v>947</v>
      </c>
      <c r="C253" s="11"/>
      <c r="D253" s="11" t="s">
        <v>948</v>
      </c>
      <c r="E253" s="11">
        <f xml:space="preserve"> IF($U$253,1,0)</f>
        <v>1</v>
      </c>
      <c r="F253" s="11" t="s">
        <v>949</v>
      </c>
      <c r="G253" s="11">
        <v>3</v>
      </c>
      <c r="H253" s="11">
        <v>0</v>
      </c>
      <c r="I253" s="11">
        <v>0</v>
      </c>
      <c r="J253" s="11">
        <v>0</v>
      </c>
      <c r="K253" s="11">
        <v>0</v>
      </c>
      <c r="L253" s="11">
        <v>0</v>
      </c>
      <c r="M253" s="11">
        <v>0</v>
      </c>
      <c r="N253" s="11">
        <v>0</v>
      </c>
      <c r="O253" s="11">
        <v>0</v>
      </c>
      <c r="P253" s="11">
        <v>0</v>
      </c>
      <c r="Q253" s="12">
        <v>0</v>
      </c>
      <c r="R253" s="12">
        <v>0</v>
      </c>
      <c r="S253" s="12">
        <f>$G$253*$G$8+$H$253*$H$8+$I$253*$I$8+$J$253*$J$8+$K$253*$K$8+$L$253*$L$8+$M$253*$M$8+$N$253*$N$8+$O$253*$O$8+$P$253*$P$8</f>
        <v>2.0999999999999996</v>
      </c>
      <c r="T253" s="12">
        <f>SUM($Q$253:$R$253)</f>
        <v>0</v>
      </c>
      <c r="U253" s="12">
        <f>$S$253+$T$253</f>
        <v>2.0999999999999996</v>
      </c>
    </row>
    <row r="254" spans="1:21" x14ac:dyDescent="0.3">
      <c r="A254" s="13" t="s">
        <v>950</v>
      </c>
      <c r="B254" s="14" t="s">
        <v>951</v>
      </c>
      <c r="C254" s="14" t="s">
        <v>34</v>
      </c>
      <c r="D254" s="14" t="s">
        <v>118</v>
      </c>
      <c r="E254" s="14">
        <f xml:space="preserve"> IF($U$254,1,0)</f>
        <v>0</v>
      </c>
      <c r="F254" s="14" t="s">
        <v>952</v>
      </c>
      <c r="G254" s="14">
        <v>0</v>
      </c>
      <c r="H254" s="14">
        <v>0</v>
      </c>
      <c r="I254" s="14">
        <v>0</v>
      </c>
      <c r="J254" s="14">
        <v>0</v>
      </c>
      <c r="K254" s="14">
        <v>0</v>
      </c>
      <c r="L254" s="14">
        <v>0</v>
      </c>
      <c r="M254" s="14">
        <v>0</v>
      </c>
      <c r="N254" s="14">
        <v>0</v>
      </c>
      <c r="O254" s="14">
        <v>0</v>
      </c>
      <c r="P254" s="14">
        <v>0</v>
      </c>
      <c r="Q254" s="15">
        <v>0</v>
      </c>
      <c r="R254" s="15">
        <v>0</v>
      </c>
      <c r="S254" s="15">
        <f>$G$254*$G$8+$H$254*$H$8+$I$254*$I$8+$J$254*$J$8+$K$254*$K$8+$L$254*$L$8+$M$254*$M$8+$N$254*$N$8+$O$254*$O$8+$P$254*$P$8</f>
        <v>0</v>
      </c>
      <c r="T254" s="15">
        <f>SUM($Q$254:$R$254)</f>
        <v>0</v>
      </c>
      <c r="U254" s="15">
        <f>$S$254+$T$254</f>
        <v>0</v>
      </c>
    </row>
    <row r="255" spans="1:21" x14ac:dyDescent="0.3">
      <c r="A255" s="10" t="s">
        <v>953</v>
      </c>
      <c r="B255" s="11" t="s">
        <v>954</v>
      </c>
      <c r="C255" s="11"/>
      <c r="D255" s="11" t="s">
        <v>955</v>
      </c>
      <c r="E255" s="11">
        <f xml:space="preserve"> IF($U$255,1,0)</f>
        <v>1</v>
      </c>
      <c r="F255" s="11" t="s">
        <v>956</v>
      </c>
      <c r="G255" s="11">
        <v>8</v>
      </c>
      <c r="H255" s="11">
        <v>0</v>
      </c>
      <c r="I255" s="11">
        <v>0</v>
      </c>
      <c r="J255" s="11">
        <v>0</v>
      </c>
      <c r="K255" s="11">
        <v>0</v>
      </c>
      <c r="L255" s="11">
        <v>0</v>
      </c>
      <c r="M255" s="11">
        <v>0</v>
      </c>
      <c r="N255" s="11">
        <v>0</v>
      </c>
      <c r="O255" s="11">
        <v>0</v>
      </c>
      <c r="P255" s="11">
        <v>0</v>
      </c>
      <c r="Q255" s="12">
        <v>0</v>
      </c>
      <c r="R255" s="12">
        <v>0</v>
      </c>
      <c r="S255" s="12">
        <f>$G$255*$G$8+$H$255*$H$8+$I$255*$I$8+$J$255*$J$8+$K$255*$K$8+$L$255*$L$8+$M$255*$M$8+$N$255*$N$8+$O$255*$O$8+$P$255*$P$8</f>
        <v>5.6</v>
      </c>
      <c r="T255" s="12">
        <f>SUM($Q$255:$R$255)</f>
        <v>0</v>
      </c>
      <c r="U255" s="12">
        <f>$S$255+$T$255</f>
        <v>5.6</v>
      </c>
    </row>
    <row r="256" spans="1:21" x14ac:dyDescent="0.3">
      <c r="A256" s="13" t="s">
        <v>957</v>
      </c>
      <c r="B256" s="14" t="s">
        <v>958</v>
      </c>
      <c r="C256" s="14" t="s">
        <v>65</v>
      </c>
      <c r="D256" s="14" t="s">
        <v>959</v>
      </c>
      <c r="E256" s="14">
        <f xml:space="preserve"> IF($U$256,1,0)</f>
        <v>0</v>
      </c>
      <c r="F256" s="14" t="s">
        <v>960</v>
      </c>
      <c r="G256" s="14">
        <v>0</v>
      </c>
      <c r="H256" s="14">
        <v>0</v>
      </c>
      <c r="I256" s="14">
        <v>0</v>
      </c>
      <c r="J256" s="14">
        <v>0</v>
      </c>
      <c r="K256" s="14">
        <v>0</v>
      </c>
      <c r="L256" s="14">
        <v>0</v>
      </c>
      <c r="M256" s="14">
        <v>0</v>
      </c>
      <c r="N256" s="14">
        <v>0</v>
      </c>
      <c r="O256" s="14">
        <v>0</v>
      </c>
      <c r="P256" s="14">
        <v>0</v>
      </c>
      <c r="Q256" s="15">
        <v>0</v>
      </c>
      <c r="R256" s="15">
        <v>0</v>
      </c>
      <c r="S256" s="15">
        <f>$G$256*$G$8+$H$256*$H$8+$I$256*$I$8+$J$256*$J$8+$K$256*$K$8+$L$256*$L$8+$M$256*$M$8+$N$256*$N$8+$O$256*$O$8+$P$256*$P$8</f>
        <v>0</v>
      </c>
      <c r="T256" s="15">
        <f>SUM($Q$256:$R$256)</f>
        <v>0</v>
      </c>
      <c r="U256" s="15">
        <f>$S$256+$T$256</f>
        <v>0</v>
      </c>
    </row>
    <row r="257" spans="1:21" x14ac:dyDescent="0.3">
      <c r="A257" s="10" t="s">
        <v>961</v>
      </c>
      <c r="B257" s="11" t="s">
        <v>962</v>
      </c>
      <c r="C257" s="11" t="s">
        <v>202</v>
      </c>
      <c r="D257" s="11" t="s">
        <v>963</v>
      </c>
      <c r="E257" s="11">
        <f xml:space="preserve"> IF($U$257,1,0)</f>
        <v>0</v>
      </c>
      <c r="F257" s="11" t="s">
        <v>964</v>
      </c>
      <c r="G257" s="11">
        <v>0</v>
      </c>
      <c r="H257" s="11">
        <v>0</v>
      </c>
      <c r="I257" s="11">
        <v>0</v>
      </c>
      <c r="J257" s="11">
        <v>0</v>
      </c>
      <c r="K257" s="11">
        <v>0</v>
      </c>
      <c r="L257" s="11">
        <v>0</v>
      </c>
      <c r="M257" s="11">
        <v>0</v>
      </c>
      <c r="N257" s="11">
        <v>0</v>
      </c>
      <c r="O257" s="11">
        <v>0</v>
      </c>
      <c r="P257" s="11">
        <v>0</v>
      </c>
      <c r="Q257" s="12">
        <v>0</v>
      </c>
      <c r="R257" s="12">
        <v>0</v>
      </c>
      <c r="S257" s="12">
        <f>$G$257*$G$8+$H$257*$H$8+$I$257*$I$8+$J$257*$J$8+$K$257*$K$8+$L$257*$L$8+$M$257*$M$8+$N$257*$N$8+$O$257*$O$8+$P$257*$P$8</f>
        <v>0</v>
      </c>
      <c r="T257" s="12">
        <f>SUM($Q$257:$R$257)</f>
        <v>0</v>
      </c>
      <c r="U257" s="12">
        <f>$S$257+$T$257</f>
        <v>0</v>
      </c>
    </row>
    <row r="258" spans="1:21" x14ac:dyDescent="0.3">
      <c r="A258" s="13" t="s">
        <v>965</v>
      </c>
      <c r="B258" s="14" t="s">
        <v>966</v>
      </c>
      <c r="C258" s="14"/>
      <c r="D258" s="14" t="s">
        <v>609</v>
      </c>
      <c r="E258" s="14">
        <f xml:space="preserve"> IF($U$258,1,0)</f>
        <v>0</v>
      </c>
      <c r="F258" s="14" t="s">
        <v>967</v>
      </c>
      <c r="G258" s="14">
        <v>0</v>
      </c>
      <c r="H258" s="14">
        <v>0</v>
      </c>
      <c r="I258" s="14">
        <v>0</v>
      </c>
      <c r="J258" s="14">
        <v>0</v>
      </c>
      <c r="K258" s="14">
        <v>0</v>
      </c>
      <c r="L258" s="14">
        <v>0</v>
      </c>
      <c r="M258" s="14">
        <v>0</v>
      </c>
      <c r="N258" s="14">
        <v>0</v>
      </c>
      <c r="O258" s="14">
        <v>0</v>
      </c>
      <c r="P258" s="14">
        <v>0</v>
      </c>
      <c r="Q258" s="15">
        <v>0</v>
      </c>
      <c r="R258" s="15">
        <v>0</v>
      </c>
      <c r="S258" s="15">
        <f>$G$258*$G$8+$H$258*$H$8+$I$258*$I$8+$J$258*$J$8+$K$258*$K$8+$L$258*$L$8+$M$258*$M$8+$N$258*$N$8+$O$258*$O$8+$P$258*$P$8</f>
        <v>0</v>
      </c>
      <c r="T258" s="15">
        <f>SUM($Q$258:$R$258)</f>
        <v>0</v>
      </c>
      <c r="U258" s="15">
        <f>$S$258+$T$258</f>
        <v>0</v>
      </c>
    </row>
    <row r="259" spans="1:21" x14ac:dyDescent="0.3">
      <c r="A259" s="10" t="s">
        <v>968</v>
      </c>
      <c r="B259" s="11" t="s">
        <v>969</v>
      </c>
      <c r="C259" s="11"/>
      <c r="D259" s="11" t="s">
        <v>970</v>
      </c>
      <c r="E259" s="11">
        <f xml:space="preserve"> IF($U$259,1,0)</f>
        <v>1</v>
      </c>
      <c r="F259" s="11" t="s">
        <v>971</v>
      </c>
      <c r="G259" s="11">
        <v>4</v>
      </c>
      <c r="H259" s="11">
        <v>0</v>
      </c>
      <c r="I259" s="11">
        <v>0</v>
      </c>
      <c r="J259" s="11">
        <v>0</v>
      </c>
      <c r="K259" s="11">
        <v>0</v>
      </c>
      <c r="L259" s="11">
        <v>0</v>
      </c>
      <c r="M259" s="11">
        <v>0</v>
      </c>
      <c r="N259" s="11">
        <v>0</v>
      </c>
      <c r="O259" s="11">
        <v>0</v>
      </c>
      <c r="P259" s="11">
        <v>0</v>
      </c>
      <c r="Q259" s="12">
        <v>0</v>
      </c>
      <c r="R259" s="12">
        <v>0</v>
      </c>
      <c r="S259" s="12">
        <f>$G$259*$G$8+$H$259*$H$8+$I$259*$I$8+$J$259*$J$8+$K$259*$K$8+$L$259*$L$8+$M$259*$M$8+$N$259*$N$8+$O$259*$O$8+$P$259*$P$8</f>
        <v>2.8</v>
      </c>
      <c r="T259" s="12">
        <f>SUM($Q$259:$R$259)</f>
        <v>0</v>
      </c>
      <c r="U259" s="12">
        <f>$S$259+$T$259</f>
        <v>2.8</v>
      </c>
    </row>
    <row r="260" spans="1:21" x14ac:dyDescent="0.3">
      <c r="A260" s="13" t="s">
        <v>972</v>
      </c>
      <c r="B260" s="14" t="s">
        <v>973</v>
      </c>
      <c r="C260" s="14"/>
      <c r="D260" s="14" t="s">
        <v>974</v>
      </c>
      <c r="E260" s="14">
        <f xml:space="preserve"> IF($U$260,1,0)</f>
        <v>0</v>
      </c>
      <c r="F260" s="14" t="s">
        <v>975</v>
      </c>
      <c r="G260" s="14">
        <v>0</v>
      </c>
      <c r="H260" s="14">
        <v>0</v>
      </c>
      <c r="I260" s="14">
        <v>0</v>
      </c>
      <c r="J260" s="14">
        <v>0</v>
      </c>
      <c r="K260" s="14">
        <v>0</v>
      </c>
      <c r="L260" s="14">
        <v>0</v>
      </c>
      <c r="M260" s="14">
        <v>0</v>
      </c>
      <c r="N260" s="14">
        <v>0</v>
      </c>
      <c r="O260" s="14">
        <v>0</v>
      </c>
      <c r="P260" s="14">
        <v>0</v>
      </c>
      <c r="Q260" s="15">
        <v>0</v>
      </c>
      <c r="R260" s="15">
        <v>0</v>
      </c>
      <c r="S260" s="15">
        <f>$G$260*$G$8+$H$260*$H$8+$I$260*$I$8+$J$260*$J$8+$K$260*$K$8+$L$260*$L$8+$M$260*$M$8+$N$260*$N$8+$O$260*$O$8+$P$260*$P$8</f>
        <v>0</v>
      </c>
      <c r="T260" s="15">
        <f>SUM($Q$260:$R$260)</f>
        <v>0</v>
      </c>
      <c r="U260" s="15">
        <f>$S$260+$T$260</f>
        <v>0</v>
      </c>
    </row>
    <row r="261" spans="1:21" x14ac:dyDescent="0.3">
      <c r="A261" s="10" t="s">
        <v>976</v>
      </c>
      <c r="B261" s="11" t="s">
        <v>977</v>
      </c>
      <c r="C261" s="11"/>
      <c r="D261" s="11" t="s">
        <v>978</v>
      </c>
      <c r="E261" s="11">
        <f xml:space="preserve"> IF($U$261,1,0)</f>
        <v>0</v>
      </c>
      <c r="F261" s="11" t="s">
        <v>979</v>
      </c>
      <c r="G261" s="11">
        <v>0</v>
      </c>
      <c r="H261" s="11">
        <v>0</v>
      </c>
      <c r="I261" s="11">
        <v>0</v>
      </c>
      <c r="J261" s="11">
        <v>0</v>
      </c>
      <c r="K261" s="11">
        <v>0</v>
      </c>
      <c r="L261" s="11">
        <v>0</v>
      </c>
      <c r="M261" s="11">
        <v>0</v>
      </c>
      <c r="N261" s="11">
        <v>0</v>
      </c>
      <c r="O261" s="11">
        <v>0</v>
      </c>
      <c r="P261" s="11">
        <v>0</v>
      </c>
      <c r="Q261" s="12">
        <v>0</v>
      </c>
      <c r="R261" s="12">
        <v>0</v>
      </c>
      <c r="S261" s="12">
        <f>$G$261*$G$8+$H$261*$H$8+$I$261*$I$8+$J$261*$J$8+$K$261*$K$8+$L$261*$L$8+$M$261*$M$8+$N$261*$N$8+$O$261*$O$8+$P$261*$P$8</f>
        <v>0</v>
      </c>
      <c r="T261" s="12">
        <f>SUM($Q$261:$R$261)</f>
        <v>0</v>
      </c>
      <c r="U261" s="12">
        <f>$S$261+$T$261</f>
        <v>0</v>
      </c>
    </row>
    <row r="262" spans="1:21" x14ac:dyDescent="0.3">
      <c r="A262" s="13" t="s">
        <v>980</v>
      </c>
      <c r="B262" s="14" t="s">
        <v>981</v>
      </c>
      <c r="C262" s="14" t="s">
        <v>34</v>
      </c>
      <c r="D262" s="14" t="s">
        <v>982</v>
      </c>
      <c r="E262" s="14">
        <f xml:space="preserve"> IF($U$262,1,0)</f>
        <v>0</v>
      </c>
      <c r="F262" s="14" t="s">
        <v>983</v>
      </c>
      <c r="G262" s="14">
        <v>0</v>
      </c>
      <c r="H262" s="14">
        <v>0</v>
      </c>
      <c r="I262" s="14">
        <v>0</v>
      </c>
      <c r="J262" s="14">
        <v>0</v>
      </c>
      <c r="K262" s="14">
        <v>0</v>
      </c>
      <c r="L262" s="14">
        <v>0</v>
      </c>
      <c r="M262" s="14">
        <v>0</v>
      </c>
      <c r="N262" s="14">
        <v>0</v>
      </c>
      <c r="O262" s="14">
        <v>0</v>
      </c>
      <c r="P262" s="14">
        <v>0</v>
      </c>
      <c r="Q262" s="15">
        <v>0</v>
      </c>
      <c r="R262" s="15">
        <v>0</v>
      </c>
      <c r="S262" s="15">
        <f>$G$262*$G$8+$H$262*$H$8+$I$262*$I$8+$J$262*$J$8+$K$262*$K$8+$L$262*$L$8+$M$262*$M$8+$N$262*$N$8+$O$262*$O$8+$P$262*$P$8</f>
        <v>0</v>
      </c>
      <c r="T262" s="15">
        <f>SUM($Q$262:$R$262)</f>
        <v>0</v>
      </c>
      <c r="U262" s="15">
        <f>$S$262+$T$262</f>
        <v>0</v>
      </c>
    </row>
    <row r="263" spans="1:21" x14ac:dyDescent="0.3">
      <c r="A263" s="10" t="s">
        <v>984</v>
      </c>
      <c r="B263" s="11" t="s">
        <v>985</v>
      </c>
      <c r="C263" s="11" t="s">
        <v>202</v>
      </c>
      <c r="D263" s="11" t="s">
        <v>986</v>
      </c>
      <c r="E263" s="11">
        <f xml:space="preserve"> IF($U$263,1,0)</f>
        <v>0</v>
      </c>
      <c r="F263" s="11" t="s">
        <v>987</v>
      </c>
      <c r="G263" s="11">
        <v>0</v>
      </c>
      <c r="H263" s="11">
        <v>0</v>
      </c>
      <c r="I263" s="11">
        <v>0</v>
      </c>
      <c r="J263" s="11">
        <v>0</v>
      </c>
      <c r="K263" s="11">
        <v>0</v>
      </c>
      <c r="L263" s="11">
        <v>0</v>
      </c>
      <c r="M263" s="11">
        <v>0</v>
      </c>
      <c r="N263" s="11">
        <v>0</v>
      </c>
      <c r="O263" s="11">
        <v>0</v>
      </c>
      <c r="P263" s="11">
        <v>0</v>
      </c>
      <c r="Q263" s="12">
        <v>0</v>
      </c>
      <c r="R263" s="12">
        <v>0</v>
      </c>
      <c r="S263" s="12">
        <f>$G$263*$G$8+$H$263*$H$8+$I$263*$I$8+$J$263*$J$8+$K$263*$K$8+$L$263*$L$8+$M$263*$M$8+$N$263*$N$8+$O$263*$O$8+$P$263*$P$8</f>
        <v>0</v>
      </c>
      <c r="T263" s="12">
        <f>SUM($Q$263:$R$263)</f>
        <v>0</v>
      </c>
      <c r="U263" s="12">
        <f>$S$263+$T$263</f>
        <v>0</v>
      </c>
    </row>
    <row r="264" spans="1:21" x14ac:dyDescent="0.3">
      <c r="A264" s="13" t="s">
        <v>1261</v>
      </c>
      <c r="B264" s="14" t="s">
        <v>1262</v>
      </c>
      <c r="C264" s="14"/>
      <c r="D264" s="14" t="s">
        <v>1263</v>
      </c>
      <c r="E264" s="14">
        <f xml:space="preserve"> IF($U$264,1,0)</f>
        <v>1</v>
      </c>
      <c r="F264" s="14" t="s">
        <v>1264</v>
      </c>
      <c r="G264" s="14">
        <v>3</v>
      </c>
      <c r="H264" s="14">
        <v>5</v>
      </c>
      <c r="I264" s="14">
        <v>0</v>
      </c>
      <c r="J264" s="14">
        <v>0</v>
      </c>
      <c r="K264" s="14">
        <v>0</v>
      </c>
      <c r="L264" s="14">
        <v>1</v>
      </c>
      <c r="M264" s="14">
        <v>0</v>
      </c>
      <c r="N264" s="14">
        <v>0</v>
      </c>
      <c r="O264" s="14">
        <v>0</v>
      </c>
      <c r="P264" s="14">
        <v>0</v>
      </c>
      <c r="Q264" s="15">
        <v>0</v>
      </c>
      <c r="R264" s="15">
        <v>0</v>
      </c>
      <c r="S264" s="15">
        <f>$G$264*$G$8+$H$264*$H$8+$I$264*$I$8+$J$264*$J$8+$K$264*$K$8+$L$264*$L$8+$M$264*$M$8+$N$264*$N$8+$O$264*$O$8+$P$264*$P$8</f>
        <v>14.1</v>
      </c>
      <c r="T264" s="15">
        <f>SUM($Q$264:$R$264)</f>
        <v>0</v>
      </c>
      <c r="U264" s="15">
        <f>$S$264+$T$264</f>
        <v>14.1</v>
      </c>
    </row>
    <row r="265" spans="1:21" x14ac:dyDescent="0.3">
      <c r="A265" s="10" t="s">
        <v>988</v>
      </c>
      <c r="B265" s="11" t="s">
        <v>989</v>
      </c>
      <c r="C265" s="11" t="s">
        <v>887</v>
      </c>
      <c r="D265" s="11" t="s">
        <v>1060</v>
      </c>
      <c r="E265" s="11">
        <f xml:space="preserve"> IF($U$265,1,0)</f>
        <v>1</v>
      </c>
      <c r="F265" s="11" t="s">
        <v>1256</v>
      </c>
      <c r="G265" s="11">
        <v>7</v>
      </c>
      <c r="H265" s="11">
        <v>0</v>
      </c>
      <c r="I265" s="11">
        <v>0</v>
      </c>
      <c r="J265" s="11">
        <v>0</v>
      </c>
      <c r="K265" s="11">
        <v>0</v>
      </c>
      <c r="L265" s="11">
        <v>0</v>
      </c>
      <c r="M265" s="11">
        <v>0</v>
      </c>
      <c r="N265" s="11">
        <v>0</v>
      </c>
      <c r="O265" s="11">
        <v>0</v>
      </c>
      <c r="P265" s="11">
        <v>0</v>
      </c>
      <c r="Q265" s="12">
        <v>0</v>
      </c>
      <c r="R265" s="12">
        <v>0</v>
      </c>
      <c r="S265" s="12">
        <f>$G$265*$G$8+$H$265*$H$8+$I$265*$I$8+$J$265*$J$8+$K$265*$K$8+$L$265*$L$8+$M$265*$M$8+$N$265*$N$8+$O$265*$O$8+$P$265*$P$8</f>
        <v>4.8999999999999995</v>
      </c>
      <c r="T265" s="12">
        <f>SUM($Q$265:$R$265)</f>
        <v>0</v>
      </c>
      <c r="U265" s="12">
        <f>$S$265+$T$265</f>
        <v>4.8999999999999995</v>
      </c>
    </row>
    <row r="266" spans="1:21" x14ac:dyDescent="0.3">
      <c r="A266" s="13" t="s">
        <v>992</v>
      </c>
      <c r="B266" s="14" t="s">
        <v>343</v>
      </c>
      <c r="C266" s="14"/>
      <c r="D266" s="14" t="s">
        <v>993</v>
      </c>
      <c r="E266" s="14">
        <f xml:space="preserve"> IF($U$266,1,0)</f>
        <v>1</v>
      </c>
      <c r="F266" s="14" t="s">
        <v>994</v>
      </c>
      <c r="G266" s="14">
        <v>0</v>
      </c>
      <c r="H266" s="14">
        <v>0</v>
      </c>
      <c r="I266" s="14">
        <v>0</v>
      </c>
      <c r="J266" s="14">
        <v>0</v>
      </c>
      <c r="K266" s="14">
        <v>0</v>
      </c>
      <c r="L266" s="14">
        <v>0</v>
      </c>
      <c r="M266" s="14">
        <v>0</v>
      </c>
      <c r="N266" s="14">
        <v>0</v>
      </c>
      <c r="O266" s="14">
        <v>0</v>
      </c>
      <c r="P266" s="14">
        <v>1</v>
      </c>
      <c r="Q266" s="15">
        <v>0</v>
      </c>
      <c r="R266" s="15">
        <v>0</v>
      </c>
      <c r="S266" s="15">
        <f>$G$266*$G$8+$H$266*$H$8+$I$266*$I$8+$J$266*$J$8+$K$266*$K$8+$L$266*$L$8+$M$266*$M$8+$N$266*$N$8+$O$266*$O$8+$P$266*$P$8</f>
        <v>1</v>
      </c>
      <c r="T266" s="15">
        <f>SUM($Q$266:$R$266)</f>
        <v>0</v>
      </c>
      <c r="U266" s="15">
        <f>$S$266+$T$266</f>
        <v>1</v>
      </c>
    </row>
    <row r="267" spans="1:21" x14ac:dyDescent="0.3">
      <c r="A267" s="10" t="s">
        <v>995</v>
      </c>
      <c r="B267" s="11" t="s">
        <v>996</v>
      </c>
      <c r="C267" s="11"/>
      <c r="D267" s="11" t="s">
        <v>997</v>
      </c>
      <c r="E267" s="11">
        <f xml:space="preserve"> IF($U$267,1,0)</f>
        <v>0</v>
      </c>
      <c r="F267" s="11" t="s">
        <v>998</v>
      </c>
      <c r="G267" s="11">
        <v>0</v>
      </c>
      <c r="H267" s="11">
        <v>0</v>
      </c>
      <c r="I267" s="11">
        <v>0</v>
      </c>
      <c r="J267" s="11">
        <v>0</v>
      </c>
      <c r="K267" s="11">
        <v>0</v>
      </c>
      <c r="L267" s="11">
        <v>0</v>
      </c>
      <c r="M267" s="11">
        <v>0</v>
      </c>
      <c r="N267" s="11">
        <v>0</v>
      </c>
      <c r="O267" s="11">
        <v>0</v>
      </c>
      <c r="P267" s="11">
        <v>0</v>
      </c>
      <c r="Q267" s="12">
        <v>0</v>
      </c>
      <c r="R267" s="12">
        <v>0</v>
      </c>
      <c r="S267" s="12">
        <f>$G$267*$G$8+$H$267*$H$8+$I$267*$I$8+$J$267*$J$8+$K$267*$K$8+$L$267*$L$8+$M$267*$M$8+$N$267*$N$8+$O$267*$O$8+$P$267*$P$8</f>
        <v>0</v>
      </c>
      <c r="T267" s="12">
        <f>SUM($Q$267:$R$267)</f>
        <v>0</v>
      </c>
      <c r="U267" s="12">
        <f>$S$267+$T$267</f>
        <v>0</v>
      </c>
    </row>
    <row r="268" spans="1:21" x14ac:dyDescent="0.3">
      <c r="A268" s="13" t="s">
        <v>999</v>
      </c>
      <c r="B268" s="14" t="s">
        <v>1000</v>
      </c>
      <c r="C268" s="14" t="s">
        <v>202</v>
      </c>
      <c r="D268" s="14" t="s">
        <v>1001</v>
      </c>
      <c r="E268" s="14">
        <f xml:space="preserve"> IF($U$268,1,0)</f>
        <v>0</v>
      </c>
      <c r="F268" s="14" t="s">
        <v>1002</v>
      </c>
      <c r="G268" s="14">
        <v>0</v>
      </c>
      <c r="H268" s="14">
        <v>0</v>
      </c>
      <c r="I268" s="14">
        <v>0</v>
      </c>
      <c r="J268" s="14">
        <v>0</v>
      </c>
      <c r="K268" s="14">
        <v>0</v>
      </c>
      <c r="L268" s="14">
        <v>0</v>
      </c>
      <c r="M268" s="14">
        <v>0</v>
      </c>
      <c r="N268" s="14">
        <v>0</v>
      </c>
      <c r="O268" s="14">
        <v>0</v>
      </c>
      <c r="P268" s="14">
        <v>0</v>
      </c>
      <c r="Q268" s="15">
        <v>0</v>
      </c>
      <c r="R268" s="15">
        <v>0</v>
      </c>
      <c r="S268" s="15">
        <f>$G$268*$G$8+$H$268*$H$8+$I$268*$I$8+$J$268*$J$8+$K$268*$K$8+$L$268*$L$8+$M$268*$M$8+$N$268*$N$8+$O$268*$O$8+$P$268*$P$8</f>
        <v>0</v>
      </c>
      <c r="T268" s="15">
        <f>SUM($Q$268:$R$268)</f>
        <v>0</v>
      </c>
      <c r="U268" s="15">
        <f>$S$268+$T$268</f>
        <v>0</v>
      </c>
    </row>
    <row r="269" spans="1:21" x14ac:dyDescent="0.3">
      <c r="A269" s="10" t="s">
        <v>1003</v>
      </c>
      <c r="B269" s="11" t="s">
        <v>1004</v>
      </c>
      <c r="C269" s="11"/>
      <c r="D269" s="11" t="s">
        <v>1005</v>
      </c>
      <c r="E269" s="11">
        <f xml:space="preserve"> IF($U$269,1,0)</f>
        <v>0</v>
      </c>
      <c r="F269" s="11" t="s">
        <v>1006</v>
      </c>
      <c r="G269" s="11">
        <v>0</v>
      </c>
      <c r="H269" s="11">
        <v>0</v>
      </c>
      <c r="I269" s="11">
        <v>0</v>
      </c>
      <c r="J269" s="11">
        <v>0</v>
      </c>
      <c r="K269" s="11">
        <v>0</v>
      </c>
      <c r="L269" s="11">
        <v>0</v>
      </c>
      <c r="M269" s="11">
        <v>0</v>
      </c>
      <c r="N269" s="11">
        <v>0</v>
      </c>
      <c r="O269" s="11">
        <v>0</v>
      </c>
      <c r="P269" s="11">
        <v>0</v>
      </c>
      <c r="Q269" s="12">
        <v>0</v>
      </c>
      <c r="R269" s="12">
        <v>0</v>
      </c>
      <c r="S269" s="12">
        <f>$G$269*$G$8+$H$269*$H$8+$I$269*$I$8+$J$269*$J$8+$K$269*$K$8+$L$269*$L$8+$M$269*$M$8+$N$269*$N$8+$O$269*$O$8+$P$269*$P$8</f>
        <v>0</v>
      </c>
      <c r="T269" s="12">
        <f>SUM($Q$269:$R$269)</f>
        <v>0</v>
      </c>
      <c r="U269" s="12">
        <f>$S$269+$T$269</f>
        <v>0</v>
      </c>
    </row>
    <row r="270" spans="1:21" x14ac:dyDescent="0.3">
      <c r="A270" s="13" t="s">
        <v>1007</v>
      </c>
      <c r="B270" s="14" t="s">
        <v>1004</v>
      </c>
      <c r="C270" s="14"/>
      <c r="D270" s="14" t="s">
        <v>1008</v>
      </c>
      <c r="E270" s="14">
        <f xml:space="preserve"> IF($U$270,1,0)</f>
        <v>0</v>
      </c>
      <c r="F270" s="14" t="s">
        <v>1009</v>
      </c>
      <c r="G270" s="14">
        <v>0</v>
      </c>
      <c r="H270" s="14">
        <v>0</v>
      </c>
      <c r="I270" s="14">
        <v>0</v>
      </c>
      <c r="J270" s="14">
        <v>0</v>
      </c>
      <c r="K270" s="14">
        <v>0</v>
      </c>
      <c r="L270" s="14">
        <v>0</v>
      </c>
      <c r="M270" s="14">
        <v>0</v>
      </c>
      <c r="N270" s="14">
        <v>0</v>
      </c>
      <c r="O270" s="14">
        <v>0</v>
      </c>
      <c r="P270" s="14">
        <v>0</v>
      </c>
      <c r="Q270" s="15">
        <v>0</v>
      </c>
      <c r="R270" s="15">
        <v>0</v>
      </c>
      <c r="S270" s="15">
        <f>$G$270*$G$8+$H$270*$H$8+$I$270*$I$8+$J$270*$J$8+$K$270*$K$8+$L$270*$L$8+$M$270*$M$8+$N$270*$N$8+$O$270*$O$8+$P$270*$P$8</f>
        <v>0</v>
      </c>
      <c r="T270" s="15">
        <f>SUM($Q$270:$R$270)</f>
        <v>0</v>
      </c>
      <c r="U270" s="15">
        <f>$S$270+$T$270</f>
        <v>0</v>
      </c>
    </row>
    <row r="271" spans="1:21" x14ac:dyDescent="0.3">
      <c r="A271" s="10" t="s">
        <v>1010</v>
      </c>
      <c r="B271" s="11" t="s">
        <v>1011</v>
      </c>
      <c r="C271" s="11"/>
      <c r="D271" s="11" t="s">
        <v>1012</v>
      </c>
      <c r="E271" s="11">
        <f xml:space="preserve"> IF($U$271,1,0)</f>
        <v>0</v>
      </c>
      <c r="F271" s="11" t="s">
        <v>1013</v>
      </c>
      <c r="G271" s="11">
        <v>0</v>
      </c>
      <c r="H271" s="11">
        <v>0</v>
      </c>
      <c r="I271" s="11">
        <v>0</v>
      </c>
      <c r="J271" s="11">
        <v>0</v>
      </c>
      <c r="K271" s="11">
        <v>0</v>
      </c>
      <c r="L271" s="11">
        <v>0</v>
      </c>
      <c r="M271" s="11">
        <v>0</v>
      </c>
      <c r="N271" s="11">
        <v>0</v>
      </c>
      <c r="O271" s="11">
        <v>0</v>
      </c>
      <c r="P271" s="11">
        <v>0</v>
      </c>
      <c r="Q271" s="12">
        <v>0</v>
      </c>
      <c r="R271" s="12">
        <v>0</v>
      </c>
      <c r="S271" s="12">
        <f>$G$271*$G$8+$H$271*$H$8+$I$271*$I$8+$J$271*$J$8+$K$271*$K$8+$L$271*$L$8+$M$271*$M$8+$N$271*$N$8+$O$271*$O$8+$P$271*$P$8</f>
        <v>0</v>
      </c>
      <c r="T271" s="12">
        <f>SUM($Q$271:$R$271)</f>
        <v>0</v>
      </c>
      <c r="U271" s="12">
        <f>$S$271+$T$271</f>
        <v>0</v>
      </c>
    </row>
    <row r="272" spans="1:21" x14ac:dyDescent="0.3">
      <c r="A272" s="13" t="s">
        <v>1014</v>
      </c>
      <c r="B272" s="14" t="s">
        <v>1015</v>
      </c>
      <c r="C272" s="14"/>
      <c r="D272" s="14" t="s">
        <v>1016</v>
      </c>
      <c r="E272" s="14">
        <f xml:space="preserve"> IF($U$272,1,0)</f>
        <v>0</v>
      </c>
      <c r="F272" s="14" t="s">
        <v>1017</v>
      </c>
      <c r="G272" s="14">
        <v>0</v>
      </c>
      <c r="H272" s="14">
        <v>0</v>
      </c>
      <c r="I272" s="14">
        <v>0</v>
      </c>
      <c r="J272" s="14">
        <v>0</v>
      </c>
      <c r="K272" s="14">
        <v>0</v>
      </c>
      <c r="L272" s="14">
        <v>0</v>
      </c>
      <c r="M272" s="14">
        <v>0</v>
      </c>
      <c r="N272" s="14">
        <v>0</v>
      </c>
      <c r="O272" s="14">
        <v>0</v>
      </c>
      <c r="P272" s="14">
        <v>0</v>
      </c>
      <c r="Q272" s="15">
        <v>0</v>
      </c>
      <c r="R272" s="15">
        <v>0</v>
      </c>
      <c r="S272" s="15">
        <f>$G$272*$G$8+$H$272*$H$8+$I$272*$I$8+$J$272*$J$8+$K$272*$K$8+$L$272*$L$8+$M$272*$M$8+$N$272*$N$8+$O$272*$O$8+$P$272*$P$8</f>
        <v>0</v>
      </c>
      <c r="T272" s="15">
        <f>SUM($Q$272:$R$272)</f>
        <v>0</v>
      </c>
      <c r="U272" s="15">
        <f>$S$272+$T$272</f>
        <v>0</v>
      </c>
    </row>
    <row r="273" spans="1:21" x14ac:dyDescent="0.3">
      <c r="A273" s="10" t="s">
        <v>1018</v>
      </c>
      <c r="B273" s="11" t="s">
        <v>1015</v>
      </c>
      <c r="C273" s="11"/>
      <c r="D273" s="11" t="s">
        <v>1019</v>
      </c>
      <c r="E273" s="11">
        <f xml:space="preserve"> IF($U$273,1,0)</f>
        <v>0</v>
      </c>
      <c r="F273" s="11" t="s">
        <v>1020</v>
      </c>
      <c r="G273" s="11">
        <v>0</v>
      </c>
      <c r="H273" s="11">
        <v>0</v>
      </c>
      <c r="I273" s="11">
        <v>0</v>
      </c>
      <c r="J273" s="11">
        <v>0</v>
      </c>
      <c r="K273" s="11">
        <v>0</v>
      </c>
      <c r="L273" s="11">
        <v>0</v>
      </c>
      <c r="M273" s="11">
        <v>0</v>
      </c>
      <c r="N273" s="11">
        <v>0</v>
      </c>
      <c r="O273" s="11">
        <v>0</v>
      </c>
      <c r="P273" s="11">
        <v>0</v>
      </c>
      <c r="Q273" s="12">
        <v>0</v>
      </c>
      <c r="R273" s="12">
        <v>0</v>
      </c>
      <c r="S273" s="12">
        <f>$G$273*$G$8+$H$273*$H$8+$I$273*$I$8+$J$273*$J$8+$K$273*$K$8+$L$273*$L$8+$M$273*$M$8+$N$273*$N$8+$O$273*$O$8+$P$273*$P$8</f>
        <v>0</v>
      </c>
      <c r="T273" s="12">
        <f>SUM($Q$273:$R$273)</f>
        <v>0</v>
      </c>
      <c r="U273" s="12">
        <f>$S$273+$T$273</f>
        <v>0</v>
      </c>
    </row>
    <row r="274" spans="1:21" x14ac:dyDescent="0.3">
      <c r="A274" s="13" t="s">
        <v>1021</v>
      </c>
      <c r="B274" s="14" t="s">
        <v>1022</v>
      </c>
      <c r="C274" s="14" t="s">
        <v>283</v>
      </c>
      <c r="D274" s="14" t="s">
        <v>1023</v>
      </c>
      <c r="E274" s="14">
        <f xml:space="preserve"> IF($U$274,1,0)</f>
        <v>0</v>
      </c>
      <c r="F274" s="14" t="s">
        <v>1024</v>
      </c>
      <c r="G274" s="14">
        <v>0</v>
      </c>
      <c r="H274" s="14">
        <v>0</v>
      </c>
      <c r="I274" s="14">
        <v>0</v>
      </c>
      <c r="J274" s="14">
        <v>0</v>
      </c>
      <c r="K274" s="14">
        <v>0</v>
      </c>
      <c r="L274" s="14">
        <v>0</v>
      </c>
      <c r="M274" s="14">
        <v>0</v>
      </c>
      <c r="N274" s="14">
        <v>0</v>
      </c>
      <c r="O274" s="14">
        <v>0</v>
      </c>
      <c r="P274" s="14">
        <v>0</v>
      </c>
      <c r="Q274" s="15">
        <v>0</v>
      </c>
      <c r="R274" s="15">
        <v>0</v>
      </c>
      <c r="S274" s="15">
        <f>$G$274*$G$8+$H$274*$H$8+$I$274*$I$8+$J$274*$J$8+$K$274*$K$8+$L$274*$L$8+$M$274*$M$8+$N$274*$N$8+$O$274*$O$8+$P$274*$P$8</f>
        <v>0</v>
      </c>
      <c r="T274" s="15">
        <f>SUM($Q$274:$R$274)</f>
        <v>0</v>
      </c>
      <c r="U274" s="15">
        <f>$S$274+$T$274</f>
        <v>0</v>
      </c>
    </row>
    <row r="275" spans="1:21" x14ac:dyDescent="0.3">
      <c r="A275" s="10" t="s">
        <v>1025</v>
      </c>
      <c r="B275" s="11" t="s">
        <v>1026</v>
      </c>
      <c r="C275" s="11"/>
      <c r="D275" s="11" t="s">
        <v>1027</v>
      </c>
      <c r="E275" s="11">
        <f xml:space="preserve"> IF($U$275,1,0)</f>
        <v>0</v>
      </c>
      <c r="F275" s="11" t="s">
        <v>1028</v>
      </c>
      <c r="G275" s="11">
        <v>0</v>
      </c>
      <c r="H275" s="11">
        <v>0</v>
      </c>
      <c r="I275" s="11">
        <v>0</v>
      </c>
      <c r="J275" s="11">
        <v>0</v>
      </c>
      <c r="K275" s="11">
        <v>0</v>
      </c>
      <c r="L275" s="11">
        <v>0</v>
      </c>
      <c r="M275" s="11">
        <v>0</v>
      </c>
      <c r="N275" s="11">
        <v>0</v>
      </c>
      <c r="O275" s="11">
        <v>0</v>
      </c>
      <c r="P275" s="11">
        <v>0</v>
      </c>
      <c r="Q275" s="12">
        <v>0</v>
      </c>
      <c r="R275" s="12">
        <v>0</v>
      </c>
      <c r="S275" s="12">
        <f>$G$275*$G$8+$H$275*$H$8+$I$275*$I$8+$J$275*$J$8+$K$275*$K$8+$L$275*$L$8+$M$275*$M$8+$N$275*$N$8+$O$275*$O$8+$P$275*$P$8</f>
        <v>0</v>
      </c>
      <c r="T275" s="12">
        <f>SUM($Q$275:$R$275)</f>
        <v>0</v>
      </c>
      <c r="U275" s="12">
        <f>$S$275+$T$275</f>
        <v>0</v>
      </c>
    </row>
    <row r="276" spans="1:21" x14ac:dyDescent="0.3">
      <c r="A276" s="13" t="s">
        <v>1029</v>
      </c>
      <c r="B276" s="14" t="s">
        <v>1030</v>
      </c>
      <c r="C276" s="14" t="s">
        <v>34</v>
      </c>
      <c r="D276" s="14" t="s">
        <v>1031</v>
      </c>
      <c r="E276" s="14">
        <f xml:space="preserve"> IF($U$276,1,0)</f>
        <v>1</v>
      </c>
      <c r="F276" s="14" t="s">
        <v>1032</v>
      </c>
      <c r="G276" s="14">
        <v>1</v>
      </c>
      <c r="H276" s="14">
        <v>0</v>
      </c>
      <c r="I276" s="14">
        <v>1</v>
      </c>
      <c r="J276" s="14">
        <v>0</v>
      </c>
      <c r="K276" s="14">
        <v>1</v>
      </c>
      <c r="L276" s="14">
        <v>0</v>
      </c>
      <c r="M276" s="14">
        <v>0</v>
      </c>
      <c r="N276" s="14">
        <v>0</v>
      </c>
      <c r="O276" s="14">
        <v>1</v>
      </c>
      <c r="P276" s="14">
        <v>1</v>
      </c>
      <c r="Q276" s="15">
        <v>0</v>
      </c>
      <c r="R276" s="15">
        <v>0</v>
      </c>
      <c r="S276" s="15">
        <f>$G$276*$G$8+$H$276*$H$8+$I$276*$I$8+$J$276*$J$8+$K$276*$K$8+$L$276*$L$8+$M$276*$M$8+$N$276*$N$8+$O$276*$O$8+$P$276*$P$8</f>
        <v>5.2</v>
      </c>
      <c r="T276" s="15">
        <f>SUM($Q$276:$R$276)</f>
        <v>0</v>
      </c>
      <c r="U276" s="15">
        <f>$S$276+$T$276</f>
        <v>5.2</v>
      </c>
    </row>
    <row r="277" spans="1:21" x14ac:dyDescent="0.3">
      <c r="A277" s="10" t="s">
        <v>1033</v>
      </c>
      <c r="B277" s="11" t="s">
        <v>1030</v>
      </c>
      <c r="C277" s="11"/>
      <c r="D277" s="11" t="s">
        <v>1034</v>
      </c>
      <c r="E277" s="11">
        <f xml:space="preserve"> IF($U$277,1,0)</f>
        <v>0</v>
      </c>
      <c r="F277" s="11" t="s">
        <v>1035</v>
      </c>
      <c r="G277" s="11">
        <v>0</v>
      </c>
      <c r="H277" s="11">
        <v>0</v>
      </c>
      <c r="I277" s="11">
        <v>0</v>
      </c>
      <c r="J277" s="11">
        <v>0</v>
      </c>
      <c r="K277" s="11">
        <v>0</v>
      </c>
      <c r="L277" s="11">
        <v>0</v>
      </c>
      <c r="M277" s="11">
        <v>0</v>
      </c>
      <c r="N277" s="11">
        <v>0</v>
      </c>
      <c r="O277" s="11">
        <v>0</v>
      </c>
      <c r="P277" s="11">
        <v>0</v>
      </c>
      <c r="Q277" s="12">
        <v>0</v>
      </c>
      <c r="R277" s="12">
        <v>0</v>
      </c>
      <c r="S277" s="12">
        <f>$G$277*$G$8+$H$277*$H$8+$I$277*$I$8+$J$277*$J$8+$K$277*$K$8+$L$277*$L$8+$M$277*$M$8+$N$277*$N$8+$O$277*$O$8+$P$277*$P$8</f>
        <v>0</v>
      </c>
      <c r="T277" s="12">
        <f>SUM($Q$277:$R$277)</f>
        <v>0</v>
      </c>
      <c r="U277" s="12">
        <f>$S$277+$T$277</f>
        <v>0</v>
      </c>
    </row>
    <row r="278" spans="1:21" x14ac:dyDescent="0.3">
      <c r="A278" s="13" t="s">
        <v>1036</v>
      </c>
      <c r="B278" s="14" t="s">
        <v>1037</v>
      </c>
      <c r="C278" s="14"/>
      <c r="D278" s="14" t="s">
        <v>1038</v>
      </c>
      <c r="E278" s="14">
        <f xml:space="preserve"> IF($U$278,1,0)</f>
        <v>0</v>
      </c>
      <c r="F278" s="14" t="s">
        <v>1039</v>
      </c>
      <c r="G278" s="14">
        <v>0</v>
      </c>
      <c r="H278" s="14">
        <v>0</v>
      </c>
      <c r="I278" s="14">
        <v>0</v>
      </c>
      <c r="J278" s="14">
        <v>0</v>
      </c>
      <c r="K278" s="14">
        <v>0</v>
      </c>
      <c r="L278" s="14">
        <v>0</v>
      </c>
      <c r="M278" s="14">
        <v>0</v>
      </c>
      <c r="N278" s="14">
        <v>0</v>
      </c>
      <c r="O278" s="14">
        <v>0</v>
      </c>
      <c r="P278" s="14">
        <v>0</v>
      </c>
      <c r="Q278" s="15">
        <v>0</v>
      </c>
      <c r="R278" s="15">
        <v>0</v>
      </c>
      <c r="S278" s="15">
        <f>$G$278*$G$8+$H$278*$H$8+$I$278*$I$8+$J$278*$J$8+$K$278*$K$8+$L$278*$L$8+$M$278*$M$8+$N$278*$N$8+$O$278*$O$8+$P$278*$P$8</f>
        <v>0</v>
      </c>
      <c r="T278" s="15">
        <f>SUM($Q$278:$R$278)</f>
        <v>0</v>
      </c>
      <c r="U278" s="15">
        <f>$S$278+$T$278</f>
        <v>0</v>
      </c>
    </row>
    <row r="279" spans="1:21" x14ac:dyDescent="0.3">
      <c r="A279" s="10" t="s">
        <v>1040</v>
      </c>
      <c r="B279" s="11" t="s">
        <v>1037</v>
      </c>
      <c r="C279" s="11" t="s">
        <v>202</v>
      </c>
      <c r="D279" s="11" t="s">
        <v>1041</v>
      </c>
      <c r="E279" s="11">
        <f xml:space="preserve"> IF($U$279,1,0)</f>
        <v>0</v>
      </c>
      <c r="F279" s="11" t="s">
        <v>1042</v>
      </c>
      <c r="G279" s="11">
        <v>0</v>
      </c>
      <c r="H279" s="11">
        <v>0</v>
      </c>
      <c r="I279" s="11">
        <v>0</v>
      </c>
      <c r="J279" s="11">
        <v>0</v>
      </c>
      <c r="K279" s="11">
        <v>0</v>
      </c>
      <c r="L279" s="11">
        <v>0</v>
      </c>
      <c r="M279" s="11">
        <v>0</v>
      </c>
      <c r="N279" s="11">
        <v>0</v>
      </c>
      <c r="O279" s="11">
        <v>0</v>
      </c>
      <c r="P279" s="11">
        <v>0</v>
      </c>
      <c r="Q279" s="12">
        <v>0</v>
      </c>
      <c r="R279" s="12">
        <v>0</v>
      </c>
      <c r="S279" s="12">
        <f>$G$279*$G$8+$H$279*$H$8+$I$279*$I$8+$J$279*$J$8+$K$279*$K$8+$L$279*$L$8+$M$279*$M$8+$N$279*$N$8+$O$279*$O$8+$P$279*$P$8</f>
        <v>0</v>
      </c>
      <c r="T279" s="12">
        <f>SUM($Q$279:$R$279)</f>
        <v>0</v>
      </c>
      <c r="U279" s="12">
        <f>$S$279+$T$279</f>
        <v>0</v>
      </c>
    </row>
    <row r="280" spans="1:21" x14ac:dyDescent="0.3">
      <c r="A280" s="13" t="s">
        <v>1043</v>
      </c>
      <c r="B280" s="14" t="s">
        <v>1044</v>
      </c>
      <c r="C280" s="14"/>
      <c r="D280" s="14" t="s">
        <v>1045</v>
      </c>
      <c r="E280" s="14">
        <f xml:space="preserve"> IF($U$280,1,0)</f>
        <v>0</v>
      </c>
      <c r="F280" s="14" t="s">
        <v>1046</v>
      </c>
      <c r="G280" s="14">
        <v>0</v>
      </c>
      <c r="H280" s="14">
        <v>0</v>
      </c>
      <c r="I280" s="14">
        <v>0</v>
      </c>
      <c r="J280" s="14">
        <v>0</v>
      </c>
      <c r="K280" s="14">
        <v>0</v>
      </c>
      <c r="L280" s="14">
        <v>0</v>
      </c>
      <c r="M280" s="14">
        <v>0</v>
      </c>
      <c r="N280" s="14">
        <v>0</v>
      </c>
      <c r="O280" s="14">
        <v>0</v>
      </c>
      <c r="P280" s="14">
        <v>0</v>
      </c>
      <c r="Q280" s="15">
        <v>0</v>
      </c>
      <c r="R280" s="15">
        <v>0</v>
      </c>
      <c r="S280" s="15">
        <f>$G$280*$G$8+$H$280*$H$8+$I$280*$I$8+$J$280*$J$8+$K$280*$K$8+$L$280*$L$8+$M$280*$M$8+$N$280*$N$8+$O$280*$O$8+$P$280*$P$8</f>
        <v>0</v>
      </c>
      <c r="T280" s="15">
        <f>SUM($Q$280:$R$280)</f>
        <v>0</v>
      </c>
      <c r="U280" s="15">
        <f>$S$280+$T$280</f>
        <v>0</v>
      </c>
    </row>
    <row r="281" spans="1:21" x14ac:dyDescent="0.3">
      <c r="A281" s="10" t="s">
        <v>1047</v>
      </c>
      <c r="B281" s="11" t="s">
        <v>1048</v>
      </c>
      <c r="C281" s="11"/>
      <c r="D281" s="11" t="s">
        <v>1049</v>
      </c>
      <c r="E281" s="11">
        <f xml:space="preserve"> IF($U$281,1,0)</f>
        <v>1</v>
      </c>
      <c r="F281" s="11" t="s">
        <v>1050</v>
      </c>
      <c r="G281" s="11">
        <v>2</v>
      </c>
      <c r="H281" s="11">
        <v>0</v>
      </c>
      <c r="I281" s="11">
        <v>0</v>
      </c>
      <c r="J281" s="11">
        <v>0</v>
      </c>
      <c r="K281" s="11">
        <v>0</v>
      </c>
      <c r="L281" s="11">
        <v>0</v>
      </c>
      <c r="M281" s="11">
        <v>0</v>
      </c>
      <c r="N281" s="11">
        <v>0</v>
      </c>
      <c r="O281" s="11">
        <v>0</v>
      </c>
      <c r="P281" s="11">
        <v>0</v>
      </c>
      <c r="Q281" s="12">
        <v>0</v>
      </c>
      <c r="R281" s="12">
        <v>0</v>
      </c>
      <c r="S281" s="12">
        <f>$G$281*$G$8+$H$281*$H$8+$I$281*$I$8+$J$281*$J$8+$K$281*$K$8+$L$281*$L$8+$M$281*$M$8+$N$281*$N$8+$O$281*$O$8+$P$281*$P$8</f>
        <v>1.4</v>
      </c>
      <c r="T281" s="12">
        <f>SUM($Q$281:$R$281)</f>
        <v>0</v>
      </c>
      <c r="U281" s="12">
        <f>$S$281+$T$281</f>
        <v>1.4</v>
      </c>
    </row>
    <row r="282" spans="1:21" x14ac:dyDescent="0.3">
      <c r="A282" s="13" t="s">
        <v>1051</v>
      </c>
      <c r="B282" s="14" t="s">
        <v>1052</v>
      </c>
      <c r="C282" s="14" t="s">
        <v>34</v>
      </c>
      <c r="D282" s="14" t="s">
        <v>1053</v>
      </c>
      <c r="E282" s="14">
        <f xml:space="preserve"> IF($U$282,1,0)</f>
        <v>0</v>
      </c>
      <c r="F282" s="14" t="s">
        <v>1054</v>
      </c>
      <c r="G282" s="14">
        <v>0</v>
      </c>
      <c r="H282" s="14">
        <v>0</v>
      </c>
      <c r="I282" s="14">
        <v>0</v>
      </c>
      <c r="J282" s="14">
        <v>0</v>
      </c>
      <c r="K282" s="14">
        <v>0</v>
      </c>
      <c r="L282" s="14">
        <v>0</v>
      </c>
      <c r="M282" s="14">
        <v>0</v>
      </c>
      <c r="N282" s="14">
        <v>0</v>
      </c>
      <c r="O282" s="14">
        <v>0</v>
      </c>
      <c r="P282" s="14">
        <v>0</v>
      </c>
      <c r="Q282" s="15">
        <v>0</v>
      </c>
      <c r="R282" s="15">
        <v>0</v>
      </c>
      <c r="S282" s="15">
        <f>$G$282*$G$8+$H$282*$H$8+$I$282*$I$8+$J$282*$J$8+$K$282*$K$8+$L$282*$L$8+$M$282*$M$8+$N$282*$N$8+$O$282*$O$8+$P$282*$P$8</f>
        <v>0</v>
      </c>
      <c r="T282" s="15">
        <f>SUM($Q$282:$R$282)</f>
        <v>0</v>
      </c>
      <c r="U282" s="15">
        <f>$S$282+$T$282</f>
        <v>0</v>
      </c>
    </row>
    <row r="283" spans="1:21" x14ac:dyDescent="0.3">
      <c r="A283" s="10" t="s">
        <v>1055</v>
      </c>
      <c r="B283" s="11" t="s">
        <v>1056</v>
      </c>
      <c r="C283" s="11" t="s">
        <v>243</v>
      </c>
      <c r="D283" s="11" t="s">
        <v>1057</v>
      </c>
      <c r="E283" s="11">
        <f xml:space="preserve"> IF($U$283,1,0)</f>
        <v>0</v>
      </c>
      <c r="F283" s="11" t="s">
        <v>1058</v>
      </c>
      <c r="G283" s="11">
        <v>0</v>
      </c>
      <c r="H283" s="11">
        <v>0</v>
      </c>
      <c r="I283" s="11">
        <v>0</v>
      </c>
      <c r="J283" s="11">
        <v>0</v>
      </c>
      <c r="K283" s="11">
        <v>0</v>
      </c>
      <c r="L283" s="11">
        <v>0</v>
      </c>
      <c r="M283" s="11">
        <v>0</v>
      </c>
      <c r="N283" s="11">
        <v>0</v>
      </c>
      <c r="O283" s="11">
        <v>0</v>
      </c>
      <c r="P283" s="11">
        <v>0</v>
      </c>
      <c r="Q283" s="12">
        <v>0</v>
      </c>
      <c r="R283" s="12">
        <v>0</v>
      </c>
      <c r="S283" s="12">
        <f>$G$283*$G$8+$H$283*$H$8+$I$283*$I$8+$J$283*$J$8+$K$283*$K$8+$L$283*$L$8+$M$283*$M$8+$N$283*$N$8+$O$283*$O$8+$P$283*$P$8</f>
        <v>0</v>
      </c>
      <c r="T283" s="12">
        <f>SUM($Q$283:$R$283)</f>
        <v>0</v>
      </c>
      <c r="U283" s="12">
        <f>$S$283+$T$283</f>
        <v>0</v>
      </c>
    </row>
    <row r="284" spans="1:21" x14ac:dyDescent="0.3">
      <c r="A284" s="13" t="s">
        <v>1059</v>
      </c>
      <c r="B284" s="14" t="s">
        <v>1056</v>
      </c>
      <c r="C284" s="14" t="s">
        <v>278</v>
      </c>
      <c r="D284" s="14" t="s">
        <v>1060</v>
      </c>
      <c r="E284" s="14">
        <f xml:space="preserve"> IF($U$284,1,0)</f>
        <v>0</v>
      </c>
      <c r="F284" s="14" t="s">
        <v>1061</v>
      </c>
      <c r="G284" s="14">
        <v>0</v>
      </c>
      <c r="H284" s="14">
        <v>0</v>
      </c>
      <c r="I284" s="14">
        <v>0</v>
      </c>
      <c r="J284" s="14">
        <v>0</v>
      </c>
      <c r="K284" s="14">
        <v>0</v>
      </c>
      <c r="L284" s="14">
        <v>0</v>
      </c>
      <c r="M284" s="14">
        <v>0</v>
      </c>
      <c r="N284" s="14">
        <v>0</v>
      </c>
      <c r="O284" s="14">
        <v>0</v>
      </c>
      <c r="P284" s="14">
        <v>0</v>
      </c>
      <c r="Q284" s="15">
        <v>0</v>
      </c>
      <c r="R284" s="15">
        <v>0</v>
      </c>
      <c r="S284" s="15">
        <f>$G$284*$G$8+$H$284*$H$8+$I$284*$I$8+$J$284*$J$8+$K$284*$K$8+$L$284*$L$8+$M$284*$M$8+$N$284*$N$8+$O$284*$O$8+$P$284*$P$8</f>
        <v>0</v>
      </c>
      <c r="T284" s="15">
        <f>SUM($Q$284:$R$284)</f>
        <v>0</v>
      </c>
      <c r="U284" s="15">
        <f>$S$284+$T$284</f>
        <v>0</v>
      </c>
    </row>
    <row r="285" spans="1:21" x14ac:dyDescent="0.3">
      <c r="A285" s="10" t="s">
        <v>1062</v>
      </c>
      <c r="B285" s="11" t="s">
        <v>1063</v>
      </c>
      <c r="C285" s="11"/>
      <c r="D285" s="11" t="s">
        <v>1064</v>
      </c>
      <c r="E285" s="11">
        <f xml:space="preserve"> IF($U$285,1,0)</f>
        <v>0</v>
      </c>
      <c r="F285" s="11" t="s">
        <v>1065</v>
      </c>
      <c r="G285" s="11">
        <v>0</v>
      </c>
      <c r="H285" s="11">
        <v>0</v>
      </c>
      <c r="I285" s="11">
        <v>0</v>
      </c>
      <c r="J285" s="11">
        <v>0</v>
      </c>
      <c r="K285" s="11">
        <v>0</v>
      </c>
      <c r="L285" s="11">
        <v>0</v>
      </c>
      <c r="M285" s="11">
        <v>0</v>
      </c>
      <c r="N285" s="11">
        <v>0</v>
      </c>
      <c r="O285" s="11">
        <v>0</v>
      </c>
      <c r="P285" s="11">
        <v>0</v>
      </c>
      <c r="Q285" s="12">
        <v>0</v>
      </c>
      <c r="R285" s="12">
        <v>0</v>
      </c>
      <c r="S285" s="12">
        <f>$G$285*$G$8+$H$285*$H$8+$I$285*$I$8+$J$285*$J$8+$K$285*$K$8+$L$285*$L$8+$M$285*$M$8+$N$285*$N$8+$O$285*$O$8+$P$285*$P$8</f>
        <v>0</v>
      </c>
      <c r="T285" s="12">
        <f>SUM($Q$285:$R$285)</f>
        <v>0</v>
      </c>
      <c r="U285" s="12">
        <f>$S$285+$T$285</f>
        <v>0</v>
      </c>
    </row>
    <row r="286" spans="1:21" x14ac:dyDescent="0.3">
      <c r="A286" s="13" t="s">
        <v>1066</v>
      </c>
      <c r="B286" s="14" t="s">
        <v>1067</v>
      </c>
      <c r="C286" s="14" t="s">
        <v>202</v>
      </c>
      <c r="D286" s="14" t="s">
        <v>1068</v>
      </c>
      <c r="E286" s="14">
        <f xml:space="preserve"> IF($U$286,1,0)</f>
        <v>0</v>
      </c>
      <c r="F286" s="14" t="s">
        <v>1069</v>
      </c>
      <c r="G286" s="14">
        <v>0</v>
      </c>
      <c r="H286" s="14">
        <v>0</v>
      </c>
      <c r="I286" s="14">
        <v>0</v>
      </c>
      <c r="J286" s="14">
        <v>0</v>
      </c>
      <c r="K286" s="14">
        <v>0</v>
      </c>
      <c r="L286" s="14">
        <v>0</v>
      </c>
      <c r="M286" s="14">
        <v>0</v>
      </c>
      <c r="N286" s="14">
        <v>0</v>
      </c>
      <c r="O286" s="14">
        <v>0</v>
      </c>
      <c r="P286" s="14">
        <v>0</v>
      </c>
      <c r="Q286" s="15">
        <v>0</v>
      </c>
      <c r="R286" s="15">
        <v>0</v>
      </c>
      <c r="S286" s="15">
        <f>$G$286*$G$8+$H$286*$H$8+$I$286*$I$8+$J$286*$J$8+$K$286*$K$8+$L$286*$L$8+$M$286*$M$8+$N$286*$N$8+$O$286*$O$8+$P$286*$P$8</f>
        <v>0</v>
      </c>
      <c r="T286" s="15">
        <f>SUM($Q$286:$R$286)</f>
        <v>0</v>
      </c>
      <c r="U286" s="15">
        <f>$S$286+$T$286</f>
        <v>0</v>
      </c>
    </row>
    <row r="287" spans="1:21" x14ac:dyDescent="0.3">
      <c r="A287" s="10" t="s">
        <v>1070</v>
      </c>
      <c r="B287" s="11" t="s">
        <v>1071</v>
      </c>
      <c r="C287" s="11"/>
      <c r="D287" s="11" t="s">
        <v>1072</v>
      </c>
      <c r="E287" s="11">
        <f xml:space="preserve"> IF($U$287,1,0)</f>
        <v>1</v>
      </c>
      <c r="F287" s="11" t="s">
        <v>1073</v>
      </c>
      <c r="G287" s="11">
        <v>1</v>
      </c>
      <c r="H287" s="11">
        <v>0</v>
      </c>
      <c r="I287" s="11">
        <v>0</v>
      </c>
      <c r="J287" s="11">
        <v>0</v>
      </c>
      <c r="K287" s="11">
        <v>0</v>
      </c>
      <c r="L287" s="11">
        <v>0</v>
      </c>
      <c r="M287" s="11">
        <v>0</v>
      </c>
      <c r="N287" s="11">
        <v>0</v>
      </c>
      <c r="O287" s="11">
        <v>0</v>
      </c>
      <c r="P287" s="11">
        <v>0</v>
      </c>
      <c r="Q287" s="12">
        <v>0</v>
      </c>
      <c r="R287" s="12">
        <v>0</v>
      </c>
      <c r="S287" s="12">
        <f>$G$287*$G$8+$H$287*$H$8+$I$287*$I$8+$J$287*$J$8+$K$287*$K$8+$L$287*$L$8+$M$287*$M$8+$N$287*$N$8+$O$287*$O$8+$P$287*$P$8</f>
        <v>0.7</v>
      </c>
      <c r="T287" s="12">
        <f>SUM($Q$287:$R$287)</f>
        <v>0</v>
      </c>
      <c r="U287" s="12">
        <f>$S$287+$T$287</f>
        <v>0.7</v>
      </c>
    </row>
    <row r="288" spans="1:21" x14ac:dyDescent="0.3">
      <c r="A288" s="13" t="s">
        <v>1074</v>
      </c>
      <c r="B288" s="14" t="s">
        <v>1071</v>
      </c>
      <c r="C288" s="14"/>
      <c r="D288" s="14" t="s">
        <v>1075</v>
      </c>
      <c r="E288" s="14">
        <f xml:space="preserve"> IF($U$288,1,0)</f>
        <v>1</v>
      </c>
      <c r="F288" s="14" t="s">
        <v>1076</v>
      </c>
      <c r="G288" s="14">
        <v>3</v>
      </c>
      <c r="H288" s="14">
        <v>0</v>
      </c>
      <c r="I288" s="14">
        <v>0</v>
      </c>
      <c r="J288" s="14">
        <v>0</v>
      </c>
      <c r="K288" s="14">
        <v>1</v>
      </c>
      <c r="L288" s="14">
        <v>0</v>
      </c>
      <c r="M288" s="14">
        <v>0</v>
      </c>
      <c r="N288" s="14">
        <v>0</v>
      </c>
      <c r="O288" s="14">
        <v>0</v>
      </c>
      <c r="P288" s="14">
        <v>3</v>
      </c>
      <c r="Q288" s="15">
        <v>0</v>
      </c>
      <c r="R288" s="15">
        <v>0</v>
      </c>
      <c r="S288" s="15">
        <f>$G$288*$G$8+$H$288*$H$8+$I$288*$I$8+$J$288*$J$8+$K$288*$K$8+$L$288*$L$8+$M$288*$M$8+$N$288*$N$8+$O$288*$O$8+$P$288*$P$8</f>
        <v>7.1</v>
      </c>
      <c r="T288" s="15">
        <f>SUM($Q$288:$R$288)</f>
        <v>0</v>
      </c>
      <c r="U288" s="15">
        <f>$S$288+$T$288</f>
        <v>7.1</v>
      </c>
    </row>
    <row r="289" spans="1:21" x14ac:dyDescent="0.3">
      <c r="A289" s="10" t="s">
        <v>1077</v>
      </c>
      <c r="B289" s="11" t="s">
        <v>1078</v>
      </c>
      <c r="C289" s="11"/>
      <c r="D289" s="11" t="s">
        <v>1079</v>
      </c>
      <c r="E289" s="11">
        <f xml:space="preserve"> IF($U$289,1,0)</f>
        <v>0</v>
      </c>
      <c r="F289" s="11" t="s">
        <v>1080</v>
      </c>
      <c r="G289" s="11">
        <v>0</v>
      </c>
      <c r="H289" s="11">
        <v>0</v>
      </c>
      <c r="I289" s="11">
        <v>0</v>
      </c>
      <c r="J289" s="11">
        <v>0</v>
      </c>
      <c r="K289" s="11">
        <v>0</v>
      </c>
      <c r="L289" s="11">
        <v>0</v>
      </c>
      <c r="M289" s="11">
        <v>0</v>
      </c>
      <c r="N289" s="11">
        <v>0</v>
      </c>
      <c r="O289" s="11">
        <v>0</v>
      </c>
      <c r="P289" s="11">
        <v>0</v>
      </c>
      <c r="Q289" s="12">
        <v>0</v>
      </c>
      <c r="R289" s="12">
        <v>0</v>
      </c>
      <c r="S289" s="12">
        <f>$G$289*$G$8+$H$289*$H$8+$I$289*$I$8+$J$289*$J$8+$K$289*$K$8+$L$289*$L$8+$M$289*$M$8+$N$289*$N$8+$O$289*$O$8+$P$289*$P$8</f>
        <v>0</v>
      </c>
      <c r="T289" s="12">
        <f>SUM($Q$289:$R$289)</f>
        <v>0</v>
      </c>
      <c r="U289" s="12">
        <f>$S$289+$T$289</f>
        <v>0</v>
      </c>
    </row>
    <row r="290" spans="1:21" x14ac:dyDescent="0.3">
      <c r="A290" s="13" t="s">
        <v>1081</v>
      </c>
      <c r="B290" s="14" t="s">
        <v>1082</v>
      </c>
      <c r="C290" s="14"/>
      <c r="D290" s="14" t="s">
        <v>1083</v>
      </c>
      <c r="E290" s="14">
        <f xml:space="preserve"> IF($U$290,1,0)</f>
        <v>0</v>
      </c>
      <c r="F290" s="14" t="s">
        <v>1084</v>
      </c>
      <c r="G290" s="14">
        <v>0</v>
      </c>
      <c r="H290" s="14">
        <v>0</v>
      </c>
      <c r="I290" s="14">
        <v>0</v>
      </c>
      <c r="J290" s="14">
        <v>0</v>
      </c>
      <c r="K290" s="14">
        <v>0</v>
      </c>
      <c r="L290" s="14">
        <v>0</v>
      </c>
      <c r="M290" s="14">
        <v>0</v>
      </c>
      <c r="N290" s="14">
        <v>0</v>
      </c>
      <c r="O290" s="14">
        <v>0</v>
      </c>
      <c r="P290" s="14">
        <v>0</v>
      </c>
      <c r="Q290" s="15">
        <v>0</v>
      </c>
      <c r="R290" s="15">
        <v>0</v>
      </c>
      <c r="S290" s="15">
        <f>$G$290*$G$8+$H$290*$H$8+$I$290*$I$8+$J$290*$J$8+$K$290*$K$8+$L$290*$L$8+$M$290*$M$8+$N$290*$N$8+$O$290*$O$8+$P$290*$P$8</f>
        <v>0</v>
      </c>
      <c r="T290" s="15">
        <f>SUM($Q$290:$R$290)</f>
        <v>0</v>
      </c>
      <c r="U290" s="15">
        <f>$S$290+$T$290</f>
        <v>0</v>
      </c>
    </row>
    <row r="291" spans="1:21" x14ac:dyDescent="0.3">
      <c r="A291" s="10" t="s">
        <v>1085</v>
      </c>
      <c r="B291" s="11" t="s">
        <v>1082</v>
      </c>
      <c r="C291" s="11"/>
      <c r="D291" s="11" t="s">
        <v>1086</v>
      </c>
      <c r="E291" s="11">
        <f xml:space="preserve"> IF($U$291,1,0)</f>
        <v>0</v>
      </c>
      <c r="F291" s="11" t="s">
        <v>1087</v>
      </c>
      <c r="G291" s="11">
        <v>0</v>
      </c>
      <c r="H291" s="11">
        <v>0</v>
      </c>
      <c r="I291" s="11">
        <v>0</v>
      </c>
      <c r="J291" s="11">
        <v>0</v>
      </c>
      <c r="K291" s="11">
        <v>0</v>
      </c>
      <c r="L291" s="11">
        <v>0</v>
      </c>
      <c r="M291" s="11">
        <v>0</v>
      </c>
      <c r="N291" s="11">
        <v>0</v>
      </c>
      <c r="O291" s="11">
        <v>0</v>
      </c>
      <c r="P291" s="11">
        <v>0</v>
      </c>
      <c r="Q291" s="12">
        <v>0</v>
      </c>
      <c r="R291" s="12">
        <v>0</v>
      </c>
      <c r="S291" s="12">
        <f>$G$291*$G$8+$H$291*$H$8+$I$291*$I$8+$J$291*$J$8+$K$291*$K$8+$L$291*$L$8+$M$291*$M$8+$N$291*$N$8+$O$291*$O$8+$P$291*$P$8</f>
        <v>0</v>
      </c>
      <c r="T291" s="12">
        <f>SUM($Q$291:$R$291)</f>
        <v>0</v>
      </c>
      <c r="U291" s="12">
        <f>$S$291+$T$291</f>
        <v>0</v>
      </c>
    </row>
    <row r="292" spans="1:21" x14ac:dyDescent="0.3">
      <c r="A292" s="13" t="s">
        <v>1088</v>
      </c>
      <c r="B292" s="14" t="s">
        <v>1082</v>
      </c>
      <c r="C292" s="14" t="s">
        <v>65</v>
      </c>
      <c r="D292" s="14" t="s">
        <v>1089</v>
      </c>
      <c r="E292" s="14">
        <f xml:space="preserve"> IF($U$292,1,0)</f>
        <v>0</v>
      </c>
      <c r="F292" s="14" t="s">
        <v>1090</v>
      </c>
      <c r="G292" s="14">
        <v>0</v>
      </c>
      <c r="H292" s="14">
        <v>0</v>
      </c>
      <c r="I292" s="14">
        <v>0</v>
      </c>
      <c r="J292" s="14">
        <v>0</v>
      </c>
      <c r="K292" s="14">
        <v>0</v>
      </c>
      <c r="L292" s="14">
        <v>0</v>
      </c>
      <c r="M292" s="14">
        <v>0</v>
      </c>
      <c r="N292" s="14">
        <v>0</v>
      </c>
      <c r="O292" s="14">
        <v>0</v>
      </c>
      <c r="P292" s="14">
        <v>0</v>
      </c>
      <c r="Q292" s="15">
        <v>0</v>
      </c>
      <c r="R292" s="15">
        <v>0</v>
      </c>
      <c r="S292" s="15">
        <f>$G$292*$G$8+$H$292*$H$8+$I$292*$I$8+$J$292*$J$8+$K$292*$K$8+$L$292*$L$8+$M$292*$M$8+$N$292*$N$8+$O$292*$O$8+$P$292*$P$8</f>
        <v>0</v>
      </c>
      <c r="T292" s="15">
        <f>SUM($Q$292:$R$292)</f>
        <v>0</v>
      </c>
      <c r="U292" s="15">
        <f>$S$292+$T$292</f>
        <v>0</v>
      </c>
    </row>
    <row r="293" spans="1:21" x14ac:dyDescent="0.3">
      <c r="A293" s="10" t="s">
        <v>1091</v>
      </c>
      <c r="B293" s="11" t="s">
        <v>1082</v>
      </c>
      <c r="C293" s="11"/>
      <c r="D293" s="11" t="s">
        <v>1092</v>
      </c>
      <c r="E293" s="11">
        <f xml:space="preserve"> IF($U$293,1,0)</f>
        <v>0</v>
      </c>
      <c r="F293" s="11" t="s">
        <v>1093</v>
      </c>
      <c r="G293" s="11">
        <v>0</v>
      </c>
      <c r="H293" s="11">
        <v>0</v>
      </c>
      <c r="I293" s="11">
        <v>0</v>
      </c>
      <c r="J293" s="11">
        <v>0</v>
      </c>
      <c r="K293" s="11">
        <v>0</v>
      </c>
      <c r="L293" s="11">
        <v>0</v>
      </c>
      <c r="M293" s="11">
        <v>0</v>
      </c>
      <c r="N293" s="11">
        <v>0</v>
      </c>
      <c r="O293" s="11">
        <v>0</v>
      </c>
      <c r="P293" s="11">
        <v>0</v>
      </c>
      <c r="Q293" s="12">
        <v>0</v>
      </c>
      <c r="R293" s="12">
        <v>0</v>
      </c>
      <c r="S293" s="12">
        <f>$G$293*$G$8+$H$293*$H$8+$I$293*$I$8+$J$293*$J$8+$K$293*$K$8+$L$293*$L$8+$M$293*$M$8+$N$293*$N$8+$O$293*$O$8+$P$293*$P$8</f>
        <v>0</v>
      </c>
      <c r="T293" s="12">
        <f>SUM($Q$293:$R$293)</f>
        <v>0</v>
      </c>
      <c r="U293" s="12">
        <f>$S$293+$T$293</f>
        <v>0</v>
      </c>
    </row>
    <row r="294" spans="1:21" x14ac:dyDescent="0.3">
      <c r="A294" s="13" t="s">
        <v>1094</v>
      </c>
      <c r="B294" s="14" t="s">
        <v>1095</v>
      </c>
      <c r="C294" s="14" t="s">
        <v>34</v>
      </c>
      <c r="D294" s="14" t="s">
        <v>1096</v>
      </c>
      <c r="E294" s="14">
        <f xml:space="preserve"> IF($U$294,1,0)</f>
        <v>0</v>
      </c>
      <c r="F294" s="14" t="s">
        <v>1097</v>
      </c>
      <c r="G294" s="14">
        <v>0</v>
      </c>
      <c r="H294" s="14">
        <v>0</v>
      </c>
      <c r="I294" s="14">
        <v>0</v>
      </c>
      <c r="J294" s="14">
        <v>0</v>
      </c>
      <c r="K294" s="14">
        <v>0</v>
      </c>
      <c r="L294" s="14">
        <v>0</v>
      </c>
      <c r="M294" s="14">
        <v>0</v>
      </c>
      <c r="N294" s="14">
        <v>0</v>
      </c>
      <c r="O294" s="14">
        <v>0</v>
      </c>
      <c r="P294" s="14">
        <v>0</v>
      </c>
      <c r="Q294" s="15">
        <v>0</v>
      </c>
      <c r="R294" s="15">
        <v>0</v>
      </c>
      <c r="S294" s="15">
        <f>$G$294*$G$8+$H$294*$H$8+$I$294*$I$8+$J$294*$J$8+$K$294*$K$8+$L$294*$L$8+$M$294*$M$8+$N$294*$N$8+$O$294*$O$8+$P$294*$P$8</f>
        <v>0</v>
      </c>
      <c r="T294" s="15">
        <f>SUM($Q$294:$R$294)</f>
        <v>0</v>
      </c>
      <c r="U294" s="15">
        <f>$S$294+$T$294</f>
        <v>0</v>
      </c>
    </row>
    <row r="295" spans="1:21" x14ac:dyDescent="0.3">
      <c r="A295" s="10" t="s">
        <v>1098</v>
      </c>
      <c r="B295" s="11" t="s">
        <v>1099</v>
      </c>
      <c r="C295" s="11"/>
      <c r="D295" s="11" t="s">
        <v>1100</v>
      </c>
      <c r="E295" s="11">
        <f xml:space="preserve"> IF($U$295,1,0)</f>
        <v>0</v>
      </c>
      <c r="F295" s="11" t="s">
        <v>1101</v>
      </c>
      <c r="G295" s="11">
        <v>0</v>
      </c>
      <c r="H295" s="11">
        <v>0</v>
      </c>
      <c r="I295" s="11">
        <v>0</v>
      </c>
      <c r="J295" s="11">
        <v>0</v>
      </c>
      <c r="K295" s="11">
        <v>0</v>
      </c>
      <c r="L295" s="11">
        <v>0</v>
      </c>
      <c r="M295" s="11">
        <v>0</v>
      </c>
      <c r="N295" s="11">
        <v>0</v>
      </c>
      <c r="O295" s="11">
        <v>0</v>
      </c>
      <c r="P295" s="11">
        <v>0</v>
      </c>
      <c r="Q295" s="12">
        <v>0</v>
      </c>
      <c r="R295" s="12">
        <v>0</v>
      </c>
      <c r="S295" s="12">
        <f>$G$295*$G$8+$H$295*$H$8+$I$295*$I$8+$J$295*$J$8+$K$295*$K$8+$L$295*$L$8+$M$295*$M$8+$N$295*$N$8+$O$295*$O$8+$P$295*$P$8</f>
        <v>0</v>
      </c>
      <c r="T295" s="12">
        <f>SUM($Q$295:$R$295)</f>
        <v>0</v>
      </c>
      <c r="U295" s="12">
        <f>$S$295+$T$295</f>
        <v>0</v>
      </c>
    </row>
    <row r="296" spans="1:21" x14ac:dyDescent="0.3">
      <c r="A296" s="13" t="s">
        <v>1102</v>
      </c>
      <c r="B296" s="14" t="s">
        <v>1103</v>
      </c>
      <c r="C296" s="14"/>
      <c r="D296" s="14" t="s">
        <v>1104</v>
      </c>
      <c r="E296" s="14">
        <f xml:space="preserve"> IF($U$296,1,0)</f>
        <v>0</v>
      </c>
      <c r="F296" s="14" t="s">
        <v>1105</v>
      </c>
      <c r="G296" s="14">
        <v>0</v>
      </c>
      <c r="H296" s="14">
        <v>0</v>
      </c>
      <c r="I296" s="14">
        <v>0</v>
      </c>
      <c r="J296" s="14">
        <v>0</v>
      </c>
      <c r="K296" s="14">
        <v>0</v>
      </c>
      <c r="L296" s="14">
        <v>0</v>
      </c>
      <c r="M296" s="14">
        <v>0</v>
      </c>
      <c r="N296" s="14">
        <v>0</v>
      </c>
      <c r="O296" s="14">
        <v>0</v>
      </c>
      <c r="P296" s="14">
        <v>0</v>
      </c>
      <c r="Q296" s="15">
        <v>0</v>
      </c>
      <c r="R296" s="15">
        <v>0</v>
      </c>
      <c r="S296" s="15">
        <f>$G$296*$G$8+$H$296*$H$8+$I$296*$I$8+$J$296*$J$8+$K$296*$K$8+$L$296*$L$8+$M$296*$M$8+$N$296*$N$8+$O$296*$O$8+$P$296*$P$8</f>
        <v>0</v>
      </c>
      <c r="T296" s="15">
        <f>SUM($Q$296:$R$296)</f>
        <v>0</v>
      </c>
      <c r="U296" s="15">
        <f>$S$296+$T$296</f>
        <v>0</v>
      </c>
    </row>
    <row r="297" spans="1:21" x14ac:dyDescent="0.3">
      <c r="A297" s="10" t="s">
        <v>1106</v>
      </c>
      <c r="B297" s="11" t="s">
        <v>1107</v>
      </c>
      <c r="C297" s="11"/>
      <c r="D297" s="11" t="s">
        <v>1107</v>
      </c>
      <c r="E297" s="11">
        <f xml:space="preserve"> IF($U$297,1,0)</f>
        <v>0</v>
      </c>
      <c r="F297" s="11" t="s">
        <v>1108</v>
      </c>
      <c r="G297" s="11">
        <v>0</v>
      </c>
      <c r="H297" s="11">
        <v>0</v>
      </c>
      <c r="I297" s="11">
        <v>0</v>
      </c>
      <c r="J297" s="11">
        <v>0</v>
      </c>
      <c r="K297" s="11">
        <v>0</v>
      </c>
      <c r="L297" s="11">
        <v>0</v>
      </c>
      <c r="M297" s="11">
        <v>0</v>
      </c>
      <c r="N297" s="11">
        <v>0</v>
      </c>
      <c r="O297" s="11">
        <v>0</v>
      </c>
      <c r="P297" s="11">
        <v>0</v>
      </c>
      <c r="Q297" s="12">
        <v>0</v>
      </c>
      <c r="R297" s="12">
        <v>0</v>
      </c>
      <c r="S297" s="12">
        <f>$G$297*$G$8+$H$297*$H$8+$I$297*$I$8+$J$297*$J$8+$K$297*$K$8+$L$297*$L$8+$M$297*$M$8+$N$297*$N$8+$O$297*$O$8+$P$297*$P$8</f>
        <v>0</v>
      </c>
      <c r="T297" s="12">
        <f>SUM($Q$297:$R$297)</f>
        <v>0</v>
      </c>
      <c r="U297" s="12">
        <f>$S$297+$T$297</f>
        <v>0</v>
      </c>
    </row>
    <row r="298" spans="1:21" x14ac:dyDescent="0.3">
      <c r="A298" s="13" t="s">
        <v>1109</v>
      </c>
      <c r="B298" s="14" t="s">
        <v>1110</v>
      </c>
      <c r="C298" s="14" t="s">
        <v>34</v>
      </c>
      <c r="D298" s="14" t="s">
        <v>1111</v>
      </c>
      <c r="E298" s="14">
        <f xml:space="preserve"> IF($U$298,1,0)</f>
        <v>0</v>
      </c>
      <c r="F298" s="14" t="s">
        <v>1112</v>
      </c>
      <c r="G298" s="14">
        <v>0</v>
      </c>
      <c r="H298" s="14">
        <v>0</v>
      </c>
      <c r="I298" s="14">
        <v>0</v>
      </c>
      <c r="J298" s="14">
        <v>0</v>
      </c>
      <c r="K298" s="14">
        <v>0</v>
      </c>
      <c r="L298" s="14">
        <v>0</v>
      </c>
      <c r="M298" s="14">
        <v>0</v>
      </c>
      <c r="N298" s="14">
        <v>0</v>
      </c>
      <c r="O298" s="14">
        <v>0</v>
      </c>
      <c r="P298" s="14">
        <v>0</v>
      </c>
      <c r="Q298" s="15">
        <v>0</v>
      </c>
      <c r="R298" s="15">
        <v>0</v>
      </c>
      <c r="S298" s="15">
        <f>$G$298*$G$8+$H$298*$H$8+$I$298*$I$8+$J$298*$J$8+$K$298*$K$8+$L$298*$L$8+$M$298*$M$8+$N$298*$N$8+$O$298*$O$8+$P$298*$P$8</f>
        <v>0</v>
      </c>
      <c r="T298" s="15">
        <f>SUM($Q$298:$R$298)</f>
        <v>0</v>
      </c>
      <c r="U298" s="15">
        <f>$S$298+$T$298</f>
        <v>0</v>
      </c>
    </row>
    <row r="299" spans="1:21" x14ac:dyDescent="0.3">
      <c r="A299" s="10" t="s">
        <v>1113</v>
      </c>
      <c r="B299" s="11" t="s">
        <v>1114</v>
      </c>
      <c r="C299" s="11" t="s">
        <v>34</v>
      </c>
      <c r="D299" s="11" t="s">
        <v>239</v>
      </c>
      <c r="E299" s="11">
        <f xml:space="preserve"> IF($U$299,1,0)</f>
        <v>0</v>
      </c>
      <c r="F299" s="11" t="s">
        <v>1115</v>
      </c>
      <c r="G299" s="11">
        <v>0</v>
      </c>
      <c r="H299" s="11">
        <v>0</v>
      </c>
      <c r="I299" s="11">
        <v>0</v>
      </c>
      <c r="J299" s="11">
        <v>0</v>
      </c>
      <c r="K299" s="11">
        <v>0</v>
      </c>
      <c r="L299" s="11">
        <v>0</v>
      </c>
      <c r="M299" s="11">
        <v>0</v>
      </c>
      <c r="N299" s="11">
        <v>0</v>
      </c>
      <c r="O299" s="11">
        <v>0</v>
      </c>
      <c r="P299" s="11">
        <v>0</v>
      </c>
      <c r="Q299" s="12">
        <v>0</v>
      </c>
      <c r="R299" s="12">
        <v>0</v>
      </c>
      <c r="S299" s="12">
        <f>$G$299*$G$8+$H$299*$H$8+$I$299*$I$8+$J$299*$J$8+$K$299*$K$8+$L$299*$L$8+$M$299*$M$8+$N$299*$N$8+$O$299*$O$8+$P$299*$P$8</f>
        <v>0</v>
      </c>
      <c r="T299" s="12">
        <f>SUM($Q$299:$R$299)</f>
        <v>0</v>
      </c>
      <c r="U299" s="12">
        <f>$S$299+$T$299</f>
        <v>0</v>
      </c>
    </row>
    <row r="300" spans="1:21" x14ac:dyDescent="0.3">
      <c r="A300" s="13" t="s">
        <v>1257</v>
      </c>
      <c r="B300" s="14" t="s">
        <v>1117</v>
      </c>
      <c r="C300" s="14" t="s">
        <v>202</v>
      </c>
      <c r="D300" s="14" t="s">
        <v>442</v>
      </c>
      <c r="E300" s="14">
        <f xml:space="preserve"> IF($U$300,1,0)</f>
        <v>1</v>
      </c>
      <c r="F300" s="14" t="s">
        <v>1258</v>
      </c>
      <c r="G300" s="14">
        <v>4</v>
      </c>
      <c r="H300" s="14">
        <v>0</v>
      </c>
      <c r="I300" s="14">
        <v>0</v>
      </c>
      <c r="J300" s="14">
        <v>0</v>
      </c>
      <c r="K300" s="14">
        <v>0</v>
      </c>
      <c r="L300" s="14">
        <v>0</v>
      </c>
      <c r="M300" s="14">
        <v>0</v>
      </c>
      <c r="N300" s="14">
        <v>0</v>
      </c>
      <c r="O300" s="14">
        <v>0</v>
      </c>
      <c r="P300" s="14">
        <v>0</v>
      </c>
      <c r="Q300" s="15">
        <v>0</v>
      </c>
      <c r="R300" s="15">
        <v>0</v>
      </c>
      <c r="S300" s="15">
        <f>$G$300*$G$8+$H$300*$H$8+$I$300*$I$8+$J$300*$J$8+$K$300*$K$8+$L$300*$L$8+$M$300*$M$8+$N$300*$N$8+$O$300*$O$8+$P$300*$P$8</f>
        <v>2.8</v>
      </c>
      <c r="T300" s="15">
        <f>SUM($Q$300:$R$300)</f>
        <v>0</v>
      </c>
      <c r="U300" s="15">
        <f>$S$300+$T$300</f>
        <v>2.8</v>
      </c>
    </row>
    <row r="301" spans="1:21" x14ac:dyDescent="0.3">
      <c r="A301" s="10" t="s">
        <v>1116</v>
      </c>
      <c r="B301" s="11" t="s">
        <v>1117</v>
      </c>
      <c r="C301" s="11"/>
      <c r="D301" s="11" t="s">
        <v>1118</v>
      </c>
      <c r="E301" s="11">
        <f xml:space="preserve"> IF($U$301,1,0)</f>
        <v>0</v>
      </c>
      <c r="F301" s="11" t="s">
        <v>1119</v>
      </c>
      <c r="G301" s="11">
        <v>0</v>
      </c>
      <c r="H301" s="11">
        <v>0</v>
      </c>
      <c r="I301" s="11">
        <v>0</v>
      </c>
      <c r="J301" s="11">
        <v>0</v>
      </c>
      <c r="K301" s="11">
        <v>0</v>
      </c>
      <c r="L301" s="11">
        <v>0</v>
      </c>
      <c r="M301" s="11">
        <v>0</v>
      </c>
      <c r="N301" s="11">
        <v>0</v>
      </c>
      <c r="O301" s="11">
        <v>0</v>
      </c>
      <c r="P301" s="11">
        <v>0</v>
      </c>
      <c r="Q301" s="12">
        <v>0</v>
      </c>
      <c r="R301" s="12">
        <v>0</v>
      </c>
      <c r="S301" s="12">
        <f>$G$301*$G$8+$H$301*$H$8+$I$301*$I$8+$J$301*$J$8+$K$301*$K$8+$L$301*$L$8+$M$301*$M$8+$N$301*$N$8+$O$301*$O$8+$P$301*$P$8</f>
        <v>0</v>
      </c>
      <c r="T301" s="12">
        <f>SUM($Q$301:$R$301)</f>
        <v>0</v>
      </c>
      <c r="U301" s="12">
        <f>$S$301+$T$301</f>
        <v>0</v>
      </c>
    </row>
    <row r="302" spans="1:21" x14ac:dyDescent="0.3">
      <c r="A302" s="13" t="s">
        <v>1120</v>
      </c>
      <c r="B302" s="14" t="s">
        <v>1117</v>
      </c>
      <c r="C302" s="14"/>
      <c r="D302" s="14" t="s">
        <v>1121</v>
      </c>
      <c r="E302" s="14">
        <f xml:space="preserve"> IF($U$302,1,0)</f>
        <v>0</v>
      </c>
      <c r="F302" s="14" t="s">
        <v>1122</v>
      </c>
      <c r="G302" s="14">
        <v>0</v>
      </c>
      <c r="H302" s="14">
        <v>0</v>
      </c>
      <c r="I302" s="14">
        <v>0</v>
      </c>
      <c r="J302" s="14">
        <v>0</v>
      </c>
      <c r="K302" s="14">
        <v>0</v>
      </c>
      <c r="L302" s="14">
        <v>0</v>
      </c>
      <c r="M302" s="14">
        <v>0</v>
      </c>
      <c r="N302" s="14">
        <v>0</v>
      </c>
      <c r="O302" s="14">
        <v>0</v>
      </c>
      <c r="P302" s="14">
        <v>0</v>
      </c>
      <c r="Q302" s="15">
        <v>0</v>
      </c>
      <c r="R302" s="15">
        <v>0</v>
      </c>
      <c r="S302" s="15">
        <f>$G$302*$G$8+$H$302*$H$8+$I$302*$I$8+$J$302*$J$8+$K$302*$K$8+$L$302*$L$8+$M$302*$M$8+$N$302*$N$8+$O$302*$O$8+$P$302*$P$8</f>
        <v>0</v>
      </c>
      <c r="T302" s="15">
        <f>SUM($Q$302:$R$302)</f>
        <v>0</v>
      </c>
      <c r="U302" s="15">
        <f>$S$302+$T$302</f>
        <v>0</v>
      </c>
    </row>
    <row r="303" spans="1:21" x14ac:dyDescent="0.3">
      <c r="A303" s="10" t="s">
        <v>1123</v>
      </c>
      <c r="B303" s="11" t="s">
        <v>1117</v>
      </c>
      <c r="C303" s="11"/>
      <c r="D303" s="11" t="s">
        <v>1124</v>
      </c>
      <c r="E303" s="11">
        <f xml:space="preserve"> IF($U$303,1,0)</f>
        <v>0</v>
      </c>
      <c r="F303" s="11" t="s">
        <v>1125</v>
      </c>
      <c r="G303" s="11">
        <v>0</v>
      </c>
      <c r="H303" s="11">
        <v>0</v>
      </c>
      <c r="I303" s="11">
        <v>0</v>
      </c>
      <c r="J303" s="11">
        <v>0</v>
      </c>
      <c r="K303" s="11">
        <v>0</v>
      </c>
      <c r="L303" s="11">
        <v>0</v>
      </c>
      <c r="M303" s="11">
        <v>0</v>
      </c>
      <c r="N303" s="11">
        <v>0</v>
      </c>
      <c r="O303" s="11">
        <v>0</v>
      </c>
      <c r="P303" s="11">
        <v>0</v>
      </c>
      <c r="Q303" s="12">
        <v>0</v>
      </c>
      <c r="R303" s="12">
        <v>0</v>
      </c>
      <c r="S303" s="12">
        <f>$G$303*$G$8+$H$303*$H$8+$I$303*$I$8+$J$303*$J$8+$K$303*$K$8+$L$303*$L$8+$M$303*$M$8+$N$303*$N$8+$O$303*$O$8+$P$303*$P$8</f>
        <v>0</v>
      </c>
      <c r="T303" s="12">
        <f>SUM($Q$303:$R$303)</f>
        <v>0</v>
      </c>
      <c r="U303" s="12">
        <f>$S$303+$T$303</f>
        <v>0</v>
      </c>
    </row>
    <row r="304" spans="1:21" x14ac:dyDescent="0.3">
      <c r="A304" s="13" t="s">
        <v>1126</v>
      </c>
      <c r="B304" s="14" t="s">
        <v>1117</v>
      </c>
      <c r="C304" s="14"/>
      <c r="D304" s="14" t="s">
        <v>1127</v>
      </c>
      <c r="E304" s="14">
        <f xml:space="preserve"> IF($U$304,1,0)</f>
        <v>0</v>
      </c>
      <c r="F304" s="14" t="s">
        <v>1128</v>
      </c>
      <c r="G304" s="14">
        <v>0</v>
      </c>
      <c r="H304" s="14">
        <v>0</v>
      </c>
      <c r="I304" s="14">
        <v>0</v>
      </c>
      <c r="J304" s="14">
        <v>0</v>
      </c>
      <c r="K304" s="14">
        <v>0</v>
      </c>
      <c r="L304" s="14">
        <v>0</v>
      </c>
      <c r="M304" s="14">
        <v>0</v>
      </c>
      <c r="N304" s="14">
        <v>0</v>
      </c>
      <c r="O304" s="14">
        <v>0</v>
      </c>
      <c r="P304" s="14">
        <v>0</v>
      </c>
      <c r="Q304" s="15">
        <v>0</v>
      </c>
      <c r="R304" s="15">
        <v>0</v>
      </c>
      <c r="S304" s="15">
        <f>$G$304*$G$8+$H$304*$H$8+$I$304*$I$8+$J$304*$J$8+$K$304*$K$8+$L$304*$L$8+$M$304*$M$8+$N$304*$N$8+$O$304*$O$8+$P$304*$P$8</f>
        <v>0</v>
      </c>
      <c r="T304" s="15">
        <f>SUM($Q$304:$R$304)</f>
        <v>0</v>
      </c>
      <c r="U304" s="15">
        <f>$S$304+$T$304</f>
        <v>0</v>
      </c>
    </row>
    <row r="305" spans="1:21" x14ac:dyDescent="0.3">
      <c r="A305" s="10" t="s">
        <v>1129</v>
      </c>
      <c r="B305" s="11" t="s">
        <v>1130</v>
      </c>
      <c r="C305" s="11" t="s">
        <v>34</v>
      </c>
      <c r="D305" s="11" t="s">
        <v>1131</v>
      </c>
      <c r="E305" s="11">
        <f xml:space="preserve"> IF($U$305,1,0)</f>
        <v>0</v>
      </c>
      <c r="F305" s="11" t="s">
        <v>1132</v>
      </c>
      <c r="G305" s="11">
        <v>0</v>
      </c>
      <c r="H305" s="11">
        <v>0</v>
      </c>
      <c r="I305" s="11">
        <v>0</v>
      </c>
      <c r="J305" s="11">
        <v>0</v>
      </c>
      <c r="K305" s="11">
        <v>0</v>
      </c>
      <c r="L305" s="11">
        <v>0</v>
      </c>
      <c r="M305" s="11">
        <v>0</v>
      </c>
      <c r="N305" s="11">
        <v>0</v>
      </c>
      <c r="O305" s="11">
        <v>0</v>
      </c>
      <c r="P305" s="11">
        <v>0</v>
      </c>
      <c r="Q305" s="12">
        <v>0</v>
      </c>
      <c r="R305" s="12">
        <v>0</v>
      </c>
      <c r="S305" s="12">
        <f>$G$305*$G$8+$H$305*$H$8+$I$305*$I$8+$J$305*$J$8+$K$305*$K$8+$L$305*$L$8+$M$305*$M$8+$N$305*$N$8+$O$305*$O$8+$P$305*$P$8</f>
        <v>0</v>
      </c>
      <c r="T305" s="12">
        <f>SUM($Q$305:$R$305)</f>
        <v>0</v>
      </c>
      <c r="U305" s="12">
        <f>$S$305+$T$305</f>
        <v>0</v>
      </c>
    </row>
    <row r="306" spans="1:21" x14ac:dyDescent="0.3">
      <c r="A306" s="13" t="s">
        <v>1133</v>
      </c>
      <c r="B306" s="14" t="s">
        <v>1134</v>
      </c>
      <c r="C306" s="14"/>
      <c r="D306" s="14" t="s">
        <v>1135</v>
      </c>
      <c r="E306" s="14">
        <f xml:space="preserve"> IF($U$306,1,0)</f>
        <v>0</v>
      </c>
      <c r="F306" s="14" t="s">
        <v>1136</v>
      </c>
      <c r="G306" s="14">
        <v>0</v>
      </c>
      <c r="H306" s="14">
        <v>0</v>
      </c>
      <c r="I306" s="14">
        <v>0</v>
      </c>
      <c r="J306" s="14">
        <v>0</v>
      </c>
      <c r="K306" s="14">
        <v>0</v>
      </c>
      <c r="L306" s="14">
        <v>0</v>
      </c>
      <c r="M306" s="14">
        <v>0</v>
      </c>
      <c r="N306" s="14">
        <v>0</v>
      </c>
      <c r="O306" s="14">
        <v>0</v>
      </c>
      <c r="P306" s="14">
        <v>0</v>
      </c>
      <c r="Q306" s="15">
        <v>0</v>
      </c>
      <c r="R306" s="15">
        <v>0</v>
      </c>
      <c r="S306" s="15">
        <f>$G$306*$G$8+$H$306*$H$8+$I$306*$I$8+$J$306*$J$8+$K$306*$K$8+$L$306*$L$8+$M$306*$M$8+$N$306*$N$8+$O$306*$O$8+$P$306*$P$8</f>
        <v>0</v>
      </c>
      <c r="T306" s="15">
        <f>SUM($Q$306:$R$306)</f>
        <v>0</v>
      </c>
      <c r="U306" s="15">
        <f>$S$306+$T$306</f>
        <v>0</v>
      </c>
    </row>
    <row r="307" spans="1:21" x14ac:dyDescent="0.3">
      <c r="A307" s="10" t="s">
        <v>1137</v>
      </c>
      <c r="B307" s="11" t="s">
        <v>1138</v>
      </c>
      <c r="C307" s="11"/>
      <c r="D307" s="11" t="s">
        <v>1139</v>
      </c>
      <c r="E307" s="11">
        <f xml:space="preserve"> IF($U$307,1,0)</f>
        <v>0</v>
      </c>
      <c r="F307" s="11" t="s">
        <v>1140</v>
      </c>
      <c r="G307" s="11">
        <v>0</v>
      </c>
      <c r="H307" s="11">
        <v>0</v>
      </c>
      <c r="I307" s="11">
        <v>0</v>
      </c>
      <c r="J307" s="11">
        <v>0</v>
      </c>
      <c r="K307" s="11">
        <v>0</v>
      </c>
      <c r="L307" s="11">
        <v>0</v>
      </c>
      <c r="M307" s="11">
        <v>0</v>
      </c>
      <c r="N307" s="11">
        <v>0</v>
      </c>
      <c r="O307" s="11">
        <v>0</v>
      </c>
      <c r="P307" s="11">
        <v>0</v>
      </c>
      <c r="Q307" s="12">
        <v>0</v>
      </c>
      <c r="R307" s="12">
        <v>0</v>
      </c>
      <c r="S307" s="12">
        <f>$G$307*$G$8+$H$307*$H$8+$I$307*$I$8+$J$307*$J$8+$K$307*$K$8+$L$307*$L$8+$M$307*$M$8+$N$307*$N$8+$O$307*$O$8+$P$307*$P$8</f>
        <v>0</v>
      </c>
      <c r="T307" s="12">
        <f>SUM($Q$307:$R$307)</f>
        <v>0</v>
      </c>
      <c r="U307" s="12">
        <f>$S$307+$T$307</f>
        <v>0</v>
      </c>
    </row>
    <row r="308" spans="1:21" x14ac:dyDescent="0.3">
      <c r="A308" s="13" t="s">
        <v>1141</v>
      </c>
      <c r="B308" s="14" t="s">
        <v>1142</v>
      </c>
      <c r="C308" s="14" t="s">
        <v>202</v>
      </c>
      <c r="D308" s="14" t="s">
        <v>442</v>
      </c>
      <c r="E308" s="14">
        <f xml:space="preserve"> IF($U$308,1,0)</f>
        <v>0</v>
      </c>
      <c r="F308" s="14" t="s">
        <v>1143</v>
      </c>
      <c r="G308" s="14">
        <v>0</v>
      </c>
      <c r="H308" s="14">
        <v>0</v>
      </c>
      <c r="I308" s="14">
        <v>0</v>
      </c>
      <c r="J308" s="14">
        <v>0</v>
      </c>
      <c r="K308" s="14">
        <v>0</v>
      </c>
      <c r="L308" s="14">
        <v>0</v>
      </c>
      <c r="M308" s="14">
        <v>0</v>
      </c>
      <c r="N308" s="14">
        <v>0</v>
      </c>
      <c r="O308" s="14">
        <v>0</v>
      </c>
      <c r="P308" s="14">
        <v>0</v>
      </c>
      <c r="Q308" s="15">
        <v>0</v>
      </c>
      <c r="R308" s="15">
        <v>0</v>
      </c>
      <c r="S308" s="15">
        <f>$G$308*$G$8+$H$308*$H$8+$I$308*$I$8+$J$308*$J$8+$K$308*$K$8+$L$308*$L$8+$M$308*$M$8+$N$308*$N$8+$O$308*$O$8+$P$308*$P$8</f>
        <v>0</v>
      </c>
      <c r="T308" s="15">
        <f>SUM($Q$308:$R$308)</f>
        <v>0</v>
      </c>
      <c r="U308" s="15">
        <f>$S$308+$T$308</f>
        <v>0</v>
      </c>
    </row>
    <row r="309" spans="1:21" x14ac:dyDescent="0.3">
      <c r="A309" s="10" t="s">
        <v>1144</v>
      </c>
      <c r="B309" s="11" t="s">
        <v>1142</v>
      </c>
      <c r="C309" s="11"/>
      <c r="D309" s="11" t="s">
        <v>1145</v>
      </c>
      <c r="E309" s="11">
        <f xml:space="preserve"> IF($U$309,1,0)</f>
        <v>1</v>
      </c>
      <c r="F309" s="11" t="s">
        <v>1146</v>
      </c>
      <c r="G309" s="11">
        <v>3</v>
      </c>
      <c r="H309" s="11">
        <v>0</v>
      </c>
      <c r="I309" s="11">
        <v>1</v>
      </c>
      <c r="J309" s="11">
        <v>0</v>
      </c>
      <c r="K309" s="11">
        <v>0</v>
      </c>
      <c r="L309" s="11">
        <v>0</v>
      </c>
      <c r="M309" s="11">
        <v>0</v>
      </c>
      <c r="N309" s="11">
        <v>0</v>
      </c>
      <c r="O309" s="11">
        <v>0</v>
      </c>
      <c r="P309" s="11">
        <v>0</v>
      </c>
      <c r="Q309" s="12">
        <v>0</v>
      </c>
      <c r="R309" s="12">
        <v>0</v>
      </c>
      <c r="S309" s="12">
        <f>$G$309*$G$8+$H$309*$H$8+$I$309*$I$8+$J$309*$J$8+$K$309*$K$8+$L$309*$L$8+$M$309*$M$8+$N$309*$N$8+$O$309*$O$8+$P$309*$P$8</f>
        <v>3.0999999999999996</v>
      </c>
      <c r="T309" s="12">
        <f>SUM($Q$309:$R$309)</f>
        <v>0</v>
      </c>
      <c r="U309" s="12">
        <f>$S$309+$T$309</f>
        <v>3.0999999999999996</v>
      </c>
    </row>
    <row r="310" spans="1:21" x14ac:dyDescent="0.3">
      <c r="A310" s="13" t="s">
        <v>1147</v>
      </c>
      <c r="B310" s="14" t="s">
        <v>1142</v>
      </c>
      <c r="C310" s="14"/>
      <c r="D310" s="14" t="s">
        <v>138</v>
      </c>
      <c r="E310" s="14">
        <f xml:space="preserve"> IF($U$310,1,0)</f>
        <v>0</v>
      </c>
      <c r="F310" s="14" t="s">
        <v>1148</v>
      </c>
      <c r="G310" s="14">
        <v>0</v>
      </c>
      <c r="H310" s="14">
        <v>0</v>
      </c>
      <c r="I310" s="14">
        <v>0</v>
      </c>
      <c r="J310" s="14">
        <v>0</v>
      </c>
      <c r="K310" s="14">
        <v>0</v>
      </c>
      <c r="L310" s="14">
        <v>0</v>
      </c>
      <c r="M310" s="14">
        <v>0</v>
      </c>
      <c r="N310" s="14">
        <v>0</v>
      </c>
      <c r="O310" s="14">
        <v>0</v>
      </c>
      <c r="P310" s="14">
        <v>0</v>
      </c>
      <c r="Q310" s="15">
        <v>0</v>
      </c>
      <c r="R310" s="15">
        <v>0</v>
      </c>
      <c r="S310" s="15">
        <f>$G$310*$G$8+$H$310*$H$8+$I$310*$I$8+$J$310*$J$8+$K$310*$K$8+$L$310*$L$8+$M$310*$M$8+$N$310*$N$8+$O$310*$O$8+$P$310*$P$8</f>
        <v>0</v>
      </c>
      <c r="T310" s="15">
        <f>SUM($Q$310:$R$310)</f>
        <v>0</v>
      </c>
      <c r="U310" s="15">
        <f>$S$310+$T$310</f>
        <v>0</v>
      </c>
    </row>
    <row r="311" spans="1:21" x14ac:dyDescent="0.3">
      <c r="A311" s="10" t="s">
        <v>1149</v>
      </c>
      <c r="B311" s="11" t="s">
        <v>1142</v>
      </c>
      <c r="C311" s="11"/>
      <c r="D311" s="11" t="s">
        <v>1150</v>
      </c>
      <c r="E311" s="11">
        <f xml:space="preserve"> IF($U$311,1,0)</f>
        <v>0</v>
      </c>
      <c r="F311" s="11" t="s">
        <v>1151</v>
      </c>
      <c r="G311" s="11">
        <v>0</v>
      </c>
      <c r="H311" s="11">
        <v>0</v>
      </c>
      <c r="I311" s="11">
        <v>0</v>
      </c>
      <c r="J311" s="11">
        <v>0</v>
      </c>
      <c r="K311" s="11">
        <v>0</v>
      </c>
      <c r="L311" s="11">
        <v>0</v>
      </c>
      <c r="M311" s="11">
        <v>0</v>
      </c>
      <c r="N311" s="11">
        <v>0</v>
      </c>
      <c r="O311" s="11">
        <v>0</v>
      </c>
      <c r="P311" s="11">
        <v>0</v>
      </c>
      <c r="Q311" s="12">
        <v>0</v>
      </c>
      <c r="R311" s="12">
        <v>0</v>
      </c>
      <c r="S311" s="12">
        <f>$G$311*$G$8+$H$311*$H$8+$I$311*$I$8+$J$311*$J$8+$K$311*$K$8+$L$311*$L$8+$M$311*$M$8+$N$311*$N$8+$O$311*$O$8+$P$311*$P$8</f>
        <v>0</v>
      </c>
      <c r="T311" s="12">
        <f>SUM($Q$311:$R$311)</f>
        <v>0</v>
      </c>
      <c r="U311" s="12">
        <f>$S$311+$T$311</f>
        <v>0</v>
      </c>
    </row>
    <row r="312" spans="1:21" x14ac:dyDescent="0.3">
      <c r="A312" s="13" t="s">
        <v>1152</v>
      </c>
      <c r="B312" s="14" t="s">
        <v>1142</v>
      </c>
      <c r="C312" s="14"/>
      <c r="D312" s="14" t="s">
        <v>1153</v>
      </c>
      <c r="E312" s="14">
        <f xml:space="preserve"> IF($U$312,1,0)</f>
        <v>0</v>
      </c>
      <c r="F312" s="14" t="s">
        <v>1154</v>
      </c>
      <c r="G312" s="14">
        <v>0</v>
      </c>
      <c r="H312" s="14">
        <v>0</v>
      </c>
      <c r="I312" s="14">
        <v>0</v>
      </c>
      <c r="J312" s="14">
        <v>0</v>
      </c>
      <c r="K312" s="14">
        <v>0</v>
      </c>
      <c r="L312" s="14">
        <v>0</v>
      </c>
      <c r="M312" s="14">
        <v>0</v>
      </c>
      <c r="N312" s="14">
        <v>0</v>
      </c>
      <c r="O312" s="14">
        <v>0</v>
      </c>
      <c r="P312" s="14">
        <v>0</v>
      </c>
      <c r="Q312" s="15">
        <v>0</v>
      </c>
      <c r="R312" s="15">
        <v>0</v>
      </c>
      <c r="S312" s="15">
        <f>$G$312*$G$8+$H$312*$H$8+$I$312*$I$8+$J$312*$J$8+$K$312*$K$8+$L$312*$L$8+$M$312*$M$8+$N$312*$N$8+$O$312*$O$8+$P$312*$P$8</f>
        <v>0</v>
      </c>
      <c r="T312" s="15">
        <f>SUM($Q$312:$R$312)</f>
        <v>0</v>
      </c>
      <c r="U312" s="15">
        <f>$S$312+$T$312</f>
        <v>0</v>
      </c>
    </row>
    <row r="313" spans="1:21" x14ac:dyDescent="0.3">
      <c r="A313" s="10" t="s">
        <v>1155</v>
      </c>
      <c r="B313" s="11" t="s">
        <v>1156</v>
      </c>
      <c r="C313" s="11"/>
      <c r="D313" s="11" t="s">
        <v>1157</v>
      </c>
      <c r="E313" s="11">
        <f xml:space="preserve"> IF($U$313,1,0)</f>
        <v>0</v>
      </c>
      <c r="F313" s="11" t="s">
        <v>1158</v>
      </c>
      <c r="G313" s="11">
        <v>0</v>
      </c>
      <c r="H313" s="11">
        <v>0</v>
      </c>
      <c r="I313" s="11">
        <v>0</v>
      </c>
      <c r="J313" s="11">
        <v>0</v>
      </c>
      <c r="K313" s="11">
        <v>0</v>
      </c>
      <c r="L313" s="11">
        <v>0</v>
      </c>
      <c r="M313" s="11">
        <v>0</v>
      </c>
      <c r="N313" s="11">
        <v>0</v>
      </c>
      <c r="O313" s="11">
        <v>0</v>
      </c>
      <c r="P313" s="11">
        <v>0</v>
      </c>
      <c r="Q313" s="12">
        <v>0</v>
      </c>
      <c r="R313" s="12">
        <v>0</v>
      </c>
      <c r="S313" s="12">
        <f>$G$313*$G$8+$H$313*$H$8+$I$313*$I$8+$J$313*$J$8+$K$313*$K$8+$L$313*$L$8+$M$313*$M$8+$N$313*$N$8+$O$313*$O$8+$P$313*$P$8</f>
        <v>0</v>
      </c>
      <c r="T313" s="12">
        <f>SUM($Q$313:$R$313)</f>
        <v>0</v>
      </c>
      <c r="U313" s="12">
        <f>$S$313+$T$313</f>
        <v>0</v>
      </c>
    </row>
    <row r="314" spans="1:21" x14ac:dyDescent="0.3">
      <c r="A314" s="13" t="s">
        <v>1159</v>
      </c>
      <c r="B314" s="14" t="s">
        <v>1160</v>
      </c>
      <c r="C314" s="14"/>
      <c r="D314" s="14" t="s">
        <v>1161</v>
      </c>
      <c r="E314" s="14">
        <f xml:space="preserve"> IF($U$314,1,0)</f>
        <v>0</v>
      </c>
      <c r="F314" s="14" t="s">
        <v>1162</v>
      </c>
      <c r="G314" s="14">
        <v>0</v>
      </c>
      <c r="H314" s="14">
        <v>0</v>
      </c>
      <c r="I314" s="14">
        <v>0</v>
      </c>
      <c r="J314" s="14">
        <v>0</v>
      </c>
      <c r="K314" s="14">
        <v>0</v>
      </c>
      <c r="L314" s="14">
        <v>0</v>
      </c>
      <c r="M314" s="14">
        <v>0</v>
      </c>
      <c r="N314" s="14">
        <v>0</v>
      </c>
      <c r="O314" s="14">
        <v>0</v>
      </c>
      <c r="P314" s="14">
        <v>0</v>
      </c>
      <c r="Q314" s="15">
        <v>0</v>
      </c>
      <c r="R314" s="15">
        <v>0</v>
      </c>
      <c r="S314" s="15">
        <f>$G$314*$G$8+$H$314*$H$8+$I$314*$I$8+$J$314*$J$8+$K$314*$K$8+$L$314*$L$8+$M$314*$M$8+$N$314*$N$8+$O$314*$O$8+$P$314*$P$8</f>
        <v>0</v>
      </c>
      <c r="T314" s="15">
        <f>SUM($Q$314:$R$314)</f>
        <v>0</v>
      </c>
      <c r="U314" s="15">
        <f>$S$314+$T$314</f>
        <v>0</v>
      </c>
    </row>
    <row r="315" spans="1:21" x14ac:dyDescent="0.3">
      <c r="A315" s="10" t="s">
        <v>1163</v>
      </c>
      <c r="B315" s="11" t="s">
        <v>1160</v>
      </c>
      <c r="C315" s="11"/>
      <c r="D315" s="11" t="s">
        <v>1164</v>
      </c>
      <c r="E315" s="11">
        <f xml:space="preserve"> IF($U$315,1,0)</f>
        <v>0</v>
      </c>
      <c r="F315" s="11" t="s">
        <v>1165</v>
      </c>
      <c r="G315" s="11">
        <v>0</v>
      </c>
      <c r="H315" s="11">
        <v>0</v>
      </c>
      <c r="I315" s="11">
        <v>0</v>
      </c>
      <c r="J315" s="11">
        <v>0</v>
      </c>
      <c r="K315" s="11">
        <v>0</v>
      </c>
      <c r="L315" s="11">
        <v>0</v>
      </c>
      <c r="M315" s="11">
        <v>0</v>
      </c>
      <c r="N315" s="11">
        <v>0</v>
      </c>
      <c r="O315" s="11">
        <v>0</v>
      </c>
      <c r="P315" s="11">
        <v>0</v>
      </c>
      <c r="Q315" s="12">
        <v>0</v>
      </c>
      <c r="R315" s="12">
        <v>0</v>
      </c>
      <c r="S315" s="12">
        <f>$G$315*$G$8+$H$315*$H$8+$I$315*$I$8+$J$315*$J$8+$K$315*$K$8+$L$315*$L$8+$M$315*$M$8+$N$315*$N$8+$O$315*$O$8+$P$315*$P$8</f>
        <v>0</v>
      </c>
      <c r="T315" s="12">
        <f>SUM($Q$315:$R$315)</f>
        <v>0</v>
      </c>
      <c r="U315" s="12">
        <f>$S$315+$T$315</f>
        <v>0</v>
      </c>
    </row>
    <row r="316" spans="1:21" x14ac:dyDescent="0.3">
      <c r="A316" s="13" t="s">
        <v>1166</v>
      </c>
      <c r="B316" s="14" t="s">
        <v>1160</v>
      </c>
      <c r="C316" s="14" t="s">
        <v>243</v>
      </c>
      <c r="D316" s="14" t="s">
        <v>1167</v>
      </c>
      <c r="E316" s="14">
        <f xml:space="preserve"> IF($U$316,1,0)</f>
        <v>1</v>
      </c>
      <c r="F316" s="14" t="s">
        <v>1168</v>
      </c>
      <c r="G316" s="14">
        <v>1</v>
      </c>
      <c r="H316" s="14">
        <v>1</v>
      </c>
      <c r="I316" s="14">
        <v>0</v>
      </c>
      <c r="J316" s="14">
        <v>0</v>
      </c>
      <c r="K316" s="14">
        <v>0</v>
      </c>
      <c r="L316" s="14">
        <v>1</v>
      </c>
      <c r="M316" s="14">
        <v>0</v>
      </c>
      <c r="N316" s="14">
        <v>0</v>
      </c>
      <c r="O316" s="14">
        <v>0</v>
      </c>
      <c r="P316" s="14">
        <v>0</v>
      </c>
      <c r="Q316" s="15">
        <v>0</v>
      </c>
      <c r="R316" s="15">
        <v>0</v>
      </c>
      <c r="S316" s="15">
        <f>$G$316*$G$8+$H$316*$H$8+$I$316*$I$8+$J$316*$J$8+$K$316*$K$8+$L$316*$L$8+$M$316*$M$8+$N$316*$N$8+$O$316*$O$8+$P$316*$P$8</f>
        <v>5.5</v>
      </c>
      <c r="T316" s="15">
        <f>SUM($Q$316:$R$316)</f>
        <v>0</v>
      </c>
      <c r="U316" s="15">
        <f>$S$316+$T$316</f>
        <v>5.5</v>
      </c>
    </row>
    <row r="317" spans="1:21" x14ac:dyDescent="0.3">
      <c r="A317" s="10" t="s">
        <v>1169</v>
      </c>
      <c r="B317" s="11" t="s">
        <v>1170</v>
      </c>
      <c r="C317" s="11"/>
      <c r="D317" s="11" t="s">
        <v>1171</v>
      </c>
      <c r="E317" s="11">
        <f xml:space="preserve"> IF($U$317,1,0)</f>
        <v>0</v>
      </c>
      <c r="F317" s="11" t="s">
        <v>1172</v>
      </c>
      <c r="G317" s="11">
        <v>0</v>
      </c>
      <c r="H317" s="11">
        <v>0</v>
      </c>
      <c r="I317" s="11">
        <v>0</v>
      </c>
      <c r="J317" s="11">
        <v>0</v>
      </c>
      <c r="K317" s="11">
        <v>0</v>
      </c>
      <c r="L317" s="11">
        <v>0</v>
      </c>
      <c r="M317" s="11">
        <v>0</v>
      </c>
      <c r="N317" s="11">
        <v>0</v>
      </c>
      <c r="O317" s="11">
        <v>0</v>
      </c>
      <c r="P317" s="11">
        <v>0</v>
      </c>
      <c r="Q317" s="12">
        <v>0</v>
      </c>
      <c r="R317" s="12">
        <v>0</v>
      </c>
      <c r="S317" s="12">
        <f>$G$317*$G$8+$H$317*$H$8+$I$317*$I$8+$J$317*$J$8+$K$317*$K$8+$L$317*$L$8+$M$317*$M$8+$N$317*$N$8+$O$317*$O$8+$P$317*$P$8</f>
        <v>0</v>
      </c>
      <c r="T317" s="12">
        <f>SUM($Q$317:$R$317)</f>
        <v>0</v>
      </c>
      <c r="U317" s="12">
        <f>$S$317+$T$317</f>
        <v>0</v>
      </c>
    </row>
    <row r="318" spans="1:21" x14ac:dyDescent="0.3">
      <c r="A318" s="13" t="s">
        <v>1173</v>
      </c>
      <c r="B318" s="14" t="s">
        <v>1174</v>
      </c>
      <c r="C318" s="14"/>
      <c r="D318" s="14" t="s">
        <v>1175</v>
      </c>
      <c r="E318" s="14">
        <f xml:space="preserve"> IF($U$318,1,0)</f>
        <v>0</v>
      </c>
      <c r="F318" s="14" t="s">
        <v>1176</v>
      </c>
      <c r="G318" s="14">
        <v>0</v>
      </c>
      <c r="H318" s="14">
        <v>0</v>
      </c>
      <c r="I318" s="14">
        <v>0</v>
      </c>
      <c r="J318" s="14">
        <v>0</v>
      </c>
      <c r="K318" s="14">
        <v>0</v>
      </c>
      <c r="L318" s="14">
        <v>0</v>
      </c>
      <c r="M318" s="14">
        <v>0</v>
      </c>
      <c r="N318" s="14">
        <v>0</v>
      </c>
      <c r="O318" s="14">
        <v>0</v>
      </c>
      <c r="P318" s="14">
        <v>0</v>
      </c>
      <c r="Q318" s="15">
        <v>0</v>
      </c>
      <c r="R318" s="15">
        <v>0</v>
      </c>
      <c r="S318" s="15">
        <f>$G$318*$G$8+$H$318*$H$8+$I$318*$I$8+$J$318*$J$8+$K$318*$K$8+$L$318*$L$8+$M$318*$M$8+$N$318*$N$8+$O$318*$O$8+$P$318*$P$8</f>
        <v>0</v>
      </c>
      <c r="T318" s="15">
        <f>SUM($Q$318:$R$318)</f>
        <v>0</v>
      </c>
      <c r="U318" s="15">
        <f>$S$318+$T$318</f>
        <v>0</v>
      </c>
    </row>
    <row r="319" spans="1:21" x14ac:dyDescent="0.3">
      <c r="A319" s="10" t="s">
        <v>1177</v>
      </c>
      <c r="B319" s="11" t="s">
        <v>1174</v>
      </c>
      <c r="C319" s="11" t="s">
        <v>65</v>
      </c>
      <c r="D319" s="11" t="s">
        <v>1178</v>
      </c>
      <c r="E319" s="11">
        <f xml:space="preserve"> IF($U$319,1,0)</f>
        <v>0</v>
      </c>
      <c r="F319" s="11" t="s">
        <v>1179</v>
      </c>
      <c r="G319" s="11">
        <v>0</v>
      </c>
      <c r="H319" s="11">
        <v>0</v>
      </c>
      <c r="I319" s="11">
        <v>0</v>
      </c>
      <c r="J319" s="11">
        <v>0</v>
      </c>
      <c r="K319" s="11">
        <v>0</v>
      </c>
      <c r="L319" s="11">
        <v>0</v>
      </c>
      <c r="M319" s="11">
        <v>0</v>
      </c>
      <c r="N319" s="11">
        <v>0</v>
      </c>
      <c r="O319" s="11">
        <v>0</v>
      </c>
      <c r="P319" s="11">
        <v>0</v>
      </c>
      <c r="Q319" s="12">
        <v>0</v>
      </c>
      <c r="R319" s="12">
        <v>0</v>
      </c>
      <c r="S319" s="12">
        <f>$G$319*$G$8+$H$319*$H$8+$I$319*$I$8+$J$319*$J$8+$K$319*$K$8+$L$319*$L$8+$M$319*$M$8+$N$319*$N$8+$O$319*$O$8+$P$319*$P$8</f>
        <v>0</v>
      </c>
      <c r="T319" s="12">
        <f>SUM($Q$319:$R$319)</f>
        <v>0</v>
      </c>
      <c r="U319" s="12">
        <f>$S$319+$T$319</f>
        <v>0</v>
      </c>
    </row>
    <row r="320" spans="1:21" x14ac:dyDescent="0.3">
      <c r="A320" s="13" t="s">
        <v>1180</v>
      </c>
      <c r="B320" s="14" t="s">
        <v>1181</v>
      </c>
      <c r="C320" s="14"/>
      <c r="D320" s="14" t="s">
        <v>1182</v>
      </c>
      <c r="E320" s="14">
        <f xml:space="preserve"> IF($U$320,1,0)</f>
        <v>0</v>
      </c>
      <c r="F320" s="14" t="s">
        <v>1183</v>
      </c>
      <c r="G320" s="14">
        <v>0</v>
      </c>
      <c r="H320" s="14">
        <v>0</v>
      </c>
      <c r="I320" s="14">
        <v>0</v>
      </c>
      <c r="J320" s="14">
        <v>0</v>
      </c>
      <c r="K320" s="14">
        <v>0</v>
      </c>
      <c r="L320" s="14">
        <v>0</v>
      </c>
      <c r="M320" s="14">
        <v>0</v>
      </c>
      <c r="N320" s="14">
        <v>0</v>
      </c>
      <c r="O320" s="14">
        <v>0</v>
      </c>
      <c r="P320" s="14">
        <v>0</v>
      </c>
      <c r="Q320" s="15">
        <v>0</v>
      </c>
      <c r="R320" s="15">
        <v>0</v>
      </c>
      <c r="S320" s="15">
        <f>$G$320*$G$8+$H$320*$H$8+$I$320*$I$8+$J$320*$J$8+$K$320*$K$8+$L$320*$L$8+$M$320*$M$8+$N$320*$N$8+$O$320*$O$8+$P$320*$P$8</f>
        <v>0</v>
      </c>
      <c r="T320" s="15">
        <f>SUM($Q$320:$R$320)</f>
        <v>0</v>
      </c>
      <c r="U320" s="15">
        <f>$S$320+$T$320</f>
        <v>0</v>
      </c>
    </row>
    <row r="321" spans="1:21" x14ac:dyDescent="0.3">
      <c r="A321" s="10" t="s">
        <v>1184</v>
      </c>
      <c r="B321" s="11" t="s">
        <v>1185</v>
      </c>
      <c r="C321" s="11" t="s">
        <v>65</v>
      </c>
      <c r="D321" s="11" t="s">
        <v>1186</v>
      </c>
      <c r="E321" s="11">
        <f xml:space="preserve"> IF($U$321,1,0)</f>
        <v>0</v>
      </c>
      <c r="F321" s="11" t="s">
        <v>1187</v>
      </c>
      <c r="G321" s="11">
        <v>0</v>
      </c>
      <c r="H321" s="11">
        <v>0</v>
      </c>
      <c r="I321" s="11">
        <v>0</v>
      </c>
      <c r="J321" s="11">
        <v>0</v>
      </c>
      <c r="K321" s="11">
        <v>0</v>
      </c>
      <c r="L321" s="11">
        <v>0</v>
      </c>
      <c r="M321" s="11">
        <v>0</v>
      </c>
      <c r="N321" s="11">
        <v>0</v>
      </c>
      <c r="O321" s="11">
        <v>0</v>
      </c>
      <c r="P321" s="11">
        <v>0</v>
      </c>
      <c r="Q321" s="12">
        <v>0</v>
      </c>
      <c r="R321" s="12">
        <v>0</v>
      </c>
      <c r="S321" s="12">
        <f>$G$321*$G$8+$H$321*$H$8+$I$321*$I$8+$J$321*$J$8+$K$321*$K$8+$L$321*$L$8+$M$321*$M$8+$N$321*$N$8+$O$321*$O$8+$P$321*$P$8</f>
        <v>0</v>
      </c>
      <c r="T321" s="12">
        <f>SUM($Q$321:$R$321)</f>
        <v>0</v>
      </c>
      <c r="U321" s="12">
        <f>$S$321+$T$321</f>
        <v>0</v>
      </c>
    </row>
    <row r="322" spans="1:21" x14ac:dyDescent="0.3">
      <c r="A322" s="13" t="s">
        <v>1188</v>
      </c>
      <c r="B322" s="14" t="s">
        <v>1189</v>
      </c>
      <c r="C322" s="14"/>
      <c r="D322" s="14" t="s">
        <v>1190</v>
      </c>
      <c r="E322" s="14">
        <f xml:space="preserve"> IF($U$322,1,0)</f>
        <v>0</v>
      </c>
      <c r="F322" s="14" t="s">
        <v>1191</v>
      </c>
      <c r="G322" s="14">
        <v>0</v>
      </c>
      <c r="H322" s="14">
        <v>0</v>
      </c>
      <c r="I322" s="14">
        <v>0</v>
      </c>
      <c r="J322" s="14">
        <v>0</v>
      </c>
      <c r="K322" s="14">
        <v>0</v>
      </c>
      <c r="L322" s="14">
        <v>0</v>
      </c>
      <c r="M322" s="14">
        <v>0</v>
      </c>
      <c r="N322" s="14">
        <v>0</v>
      </c>
      <c r="O322" s="14">
        <v>0</v>
      </c>
      <c r="P322" s="14">
        <v>0</v>
      </c>
      <c r="Q322" s="15">
        <v>0</v>
      </c>
      <c r="R322" s="15">
        <v>0</v>
      </c>
      <c r="S322" s="15">
        <f>$G$322*$G$8+$H$322*$H$8+$I$322*$I$8+$J$322*$J$8+$K$322*$K$8+$L$322*$L$8+$M$322*$M$8+$N$322*$N$8+$O$322*$O$8+$P$322*$P$8</f>
        <v>0</v>
      </c>
      <c r="T322" s="15">
        <f>SUM($Q$322:$R$322)</f>
        <v>0</v>
      </c>
      <c r="U322" s="15">
        <f>$S$322+$T$322</f>
        <v>0</v>
      </c>
    </row>
    <row r="323" spans="1:21" x14ac:dyDescent="0.3">
      <c r="A323" s="10" t="s">
        <v>1192</v>
      </c>
      <c r="B323" s="11" t="s">
        <v>1193</v>
      </c>
      <c r="C323" s="11"/>
      <c r="D323" s="11" t="s">
        <v>1194</v>
      </c>
      <c r="E323" s="11">
        <f xml:space="preserve"> IF($U$323,1,0)</f>
        <v>1</v>
      </c>
      <c r="F323" s="11" t="s">
        <v>1195</v>
      </c>
      <c r="G323" s="11">
        <v>7</v>
      </c>
      <c r="H323" s="11">
        <v>1</v>
      </c>
      <c r="I323" s="11">
        <v>0</v>
      </c>
      <c r="J323" s="11">
        <v>0</v>
      </c>
      <c r="K323" s="11">
        <v>0</v>
      </c>
      <c r="L323" s="11">
        <v>0</v>
      </c>
      <c r="M323" s="11">
        <v>0</v>
      </c>
      <c r="N323" s="11">
        <v>0</v>
      </c>
      <c r="O323" s="11">
        <v>0</v>
      </c>
      <c r="P323" s="11">
        <v>0</v>
      </c>
      <c r="Q323" s="12">
        <v>0</v>
      </c>
      <c r="R323" s="12">
        <v>0</v>
      </c>
      <c r="S323" s="12">
        <f>$G$323*$G$8+$H$323*$H$8+$I$323*$I$8+$J$323*$J$8+$K$323*$K$8+$L$323*$L$8+$M$323*$M$8+$N$323*$N$8+$O$323*$O$8+$P$323*$P$8</f>
        <v>6.6999999999999993</v>
      </c>
      <c r="T323" s="12">
        <f>SUM($Q$323:$R$323)</f>
        <v>0</v>
      </c>
      <c r="U323" s="12">
        <f>$S$323+$T$323</f>
        <v>6.6999999999999993</v>
      </c>
    </row>
    <row r="324" spans="1:21" x14ac:dyDescent="0.3">
      <c r="A324" s="13" t="s">
        <v>1196</v>
      </c>
      <c r="B324" s="14" t="s">
        <v>1197</v>
      </c>
      <c r="C324" s="14"/>
      <c r="D324" s="14" t="s">
        <v>1198</v>
      </c>
      <c r="E324" s="14">
        <f xml:space="preserve"> IF($U$324,1,0)</f>
        <v>0</v>
      </c>
      <c r="F324" s="14" t="s">
        <v>1199</v>
      </c>
      <c r="G324" s="14">
        <v>0</v>
      </c>
      <c r="H324" s="14">
        <v>0</v>
      </c>
      <c r="I324" s="14">
        <v>0</v>
      </c>
      <c r="J324" s="14">
        <v>0</v>
      </c>
      <c r="K324" s="14">
        <v>0</v>
      </c>
      <c r="L324" s="14">
        <v>0</v>
      </c>
      <c r="M324" s="14">
        <v>0</v>
      </c>
      <c r="N324" s="14">
        <v>0</v>
      </c>
      <c r="O324" s="14">
        <v>0</v>
      </c>
      <c r="P324" s="14">
        <v>0</v>
      </c>
      <c r="Q324" s="15">
        <v>0</v>
      </c>
      <c r="R324" s="15">
        <v>0</v>
      </c>
      <c r="S324" s="15">
        <f>$G$324*$G$8+$H$324*$H$8+$I$324*$I$8+$J$324*$J$8+$K$324*$K$8+$L$324*$L$8+$M$324*$M$8+$N$324*$N$8+$O$324*$O$8+$P$324*$P$8</f>
        <v>0</v>
      </c>
      <c r="T324" s="15">
        <f>SUM($Q$324:$R$324)</f>
        <v>0</v>
      </c>
      <c r="U324" s="15">
        <f>$S$324+$T$324</f>
        <v>0</v>
      </c>
    </row>
    <row r="325" spans="1:21" x14ac:dyDescent="0.3">
      <c r="A325" s="10" t="s">
        <v>1200</v>
      </c>
      <c r="B325" s="11" t="s">
        <v>1201</v>
      </c>
      <c r="C325" s="11"/>
      <c r="D325" s="11" t="s">
        <v>1202</v>
      </c>
      <c r="E325" s="11">
        <f xml:space="preserve"> IF($U$325,1,0)</f>
        <v>0</v>
      </c>
      <c r="F325" s="11" t="s">
        <v>1203</v>
      </c>
      <c r="G325" s="11">
        <v>0</v>
      </c>
      <c r="H325" s="11">
        <v>0</v>
      </c>
      <c r="I325" s="11">
        <v>0</v>
      </c>
      <c r="J325" s="11">
        <v>0</v>
      </c>
      <c r="K325" s="11">
        <v>0</v>
      </c>
      <c r="L325" s="11">
        <v>0</v>
      </c>
      <c r="M325" s="11">
        <v>0</v>
      </c>
      <c r="N325" s="11">
        <v>0</v>
      </c>
      <c r="O325" s="11">
        <v>0</v>
      </c>
      <c r="P325" s="11">
        <v>0</v>
      </c>
      <c r="Q325" s="12">
        <v>0</v>
      </c>
      <c r="R325" s="12">
        <v>0</v>
      </c>
      <c r="S325" s="12">
        <f>$G$325*$G$8+$H$325*$H$8+$I$325*$I$8+$J$325*$J$8+$K$325*$K$8+$L$325*$L$8+$M$325*$M$8+$N$325*$N$8+$O$325*$O$8+$P$325*$P$8</f>
        <v>0</v>
      </c>
      <c r="T325" s="12">
        <f>SUM($Q$325:$R$325)</f>
        <v>0</v>
      </c>
      <c r="U325" s="12">
        <f>$S$325+$T$325</f>
        <v>0</v>
      </c>
    </row>
    <row r="326" spans="1:21" x14ac:dyDescent="0.3">
      <c r="A326" s="13" t="s">
        <v>1204</v>
      </c>
      <c r="B326" s="14" t="s">
        <v>1205</v>
      </c>
      <c r="C326" s="14"/>
      <c r="D326" s="14" t="s">
        <v>1206</v>
      </c>
      <c r="E326" s="14">
        <f xml:space="preserve"> IF($U$326,1,0)</f>
        <v>0</v>
      </c>
      <c r="F326" s="14" t="s">
        <v>1207</v>
      </c>
      <c r="G326" s="14">
        <v>0</v>
      </c>
      <c r="H326" s="14">
        <v>0</v>
      </c>
      <c r="I326" s="14">
        <v>0</v>
      </c>
      <c r="J326" s="14">
        <v>0</v>
      </c>
      <c r="K326" s="14">
        <v>0</v>
      </c>
      <c r="L326" s="14">
        <v>0</v>
      </c>
      <c r="M326" s="14">
        <v>0</v>
      </c>
      <c r="N326" s="14">
        <v>0</v>
      </c>
      <c r="O326" s="14">
        <v>0</v>
      </c>
      <c r="P326" s="14">
        <v>0</v>
      </c>
      <c r="Q326" s="15">
        <v>0</v>
      </c>
      <c r="R326" s="15">
        <v>0</v>
      </c>
      <c r="S326" s="15">
        <f>$G$326*$G$8+$H$326*$H$8+$I$326*$I$8+$J$326*$J$8+$K$326*$K$8+$L$326*$L$8+$M$326*$M$8+$N$326*$N$8+$O$326*$O$8+$P$326*$P$8</f>
        <v>0</v>
      </c>
      <c r="T326" s="15">
        <f>SUM($Q$326:$R$326)</f>
        <v>0</v>
      </c>
      <c r="U326" s="15">
        <f>$S$326+$T$326</f>
        <v>0</v>
      </c>
    </row>
    <row r="327" spans="1:21" x14ac:dyDescent="0.3">
      <c r="A327" s="10" t="s">
        <v>1208</v>
      </c>
      <c r="B327" s="11" t="s">
        <v>1205</v>
      </c>
      <c r="C327" s="11"/>
      <c r="D327" s="11" t="s">
        <v>1209</v>
      </c>
      <c r="E327" s="11">
        <f xml:space="preserve"> IF($U$327,1,0)</f>
        <v>1</v>
      </c>
      <c r="F327" s="11" t="s">
        <v>1210</v>
      </c>
      <c r="G327" s="11">
        <v>3</v>
      </c>
      <c r="H327" s="11">
        <v>2</v>
      </c>
      <c r="I327" s="11">
        <v>0</v>
      </c>
      <c r="J327" s="11">
        <v>0</v>
      </c>
      <c r="K327" s="11">
        <v>0</v>
      </c>
      <c r="L327" s="11">
        <v>0</v>
      </c>
      <c r="M327" s="11">
        <v>0</v>
      </c>
      <c r="N327" s="11">
        <v>0</v>
      </c>
      <c r="O327" s="11">
        <v>0</v>
      </c>
      <c r="P327" s="11">
        <v>0</v>
      </c>
      <c r="Q327" s="12">
        <v>0</v>
      </c>
      <c r="R327" s="12">
        <v>0</v>
      </c>
      <c r="S327" s="12">
        <f>$G$327*$G$8+$H$327*$H$8+$I$327*$I$8+$J$327*$J$8+$K$327*$K$8+$L$327*$L$8+$M$327*$M$8+$N$327*$N$8+$O$327*$O$8+$P$327*$P$8</f>
        <v>5.6999999999999993</v>
      </c>
      <c r="T327" s="12">
        <f>SUM($Q$327:$R$327)</f>
        <v>0</v>
      </c>
      <c r="U327" s="12">
        <f>$S$327+$T$327</f>
        <v>5.6999999999999993</v>
      </c>
    </row>
    <row r="328" spans="1:21" x14ac:dyDescent="0.3">
      <c r="A328" s="13" t="s">
        <v>1211</v>
      </c>
      <c r="B328" s="14" t="s">
        <v>1212</v>
      </c>
      <c r="C328" s="14"/>
      <c r="D328" s="14" t="s">
        <v>670</v>
      </c>
      <c r="E328" s="14">
        <f xml:space="preserve"> IF($U$328,1,0)</f>
        <v>1</v>
      </c>
      <c r="F328" s="14" t="s">
        <v>1213</v>
      </c>
      <c r="G328" s="14">
        <v>2</v>
      </c>
      <c r="H328" s="14">
        <v>0</v>
      </c>
      <c r="I328" s="14">
        <v>0</v>
      </c>
      <c r="J328" s="14">
        <v>0</v>
      </c>
      <c r="K328" s="14">
        <v>0</v>
      </c>
      <c r="L328" s="14">
        <v>0</v>
      </c>
      <c r="M328" s="14">
        <v>0</v>
      </c>
      <c r="N328" s="14">
        <v>0</v>
      </c>
      <c r="O328" s="14">
        <v>0</v>
      </c>
      <c r="P328" s="14">
        <v>0</v>
      </c>
      <c r="Q328" s="15">
        <v>0</v>
      </c>
      <c r="R328" s="15">
        <v>0</v>
      </c>
      <c r="S328" s="15">
        <f>$G$328*$G$8+$H$328*$H$8+$I$328*$I$8+$J$328*$J$8+$K$328*$K$8+$L$328*$L$8+$M$328*$M$8+$N$328*$N$8+$O$328*$O$8+$P$328*$P$8</f>
        <v>1.4</v>
      </c>
      <c r="T328" s="15">
        <f>SUM($Q$328:$R$328)</f>
        <v>0</v>
      </c>
      <c r="U328" s="15">
        <f>$S$328+$T$328</f>
        <v>1.4</v>
      </c>
    </row>
    <row r="329" spans="1:21" x14ac:dyDescent="0.3">
      <c r="A329" s="10" t="s">
        <v>1214</v>
      </c>
      <c r="B329" s="11" t="s">
        <v>1215</v>
      </c>
      <c r="C329" s="11"/>
      <c r="D329" s="11" t="s">
        <v>1216</v>
      </c>
      <c r="E329" s="11">
        <f xml:space="preserve"> IF($U$329,1,0)</f>
        <v>1</v>
      </c>
      <c r="F329" s="11" t="s">
        <v>1217</v>
      </c>
      <c r="G329" s="11">
        <v>4</v>
      </c>
      <c r="H329" s="11">
        <v>0</v>
      </c>
      <c r="I329" s="11">
        <v>0</v>
      </c>
      <c r="J329" s="11">
        <v>0</v>
      </c>
      <c r="K329" s="11">
        <v>1</v>
      </c>
      <c r="L329" s="11">
        <v>0</v>
      </c>
      <c r="M329" s="11">
        <v>0</v>
      </c>
      <c r="N329" s="11">
        <v>0</v>
      </c>
      <c r="O329" s="11">
        <v>0</v>
      </c>
      <c r="P329" s="11">
        <v>0</v>
      </c>
      <c r="Q329" s="12">
        <v>0</v>
      </c>
      <c r="R329" s="12">
        <v>0</v>
      </c>
      <c r="S329" s="12">
        <f>$G$329*$G$8+$H$329*$H$8+$I$329*$I$8+$J$329*$J$8+$K$329*$K$8+$L$329*$L$8+$M$329*$M$8+$N$329*$N$8+$O$329*$O$8+$P$329*$P$8</f>
        <v>4.8</v>
      </c>
      <c r="T329" s="12">
        <f>SUM($Q$329:$R$329)</f>
        <v>0</v>
      </c>
      <c r="U329" s="12">
        <f>$S$329+$T$329</f>
        <v>4.8</v>
      </c>
    </row>
    <row r="330" spans="1:21" x14ac:dyDescent="0.3">
      <c r="A330" s="13" t="s">
        <v>1218</v>
      </c>
      <c r="B330" s="14" t="s">
        <v>1219</v>
      </c>
      <c r="C330" s="14" t="s">
        <v>202</v>
      </c>
      <c r="D330" s="14" t="s">
        <v>1068</v>
      </c>
      <c r="E330" s="14">
        <f xml:space="preserve"> IF($U$330,1,0)</f>
        <v>0</v>
      </c>
      <c r="F330" s="14" t="s">
        <v>1220</v>
      </c>
      <c r="G330" s="14">
        <v>0</v>
      </c>
      <c r="H330" s="14">
        <v>0</v>
      </c>
      <c r="I330" s="14">
        <v>0</v>
      </c>
      <c r="J330" s="14">
        <v>0</v>
      </c>
      <c r="K330" s="14">
        <v>0</v>
      </c>
      <c r="L330" s="14">
        <v>0</v>
      </c>
      <c r="M330" s="14">
        <v>0</v>
      </c>
      <c r="N330" s="14">
        <v>0</v>
      </c>
      <c r="O330" s="14">
        <v>0</v>
      </c>
      <c r="P330" s="14">
        <v>0</v>
      </c>
      <c r="Q330" s="15">
        <v>0</v>
      </c>
      <c r="R330" s="15">
        <v>0</v>
      </c>
      <c r="S330" s="15">
        <f>$G$330*$G$8+$H$330*$H$8+$I$330*$I$8+$J$330*$J$8+$K$330*$K$8+$L$330*$L$8+$M$330*$M$8+$N$330*$N$8+$O$330*$O$8+$P$330*$P$8</f>
        <v>0</v>
      </c>
      <c r="T330" s="15">
        <f>SUM($Q$330:$R$330)</f>
        <v>0</v>
      </c>
      <c r="U330" s="15">
        <f>$S$330+$T$330</f>
        <v>0</v>
      </c>
    </row>
    <row r="331" spans="1:21" x14ac:dyDescent="0.3">
      <c r="A331" s="10" t="s">
        <v>1221</v>
      </c>
      <c r="B331" s="11" t="s">
        <v>1222</v>
      </c>
      <c r="C331" s="11"/>
      <c r="D331" s="11" t="s">
        <v>1223</v>
      </c>
      <c r="E331" s="11">
        <f xml:space="preserve"> IF($U$331,1,0)</f>
        <v>0</v>
      </c>
      <c r="F331" s="11" t="s">
        <v>1224</v>
      </c>
      <c r="G331" s="11">
        <v>0</v>
      </c>
      <c r="H331" s="11">
        <v>0</v>
      </c>
      <c r="I331" s="11">
        <v>0</v>
      </c>
      <c r="J331" s="11">
        <v>0</v>
      </c>
      <c r="K331" s="11">
        <v>0</v>
      </c>
      <c r="L331" s="11">
        <v>0</v>
      </c>
      <c r="M331" s="11">
        <v>0</v>
      </c>
      <c r="N331" s="11">
        <v>0</v>
      </c>
      <c r="O331" s="11">
        <v>0</v>
      </c>
      <c r="P331" s="11">
        <v>0</v>
      </c>
      <c r="Q331" s="12">
        <v>0</v>
      </c>
      <c r="R331" s="12">
        <v>0</v>
      </c>
      <c r="S331" s="12">
        <f>$G$331*$G$8+$H$331*$H$8+$I$331*$I$8+$J$331*$J$8+$K$331*$K$8+$L$331*$L$8+$M$331*$M$8+$N$331*$N$8+$O$331*$O$8+$P$331*$P$8</f>
        <v>0</v>
      </c>
      <c r="T331" s="12">
        <f>SUM($Q$331:$R$331)</f>
        <v>0</v>
      </c>
      <c r="U331" s="12">
        <f>$S$331+$T$331</f>
        <v>0</v>
      </c>
    </row>
    <row r="332" spans="1:21" x14ac:dyDescent="0.3">
      <c r="A332" s="13" t="s">
        <v>1225</v>
      </c>
      <c r="B332" s="14" t="s">
        <v>1226</v>
      </c>
      <c r="C332" s="14" t="s">
        <v>34</v>
      </c>
      <c r="D332" s="14" t="s">
        <v>1227</v>
      </c>
      <c r="E332" s="14">
        <f xml:space="preserve"> IF($U$332,1,0)</f>
        <v>0</v>
      </c>
      <c r="F332" s="14" t="s">
        <v>1228</v>
      </c>
      <c r="G332" s="14">
        <v>0</v>
      </c>
      <c r="H332" s="14">
        <v>0</v>
      </c>
      <c r="I332" s="14">
        <v>0</v>
      </c>
      <c r="J332" s="14">
        <v>0</v>
      </c>
      <c r="K332" s="14">
        <v>0</v>
      </c>
      <c r="L332" s="14">
        <v>0</v>
      </c>
      <c r="M332" s="14">
        <v>0</v>
      </c>
      <c r="N332" s="14">
        <v>0</v>
      </c>
      <c r="O332" s="14">
        <v>0</v>
      </c>
      <c r="P332" s="14">
        <v>0</v>
      </c>
      <c r="Q332" s="15">
        <v>0</v>
      </c>
      <c r="R332" s="15">
        <v>0</v>
      </c>
      <c r="S332" s="15">
        <f>$G$332*$G$8+$H$332*$H$8+$I$332*$I$8+$J$332*$J$8+$K$332*$K$8+$L$332*$L$8+$M$332*$M$8+$N$332*$N$8+$O$332*$O$8+$P$332*$P$8</f>
        <v>0</v>
      </c>
      <c r="T332" s="15">
        <f>SUM($Q$332:$R$332)</f>
        <v>0</v>
      </c>
      <c r="U332" s="15">
        <f>$S$332+$T$332</f>
        <v>0</v>
      </c>
    </row>
    <row r="333" spans="1:21" x14ac:dyDescent="0.3">
      <c r="A333" s="10" t="s">
        <v>1229</v>
      </c>
      <c r="B333" s="11" t="s">
        <v>1230</v>
      </c>
      <c r="C333" s="11"/>
      <c r="D333" s="11" t="s">
        <v>1231</v>
      </c>
      <c r="E333" s="11">
        <f xml:space="preserve"> IF($U$333,1,0)</f>
        <v>1</v>
      </c>
      <c r="F333" s="11" t="s">
        <v>1232</v>
      </c>
      <c r="G333" s="11">
        <v>0</v>
      </c>
      <c r="H333" s="11">
        <v>0</v>
      </c>
      <c r="I333" s="11">
        <v>0</v>
      </c>
      <c r="J333" s="11">
        <v>0</v>
      </c>
      <c r="K333" s="11">
        <v>1</v>
      </c>
      <c r="L333" s="11">
        <v>0</v>
      </c>
      <c r="M333" s="11">
        <v>0</v>
      </c>
      <c r="N333" s="11">
        <v>0</v>
      </c>
      <c r="O333" s="11">
        <v>0</v>
      </c>
      <c r="P333" s="11">
        <v>0</v>
      </c>
      <c r="Q333" s="12">
        <v>0</v>
      </c>
      <c r="R333" s="12">
        <v>0</v>
      </c>
      <c r="S333" s="12">
        <f>$G$333*$G$8+$H$333*$H$8+$I$333*$I$8+$J$333*$J$8+$K$333*$K$8+$L$333*$L$8+$M$333*$M$8+$N$333*$N$8+$O$333*$O$8+$P$333*$P$8</f>
        <v>2</v>
      </c>
      <c r="T333" s="12">
        <f>SUM($Q$333:$R$333)</f>
        <v>0</v>
      </c>
      <c r="U333" s="12">
        <f>$S$333+$T$333</f>
        <v>2</v>
      </c>
    </row>
    <row r="334" spans="1:21" x14ac:dyDescent="0.3">
      <c r="A334" s="13" t="s">
        <v>1233</v>
      </c>
      <c r="B334" s="14" t="s">
        <v>1230</v>
      </c>
      <c r="C334" s="14"/>
      <c r="D334" s="14" t="s">
        <v>1234</v>
      </c>
      <c r="E334" s="14">
        <f xml:space="preserve"> IF($U$334,1,0)</f>
        <v>0</v>
      </c>
      <c r="F334" s="14" t="s">
        <v>1235</v>
      </c>
      <c r="G334" s="14">
        <v>0</v>
      </c>
      <c r="H334" s="14">
        <v>0</v>
      </c>
      <c r="I334" s="14">
        <v>0</v>
      </c>
      <c r="J334" s="14">
        <v>0</v>
      </c>
      <c r="K334" s="14">
        <v>0</v>
      </c>
      <c r="L334" s="14">
        <v>0</v>
      </c>
      <c r="M334" s="14">
        <v>0</v>
      </c>
      <c r="N334" s="14">
        <v>0</v>
      </c>
      <c r="O334" s="14">
        <v>0</v>
      </c>
      <c r="P334" s="14">
        <v>0</v>
      </c>
      <c r="Q334" s="15">
        <v>0</v>
      </c>
      <c r="R334" s="15">
        <v>0</v>
      </c>
      <c r="S334" s="15">
        <f>$G$334*$G$8+$H$334*$H$8+$I$334*$I$8+$J$334*$J$8+$K$334*$K$8+$L$334*$L$8+$M$334*$M$8+$N$334*$N$8+$O$334*$O$8+$P$334*$P$8</f>
        <v>0</v>
      </c>
      <c r="T334" s="15">
        <f>SUM($Q$334:$R$334)</f>
        <v>0</v>
      </c>
      <c r="U334" s="15">
        <f>$S$334+$T$334</f>
        <v>0</v>
      </c>
    </row>
    <row r="335" spans="1:21" x14ac:dyDescent="0.3">
      <c r="A335" s="10" t="s">
        <v>1236</v>
      </c>
      <c r="B335" s="11" t="s">
        <v>1237</v>
      </c>
      <c r="C335" s="11"/>
      <c r="D335" s="11" t="s">
        <v>1237</v>
      </c>
      <c r="E335" s="11">
        <f xml:space="preserve"> IF($U$335,1,0)</f>
        <v>0</v>
      </c>
      <c r="F335" s="11" t="s">
        <v>1238</v>
      </c>
      <c r="G335" s="11">
        <v>0</v>
      </c>
      <c r="H335" s="11">
        <v>0</v>
      </c>
      <c r="I335" s="11">
        <v>0</v>
      </c>
      <c r="J335" s="11">
        <v>0</v>
      </c>
      <c r="K335" s="11">
        <v>0</v>
      </c>
      <c r="L335" s="11">
        <v>0</v>
      </c>
      <c r="M335" s="11">
        <v>0</v>
      </c>
      <c r="N335" s="11">
        <v>0</v>
      </c>
      <c r="O335" s="11">
        <v>0</v>
      </c>
      <c r="P335" s="11">
        <v>0</v>
      </c>
      <c r="Q335" s="12">
        <v>0</v>
      </c>
      <c r="R335" s="12">
        <v>0</v>
      </c>
      <c r="S335" s="12">
        <f>$G$335*$G$8+$H$335*$H$8+$I$335*$I$8+$J$335*$J$8+$K$335*$K$8+$L$335*$L$8+$M$335*$M$8+$N$335*$N$8+$O$335*$O$8+$P$335*$P$8</f>
        <v>0</v>
      </c>
      <c r="T335" s="12">
        <f>SUM($Q$335:$R$335)</f>
        <v>0</v>
      </c>
      <c r="U335" s="12">
        <f>$S$335+$T$335</f>
        <v>0</v>
      </c>
    </row>
    <row r="337" spans="5:21" ht="15" thickBot="1" x14ac:dyDescent="0.35">
      <c r="E337" s="5" t="s">
        <v>18</v>
      </c>
      <c r="F337" s="6" t="s">
        <v>19</v>
      </c>
      <c r="G337" s="6" t="s">
        <v>4</v>
      </c>
      <c r="H337" s="6" t="s">
        <v>1245</v>
      </c>
      <c r="I337" s="6" t="s">
        <v>6</v>
      </c>
      <c r="J337" s="6" t="s">
        <v>7</v>
      </c>
      <c r="K337" s="6" t="s">
        <v>8</v>
      </c>
      <c r="L337" s="6" t="s">
        <v>9</v>
      </c>
      <c r="M337" s="6" t="s">
        <v>10</v>
      </c>
      <c r="N337" s="6" t="s">
        <v>11</v>
      </c>
      <c r="O337" s="6" t="s">
        <v>12</v>
      </c>
      <c r="P337" s="6" t="s">
        <v>13</v>
      </c>
      <c r="Q337" s="6" t="s">
        <v>1259</v>
      </c>
      <c r="R337" s="6" t="s">
        <v>1260</v>
      </c>
      <c r="S337" s="6" t="s">
        <v>23</v>
      </c>
      <c r="T337" s="6" t="s">
        <v>26</v>
      </c>
      <c r="U337" s="6" t="s">
        <v>25</v>
      </c>
    </row>
    <row r="338" spans="5:21" ht="15" thickTop="1" x14ac:dyDescent="0.3">
      <c r="E338" s="7">
        <f xml:space="preserve"> IF($U$338,1,0)</f>
        <v>1</v>
      </c>
      <c r="F338" s="8" t="s">
        <v>1247</v>
      </c>
      <c r="G338" s="8">
        <v>2</v>
      </c>
      <c r="H338" s="8">
        <v>2</v>
      </c>
      <c r="I338" s="8">
        <v>0</v>
      </c>
      <c r="J338" s="8">
        <v>0</v>
      </c>
      <c r="K338" s="8">
        <v>0</v>
      </c>
      <c r="L338" s="8">
        <v>0</v>
      </c>
      <c r="M338" s="8">
        <v>0</v>
      </c>
      <c r="N338" s="8">
        <v>0</v>
      </c>
      <c r="O338" s="8">
        <v>0</v>
      </c>
      <c r="P338" s="8">
        <v>0</v>
      </c>
      <c r="Q338" s="8"/>
      <c r="R338" s="8"/>
      <c r="S338" s="9">
        <f>$G$338*$G$8+$H$338*$H$8+$I$338*$I$8+$J$338*$J$8+$K$338*$K$8+$L$338*$L$8+$M$338*$M$8+$N$338*$N$8+$O$338*$O$8+$P$338*$P$8</f>
        <v>5</v>
      </c>
      <c r="T338" s="9">
        <f>$U$338/2</f>
        <v>2.5</v>
      </c>
      <c r="U338" s="9">
        <f>$G$338*$G$8+$H$338*$H$8+$I$338*$I$8+$J$338*$J$8+$K$338*$K$8+$L$338*$L$8+$M$338*$M$8+$N$338*$N$8+$O$338*$O$8+$P$338*$P$8</f>
        <v>5</v>
      </c>
    </row>
    <row r="339" spans="5:21" x14ac:dyDescent="0.3">
      <c r="E339" s="10">
        <f xml:space="preserve"> IF($U$339,1,0)</f>
        <v>1</v>
      </c>
      <c r="F339" s="11" t="s">
        <v>27</v>
      </c>
      <c r="G339" s="11">
        <v>1</v>
      </c>
      <c r="H339" s="11">
        <v>0</v>
      </c>
      <c r="I339" s="11">
        <v>0</v>
      </c>
      <c r="J339" s="11">
        <v>0</v>
      </c>
      <c r="K339" s="11">
        <v>0</v>
      </c>
      <c r="L339" s="11">
        <v>1</v>
      </c>
      <c r="M339" s="11">
        <v>0</v>
      </c>
      <c r="N339" s="11">
        <v>0</v>
      </c>
      <c r="O339" s="11">
        <v>0</v>
      </c>
      <c r="P339" s="11">
        <v>0</v>
      </c>
      <c r="Q339" s="11"/>
      <c r="R339" s="11"/>
      <c r="S339" s="12">
        <f>$G$339*$G$8+$H$339*$H$8+$I$339*$I$8+$J$339*$J$8+$K$339*$K$8+$L$339*$L$8+$M$339*$M$8+$N$339*$N$8+$O$339*$O$8+$P$339*$P$8</f>
        <v>3.7</v>
      </c>
      <c r="T339" s="12">
        <f>$U$339/2</f>
        <v>1.85</v>
      </c>
      <c r="U339" s="12">
        <f>$G$339*$G$8+$H$339*$H$8+$I$339*$I$8+$J$339*$J$8+$K$339*$K$8+$L$339*$L$8+$M$339*$M$8+$N$339*$N$8+$O$339*$O$8+$P$339*$P$8</f>
        <v>3.7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46712-2B87-40F8-903B-AAEEEE73D8F3}">
  <sheetPr codeName="Blad10"/>
  <dimension ref="A2:U345"/>
  <sheetViews>
    <sheetView topLeftCell="F1" workbookViewId="0">
      <selection activeCell="R14" sqref="R14"/>
    </sheetView>
  </sheetViews>
  <sheetFormatPr defaultRowHeight="14.4" x14ac:dyDescent="0.3"/>
  <cols>
    <col min="2" max="2" width="14.77734375" customWidth="1"/>
    <col min="3" max="3" width="18.77734375" customWidth="1"/>
    <col min="4" max="4" width="20.77734375" customWidth="1"/>
    <col min="5" max="5" width="14.77734375" customWidth="1"/>
    <col min="6" max="6" width="25.77734375" customWidth="1"/>
    <col min="8" max="8" width="11.109375" customWidth="1"/>
    <col min="11" max="14" width="11.44140625" customWidth="1"/>
    <col min="16" max="16" width="11.88671875" customWidth="1"/>
    <col min="17" max="17" width="9.6640625" customWidth="1"/>
    <col min="18" max="18" width="15.88671875" customWidth="1"/>
    <col min="19" max="19" width="22.109375" customWidth="1"/>
    <col min="20" max="20" width="18.6640625" customWidth="1"/>
  </cols>
  <sheetData>
    <row r="2" spans="1:21" x14ac:dyDescent="0.3">
      <c r="A2" t="s">
        <v>1239</v>
      </c>
      <c r="F2" t="s">
        <v>20</v>
      </c>
      <c r="G2">
        <f>SUM($G$10:$G$339)+ SUM($G$342:$G$345)</f>
        <v>12</v>
      </c>
      <c r="H2">
        <f>SUM($H$10:$H$339)+ SUM($H$342:$H$345)</f>
        <v>3</v>
      </c>
      <c r="I2">
        <f>SUM($I$10:$I$339)+ SUM($I$342:$I$345)</f>
        <v>2</v>
      </c>
      <c r="J2">
        <f>SUM($J$10:$J$339)+ SUM($J$342:$J$345)</f>
        <v>5</v>
      </c>
      <c r="K2">
        <f>SUM($K$10:$K$339)+ SUM($K$342:$K$345)</f>
        <v>5</v>
      </c>
      <c r="L2">
        <f>SUM($L$10:$L$339)+ SUM($L$342:$L$345)</f>
        <v>4</v>
      </c>
      <c r="M2">
        <f>SUM($M$10:$M$339)+ SUM($M$342:$M$345)</f>
        <v>2</v>
      </c>
      <c r="N2">
        <f>SUM($N$10:$N$339)+ SUM($N$342:$N$345)</f>
        <v>6</v>
      </c>
      <c r="O2">
        <f>SUM($O$10:$O$339)+ SUM($O$342:$O$345)</f>
        <v>2</v>
      </c>
      <c r="P2">
        <f>SUM($P$10:$P$339)+ SUM($P$342:$P$345)</f>
        <v>2</v>
      </c>
    </row>
    <row r="3" spans="1:21" x14ac:dyDescent="0.3">
      <c r="A3">
        <f>SUM($E$10:$E$339)</f>
        <v>18</v>
      </c>
      <c r="F3" t="s">
        <v>21</v>
      </c>
      <c r="G3" s="3">
        <f>$G$8*G2</f>
        <v>13.200000000000001</v>
      </c>
      <c r="H3" s="3">
        <f>$H$8*H2</f>
        <v>5.4</v>
      </c>
      <c r="I3" s="3">
        <f>$I$8*I2</f>
        <v>9.5</v>
      </c>
      <c r="J3" s="3">
        <f>$J$8*J2</f>
        <v>5</v>
      </c>
      <c r="K3" s="3">
        <f>$K$8*K2</f>
        <v>10</v>
      </c>
      <c r="L3" s="3">
        <f>$L$8*L2</f>
        <v>12</v>
      </c>
      <c r="M3" s="3">
        <f>$M$8*M2</f>
        <v>8</v>
      </c>
      <c r="N3" s="3">
        <f>$N$8*N2</f>
        <v>30</v>
      </c>
      <c r="O3" s="3">
        <f>$O$8*O2</f>
        <v>1</v>
      </c>
      <c r="P3" s="3">
        <f>$P$8*P2</f>
        <v>0.8</v>
      </c>
    </row>
    <row r="8" spans="1:21" x14ac:dyDescent="0.3">
      <c r="F8" t="s">
        <v>22</v>
      </c>
      <c r="G8" s="4">
        <v>1.1000000000000001</v>
      </c>
      <c r="H8" s="4">
        <v>1.8</v>
      </c>
      <c r="I8" s="4">
        <v>4.75</v>
      </c>
      <c r="J8" s="4">
        <v>1</v>
      </c>
      <c r="K8" s="4">
        <v>2</v>
      </c>
      <c r="L8" s="4">
        <v>3</v>
      </c>
      <c r="M8" s="4">
        <v>4</v>
      </c>
      <c r="N8" s="4">
        <v>5</v>
      </c>
      <c r="O8" s="4">
        <v>0.5</v>
      </c>
      <c r="P8" s="4">
        <v>0.4</v>
      </c>
      <c r="S8" s="3">
        <f>SUM($S$10:$S$339)</f>
        <v>84.900000000000063</v>
      </c>
      <c r="T8" s="3">
        <f>SUM($T$10:$T$339)</f>
        <v>0</v>
      </c>
      <c r="U8" s="3">
        <f>SUM($U$10:$U$339)</f>
        <v>84.900000000000063</v>
      </c>
    </row>
    <row r="9" spans="1:21" ht="15" thickBot="1" x14ac:dyDescent="0.35">
      <c r="A9" s="5" t="s">
        <v>14</v>
      </c>
      <c r="B9" s="6" t="s">
        <v>15</v>
      </c>
      <c r="C9" s="6" t="s">
        <v>16</v>
      </c>
      <c r="D9" s="6" t="s">
        <v>17</v>
      </c>
      <c r="E9" s="6" t="s">
        <v>18</v>
      </c>
      <c r="F9" s="6" t="s">
        <v>19</v>
      </c>
      <c r="G9" s="6" t="s">
        <v>4</v>
      </c>
      <c r="H9" s="6" t="s">
        <v>1245</v>
      </c>
      <c r="I9" s="6" t="s">
        <v>7</v>
      </c>
      <c r="J9" s="6" t="s">
        <v>6</v>
      </c>
      <c r="K9" s="6" t="s">
        <v>8</v>
      </c>
      <c r="L9" s="6" t="s">
        <v>9</v>
      </c>
      <c r="M9" s="6" t="s">
        <v>10</v>
      </c>
      <c r="N9" s="6" t="s">
        <v>11</v>
      </c>
      <c r="O9" s="6" t="s">
        <v>12</v>
      </c>
      <c r="P9" s="6" t="s">
        <v>1277</v>
      </c>
      <c r="Q9" s="6" t="s">
        <v>1278</v>
      </c>
      <c r="R9" s="6" t="s">
        <v>1279</v>
      </c>
      <c r="S9" s="6" t="s">
        <v>23</v>
      </c>
      <c r="T9" s="6" t="s">
        <v>24</v>
      </c>
      <c r="U9" s="6" t="s">
        <v>25</v>
      </c>
    </row>
    <row r="10" spans="1:21" ht="15" thickTop="1" x14ac:dyDescent="0.3">
      <c r="A10" s="7" t="s">
        <v>44</v>
      </c>
      <c r="B10" s="8" t="s">
        <v>45</v>
      </c>
      <c r="C10" s="8"/>
      <c r="D10" s="8" t="s">
        <v>46</v>
      </c>
      <c r="E10" s="8">
        <f xml:space="preserve"> IF($U$14,1,0)</f>
        <v>1</v>
      </c>
      <c r="F10" s="8" t="s">
        <v>47</v>
      </c>
      <c r="G10" s="8">
        <v>1</v>
      </c>
      <c r="H10" s="8">
        <v>0</v>
      </c>
      <c r="I10" s="8">
        <v>1</v>
      </c>
      <c r="J10" s="8">
        <v>2</v>
      </c>
      <c r="K10" s="8">
        <v>1</v>
      </c>
      <c r="L10" s="8">
        <v>0</v>
      </c>
      <c r="M10" s="8">
        <v>1</v>
      </c>
      <c r="N10" s="8">
        <v>1</v>
      </c>
      <c r="O10" s="8">
        <v>1</v>
      </c>
      <c r="P10" s="8">
        <v>0</v>
      </c>
      <c r="Q10" s="9">
        <v>0</v>
      </c>
      <c r="R10" s="9">
        <v>0</v>
      </c>
      <c r="S10" s="9">
        <v>19.350000000000001</v>
      </c>
      <c r="T10" s="9">
        <v>0</v>
      </c>
      <c r="U10" s="9">
        <v>19.350000000000001</v>
      </c>
    </row>
    <row r="11" spans="1:21" x14ac:dyDescent="0.3">
      <c r="A11" s="13" t="s">
        <v>481</v>
      </c>
      <c r="B11" s="14" t="s">
        <v>482</v>
      </c>
      <c r="C11" s="14"/>
      <c r="D11" s="14" t="s">
        <v>483</v>
      </c>
      <c r="E11" s="14">
        <f xml:space="preserve"> IF($U$134,1,0)</f>
        <v>0</v>
      </c>
      <c r="F11" s="14" t="s">
        <v>484</v>
      </c>
      <c r="G11" s="14">
        <v>1</v>
      </c>
      <c r="H11" s="14">
        <v>1</v>
      </c>
      <c r="I11" s="14">
        <v>1</v>
      </c>
      <c r="J11" s="14">
        <v>1</v>
      </c>
      <c r="K11" s="14">
        <v>1</v>
      </c>
      <c r="L11" s="14">
        <v>1</v>
      </c>
      <c r="M11" s="14">
        <v>0</v>
      </c>
      <c r="N11" s="14">
        <v>1</v>
      </c>
      <c r="O11" s="14">
        <v>1</v>
      </c>
      <c r="P11" s="14">
        <v>0</v>
      </c>
      <c r="Q11" s="15">
        <v>0</v>
      </c>
      <c r="R11" s="15">
        <v>0</v>
      </c>
      <c r="S11" s="15">
        <v>19.149999999999999</v>
      </c>
      <c r="T11" s="15">
        <v>0</v>
      </c>
      <c r="U11" s="15">
        <v>19.149999999999999</v>
      </c>
    </row>
    <row r="12" spans="1:21" x14ac:dyDescent="0.3">
      <c r="A12" s="13" t="s">
        <v>180</v>
      </c>
      <c r="B12" s="14" t="s">
        <v>177</v>
      </c>
      <c r="C12" s="14"/>
      <c r="D12" s="14" t="s">
        <v>181</v>
      </c>
      <c r="E12" s="14">
        <f xml:space="preserve"> IF($U$50,1,0)</f>
        <v>0</v>
      </c>
      <c r="F12" s="14" t="s">
        <v>182</v>
      </c>
      <c r="G12" s="14">
        <v>0</v>
      </c>
      <c r="H12" s="14">
        <v>0</v>
      </c>
      <c r="I12" s="14">
        <v>0</v>
      </c>
      <c r="J12" s="14">
        <v>0</v>
      </c>
      <c r="K12" s="14">
        <v>0</v>
      </c>
      <c r="L12" s="14">
        <v>0</v>
      </c>
      <c r="M12" s="14">
        <v>0</v>
      </c>
      <c r="N12" s="14">
        <v>3</v>
      </c>
      <c r="O12" s="14">
        <v>0</v>
      </c>
      <c r="P12" s="14">
        <v>2</v>
      </c>
      <c r="Q12" s="15">
        <v>0</v>
      </c>
      <c r="R12" s="15">
        <v>0</v>
      </c>
      <c r="S12" s="15">
        <v>15.8</v>
      </c>
      <c r="T12" s="15">
        <v>0</v>
      </c>
      <c r="U12" s="15">
        <v>15.8</v>
      </c>
    </row>
    <row r="13" spans="1:21" x14ac:dyDescent="0.3">
      <c r="A13" s="13" t="s">
        <v>76</v>
      </c>
      <c r="B13" s="14" t="s">
        <v>77</v>
      </c>
      <c r="C13" s="14"/>
      <c r="D13" s="14" t="s">
        <v>78</v>
      </c>
      <c r="E13" s="14">
        <f xml:space="preserve"> IF($U$22,1,0)</f>
        <v>1</v>
      </c>
      <c r="F13" s="14" t="s">
        <v>79</v>
      </c>
      <c r="G13" s="14">
        <v>0</v>
      </c>
      <c r="H13" s="14">
        <v>2</v>
      </c>
      <c r="I13" s="14">
        <v>0</v>
      </c>
      <c r="J13" s="14">
        <v>2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5">
        <v>0</v>
      </c>
      <c r="R13" s="15">
        <v>0</v>
      </c>
      <c r="S13" s="15">
        <v>5.6</v>
      </c>
      <c r="T13" s="15">
        <v>0</v>
      </c>
      <c r="U13" s="15">
        <v>5.6</v>
      </c>
    </row>
    <row r="14" spans="1:21" x14ac:dyDescent="0.3">
      <c r="A14" s="10" t="s">
        <v>48</v>
      </c>
      <c r="B14" s="11" t="s">
        <v>45</v>
      </c>
      <c r="C14" s="11"/>
      <c r="D14" s="11" t="s">
        <v>49</v>
      </c>
      <c r="E14" s="11">
        <f xml:space="preserve"> IF($U$15,1,0)</f>
        <v>1</v>
      </c>
      <c r="F14" s="11" t="s">
        <v>50</v>
      </c>
      <c r="G14" s="11">
        <v>0</v>
      </c>
      <c r="H14" s="11">
        <v>0</v>
      </c>
      <c r="I14" s="11">
        <v>0</v>
      </c>
      <c r="J14" s="11">
        <v>0</v>
      </c>
      <c r="K14" s="11">
        <v>0</v>
      </c>
      <c r="L14" s="11">
        <v>0</v>
      </c>
      <c r="M14" s="11">
        <v>0</v>
      </c>
      <c r="N14" s="11">
        <v>0</v>
      </c>
      <c r="O14" s="11">
        <v>0</v>
      </c>
      <c r="P14" s="11">
        <v>0</v>
      </c>
      <c r="Q14" s="12">
        <v>0</v>
      </c>
      <c r="R14" s="12">
        <v>0</v>
      </c>
      <c r="S14" s="12">
        <v>1.7857142857142858</v>
      </c>
      <c r="T14" s="12">
        <v>0</v>
      </c>
      <c r="U14" s="12">
        <v>1.7857142857142858</v>
      </c>
    </row>
    <row r="15" spans="1:21" x14ac:dyDescent="0.3">
      <c r="A15" s="10" t="s">
        <v>55</v>
      </c>
      <c r="B15" s="11" t="s">
        <v>56</v>
      </c>
      <c r="C15" s="11"/>
      <c r="D15" s="11" t="s">
        <v>57</v>
      </c>
      <c r="E15" s="11">
        <f xml:space="preserve"> IF($U$17,1,0)</f>
        <v>1</v>
      </c>
      <c r="F15" s="11" t="s">
        <v>58</v>
      </c>
      <c r="G15" s="11">
        <v>0</v>
      </c>
      <c r="H15" s="11">
        <v>0</v>
      </c>
      <c r="I15" s="11">
        <v>0</v>
      </c>
      <c r="J15" s="11">
        <v>0</v>
      </c>
      <c r="K15" s="11">
        <v>0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2">
        <v>0</v>
      </c>
      <c r="R15" s="12">
        <v>0</v>
      </c>
      <c r="S15" s="12">
        <v>1.7857142857142858</v>
      </c>
      <c r="T15" s="12">
        <v>0</v>
      </c>
      <c r="U15" s="12">
        <v>1.7857142857142858</v>
      </c>
    </row>
    <row r="16" spans="1:21" x14ac:dyDescent="0.3">
      <c r="A16" s="13" t="s">
        <v>59</v>
      </c>
      <c r="B16" s="14" t="s">
        <v>60</v>
      </c>
      <c r="C16" s="14"/>
      <c r="D16" s="14" t="s">
        <v>61</v>
      </c>
      <c r="E16" s="14">
        <f xml:space="preserve"> IF($U$18,1,0)</f>
        <v>1</v>
      </c>
      <c r="F16" s="14" t="s">
        <v>62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4">
        <v>0</v>
      </c>
      <c r="O16" s="14">
        <v>0</v>
      </c>
      <c r="P16" s="14">
        <v>0</v>
      </c>
      <c r="Q16" s="15">
        <v>0</v>
      </c>
      <c r="R16" s="15">
        <v>0</v>
      </c>
      <c r="S16" s="15">
        <v>1.7857142857142858</v>
      </c>
      <c r="T16" s="15">
        <v>0</v>
      </c>
      <c r="U16" s="15">
        <v>1.7857142857142858</v>
      </c>
    </row>
    <row r="17" spans="1:21" x14ac:dyDescent="0.3">
      <c r="A17" s="10" t="s">
        <v>63</v>
      </c>
      <c r="B17" s="11" t="s">
        <v>64</v>
      </c>
      <c r="C17" s="11" t="s">
        <v>65</v>
      </c>
      <c r="D17" s="11" t="s">
        <v>66</v>
      </c>
      <c r="E17" s="11">
        <f xml:space="preserve"> IF($U$19,1,0)</f>
        <v>1</v>
      </c>
      <c r="F17" s="11" t="s">
        <v>67</v>
      </c>
      <c r="G17" s="11">
        <v>0</v>
      </c>
      <c r="H17" s="11">
        <v>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2">
        <v>0</v>
      </c>
      <c r="R17" s="12">
        <v>0</v>
      </c>
      <c r="S17" s="12">
        <v>1.7857142857142858</v>
      </c>
      <c r="T17" s="12">
        <v>0</v>
      </c>
      <c r="U17" s="12">
        <v>1.7857142857142858</v>
      </c>
    </row>
    <row r="18" spans="1:21" x14ac:dyDescent="0.3">
      <c r="A18" s="13" t="s">
        <v>68</v>
      </c>
      <c r="B18" s="14" t="s">
        <v>69</v>
      </c>
      <c r="C18" s="14"/>
      <c r="D18" s="14" t="s">
        <v>70</v>
      </c>
      <c r="E18" s="14">
        <f xml:space="preserve"> IF($U$20,1,0)</f>
        <v>1</v>
      </c>
      <c r="F18" s="14" t="s">
        <v>71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5">
        <v>0</v>
      </c>
      <c r="R18" s="15">
        <v>0</v>
      </c>
      <c r="S18" s="15">
        <v>1.7857142857142858</v>
      </c>
      <c r="T18" s="15">
        <v>0</v>
      </c>
      <c r="U18" s="15">
        <v>1.7857142857142858</v>
      </c>
    </row>
    <row r="19" spans="1:21" x14ac:dyDescent="0.3">
      <c r="A19" s="10" t="s">
        <v>86</v>
      </c>
      <c r="B19" s="11" t="s">
        <v>87</v>
      </c>
      <c r="C19" s="11"/>
      <c r="D19" s="11" t="s">
        <v>88</v>
      </c>
      <c r="E19" s="11">
        <f xml:space="preserve"> IF($U$25,1,0)</f>
        <v>1</v>
      </c>
      <c r="F19" s="11" t="s">
        <v>89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2">
        <v>0</v>
      </c>
      <c r="R19" s="12">
        <v>0</v>
      </c>
      <c r="S19" s="12">
        <v>1.7857142857142858</v>
      </c>
      <c r="T19" s="12">
        <v>0</v>
      </c>
      <c r="U19" s="12">
        <v>1.7857142857142858</v>
      </c>
    </row>
    <row r="20" spans="1:21" x14ac:dyDescent="0.3">
      <c r="A20" s="13" t="s">
        <v>98</v>
      </c>
      <c r="B20" s="14" t="s">
        <v>99</v>
      </c>
      <c r="C20" s="14"/>
      <c r="D20" s="14" t="s">
        <v>100</v>
      </c>
      <c r="E20" s="14">
        <f xml:space="preserve"> IF($U$28,1,0)</f>
        <v>0</v>
      </c>
      <c r="F20" s="14" t="s">
        <v>101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4">
        <v>0</v>
      </c>
      <c r="N20" s="14">
        <v>0</v>
      </c>
      <c r="O20" s="14">
        <v>0</v>
      </c>
      <c r="P20" s="14">
        <v>0</v>
      </c>
      <c r="Q20" s="15">
        <v>0</v>
      </c>
      <c r="R20" s="15">
        <v>0</v>
      </c>
      <c r="S20" s="15">
        <v>1.7857142857142858</v>
      </c>
      <c r="T20" s="15">
        <v>0</v>
      </c>
      <c r="U20" s="15">
        <v>1.7857142857142858</v>
      </c>
    </row>
    <row r="21" spans="1:21" x14ac:dyDescent="0.3">
      <c r="A21" s="10" t="s">
        <v>102</v>
      </c>
      <c r="B21" s="11" t="s">
        <v>103</v>
      </c>
      <c r="C21" s="11"/>
      <c r="D21" s="11" t="s">
        <v>104</v>
      </c>
      <c r="E21" s="11">
        <f xml:space="preserve"> IF($U$29,1,0)</f>
        <v>0</v>
      </c>
      <c r="F21" s="11" t="s">
        <v>105</v>
      </c>
      <c r="G21" s="11">
        <v>0</v>
      </c>
      <c r="H21" s="11">
        <v>0</v>
      </c>
      <c r="I21" s="11">
        <v>0</v>
      </c>
      <c r="J21" s="11">
        <v>0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2">
        <v>0</v>
      </c>
      <c r="R21" s="12">
        <v>0</v>
      </c>
      <c r="S21" s="12">
        <v>1.7857142857142858</v>
      </c>
      <c r="T21" s="12">
        <v>0</v>
      </c>
      <c r="U21" s="12">
        <v>1.7857142857142858</v>
      </c>
    </row>
    <row r="22" spans="1:21" x14ac:dyDescent="0.3">
      <c r="A22" s="13" t="s">
        <v>112</v>
      </c>
      <c r="B22" s="14" t="s">
        <v>113</v>
      </c>
      <c r="C22" s="14"/>
      <c r="D22" s="14" t="s">
        <v>114</v>
      </c>
      <c r="E22" s="14">
        <f xml:space="preserve"> IF($U$32,1,0)</f>
        <v>0</v>
      </c>
      <c r="F22" s="14" t="s">
        <v>115</v>
      </c>
      <c r="G22" s="14">
        <v>0</v>
      </c>
      <c r="H22" s="14">
        <v>0</v>
      </c>
      <c r="I22" s="14">
        <v>0</v>
      </c>
      <c r="J22" s="14">
        <v>0</v>
      </c>
      <c r="K22" s="14">
        <v>0</v>
      </c>
      <c r="L22" s="14">
        <v>0</v>
      </c>
      <c r="M22" s="14">
        <v>0</v>
      </c>
      <c r="N22" s="14">
        <v>0</v>
      </c>
      <c r="O22" s="14">
        <v>0</v>
      </c>
      <c r="P22" s="14">
        <v>0</v>
      </c>
      <c r="Q22" s="15">
        <v>0</v>
      </c>
      <c r="R22" s="15">
        <v>0</v>
      </c>
      <c r="S22" s="15">
        <v>1.7857142857142858</v>
      </c>
      <c r="T22" s="15">
        <v>0</v>
      </c>
      <c r="U22" s="15">
        <v>1.7857142857142858</v>
      </c>
    </row>
    <row r="23" spans="1:21" x14ac:dyDescent="0.3">
      <c r="A23" s="10" t="s">
        <v>116</v>
      </c>
      <c r="B23" s="11" t="s">
        <v>117</v>
      </c>
      <c r="C23" s="11" t="s">
        <v>34</v>
      </c>
      <c r="D23" s="11" t="s">
        <v>118</v>
      </c>
      <c r="E23" s="11">
        <f xml:space="preserve"> IF($U$33,1,0)</f>
        <v>0</v>
      </c>
      <c r="F23" s="11" t="s">
        <v>119</v>
      </c>
      <c r="G23" s="11">
        <v>0</v>
      </c>
      <c r="H23" s="11">
        <v>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2">
        <v>0</v>
      </c>
      <c r="R23" s="12">
        <v>0</v>
      </c>
      <c r="S23" s="12">
        <v>1.7857142857142858</v>
      </c>
      <c r="T23" s="12">
        <v>0</v>
      </c>
      <c r="U23" s="12">
        <v>1.7857142857142858</v>
      </c>
    </row>
    <row r="24" spans="1:21" x14ac:dyDescent="0.3">
      <c r="A24" s="13" t="s">
        <v>120</v>
      </c>
      <c r="B24" s="14" t="s">
        <v>121</v>
      </c>
      <c r="C24" s="14"/>
      <c r="D24" s="14" t="s">
        <v>122</v>
      </c>
      <c r="E24" s="14">
        <f xml:space="preserve"> IF($U$34,1,0)</f>
        <v>0</v>
      </c>
      <c r="F24" s="14" t="s">
        <v>123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5">
        <v>0</v>
      </c>
      <c r="R24" s="15">
        <v>0</v>
      </c>
      <c r="S24" s="15">
        <v>1.7857142857142858</v>
      </c>
      <c r="T24" s="15">
        <v>0</v>
      </c>
      <c r="U24" s="15">
        <v>1.7857142857142858</v>
      </c>
    </row>
    <row r="25" spans="1:21" x14ac:dyDescent="0.3">
      <c r="A25" s="13" t="s">
        <v>1280</v>
      </c>
      <c r="B25" s="14" t="s">
        <v>1281</v>
      </c>
      <c r="C25" s="14"/>
      <c r="D25" s="14" t="s">
        <v>1250</v>
      </c>
      <c r="E25" s="14">
        <f xml:space="preserve"> IF($U$38,1,0)</f>
        <v>0</v>
      </c>
      <c r="F25" s="14" t="s">
        <v>1282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  <c r="M25" s="14">
        <v>0</v>
      </c>
      <c r="N25" s="14">
        <v>0</v>
      </c>
      <c r="O25" s="14">
        <v>0</v>
      </c>
      <c r="P25" s="14">
        <v>0</v>
      </c>
      <c r="Q25" s="15">
        <v>0</v>
      </c>
      <c r="R25" s="15">
        <v>0</v>
      </c>
      <c r="S25" s="15">
        <v>1.7857142857142858</v>
      </c>
      <c r="T25" s="15">
        <v>0</v>
      </c>
      <c r="U25" s="15">
        <v>1.7857142857142858</v>
      </c>
    </row>
    <row r="26" spans="1:21" x14ac:dyDescent="0.3">
      <c r="A26" s="13" t="s">
        <v>148</v>
      </c>
      <c r="B26" s="14" t="s">
        <v>149</v>
      </c>
      <c r="C26" s="14"/>
      <c r="D26" s="14" t="s">
        <v>150</v>
      </c>
      <c r="E26" s="14">
        <f xml:space="preserve"> IF($U$42,1,0)</f>
        <v>0</v>
      </c>
      <c r="F26" s="14" t="s">
        <v>151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5">
        <v>0</v>
      </c>
      <c r="R26" s="15">
        <v>0</v>
      </c>
      <c r="S26" s="15">
        <v>1.7857142857142858</v>
      </c>
      <c r="T26" s="15">
        <v>0</v>
      </c>
      <c r="U26" s="15">
        <v>1.7857142857142858</v>
      </c>
    </row>
    <row r="27" spans="1:21" x14ac:dyDescent="0.3">
      <c r="A27" s="10" t="s">
        <v>176</v>
      </c>
      <c r="B27" s="11" t="s">
        <v>177</v>
      </c>
      <c r="C27" s="11"/>
      <c r="D27" s="11" t="s">
        <v>178</v>
      </c>
      <c r="E27" s="11">
        <f xml:space="preserve"> IF($U$49,1,0)</f>
        <v>0</v>
      </c>
      <c r="F27" s="11" t="s">
        <v>179</v>
      </c>
      <c r="G27" s="11">
        <v>0</v>
      </c>
      <c r="H27" s="11">
        <v>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2">
        <v>0</v>
      </c>
      <c r="R27" s="12">
        <v>0</v>
      </c>
      <c r="S27" s="12">
        <v>1.7857142857142858</v>
      </c>
      <c r="T27" s="12">
        <v>0</v>
      </c>
      <c r="U27" s="12">
        <v>1.7857142857142858</v>
      </c>
    </row>
    <row r="28" spans="1:21" x14ac:dyDescent="0.3">
      <c r="A28" s="13" t="s">
        <v>28</v>
      </c>
      <c r="B28" s="14" t="s">
        <v>29</v>
      </c>
      <c r="C28" s="14"/>
      <c r="D28" s="14" t="s">
        <v>30</v>
      </c>
      <c r="E28" s="14">
        <f xml:space="preserve"> IF($U$10,1,0)</f>
        <v>1</v>
      </c>
      <c r="F28" s="14" t="s">
        <v>31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</row>
    <row r="29" spans="1:21" x14ac:dyDescent="0.3">
      <c r="A29" s="10" t="s">
        <v>32</v>
      </c>
      <c r="B29" s="11" t="s">
        <v>33</v>
      </c>
      <c r="C29" s="11" t="s">
        <v>34</v>
      </c>
      <c r="D29" s="11" t="s">
        <v>35</v>
      </c>
      <c r="E29" s="11">
        <f xml:space="preserve"> IF($U$11,1,0)</f>
        <v>1</v>
      </c>
      <c r="F29" s="11" t="s">
        <v>36</v>
      </c>
      <c r="G29" s="11">
        <v>0</v>
      </c>
      <c r="H29" s="11">
        <v>0</v>
      </c>
      <c r="I29" s="11">
        <v>0</v>
      </c>
      <c r="J29" s="11">
        <v>0</v>
      </c>
      <c r="K29" s="11">
        <v>0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2">
        <v>0</v>
      </c>
      <c r="R29" s="12">
        <v>0</v>
      </c>
      <c r="S29" s="12">
        <v>0</v>
      </c>
      <c r="T29" s="12">
        <v>0</v>
      </c>
      <c r="U29" s="12">
        <v>0</v>
      </c>
    </row>
    <row r="30" spans="1:21" x14ac:dyDescent="0.3">
      <c r="A30" s="13" t="s">
        <v>37</v>
      </c>
      <c r="B30" s="14" t="s">
        <v>38</v>
      </c>
      <c r="C30" s="14"/>
      <c r="D30" s="14" t="s">
        <v>39</v>
      </c>
      <c r="E30" s="14">
        <f xml:space="preserve"> IF($U$12,1,0)</f>
        <v>1</v>
      </c>
      <c r="F30" s="14" t="s">
        <v>40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</row>
    <row r="31" spans="1:21" x14ac:dyDescent="0.3">
      <c r="A31" s="10" t="s">
        <v>41</v>
      </c>
      <c r="B31" s="11" t="s">
        <v>38</v>
      </c>
      <c r="C31" s="11"/>
      <c r="D31" s="11" t="s">
        <v>42</v>
      </c>
      <c r="E31" s="11">
        <f xml:space="preserve"> IF($U$13,1,0)</f>
        <v>1</v>
      </c>
      <c r="F31" s="11" t="s">
        <v>43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2">
        <v>0</v>
      </c>
      <c r="R31" s="12">
        <v>0</v>
      </c>
      <c r="S31" s="12">
        <v>0</v>
      </c>
      <c r="T31" s="12">
        <v>0</v>
      </c>
      <c r="U31" s="12">
        <v>0</v>
      </c>
    </row>
    <row r="32" spans="1:21" x14ac:dyDescent="0.3">
      <c r="A32" s="13" t="s">
        <v>51</v>
      </c>
      <c r="B32" s="14" t="s">
        <v>52</v>
      </c>
      <c r="C32" s="14"/>
      <c r="D32" s="14" t="s">
        <v>53</v>
      </c>
      <c r="E32" s="14">
        <f xml:space="preserve"> IF($U$16,1,0)</f>
        <v>1</v>
      </c>
      <c r="F32" s="14" t="s">
        <v>54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</row>
    <row r="33" spans="1:21" x14ac:dyDescent="0.3">
      <c r="A33" s="10" t="s">
        <v>72</v>
      </c>
      <c r="B33" s="11" t="s">
        <v>73</v>
      </c>
      <c r="C33" s="11"/>
      <c r="D33" s="11" t="s">
        <v>74</v>
      </c>
      <c r="E33" s="11">
        <f xml:space="preserve"> IF($U$21,1,0)</f>
        <v>1</v>
      </c>
      <c r="F33" s="11" t="s">
        <v>75</v>
      </c>
      <c r="G33" s="11">
        <v>0</v>
      </c>
      <c r="H33" s="11">
        <v>0</v>
      </c>
      <c r="I33" s="11">
        <v>0</v>
      </c>
      <c r="J33" s="11">
        <v>0</v>
      </c>
      <c r="K33" s="11">
        <v>0</v>
      </c>
      <c r="L33" s="11">
        <v>0</v>
      </c>
      <c r="M33" s="11">
        <v>0</v>
      </c>
      <c r="N33" s="11">
        <v>0</v>
      </c>
      <c r="O33" s="11">
        <v>0</v>
      </c>
      <c r="P33" s="11">
        <v>0</v>
      </c>
      <c r="Q33" s="12">
        <v>0</v>
      </c>
      <c r="R33" s="12">
        <v>0</v>
      </c>
      <c r="S33" s="12">
        <v>0</v>
      </c>
      <c r="T33" s="12">
        <v>0</v>
      </c>
      <c r="U33" s="12">
        <v>0</v>
      </c>
    </row>
    <row r="34" spans="1:21" x14ac:dyDescent="0.3">
      <c r="A34" s="10" t="s">
        <v>80</v>
      </c>
      <c r="B34" s="11" t="s">
        <v>77</v>
      </c>
      <c r="C34" s="11" t="s">
        <v>65</v>
      </c>
      <c r="D34" s="11" t="s">
        <v>81</v>
      </c>
      <c r="E34" s="11">
        <f xml:space="preserve"> IF($U$23,1,0)</f>
        <v>1</v>
      </c>
      <c r="F34" s="11" t="s">
        <v>82</v>
      </c>
      <c r="G34" s="11">
        <v>0</v>
      </c>
      <c r="H34" s="11">
        <v>0</v>
      </c>
      <c r="I34" s="11">
        <v>0</v>
      </c>
      <c r="J34" s="11">
        <v>0</v>
      </c>
      <c r="K34" s="11">
        <v>0</v>
      </c>
      <c r="L34" s="11">
        <v>0</v>
      </c>
      <c r="M34" s="11">
        <v>0</v>
      </c>
      <c r="N34" s="11">
        <v>0</v>
      </c>
      <c r="O34" s="11">
        <v>0</v>
      </c>
      <c r="P34" s="11">
        <v>0</v>
      </c>
      <c r="Q34" s="12">
        <v>0</v>
      </c>
      <c r="R34" s="12">
        <v>0</v>
      </c>
      <c r="S34" s="12">
        <v>0</v>
      </c>
      <c r="T34" s="12">
        <v>0</v>
      </c>
      <c r="U34" s="12">
        <v>0</v>
      </c>
    </row>
    <row r="35" spans="1:21" x14ac:dyDescent="0.3">
      <c r="A35" s="13" t="s">
        <v>83</v>
      </c>
      <c r="B35" s="14" t="s">
        <v>84</v>
      </c>
      <c r="C35" s="14"/>
      <c r="D35" s="14" t="s">
        <v>81</v>
      </c>
      <c r="E35" s="14">
        <f xml:space="preserve"> IF($U$24,1,0)</f>
        <v>1</v>
      </c>
      <c r="F35" s="14" t="s">
        <v>85</v>
      </c>
      <c r="G35" s="14">
        <v>0</v>
      </c>
      <c r="H35" s="14">
        <v>0</v>
      </c>
      <c r="I35" s="14">
        <v>0</v>
      </c>
      <c r="J35" s="14">
        <v>0</v>
      </c>
      <c r="K35" s="14">
        <v>0</v>
      </c>
      <c r="L35" s="14">
        <v>0</v>
      </c>
      <c r="M35" s="14">
        <v>0</v>
      </c>
      <c r="N35" s="14">
        <v>0</v>
      </c>
      <c r="O35" s="14">
        <v>0</v>
      </c>
      <c r="P35" s="14">
        <v>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</row>
    <row r="36" spans="1:21" x14ac:dyDescent="0.3">
      <c r="A36" s="13" t="s">
        <v>90</v>
      </c>
      <c r="B36" s="14" t="s">
        <v>91</v>
      </c>
      <c r="C36" s="14"/>
      <c r="D36" s="14" t="s">
        <v>92</v>
      </c>
      <c r="E36" s="14">
        <f xml:space="preserve"> IF($U$26,1,0)</f>
        <v>1</v>
      </c>
      <c r="F36" s="14" t="s">
        <v>93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</row>
    <row r="37" spans="1:21" x14ac:dyDescent="0.3">
      <c r="A37" s="10" t="s">
        <v>94</v>
      </c>
      <c r="B37" s="11" t="s">
        <v>95</v>
      </c>
      <c r="C37" s="11"/>
      <c r="D37" s="11" t="s">
        <v>96</v>
      </c>
      <c r="E37" s="11">
        <f xml:space="preserve"> IF($U$27,1,0)</f>
        <v>1</v>
      </c>
      <c r="F37" s="11" t="s">
        <v>97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2">
        <v>0</v>
      </c>
      <c r="R37" s="12">
        <v>0</v>
      </c>
      <c r="S37" s="12">
        <v>0</v>
      </c>
      <c r="T37" s="12">
        <v>0</v>
      </c>
      <c r="U37" s="12">
        <v>0</v>
      </c>
    </row>
    <row r="38" spans="1:21" x14ac:dyDescent="0.3">
      <c r="A38" s="13" t="s">
        <v>106</v>
      </c>
      <c r="B38" s="14" t="s">
        <v>103</v>
      </c>
      <c r="C38" s="14"/>
      <c r="D38" s="14" t="s">
        <v>107</v>
      </c>
      <c r="E38" s="14">
        <f xml:space="preserve"> IF($U$30,1,0)</f>
        <v>0</v>
      </c>
      <c r="F38" s="14" t="s">
        <v>108</v>
      </c>
      <c r="G38" s="14">
        <v>0</v>
      </c>
      <c r="H38" s="14">
        <v>0</v>
      </c>
      <c r="I38" s="14">
        <v>0</v>
      </c>
      <c r="J38" s="14">
        <v>0</v>
      </c>
      <c r="K38" s="14">
        <v>0</v>
      </c>
      <c r="L38" s="14">
        <v>0</v>
      </c>
      <c r="M38" s="14">
        <v>0</v>
      </c>
      <c r="N38" s="14">
        <v>0</v>
      </c>
      <c r="O38" s="14">
        <v>0</v>
      </c>
      <c r="P38" s="14">
        <v>0</v>
      </c>
      <c r="Q38" s="15">
        <v>0</v>
      </c>
      <c r="R38" s="15">
        <v>0</v>
      </c>
      <c r="S38" s="15">
        <v>0</v>
      </c>
      <c r="T38" s="15">
        <v>0</v>
      </c>
      <c r="U38" s="15">
        <v>0</v>
      </c>
    </row>
    <row r="39" spans="1:21" x14ac:dyDescent="0.3">
      <c r="A39" s="10" t="s">
        <v>109</v>
      </c>
      <c r="B39" s="11" t="s">
        <v>103</v>
      </c>
      <c r="C39" s="11"/>
      <c r="D39" s="11" t="s">
        <v>110</v>
      </c>
      <c r="E39" s="11">
        <f xml:space="preserve"> IF($U$31,1,0)</f>
        <v>0</v>
      </c>
      <c r="F39" s="11" t="s">
        <v>111</v>
      </c>
      <c r="G39" s="11">
        <v>0</v>
      </c>
      <c r="H39" s="11">
        <v>0</v>
      </c>
      <c r="I39" s="11">
        <v>0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2">
        <v>0</v>
      </c>
      <c r="R39" s="12">
        <v>0</v>
      </c>
      <c r="S39" s="12">
        <v>0</v>
      </c>
      <c r="T39" s="12">
        <v>0</v>
      </c>
      <c r="U39" s="12">
        <v>0</v>
      </c>
    </row>
    <row r="40" spans="1:21" x14ac:dyDescent="0.3">
      <c r="A40" s="10" t="s">
        <v>124</v>
      </c>
      <c r="B40" s="11" t="s">
        <v>125</v>
      </c>
      <c r="C40" s="11"/>
      <c r="D40" s="11" t="s">
        <v>126</v>
      </c>
      <c r="E40" s="11">
        <f xml:space="preserve"> IF($U$35,1,0)</f>
        <v>0</v>
      </c>
      <c r="F40" s="11" t="s">
        <v>127</v>
      </c>
      <c r="G40" s="11">
        <v>0</v>
      </c>
      <c r="H40" s="11">
        <v>0</v>
      </c>
      <c r="I40" s="11">
        <v>0</v>
      </c>
      <c r="J40" s="11">
        <v>0</v>
      </c>
      <c r="K40" s="11">
        <v>0</v>
      </c>
      <c r="L40" s="11">
        <v>0</v>
      </c>
      <c r="M40" s="11">
        <v>0</v>
      </c>
      <c r="N40" s="11">
        <v>0</v>
      </c>
      <c r="O40" s="11">
        <v>0</v>
      </c>
      <c r="P40" s="11">
        <v>0</v>
      </c>
      <c r="Q40" s="12">
        <v>0</v>
      </c>
      <c r="R40" s="12">
        <v>0</v>
      </c>
      <c r="S40" s="12">
        <v>0</v>
      </c>
      <c r="T40" s="12">
        <v>0</v>
      </c>
      <c r="U40" s="12">
        <v>0</v>
      </c>
    </row>
    <row r="41" spans="1:21" x14ac:dyDescent="0.3">
      <c r="A41" s="13" t="s">
        <v>128</v>
      </c>
      <c r="B41" s="14" t="s">
        <v>129</v>
      </c>
      <c r="C41" s="14" t="s">
        <v>34</v>
      </c>
      <c r="D41" s="14" t="s">
        <v>130</v>
      </c>
      <c r="E41" s="14">
        <f xml:space="preserve"> IF($U$36,1,0)</f>
        <v>0</v>
      </c>
      <c r="F41" s="14" t="s">
        <v>131</v>
      </c>
      <c r="G41" s="14">
        <v>0</v>
      </c>
      <c r="H41" s="14">
        <v>0</v>
      </c>
      <c r="I41" s="14">
        <v>0</v>
      </c>
      <c r="J41" s="14">
        <v>0</v>
      </c>
      <c r="K41" s="14">
        <v>0</v>
      </c>
      <c r="L41" s="14">
        <v>0</v>
      </c>
      <c r="M41" s="14">
        <v>0</v>
      </c>
      <c r="N41" s="14">
        <v>0</v>
      </c>
      <c r="O41" s="14">
        <v>0</v>
      </c>
      <c r="P41" s="14">
        <v>0</v>
      </c>
      <c r="Q41" s="15">
        <v>0</v>
      </c>
      <c r="R41" s="15">
        <v>0</v>
      </c>
      <c r="S41" s="15">
        <v>0</v>
      </c>
      <c r="T41" s="15">
        <v>0</v>
      </c>
      <c r="U41" s="15">
        <v>0</v>
      </c>
    </row>
    <row r="42" spans="1:21" x14ac:dyDescent="0.3">
      <c r="A42" s="10" t="s">
        <v>132</v>
      </c>
      <c r="B42" s="11" t="s">
        <v>133</v>
      </c>
      <c r="C42" s="11"/>
      <c r="D42" s="11" t="s">
        <v>134</v>
      </c>
      <c r="E42" s="11">
        <f xml:space="preserve"> IF($U$37,1,0)</f>
        <v>0</v>
      </c>
      <c r="F42" s="11" t="s">
        <v>135</v>
      </c>
      <c r="G42" s="11">
        <v>0</v>
      </c>
      <c r="H42" s="11">
        <v>0</v>
      </c>
      <c r="I42" s="11">
        <v>0</v>
      </c>
      <c r="J42" s="11">
        <v>0</v>
      </c>
      <c r="K42" s="11">
        <v>0</v>
      </c>
      <c r="L42" s="11">
        <v>0</v>
      </c>
      <c r="M42" s="11">
        <v>0</v>
      </c>
      <c r="N42" s="11">
        <v>0</v>
      </c>
      <c r="O42" s="11">
        <v>0</v>
      </c>
      <c r="P42" s="11">
        <v>0</v>
      </c>
      <c r="Q42" s="12">
        <v>0</v>
      </c>
      <c r="R42" s="12">
        <v>0</v>
      </c>
      <c r="S42" s="12">
        <v>0</v>
      </c>
      <c r="T42" s="12">
        <v>0</v>
      </c>
      <c r="U42" s="12">
        <v>0</v>
      </c>
    </row>
    <row r="43" spans="1:21" x14ac:dyDescent="0.3">
      <c r="A43" s="10" t="s">
        <v>136</v>
      </c>
      <c r="B43" s="11" t="s">
        <v>137</v>
      </c>
      <c r="C43" s="11"/>
      <c r="D43" s="11" t="s">
        <v>138</v>
      </c>
      <c r="E43" s="11">
        <f xml:space="preserve"> IF($U$39,1,0)</f>
        <v>0</v>
      </c>
      <c r="F43" s="11" t="s">
        <v>139</v>
      </c>
      <c r="G43" s="11">
        <v>0</v>
      </c>
      <c r="H43" s="11">
        <v>0</v>
      </c>
      <c r="I43" s="11">
        <v>0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2">
        <v>0</v>
      </c>
      <c r="R43" s="12">
        <v>0</v>
      </c>
      <c r="S43" s="12">
        <v>0</v>
      </c>
      <c r="T43" s="12">
        <v>0</v>
      </c>
      <c r="U43" s="12">
        <v>0</v>
      </c>
    </row>
    <row r="44" spans="1:21" x14ac:dyDescent="0.3">
      <c r="A44" s="13" t="s">
        <v>140</v>
      </c>
      <c r="B44" s="14" t="s">
        <v>141</v>
      </c>
      <c r="C44" s="14"/>
      <c r="D44" s="14" t="s">
        <v>142</v>
      </c>
      <c r="E44" s="14">
        <f xml:space="preserve"> IF($U$40,1,0)</f>
        <v>0</v>
      </c>
      <c r="F44" s="14" t="s">
        <v>143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14">
        <v>0</v>
      </c>
      <c r="P44" s="14">
        <v>0</v>
      </c>
      <c r="Q44" s="15">
        <v>0</v>
      </c>
      <c r="R44" s="15">
        <v>0</v>
      </c>
      <c r="S44" s="15">
        <v>0</v>
      </c>
      <c r="T44" s="15">
        <v>0</v>
      </c>
      <c r="U44" s="15">
        <v>0</v>
      </c>
    </row>
    <row r="45" spans="1:21" x14ac:dyDescent="0.3">
      <c r="A45" s="10" t="s">
        <v>144</v>
      </c>
      <c r="B45" s="11" t="s">
        <v>145</v>
      </c>
      <c r="C45" s="11"/>
      <c r="D45" s="11" t="s">
        <v>146</v>
      </c>
      <c r="E45" s="11">
        <f xml:space="preserve"> IF($U$41,1,0)</f>
        <v>0</v>
      </c>
      <c r="F45" s="11" t="s">
        <v>147</v>
      </c>
      <c r="G45" s="11">
        <v>0</v>
      </c>
      <c r="H45" s="11">
        <v>0</v>
      </c>
      <c r="I45" s="11">
        <v>0</v>
      </c>
      <c r="J45" s="11">
        <v>0</v>
      </c>
      <c r="K45" s="11">
        <v>0</v>
      </c>
      <c r="L45" s="11">
        <v>0</v>
      </c>
      <c r="M45" s="11">
        <v>0</v>
      </c>
      <c r="N45" s="11">
        <v>0</v>
      </c>
      <c r="O45" s="11">
        <v>0</v>
      </c>
      <c r="P45" s="11">
        <v>0</v>
      </c>
      <c r="Q45" s="12">
        <v>0</v>
      </c>
      <c r="R45" s="12">
        <v>0</v>
      </c>
      <c r="S45" s="12">
        <v>0</v>
      </c>
      <c r="T45" s="12">
        <v>0</v>
      </c>
      <c r="U45" s="12">
        <v>0</v>
      </c>
    </row>
    <row r="46" spans="1:21" x14ac:dyDescent="0.3">
      <c r="A46" s="10" t="s">
        <v>152</v>
      </c>
      <c r="B46" s="11" t="s">
        <v>153</v>
      </c>
      <c r="C46" s="11"/>
      <c r="D46" s="11" t="s">
        <v>154</v>
      </c>
      <c r="E46" s="11">
        <f xml:space="preserve"> IF($U$43,1,0)</f>
        <v>0</v>
      </c>
      <c r="F46" s="11" t="s">
        <v>155</v>
      </c>
      <c r="G46" s="11">
        <v>0</v>
      </c>
      <c r="H46" s="11">
        <v>0</v>
      </c>
      <c r="I46" s="11">
        <v>0</v>
      </c>
      <c r="J46" s="11">
        <v>0</v>
      </c>
      <c r="K46" s="11">
        <v>0</v>
      </c>
      <c r="L46" s="11">
        <v>0</v>
      </c>
      <c r="M46" s="11">
        <v>0</v>
      </c>
      <c r="N46" s="11">
        <v>0</v>
      </c>
      <c r="O46" s="11">
        <v>0</v>
      </c>
      <c r="P46" s="11">
        <v>0</v>
      </c>
      <c r="Q46" s="12">
        <v>0</v>
      </c>
      <c r="R46" s="12">
        <v>0</v>
      </c>
      <c r="S46" s="12">
        <v>0</v>
      </c>
      <c r="T46" s="12">
        <v>0</v>
      </c>
      <c r="U46" s="12">
        <v>0</v>
      </c>
    </row>
    <row r="47" spans="1:21" x14ac:dyDescent="0.3">
      <c r="A47" s="13" t="s">
        <v>156</v>
      </c>
      <c r="B47" s="14" t="s">
        <v>157</v>
      </c>
      <c r="C47" s="14" t="s">
        <v>65</v>
      </c>
      <c r="D47" s="14" t="s">
        <v>158</v>
      </c>
      <c r="E47" s="14">
        <f xml:space="preserve"> IF($U$44,1,0)</f>
        <v>0</v>
      </c>
      <c r="F47" s="14" t="s">
        <v>159</v>
      </c>
      <c r="G47" s="14">
        <v>0</v>
      </c>
      <c r="H47" s="14">
        <v>0</v>
      </c>
      <c r="I47" s="14">
        <v>0</v>
      </c>
      <c r="J47" s="14">
        <v>0</v>
      </c>
      <c r="K47" s="14">
        <v>0</v>
      </c>
      <c r="L47" s="14">
        <v>0</v>
      </c>
      <c r="M47" s="14">
        <v>0</v>
      </c>
      <c r="N47" s="14">
        <v>0</v>
      </c>
      <c r="O47" s="14">
        <v>0</v>
      </c>
      <c r="P47" s="14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</row>
    <row r="48" spans="1:21" x14ac:dyDescent="0.3">
      <c r="A48" s="10" t="s">
        <v>160</v>
      </c>
      <c r="B48" s="11" t="s">
        <v>161</v>
      </c>
      <c r="C48" s="11"/>
      <c r="D48" s="11" t="s">
        <v>162</v>
      </c>
      <c r="E48" s="11">
        <f xml:space="preserve"> IF($U$45,1,0)</f>
        <v>0</v>
      </c>
      <c r="F48" s="11" t="s">
        <v>163</v>
      </c>
      <c r="G48" s="11">
        <v>0</v>
      </c>
      <c r="H48" s="11">
        <v>0</v>
      </c>
      <c r="I48" s="11">
        <v>0</v>
      </c>
      <c r="J48" s="11">
        <v>0</v>
      </c>
      <c r="K48" s="11">
        <v>0</v>
      </c>
      <c r="L48" s="11">
        <v>0</v>
      </c>
      <c r="M48" s="11">
        <v>0</v>
      </c>
      <c r="N48" s="11">
        <v>0</v>
      </c>
      <c r="O48" s="11">
        <v>0</v>
      </c>
      <c r="P48" s="11">
        <v>0</v>
      </c>
      <c r="Q48" s="12">
        <v>0</v>
      </c>
      <c r="R48" s="12">
        <v>0</v>
      </c>
      <c r="S48" s="12">
        <v>0</v>
      </c>
      <c r="T48" s="12">
        <v>0</v>
      </c>
      <c r="U48" s="12">
        <v>0</v>
      </c>
    </row>
    <row r="49" spans="1:21" x14ac:dyDescent="0.3">
      <c r="A49" s="13" t="s">
        <v>164</v>
      </c>
      <c r="B49" s="14" t="s">
        <v>165</v>
      </c>
      <c r="C49" s="14"/>
      <c r="D49" s="14" t="s">
        <v>166</v>
      </c>
      <c r="E49" s="14">
        <f xml:space="preserve"> IF($U$46,1,0)</f>
        <v>0</v>
      </c>
      <c r="F49" s="14" t="s">
        <v>167</v>
      </c>
      <c r="G49" s="14">
        <v>0</v>
      </c>
      <c r="H49" s="14">
        <v>0</v>
      </c>
      <c r="I49" s="14">
        <v>0</v>
      </c>
      <c r="J49" s="14">
        <v>0</v>
      </c>
      <c r="K49" s="14">
        <v>0</v>
      </c>
      <c r="L49" s="14">
        <v>0</v>
      </c>
      <c r="M49" s="14">
        <v>0</v>
      </c>
      <c r="N49" s="14">
        <v>0</v>
      </c>
      <c r="O49" s="14">
        <v>0</v>
      </c>
      <c r="P49" s="14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</row>
    <row r="50" spans="1:21" x14ac:dyDescent="0.3">
      <c r="A50" s="10" t="s">
        <v>168</v>
      </c>
      <c r="B50" s="11" t="s">
        <v>169</v>
      </c>
      <c r="C50" s="11" t="s">
        <v>65</v>
      </c>
      <c r="D50" s="11" t="s">
        <v>170</v>
      </c>
      <c r="E50" s="11">
        <f xml:space="preserve"> IF($U$47,1,0)</f>
        <v>0</v>
      </c>
      <c r="F50" s="11" t="s">
        <v>171</v>
      </c>
      <c r="G50" s="11">
        <v>0</v>
      </c>
      <c r="H50" s="11">
        <v>0</v>
      </c>
      <c r="I50" s="11">
        <v>0</v>
      </c>
      <c r="J50" s="11">
        <v>0</v>
      </c>
      <c r="K50" s="11">
        <v>0</v>
      </c>
      <c r="L50" s="11">
        <v>0</v>
      </c>
      <c r="M50" s="11">
        <v>0</v>
      </c>
      <c r="N50" s="11">
        <v>0</v>
      </c>
      <c r="O50" s="11">
        <v>0</v>
      </c>
      <c r="P50" s="11">
        <v>0</v>
      </c>
      <c r="Q50" s="12">
        <v>0</v>
      </c>
      <c r="R50" s="12">
        <v>0</v>
      </c>
      <c r="S50" s="12">
        <v>0</v>
      </c>
      <c r="T50" s="12">
        <v>0</v>
      </c>
      <c r="U50" s="12">
        <v>0</v>
      </c>
    </row>
    <row r="51" spans="1:21" x14ac:dyDescent="0.3">
      <c r="A51" s="13" t="s">
        <v>172</v>
      </c>
      <c r="B51" s="14" t="s">
        <v>173</v>
      </c>
      <c r="C51" s="14"/>
      <c r="D51" s="14" t="s">
        <v>174</v>
      </c>
      <c r="E51" s="14">
        <f xml:space="preserve"> IF($U$48,1,0)</f>
        <v>0</v>
      </c>
      <c r="F51" s="14" t="s">
        <v>175</v>
      </c>
      <c r="G51" s="14">
        <v>0</v>
      </c>
      <c r="H51" s="14">
        <v>0</v>
      </c>
      <c r="I51" s="14">
        <v>0</v>
      </c>
      <c r="J51" s="14">
        <v>0</v>
      </c>
      <c r="K51" s="14">
        <v>0</v>
      </c>
      <c r="L51" s="14">
        <v>0</v>
      </c>
      <c r="M51" s="14">
        <v>0</v>
      </c>
      <c r="N51" s="14">
        <v>0</v>
      </c>
      <c r="O51" s="14">
        <v>0</v>
      </c>
      <c r="P51" s="14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</row>
    <row r="52" spans="1:21" x14ac:dyDescent="0.3">
      <c r="A52" s="10" t="s">
        <v>183</v>
      </c>
      <c r="B52" s="11" t="s">
        <v>177</v>
      </c>
      <c r="C52" s="11"/>
      <c r="D52" s="11" t="s">
        <v>184</v>
      </c>
      <c r="E52" s="11">
        <f xml:space="preserve"> IF($U$51,1,0)</f>
        <v>0</v>
      </c>
      <c r="F52" s="11" t="s">
        <v>185</v>
      </c>
      <c r="G52" s="11">
        <v>0</v>
      </c>
      <c r="H52" s="11">
        <v>0</v>
      </c>
      <c r="I52" s="11">
        <v>0</v>
      </c>
      <c r="J52" s="11">
        <v>0</v>
      </c>
      <c r="K52" s="11">
        <v>0</v>
      </c>
      <c r="L52" s="11">
        <v>0</v>
      </c>
      <c r="M52" s="11">
        <v>0</v>
      </c>
      <c r="N52" s="11">
        <v>0</v>
      </c>
      <c r="O52" s="11">
        <v>0</v>
      </c>
      <c r="P52" s="11">
        <v>0</v>
      </c>
      <c r="Q52" s="12">
        <v>0</v>
      </c>
      <c r="R52" s="12">
        <v>0</v>
      </c>
      <c r="S52" s="12">
        <v>0</v>
      </c>
      <c r="T52" s="12">
        <v>0</v>
      </c>
      <c r="U52" s="12">
        <v>0</v>
      </c>
    </row>
    <row r="53" spans="1:21" x14ac:dyDescent="0.3">
      <c r="A53" s="13" t="s">
        <v>186</v>
      </c>
      <c r="B53" s="14" t="s">
        <v>177</v>
      </c>
      <c r="C53" s="14"/>
      <c r="D53" s="14" t="s">
        <v>187</v>
      </c>
      <c r="E53" s="14">
        <f xml:space="preserve"> IF($U$52,1,0)</f>
        <v>0</v>
      </c>
      <c r="F53" s="14" t="s">
        <v>188</v>
      </c>
      <c r="G53" s="14">
        <v>0</v>
      </c>
      <c r="H53" s="14">
        <v>0</v>
      </c>
      <c r="I53" s="14">
        <v>0</v>
      </c>
      <c r="J53" s="14">
        <v>0</v>
      </c>
      <c r="K53" s="14">
        <v>0</v>
      </c>
      <c r="L53" s="14">
        <v>0</v>
      </c>
      <c r="M53" s="14">
        <v>0</v>
      </c>
      <c r="N53" s="14">
        <v>0</v>
      </c>
      <c r="O53" s="14">
        <v>0</v>
      </c>
      <c r="P53" s="14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</row>
    <row r="54" spans="1:21" x14ac:dyDescent="0.3">
      <c r="A54" s="10" t="s">
        <v>189</v>
      </c>
      <c r="B54" s="11" t="s">
        <v>177</v>
      </c>
      <c r="C54" s="11"/>
      <c r="D54" s="11" t="s">
        <v>190</v>
      </c>
      <c r="E54" s="11">
        <f xml:space="preserve"> IF($U$53,1,0)</f>
        <v>0</v>
      </c>
      <c r="F54" s="11" t="s">
        <v>191</v>
      </c>
      <c r="G54" s="11">
        <v>0</v>
      </c>
      <c r="H54" s="11">
        <v>0</v>
      </c>
      <c r="I54" s="11">
        <v>0</v>
      </c>
      <c r="J54" s="11">
        <v>0</v>
      </c>
      <c r="K54" s="11">
        <v>0</v>
      </c>
      <c r="L54" s="11">
        <v>0</v>
      </c>
      <c r="M54" s="11">
        <v>0</v>
      </c>
      <c r="N54" s="11">
        <v>0</v>
      </c>
      <c r="O54" s="11">
        <v>0</v>
      </c>
      <c r="P54" s="11">
        <v>0</v>
      </c>
      <c r="Q54" s="12">
        <v>0</v>
      </c>
      <c r="R54" s="12">
        <v>0</v>
      </c>
      <c r="S54" s="12">
        <v>0</v>
      </c>
      <c r="T54" s="12">
        <v>0</v>
      </c>
      <c r="U54" s="12">
        <v>0</v>
      </c>
    </row>
    <row r="55" spans="1:21" x14ac:dyDescent="0.3">
      <c r="A55" s="13" t="s">
        <v>192</v>
      </c>
      <c r="B55" s="14" t="s">
        <v>177</v>
      </c>
      <c r="C55" s="14"/>
      <c r="D55" s="14" t="s">
        <v>193</v>
      </c>
      <c r="E55" s="14">
        <f xml:space="preserve"> IF($U$54,1,0)</f>
        <v>0</v>
      </c>
      <c r="F55" s="14" t="s">
        <v>194</v>
      </c>
      <c r="G55" s="14">
        <v>0</v>
      </c>
      <c r="H55" s="14">
        <v>0</v>
      </c>
      <c r="I55" s="14">
        <v>0</v>
      </c>
      <c r="J55" s="14">
        <v>0</v>
      </c>
      <c r="K55" s="14">
        <v>0</v>
      </c>
      <c r="L55" s="14">
        <v>0</v>
      </c>
      <c r="M55" s="14">
        <v>0</v>
      </c>
      <c r="N55" s="14">
        <v>0</v>
      </c>
      <c r="O55" s="14">
        <v>0</v>
      </c>
      <c r="P55" s="14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</row>
    <row r="56" spans="1:21" x14ac:dyDescent="0.3">
      <c r="A56" s="10" t="s">
        <v>195</v>
      </c>
      <c r="B56" s="11" t="s">
        <v>177</v>
      </c>
      <c r="C56" s="11"/>
      <c r="D56" s="11" t="s">
        <v>196</v>
      </c>
      <c r="E56" s="11">
        <f xml:space="preserve"> IF($U$55,1,0)</f>
        <v>0</v>
      </c>
      <c r="F56" s="11" t="s">
        <v>197</v>
      </c>
      <c r="G56" s="11">
        <v>0</v>
      </c>
      <c r="H56" s="11">
        <v>0</v>
      </c>
      <c r="I56" s="11">
        <v>0</v>
      </c>
      <c r="J56" s="11">
        <v>0</v>
      </c>
      <c r="K56" s="11">
        <v>0</v>
      </c>
      <c r="L56" s="11">
        <v>0</v>
      </c>
      <c r="M56" s="11">
        <v>0</v>
      </c>
      <c r="N56" s="11">
        <v>0</v>
      </c>
      <c r="O56" s="11">
        <v>0</v>
      </c>
      <c r="P56" s="11">
        <v>0</v>
      </c>
      <c r="Q56" s="12">
        <v>0</v>
      </c>
      <c r="R56" s="12">
        <v>0</v>
      </c>
      <c r="S56" s="12">
        <v>0</v>
      </c>
      <c r="T56" s="12">
        <v>0</v>
      </c>
      <c r="U56" s="12">
        <v>0</v>
      </c>
    </row>
    <row r="57" spans="1:21" x14ac:dyDescent="0.3">
      <c r="A57" s="13" t="s">
        <v>198</v>
      </c>
      <c r="B57" s="14" t="s">
        <v>177</v>
      </c>
      <c r="C57" s="14" t="s">
        <v>65</v>
      </c>
      <c r="D57" s="14" t="s">
        <v>199</v>
      </c>
      <c r="E57" s="14">
        <f xml:space="preserve"> IF($U$56,1,0)</f>
        <v>0</v>
      </c>
      <c r="F57" s="14" t="s">
        <v>200</v>
      </c>
      <c r="G57" s="14">
        <v>0</v>
      </c>
      <c r="H57" s="14">
        <v>0</v>
      </c>
      <c r="I57" s="14">
        <v>0</v>
      </c>
      <c r="J57" s="14">
        <v>0</v>
      </c>
      <c r="K57" s="14">
        <v>0</v>
      </c>
      <c r="L57" s="14">
        <v>0</v>
      </c>
      <c r="M57" s="14">
        <v>0</v>
      </c>
      <c r="N57" s="14">
        <v>0</v>
      </c>
      <c r="O57" s="14">
        <v>0</v>
      </c>
      <c r="P57" s="14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</row>
    <row r="58" spans="1:21" x14ac:dyDescent="0.3">
      <c r="A58" s="10" t="s">
        <v>201</v>
      </c>
      <c r="B58" s="11" t="s">
        <v>177</v>
      </c>
      <c r="C58" s="11" t="s">
        <v>202</v>
      </c>
      <c r="D58" s="11" t="s">
        <v>203</v>
      </c>
      <c r="E58" s="11">
        <f xml:space="preserve"> IF($U$57,1,0)</f>
        <v>0</v>
      </c>
      <c r="F58" s="11" t="s">
        <v>204</v>
      </c>
      <c r="G58" s="11">
        <v>0</v>
      </c>
      <c r="H58" s="11">
        <v>0</v>
      </c>
      <c r="I58" s="11">
        <v>0</v>
      </c>
      <c r="J58" s="11">
        <v>0</v>
      </c>
      <c r="K58" s="11">
        <v>0</v>
      </c>
      <c r="L58" s="11">
        <v>0</v>
      </c>
      <c r="M58" s="11">
        <v>0</v>
      </c>
      <c r="N58" s="11">
        <v>0</v>
      </c>
      <c r="O58" s="11">
        <v>0</v>
      </c>
      <c r="P58" s="11">
        <v>0</v>
      </c>
      <c r="Q58" s="12">
        <v>0</v>
      </c>
      <c r="R58" s="12">
        <v>0</v>
      </c>
      <c r="S58" s="12">
        <v>0</v>
      </c>
      <c r="T58" s="12">
        <v>0</v>
      </c>
      <c r="U58" s="12">
        <v>0</v>
      </c>
    </row>
    <row r="59" spans="1:21" x14ac:dyDescent="0.3">
      <c r="A59" s="13" t="s">
        <v>205</v>
      </c>
      <c r="B59" s="14" t="s">
        <v>206</v>
      </c>
      <c r="C59" s="14"/>
      <c r="D59" s="14" t="s">
        <v>207</v>
      </c>
      <c r="E59" s="14">
        <f xml:space="preserve"> IF($U$58,1,0)</f>
        <v>0</v>
      </c>
      <c r="F59" s="14" t="s">
        <v>208</v>
      </c>
      <c r="G59" s="14">
        <v>0</v>
      </c>
      <c r="H59" s="14">
        <v>0</v>
      </c>
      <c r="I59" s="14">
        <v>0</v>
      </c>
      <c r="J59" s="14">
        <v>0</v>
      </c>
      <c r="K59" s="14">
        <v>0</v>
      </c>
      <c r="L59" s="14">
        <v>0</v>
      </c>
      <c r="M59" s="14">
        <v>0</v>
      </c>
      <c r="N59" s="14">
        <v>0</v>
      </c>
      <c r="O59" s="14">
        <v>0</v>
      </c>
      <c r="P59" s="14">
        <v>0</v>
      </c>
      <c r="Q59" s="15">
        <v>0</v>
      </c>
      <c r="R59" s="15">
        <v>0</v>
      </c>
      <c r="S59" s="15">
        <v>0</v>
      </c>
      <c r="T59" s="15">
        <v>0</v>
      </c>
      <c r="U59" s="15">
        <v>0</v>
      </c>
    </row>
    <row r="60" spans="1:21" x14ac:dyDescent="0.3">
      <c r="A60" s="10" t="s">
        <v>209</v>
      </c>
      <c r="B60" s="11" t="s">
        <v>210</v>
      </c>
      <c r="C60" s="11"/>
      <c r="D60" s="11" t="s">
        <v>211</v>
      </c>
      <c r="E60" s="11">
        <f xml:space="preserve"> IF($U$59,1,0)</f>
        <v>0</v>
      </c>
      <c r="F60" s="11" t="s">
        <v>212</v>
      </c>
      <c r="G60" s="11">
        <v>0</v>
      </c>
      <c r="H60" s="11">
        <v>0</v>
      </c>
      <c r="I60" s="11">
        <v>0</v>
      </c>
      <c r="J60" s="11">
        <v>0</v>
      </c>
      <c r="K60" s="11">
        <v>0</v>
      </c>
      <c r="L60" s="11">
        <v>0</v>
      </c>
      <c r="M60" s="11">
        <v>0</v>
      </c>
      <c r="N60" s="11">
        <v>0</v>
      </c>
      <c r="O60" s="11">
        <v>0</v>
      </c>
      <c r="P60" s="11">
        <v>0</v>
      </c>
      <c r="Q60" s="12">
        <v>0</v>
      </c>
      <c r="R60" s="12">
        <v>0</v>
      </c>
      <c r="S60" s="12">
        <v>0</v>
      </c>
      <c r="T60" s="12">
        <v>0</v>
      </c>
      <c r="U60" s="12">
        <v>0</v>
      </c>
    </row>
    <row r="61" spans="1:21" x14ac:dyDescent="0.3">
      <c r="A61" s="13" t="s">
        <v>213</v>
      </c>
      <c r="B61" s="14" t="s">
        <v>210</v>
      </c>
      <c r="C61" s="14"/>
      <c r="D61" s="14" t="s">
        <v>214</v>
      </c>
      <c r="E61" s="14">
        <f xml:space="preserve"> IF($U$60,1,0)</f>
        <v>0</v>
      </c>
      <c r="F61" s="14" t="s">
        <v>215</v>
      </c>
      <c r="G61" s="14">
        <v>0</v>
      </c>
      <c r="H61" s="14">
        <v>0</v>
      </c>
      <c r="I61" s="14">
        <v>0</v>
      </c>
      <c r="J61" s="14">
        <v>0</v>
      </c>
      <c r="K61" s="14">
        <v>0</v>
      </c>
      <c r="L61" s="14">
        <v>0</v>
      </c>
      <c r="M61" s="14">
        <v>0</v>
      </c>
      <c r="N61" s="14">
        <v>0</v>
      </c>
      <c r="O61" s="14">
        <v>0</v>
      </c>
      <c r="P61" s="14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</row>
    <row r="62" spans="1:21" x14ac:dyDescent="0.3">
      <c r="A62" s="10" t="s">
        <v>216</v>
      </c>
      <c r="B62" s="11" t="s">
        <v>217</v>
      </c>
      <c r="C62" s="11"/>
      <c r="D62" s="11" t="s">
        <v>218</v>
      </c>
      <c r="E62" s="11">
        <f xml:space="preserve"> IF($U$61,1,0)</f>
        <v>0</v>
      </c>
      <c r="F62" s="11" t="s">
        <v>219</v>
      </c>
      <c r="G62" s="11">
        <v>0</v>
      </c>
      <c r="H62" s="11">
        <v>0</v>
      </c>
      <c r="I62" s="11">
        <v>0</v>
      </c>
      <c r="J62" s="11">
        <v>0</v>
      </c>
      <c r="K62" s="11">
        <v>0</v>
      </c>
      <c r="L62" s="11">
        <v>0</v>
      </c>
      <c r="M62" s="11">
        <v>0</v>
      </c>
      <c r="N62" s="11">
        <v>0</v>
      </c>
      <c r="O62" s="11">
        <v>0</v>
      </c>
      <c r="P62" s="11">
        <v>0</v>
      </c>
      <c r="Q62" s="12">
        <v>0</v>
      </c>
      <c r="R62" s="12">
        <v>0</v>
      </c>
      <c r="S62" s="12">
        <v>0</v>
      </c>
      <c r="T62" s="12">
        <v>0</v>
      </c>
      <c r="U62" s="12">
        <v>0</v>
      </c>
    </row>
    <row r="63" spans="1:21" x14ac:dyDescent="0.3">
      <c r="A63" s="13" t="s">
        <v>220</v>
      </c>
      <c r="B63" s="14" t="s">
        <v>221</v>
      </c>
      <c r="C63" s="14" t="s">
        <v>34</v>
      </c>
      <c r="D63" s="14" t="s">
        <v>222</v>
      </c>
      <c r="E63" s="14">
        <f xml:space="preserve"> IF($U$62,1,0)</f>
        <v>0</v>
      </c>
      <c r="F63" s="14" t="s">
        <v>223</v>
      </c>
      <c r="G63" s="14">
        <v>0</v>
      </c>
      <c r="H63" s="14">
        <v>0</v>
      </c>
      <c r="I63" s="14">
        <v>0</v>
      </c>
      <c r="J63" s="14">
        <v>0</v>
      </c>
      <c r="K63" s="14">
        <v>0</v>
      </c>
      <c r="L63" s="14">
        <v>0</v>
      </c>
      <c r="M63" s="14">
        <v>0</v>
      </c>
      <c r="N63" s="14">
        <v>0</v>
      </c>
      <c r="O63" s="14">
        <v>0</v>
      </c>
      <c r="P63" s="14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</row>
    <row r="64" spans="1:21" x14ac:dyDescent="0.3">
      <c r="A64" s="10" t="s">
        <v>224</v>
      </c>
      <c r="B64" s="11" t="s">
        <v>225</v>
      </c>
      <c r="C64" s="11"/>
      <c r="D64" s="11" t="s">
        <v>226</v>
      </c>
      <c r="E64" s="11">
        <f xml:space="preserve"> IF($U$63,1,0)</f>
        <v>0</v>
      </c>
      <c r="F64" s="11" t="s">
        <v>227</v>
      </c>
      <c r="G64" s="11">
        <v>0</v>
      </c>
      <c r="H64" s="11">
        <v>0</v>
      </c>
      <c r="I64" s="11">
        <v>0</v>
      </c>
      <c r="J64" s="11">
        <v>0</v>
      </c>
      <c r="K64" s="11">
        <v>0</v>
      </c>
      <c r="L64" s="11">
        <v>0</v>
      </c>
      <c r="M64" s="11">
        <v>0</v>
      </c>
      <c r="N64" s="11">
        <v>0</v>
      </c>
      <c r="O64" s="11">
        <v>0</v>
      </c>
      <c r="P64" s="11">
        <v>0</v>
      </c>
      <c r="Q64" s="12">
        <v>0</v>
      </c>
      <c r="R64" s="12">
        <v>0</v>
      </c>
      <c r="S64" s="12">
        <v>0</v>
      </c>
      <c r="T64" s="12">
        <v>0</v>
      </c>
      <c r="U64" s="12">
        <v>0</v>
      </c>
    </row>
    <row r="65" spans="1:21" x14ac:dyDescent="0.3">
      <c r="A65" s="13" t="s">
        <v>228</v>
      </c>
      <c r="B65" s="14" t="s">
        <v>225</v>
      </c>
      <c r="C65" s="14"/>
      <c r="D65" s="14" t="s">
        <v>229</v>
      </c>
      <c r="E65" s="14">
        <f xml:space="preserve"> IF($U$64,1,0)</f>
        <v>0</v>
      </c>
      <c r="F65" s="14" t="s">
        <v>230</v>
      </c>
      <c r="G65" s="14">
        <v>0</v>
      </c>
      <c r="H65" s="14">
        <v>0</v>
      </c>
      <c r="I65" s="14">
        <v>0</v>
      </c>
      <c r="J65" s="14">
        <v>0</v>
      </c>
      <c r="K65" s="14">
        <v>0</v>
      </c>
      <c r="L65" s="14">
        <v>0</v>
      </c>
      <c r="M65" s="14">
        <v>0</v>
      </c>
      <c r="N65" s="14">
        <v>0</v>
      </c>
      <c r="O65" s="14">
        <v>0</v>
      </c>
      <c r="P65" s="14">
        <v>0</v>
      </c>
      <c r="Q65" s="15">
        <v>0</v>
      </c>
      <c r="R65" s="15">
        <v>0</v>
      </c>
      <c r="S65" s="15">
        <v>0</v>
      </c>
      <c r="T65" s="15">
        <v>0</v>
      </c>
      <c r="U65" s="15">
        <v>0</v>
      </c>
    </row>
    <row r="66" spans="1:21" x14ac:dyDescent="0.3">
      <c r="A66" s="10" t="s">
        <v>231</v>
      </c>
      <c r="B66" s="11" t="s">
        <v>225</v>
      </c>
      <c r="C66" s="11"/>
      <c r="D66" s="11" t="s">
        <v>232</v>
      </c>
      <c r="E66" s="11">
        <f xml:space="preserve"> IF($U$65,1,0)</f>
        <v>0</v>
      </c>
      <c r="F66" s="11" t="s">
        <v>233</v>
      </c>
      <c r="G66" s="11">
        <v>0</v>
      </c>
      <c r="H66" s="11">
        <v>0</v>
      </c>
      <c r="I66" s="11">
        <v>0</v>
      </c>
      <c r="J66" s="11">
        <v>0</v>
      </c>
      <c r="K66" s="11">
        <v>0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2">
        <v>0</v>
      </c>
      <c r="R66" s="12">
        <v>0</v>
      </c>
      <c r="S66" s="12">
        <v>0</v>
      </c>
      <c r="T66" s="12">
        <v>0</v>
      </c>
      <c r="U66" s="12">
        <v>0</v>
      </c>
    </row>
    <row r="67" spans="1:21" x14ac:dyDescent="0.3">
      <c r="A67" s="13" t="s">
        <v>234</v>
      </c>
      <c r="B67" s="14" t="s">
        <v>235</v>
      </c>
      <c r="C67" s="14"/>
      <c r="D67" s="14" t="s">
        <v>236</v>
      </c>
      <c r="E67" s="14">
        <f xml:space="preserve"> IF($U$66,1,0)</f>
        <v>0</v>
      </c>
      <c r="F67" s="14" t="s">
        <v>237</v>
      </c>
      <c r="G67" s="14">
        <v>0</v>
      </c>
      <c r="H67" s="14">
        <v>0</v>
      </c>
      <c r="I67" s="14">
        <v>0</v>
      </c>
      <c r="J67" s="14">
        <v>0</v>
      </c>
      <c r="K67" s="14">
        <v>0</v>
      </c>
      <c r="L67" s="14">
        <v>0</v>
      </c>
      <c r="M67" s="14">
        <v>0</v>
      </c>
      <c r="N67" s="14">
        <v>0</v>
      </c>
      <c r="O67" s="14">
        <v>0</v>
      </c>
      <c r="P67" s="14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</row>
    <row r="68" spans="1:21" x14ac:dyDescent="0.3">
      <c r="A68" s="10" t="s">
        <v>238</v>
      </c>
      <c r="B68" s="11" t="s">
        <v>235</v>
      </c>
      <c r="C68" s="11" t="s">
        <v>34</v>
      </c>
      <c r="D68" s="11" t="s">
        <v>239</v>
      </c>
      <c r="E68" s="11">
        <f xml:space="preserve"> IF($U$67,1,0)</f>
        <v>0</v>
      </c>
      <c r="F68" s="11" t="s">
        <v>240</v>
      </c>
      <c r="G68" s="11">
        <v>0</v>
      </c>
      <c r="H68" s="11">
        <v>0</v>
      </c>
      <c r="I68" s="11">
        <v>0</v>
      </c>
      <c r="J68" s="11">
        <v>0</v>
      </c>
      <c r="K68" s="11">
        <v>0</v>
      </c>
      <c r="L68" s="11">
        <v>0</v>
      </c>
      <c r="M68" s="11">
        <v>0</v>
      </c>
      <c r="N68" s="11">
        <v>0</v>
      </c>
      <c r="O68" s="11">
        <v>0</v>
      </c>
      <c r="P68" s="11">
        <v>0</v>
      </c>
      <c r="Q68" s="12">
        <v>0</v>
      </c>
      <c r="R68" s="12">
        <v>0</v>
      </c>
      <c r="S68" s="12">
        <v>0</v>
      </c>
      <c r="T68" s="12">
        <v>0</v>
      </c>
      <c r="U68" s="12">
        <v>0</v>
      </c>
    </row>
    <row r="69" spans="1:21" x14ac:dyDescent="0.3">
      <c r="A69" s="13" t="s">
        <v>241</v>
      </c>
      <c r="B69" s="14" t="s">
        <v>242</v>
      </c>
      <c r="C69" s="14" t="s">
        <v>243</v>
      </c>
      <c r="D69" s="14" t="s">
        <v>244</v>
      </c>
      <c r="E69" s="14">
        <f xml:space="preserve"> IF($U$68,1,0)</f>
        <v>0</v>
      </c>
      <c r="F69" s="14" t="s">
        <v>245</v>
      </c>
      <c r="G69" s="14">
        <v>0</v>
      </c>
      <c r="H69" s="14">
        <v>0</v>
      </c>
      <c r="I69" s="14">
        <v>0</v>
      </c>
      <c r="J69" s="14">
        <v>0</v>
      </c>
      <c r="K69" s="14">
        <v>0</v>
      </c>
      <c r="L69" s="14">
        <v>0</v>
      </c>
      <c r="M69" s="14">
        <v>0</v>
      </c>
      <c r="N69" s="14">
        <v>0</v>
      </c>
      <c r="O69" s="14">
        <v>0</v>
      </c>
      <c r="P69" s="14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</row>
    <row r="70" spans="1:21" x14ac:dyDescent="0.3">
      <c r="A70" s="10" t="s">
        <v>246</v>
      </c>
      <c r="B70" s="11" t="s">
        <v>242</v>
      </c>
      <c r="C70" s="11"/>
      <c r="D70" s="11" t="s">
        <v>247</v>
      </c>
      <c r="E70" s="11">
        <f xml:space="preserve"> IF($U$69,1,0)</f>
        <v>0</v>
      </c>
      <c r="F70" s="11" t="s">
        <v>248</v>
      </c>
      <c r="G70" s="11">
        <v>0</v>
      </c>
      <c r="H70" s="11">
        <v>0</v>
      </c>
      <c r="I70" s="11">
        <v>0</v>
      </c>
      <c r="J70" s="11">
        <v>0</v>
      </c>
      <c r="K70" s="11">
        <v>0</v>
      </c>
      <c r="L70" s="11">
        <v>0</v>
      </c>
      <c r="M70" s="11">
        <v>0</v>
      </c>
      <c r="N70" s="11">
        <v>0</v>
      </c>
      <c r="O70" s="11">
        <v>0</v>
      </c>
      <c r="P70" s="11">
        <v>0</v>
      </c>
      <c r="Q70" s="12">
        <v>0</v>
      </c>
      <c r="R70" s="12">
        <v>0</v>
      </c>
      <c r="S70" s="12">
        <v>0</v>
      </c>
      <c r="T70" s="12">
        <v>0</v>
      </c>
      <c r="U70" s="12">
        <v>0</v>
      </c>
    </row>
    <row r="71" spans="1:21" x14ac:dyDescent="0.3">
      <c r="A71" s="13" t="s">
        <v>249</v>
      </c>
      <c r="B71" s="14" t="s">
        <v>242</v>
      </c>
      <c r="C71" s="14" t="s">
        <v>34</v>
      </c>
      <c r="D71" s="14" t="s">
        <v>250</v>
      </c>
      <c r="E71" s="14">
        <f xml:space="preserve"> IF($U$70,1,0)</f>
        <v>0</v>
      </c>
      <c r="F71" s="14" t="s">
        <v>251</v>
      </c>
      <c r="G71" s="14">
        <v>0</v>
      </c>
      <c r="H71" s="14">
        <v>0</v>
      </c>
      <c r="I71" s="14">
        <v>0</v>
      </c>
      <c r="J71" s="14">
        <v>0</v>
      </c>
      <c r="K71" s="14">
        <v>0</v>
      </c>
      <c r="L71" s="14">
        <v>0</v>
      </c>
      <c r="M71" s="14">
        <v>0</v>
      </c>
      <c r="N71" s="14">
        <v>0</v>
      </c>
      <c r="O71" s="14">
        <v>0</v>
      </c>
      <c r="P71" s="14">
        <v>0</v>
      </c>
      <c r="Q71" s="15">
        <v>0</v>
      </c>
      <c r="R71" s="15">
        <v>0</v>
      </c>
      <c r="S71" s="15">
        <v>0</v>
      </c>
      <c r="T71" s="15">
        <v>0</v>
      </c>
      <c r="U71" s="15">
        <v>0</v>
      </c>
    </row>
    <row r="72" spans="1:21" x14ac:dyDescent="0.3">
      <c r="A72" s="10" t="s">
        <v>252</v>
      </c>
      <c r="B72" s="11" t="s">
        <v>253</v>
      </c>
      <c r="C72" s="11"/>
      <c r="D72" s="11" t="s">
        <v>254</v>
      </c>
      <c r="E72" s="11">
        <f xml:space="preserve"> IF($U$71,1,0)</f>
        <v>0</v>
      </c>
      <c r="F72" s="11" t="s">
        <v>255</v>
      </c>
      <c r="G72" s="11">
        <v>0</v>
      </c>
      <c r="H72" s="11">
        <v>0</v>
      </c>
      <c r="I72" s="11">
        <v>0</v>
      </c>
      <c r="J72" s="11">
        <v>0</v>
      </c>
      <c r="K72" s="11">
        <v>0</v>
      </c>
      <c r="L72" s="11">
        <v>0</v>
      </c>
      <c r="M72" s="11">
        <v>0</v>
      </c>
      <c r="N72" s="11">
        <v>0</v>
      </c>
      <c r="O72" s="11">
        <v>0</v>
      </c>
      <c r="P72" s="11">
        <v>0</v>
      </c>
      <c r="Q72" s="12">
        <v>0</v>
      </c>
      <c r="R72" s="12">
        <v>0</v>
      </c>
      <c r="S72" s="12">
        <v>0</v>
      </c>
      <c r="T72" s="12">
        <v>0</v>
      </c>
      <c r="U72" s="12">
        <v>0</v>
      </c>
    </row>
    <row r="73" spans="1:21" x14ac:dyDescent="0.3">
      <c r="A73" s="13" t="s">
        <v>1283</v>
      </c>
      <c r="B73" s="14" t="s">
        <v>1284</v>
      </c>
      <c r="C73" s="14"/>
      <c r="D73" s="14" t="s">
        <v>1285</v>
      </c>
      <c r="E73" s="14">
        <f xml:space="preserve"> IF($U$72,1,0)</f>
        <v>0</v>
      </c>
      <c r="F73" s="14" t="s">
        <v>1286</v>
      </c>
      <c r="G73" s="14">
        <v>0</v>
      </c>
      <c r="H73" s="14">
        <v>0</v>
      </c>
      <c r="I73" s="14">
        <v>0</v>
      </c>
      <c r="J73" s="14">
        <v>0</v>
      </c>
      <c r="K73" s="14">
        <v>0</v>
      </c>
      <c r="L73" s="14">
        <v>0</v>
      </c>
      <c r="M73" s="14">
        <v>0</v>
      </c>
      <c r="N73" s="14">
        <v>0</v>
      </c>
      <c r="O73" s="14">
        <v>0</v>
      </c>
      <c r="P73" s="14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</row>
    <row r="74" spans="1:21" x14ac:dyDescent="0.3">
      <c r="A74" s="10" t="s">
        <v>256</v>
      </c>
      <c r="B74" s="11" t="s">
        <v>257</v>
      </c>
      <c r="C74" s="11"/>
      <c r="D74" s="11" t="s">
        <v>258</v>
      </c>
      <c r="E74" s="11">
        <f xml:space="preserve"> IF($U$73,1,0)</f>
        <v>0</v>
      </c>
      <c r="F74" s="11" t="s">
        <v>259</v>
      </c>
      <c r="G74" s="11">
        <v>0</v>
      </c>
      <c r="H74" s="11">
        <v>0</v>
      </c>
      <c r="I74" s="11">
        <v>0</v>
      </c>
      <c r="J74" s="11">
        <v>0</v>
      </c>
      <c r="K74" s="11">
        <v>0</v>
      </c>
      <c r="L74" s="11">
        <v>0</v>
      </c>
      <c r="M74" s="11">
        <v>0</v>
      </c>
      <c r="N74" s="11">
        <v>0</v>
      </c>
      <c r="O74" s="11">
        <v>0</v>
      </c>
      <c r="P74" s="11">
        <v>0</v>
      </c>
      <c r="Q74" s="12">
        <v>0</v>
      </c>
      <c r="R74" s="12">
        <v>0</v>
      </c>
      <c r="S74" s="12">
        <v>0</v>
      </c>
      <c r="T74" s="12">
        <v>0</v>
      </c>
      <c r="U74" s="12">
        <v>0</v>
      </c>
    </row>
    <row r="75" spans="1:21" x14ac:dyDescent="0.3">
      <c r="A75" s="13" t="s">
        <v>1248</v>
      </c>
      <c r="B75" s="14" t="s">
        <v>1249</v>
      </c>
      <c r="C75" s="14"/>
      <c r="D75" s="14" t="s">
        <v>1250</v>
      </c>
      <c r="E75" s="14">
        <f xml:space="preserve"> IF($U$74,1,0)</f>
        <v>0</v>
      </c>
      <c r="F75" s="14" t="s">
        <v>1251</v>
      </c>
      <c r="G75" s="14">
        <v>0</v>
      </c>
      <c r="H75" s="14">
        <v>0</v>
      </c>
      <c r="I75" s="14">
        <v>0</v>
      </c>
      <c r="J75" s="14">
        <v>0</v>
      </c>
      <c r="K75" s="14">
        <v>0</v>
      </c>
      <c r="L75" s="14">
        <v>0</v>
      </c>
      <c r="M75" s="14">
        <v>0</v>
      </c>
      <c r="N75" s="14">
        <v>0</v>
      </c>
      <c r="O75" s="14">
        <v>0</v>
      </c>
      <c r="P75" s="14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</row>
    <row r="76" spans="1:21" x14ac:dyDescent="0.3">
      <c r="A76" s="10" t="s">
        <v>260</v>
      </c>
      <c r="B76" s="11" t="s">
        <v>261</v>
      </c>
      <c r="C76" s="11"/>
      <c r="D76" s="11" t="s">
        <v>262</v>
      </c>
      <c r="E76" s="11">
        <f xml:space="preserve"> IF($U$75,1,0)</f>
        <v>0</v>
      </c>
      <c r="F76" s="11" t="s">
        <v>263</v>
      </c>
      <c r="G76" s="11">
        <v>0</v>
      </c>
      <c r="H76" s="11">
        <v>0</v>
      </c>
      <c r="I76" s="11">
        <v>0</v>
      </c>
      <c r="J76" s="11">
        <v>0</v>
      </c>
      <c r="K76" s="11">
        <v>0</v>
      </c>
      <c r="L76" s="11">
        <v>0</v>
      </c>
      <c r="M76" s="11">
        <v>0</v>
      </c>
      <c r="N76" s="11">
        <v>0</v>
      </c>
      <c r="O76" s="11">
        <v>0</v>
      </c>
      <c r="P76" s="11">
        <v>0</v>
      </c>
      <c r="Q76" s="12">
        <v>0</v>
      </c>
      <c r="R76" s="12">
        <v>0</v>
      </c>
      <c r="S76" s="12">
        <v>0</v>
      </c>
      <c r="T76" s="12">
        <v>0</v>
      </c>
      <c r="U76" s="12">
        <v>0</v>
      </c>
    </row>
    <row r="77" spans="1:21" x14ac:dyDescent="0.3">
      <c r="A77" s="13" t="s">
        <v>264</v>
      </c>
      <c r="B77" s="14" t="s">
        <v>265</v>
      </c>
      <c r="C77" s="14"/>
      <c r="D77" s="14" t="s">
        <v>266</v>
      </c>
      <c r="E77" s="14">
        <f xml:space="preserve"> IF($U$76,1,0)</f>
        <v>0</v>
      </c>
      <c r="F77" s="14" t="s">
        <v>267</v>
      </c>
      <c r="G77" s="14">
        <v>0</v>
      </c>
      <c r="H77" s="14">
        <v>0</v>
      </c>
      <c r="I77" s="14">
        <v>0</v>
      </c>
      <c r="J77" s="14">
        <v>0</v>
      </c>
      <c r="K77" s="14">
        <v>0</v>
      </c>
      <c r="L77" s="14">
        <v>0</v>
      </c>
      <c r="M77" s="14">
        <v>0</v>
      </c>
      <c r="N77" s="14">
        <v>0</v>
      </c>
      <c r="O77" s="14">
        <v>0</v>
      </c>
      <c r="P77" s="14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</row>
    <row r="78" spans="1:21" x14ac:dyDescent="0.3">
      <c r="A78" s="10" t="s">
        <v>268</v>
      </c>
      <c r="B78" s="11" t="s">
        <v>269</v>
      </c>
      <c r="C78" s="11"/>
      <c r="D78" s="11" t="s">
        <v>270</v>
      </c>
      <c r="E78" s="11">
        <f xml:space="preserve"> IF($U$77,1,0)</f>
        <v>0</v>
      </c>
      <c r="F78" s="11" t="s">
        <v>271</v>
      </c>
      <c r="G78" s="11">
        <v>0</v>
      </c>
      <c r="H78" s="11">
        <v>0</v>
      </c>
      <c r="I78" s="11">
        <v>0</v>
      </c>
      <c r="J78" s="11">
        <v>0</v>
      </c>
      <c r="K78" s="11">
        <v>0</v>
      </c>
      <c r="L78" s="11">
        <v>0</v>
      </c>
      <c r="M78" s="11">
        <v>0</v>
      </c>
      <c r="N78" s="11">
        <v>0</v>
      </c>
      <c r="O78" s="11">
        <v>0</v>
      </c>
      <c r="P78" s="11">
        <v>0</v>
      </c>
      <c r="Q78" s="12">
        <v>0</v>
      </c>
      <c r="R78" s="12">
        <v>0</v>
      </c>
      <c r="S78" s="12">
        <v>0</v>
      </c>
      <c r="T78" s="12">
        <v>0</v>
      </c>
      <c r="U78" s="12">
        <v>0</v>
      </c>
    </row>
    <row r="79" spans="1:21" x14ac:dyDescent="0.3">
      <c r="A79" s="13" t="s">
        <v>272</v>
      </c>
      <c r="B79" s="14" t="s">
        <v>273</v>
      </c>
      <c r="C79" s="14"/>
      <c r="D79" s="14" t="s">
        <v>274</v>
      </c>
      <c r="E79" s="14">
        <f xml:space="preserve"> IF($U$78,1,0)</f>
        <v>0</v>
      </c>
      <c r="F79" s="14" t="s">
        <v>275</v>
      </c>
      <c r="G79" s="14">
        <v>0</v>
      </c>
      <c r="H79" s="14">
        <v>0</v>
      </c>
      <c r="I79" s="14">
        <v>0</v>
      </c>
      <c r="J79" s="14">
        <v>0</v>
      </c>
      <c r="K79" s="14">
        <v>0</v>
      </c>
      <c r="L79" s="14">
        <v>0</v>
      </c>
      <c r="M79" s="14">
        <v>0</v>
      </c>
      <c r="N79" s="14">
        <v>0</v>
      </c>
      <c r="O79" s="14">
        <v>0</v>
      </c>
      <c r="P79" s="14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</row>
    <row r="80" spans="1:21" x14ac:dyDescent="0.3">
      <c r="A80" s="10" t="s">
        <v>276</v>
      </c>
      <c r="B80" s="11" t="s">
        <v>277</v>
      </c>
      <c r="C80" s="11" t="s">
        <v>278</v>
      </c>
      <c r="D80" s="11" t="s">
        <v>279</v>
      </c>
      <c r="E80" s="11">
        <f xml:space="preserve"> IF($U$79,1,0)</f>
        <v>0</v>
      </c>
      <c r="F80" s="11" t="s">
        <v>280</v>
      </c>
      <c r="G80" s="11">
        <v>0</v>
      </c>
      <c r="H80" s="11">
        <v>0</v>
      </c>
      <c r="I80" s="11">
        <v>0</v>
      </c>
      <c r="J80" s="11">
        <v>0</v>
      </c>
      <c r="K80" s="11">
        <v>0</v>
      </c>
      <c r="L80" s="11">
        <v>0</v>
      </c>
      <c r="M80" s="11">
        <v>0</v>
      </c>
      <c r="N80" s="11">
        <v>0</v>
      </c>
      <c r="O80" s="11">
        <v>0</v>
      </c>
      <c r="P80" s="11">
        <v>0</v>
      </c>
      <c r="Q80" s="12">
        <v>0</v>
      </c>
      <c r="R80" s="12">
        <v>0</v>
      </c>
      <c r="S80" s="12">
        <v>0</v>
      </c>
      <c r="T80" s="12">
        <v>0</v>
      </c>
      <c r="U80" s="12">
        <v>0</v>
      </c>
    </row>
    <row r="81" spans="1:21" x14ac:dyDescent="0.3">
      <c r="A81" s="13" t="s">
        <v>281</v>
      </c>
      <c r="B81" s="14" t="s">
        <v>282</v>
      </c>
      <c r="C81" s="14" t="s">
        <v>283</v>
      </c>
      <c r="D81" s="14" t="s">
        <v>284</v>
      </c>
      <c r="E81" s="14">
        <f xml:space="preserve"> IF($U$80,1,0)</f>
        <v>0</v>
      </c>
      <c r="F81" s="14" t="s">
        <v>285</v>
      </c>
      <c r="G81" s="14">
        <v>0</v>
      </c>
      <c r="H81" s="14">
        <v>0</v>
      </c>
      <c r="I81" s="14">
        <v>0</v>
      </c>
      <c r="J81" s="14">
        <v>0</v>
      </c>
      <c r="K81" s="14">
        <v>0</v>
      </c>
      <c r="L81" s="14">
        <v>0</v>
      </c>
      <c r="M81" s="14">
        <v>0</v>
      </c>
      <c r="N81" s="14">
        <v>0</v>
      </c>
      <c r="O81" s="14">
        <v>0</v>
      </c>
      <c r="P81" s="14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</row>
    <row r="82" spans="1:21" x14ac:dyDescent="0.3">
      <c r="A82" s="10" t="s">
        <v>286</v>
      </c>
      <c r="B82" s="11" t="s">
        <v>287</v>
      </c>
      <c r="C82" s="11" t="s">
        <v>278</v>
      </c>
      <c r="D82" s="11" t="s">
        <v>288</v>
      </c>
      <c r="E82" s="11">
        <f xml:space="preserve"> IF($U$81,1,0)</f>
        <v>0</v>
      </c>
      <c r="F82" s="11" t="s">
        <v>289</v>
      </c>
      <c r="G82" s="11">
        <v>0</v>
      </c>
      <c r="H82" s="11">
        <v>0</v>
      </c>
      <c r="I82" s="11">
        <v>0</v>
      </c>
      <c r="J82" s="11">
        <v>0</v>
      </c>
      <c r="K82" s="11">
        <v>0</v>
      </c>
      <c r="L82" s="11">
        <v>0</v>
      </c>
      <c r="M82" s="11">
        <v>0</v>
      </c>
      <c r="N82" s="11">
        <v>0</v>
      </c>
      <c r="O82" s="11">
        <v>0</v>
      </c>
      <c r="P82" s="11">
        <v>0</v>
      </c>
      <c r="Q82" s="12">
        <v>0</v>
      </c>
      <c r="R82" s="12">
        <v>0</v>
      </c>
      <c r="S82" s="12">
        <v>0</v>
      </c>
      <c r="T82" s="12">
        <v>0</v>
      </c>
      <c r="U82" s="12">
        <v>0</v>
      </c>
    </row>
    <row r="83" spans="1:21" x14ac:dyDescent="0.3">
      <c r="A83" s="13" t="s">
        <v>290</v>
      </c>
      <c r="B83" s="14" t="s">
        <v>291</v>
      </c>
      <c r="C83" s="14"/>
      <c r="D83" s="14" t="s">
        <v>292</v>
      </c>
      <c r="E83" s="14">
        <f xml:space="preserve"> IF($U$82,1,0)</f>
        <v>0</v>
      </c>
      <c r="F83" s="14" t="s">
        <v>293</v>
      </c>
      <c r="G83" s="14">
        <v>0</v>
      </c>
      <c r="H83" s="14">
        <v>0</v>
      </c>
      <c r="I83" s="14">
        <v>0</v>
      </c>
      <c r="J83" s="14">
        <v>0</v>
      </c>
      <c r="K83" s="14">
        <v>0</v>
      </c>
      <c r="L83" s="14">
        <v>0</v>
      </c>
      <c r="M83" s="14">
        <v>0</v>
      </c>
      <c r="N83" s="14">
        <v>0</v>
      </c>
      <c r="O83" s="14">
        <v>0</v>
      </c>
      <c r="P83" s="14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</row>
    <row r="84" spans="1:21" x14ac:dyDescent="0.3">
      <c r="A84" s="10" t="s">
        <v>294</v>
      </c>
      <c r="B84" s="11" t="s">
        <v>295</v>
      </c>
      <c r="C84" s="11"/>
      <c r="D84" s="11" t="s">
        <v>296</v>
      </c>
      <c r="E84" s="11">
        <f xml:space="preserve"> IF($U$83,1,0)</f>
        <v>0</v>
      </c>
      <c r="F84" s="11" t="s">
        <v>297</v>
      </c>
      <c r="G84" s="11">
        <v>0</v>
      </c>
      <c r="H84" s="11">
        <v>0</v>
      </c>
      <c r="I84" s="11">
        <v>0</v>
      </c>
      <c r="J84" s="11">
        <v>0</v>
      </c>
      <c r="K84" s="11">
        <v>0</v>
      </c>
      <c r="L84" s="11">
        <v>0</v>
      </c>
      <c r="M84" s="11">
        <v>0</v>
      </c>
      <c r="N84" s="11">
        <v>0</v>
      </c>
      <c r="O84" s="11">
        <v>0</v>
      </c>
      <c r="P84" s="11">
        <v>0</v>
      </c>
      <c r="Q84" s="12">
        <v>0</v>
      </c>
      <c r="R84" s="12">
        <v>0</v>
      </c>
      <c r="S84" s="12">
        <v>0</v>
      </c>
      <c r="T84" s="12">
        <v>0</v>
      </c>
      <c r="U84" s="12">
        <v>0</v>
      </c>
    </row>
    <row r="85" spans="1:21" x14ac:dyDescent="0.3">
      <c r="A85" s="13" t="s">
        <v>298</v>
      </c>
      <c r="B85" s="14" t="s">
        <v>295</v>
      </c>
      <c r="C85" s="14"/>
      <c r="D85" s="14" t="s">
        <v>299</v>
      </c>
      <c r="E85" s="14">
        <f xml:space="preserve"> IF($U$84,1,0)</f>
        <v>0</v>
      </c>
      <c r="F85" s="14" t="s">
        <v>300</v>
      </c>
      <c r="G85" s="14">
        <v>0</v>
      </c>
      <c r="H85" s="14">
        <v>0</v>
      </c>
      <c r="I85" s="14">
        <v>0</v>
      </c>
      <c r="J85" s="14">
        <v>0</v>
      </c>
      <c r="K85" s="14">
        <v>0</v>
      </c>
      <c r="L85" s="14">
        <v>0</v>
      </c>
      <c r="M85" s="14">
        <v>0</v>
      </c>
      <c r="N85" s="14">
        <v>0</v>
      </c>
      <c r="O85" s="14">
        <v>0</v>
      </c>
      <c r="P85" s="14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</row>
    <row r="86" spans="1:21" x14ac:dyDescent="0.3">
      <c r="A86" s="10" t="s">
        <v>301</v>
      </c>
      <c r="B86" s="11" t="s">
        <v>302</v>
      </c>
      <c r="C86" s="11"/>
      <c r="D86" s="11" t="s">
        <v>303</v>
      </c>
      <c r="E86" s="11">
        <f xml:space="preserve"> IF($U$85,1,0)</f>
        <v>0</v>
      </c>
      <c r="F86" s="11" t="s">
        <v>304</v>
      </c>
      <c r="G86" s="11">
        <v>0</v>
      </c>
      <c r="H86" s="11">
        <v>0</v>
      </c>
      <c r="I86" s="11">
        <v>0</v>
      </c>
      <c r="J86" s="11">
        <v>0</v>
      </c>
      <c r="K86" s="11">
        <v>0</v>
      </c>
      <c r="L86" s="11">
        <v>0</v>
      </c>
      <c r="M86" s="11">
        <v>0</v>
      </c>
      <c r="N86" s="11">
        <v>0</v>
      </c>
      <c r="O86" s="11">
        <v>0</v>
      </c>
      <c r="P86" s="11">
        <v>0</v>
      </c>
      <c r="Q86" s="12">
        <v>0</v>
      </c>
      <c r="R86" s="12">
        <v>0</v>
      </c>
      <c r="S86" s="12">
        <v>0</v>
      </c>
      <c r="T86" s="12">
        <v>0</v>
      </c>
      <c r="U86" s="12">
        <v>0</v>
      </c>
    </row>
    <row r="87" spans="1:21" x14ac:dyDescent="0.3">
      <c r="A87" s="13" t="s">
        <v>305</v>
      </c>
      <c r="B87" s="14" t="s">
        <v>306</v>
      </c>
      <c r="C87" s="14"/>
      <c r="D87" s="14" t="s">
        <v>307</v>
      </c>
      <c r="E87" s="14">
        <f xml:space="preserve"> IF($U$86,1,0)</f>
        <v>0</v>
      </c>
      <c r="F87" s="14" t="s">
        <v>308</v>
      </c>
      <c r="G87" s="14">
        <v>0</v>
      </c>
      <c r="H87" s="14">
        <v>0</v>
      </c>
      <c r="I87" s="14">
        <v>0</v>
      </c>
      <c r="J87" s="14">
        <v>0</v>
      </c>
      <c r="K87" s="14">
        <v>0</v>
      </c>
      <c r="L87" s="14">
        <v>0</v>
      </c>
      <c r="M87" s="14">
        <v>0</v>
      </c>
      <c r="N87" s="14">
        <v>0</v>
      </c>
      <c r="O87" s="14">
        <v>0</v>
      </c>
      <c r="P87" s="14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</row>
    <row r="88" spans="1:21" x14ac:dyDescent="0.3">
      <c r="A88" s="10" t="s">
        <v>309</v>
      </c>
      <c r="B88" s="11" t="s">
        <v>310</v>
      </c>
      <c r="C88" s="11"/>
      <c r="D88" s="11" t="s">
        <v>311</v>
      </c>
      <c r="E88" s="11">
        <f xml:space="preserve"> IF($U$87,1,0)</f>
        <v>0</v>
      </c>
      <c r="F88" s="11" t="s">
        <v>312</v>
      </c>
      <c r="G88" s="11">
        <v>0</v>
      </c>
      <c r="H88" s="11">
        <v>0</v>
      </c>
      <c r="I88" s="11">
        <v>0</v>
      </c>
      <c r="J88" s="11">
        <v>0</v>
      </c>
      <c r="K88" s="11">
        <v>0</v>
      </c>
      <c r="L88" s="11">
        <v>0</v>
      </c>
      <c r="M88" s="11">
        <v>0</v>
      </c>
      <c r="N88" s="11">
        <v>0</v>
      </c>
      <c r="O88" s="11">
        <v>0</v>
      </c>
      <c r="P88" s="11">
        <v>0</v>
      </c>
      <c r="Q88" s="12">
        <v>0</v>
      </c>
      <c r="R88" s="12">
        <v>0</v>
      </c>
      <c r="S88" s="12">
        <v>0</v>
      </c>
      <c r="T88" s="12">
        <v>0</v>
      </c>
      <c r="U88" s="12">
        <v>0</v>
      </c>
    </row>
    <row r="89" spans="1:21" x14ac:dyDescent="0.3">
      <c r="A89" s="13" t="s">
        <v>313</v>
      </c>
      <c r="B89" s="14" t="s">
        <v>314</v>
      </c>
      <c r="C89" s="14"/>
      <c r="D89" s="14" t="s">
        <v>315</v>
      </c>
      <c r="E89" s="14">
        <f xml:space="preserve"> IF($U$88,1,0)</f>
        <v>0</v>
      </c>
      <c r="F89" s="14" t="s">
        <v>316</v>
      </c>
      <c r="G89" s="14">
        <v>0</v>
      </c>
      <c r="H89" s="14">
        <v>0</v>
      </c>
      <c r="I89" s="14">
        <v>0</v>
      </c>
      <c r="J89" s="14">
        <v>0</v>
      </c>
      <c r="K89" s="14">
        <v>0</v>
      </c>
      <c r="L89" s="14">
        <v>0</v>
      </c>
      <c r="M89" s="14">
        <v>0</v>
      </c>
      <c r="N89" s="14">
        <v>0</v>
      </c>
      <c r="O89" s="14">
        <v>0</v>
      </c>
      <c r="P89" s="14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</row>
    <row r="90" spans="1:21" x14ac:dyDescent="0.3">
      <c r="A90" s="10" t="s">
        <v>317</v>
      </c>
      <c r="B90" s="11" t="s">
        <v>318</v>
      </c>
      <c r="C90" s="11"/>
      <c r="D90" s="11" t="s">
        <v>319</v>
      </c>
      <c r="E90" s="11">
        <f xml:space="preserve"> IF($U$89,1,0)</f>
        <v>0</v>
      </c>
      <c r="F90" s="11" t="s">
        <v>320</v>
      </c>
      <c r="G90" s="11">
        <v>0</v>
      </c>
      <c r="H90" s="11">
        <v>0</v>
      </c>
      <c r="I90" s="11">
        <v>0</v>
      </c>
      <c r="J90" s="11">
        <v>0</v>
      </c>
      <c r="K90" s="11">
        <v>0</v>
      </c>
      <c r="L90" s="11">
        <v>0</v>
      </c>
      <c r="M90" s="11">
        <v>0</v>
      </c>
      <c r="N90" s="11">
        <v>0</v>
      </c>
      <c r="O90" s="11">
        <v>0</v>
      </c>
      <c r="P90" s="11">
        <v>0</v>
      </c>
      <c r="Q90" s="12">
        <v>0</v>
      </c>
      <c r="R90" s="12">
        <v>0</v>
      </c>
      <c r="S90" s="12">
        <v>0</v>
      </c>
      <c r="T90" s="12">
        <v>0</v>
      </c>
      <c r="U90" s="12">
        <v>0</v>
      </c>
    </row>
    <row r="91" spans="1:21" x14ac:dyDescent="0.3">
      <c r="A91" s="13" t="s">
        <v>321</v>
      </c>
      <c r="B91" s="14" t="s">
        <v>322</v>
      </c>
      <c r="C91" s="14"/>
      <c r="D91" s="14" t="s">
        <v>323</v>
      </c>
      <c r="E91" s="14">
        <f xml:space="preserve"> IF($U$90,1,0)</f>
        <v>0</v>
      </c>
      <c r="F91" s="14" t="s">
        <v>324</v>
      </c>
      <c r="G91" s="14">
        <v>0</v>
      </c>
      <c r="H91" s="14">
        <v>0</v>
      </c>
      <c r="I91" s="14">
        <v>0</v>
      </c>
      <c r="J91" s="14">
        <v>0</v>
      </c>
      <c r="K91" s="14">
        <v>0</v>
      </c>
      <c r="L91" s="14">
        <v>0</v>
      </c>
      <c r="M91" s="14">
        <v>0</v>
      </c>
      <c r="N91" s="14">
        <v>0</v>
      </c>
      <c r="O91" s="14">
        <v>0</v>
      </c>
      <c r="P91" s="14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</row>
    <row r="92" spans="1:21" x14ac:dyDescent="0.3">
      <c r="A92" s="10" t="s">
        <v>325</v>
      </c>
      <c r="B92" s="11" t="s">
        <v>326</v>
      </c>
      <c r="C92" s="11" t="s">
        <v>243</v>
      </c>
      <c r="D92" s="11" t="s">
        <v>327</v>
      </c>
      <c r="E92" s="11">
        <f xml:space="preserve"> IF($U$91,1,0)</f>
        <v>0</v>
      </c>
      <c r="F92" s="11" t="s">
        <v>328</v>
      </c>
      <c r="G92" s="11">
        <v>0</v>
      </c>
      <c r="H92" s="11">
        <v>0</v>
      </c>
      <c r="I92" s="11">
        <v>0</v>
      </c>
      <c r="J92" s="11">
        <v>0</v>
      </c>
      <c r="K92" s="11">
        <v>0</v>
      </c>
      <c r="L92" s="11">
        <v>0</v>
      </c>
      <c r="M92" s="11">
        <v>0</v>
      </c>
      <c r="N92" s="11">
        <v>0</v>
      </c>
      <c r="O92" s="11">
        <v>0</v>
      </c>
      <c r="P92" s="11">
        <v>0</v>
      </c>
      <c r="Q92" s="12">
        <v>0</v>
      </c>
      <c r="R92" s="12">
        <v>0</v>
      </c>
      <c r="S92" s="12">
        <v>0</v>
      </c>
      <c r="T92" s="12">
        <v>0</v>
      </c>
      <c r="U92" s="12">
        <v>0</v>
      </c>
    </row>
    <row r="93" spans="1:21" x14ac:dyDescent="0.3">
      <c r="A93" s="13" t="s">
        <v>329</v>
      </c>
      <c r="B93" s="14" t="s">
        <v>330</v>
      </c>
      <c r="C93" s="14"/>
      <c r="D93" s="14" t="s">
        <v>331</v>
      </c>
      <c r="E93" s="14">
        <f xml:space="preserve"> IF($U$92,1,0)</f>
        <v>0</v>
      </c>
      <c r="F93" s="14" t="s">
        <v>332</v>
      </c>
      <c r="G93" s="14">
        <v>0</v>
      </c>
      <c r="H93" s="14">
        <v>0</v>
      </c>
      <c r="I93" s="14">
        <v>0</v>
      </c>
      <c r="J93" s="14">
        <v>0</v>
      </c>
      <c r="K93" s="14">
        <v>0</v>
      </c>
      <c r="L93" s="14">
        <v>0</v>
      </c>
      <c r="M93" s="14">
        <v>0</v>
      </c>
      <c r="N93" s="14">
        <v>0</v>
      </c>
      <c r="O93" s="14">
        <v>0</v>
      </c>
      <c r="P93" s="14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</row>
    <row r="94" spans="1:21" x14ac:dyDescent="0.3">
      <c r="A94" s="10" t="s">
        <v>333</v>
      </c>
      <c r="B94" s="11" t="s">
        <v>334</v>
      </c>
      <c r="C94" s="11"/>
      <c r="D94" s="11" t="s">
        <v>335</v>
      </c>
      <c r="E94" s="11">
        <f xml:space="preserve"> IF($U$93,1,0)</f>
        <v>0</v>
      </c>
      <c r="F94" s="11" t="s">
        <v>336</v>
      </c>
      <c r="G94" s="11">
        <v>0</v>
      </c>
      <c r="H94" s="11">
        <v>0</v>
      </c>
      <c r="I94" s="11">
        <v>0</v>
      </c>
      <c r="J94" s="11">
        <v>0</v>
      </c>
      <c r="K94" s="11">
        <v>0</v>
      </c>
      <c r="L94" s="11">
        <v>0</v>
      </c>
      <c r="M94" s="11">
        <v>0</v>
      </c>
      <c r="N94" s="11">
        <v>0</v>
      </c>
      <c r="O94" s="11">
        <v>0</v>
      </c>
      <c r="P94" s="11">
        <v>0</v>
      </c>
      <c r="Q94" s="12">
        <v>0</v>
      </c>
      <c r="R94" s="12">
        <v>0</v>
      </c>
      <c r="S94" s="12">
        <v>0</v>
      </c>
      <c r="T94" s="12">
        <v>0</v>
      </c>
      <c r="U94" s="12">
        <v>0</v>
      </c>
    </row>
    <row r="95" spans="1:21" x14ac:dyDescent="0.3">
      <c r="A95" s="13" t="s">
        <v>337</v>
      </c>
      <c r="B95" s="14" t="s">
        <v>334</v>
      </c>
      <c r="C95" s="14"/>
      <c r="D95" s="14" t="s">
        <v>338</v>
      </c>
      <c r="E95" s="14">
        <f xml:space="preserve"> IF($U$94,1,0)</f>
        <v>0</v>
      </c>
      <c r="F95" s="14" t="s">
        <v>339</v>
      </c>
      <c r="G95" s="14">
        <v>0</v>
      </c>
      <c r="H95" s="14">
        <v>0</v>
      </c>
      <c r="I95" s="14">
        <v>0</v>
      </c>
      <c r="J95" s="14">
        <v>0</v>
      </c>
      <c r="K95" s="14">
        <v>0</v>
      </c>
      <c r="L95" s="14">
        <v>0</v>
      </c>
      <c r="M95" s="14">
        <v>0</v>
      </c>
      <c r="N95" s="14">
        <v>0</v>
      </c>
      <c r="O95" s="14">
        <v>0</v>
      </c>
      <c r="P95" s="14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</row>
    <row r="96" spans="1:21" x14ac:dyDescent="0.3">
      <c r="A96" s="10" t="s">
        <v>340</v>
      </c>
      <c r="B96" s="11" t="s">
        <v>341</v>
      </c>
      <c r="C96" s="11" t="s">
        <v>342</v>
      </c>
      <c r="D96" s="11" t="s">
        <v>343</v>
      </c>
      <c r="E96" s="11">
        <f xml:space="preserve"> IF($U$95,1,0)</f>
        <v>0</v>
      </c>
      <c r="F96" s="11" t="s">
        <v>344</v>
      </c>
      <c r="G96" s="11">
        <v>0</v>
      </c>
      <c r="H96" s="11">
        <v>0</v>
      </c>
      <c r="I96" s="11">
        <v>0</v>
      </c>
      <c r="J96" s="11">
        <v>0</v>
      </c>
      <c r="K96" s="11">
        <v>0</v>
      </c>
      <c r="L96" s="11">
        <v>0</v>
      </c>
      <c r="M96" s="11">
        <v>0</v>
      </c>
      <c r="N96" s="11">
        <v>0</v>
      </c>
      <c r="O96" s="11">
        <v>0</v>
      </c>
      <c r="P96" s="11">
        <v>0</v>
      </c>
      <c r="Q96" s="12">
        <v>0</v>
      </c>
      <c r="R96" s="12">
        <v>0</v>
      </c>
      <c r="S96" s="12">
        <v>0</v>
      </c>
      <c r="T96" s="12">
        <v>0</v>
      </c>
      <c r="U96" s="12">
        <v>0</v>
      </c>
    </row>
    <row r="97" spans="1:21" x14ac:dyDescent="0.3">
      <c r="A97" s="13" t="s">
        <v>345</v>
      </c>
      <c r="B97" s="14" t="s">
        <v>346</v>
      </c>
      <c r="C97" s="14"/>
      <c r="D97" s="14" t="s">
        <v>347</v>
      </c>
      <c r="E97" s="14">
        <f xml:space="preserve"> IF($U$96,1,0)</f>
        <v>0</v>
      </c>
      <c r="F97" s="14" t="s">
        <v>348</v>
      </c>
      <c r="G97" s="14">
        <v>0</v>
      </c>
      <c r="H97" s="14">
        <v>0</v>
      </c>
      <c r="I97" s="14">
        <v>0</v>
      </c>
      <c r="J97" s="14">
        <v>0</v>
      </c>
      <c r="K97" s="14">
        <v>0</v>
      </c>
      <c r="L97" s="14">
        <v>0</v>
      </c>
      <c r="M97" s="14">
        <v>0</v>
      </c>
      <c r="N97" s="14">
        <v>0</v>
      </c>
      <c r="O97" s="14">
        <v>0</v>
      </c>
      <c r="P97" s="14">
        <v>0</v>
      </c>
      <c r="Q97" s="15">
        <v>0</v>
      </c>
      <c r="R97" s="15">
        <v>0</v>
      </c>
      <c r="S97" s="15">
        <v>0</v>
      </c>
      <c r="T97" s="15">
        <v>0</v>
      </c>
      <c r="U97" s="15">
        <v>0</v>
      </c>
    </row>
    <row r="98" spans="1:21" x14ac:dyDescent="0.3">
      <c r="A98" s="10" t="s">
        <v>349</v>
      </c>
      <c r="B98" s="11" t="s">
        <v>350</v>
      </c>
      <c r="C98" s="11"/>
      <c r="D98" s="11" t="s">
        <v>351</v>
      </c>
      <c r="E98" s="11">
        <f xml:space="preserve"> IF($U$97,1,0)</f>
        <v>0</v>
      </c>
      <c r="F98" s="11" t="s">
        <v>352</v>
      </c>
      <c r="G98" s="11">
        <v>0</v>
      </c>
      <c r="H98" s="11">
        <v>0</v>
      </c>
      <c r="I98" s="11">
        <v>0</v>
      </c>
      <c r="J98" s="11">
        <v>0</v>
      </c>
      <c r="K98" s="11">
        <v>0</v>
      </c>
      <c r="L98" s="11">
        <v>0</v>
      </c>
      <c r="M98" s="11">
        <v>0</v>
      </c>
      <c r="N98" s="11">
        <v>0</v>
      </c>
      <c r="O98" s="11">
        <v>0</v>
      </c>
      <c r="P98" s="11">
        <v>0</v>
      </c>
      <c r="Q98" s="12">
        <v>0</v>
      </c>
      <c r="R98" s="12">
        <v>0</v>
      </c>
      <c r="S98" s="12">
        <v>0</v>
      </c>
      <c r="T98" s="12">
        <v>0</v>
      </c>
      <c r="U98" s="12">
        <v>0</v>
      </c>
    </row>
    <row r="99" spans="1:21" x14ac:dyDescent="0.3">
      <c r="A99" s="13" t="s">
        <v>353</v>
      </c>
      <c r="B99" s="14" t="s">
        <v>354</v>
      </c>
      <c r="C99" s="14"/>
      <c r="D99" s="14" t="s">
        <v>355</v>
      </c>
      <c r="E99" s="14">
        <f xml:space="preserve"> IF($U$98,1,0)</f>
        <v>0</v>
      </c>
      <c r="F99" s="14" t="s">
        <v>356</v>
      </c>
      <c r="G99" s="14">
        <v>0</v>
      </c>
      <c r="H99" s="14">
        <v>0</v>
      </c>
      <c r="I99" s="14">
        <v>0</v>
      </c>
      <c r="J99" s="14">
        <v>0</v>
      </c>
      <c r="K99" s="14">
        <v>0</v>
      </c>
      <c r="L99" s="14">
        <v>0</v>
      </c>
      <c r="M99" s="14">
        <v>0</v>
      </c>
      <c r="N99" s="14">
        <v>0</v>
      </c>
      <c r="O99" s="14">
        <v>0</v>
      </c>
      <c r="P99" s="14">
        <v>0</v>
      </c>
      <c r="Q99" s="15">
        <v>0</v>
      </c>
      <c r="R99" s="15">
        <v>0</v>
      </c>
      <c r="S99" s="15">
        <v>0</v>
      </c>
      <c r="T99" s="15">
        <v>0</v>
      </c>
      <c r="U99" s="15">
        <v>0</v>
      </c>
    </row>
    <row r="100" spans="1:21" x14ac:dyDescent="0.3">
      <c r="A100" s="10" t="s">
        <v>357</v>
      </c>
      <c r="B100" s="11" t="s">
        <v>358</v>
      </c>
      <c r="C100" s="11" t="s">
        <v>34</v>
      </c>
      <c r="D100" s="11" t="s">
        <v>359</v>
      </c>
      <c r="E100" s="11">
        <f xml:space="preserve"> IF($U$99,1,0)</f>
        <v>0</v>
      </c>
      <c r="F100" s="11" t="s">
        <v>360</v>
      </c>
      <c r="G100" s="11">
        <v>0</v>
      </c>
      <c r="H100" s="11">
        <v>0</v>
      </c>
      <c r="I100" s="11">
        <v>0</v>
      </c>
      <c r="J100" s="11">
        <v>0</v>
      </c>
      <c r="K100" s="11">
        <v>0</v>
      </c>
      <c r="L100" s="11">
        <v>0</v>
      </c>
      <c r="M100" s="11">
        <v>0</v>
      </c>
      <c r="N100" s="11">
        <v>0</v>
      </c>
      <c r="O100" s="11">
        <v>0</v>
      </c>
      <c r="P100" s="11">
        <v>0</v>
      </c>
      <c r="Q100" s="12">
        <v>0</v>
      </c>
      <c r="R100" s="12">
        <v>0</v>
      </c>
      <c r="S100" s="12">
        <v>0</v>
      </c>
      <c r="T100" s="12">
        <v>0</v>
      </c>
      <c r="U100" s="12">
        <v>0</v>
      </c>
    </row>
    <row r="101" spans="1:21" x14ac:dyDescent="0.3">
      <c r="A101" s="13" t="s">
        <v>361</v>
      </c>
      <c r="B101" s="14" t="s">
        <v>358</v>
      </c>
      <c r="C101" s="14" t="s">
        <v>34</v>
      </c>
      <c r="D101" s="14" t="s">
        <v>362</v>
      </c>
      <c r="E101" s="14">
        <f xml:space="preserve"> IF($U$100,1,0)</f>
        <v>0</v>
      </c>
      <c r="F101" s="14" t="s">
        <v>363</v>
      </c>
      <c r="G101" s="14">
        <v>0</v>
      </c>
      <c r="H101" s="14">
        <v>0</v>
      </c>
      <c r="I101" s="14">
        <v>0</v>
      </c>
      <c r="J101" s="14">
        <v>0</v>
      </c>
      <c r="K101" s="14">
        <v>0</v>
      </c>
      <c r="L101" s="14">
        <v>0</v>
      </c>
      <c r="M101" s="14">
        <v>0</v>
      </c>
      <c r="N101" s="14">
        <v>0</v>
      </c>
      <c r="O101" s="14">
        <v>0</v>
      </c>
      <c r="P101" s="14">
        <v>0</v>
      </c>
      <c r="Q101" s="15">
        <v>0</v>
      </c>
      <c r="R101" s="15">
        <v>0</v>
      </c>
      <c r="S101" s="15">
        <v>0</v>
      </c>
      <c r="T101" s="15">
        <v>0</v>
      </c>
      <c r="U101" s="15">
        <v>0</v>
      </c>
    </row>
    <row r="102" spans="1:21" x14ac:dyDescent="0.3">
      <c r="A102" s="10" t="s">
        <v>364</v>
      </c>
      <c r="B102" s="11" t="s">
        <v>358</v>
      </c>
      <c r="C102" s="11"/>
      <c r="D102" s="11" t="s">
        <v>365</v>
      </c>
      <c r="E102" s="11">
        <f xml:space="preserve"> IF($U$101,1,0)</f>
        <v>0</v>
      </c>
      <c r="F102" s="11" t="s">
        <v>366</v>
      </c>
      <c r="G102" s="11">
        <v>0</v>
      </c>
      <c r="H102" s="11">
        <v>0</v>
      </c>
      <c r="I102" s="11">
        <v>0</v>
      </c>
      <c r="J102" s="11">
        <v>0</v>
      </c>
      <c r="K102" s="11">
        <v>0</v>
      </c>
      <c r="L102" s="11">
        <v>0</v>
      </c>
      <c r="M102" s="11">
        <v>0</v>
      </c>
      <c r="N102" s="11">
        <v>0</v>
      </c>
      <c r="O102" s="11">
        <v>0</v>
      </c>
      <c r="P102" s="11">
        <v>0</v>
      </c>
      <c r="Q102" s="12">
        <v>0</v>
      </c>
      <c r="R102" s="12">
        <v>0</v>
      </c>
      <c r="S102" s="12">
        <v>0</v>
      </c>
      <c r="T102" s="12">
        <v>0</v>
      </c>
      <c r="U102" s="12">
        <v>0</v>
      </c>
    </row>
    <row r="103" spans="1:21" x14ac:dyDescent="0.3">
      <c r="A103" s="13" t="s">
        <v>1287</v>
      </c>
      <c r="B103" s="14" t="s">
        <v>1288</v>
      </c>
      <c r="C103" s="14"/>
      <c r="D103" s="14" t="s">
        <v>1285</v>
      </c>
      <c r="E103" s="14">
        <f xml:space="preserve"> IF($U$102,1,0)</f>
        <v>0</v>
      </c>
      <c r="F103" s="14" t="s">
        <v>1289</v>
      </c>
      <c r="G103" s="14">
        <v>0</v>
      </c>
      <c r="H103" s="14">
        <v>0</v>
      </c>
      <c r="I103" s="14">
        <v>0</v>
      </c>
      <c r="J103" s="14">
        <v>0</v>
      </c>
      <c r="K103" s="14">
        <v>0</v>
      </c>
      <c r="L103" s="14">
        <v>0</v>
      </c>
      <c r="M103" s="14">
        <v>0</v>
      </c>
      <c r="N103" s="14">
        <v>0</v>
      </c>
      <c r="O103" s="14">
        <v>0</v>
      </c>
      <c r="P103" s="14">
        <v>0</v>
      </c>
      <c r="Q103" s="15">
        <v>0</v>
      </c>
      <c r="R103" s="15">
        <v>0</v>
      </c>
      <c r="S103" s="15">
        <v>0</v>
      </c>
      <c r="T103" s="15">
        <v>0</v>
      </c>
      <c r="U103" s="15">
        <v>0</v>
      </c>
    </row>
    <row r="104" spans="1:21" x14ac:dyDescent="0.3">
      <c r="A104" s="10" t="s">
        <v>367</v>
      </c>
      <c r="B104" s="11" t="s">
        <v>368</v>
      </c>
      <c r="C104" s="11" t="s">
        <v>34</v>
      </c>
      <c r="D104" s="11" t="s">
        <v>118</v>
      </c>
      <c r="E104" s="11">
        <f xml:space="preserve"> IF($U$103,1,0)</f>
        <v>0</v>
      </c>
      <c r="F104" s="11" t="s">
        <v>369</v>
      </c>
      <c r="G104" s="11">
        <v>0</v>
      </c>
      <c r="H104" s="11">
        <v>0</v>
      </c>
      <c r="I104" s="11">
        <v>0</v>
      </c>
      <c r="J104" s="11">
        <v>0</v>
      </c>
      <c r="K104" s="11">
        <v>0</v>
      </c>
      <c r="L104" s="11">
        <v>0</v>
      </c>
      <c r="M104" s="11">
        <v>0</v>
      </c>
      <c r="N104" s="11">
        <v>0</v>
      </c>
      <c r="O104" s="11">
        <v>0</v>
      </c>
      <c r="P104" s="11">
        <v>0</v>
      </c>
      <c r="Q104" s="12">
        <v>0</v>
      </c>
      <c r="R104" s="12">
        <v>0</v>
      </c>
      <c r="S104" s="12">
        <v>0</v>
      </c>
      <c r="T104" s="12">
        <v>0</v>
      </c>
      <c r="U104" s="12">
        <v>0</v>
      </c>
    </row>
    <row r="105" spans="1:21" x14ac:dyDescent="0.3">
      <c r="A105" s="13" t="s">
        <v>370</v>
      </c>
      <c r="B105" s="14" t="s">
        <v>371</v>
      </c>
      <c r="C105" s="14"/>
      <c r="D105" s="14" t="s">
        <v>372</v>
      </c>
      <c r="E105" s="14">
        <f xml:space="preserve"> IF($U$104,1,0)</f>
        <v>0</v>
      </c>
      <c r="F105" s="14" t="s">
        <v>373</v>
      </c>
      <c r="G105" s="14">
        <v>0</v>
      </c>
      <c r="H105" s="14">
        <v>0</v>
      </c>
      <c r="I105" s="14">
        <v>0</v>
      </c>
      <c r="J105" s="14">
        <v>0</v>
      </c>
      <c r="K105" s="14">
        <v>0</v>
      </c>
      <c r="L105" s="14">
        <v>0</v>
      </c>
      <c r="M105" s="14">
        <v>0</v>
      </c>
      <c r="N105" s="14">
        <v>0</v>
      </c>
      <c r="O105" s="14">
        <v>0</v>
      </c>
      <c r="P105" s="14">
        <v>0</v>
      </c>
      <c r="Q105" s="15">
        <v>0</v>
      </c>
      <c r="R105" s="15">
        <v>0</v>
      </c>
      <c r="S105" s="15">
        <v>0</v>
      </c>
      <c r="T105" s="15">
        <v>0</v>
      </c>
      <c r="U105" s="15">
        <v>0</v>
      </c>
    </row>
    <row r="106" spans="1:21" x14ac:dyDescent="0.3">
      <c r="A106" s="10" t="s">
        <v>374</v>
      </c>
      <c r="B106" s="11" t="s">
        <v>375</v>
      </c>
      <c r="C106" s="11"/>
      <c r="D106" s="11" t="s">
        <v>376</v>
      </c>
      <c r="E106" s="11">
        <f xml:space="preserve"> IF($U$105,1,0)</f>
        <v>0</v>
      </c>
      <c r="F106" s="11" t="s">
        <v>377</v>
      </c>
      <c r="G106" s="11">
        <v>0</v>
      </c>
      <c r="H106" s="11">
        <v>0</v>
      </c>
      <c r="I106" s="11">
        <v>0</v>
      </c>
      <c r="J106" s="11">
        <v>0</v>
      </c>
      <c r="K106" s="11">
        <v>0</v>
      </c>
      <c r="L106" s="11">
        <v>0</v>
      </c>
      <c r="M106" s="11">
        <v>0</v>
      </c>
      <c r="N106" s="11">
        <v>0</v>
      </c>
      <c r="O106" s="11">
        <v>0</v>
      </c>
      <c r="P106" s="11">
        <v>0</v>
      </c>
      <c r="Q106" s="12">
        <v>0</v>
      </c>
      <c r="R106" s="12">
        <v>0</v>
      </c>
      <c r="S106" s="12">
        <v>0</v>
      </c>
      <c r="T106" s="12">
        <v>0</v>
      </c>
      <c r="U106" s="12">
        <v>0</v>
      </c>
    </row>
    <row r="107" spans="1:21" x14ac:dyDescent="0.3">
      <c r="A107" s="13" t="s">
        <v>378</v>
      </c>
      <c r="B107" s="14" t="s">
        <v>379</v>
      </c>
      <c r="C107" s="14"/>
      <c r="D107" s="14" t="s">
        <v>380</v>
      </c>
      <c r="E107" s="14">
        <f xml:space="preserve"> IF($U$106,1,0)</f>
        <v>0</v>
      </c>
      <c r="F107" s="14" t="s">
        <v>381</v>
      </c>
      <c r="G107" s="14">
        <v>0</v>
      </c>
      <c r="H107" s="14">
        <v>0</v>
      </c>
      <c r="I107" s="14">
        <v>0</v>
      </c>
      <c r="J107" s="14">
        <v>0</v>
      </c>
      <c r="K107" s="14">
        <v>0</v>
      </c>
      <c r="L107" s="14">
        <v>0</v>
      </c>
      <c r="M107" s="14">
        <v>0</v>
      </c>
      <c r="N107" s="14">
        <v>0</v>
      </c>
      <c r="O107" s="14">
        <v>0</v>
      </c>
      <c r="P107" s="14">
        <v>0</v>
      </c>
      <c r="Q107" s="15">
        <v>0</v>
      </c>
      <c r="R107" s="15">
        <v>0</v>
      </c>
      <c r="S107" s="15">
        <v>0</v>
      </c>
      <c r="T107" s="15">
        <v>0</v>
      </c>
      <c r="U107" s="15">
        <v>0</v>
      </c>
    </row>
    <row r="108" spans="1:21" x14ac:dyDescent="0.3">
      <c r="A108" s="10" t="s">
        <v>382</v>
      </c>
      <c r="B108" s="11" t="s">
        <v>383</v>
      </c>
      <c r="C108" s="11"/>
      <c r="D108" s="11" t="s">
        <v>384</v>
      </c>
      <c r="E108" s="11">
        <f xml:space="preserve"> IF($U$107,1,0)</f>
        <v>0</v>
      </c>
      <c r="F108" s="11" t="s">
        <v>385</v>
      </c>
      <c r="G108" s="11">
        <v>0</v>
      </c>
      <c r="H108" s="11">
        <v>0</v>
      </c>
      <c r="I108" s="11">
        <v>0</v>
      </c>
      <c r="J108" s="11">
        <v>0</v>
      </c>
      <c r="K108" s="11">
        <v>0</v>
      </c>
      <c r="L108" s="11">
        <v>0</v>
      </c>
      <c r="M108" s="11">
        <v>0</v>
      </c>
      <c r="N108" s="11">
        <v>0</v>
      </c>
      <c r="O108" s="11">
        <v>0</v>
      </c>
      <c r="P108" s="11">
        <v>0</v>
      </c>
      <c r="Q108" s="12">
        <v>0</v>
      </c>
      <c r="R108" s="12">
        <v>0</v>
      </c>
      <c r="S108" s="12">
        <v>0</v>
      </c>
      <c r="T108" s="12">
        <v>0</v>
      </c>
      <c r="U108" s="12">
        <v>0</v>
      </c>
    </row>
    <row r="109" spans="1:21" x14ac:dyDescent="0.3">
      <c r="A109" s="13" t="s">
        <v>386</v>
      </c>
      <c r="B109" s="14" t="s">
        <v>387</v>
      </c>
      <c r="C109" s="14" t="s">
        <v>278</v>
      </c>
      <c r="D109" s="14" t="s">
        <v>388</v>
      </c>
      <c r="E109" s="14">
        <f xml:space="preserve"> IF($U$108,1,0)</f>
        <v>0</v>
      </c>
      <c r="F109" s="14" t="s">
        <v>389</v>
      </c>
      <c r="G109" s="14">
        <v>0</v>
      </c>
      <c r="H109" s="14">
        <v>0</v>
      </c>
      <c r="I109" s="14">
        <v>0</v>
      </c>
      <c r="J109" s="14">
        <v>0</v>
      </c>
      <c r="K109" s="14">
        <v>0</v>
      </c>
      <c r="L109" s="14">
        <v>0</v>
      </c>
      <c r="M109" s="14">
        <v>0</v>
      </c>
      <c r="N109" s="14">
        <v>0</v>
      </c>
      <c r="O109" s="14">
        <v>0</v>
      </c>
      <c r="P109" s="14">
        <v>0</v>
      </c>
      <c r="Q109" s="15">
        <v>0</v>
      </c>
      <c r="R109" s="15">
        <v>0</v>
      </c>
      <c r="S109" s="15">
        <v>0</v>
      </c>
      <c r="T109" s="15">
        <v>0</v>
      </c>
      <c r="U109" s="15">
        <v>0</v>
      </c>
    </row>
    <row r="110" spans="1:21" x14ac:dyDescent="0.3">
      <c r="A110" s="10" t="s">
        <v>390</v>
      </c>
      <c r="B110" s="11" t="s">
        <v>387</v>
      </c>
      <c r="C110" s="11" t="s">
        <v>34</v>
      </c>
      <c r="D110" s="11" t="s">
        <v>391</v>
      </c>
      <c r="E110" s="11">
        <f xml:space="preserve"> IF($U$109,1,0)</f>
        <v>0</v>
      </c>
      <c r="F110" s="11" t="s">
        <v>392</v>
      </c>
      <c r="G110" s="11">
        <v>0</v>
      </c>
      <c r="H110" s="11">
        <v>0</v>
      </c>
      <c r="I110" s="11">
        <v>0</v>
      </c>
      <c r="J110" s="11">
        <v>0</v>
      </c>
      <c r="K110" s="11">
        <v>0</v>
      </c>
      <c r="L110" s="11">
        <v>0</v>
      </c>
      <c r="M110" s="11">
        <v>0</v>
      </c>
      <c r="N110" s="11">
        <v>0</v>
      </c>
      <c r="O110" s="11">
        <v>0</v>
      </c>
      <c r="P110" s="11">
        <v>0</v>
      </c>
      <c r="Q110" s="12">
        <v>0</v>
      </c>
      <c r="R110" s="12">
        <v>0</v>
      </c>
      <c r="S110" s="12">
        <v>0</v>
      </c>
      <c r="T110" s="12">
        <v>0</v>
      </c>
      <c r="U110" s="12">
        <v>0</v>
      </c>
    </row>
    <row r="111" spans="1:21" x14ac:dyDescent="0.3">
      <c r="A111" s="13" t="s">
        <v>393</v>
      </c>
      <c r="B111" s="14" t="s">
        <v>394</v>
      </c>
      <c r="C111" s="14"/>
      <c r="D111" s="14" t="s">
        <v>395</v>
      </c>
      <c r="E111" s="14">
        <f xml:space="preserve"> IF($U$110,1,0)</f>
        <v>0</v>
      </c>
      <c r="F111" s="14" t="s">
        <v>396</v>
      </c>
      <c r="G111" s="14">
        <v>0</v>
      </c>
      <c r="H111" s="14">
        <v>0</v>
      </c>
      <c r="I111" s="14">
        <v>0</v>
      </c>
      <c r="J111" s="14">
        <v>0</v>
      </c>
      <c r="K111" s="14">
        <v>0</v>
      </c>
      <c r="L111" s="14">
        <v>0</v>
      </c>
      <c r="M111" s="14">
        <v>0</v>
      </c>
      <c r="N111" s="14">
        <v>0</v>
      </c>
      <c r="O111" s="14">
        <v>0</v>
      </c>
      <c r="P111" s="14">
        <v>0</v>
      </c>
      <c r="Q111" s="15">
        <v>0</v>
      </c>
      <c r="R111" s="15">
        <v>0</v>
      </c>
      <c r="S111" s="15">
        <v>0</v>
      </c>
      <c r="T111" s="15">
        <v>0</v>
      </c>
      <c r="U111" s="15">
        <v>0</v>
      </c>
    </row>
    <row r="112" spans="1:21" x14ac:dyDescent="0.3">
      <c r="A112" s="10" t="s">
        <v>397</v>
      </c>
      <c r="B112" s="11" t="s">
        <v>398</v>
      </c>
      <c r="C112" s="11" t="s">
        <v>243</v>
      </c>
      <c r="D112" s="11" t="s">
        <v>399</v>
      </c>
      <c r="E112" s="11">
        <f xml:space="preserve"> IF($U$111,1,0)</f>
        <v>0</v>
      </c>
      <c r="F112" s="11" t="s">
        <v>400</v>
      </c>
      <c r="G112" s="11">
        <v>0</v>
      </c>
      <c r="H112" s="11">
        <v>0</v>
      </c>
      <c r="I112" s="11">
        <v>0</v>
      </c>
      <c r="J112" s="11">
        <v>0</v>
      </c>
      <c r="K112" s="11">
        <v>0</v>
      </c>
      <c r="L112" s="11">
        <v>0</v>
      </c>
      <c r="M112" s="11">
        <v>0</v>
      </c>
      <c r="N112" s="11">
        <v>0</v>
      </c>
      <c r="O112" s="11">
        <v>0</v>
      </c>
      <c r="P112" s="11">
        <v>0</v>
      </c>
      <c r="Q112" s="12">
        <v>0</v>
      </c>
      <c r="R112" s="12">
        <v>0</v>
      </c>
      <c r="S112" s="12">
        <v>0</v>
      </c>
      <c r="T112" s="12">
        <v>0</v>
      </c>
      <c r="U112" s="12">
        <v>0</v>
      </c>
    </row>
    <row r="113" spans="1:21" x14ac:dyDescent="0.3">
      <c r="A113" s="13" t="s">
        <v>401</v>
      </c>
      <c r="B113" s="14" t="s">
        <v>402</v>
      </c>
      <c r="C113" s="14"/>
      <c r="D113" s="14" t="s">
        <v>403</v>
      </c>
      <c r="E113" s="14">
        <f xml:space="preserve"> IF($U$112,1,0)</f>
        <v>0</v>
      </c>
      <c r="F113" s="14" t="s">
        <v>404</v>
      </c>
      <c r="G113" s="14">
        <v>0</v>
      </c>
      <c r="H113" s="14">
        <v>0</v>
      </c>
      <c r="I113" s="14">
        <v>0</v>
      </c>
      <c r="J113" s="14">
        <v>0</v>
      </c>
      <c r="K113" s="14">
        <v>0</v>
      </c>
      <c r="L113" s="14">
        <v>0</v>
      </c>
      <c r="M113" s="14">
        <v>0</v>
      </c>
      <c r="N113" s="14">
        <v>0</v>
      </c>
      <c r="O113" s="14">
        <v>0</v>
      </c>
      <c r="P113" s="14">
        <v>0</v>
      </c>
      <c r="Q113" s="15">
        <v>0</v>
      </c>
      <c r="R113" s="15">
        <v>0</v>
      </c>
      <c r="S113" s="15">
        <v>0</v>
      </c>
      <c r="T113" s="15">
        <v>0</v>
      </c>
      <c r="U113" s="15">
        <v>0</v>
      </c>
    </row>
    <row r="114" spans="1:21" x14ac:dyDescent="0.3">
      <c r="A114" s="10" t="s">
        <v>405</v>
      </c>
      <c r="B114" s="11" t="s">
        <v>406</v>
      </c>
      <c r="C114" s="11"/>
      <c r="D114" s="11" t="s">
        <v>407</v>
      </c>
      <c r="E114" s="11">
        <f xml:space="preserve"> IF($U$113,1,0)</f>
        <v>0</v>
      </c>
      <c r="F114" s="11" t="s">
        <v>408</v>
      </c>
      <c r="G114" s="11">
        <v>0</v>
      </c>
      <c r="H114" s="11">
        <v>0</v>
      </c>
      <c r="I114" s="11">
        <v>0</v>
      </c>
      <c r="J114" s="11">
        <v>0</v>
      </c>
      <c r="K114" s="11">
        <v>0</v>
      </c>
      <c r="L114" s="11">
        <v>0</v>
      </c>
      <c r="M114" s="11">
        <v>0</v>
      </c>
      <c r="N114" s="11">
        <v>0</v>
      </c>
      <c r="O114" s="11">
        <v>0</v>
      </c>
      <c r="P114" s="11">
        <v>0</v>
      </c>
      <c r="Q114" s="12">
        <v>0</v>
      </c>
      <c r="R114" s="12">
        <v>0</v>
      </c>
      <c r="S114" s="12">
        <v>0</v>
      </c>
      <c r="T114" s="12">
        <v>0</v>
      </c>
      <c r="U114" s="12">
        <v>0</v>
      </c>
    </row>
    <row r="115" spans="1:21" x14ac:dyDescent="0.3">
      <c r="A115" s="13" t="s">
        <v>409</v>
      </c>
      <c r="B115" s="14" t="s">
        <v>410</v>
      </c>
      <c r="C115" s="14"/>
      <c r="D115" s="14" t="s">
        <v>411</v>
      </c>
      <c r="E115" s="14">
        <f xml:space="preserve"> IF($U$114,1,0)</f>
        <v>0</v>
      </c>
      <c r="F115" s="14" t="s">
        <v>412</v>
      </c>
      <c r="G115" s="14">
        <v>0</v>
      </c>
      <c r="H115" s="14">
        <v>0</v>
      </c>
      <c r="I115" s="14">
        <v>0</v>
      </c>
      <c r="J115" s="14">
        <v>0</v>
      </c>
      <c r="K115" s="14">
        <v>0</v>
      </c>
      <c r="L115" s="14">
        <v>0</v>
      </c>
      <c r="M115" s="14">
        <v>0</v>
      </c>
      <c r="N115" s="14">
        <v>0</v>
      </c>
      <c r="O115" s="14">
        <v>0</v>
      </c>
      <c r="P115" s="14">
        <v>0</v>
      </c>
      <c r="Q115" s="15">
        <v>0</v>
      </c>
      <c r="R115" s="15">
        <v>0</v>
      </c>
      <c r="S115" s="15">
        <v>0</v>
      </c>
      <c r="T115" s="15">
        <v>0</v>
      </c>
      <c r="U115" s="15">
        <v>0</v>
      </c>
    </row>
    <row r="116" spans="1:21" x14ac:dyDescent="0.3">
      <c r="A116" s="10" t="s">
        <v>413</v>
      </c>
      <c r="B116" s="11" t="s">
        <v>414</v>
      </c>
      <c r="C116" s="11"/>
      <c r="D116" s="11" t="s">
        <v>415</v>
      </c>
      <c r="E116" s="11">
        <f xml:space="preserve"> IF($U$115,1,0)</f>
        <v>0</v>
      </c>
      <c r="F116" s="11" t="s">
        <v>416</v>
      </c>
      <c r="G116" s="11">
        <v>0</v>
      </c>
      <c r="H116" s="11">
        <v>0</v>
      </c>
      <c r="I116" s="11">
        <v>0</v>
      </c>
      <c r="J116" s="11">
        <v>0</v>
      </c>
      <c r="K116" s="11">
        <v>0</v>
      </c>
      <c r="L116" s="11">
        <v>0</v>
      </c>
      <c r="M116" s="11">
        <v>0</v>
      </c>
      <c r="N116" s="11">
        <v>0</v>
      </c>
      <c r="O116" s="11">
        <v>0</v>
      </c>
      <c r="P116" s="11">
        <v>0</v>
      </c>
      <c r="Q116" s="12">
        <v>0</v>
      </c>
      <c r="R116" s="12">
        <v>0</v>
      </c>
      <c r="S116" s="12">
        <v>0</v>
      </c>
      <c r="T116" s="12">
        <v>0</v>
      </c>
      <c r="U116" s="12">
        <v>0</v>
      </c>
    </row>
    <row r="117" spans="1:21" x14ac:dyDescent="0.3">
      <c r="A117" s="13" t="s">
        <v>417</v>
      </c>
      <c r="B117" s="14" t="s">
        <v>418</v>
      </c>
      <c r="C117" s="14"/>
      <c r="D117" s="14" t="s">
        <v>419</v>
      </c>
      <c r="E117" s="14">
        <f xml:space="preserve"> IF($U$116,1,0)</f>
        <v>0</v>
      </c>
      <c r="F117" s="14" t="s">
        <v>420</v>
      </c>
      <c r="G117" s="14">
        <v>0</v>
      </c>
      <c r="H117" s="14">
        <v>0</v>
      </c>
      <c r="I117" s="14">
        <v>0</v>
      </c>
      <c r="J117" s="14">
        <v>0</v>
      </c>
      <c r="K117" s="14">
        <v>0</v>
      </c>
      <c r="L117" s="14">
        <v>0</v>
      </c>
      <c r="M117" s="14">
        <v>0</v>
      </c>
      <c r="N117" s="14">
        <v>0</v>
      </c>
      <c r="O117" s="14">
        <v>0</v>
      </c>
      <c r="P117" s="14">
        <v>0</v>
      </c>
      <c r="Q117" s="15">
        <v>0</v>
      </c>
      <c r="R117" s="15">
        <v>0</v>
      </c>
      <c r="S117" s="15">
        <v>0</v>
      </c>
      <c r="T117" s="15">
        <v>0</v>
      </c>
      <c r="U117" s="15">
        <v>0</v>
      </c>
    </row>
    <row r="118" spans="1:21" x14ac:dyDescent="0.3">
      <c r="A118" s="10" t="s">
        <v>421</v>
      </c>
      <c r="B118" s="11" t="s">
        <v>422</v>
      </c>
      <c r="C118" s="11"/>
      <c r="D118" s="11" t="s">
        <v>423</v>
      </c>
      <c r="E118" s="11">
        <f xml:space="preserve"> IF($U$117,1,0)</f>
        <v>0</v>
      </c>
      <c r="F118" s="11" t="s">
        <v>424</v>
      </c>
      <c r="G118" s="11">
        <v>0</v>
      </c>
      <c r="H118" s="11">
        <v>0</v>
      </c>
      <c r="I118" s="11">
        <v>0</v>
      </c>
      <c r="J118" s="11">
        <v>0</v>
      </c>
      <c r="K118" s="11">
        <v>0</v>
      </c>
      <c r="L118" s="11">
        <v>0</v>
      </c>
      <c r="M118" s="11">
        <v>0</v>
      </c>
      <c r="N118" s="11">
        <v>0</v>
      </c>
      <c r="O118" s="11">
        <v>0</v>
      </c>
      <c r="P118" s="11">
        <v>0</v>
      </c>
      <c r="Q118" s="12">
        <v>0</v>
      </c>
      <c r="R118" s="12">
        <v>0</v>
      </c>
      <c r="S118" s="12">
        <v>0</v>
      </c>
      <c r="T118" s="12">
        <v>0</v>
      </c>
      <c r="U118" s="12">
        <v>0</v>
      </c>
    </row>
    <row r="119" spans="1:21" x14ac:dyDescent="0.3">
      <c r="A119" s="13" t="s">
        <v>425</v>
      </c>
      <c r="B119" s="14" t="s">
        <v>426</v>
      </c>
      <c r="C119" s="14" t="s">
        <v>34</v>
      </c>
      <c r="D119" s="14" t="s">
        <v>427</v>
      </c>
      <c r="E119" s="14">
        <f xml:space="preserve"> IF($U$118,1,0)</f>
        <v>0</v>
      </c>
      <c r="F119" s="14" t="s">
        <v>428</v>
      </c>
      <c r="G119" s="14">
        <v>0</v>
      </c>
      <c r="H119" s="14">
        <v>0</v>
      </c>
      <c r="I119" s="14">
        <v>0</v>
      </c>
      <c r="J119" s="14">
        <v>0</v>
      </c>
      <c r="K119" s="14">
        <v>0</v>
      </c>
      <c r="L119" s="14">
        <v>0</v>
      </c>
      <c r="M119" s="14">
        <v>0</v>
      </c>
      <c r="N119" s="14">
        <v>0</v>
      </c>
      <c r="O119" s="14">
        <v>0</v>
      </c>
      <c r="P119" s="14">
        <v>0</v>
      </c>
      <c r="Q119" s="15">
        <v>0</v>
      </c>
      <c r="R119" s="15">
        <v>0</v>
      </c>
      <c r="S119" s="15">
        <v>0</v>
      </c>
      <c r="T119" s="15">
        <v>0</v>
      </c>
      <c r="U119" s="15">
        <v>0</v>
      </c>
    </row>
    <row r="120" spans="1:21" x14ac:dyDescent="0.3">
      <c r="A120" s="10" t="s">
        <v>429</v>
      </c>
      <c r="B120" s="11" t="s">
        <v>430</v>
      </c>
      <c r="C120" s="11"/>
      <c r="D120" s="11" t="s">
        <v>431</v>
      </c>
      <c r="E120" s="11">
        <f xml:space="preserve"> IF($U$119,1,0)</f>
        <v>0</v>
      </c>
      <c r="F120" s="11" t="s">
        <v>432</v>
      </c>
      <c r="G120" s="11">
        <v>0</v>
      </c>
      <c r="H120" s="11">
        <v>0</v>
      </c>
      <c r="I120" s="11">
        <v>0</v>
      </c>
      <c r="J120" s="11">
        <v>0</v>
      </c>
      <c r="K120" s="11">
        <v>0</v>
      </c>
      <c r="L120" s="11">
        <v>0</v>
      </c>
      <c r="M120" s="11">
        <v>0</v>
      </c>
      <c r="N120" s="11">
        <v>0</v>
      </c>
      <c r="O120" s="11">
        <v>0</v>
      </c>
      <c r="P120" s="11">
        <v>0</v>
      </c>
      <c r="Q120" s="12">
        <v>0</v>
      </c>
      <c r="R120" s="12">
        <v>0</v>
      </c>
      <c r="S120" s="12">
        <v>0</v>
      </c>
      <c r="T120" s="12">
        <v>0</v>
      </c>
      <c r="U120" s="12">
        <v>0</v>
      </c>
    </row>
    <row r="121" spans="1:21" x14ac:dyDescent="0.3">
      <c r="A121" s="13" t="s">
        <v>1252</v>
      </c>
      <c r="B121" s="14" t="s">
        <v>1253</v>
      </c>
      <c r="C121" s="14"/>
      <c r="D121" s="14" t="s">
        <v>1254</v>
      </c>
      <c r="E121" s="14">
        <f xml:space="preserve"> IF($U$120,1,0)</f>
        <v>0</v>
      </c>
      <c r="F121" s="14" t="s">
        <v>1255</v>
      </c>
      <c r="G121" s="14">
        <v>0</v>
      </c>
      <c r="H121" s="14">
        <v>0</v>
      </c>
      <c r="I121" s="14">
        <v>0</v>
      </c>
      <c r="J121" s="14">
        <v>0</v>
      </c>
      <c r="K121" s="14">
        <v>0</v>
      </c>
      <c r="L121" s="14">
        <v>0</v>
      </c>
      <c r="M121" s="14">
        <v>0</v>
      </c>
      <c r="N121" s="14">
        <v>0</v>
      </c>
      <c r="O121" s="14">
        <v>0</v>
      </c>
      <c r="P121" s="14">
        <v>0</v>
      </c>
      <c r="Q121" s="15">
        <v>0</v>
      </c>
      <c r="R121" s="15">
        <v>0</v>
      </c>
      <c r="S121" s="15">
        <v>0</v>
      </c>
      <c r="T121" s="15">
        <v>0</v>
      </c>
      <c r="U121" s="15">
        <v>0</v>
      </c>
    </row>
    <row r="122" spans="1:21" x14ac:dyDescent="0.3">
      <c r="A122" s="10" t="s">
        <v>433</v>
      </c>
      <c r="B122" s="11" t="s">
        <v>434</v>
      </c>
      <c r="C122" s="11" t="s">
        <v>202</v>
      </c>
      <c r="D122" s="11" t="s">
        <v>435</v>
      </c>
      <c r="E122" s="11">
        <f xml:space="preserve"> IF($U$121,1,0)</f>
        <v>0</v>
      </c>
      <c r="F122" s="11" t="s">
        <v>436</v>
      </c>
      <c r="G122" s="11">
        <v>0</v>
      </c>
      <c r="H122" s="11">
        <v>0</v>
      </c>
      <c r="I122" s="11">
        <v>0</v>
      </c>
      <c r="J122" s="11">
        <v>0</v>
      </c>
      <c r="K122" s="11">
        <v>0</v>
      </c>
      <c r="L122" s="11">
        <v>0</v>
      </c>
      <c r="M122" s="11">
        <v>0</v>
      </c>
      <c r="N122" s="11">
        <v>0</v>
      </c>
      <c r="O122" s="11">
        <v>0</v>
      </c>
      <c r="P122" s="11">
        <v>0</v>
      </c>
      <c r="Q122" s="12">
        <v>0</v>
      </c>
      <c r="R122" s="12">
        <v>0</v>
      </c>
      <c r="S122" s="12">
        <v>0</v>
      </c>
      <c r="T122" s="12">
        <v>0</v>
      </c>
      <c r="U122" s="12">
        <v>0</v>
      </c>
    </row>
    <row r="123" spans="1:21" x14ac:dyDescent="0.3">
      <c r="A123" s="13" t="s">
        <v>437</v>
      </c>
      <c r="B123" s="14" t="s">
        <v>434</v>
      </c>
      <c r="C123" s="14"/>
      <c r="D123" s="14" t="s">
        <v>438</v>
      </c>
      <c r="E123" s="14">
        <f xml:space="preserve"> IF($U$122,1,0)</f>
        <v>0</v>
      </c>
      <c r="F123" s="14" t="s">
        <v>439</v>
      </c>
      <c r="G123" s="14">
        <v>0</v>
      </c>
      <c r="H123" s="14">
        <v>0</v>
      </c>
      <c r="I123" s="14">
        <v>0</v>
      </c>
      <c r="J123" s="14">
        <v>0</v>
      </c>
      <c r="K123" s="14">
        <v>0</v>
      </c>
      <c r="L123" s="14">
        <v>0</v>
      </c>
      <c r="M123" s="14">
        <v>0</v>
      </c>
      <c r="N123" s="14">
        <v>0</v>
      </c>
      <c r="O123" s="14">
        <v>0</v>
      </c>
      <c r="P123" s="14">
        <v>0</v>
      </c>
      <c r="Q123" s="15">
        <v>0</v>
      </c>
      <c r="R123" s="15">
        <v>0</v>
      </c>
      <c r="S123" s="15">
        <v>0</v>
      </c>
      <c r="T123" s="15">
        <v>0</v>
      </c>
      <c r="U123" s="15">
        <v>0</v>
      </c>
    </row>
    <row r="124" spans="1:21" x14ac:dyDescent="0.3">
      <c r="A124" s="10" t="s">
        <v>440</v>
      </c>
      <c r="B124" s="11" t="s">
        <v>441</v>
      </c>
      <c r="C124" s="11" t="s">
        <v>202</v>
      </c>
      <c r="D124" s="11" t="s">
        <v>442</v>
      </c>
      <c r="E124" s="11">
        <f xml:space="preserve"> IF($U$123,1,0)</f>
        <v>0</v>
      </c>
      <c r="F124" s="11" t="s">
        <v>443</v>
      </c>
      <c r="G124" s="11">
        <v>0</v>
      </c>
      <c r="H124" s="11">
        <v>0</v>
      </c>
      <c r="I124" s="11">
        <v>0</v>
      </c>
      <c r="J124" s="11">
        <v>0</v>
      </c>
      <c r="K124" s="11">
        <v>0</v>
      </c>
      <c r="L124" s="11">
        <v>0</v>
      </c>
      <c r="M124" s="11">
        <v>0</v>
      </c>
      <c r="N124" s="11">
        <v>0</v>
      </c>
      <c r="O124" s="11">
        <v>0</v>
      </c>
      <c r="P124" s="11">
        <v>0</v>
      </c>
      <c r="Q124" s="12">
        <v>0</v>
      </c>
      <c r="R124" s="12">
        <v>0</v>
      </c>
      <c r="S124" s="12">
        <v>0</v>
      </c>
      <c r="T124" s="12">
        <v>0</v>
      </c>
      <c r="U124" s="12">
        <v>0</v>
      </c>
    </row>
    <row r="125" spans="1:21" x14ac:dyDescent="0.3">
      <c r="A125" s="13" t="s">
        <v>444</v>
      </c>
      <c r="B125" s="14" t="s">
        <v>445</v>
      </c>
      <c r="C125" s="14"/>
      <c r="D125" s="14" t="s">
        <v>446</v>
      </c>
      <c r="E125" s="14">
        <f xml:space="preserve"> IF($U$124,1,0)</f>
        <v>0</v>
      </c>
      <c r="F125" s="14" t="s">
        <v>447</v>
      </c>
      <c r="G125" s="14">
        <v>0</v>
      </c>
      <c r="H125" s="14">
        <v>0</v>
      </c>
      <c r="I125" s="14">
        <v>0</v>
      </c>
      <c r="J125" s="14">
        <v>0</v>
      </c>
      <c r="K125" s="14">
        <v>0</v>
      </c>
      <c r="L125" s="14">
        <v>0</v>
      </c>
      <c r="M125" s="14">
        <v>0</v>
      </c>
      <c r="N125" s="14">
        <v>0</v>
      </c>
      <c r="O125" s="14">
        <v>0</v>
      </c>
      <c r="P125" s="14">
        <v>0</v>
      </c>
      <c r="Q125" s="15">
        <v>0</v>
      </c>
      <c r="R125" s="15">
        <v>0</v>
      </c>
      <c r="S125" s="15">
        <v>0</v>
      </c>
      <c r="T125" s="15">
        <v>0</v>
      </c>
      <c r="U125" s="15">
        <v>0</v>
      </c>
    </row>
    <row r="126" spans="1:21" x14ac:dyDescent="0.3">
      <c r="A126" s="10" t="s">
        <v>448</v>
      </c>
      <c r="B126" s="11" t="s">
        <v>449</v>
      </c>
      <c r="C126" s="11"/>
      <c r="D126" s="11" t="s">
        <v>450</v>
      </c>
      <c r="E126" s="11">
        <f xml:space="preserve"> IF($U$125,1,0)</f>
        <v>0</v>
      </c>
      <c r="F126" s="11" t="s">
        <v>451</v>
      </c>
      <c r="G126" s="11">
        <v>0</v>
      </c>
      <c r="H126" s="11">
        <v>0</v>
      </c>
      <c r="I126" s="11">
        <v>0</v>
      </c>
      <c r="J126" s="11">
        <v>0</v>
      </c>
      <c r="K126" s="11">
        <v>0</v>
      </c>
      <c r="L126" s="11">
        <v>0</v>
      </c>
      <c r="M126" s="11">
        <v>0</v>
      </c>
      <c r="N126" s="11">
        <v>0</v>
      </c>
      <c r="O126" s="11">
        <v>0</v>
      </c>
      <c r="P126" s="11">
        <v>0</v>
      </c>
      <c r="Q126" s="12">
        <v>0</v>
      </c>
      <c r="R126" s="12">
        <v>0</v>
      </c>
      <c r="S126" s="12">
        <v>0</v>
      </c>
      <c r="T126" s="12">
        <v>0</v>
      </c>
      <c r="U126" s="12">
        <v>0</v>
      </c>
    </row>
    <row r="127" spans="1:21" x14ac:dyDescent="0.3">
      <c r="A127" s="13" t="s">
        <v>452</v>
      </c>
      <c r="B127" s="14" t="s">
        <v>453</v>
      </c>
      <c r="C127" s="14"/>
      <c r="D127" s="14" t="s">
        <v>454</v>
      </c>
      <c r="E127" s="14">
        <f xml:space="preserve"> IF($U$126,1,0)</f>
        <v>0</v>
      </c>
      <c r="F127" s="14" t="s">
        <v>455</v>
      </c>
      <c r="G127" s="14">
        <v>0</v>
      </c>
      <c r="H127" s="14">
        <v>0</v>
      </c>
      <c r="I127" s="14">
        <v>0</v>
      </c>
      <c r="J127" s="14">
        <v>0</v>
      </c>
      <c r="K127" s="14">
        <v>0</v>
      </c>
      <c r="L127" s="14">
        <v>0</v>
      </c>
      <c r="M127" s="14">
        <v>0</v>
      </c>
      <c r="N127" s="14">
        <v>0</v>
      </c>
      <c r="O127" s="14">
        <v>0</v>
      </c>
      <c r="P127" s="14">
        <v>0</v>
      </c>
      <c r="Q127" s="15">
        <v>0</v>
      </c>
      <c r="R127" s="15">
        <v>0</v>
      </c>
      <c r="S127" s="15">
        <v>0</v>
      </c>
      <c r="T127" s="15">
        <v>0</v>
      </c>
      <c r="U127" s="15">
        <v>0</v>
      </c>
    </row>
    <row r="128" spans="1:21" x14ac:dyDescent="0.3">
      <c r="A128" s="10" t="s">
        <v>456</v>
      </c>
      <c r="B128" s="11" t="s">
        <v>457</v>
      </c>
      <c r="C128" s="11"/>
      <c r="D128" s="11" t="s">
        <v>458</v>
      </c>
      <c r="E128" s="11">
        <f xml:space="preserve"> IF($U$127,1,0)</f>
        <v>0</v>
      </c>
      <c r="F128" s="11" t="s">
        <v>459</v>
      </c>
      <c r="G128" s="11">
        <v>0</v>
      </c>
      <c r="H128" s="11">
        <v>0</v>
      </c>
      <c r="I128" s="11">
        <v>0</v>
      </c>
      <c r="J128" s="11">
        <v>0</v>
      </c>
      <c r="K128" s="11">
        <v>0</v>
      </c>
      <c r="L128" s="11">
        <v>0</v>
      </c>
      <c r="M128" s="11">
        <v>0</v>
      </c>
      <c r="N128" s="11">
        <v>0</v>
      </c>
      <c r="O128" s="11">
        <v>0</v>
      </c>
      <c r="P128" s="11">
        <v>0</v>
      </c>
      <c r="Q128" s="12">
        <v>0</v>
      </c>
      <c r="R128" s="12">
        <v>0</v>
      </c>
      <c r="S128" s="12">
        <v>0</v>
      </c>
      <c r="T128" s="12">
        <v>0</v>
      </c>
      <c r="U128" s="12">
        <v>0</v>
      </c>
    </row>
    <row r="129" spans="1:21" x14ac:dyDescent="0.3">
      <c r="A129" s="13" t="s">
        <v>460</v>
      </c>
      <c r="B129" s="14" t="s">
        <v>457</v>
      </c>
      <c r="C129" s="14"/>
      <c r="D129" s="14" t="s">
        <v>461</v>
      </c>
      <c r="E129" s="14">
        <f xml:space="preserve"> IF($U$128,1,0)</f>
        <v>0</v>
      </c>
      <c r="F129" s="14" t="s">
        <v>462</v>
      </c>
      <c r="G129" s="14">
        <v>0</v>
      </c>
      <c r="H129" s="14">
        <v>0</v>
      </c>
      <c r="I129" s="14">
        <v>0</v>
      </c>
      <c r="J129" s="14">
        <v>0</v>
      </c>
      <c r="K129" s="14">
        <v>0</v>
      </c>
      <c r="L129" s="14">
        <v>0</v>
      </c>
      <c r="M129" s="14">
        <v>0</v>
      </c>
      <c r="N129" s="14">
        <v>0</v>
      </c>
      <c r="O129" s="14">
        <v>0</v>
      </c>
      <c r="P129" s="14">
        <v>0</v>
      </c>
      <c r="Q129" s="15">
        <v>0</v>
      </c>
      <c r="R129" s="15">
        <v>0</v>
      </c>
      <c r="S129" s="15">
        <v>0</v>
      </c>
      <c r="T129" s="15">
        <v>0</v>
      </c>
      <c r="U129" s="15">
        <v>0</v>
      </c>
    </row>
    <row r="130" spans="1:21" x14ac:dyDescent="0.3">
      <c r="A130" s="10" t="s">
        <v>463</v>
      </c>
      <c r="B130" s="11" t="s">
        <v>457</v>
      </c>
      <c r="C130" s="11" t="s">
        <v>34</v>
      </c>
      <c r="D130" s="11" t="s">
        <v>464</v>
      </c>
      <c r="E130" s="11">
        <f xml:space="preserve"> IF($U$129,1,0)</f>
        <v>0</v>
      </c>
      <c r="F130" s="11" t="s">
        <v>465</v>
      </c>
      <c r="G130" s="11">
        <v>0</v>
      </c>
      <c r="H130" s="11">
        <v>0</v>
      </c>
      <c r="I130" s="11">
        <v>0</v>
      </c>
      <c r="J130" s="11">
        <v>0</v>
      </c>
      <c r="K130" s="11">
        <v>0</v>
      </c>
      <c r="L130" s="11">
        <v>0</v>
      </c>
      <c r="M130" s="11">
        <v>0</v>
      </c>
      <c r="N130" s="11">
        <v>0</v>
      </c>
      <c r="O130" s="11">
        <v>0</v>
      </c>
      <c r="P130" s="11">
        <v>0</v>
      </c>
      <c r="Q130" s="12">
        <v>0</v>
      </c>
      <c r="R130" s="12">
        <v>0</v>
      </c>
      <c r="S130" s="12">
        <v>0</v>
      </c>
      <c r="T130" s="12">
        <v>0</v>
      </c>
      <c r="U130" s="12">
        <v>0</v>
      </c>
    </row>
    <row r="131" spans="1:21" x14ac:dyDescent="0.3">
      <c r="A131" s="13" t="s">
        <v>466</v>
      </c>
      <c r="B131" s="14" t="s">
        <v>457</v>
      </c>
      <c r="C131" s="14"/>
      <c r="D131" s="14" t="s">
        <v>467</v>
      </c>
      <c r="E131" s="14">
        <f xml:space="preserve"> IF($U$130,1,0)</f>
        <v>0</v>
      </c>
      <c r="F131" s="14" t="s">
        <v>468</v>
      </c>
      <c r="G131" s="14">
        <v>0</v>
      </c>
      <c r="H131" s="14">
        <v>0</v>
      </c>
      <c r="I131" s="14">
        <v>0</v>
      </c>
      <c r="J131" s="14">
        <v>0</v>
      </c>
      <c r="K131" s="14">
        <v>0</v>
      </c>
      <c r="L131" s="14">
        <v>0</v>
      </c>
      <c r="M131" s="14">
        <v>0</v>
      </c>
      <c r="N131" s="14">
        <v>0</v>
      </c>
      <c r="O131" s="14">
        <v>0</v>
      </c>
      <c r="P131" s="14">
        <v>0</v>
      </c>
      <c r="Q131" s="15">
        <v>0</v>
      </c>
      <c r="R131" s="15">
        <v>0</v>
      </c>
      <c r="S131" s="15">
        <v>0</v>
      </c>
      <c r="T131" s="15">
        <v>0</v>
      </c>
      <c r="U131" s="15">
        <v>0</v>
      </c>
    </row>
    <row r="132" spans="1:21" x14ac:dyDescent="0.3">
      <c r="A132" s="10" t="s">
        <v>469</v>
      </c>
      <c r="B132" s="11" t="s">
        <v>470</v>
      </c>
      <c r="C132" s="11"/>
      <c r="D132" s="11" t="s">
        <v>471</v>
      </c>
      <c r="E132" s="11">
        <f xml:space="preserve"> IF($U$131,1,0)</f>
        <v>0</v>
      </c>
      <c r="F132" s="11" t="s">
        <v>472</v>
      </c>
      <c r="G132" s="11">
        <v>0</v>
      </c>
      <c r="H132" s="11">
        <v>0</v>
      </c>
      <c r="I132" s="11">
        <v>0</v>
      </c>
      <c r="J132" s="11">
        <v>0</v>
      </c>
      <c r="K132" s="11">
        <v>0</v>
      </c>
      <c r="L132" s="11">
        <v>0</v>
      </c>
      <c r="M132" s="11">
        <v>0</v>
      </c>
      <c r="N132" s="11">
        <v>0</v>
      </c>
      <c r="O132" s="11">
        <v>0</v>
      </c>
      <c r="P132" s="11">
        <v>0</v>
      </c>
      <c r="Q132" s="12">
        <v>0</v>
      </c>
      <c r="R132" s="12">
        <v>0</v>
      </c>
      <c r="S132" s="12">
        <v>0</v>
      </c>
      <c r="T132" s="12">
        <v>0</v>
      </c>
      <c r="U132" s="12">
        <v>0</v>
      </c>
    </row>
    <row r="133" spans="1:21" x14ac:dyDescent="0.3">
      <c r="A133" s="13" t="s">
        <v>473</v>
      </c>
      <c r="B133" s="14" t="s">
        <v>474</v>
      </c>
      <c r="C133" s="14"/>
      <c r="D133" s="14" t="s">
        <v>475</v>
      </c>
      <c r="E133" s="14">
        <f xml:space="preserve"> IF($U$132,1,0)</f>
        <v>0</v>
      </c>
      <c r="F133" s="14" t="s">
        <v>476</v>
      </c>
      <c r="G133" s="14">
        <v>0</v>
      </c>
      <c r="H133" s="14">
        <v>0</v>
      </c>
      <c r="I133" s="14">
        <v>0</v>
      </c>
      <c r="J133" s="14">
        <v>0</v>
      </c>
      <c r="K133" s="14">
        <v>0</v>
      </c>
      <c r="L133" s="14">
        <v>0</v>
      </c>
      <c r="M133" s="14">
        <v>0</v>
      </c>
      <c r="N133" s="14">
        <v>0</v>
      </c>
      <c r="O133" s="14">
        <v>0</v>
      </c>
      <c r="P133" s="14">
        <v>0</v>
      </c>
      <c r="Q133" s="15">
        <v>0</v>
      </c>
      <c r="R133" s="15">
        <v>0</v>
      </c>
      <c r="S133" s="15">
        <v>0</v>
      </c>
      <c r="T133" s="15">
        <v>0</v>
      </c>
      <c r="U133" s="15">
        <v>0</v>
      </c>
    </row>
    <row r="134" spans="1:21" x14ac:dyDescent="0.3">
      <c r="A134" s="10" t="s">
        <v>477</v>
      </c>
      <c r="B134" s="11" t="s">
        <v>478</v>
      </c>
      <c r="C134" s="11"/>
      <c r="D134" s="11" t="s">
        <v>479</v>
      </c>
      <c r="E134" s="11">
        <f xml:space="preserve"> IF($U$133,1,0)</f>
        <v>0</v>
      </c>
      <c r="F134" s="11" t="s">
        <v>480</v>
      </c>
      <c r="G134" s="11">
        <v>0</v>
      </c>
      <c r="H134" s="11">
        <v>0</v>
      </c>
      <c r="I134" s="11">
        <v>0</v>
      </c>
      <c r="J134" s="11">
        <v>0</v>
      </c>
      <c r="K134" s="11">
        <v>0</v>
      </c>
      <c r="L134" s="11">
        <v>0</v>
      </c>
      <c r="M134" s="11">
        <v>0</v>
      </c>
      <c r="N134" s="11">
        <v>0</v>
      </c>
      <c r="O134" s="11">
        <v>0</v>
      </c>
      <c r="P134" s="11">
        <v>0</v>
      </c>
      <c r="Q134" s="12">
        <v>0</v>
      </c>
      <c r="R134" s="12">
        <v>0</v>
      </c>
      <c r="S134" s="12">
        <v>0</v>
      </c>
      <c r="T134" s="12">
        <v>0</v>
      </c>
      <c r="U134" s="12">
        <v>0</v>
      </c>
    </row>
    <row r="135" spans="1:21" x14ac:dyDescent="0.3">
      <c r="A135" s="10" t="s">
        <v>485</v>
      </c>
      <c r="B135" s="11" t="s">
        <v>486</v>
      </c>
      <c r="C135" s="11"/>
      <c r="D135" s="11" t="s">
        <v>487</v>
      </c>
      <c r="E135" s="11">
        <f xml:space="preserve"> IF($U$135,1,0)</f>
        <v>0</v>
      </c>
      <c r="F135" s="11" t="s">
        <v>488</v>
      </c>
      <c r="G135" s="11">
        <v>0</v>
      </c>
      <c r="H135" s="11">
        <v>0</v>
      </c>
      <c r="I135" s="11">
        <v>0</v>
      </c>
      <c r="J135" s="11">
        <v>0</v>
      </c>
      <c r="K135" s="11">
        <v>0</v>
      </c>
      <c r="L135" s="11">
        <v>0</v>
      </c>
      <c r="M135" s="11">
        <v>0</v>
      </c>
      <c r="N135" s="11">
        <v>0</v>
      </c>
      <c r="O135" s="11">
        <v>0</v>
      </c>
      <c r="P135" s="11">
        <v>0</v>
      </c>
      <c r="Q135" s="12">
        <v>0</v>
      </c>
      <c r="R135" s="12">
        <v>0</v>
      </c>
      <c r="S135" s="12">
        <v>0</v>
      </c>
      <c r="T135" s="12">
        <v>0</v>
      </c>
      <c r="U135" s="12">
        <v>0</v>
      </c>
    </row>
    <row r="136" spans="1:21" x14ac:dyDescent="0.3">
      <c r="A136" s="13" t="s">
        <v>489</v>
      </c>
      <c r="B136" s="14" t="s">
        <v>490</v>
      </c>
      <c r="C136" s="14"/>
      <c r="D136" s="14" t="s">
        <v>491</v>
      </c>
      <c r="E136" s="14">
        <f xml:space="preserve"> IF($U$136,1,0)</f>
        <v>0</v>
      </c>
      <c r="F136" s="14" t="s">
        <v>492</v>
      </c>
      <c r="G136" s="14">
        <v>0</v>
      </c>
      <c r="H136" s="14">
        <v>0</v>
      </c>
      <c r="I136" s="14">
        <v>0</v>
      </c>
      <c r="J136" s="14">
        <v>0</v>
      </c>
      <c r="K136" s="14">
        <v>0</v>
      </c>
      <c r="L136" s="14">
        <v>0</v>
      </c>
      <c r="M136" s="14">
        <v>0</v>
      </c>
      <c r="N136" s="14">
        <v>0</v>
      </c>
      <c r="O136" s="14">
        <v>0</v>
      </c>
      <c r="P136" s="14">
        <v>0</v>
      </c>
      <c r="Q136" s="15">
        <v>0</v>
      </c>
      <c r="R136" s="15">
        <v>0</v>
      </c>
      <c r="S136" s="15">
        <v>0</v>
      </c>
      <c r="T136" s="15">
        <v>0</v>
      </c>
      <c r="U136" s="15">
        <v>0</v>
      </c>
    </row>
    <row r="137" spans="1:21" x14ac:dyDescent="0.3">
      <c r="A137" s="10" t="s">
        <v>493</v>
      </c>
      <c r="B137" s="11" t="s">
        <v>494</v>
      </c>
      <c r="C137" s="11" t="s">
        <v>34</v>
      </c>
      <c r="D137" s="11" t="s">
        <v>495</v>
      </c>
      <c r="E137" s="11">
        <f xml:space="preserve"> IF($U$137,1,0)</f>
        <v>0</v>
      </c>
      <c r="F137" s="11" t="s">
        <v>496</v>
      </c>
      <c r="G137" s="11">
        <v>0</v>
      </c>
      <c r="H137" s="11">
        <v>0</v>
      </c>
      <c r="I137" s="11">
        <v>0</v>
      </c>
      <c r="J137" s="11">
        <v>0</v>
      </c>
      <c r="K137" s="11">
        <v>0</v>
      </c>
      <c r="L137" s="11">
        <v>0</v>
      </c>
      <c r="M137" s="11">
        <v>0</v>
      </c>
      <c r="N137" s="11">
        <v>0</v>
      </c>
      <c r="O137" s="11">
        <v>0</v>
      </c>
      <c r="P137" s="11">
        <v>0</v>
      </c>
      <c r="Q137" s="12">
        <v>0</v>
      </c>
      <c r="R137" s="12">
        <v>0</v>
      </c>
      <c r="S137" s="12">
        <v>0</v>
      </c>
      <c r="T137" s="12">
        <v>0</v>
      </c>
      <c r="U137" s="12">
        <v>0</v>
      </c>
    </row>
    <row r="138" spans="1:21" x14ac:dyDescent="0.3">
      <c r="A138" s="13" t="s">
        <v>497</v>
      </c>
      <c r="B138" s="14" t="s">
        <v>498</v>
      </c>
      <c r="C138" s="14"/>
      <c r="D138" s="14" t="s">
        <v>499</v>
      </c>
      <c r="E138" s="14">
        <f xml:space="preserve"> IF($U$138,1,0)</f>
        <v>0</v>
      </c>
      <c r="F138" s="14" t="s">
        <v>500</v>
      </c>
      <c r="G138" s="14">
        <v>0</v>
      </c>
      <c r="H138" s="14">
        <v>0</v>
      </c>
      <c r="I138" s="14">
        <v>0</v>
      </c>
      <c r="J138" s="14">
        <v>0</v>
      </c>
      <c r="K138" s="14">
        <v>0</v>
      </c>
      <c r="L138" s="14">
        <v>0</v>
      </c>
      <c r="M138" s="14">
        <v>0</v>
      </c>
      <c r="N138" s="14">
        <v>0</v>
      </c>
      <c r="O138" s="14">
        <v>0</v>
      </c>
      <c r="P138" s="14">
        <v>0</v>
      </c>
      <c r="Q138" s="15">
        <v>0</v>
      </c>
      <c r="R138" s="15">
        <v>0</v>
      </c>
      <c r="S138" s="15">
        <v>0</v>
      </c>
      <c r="T138" s="15">
        <v>0</v>
      </c>
      <c r="U138" s="15">
        <v>0</v>
      </c>
    </row>
    <row r="139" spans="1:21" x14ac:dyDescent="0.3">
      <c r="A139" s="10" t="s">
        <v>501</v>
      </c>
      <c r="B139" s="11" t="s">
        <v>502</v>
      </c>
      <c r="C139" s="11" t="s">
        <v>34</v>
      </c>
      <c r="D139" s="11" t="s">
        <v>503</v>
      </c>
      <c r="E139" s="11">
        <f xml:space="preserve"> IF($U$139,1,0)</f>
        <v>0</v>
      </c>
      <c r="F139" s="11" t="s">
        <v>504</v>
      </c>
      <c r="G139" s="11">
        <v>0</v>
      </c>
      <c r="H139" s="11">
        <v>0</v>
      </c>
      <c r="I139" s="11">
        <v>0</v>
      </c>
      <c r="J139" s="11">
        <v>0</v>
      </c>
      <c r="K139" s="11">
        <v>0</v>
      </c>
      <c r="L139" s="11">
        <v>0</v>
      </c>
      <c r="M139" s="11">
        <v>0</v>
      </c>
      <c r="N139" s="11">
        <v>0</v>
      </c>
      <c r="O139" s="11">
        <v>0</v>
      </c>
      <c r="P139" s="11">
        <v>0</v>
      </c>
      <c r="Q139" s="12">
        <v>0</v>
      </c>
      <c r="R139" s="12">
        <v>0</v>
      </c>
      <c r="S139" s="12">
        <v>0</v>
      </c>
      <c r="T139" s="12">
        <v>0</v>
      </c>
      <c r="U139" s="12">
        <v>0</v>
      </c>
    </row>
    <row r="140" spans="1:21" x14ac:dyDescent="0.3">
      <c r="A140" s="13" t="s">
        <v>505</v>
      </c>
      <c r="B140" s="14" t="s">
        <v>502</v>
      </c>
      <c r="C140" s="14"/>
      <c r="D140" s="14" t="s">
        <v>232</v>
      </c>
      <c r="E140" s="14">
        <f xml:space="preserve"> IF($U$140,1,0)</f>
        <v>0</v>
      </c>
      <c r="F140" s="14" t="s">
        <v>506</v>
      </c>
      <c r="G140" s="14">
        <v>0</v>
      </c>
      <c r="H140" s="14">
        <v>0</v>
      </c>
      <c r="I140" s="14">
        <v>0</v>
      </c>
      <c r="J140" s="14">
        <v>0</v>
      </c>
      <c r="K140" s="14">
        <v>0</v>
      </c>
      <c r="L140" s="14">
        <v>0</v>
      </c>
      <c r="M140" s="14">
        <v>0</v>
      </c>
      <c r="N140" s="14">
        <v>0</v>
      </c>
      <c r="O140" s="14">
        <v>0</v>
      </c>
      <c r="P140" s="14">
        <v>0</v>
      </c>
      <c r="Q140" s="15">
        <v>0</v>
      </c>
      <c r="R140" s="15">
        <v>0</v>
      </c>
      <c r="S140" s="15">
        <v>0</v>
      </c>
      <c r="T140" s="15">
        <v>0</v>
      </c>
      <c r="U140" s="15">
        <v>0</v>
      </c>
    </row>
    <row r="141" spans="1:21" x14ac:dyDescent="0.3">
      <c r="A141" s="10" t="s">
        <v>507</v>
      </c>
      <c r="B141" s="11" t="s">
        <v>508</v>
      </c>
      <c r="C141" s="11" t="s">
        <v>65</v>
      </c>
      <c r="D141" s="11" t="s">
        <v>509</v>
      </c>
      <c r="E141" s="11">
        <f xml:space="preserve"> IF($U$141,1,0)</f>
        <v>0</v>
      </c>
      <c r="F141" s="11" t="s">
        <v>510</v>
      </c>
      <c r="G141" s="11">
        <v>0</v>
      </c>
      <c r="H141" s="11">
        <v>0</v>
      </c>
      <c r="I141" s="11">
        <v>0</v>
      </c>
      <c r="J141" s="11">
        <v>0</v>
      </c>
      <c r="K141" s="11">
        <v>0</v>
      </c>
      <c r="L141" s="11">
        <v>0</v>
      </c>
      <c r="M141" s="11">
        <v>0</v>
      </c>
      <c r="N141" s="11">
        <v>0</v>
      </c>
      <c r="O141" s="11">
        <v>0</v>
      </c>
      <c r="P141" s="11">
        <v>0</v>
      </c>
      <c r="Q141" s="12">
        <v>0</v>
      </c>
      <c r="R141" s="12">
        <v>0</v>
      </c>
      <c r="S141" s="12">
        <v>0</v>
      </c>
      <c r="T141" s="12">
        <v>0</v>
      </c>
      <c r="U141" s="12">
        <v>0</v>
      </c>
    </row>
    <row r="142" spans="1:21" x14ac:dyDescent="0.3">
      <c r="A142" s="13" t="s">
        <v>511</v>
      </c>
      <c r="B142" s="14" t="s">
        <v>512</v>
      </c>
      <c r="C142" s="14" t="s">
        <v>513</v>
      </c>
      <c r="D142" s="14" t="s">
        <v>514</v>
      </c>
      <c r="E142" s="14">
        <f xml:space="preserve"> IF($U$142,1,0)</f>
        <v>0</v>
      </c>
      <c r="F142" s="14" t="s">
        <v>515</v>
      </c>
      <c r="G142" s="14">
        <v>0</v>
      </c>
      <c r="H142" s="14">
        <v>0</v>
      </c>
      <c r="I142" s="14">
        <v>0</v>
      </c>
      <c r="J142" s="14">
        <v>0</v>
      </c>
      <c r="K142" s="14">
        <v>0</v>
      </c>
      <c r="L142" s="14">
        <v>0</v>
      </c>
      <c r="M142" s="14">
        <v>0</v>
      </c>
      <c r="N142" s="14">
        <v>0</v>
      </c>
      <c r="O142" s="14">
        <v>0</v>
      </c>
      <c r="P142" s="14">
        <v>0</v>
      </c>
      <c r="Q142" s="15">
        <v>0</v>
      </c>
      <c r="R142" s="15">
        <v>0</v>
      </c>
      <c r="S142" s="15">
        <v>0</v>
      </c>
      <c r="T142" s="15">
        <v>0</v>
      </c>
      <c r="U142" s="15">
        <v>0</v>
      </c>
    </row>
    <row r="143" spans="1:21" x14ac:dyDescent="0.3">
      <c r="A143" s="10" t="s">
        <v>516</v>
      </c>
      <c r="B143" s="11" t="s">
        <v>517</v>
      </c>
      <c r="C143" s="11" t="s">
        <v>65</v>
      </c>
      <c r="D143" s="11" t="s">
        <v>518</v>
      </c>
      <c r="E143" s="11">
        <f xml:space="preserve"> IF($U$143,1,0)</f>
        <v>0</v>
      </c>
      <c r="F143" s="11" t="s">
        <v>519</v>
      </c>
      <c r="G143" s="11">
        <v>0</v>
      </c>
      <c r="H143" s="11">
        <v>0</v>
      </c>
      <c r="I143" s="11">
        <v>0</v>
      </c>
      <c r="J143" s="11">
        <v>0</v>
      </c>
      <c r="K143" s="11">
        <v>0</v>
      </c>
      <c r="L143" s="11">
        <v>0</v>
      </c>
      <c r="M143" s="11">
        <v>0</v>
      </c>
      <c r="N143" s="11">
        <v>0</v>
      </c>
      <c r="O143" s="11">
        <v>0</v>
      </c>
      <c r="P143" s="11">
        <v>0</v>
      </c>
      <c r="Q143" s="12">
        <v>0</v>
      </c>
      <c r="R143" s="12">
        <v>0</v>
      </c>
      <c r="S143" s="12">
        <v>0</v>
      </c>
      <c r="T143" s="12">
        <v>0</v>
      </c>
      <c r="U143" s="12">
        <v>0</v>
      </c>
    </row>
    <row r="144" spans="1:21" x14ac:dyDescent="0.3">
      <c r="A144" s="13" t="s">
        <v>520</v>
      </c>
      <c r="B144" s="14" t="s">
        <v>517</v>
      </c>
      <c r="C144" s="14"/>
      <c r="D144" s="14" t="s">
        <v>521</v>
      </c>
      <c r="E144" s="14">
        <f xml:space="preserve"> IF($U$144,1,0)</f>
        <v>0</v>
      </c>
      <c r="F144" s="14" t="s">
        <v>522</v>
      </c>
      <c r="G144" s="14">
        <v>0</v>
      </c>
      <c r="H144" s="14">
        <v>0</v>
      </c>
      <c r="I144" s="14">
        <v>0</v>
      </c>
      <c r="J144" s="14">
        <v>0</v>
      </c>
      <c r="K144" s="14">
        <v>0</v>
      </c>
      <c r="L144" s="14">
        <v>0</v>
      </c>
      <c r="M144" s="14">
        <v>0</v>
      </c>
      <c r="N144" s="14">
        <v>0</v>
      </c>
      <c r="O144" s="14">
        <v>0</v>
      </c>
      <c r="P144" s="14">
        <v>0</v>
      </c>
      <c r="Q144" s="15">
        <v>0</v>
      </c>
      <c r="R144" s="15">
        <v>0</v>
      </c>
      <c r="S144" s="15">
        <v>0</v>
      </c>
      <c r="T144" s="15">
        <v>0</v>
      </c>
      <c r="U144" s="15">
        <v>0</v>
      </c>
    </row>
    <row r="145" spans="1:21" x14ac:dyDescent="0.3">
      <c r="A145" s="10" t="s">
        <v>523</v>
      </c>
      <c r="B145" s="11" t="s">
        <v>524</v>
      </c>
      <c r="C145" s="11" t="s">
        <v>65</v>
      </c>
      <c r="D145" s="11" t="s">
        <v>327</v>
      </c>
      <c r="E145" s="11">
        <f xml:space="preserve"> IF($U$145,1,0)</f>
        <v>0</v>
      </c>
      <c r="F145" s="11" t="s">
        <v>525</v>
      </c>
      <c r="G145" s="11">
        <v>0</v>
      </c>
      <c r="H145" s="11">
        <v>0</v>
      </c>
      <c r="I145" s="11">
        <v>0</v>
      </c>
      <c r="J145" s="11">
        <v>0</v>
      </c>
      <c r="K145" s="11">
        <v>0</v>
      </c>
      <c r="L145" s="11">
        <v>0</v>
      </c>
      <c r="M145" s="11">
        <v>0</v>
      </c>
      <c r="N145" s="11">
        <v>0</v>
      </c>
      <c r="O145" s="11">
        <v>0</v>
      </c>
      <c r="P145" s="11">
        <v>0</v>
      </c>
      <c r="Q145" s="12">
        <v>0</v>
      </c>
      <c r="R145" s="12">
        <v>0</v>
      </c>
      <c r="S145" s="12">
        <v>0</v>
      </c>
      <c r="T145" s="12">
        <v>0</v>
      </c>
      <c r="U145" s="12">
        <v>0</v>
      </c>
    </row>
    <row r="146" spans="1:21" x14ac:dyDescent="0.3">
      <c r="A146" s="13" t="s">
        <v>526</v>
      </c>
      <c r="B146" s="14" t="s">
        <v>527</v>
      </c>
      <c r="C146" s="14"/>
      <c r="D146" s="14" t="s">
        <v>528</v>
      </c>
      <c r="E146" s="14">
        <f xml:space="preserve"> IF($U$146,1,0)</f>
        <v>0</v>
      </c>
      <c r="F146" s="14" t="s">
        <v>529</v>
      </c>
      <c r="G146" s="14">
        <v>0</v>
      </c>
      <c r="H146" s="14">
        <v>0</v>
      </c>
      <c r="I146" s="14">
        <v>0</v>
      </c>
      <c r="J146" s="14">
        <v>0</v>
      </c>
      <c r="K146" s="14">
        <v>0</v>
      </c>
      <c r="L146" s="14">
        <v>0</v>
      </c>
      <c r="M146" s="14">
        <v>0</v>
      </c>
      <c r="N146" s="14">
        <v>0</v>
      </c>
      <c r="O146" s="14">
        <v>0</v>
      </c>
      <c r="P146" s="14">
        <v>0</v>
      </c>
      <c r="Q146" s="15">
        <v>0</v>
      </c>
      <c r="R146" s="15">
        <v>0</v>
      </c>
      <c r="S146" s="15">
        <v>0</v>
      </c>
      <c r="T146" s="15">
        <v>0</v>
      </c>
      <c r="U146" s="15">
        <v>0</v>
      </c>
    </row>
    <row r="147" spans="1:21" x14ac:dyDescent="0.3">
      <c r="A147" s="10" t="s">
        <v>530</v>
      </c>
      <c r="B147" s="11" t="s">
        <v>531</v>
      </c>
      <c r="C147" s="11"/>
      <c r="D147" s="11" t="s">
        <v>532</v>
      </c>
      <c r="E147" s="11">
        <f xml:space="preserve"> IF($U$147,1,0)</f>
        <v>0</v>
      </c>
      <c r="F147" s="11" t="s">
        <v>533</v>
      </c>
      <c r="G147" s="11">
        <v>0</v>
      </c>
      <c r="H147" s="11">
        <v>0</v>
      </c>
      <c r="I147" s="11">
        <v>0</v>
      </c>
      <c r="J147" s="11">
        <v>0</v>
      </c>
      <c r="K147" s="11">
        <v>0</v>
      </c>
      <c r="L147" s="11">
        <v>0</v>
      </c>
      <c r="M147" s="11">
        <v>0</v>
      </c>
      <c r="N147" s="11">
        <v>0</v>
      </c>
      <c r="O147" s="11">
        <v>0</v>
      </c>
      <c r="P147" s="11">
        <v>0</v>
      </c>
      <c r="Q147" s="12">
        <v>0</v>
      </c>
      <c r="R147" s="12">
        <v>0</v>
      </c>
      <c r="S147" s="12">
        <v>0</v>
      </c>
      <c r="T147" s="12">
        <v>0</v>
      </c>
      <c r="U147" s="12">
        <v>0</v>
      </c>
    </row>
    <row r="148" spans="1:21" x14ac:dyDescent="0.3">
      <c r="A148" s="13" t="s">
        <v>534</v>
      </c>
      <c r="B148" s="14" t="s">
        <v>535</v>
      </c>
      <c r="C148" s="14"/>
      <c r="D148" s="14" t="s">
        <v>536</v>
      </c>
      <c r="E148" s="14">
        <f xml:space="preserve"> IF($U$148,1,0)</f>
        <v>0</v>
      </c>
      <c r="F148" s="14" t="s">
        <v>537</v>
      </c>
      <c r="G148" s="14">
        <v>0</v>
      </c>
      <c r="H148" s="14">
        <v>0</v>
      </c>
      <c r="I148" s="14">
        <v>0</v>
      </c>
      <c r="J148" s="14">
        <v>0</v>
      </c>
      <c r="K148" s="14">
        <v>0</v>
      </c>
      <c r="L148" s="14">
        <v>0</v>
      </c>
      <c r="M148" s="14">
        <v>0</v>
      </c>
      <c r="N148" s="14">
        <v>0</v>
      </c>
      <c r="O148" s="14">
        <v>0</v>
      </c>
      <c r="P148" s="14">
        <v>0</v>
      </c>
      <c r="Q148" s="15">
        <v>0</v>
      </c>
      <c r="R148" s="15">
        <v>0</v>
      </c>
      <c r="S148" s="15">
        <v>0</v>
      </c>
      <c r="T148" s="15">
        <v>0</v>
      </c>
      <c r="U148" s="15">
        <v>0</v>
      </c>
    </row>
    <row r="149" spans="1:21" x14ac:dyDescent="0.3">
      <c r="A149" s="10" t="s">
        <v>538</v>
      </c>
      <c r="B149" s="11" t="s">
        <v>535</v>
      </c>
      <c r="C149" s="11"/>
      <c r="D149" s="11" t="s">
        <v>539</v>
      </c>
      <c r="E149" s="11">
        <f xml:space="preserve"> IF($U$149,1,0)</f>
        <v>0</v>
      </c>
      <c r="F149" s="11" t="s">
        <v>540</v>
      </c>
      <c r="G149" s="11">
        <v>0</v>
      </c>
      <c r="H149" s="11">
        <v>0</v>
      </c>
      <c r="I149" s="11">
        <v>0</v>
      </c>
      <c r="J149" s="11">
        <v>0</v>
      </c>
      <c r="K149" s="11">
        <v>0</v>
      </c>
      <c r="L149" s="11">
        <v>0</v>
      </c>
      <c r="M149" s="11">
        <v>0</v>
      </c>
      <c r="N149" s="11">
        <v>0</v>
      </c>
      <c r="O149" s="11">
        <v>0</v>
      </c>
      <c r="P149" s="11">
        <v>0</v>
      </c>
      <c r="Q149" s="12">
        <v>0</v>
      </c>
      <c r="R149" s="12">
        <v>0</v>
      </c>
      <c r="S149" s="12">
        <v>0</v>
      </c>
      <c r="T149" s="12">
        <v>0</v>
      </c>
      <c r="U149" s="12">
        <v>0</v>
      </c>
    </row>
    <row r="150" spans="1:21" x14ac:dyDescent="0.3">
      <c r="A150" s="13" t="s">
        <v>541</v>
      </c>
      <c r="B150" s="14" t="s">
        <v>542</v>
      </c>
      <c r="C150" s="14"/>
      <c r="D150" s="14" t="s">
        <v>543</v>
      </c>
      <c r="E150" s="14">
        <f xml:space="preserve"> IF($U$150,1,0)</f>
        <v>0</v>
      </c>
      <c r="F150" s="14" t="s">
        <v>544</v>
      </c>
      <c r="G150" s="14">
        <v>0</v>
      </c>
      <c r="H150" s="14">
        <v>0</v>
      </c>
      <c r="I150" s="14">
        <v>0</v>
      </c>
      <c r="J150" s="14">
        <v>0</v>
      </c>
      <c r="K150" s="14">
        <v>0</v>
      </c>
      <c r="L150" s="14">
        <v>0</v>
      </c>
      <c r="M150" s="14">
        <v>0</v>
      </c>
      <c r="N150" s="14">
        <v>0</v>
      </c>
      <c r="O150" s="14">
        <v>0</v>
      </c>
      <c r="P150" s="14">
        <v>0</v>
      </c>
      <c r="Q150" s="15">
        <v>0</v>
      </c>
      <c r="R150" s="15">
        <v>0</v>
      </c>
      <c r="S150" s="15">
        <v>0</v>
      </c>
      <c r="T150" s="15">
        <v>0</v>
      </c>
      <c r="U150" s="15">
        <v>0</v>
      </c>
    </row>
    <row r="151" spans="1:21" x14ac:dyDescent="0.3">
      <c r="A151" s="10" t="s">
        <v>545</v>
      </c>
      <c r="B151" s="11" t="s">
        <v>546</v>
      </c>
      <c r="C151" s="11"/>
      <c r="D151" s="11" t="s">
        <v>547</v>
      </c>
      <c r="E151" s="11">
        <f xml:space="preserve"> IF($U$151,1,0)</f>
        <v>0</v>
      </c>
      <c r="F151" s="11" t="s">
        <v>548</v>
      </c>
      <c r="G151" s="11">
        <v>0</v>
      </c>
      <c r="H151" s="11">
        <v>0</v>
      </c>
      <c r="I151" s="11">
        <v>0</v>
      </c>
      <c r="J151" s="11">
        <v>0</v>
      </c>
      <c r="K151" s="11">
        <v>0</v>
      </c>
      <c r="L151" s="11">
        <v>0</v>
      </c>
      <c r="M151" s="11">
        <v>0</v>
      </c>
      <c r="N151" s="11">
        <v>0</v>
      </c>
      <c r="O151" s="11">
        <v>0</v>
      </c>
      <c r="P151" s="11">
        <v>0</v>
      </c>
      <c r="Q151" s="12">
        <v>0</v>
      </c>
      <c r="R151" s="12">
        <v>0</v>
      </c>
      <c r="S151" s="12">
        <v>0</v>
      </c>
      <c r="T151" s="12">
        <v>0</v>
      </c>
      <c r="U151" s="12">
        <v>0</v>
      </c>
    </row>
    <row r="152" spans="1:21" x14ac:dyDescent="0.3">
      <c r="A152" s="13" t="s">
        <v>549</v>
      </c>
      <c r="B152" s="14" t="s">
        <v>550</v>
      </c>
      <c r="C152" s="14" t="s">
        <v>34</v>
      </c>
      <c r="D152" s="14" t="s">
        <v>551</v>
      </c>
      <c r="E152" s="14">
        <f xml:space="preserve"> IF($U$152,1,0)</f>
        <v>0</v>
      </c>
      <c r="F152" s="14" t="s">
        <v>552</v>
      </c>
      <c r="G152" s="14">
        <v>0</v>
      </c>
      <c r="H152" s="14">
        <v>0</v>
      </c>
      <c r="I152" s="14">
        <v>0</v>
      </c>
      <c r="J152" s="14">
        <v>0</v>
      </c>
      <c r="K152" s="14">
        <v>0</v>
      </c>
      <c r="L152" s="14">
        <v>0</v>
      </c>
      <c r="M152" s="14">
        <v>0</v>
      </c>
      <c r="N152" s="14">
        <v>0</v>
      </c>
      <c r="O152" s="14">
        <v>0</v>
      </c>
      <c r="P152" s="14">
        <v>0</v>
      </c>
      <c r="Q152" s="15">
        <v>0</v>
      </c>
      <c r="R152" s="15">
        <v>0</v>
      </c>
      <c r="S152" s="15">
        <v>0</v>
      </c>
      <c r="T152" s="15">
        <v>0</v>
      </c>
      <c r="U152" s="15">
        <v>0</v>
      </c>
    </row>
    <row r="153" spans="1:21" x14ac:dyDescent="0.3">
      <c r="A153" s="10" t="s">
        <v>553</v>
      </c>
      <c r="B153" s="11" t="s">
        <v>554</v>
      </c>
      <c r="C153" s="11"/>
      <c r="D153" s="11" t="s">
        <v>555</v>
      </c>
      <c r="E153" s="11">
        <f xml:space="preserve"> IF($U$153,1,0)</f>
        <v>0</v>
      </c>
      <c r="F153" s="11" t="s">
        <v>556</v>
      </c>
      <c r="G153" s="11">
        <v>0</v>
      </c>
      <c r="H153" s="11">
        <v>0</v>
      </c>
      <c r="I153" s="11">
        <v>0</v>
      </c>
      <c r="J153" s="11">
        <v>0</v>
      </c>
      <c r="K153" s="11">
        <v>0</v>
      </c>
      <c r="L153" s="11">
        <v>0</v>
      </c>
      <c r="M153" s="11">
        <v>0</v>
      </c>
      <c r="N153" s="11">
        <v>0</v>
      </c>
      <c r="O153" s="11">
        <v>0</v>
      </c>
      <c r="P153" s="11">
        <v>0</v>
      </c>
      <c r="Q153" s="12">
        <v>0</v>
      </c>
      <c r="R153" s="12">
        <v>0</v>
      </c>
      <c r="S153" s="12">
        <v>0</v>
      </c>
      <c r="T153" s="12">
        <v>0</v>
      </c>
      <c r="U153" s="12">
        <v>0</v>
      </c>
    </row>
    <row r="154" spans="1:21" x14ac:dyDescent="0.3">
      <c r="A154" s="13" t="s">
        <v>557</v>
      </c>
      <c r="B154" s="14" t="s">
        <v>554</v>
      </c>
      <c r="C154" s="14"/>
      <c r="D154" s="14" t="s">
        <v>558</v>
      </c>
      <c r="E154" s="14">
        <f xml:space="preserve"> IF($U$154,1,0)</f>
        <v>0</v>
      </c>
      <c r="F154" s="14" t="s">
        <v>559</v>
      </c>
      <c r="G154" s="14">
        <v>0</v>
      </c>
      <c r="H154" s="14">
        <v>0</v>
      </c>
      <c r="I154" s="14">
        <v>0</v>
      </c>
      <c r="J154" s="14">
        <v>0</v>
      </c>
      <c r="K154" s="14">
        <v>0</v>
      </c>
      <c r="L154" s="14">
        <v>0</v>
      </c>
      <c r="M154" s="14">
        <v>0</v>
      </c>
      <c r="N154" s="14">
        <v>0</v>
      </c>
      <c r="O154" s="14">
        <v>0</v>
      </c>
      <c r="P154" s="14">
        <v>0</v>
      </c>
      <c r="Q154" s="15">
        <v>0</v>
      </c>
      <c r="R154" s="15">
        <v>0</v>
      </c>
      <c r="S154" s="15">
        <v>0</v>
      </c>
      <c r="T154" s="15">
        <v>0</v>
      </c>
      <c r="U154" s="15">
        <v>0</v>
      </c>
    </row>
    <row r="155" spans="1:21" x14ac:dyDescent="0.3">
      <c r="A155" s="10" t="s">
        <v>560</v>
      </c>
      <c r="B155" s="11" t="s">
        <v>561</v>
      </c>
      <c r="C155" s="11"/>
      <c r="D155" s="11" t="s">
        <v>562</v>
      </c>
      <c r="E155" s="11">
        <f xml:space="preserve"> IF($U$155,1,0)</f>
        <v>0</v>
      </c>
      <c r="F155" s="11" t="s">
        <v>563</v>
      </c>
      <c r="G155" s="11">
        <v>0</v>
      </c>
      <c r="H155" s="11">
        <v>0</v>
      </c>
      <c r="I155" s="11">
        <v>0</v>
      </c>
      <c r="J155" s="11">
        <v>0</v>
      </c>
      <c r="K155" s="11">
        <v>0</v>
      </c>
      <c r="L155" s="11">
        <v>0</v>
      </c>
      <c r="M155" s="11">
        <v>0</v>
      </c>
      <c r="N155" s="11">
        <v>0</v>
      </c>
      <c r="O155" s="11">
        <v>0</v>
      </c>
      <c r="P155" s="11">
        <v>0</v>
      </c>
      <c r="Q155" s="12">
        <v>0</v>
      </c>
      <c r="R155" s="12">
        <v>0</v>
      </c>
      <c r="S155" s="12">
        <v>0</v>
      </c>
      <c r="T155" s="12">
        <v>0</v>
      </c>
      <c r="U155" s="12">
        <v>0</v>
      </c>
    </row>
    <row r="156" spans="1:21" x14ac:dyDescent="0.3">
      <c r="A156" s="13" t="s">
        <v>564</v>
      </c>
      <c r="B156" s="14" t="s">
        <v>565</v>
      </c>
      <c r="C156" s="14"/>
      <c r="D156" s="14" t="s">
        <v>566</v>
      </c>
      <c r="E156" s="14">
        <f xml:space="preserve"> IF($U$156,1,0)</f>
        <v>0</v>
      </c>
      <c r="F156" s="14" t="s">
        <v>567</v>
      </c>
      <c r="G156" s="14">
        <v>0</v>
      </c>
      <c r="H156" s="14">
        <v>0</v>
      </c>
      <c r="I156" s="14">
        <v>0</v>
      </c>
      <c r="J156" s="14">
        <v>0</v>
      </c>
      <c r="K156" s="14">
        <v>0</v>
      </c>
      <c r="L156" s="14">
        <v>0</v>
      </c>
      <c r="M156" s="14">
        <v>0</v>
      </c>
      <c r="N156" s="14">
        <v>0</v>
      </c>
      <c r="O156" s="14">
        <v>0</v>
      </c>
      <c r="P156" s="14">
        <v>0</v>
      </c>
      <c r="Q156" s="15">
        <v>0</v>
      </c>
      <c r="R156" s="15">
        <v>0</v>
      </c>
      <c r="S156" s="15">
        <v>0</v>
      </c>
      <c r="T156" s="15">
        <v>0</v>
      </c>
      <c r="U156" s="15">
        <v>0</v>
      </c>
    </row>
    <row r="157" spans="1:21" x14ac:dyDescent="0.3">
      <c r="A157" s="10" t="s">
        <v>568</v>
      </c>
      <c r="B157" s="11" t="s">
        <v>569</v>
      </c>
      <c r="C157" s="11"/>
      <c r="D157" s="11" t="s">
        <v>570</v>
      </c>
      <c r="E157" s="11">
        <f xml:space="preserve"> IF($U$157,1,0)</f>
        <v>0</v>
      </c>
      <c r="F157" s="11" t="s">
        <v>571</v>
      </c>
      <c r="G157" s="11">
        <v>0</v>
      </c>
      <c r="H157" s="11">
        <v>0</v>
      </c>
      <c r="I157" s="11">
        <v>0</v>
      </c>
      <c r="J157" s="11">
        <v>0</v>
      </c>
      <c r="K157" s="11">
        <v>0</v>
      </c>
      <c r="L157" s="11">
        <v>0</v>
      </c>
      <c r="M157" s="11">
        <v>0</v>
      </c>
      <c r="N157" s="11">
        <v>0</v>
      </c>
      <c r="O157" s="11">
        <v>0</v>
      </c>
      <c r="P157" s="11">
        <v>0</v>
      </c>
      <c r="Q157" s="12">
        <v>0</v>
      </c>
      <c r="R157" s="12">
        <v>0</v>
      </c>
      <c r="S157" s="12">
        <v>0</v>
      </c>
      <c r="T157" s="12">
        <v>0</v>
      </c>
      <c r="U157" s="12">
        <v>0</v>
      </c>
    </row>
    <row r="158" spans="1:21" x14ac:dyDescent="0.3">
      <c r="A158" s="13" t="s">
        <v>572</v>
      </c>
      <c r="B158" s="14" t="s">
        <v>573</v>
      </c>
      <c r="C158" s="14" t="s">
        <v>34</v>
      </c>
      <c r="D158" s="14" t="s">
        <v>574</v>
      </c>
      <c r="E158" s="14">
        <f xml:space="preserve"> IF($U$158,1,0)</f>
        <v>0</v>
      </c>
      <c r="F158" s="14" t="s">
        <v>575</v>
      </c>
      <c r="G158" s="14">
        <v>0</v>
      </c>
      <c r="H158" s="14">
        <v>0</v>
      </c>
      <c r="I158" s="14">
        <v>0</v>
      </c>
      <c r="J158" s="14">
        <v>0</v>
      </c>
      <c r="K158" s="14">
        <v>0</v>
      </c>
      <c r="L158" s="14">
        <v>0</v>
      </c>
      <c r="M158" s="14">
        <v>0</v>
      </c>
      <c r="N158" s="14">
        <v>0</v>
      </c>
      <c r="O158" s="14">
        <v>0</v>
      </c>
      <c r="P158" s="14">
        <v>0</v>
      </c>
      <c r="Q158" s="15">
        <v>0</v>
      </c>
      <c r="R158" s="15">
        <v>0</v>
      </c>
      <c r="S158" s="15">
        <v>0</v>
      </c>
      <c r="T158" s="15">
        <v>0</v>
      </c>
      <c r="U158" s="15">
        <v>0</v>
      </c>
    </row>
    <row r="159" spans="1:21" x14ac:dyDescent="0.3">
      <c r="A159" s="10" t="s">
        <v>576</v>
      </c>
      <c r="B159" s="11" t="s">
        <v>577</v>
      </c>
      <c r="C159" s="11"/>
      <c r="D159" s="11" t="s">
        <v>578</v>
      </c>
      <c r="E159" s="11">
        <f xml:space="preserve"> IF($U$159,1,0)</f>
        <v>0</v>
      </c>
      <c r="F159" s="11" t="s">
        <v>579</v>
      </c>
      <c r="G159" s="11">
        <v>0</v>
      </c>
      <c r="H159" s="11">
        <v>0</v>
      </c>
      <c r="I159" s="11">
        <v>0</v>
      </c>
      <c r="J159" s="11">
        <v>0</v>
      </c>
      <c r="K159" s="11">
        <v>0</v>
      </c>
      <c r="L159" s="11">
        <v>0</v>
      </c>
      <c r="M159" s="11">
        <v>0</v>
      </c>
      <c r="N159" s="11">
        <v>0</v>
      </c>
      <c r="O159" s="11">
        <v>0</v>
      </c>
      <c r="P159" s="11">
        <v>0</v>
      </c>
      <c r="Q159" s="12">
        <v>0</v>
      </c>
      <c r="R159" s="12">
        <v>0</v>
      </c>
      <c r="S159" s="12">
        <v>0</v>
      </c>
      <c r="T159" s="12">
        <v>0</v>
      </c>
      <c r="U159" s="12">
        <v>0</v>
      </c>
    </row>
    <row r="160" spans="1:21" x14ac:dyDescent="0.3">
      <c r="A160" s="13" t="s">
        <v>580</v>
      </c>
      <c r="B160" s="14" t="s">
        <v>581</v>
      </c>
      <c r="C160" s="14"/>
      <c r="D160" s="14" t="s">
        <v>582</v>
      </c>
      <c r="E160" s="14">
        <f xml:space="preserve"> IF($U$160,1,0)</f>
        <v>0</v>
      </c>
      <c r="F160" s="14" t="s">
        <v>583</v>
      </c>
      <c r="G160" s="14">
        <v>0</v>
      </c>
      <c r="H160" s="14">
        <v>0</v>
      </c>
      <c r="I160" s="14">
        <v>0</v>
      </c>
      <c r="J160" s="14">
        <v>0</v>
      </c>
      <c r="K160" s="14">
        <v>0</v>
      </c>
      <c r="L160" s="14">
        <v>0</v>
      </c>
      <c r="M160" s="14">
        <v>0</v>
      </c>
      <c r="N160" s="14">
        <v>0</v>
      </c>
      <c r="O160" s="14">
        <v>0</v>
      </c>
      <c r="P160" s="14">
        <v>0</v>
      </c>
      <c r="Q160" s="15">
        <v>0</v>
      </c>
      <c r="R160" s="15">
        <v>0</v>
      </c>
      <c r="S160" s="15">
        <v>0</v>
      </c>
      <c r="T160" s="15">
        <v>0</v>
      </c>
      <c r="U160" s="15">
        <v>0</v>
      </c>
    </row>
    <row r="161" spans="1:21" x14ac:dyDescent="0.3">
      <c r="A161" s="10" t="s">
        <v>584</v>
      </c>
      <c r="B161" s="11" t="s">
        <v>585</v>
      </c>
      <c r="C161" s="11"/>
      <c r="D161" s="11" t="s">
        <v>586</v>
      </c>
      <c r="E161" s="11">
        <f xml:space="preserve"> IF($U$161,1,0)</f>
        <v>0</v>
      </c>
      <c r="F161" s="11" t="s">
        <v>587</v>
      </c>
      <c r="G161" s="11">
        <v>0</v>
      </c>
      <c r="H161" s="11">
        <v>0</v>
      </c>
      <c r="I161" s="11">
        <v>0</v>
      </c>
      <c r="J161" s="11">
        <v>0</v>
      </c>
      <c r="K161" s="11">
        <v>0</v>
      </c>
      <c r="L161" s="11">
        <v>0</v>
      </c>
      <c r="M161" s="11">
        <v>0</v>
      </c>
      <c r="N161" s="11">
        <v>0</v>
      </c>
      <c r="O161" s="11">
        <v>0</v>
      </c>
      <c r="P161" s="11">
        <v>0</v>
      </c>
      <c r="Q161" s="12">
        <v>0</v>
      </c>
      <c r="R161" s="12">
        <v>0</v>
      </c>
      <c r="S161" s="12">
        <v>0</v>
      </c>
      <c r="T161" s="12">
        <v>0</v>
      </c>
      <c r="U161" s="12">
        <v>0</v>
      </c>
    </row>
    <row r="162" spans="1:21" x14ac:dyDescent="0.3">
      <c r="A162" s="13" t="s">
        <v>588</v>
      </c>
      <c r="B162" s="14" t="s">
        <v>589</v>
      </c>
      <c r="C162" s="14"/>
      <c r="D162" s="14" t="s">
        <v>590</v>
      </c>
      <c r="E162" s="14">
        <f xml:space="preserve"> IF($U$162,1,0)</f>
        <v>0</v>
      </c>
      <c r="F162" s="14" t="s">
        <v>591</v>
      </c>
      <c r="G162" s="14">
        <v>0</v>
      </c>
      <c r="H162" s="14">
        <v>0</v>
      </c>
      <c r="I162" s="14">
        <v>0</v>
      </c>
      <c r="J162" s="14">
        <v>0</v>
      </c>
      <c r="K162" s="14">
        <v>0</v>
      </c>
      <c r="L162" s="14">
        <v>0</v>
      </c>
      <c r="M162" s="14">
        <v>0</v>
      </c>
      <c r="N162" s="14">
        <v>0</v>
      </c>
      <c r="O162" s="14">
        <v>0</v>
      </c>
      <c r="P162" s="14">
        <v>0</v>
      </c>
      <c r="Q162" s="15">
        <v>0</v>
      </c>
      <c r="R162" s="15">
        <v>0</v>
      </c>
      <c r="S162" s="15">
        <v>0</v>
      </c>
      <c r="T162" s="15">
        <v>0</v>
      </c>
      <c r="U162" s="15">
        <v>0</v>
      </c>
    </row>
    <row r="163" spans="1:21" x14ac:dyDescent="0.3">
      <c r="A163" s="10" t="s">
        <v>592</v>
      </c>
      <c r="B163" s="11" t="s">
        <v>593</v>
      </c>
      <c r="C163" s="11"/>
      <c r="D163" s="11" t="s">
        <v>594</v>
      </c>
      <c r="E163" s="11">
        <f xml:space="preserve"> IF($U$163,1,0)</f>
        <v>0</v>
      </c>
      <c r="F163" s="11" t="s">
        <v>595</v>
      </c>
      <c r="G163" s="11">
        <v>0</v>
      </c>
      <c r="H163" s="11">
        <v>0</v>
      </c>
      <c r="I163" s="11">
        <v>0</v>
      </c>
      <c r="J163" s="11">
        <v>0</v>
      </c>
      <c r="K163" s="11">
        <v>0</v>
      </c>
      <c r="L163" s="11">
        <v>0</v>
      </c>
      <c r="M163" s="11">
        <v>0</v>
      </c>
      <c r="N163" s="11">
        <v>0</v>
      </c>
      <c r="O163" s="11">
        <v>0</v>
      </c>
      <c r="P163" s="11">
        <v>0</v>
      </c>
      <c r="Q163" s="12">
        <v>0</v>
      </c>
      <c r="R163" s="12">
        <v>0</v>
      </c>
      <c r="S163" s="12">
        <v>0</v>
      </c>
      <c r="T163" s="12">
        <v>0</v>
      </c>
      <c r="U163" s="12">
        <v>0</v>
      </c>
    </row>
    <row r="164" spans="1:21" x14ac:dyDescent="0.3">
      <c r="A164" s="13" t="s">
        <v>596</v>
      </c>
      <c r="B164" s="14" t="s">
        <v>597</v>
      </c>
      <c r="C164" s="14"/>
      <c r="D164" s="14" t="s">
        <v>598</v>
      </c>
      <c r="E164" s="14">
        <f xml:space="preserve"> IF($U$164,1,0)</f>
        <v>0</v>
      </c>
      <c r="F164" s="14" t="s">
        <v>599</v>
      </c>
      <c r="G164" s="14">
        <v>0</v>
      </c>
      <c r="H164" s="14">
        <v>0</v>
      </c>
      <c r="I164" s="14">
        <v>0</v>
      </c>
      <c r="J164" s="14">
        <v>0</v>
      </c>
      <c r="K164" s="14">
        <v>0</v>
      </c>
      <c r="L164" s="14">
        <v>0</v>
      </c>
      <c r="M164" s="14">
        <v>0</v>
      </c>
      <c r="N164" s="14">
        <v>0</v>
      </c>
      <c r="O164" s="14">
        <v>0</v>
      </c>
      <c r="P164" s="14">
        <v>0</v>
      </c>
      <c r="Q164" s="15">
        <v>0</v>
      </c>
      <c r="R164" s="15">
        <v>0</v>
      </c>
      <c r="S164" s="15">
        <v>0</v>
      </c>
      <c r="T164" s="15">
        <v>0</v>
      </c>
      <c r="U164" s="15">
        <v>0</v>
      </c>
    </row>
    <row r="165" spans="1:21" x14ac:dyDescent="0.3">
      <c r="A165" s="10" t="s">
        <v>600</v>
      </c>
      <c r="B165" s="11" t="s">
        <v>601</v>
      </c>
      <c r="C165" s="11"/>
      <c r="D165" s="11" t="s">
        <v>70</v>
      </c>
      <c r="E165" s="11">
        <f xml:space="preserve"> IF($U$165,1,0)</f>
        <v>0</v>
      </c>
      <c r="F165" s="11" t="s">
        <v>602</v>
      </c>
      <c r="G165" s="11">
        <v>0</v>
      </c>
      <c r="H165" s="11">
        <v>0</v>
      </c>
      <c r="I165" s="11">
        <v>0</v>
      </c>
      <c r="J165" s="11">
        <v>0</v>
      </c>
      <c r="K165" s="11">
        <v>0</v>
      </c>
      <c r="L165" s="11">
        <v>0</v>
      </c>
      <c r="M165" s="11">
        <v>0</v>
      </c>
      <c r="N165" s="11">
        <v>0</v>
      </c>
      <c r="O165" s="11">
        <v>0</v>
      </c>
      <c r="P165" s="11">
        <v>0</v>
      </c>
      <c r="Q165" s="12">
        <v>0</v>
      </c>
      <c r="R165" s="12">
        <v>0</v>
      </c>
      <c r="S165" s="12">
        <v>0</v>
      </c>
      <c r="T165" s="12">
        <v>0</v>
      </c>
      <c r="U165" s="12">
        <v>0</v>
      </c>
    </row>
    <row r="166" spans="1:21" x14ac:dyDescent="0.3">
      <c r="A166" s="13" t="s">
        <v>603</v>
      </c>
      <c r="B166" s="14" t="s">
        <v>604</v>
      </c>
      <c r="C166" s="14"/>
      <c r="D166" s="14" t="s">
        <v>605</v>
      </c>
      <c r="E166" s="14">
        <f xml:space="preserve"> IF($U$166,1,0)</f>
        <v>0</v>
      </c>
      <c r="F166" s="14" t="s">
        <v>606</v>
      </c>
      <c r="G166" s="14">
        <v>0</v>
      </c>
      <c r="H166" s="14">
        <v>0</v>
      </c>
      <c r="I166" s="14">
        <v>0</v>
      </c>
      <c r="J166" s="14">
        <v>0</v>
      </c>
      <c r="K166" s="14">
        <v>0</v>
      </c>
      <c r="L166" s="14">
        <v>0</v>
      </c>
      <c r="M166" s="14">
        <v>0</v>
      </c>
      <c r="N166" s="14">
        <v>0</v>
      </c>
      <c r="O166" s="14">
        <v>0</v>
      </c>
      <c r="P166" s="14">
        <v>0</v>
      </c>
      <c r="Q166" s="15">
        <v>0</v>
      </c>
      <c r="R166" s="15">
        <v>0</v>
      </c>
      <c r="S166" s="15">
        <v>0</v>
      </c>
      <c r="T166" s="15">
        <v>0</v>
      </c>
      <c r="U166" s="15">
        <v>0</v>
      </c>
    </row>
    <row r="167" spans="1:21" x14ac:dyDescent="0.3">
      <c r="A167" s="10" t="s">
        <v>607</v>
      </c>
      <c r="B167" s="11" t="s">
        <v>608</v>
      </c>
      <c r="C167" s="11"/>
      <c r="D167" s="11" t="s">
        <v>609</v>
      </c>
      <c r="E167" s="11">
        <f xml:space="preserve"> IF($U$167,1,0)</f>
        <v>0</v>
      </c>
      <c r="F167" s="11" t="s">
        <v>610</v>
      </c>
      <c r="G167" s="11">
        <v>0</v>
      </c>
      <c r="H167" s="11">
        <v>0</v>
      </c>
      <c r="I167" s="11">
        <v>0</v>
      </c>
      <c r="J167" s="11">
        <v>0</v>
      </c>
      <c r="K167" s="11">
        <v>0</v>
      </c>
      <c r="L167" s="11">
        <v>0</v>
      </c>
      <c r="M167" s="11">
        <v>0</v>
      </c>
      <c r="N167" s="11">
        <v>0</v>
      </c>
      <c r="O167" s="11">
        <v>0</v>
      </c>
      <c r="P167" s="11">
        <v>0</v>
      </c>
      <c r="Q167" s="12">
        <v>0</v>
      </c>
      <c r="R167" s="12">
        <v>0</v>
      </c>
      <c r="S167" s="12">
        <v>0</v>
      </c>
      <c r="T167" s="12">
        <v>0</v>
      </c>
      <c r="U167" s="12">
        <v>0</v>
      </c>
    </row>
    <row r="168" spans="1:21" x14ac:dyDescent="0.3">
      <c r="A168" s="13" t="s">
        <v>611</v>
      </c>
      <c r="B168" s="14" t="s">
        <v>612</v>
      </c>
      <c r="C168" s="14"/>
      <c r="D168" s="14" t="s">
        <v>613</v>
      </c>
      <c r="E168" s="14">
        <f xml:space="preserve"> IF($U$168,1,0)</f>
        <v>0</v>
      </c>
      <c r="F168" s="14" t="s">
        <v>614</v>
      </c>
      <c r="G168" s="14">
        <v>0</v>
      </c>
      <c r="H168" s="14">
        <v>0</v>
      </c>
      <c r="I168" s="14">
        <v>0</v>
      </c>
      <c r="J168" s="14">
        <v>0</v>
      </c>
      <c r="K168" s="14">
        <v>0</v>
      </c>
      <c r="L168" s="14">
        <v>0</v>
      </c>
      <c r="M168" s="14">
        <v>0</v>
      </c>
      <c r="N168" s="14">
        <v>0</v>
      </c>
      <c r="O168" s="14">
        <v>0</v>
      </c>
      <c r="P168" s="14">
        <v>0</v>
      </c>
      <c r="Q168" s="15">
        <v>0</v>
      </c>
      <c r="R168" s="15">
        <v>0</v>
      </c>
      <c r="S168" s="15">
        <v>0</v>
      </c>
      <c r="T168" s="15">
        <v>0</v>
      </c>
      <c r="U168" s="15">
        <v>0</v>
      </c>
    </row>
    <row r="169" spans="1:21" x14ac:dyDescent="0.3">
      <c r="A169" s="10" t="s">
        <v>615</v>
      </c>
      <c r="B169" s="11" t="s">
        <v>616</v>
      </c>
      <c r="C169" s="11"/>
      <c r="D169" s="11" t="s">
        <v>617</v>
      </c>
      <c r="E169" s="11">
        <f xml:space="preserve"> IF($U$169,1,0)</f>
        <v>0</v>
      </c>
      <c r="F169" s="11" t="s">
        <v>618</v>
      </c>
      <c r="G169" s="11">
        <v>0</v>
      </c>
      <c r="H169" s="11">
        <v>0</v>
      </c>
      <c r="I169" s="11">
        <v>0</v>
      </c>
      <c r="J169" s="11">
        <v>0</v>
      </c>
      <c r="K169" s="11">
        <v>0</v>
      </c>
      <c r="L169" s="11">
        <v>0</v>
      </c>
      <c r="M169" s="11">
        <v>0</v>
      </c>
      <c r="N169" s="11">
        <v>0</v>
      </c>
      <c r="O169" s="11">
        <v>0</v>
      </c>
      <c r="P169" s="11">
        <v>0</v>
      </c>
      <c r="Q169" s="12">
        <v>0</v>
      </c>
      <c r="R169" s="12">
        <v>0</v>
      </c>
      <c r="S169" s="12">
        <v>0</v>
      </c>
      <c r="T169" s="12">
        <v>0</v>
      </c>
      <c r="U169" s="12">
        <v>0</v>
      </c>
    </row>
    <row r="170" spans="1:21" x14ac:dyDescent="0.3">
      <c r="A170" s="13" t="s">
        <v>619</v>
      </c>
      <c r="B170" s="14" t="s">
        <v>620</v>
      </c>
      <c r="C170" s="14" t="s">
        <v>34</v>
      </c>
      <c r="D170" s="14" t="s">
        <v>621</v>
      </c>
      <c r="E170" s="14">
        <f xml:space="preserve"> IF($U$170,1,0)</f>
        <v>0</v>
      </c>
      <c r="F170" s="14" t="s">
        <v>622</v>
      </c>
      <c r="G170" s="14">
        <v>0</v>
      </c>
      <c r="H170" s="14">
        <v>0</v>
      </c>
      <c r="I170" s="14">
        <v>0</v>
      </c>
      <c r="J170" s="14">
        <v>0</v>
      </c>
      <c r="K170" s="14">
        <v>0</v>
      </c>
      <c r="L170" s="14">
        <v>0</v>
      </c>
      <c r="M170" s="14">
        <v>0</v>
      </c>
      <c r="N170" s="14">
        <v>0</v>
      </c>
      <c r="O170" s="14">
        <v>0</v>
      </c>
      <c r="P170" s="14">
        <v>0</v>
      </c>
      <c r="Q170" s="15">
        <v>0</v>
      </c>
      <c r="R170" s="15">
        <v>0</v>
      </c>
      <c r="S170" s="15">
        <v>0</v>
      </c>
      <c r="T170" s="15">
        <v>0</v>
      </c>
      <c r="U170" s="15">
        <v>0</v>
      </c>
    </row>
    <row r="171" spans="1:21" x14ac:dyDescent="0.3">
      <c r="A171" s="10" t="s">
        <v>623</v>
      </c>
      <c r="B171" s="11" t="s">
        <v>624</v>
      </c>
      <c r="C171" s="11"/>
      <c r="D171" s="11" t="s">
        <v>625</v>
      </c>
      <c r="E171" s="11">
        <f xml:space="preserve"> IF($U$171,1,0)</f>
        <v>0</v>
      </c>
      <c r="F171" s="11" t="s">
        <v>626</v>
      </c>
      <c r="G171" s="11">
        <v>0</v>
      </c>
      <c r="H171" s="11">
        <v>0</v>
      </c>
      <c r="I171" s="11">
        <v>0</v>
      </c>
      <c r="J171" s="11">
        <v>0</v>
      </c>
      <c r="K171" s="11">
        <v>0</v>
      </c>
      <c r="L171" s="11">
        <v>0</v>
      </c>
      <c r="M171" s="11">
        <v>0</v>
      </c>
      <c r="N171" s="11">
        <v>0</v>
      </c>
      <c r="O171" s="11">
        <v>0</v>
      </c>
      <c r="P171" s="11">
        <v>0</v>
      </c>
      <c r="Q171" s="12">
        <v>0</v>
      </c>
      <c r="R171" s="12">
        <v>0</v>
      </c>
      <c r="S171" s="12">
        <v>0</v>
      </c>
      <c r="T171" s="12">
        <v>0</v>
      </c>
      <c r="U171" s="12">
        <v>0</v>
      </c>
    </row>
    <row r="172" spans="1:21" x14ac:dyDescent="0.3">
      <c r="A172" s="13" t="s">
        <v>627</v>
      </c>
      <c r="B172" s="14" t="s">
        <v>624</v>
      </c>
      <c r="C172" s="14"/>
      <c r="D172" s="14" t="s">
        <v>628</v>
      </c>
      <c r="E172" s="14">
        <f xml:space="preserve"> IF($U$172,1,0)</f>
        <v>0</v>
      </c>
      <c r="F172" s="14" t="s">
        <v>629</v>
      </c>
      <c r="G172" s="14">
        <v>0</v>
      </c>
      <c r="H172" s="14">
        <v>0</v>
      </c>
      <c r="I172" s="14">
        <v>0</v>
      </c>
      <c r="J172" s="14">
        <v>0</v>
      </c>
      <c r="K172" s="14">
        <v>0</v>
      </c>
      <c r="L172" s="14">
        <v>0</v>
      </c>
      <c r="M172" s="14">
        <v>0</v>
      </c>
      <c r="N172" s="14">
        <v>0</v>
      </c>
      <c r="O172" s="14">
        <v>0</v>
      </c>
      <c r="P172" s="14">
        <v>0</v>
      </c>
      <c r="Q172" s="15">
        <v>0</v>
      </c>
      <c r="R172" s="15">
        <v>0</v>
      </c>
      <c r="S172" s="15">
        <v>0</v>
      </c>
      <c r="T172" s="15">
        <v>0</v>
      </c>
      <c r="U172" s="15">
        <v>0</v>
      </c>
    </row>
    <row r="173" spans="1:21" x14ac:dyDescent="0.3">
      <c r="A173" s="10" t="s">
        <v>630</v>
      </c>
      <c r="B173" s="11" t="s">
        <v>631</v>
      </c>
      <c r="C173" s="11"/>
      <c r="D173" s="11" t="s">
        <v>632</v>
      </c>
      <c r="E173" s="11">
        <f xml:space="preserve"> IF($U$173,1,0)</f>
        <v>0</v>
      </c>
      <c r="F173" s="11" t="s">
        <v>633</v>
      </c>
      <c r="G173" s="11">
        <v>0</v>
      </c>
      <c r="H173" s="11">
        <v>0</v>
      </c>
      <c r="I173" s="11">
        <v>0</v>
      </c>
      <c r="J173" s="11">
        <v>0</v>
      </c>
      <c r="K173" s="11">
        <v>0</v>
      </c>
      <c r="L173" s="11">
        <v>0</v>
      </c>
      <c r="M173" s="11">
        <v>0</v>
      </c>
      <c r="N173" s="11">
        <v>0</v>
      </c>
      <c r="O173" s="11">
        <v>0</v>
      </c>
      <c r="P173" s="11">
        <v>0</v>
      </c>
      <c r="Q173" s="12">
        <v>0</v>
      </c>
      <c r="R173" s="12">
        <v>0</v>
      </c>
      <c r="S173" s="12">
        <v>0</v>
      </c>
      <c r="T173" s="12">
        <v>0</v>
      </c>
      <c r="U173" s="12">
        <v>0</v>
      </c>
    </row>
    <row r="174" spans="1:21" x14ac:dyDescent="0.3">
      <c r="A174" s="13" t="s">
        <v>634</v>
      </c>
      <c r="B174" s="14" t="s">
        <v>635</v>
      </c>
      <c r="C174" s="14"/>
      <c r="D174" s="14" t="s">
        <v>636</v>
      </c>
      <c r="E174" s="14">
        <f xml:space="preserve"> IF($U$174,1,0)</f>
        <v>0</v>
      </c>
      <c r="F174" s="14" t="s">
        <v>637</v>
      </c>
      <c r="G174" s="14">
        <v>0</v>
      </c>
      <c r="H174" s="14">
        <v>0</v>
      </c>
      <c r="I174" s="14">
        <v>0</v>
      </c>
      <c r="J174" s="14">
        <v>0</v>
      </c>
      <c r="K174" s="14">
        <v>0</v>
      </c>
      <c r="L174" s="14">
        <v>0</v>
      </c>
      <c r="M174" s="14">
        <v>0</v>
      </c>
      <c r="N174" s="14">
        <v>0</v>
      </c>
      <c r="O174" s="14">
        <v>0</v>
      </c>
      <c r="P174" s="14">
        <v>0</v>
      </c>
      <c r="Q174" s="15">
        <v>0</v>
      </c>
      <c r="R174" s="15">
        <v>0</v>
      </c>
      <c r="S174" s="15">
        <v>0</v>
      </c>
      <c r="T174" s="15">
        <v>0</v>
      </c>
      <c r="U174" s="15">
        <v>0</v>
      </c>
    </row>
    <row r="175" spans="1:21" x14ac:dyDescent="0.3">
      <c r="A175" s="10" t="s">
        <v>638</v>
      </c>
      <c r="B175" s="11" t="s">
        <v>639</v>
      </c>
      <c r="C175" s="11"/>
      <c r="D175" s="11" t="s">
        <v>274</v>
      </c>
      <c r="E175" s="11">
        <f xml:space="preserve"> IF($U$175,1,0)</f>
        <v>0</v>
      </c>
      <c r="F175" s="11" t="s">
        <v>640</v>
      </c>
      <c r="G175" s="11">
        <v>0</v>
      </c>
      <c r="H175" s="11">
        <v>0</v>
      </c>
      <c r="I175" s="11">
        <v>0</v>
      </c>
      <c r="J175" s="11">
        <v>0</v>
      </c>
      <c r="K175" s="11">
        <v>0</v>
      </c>
      <c r="L175" s="11">
        <v>0</v>
      </c>
      <c r="M175" s="11">
        <v>0</v>
      </c>
      <c r="N175" s="11">
        <v>0</v>
      </c>
      <c r="O175" s="11">
        <v>0</v>
      </c>
      <c r="P175" s="11">
        <v>0</v>
      </c>
      <c r="Q175" s="12">
        <v>0</v>
      </c>
      <c r="R175" s="12">
        <v>0</v>
      </c>
      <c r="S175" s="12">
        <v>0</v>
      </c>
      <c r="T175" s="12">
        <v>0</v>
      </c>
      <c r="U175" s="12">
        <v>0</v>
      </c>
    </row>
    <row r="176" spans="1:21" x14ac:dyDescent="0.3">
      <c r="A176" s="13" t="s">
        <v>641</v>
      </c>
      <c r="B176" s="14" t="s">
        <v>642</v>
      </c>
      <c r="C176" s="14"/>
      <c r="D176" s="14" t="s">
        <v>643</v>
      </c>
      <c r="E176" s="14">
        <f xml:space="preserve"> IF($U$176,1,0)</f>
        <v>0</v>
      </c>
      <c r="F176" s="14" t="s">
        <v>644</v>
      </c>
      <c r="G176" s="14">
        <v>0</v>
      </c>
      <c r="H176" s="14">
        <v>0</v>
      </c>
      <c r="I176" s="14">
        <v>0</v>
      </c>
      <c r="J176" s="14">
        <v>0</v>
      </c>
      <c r="K176" s="14">
        <v>0</v>
      </c>
      <c r="L176" s="14">
        <v>0</v>
      </c>
      <c r="M176" s="14">
        <v>0</v>
      </c>
      <c r="N176" s="14">
        <v>0</v>
      </c>
      <c r="O176" s="14">
        <v>0</v>
      </c>
      <c r="P176" s="14">
        <v>0</v>
      </c>
      <c r="Q176" s="15">
        <v>0</v>
      </c>
      <c r="R176" s="15">
        <v>0</v>
      </c>
      <c r="S176" s="15">
        <v>0</v>
      </c>
      <c r="T176" s="15">
        <v>0</v>
      </c>
      <c r="U176" s="15">
        <v>0</v>
      </c>
    </row>
    <row r="177" spans="1:21" x14ac:dyDescent="0.3">
      <c r="A177" s="10" t="s">
        <v>645</v>
      </c>
      <c r="B177" s="11" t="s">
        <v>646</v>
      </c>
      <c r="C177" s="11"/>
      <c r="D177" s="11" t="s">
        <v>647</v>
      </c>
      <c r="E177" s="11">
        <f xml:space="preserve"> IF($U$177,1,0)</f>
        <v>0</v>
      </c>
      <c r="F177" s="11" t="s">
        <v>648</v>
      </c>
      <c r="G177" s="11">
        <v>0</v>
      </c>
      <c r="H177" s="11">
        <v>0</v>
      </c>
      <c r="I177" s="11">
        <v>0</v>
      </c>
      <c r="J177" s="11">
        <v>0</v>
      </c>
      <c r="K177" s="11">
        <v>0</v>
      </c>
      <c r="L177" s="11">
        <v>0</v>
      </c>
      <c r="M177" s="11">
        <v>0</v>
      </c>
      <c r="N177" s="11">
        <v>0</v>
      </c>
      <c r="O177" s="11">
        <v>0</v>
      </c>
      <c r="P177" s="11">
        <v>0</v>
      </c>
      <c r="Q177" s="12">
        <v>0</v>
      </c>
      <c r="R177" s="12">
        <v>0</v>
      </c>
      <c r="S177" s="12">
        <v>0</v>
      </c>
      <c r="T177" s="12">
        <v>0</v>
      </c>
      <c r="U177" s="12">
        <v>0</v>
      </c>
    </row>
    <row r="178" spans="1:21" x14ac:dyDescent="0.3">
      <c r="A178" s="13" t="s">
        <v>649</v>
      </c>
      <c r="B178" s="14" t="s">
        <v>650</v>
      </c>
      <c r="C178" s="14"/>
      <c r="D178" s="14" t="s">
        <v>651</v>
      </c>
      <c r="E178" s="14">
        <f xml:space="preserve"> IF($U$178,1,0)</f>
        <v>0</v>
      </c>
      <c r="F178" s="14" t="s">
        <v>652</v>
      </c>
      <c r="G178" s="14">
        <v>0</v>
      </c>
      <c r="H178" s="14">
        <v>0</v>
      </c>
      <c r="I178" s="14">
        <v>0</v>
      </c>
      <c r="J178" s="14">
        <v>0</v>
      </c>
      <c r="K178" s="14">
        <v>0</v>
      </c>
      <c r="L178" s="14">
        <v>0</v>
      </c>
      <c r="M178" s="14">
        <v>0</v>
      </c>
      <c r="N178" s="14">
        <v>0</v>
      </c>
      <c r="O178" s="14">
        <v>0</v>
      </c>
      <c r="P178" s="14">
        <v>0</v>
      </c>
      <c r="Q178" s="15">
        <v>0</v>
      </c>
      <c r="R178" s="15">
        <v>0</v>
      </c>
      <c r="S178" s="15">
        <v>0</v>
      </c>
      <c r="T178" s="15">
        <v>0</v>
      </c>
      <c r="U178" s="15">
        <v>0</v>
      </c>
    </row>
    <row r="179" spans="1:21" x14ac:dyDescent="0.3">
      <c r="A179" s="10" t="s">
        <v>653</v>
      </c>
      <c r="B179" s="11" t="s">
        <v>654</v>
      </c>
      <c r="C179" s="11"/>
      <c r="D179" s="11" t="s">
        <v>655</v>
      </c>
      <c r="E179" s="11">
        <f xml:space="preserve"> IF($U$179,1,0)</f>
        <v>0</v>
      </c>
      <c r="F179" s="11" t="s">
        <v>656</v>
      </c>
      <c r="G179" s="11">
        <v>0</v>
      </c>
      <c r="H179" s="11">
        <v>0</v>
      </c>
      <c r="I179" s="11">
        <v>0</v>
      </c>
      <c r="J179" s="11">
        <v>0</v>
      </c>
      <c r="K179" s="11">
        <v>0</v>
      </c>
      <c r="L179" s="11">
        <v>0</v>
      </c>
      <c r="M179" s="11">
        <v>0</v>
      </c>
      <c r="N179" s="11">
        <v>0</v>
      </c>
      <c r="O179" s="11">
        <v>0</v>
      </c>
      <c r="P179" s="11">
        <v>0</v>
      </c>
      <c r="Q179" s="12">
        <v>0</v>
      </c>
      <c r="R179" s="12">
        <v>0</v>
      </c>
      <c r="S179" s="12">
        <v>0</v>
      </c>
      <c r="T179" s="12">
        <v>0</v>
      </c>
      <c r="U179" s="12">
        <v>0</v>
      </c>
    </row>
    <row r="180" spans="1:21" x14ac:dyDescent="0.3">
      <c r="A180" s="13" t="s">
        <v>657</v>
      </c>
      <c r="B180" s="14" t="s">
        <v>658</v>
      </c>
      <c r="C180" s="14"/>
      <c r="D180" s="14" t="s">
        <v>659</v>
      </c>
      <c r="E180" s="14">
        <f xml:space="preserve"> IF($U$180,1,0)</f>
        <v>0</v>
      </c>
      <c r="F180" s="14" t="s">
        <v>660</v>
      </c>
      <c r="G180" s="14">
        <v>0</v>
      </c>
      <c r="H180" s="14">
        <v>0</v>
      </c>
      <c r="I180" s="14">
        <v>0</v>
      </c>
      <c r="J180" s="14">
        <v>0</v>
      </c>
      <c r="K180" s="14">
        <v>0</v>
      </c>
      <c r="L180" s="14">
        <v>0</v>
      </c>
      <c r="M180" s="14">
        <v>0</v>
      </c>
      <c r="N180" s="14">
        <v>0</v>
      </c>
      <c r="O180" s="14">
        <v>0</v>
      </c>
      <c r="P180" s="14">
        <v>0</v>
      </c>
      <c r="Q180" s="15">
        <v>0</v>
      </c>
      <c r="R180" s="15">
        <v>0</v>
      </c>
      <c r="S180" s="15">
        <v>0</v>
      </c>
      <c r="T180" s="15">
        <v>0</v>
      </c>
      <c r="U180" s="15">
        <v>0</v>
      </c>
    </row>
    <row r="181" spans="1:21" x14ac:dyDescent="0.3">
      <c r="A181" s="10" t="s">
        <v>661</v>
      </c>
      <c r="B181" s="11" t="s">
        <v>658</v>
      </c>
      <c r="C181" s="11" t="s">
        <v>202</v>
      </c>
      <c r="D181" s="11" t="s">
        <v>662</v>
      </c>
      <c r="E181" s="11">
        <f xml:space="preserve"> IF($U$181,1,0)</f>
        <v>0</v>
      </c>
      <c r="F181" s="11" t="s">
        <v>663</v>
      </c>
      <c r="G181" s="11">
        <v>0</v>
      </c>
      <c r="H181" s="11">
        <v>0</v>
      </c>
      <c r="I181" s="11">
        <v>0</v>
      </c>
      <c r="J181" s="11">
        <v>0</v>
      </c>
      <c r="K181" s="11">
        <v>0</v>
      </c>
      <c r="L181" s="11">
        <v>0</v>
      </c>
      <c r="M181" s="11">
        <v>0</v>
      </c>
      <c r="N181" s="11">
        <v>0</v>
      </c>
      <c r="O181" s="11">
        <v>0</v>
      </c>
      <c r="P181" s="11">
        <v>0</v>
      </c>
      <c r="Q181" s="12">
        <v>0</v>
      </c>
      <c r="R181" s="12">
        <v>0</v>
      </c>
      <c r="S181" s="12">
        <v>0</v>
      </c>
      <c r="T181" s="12">
        <v>0</v>
      </c>
      <c r="U181" s="12">
        <v>0</v>
      </c>
    </row>
    <row r="182" spans="1:21" x14ac:dyDescent="0.3">
      <c r="A182" s="13" t="s">
        <v>664</v>
      </c>
      <c r="B182" s="14" t="s">
        <v>665</v>
      </c>
      <c r="C182" s="14"/>
      <c r="D182" s="14" t="s">
        <v>666</v>
      </c>
      <c r="E182" s="14">
        <f xml:space="preserve"> IF($U$182,1,0)</f>
        <v>0</v>
      </c>
      <c r="F182" s="14" t="s">
        <v>667</v>
      </c>
      <c r="G182" s="14">
        <v>0</v>
      </c>
      <c r="H182" s="14">
        <v>0</v>
      </c>
      <c r="I182" s="14">
        <v>0</v>
      </c>
      <c r="J182" s="14">
        <v>0</v>
      </c>
      <c r="K182" s="14">
        <v>0</v>
      </c>
      <c r="L182" s="14">
        <v>0</v>
      </c>
      <c r="M182" s="14">
        <v>0</v>
      </c>
      <c r="N182" s="14">
        <v>0</v>
      </c>
      <c r="O182" s="14">
        <v>0</v>
      </c>
      <c r="P182" s="14">
        <v>0</v>
      </c>
      <c r="Q182" s="15">
        <v>0</v>
      </c>
      <c r="R182" s="15">
        <v>0</v>
      </c>
      <c r="S182" s="15">
        <v>0</v>
      </c>
      <c r="T182" s="15">
        <v>0</v>
      </c>
      <c r="U182" s="15">
        <v>0</v>
      </c>
    </row>
    <row r="183" spans="1:21" x14ac:dyDescent="0.3">
      <c r="A183" s="10" t="s">
        <v>668</v>
      </c>
      <c r="B183" s="11" t="s">
        <v>669</v>
      </c>
      <c r="C183" s="11"/>
      <c r="D183" s="11" t="s">
        <v>670</v>
      </c>
      <c r="E183" s="11">
        <f xml:space="preserve"> IF($U$183,1,0)</f>
        <v>0</v>
      </c>
      <c r="F183" s="11" t="s">
        <v>671</v>
      </c>
      <c r="G183" s="11">
        <v>0</v>
      </c>
      <c r="H183" s="11">
        <v>0</v>
      </c>
      <c r="I183" s="11">
        <v>0</v>
      </c>
      <c r="J183" s="11">
        <v>0</v>
      </c>
      <c r="K183" s="11">
        <v>0</v>
      </c>
      <c r="L183" s="11">
        <v>0</v>
      </c>
      <c r="M183" s="11">
        <v>0</v>
      </c>
      <c r="N183" s="11">
        <v>0</v>
      </c>
      <c r="O183" s="11">
        <v>0</v>
      </c>
      <c r="P183" s="11">
        <v>0</v>
      </c>
      <c r="Q183" s="12">
        <v>0</v>
      </c>
      <c r="R183" s="12">
        <v>0</v>
      </c>
      <c r="S183" s="12">
        <v>0</v>
      </c>
      <c r="T183" s="12">
        <v>0</v>
      </c>
      <c r="U183" s="12">
        <v>0</v>
      </c>
    </row>
    <row r="184" spans="1:21" x14ac:dyDescent="0.3">
      <c r="A184" s="13" t="s">
        <v>672</v>
      </c>
      <c r="B184" s="14" t="s">
        <v>673</v>
      </c>
      <c r="C184" s="14"/>
      <c r="D184" s="14" t="s">
        <v>674</v>
      </c>
      <c r="E184" s="14">
        <f xml:space="preserve"> IF($U$184,1,0)</f>
        <v>0</v>
      </c>
      <c r="F184" s="14" t="s">
        <v>675</v>
      </c>
      <c r="G184" s="14">
        <v>0</v>
      </c>
      <c r="H184" s="14">
        <v>0</v>
      </c>
      <c r="I184" s="14">
        <v>0</v>
      </c>
      <c r="J184" s="14">
        <v>0</v>
      </c>
      <c r="K184" s="14">
        <v>0</v>
      </c>
      <c r="L184" s="14">
        <v>0</v>
      </c>
      <c r="M184" s="14">
        <v>0</v>
      </c>
      <c r="N184" s="14">
        <v>0</v>
      </c>
      <c r="O184" s="14">
        <v>0</v>
      </c>
      <c r="P184" s="14">
        <v>0</v>
      </c>
      <c r="Q184" s="15">
        <v>0</v>
      </c>
      <c r="R184" s="15">
        <v>0</v>
      </c>
      <c r="S184" s="15">
        <v>0</v>
      </c>
      <c r="T184" s="15">
        <v>0</v>
      </c>
      <c r="U184" s="15">
        <v>0</v>
      </c>
    </row>
    <row r="185" spans="1:21" x14ac:dyDescent="0.3">
      <c r="A185" s="10" t="s">
        <v>676</v>
      </c>
      <c r="B185" s="11" t="s">
        <v>677</v>
      </c>
      <c r="C185" s="11"/>
      <c r="D185" s="11" t="s">
        <v>678</v>
      </c>
      <c r="E185" s="11">
        <f xml:space="preserve"> IF($U$185,1,0)</f>
        <v>0</v>
      </c>
      <c r="F185" s="11" t="s">
        <v>679</v>
      </c>
      <c r="G185" s="11">
        <v>0</v>
      </c>
      <c r="H185" s="11">
        <v>0</v>
      </c>
      <c r="I185" s="11">
        <v>0</v>
      </c>
      <c r="J185" s="11">
        <v>0</v>
      </c>
      <c r="K185" s="11">
        <v>0</v>
      </c>
      <c r="L185" s="11">
        <v>0</v>
      </c>
      <c r="M185" s="11">
        <v>0</v>
      </c>
      <c r="N185" s="11">
        <v>0</v>
      </c>
      <c r="O185" s="11">
        <v>0</v>
      </c>
      <c r="P185" s="11">
        <v>0</v>
      </c>
      <c r="Q185" s="12">
        <v>0</v>
      </c>
      <c r="R185" s="12">
        <v>0</v>
      </c>
      <c r="S185" s="12">
        <v>0</v>
      </c>
      <c r="T185" s="12">
        <v>0</v>
      </c>
      <c r="U185" s="12">
        <v>0</v>
      </c>
    </row>
    <row r="186" spans="1:21" x14ac:dyDescent="0.3">
      <c r="A186" s="13" t="s">
        <v>680</v>
      </c>
      <c r="B186" s="14" t="s">
        <v>681</v>
      </c>
      <c r="C186" s="14"/>
      <c r="D186" s="14" t="s">
        <v>682</v>
      </c>
      <c r="E186" s="14">
        <f xml:space="preserve"> IF($U$186,1,0)</f>
        <v>0</v>
      </c>
      <c r="F186" s="14" t="s">
        <v>683</v>
      </c>
      <c r="G186" s="14">
        <v>0</v>
      </c>
      <c r="H186" s="14">
        <v>0</v>
      </c>
      <c r="I186" s="14">
        <v>0</v>
      </c>
      <c r="J186" s="14">
        <v>0</v>
      </c>
      <c r="K186" s="14">
        <v>0</v>
      </c>
      <c r="L186" s="14">
        <v>0</v>
      </c>
      <c r="M186" s="14">
        <v>0</v>
      </c>
      <c r="N186" s="14">
        <v>0</v>
      </c>
      <c r="O186" s="14">
        <v>0</v>
      </c>
      <c r="P186" s="14">
        <v>0</v>
      </c>
      <c r="Q186" s="15">
        <v>0</v>
      </c>
      <c r="R186" s="15">
        <v>0</v>
      </c>
      <c r="S186" s="15">
        <v>0</v>
      </c>
      <c r="T186" s="15">
        <v>0</v>
      </c>
      <c r="U186" s="15">
        <v>0</v>
      </c>
    </row>
    <row r="187" spans="1:21" x14ac:dyDescent="0.3">
      <c r="A187" s="10" t="s">
        <v>684</v>
      </c>
      <c r="B187" s="11" t="s">
        <v>685</v>
      </c>
      <c r="C187" s="11"/>
      <c r="D187" s="11" t="s">
        <v>686</v>
      </c>
      <c r="E187" s="11">
        <f xml:space="preserve"> IF($U$187,1,0)</f>
        <v>0</v>
      </c>
      <c r="F187" s="11" t="s">
        <v>687</v>
      </c>
      <c r="G187" s="11">
        <v>0</v>
      </c>
      <c r="H187" s="11">
        <v>0</v>
      </c>
      <c r="I187" s="11">
        <v>0</v>
      </c>
      <c r="J187" s="11">
        <v>0</v>
      </c>
      <c r="K187" s="11">
        <v>0</v>
      </c>
      <c r="L187" s="11">
        <v>0</v>
      </c>
      <c r="M187" s="11">
        <v>0</v>
      </c>
      <c r="N187" s="11">
        <v>0</v>
      </c>
      <c r="O187" s="11">
        <v>0</v>
      </c>
      <c r="P187" s="11">
        <v>0</v>
      </c>
      <c r="Q187" s="12">
        <v>0</v>
      </c>
      <c r="R187" s="12">
        <v>0</v>
      </c>
      <c r="S187" s="12">
        <v>0</v>
      </c>
      <c r="T187" s="12">
        <v>0</v>
      </c>
      <c r="U187" s="12">
        <v>0</v>
      </c>
    </row>
    <row r="188" spans="1:21" x14ac:dyDescent="0.3">
      <c r="A188" s="13" t="s">
        <v>688</v>
      </c>
      <c r="B188" s="14" t="s">
        <v>689</v>
      </c>
      <c r="C188" s="14"/>
      <c r="D188" s="14" t="s">
        <v>690</v>
      </c>
      <c r="E188" s="14">
        <f xml:space="preserve"> IF($U$188,1,0)</f>
        <v>0</v>
      </c>
      <c r="F188" s="14" t="s">
        <v>691</v>
      </c>
      <c r="G188" s="14">
        <v>0</v>
      </c>
      <c r="H188" s="14">
        <v>0</v>
      </c>
      <c r="I188" s="14">
        <v>0</v>
      </c>
      <c r="J188" s="14">
        <v>0</v>
      </c>
      <c r="K188" s="14">
        <v>0</v>
      </c>
      <c r="L188" s="14">
        <v>0</v>
      </c>
      <c r="M188" s="14">
        <v>0</v>
      </c>
      <c r="N188" s="14">
        <v>0</v>
      </c>
      <c r="O188" s="14">
        <v>0</v>
      </c>
      <c r="P188" s="14">
        <v>0</v>
      </c>
      <c r="Q188" s="15">
        <v>0</v>
      </c>
      <c r="R188" s="15">
        <v>0</v>
      </c>
      <c r="S188" s="15">
        <v>0</v>
      </c>
      <c r="T188" s="15">
        <v>0</v>
      </c>
      <c r="U188" s="15">
        <v>0</v>
      </c>
    </row>
    <row r="189" spans="1:21" x14ac:dyDescent="0.3">
      <c r="A189" s="10" t="s">
        <v>692</v>
      </c>
      <c r="B189" s="11" t="s">
        <v>693</v>
      </c>
      <c r="C189" s="11" t="s">
        <v>65</v>
      </c>
      <c r="D189" s="11" t="s">
        <v>694</v>
      </c>
      <c r="E189" s="11">
        <f xml:space="preserve"> IF($U$189,1,0)</f>
        <v>0</v>
      </c>
      <c r="F189" s="11" t="s">
        <v>695</v>
      </c>
      <c r="G189" s="11">
        <v>0</v>
      </c>
      <c r="H189" s="11">
        <v>0</v>
      </c>
      <c r="I189" s="11">
        <v>0</v>
      </c>
      <c r="J189" s="11">
        <v>0</v>
      </c>
      <c r="K189" s="11">
        <v>0</v>
      </c>
      <c r="L189" s="11">
        <v>0</v>
      </c>
      <c r="M189" s="11">
        <v>0</v>
      </c>
      <c r="N189" s="11">
        <v>0</v>
      </c>
      <c r="O189" s="11">
        <v>0</v>
      </c>
      <c r="P189" s="11">
        <v>0</v>
      </c>
      <c r="Q189" s="12">
        <v>0</v>
      </c>
      <c r="R189" s="12">
        <v>0</v>
      </c>
      <c r="S189" s="12">
        <v>0</v>
      </c>
      <c r="T189" s="12">
        <v>0</v>
      </c>
      <c r="U189" s="12">
        <v>0</v>
      </c>
    </row>
    <row r="190" spans="1:21" x14ac:dyDescent="0.3">
      <c r="A190" s="13" t="s">
        <v>696</v>
      </c>
      <c r="B190" s="14" t="s">
        <v>697</v>
      </c>
      <c r="C190" s="14"/>
      <c r="D190" s="14" t="s">
        <v>698</v>
      </c>
      <c r="E190" s="14">
        <f xml:space="preserve"> IF($U$190,1,0)</f>
        <v>0</v>
      </c>
      <c r="F190" s="14" t="s">
        <v>699</v>
      </c>
      <c r="G190" s="14">
        <v>0</v>
      </c>
      <c r="H190" s="14">
        <v>0</v>
      </c>
      <c r="I190" s="14">
        <v>0</v>
      </c>
      <c r="J190" s="14">
        <v>0</v>
      </c>
      <c r="K190" s="14">
        <v>0</v>
      </c>
      <c r="L190" s="14">
        <v>0</v>
      </c>
      <c r="M190" s="14">
        <v>0</v>
      </c>
      <c r="N190" s="14">
        <v>0</v>
      </c>
      <c r="O190" s="14">
        <v>0</v>
      </c>
      <c r="P190" s="14">
        <v>0</v>
      </c>
      <c r="Q190" s="15">
        <v>0</v>
      </c>
      <c r="R190" s="15">
        <v>0</v>
      </c>
      <c r="S190" s="15">
        <v>0</v>
      </c>
      <c r="T190" s="15">
        <v>0</v>
      </c>
      <c r="U190" s="15">
        <v>0</v>
      </c>
    </row>
    <row r="191" spans="1:21" x14ac:dyDescent="0.3">
      <c r="A191" s="10" t="s">
        <v>700</v>
      </c>
      <c r="B191" s="11" t="s">
        <v>697</v>
      </c>
      <c r="C191" s="11"/>
      <c r="D191" s="11" t="s">
        <v>701</v>
      </c>
      <c r="E191" s="11">
        <f xml:space="preserve"> IF($U$191,1,0)</f>
        <v>0</v>
      </c>
      <c r="F191" s="11" t="s">
        <v>702</v>
      </c>
      <c r="G191" s="11">
        <v>0</v>
      </c>
      <c r="H191" s="11">
        <v>0</v>
      </c>
      <c r="I191" s="11">
        <v>0</v>
      </c>
      <c r="J191" s="11">
        <v>0</v>
      </c>
      <c r="K191" s="11">
        <v>0</v>
      </c>
      <c r="L191" s="11">
        <v>0</v>
      </c>
      <c r="M191" s="11">
        <v>0</v>
      </c>
      <c r="N191" s="11">
        <v>0</v>
      </c>
      <c r="O191" s="11">
        <v>0</v>
      </c>
      <c r="P191" s="11">
        <v>0</v>
      </c>
      <c r="Q191" s="12">
        <v>0</v>
      </c>
      <c r="R191" s="12">
        <v>0</v>
      </c>
      <c r="S191" s="12">
        <v>0</v>
      </c>
      <c r="T191" s="12">
        <v>0</v>
      </c>
      <c r="U191" s="12">
        <v>0</v>
      </c>
    </row>
    <row r="192" spans="1:21" x14ac:dyDescent="0.3">
      <c r="A192" s="13" t="s">
        <v>703</v>
      </c>
      <c r="B192" s="14" t="s">
        <v>704</v>
      </c>
      <c r="C192" s="14"/>
      <c r="D192" s="14" t="s">
        <v>705</v>
      </c>
      <c r="E192" s="14">
        <f xml:space="preserve"> IF($U$192,1,0)</f>
        <v>0</v>
      </c>
      <c r="F192" s="14" t="s">
        <v>706</v>
      </c>
      <c r="G192" s="14">
        <v>0</v>
      </c>
      <c r="H192" s="14">
        <v>0</v>
      </c>
      <c r="I192" s="14">
        <v>0</v>
      </c>
      <c r="J192" s="14">
        <v>0</v>
      </c>
      <c r="K192" s="14">
        <v>0</v>
      </c>
      <c r="L192" s="14">
        <v>0</v>
      </c>
      <c r="M192" s="14">
        <v>0</v>
      </c>
      <c r="N192" s="14">
        <v>0</v>
      </c>
      <c r="O192" s="14">
        <v>0</v>
      </c>
      <c r="P192" s="14">
        <v>0</v>
      </c>
      <c r="Q192" s="15">
        <v>0</v>
      </c>
      <c r="R192" s="15">
        <v>0</v>
      </c>
      <c r="S192" s="15">
        <v>0</v>
      </c>
      <c r="T192" s="15">
        <v>0</v>
      </c>
      <c r="U192" s="15">
        <v>0</v>
      </c>
    </row>
    <row r="193" spans="1:21" x14ac:dyDescent="0.3">
      <c r="A193" s="10" t="s">
        <v>707</v>
      </c>
      <c r="B193" s="11" t="s">
        <v>708</v>
      </c>
      <c r="C193" s="11"/>
      <c r="D193" s="11" t="s">
        <v>222</v>
      </c>
      <c r="E193" s="11">
        <f xml:space="preserve"> IF($U$193,1,0)</f>
        <v>0</v>
      </c>
      <c r="F193" s="11" t="s">
        <v>709</v>
      </c>
      <c r="G193" s="11">
        <v>0</v>
      </c>
      <c r="H193" s="11">
        <v>0</v>
      </c>
      <c r="I193" s="11">
        <v>0</v>
      </c>
      <c r="J193" s="11">
        <v>0</v>
      </c>
      <c r="K193" s="11">
        <v>0</v>
      </c>
      <c r="L193" s="11">
        <v>0</v>
      </c>
      <c r="M193" s="11">
        <v>0</v>
      </c>
      <c r="N193" s="11">
        <v>0</v>
      </c>
      <c r="O193" s="11">
        <v>0</v>
      </c>
      <c r="P193" s="11">
        <v>0</v>
      </c>
      <c r="Q193" s="12">
        <v>0</v>
      </c>
      <c r="R193" s="12">
        <v>0</v>
      </c>
      <c r="S193" s="12">
        <v>0</v>
      </c>
      <c r="T193" s="12">
        <v>0</v>
      </c>
      <c r="U193" s="12">
        <v>0</v>
      </c>
    </row>
    <row r="194" spans="1:21" x14ac:dyDescent="0.3">
      <c r="A194" s="13" t="s">
        <v>710</v>
      </c>
      <c r="B194" s="14" t="s">
        <v>708</v>
      </c>
      <c r="C194" s="14"/>
      <c r="D194" s="14" t="s">
        <v>711</v>
      </c>
      <c r="E194" s="14">
        <f xml:space="preserve"> IF($U$194,1,0)</f>
        <v>0</v>
      </c>
      <c r="F194" s="14" t="s">
        <v>712</v>
      </c>
      <c r="G194" s="14">
        <v>0</v>
      </c>
      <c r="H194" s="14">
        <v>0</v>
      </c>
      <c r="I194" s="14">
        <v>0</v>
      </c>
      <c r="J194" s="14">
        <v>0</v>
      </c>
      <c r="K194" s="14">
        <v>0</v>
      </c>
      <c r="L194" s="14">
        <v>0</v>
      </c>
      <c r="M194" s="14">
        <v>0</v>
      </c>
      <c r="N194" s="14">
        <v>0</v>
      </c>
      <c r="O194" s="14">
        <v>0</v>
      </c>
      <c r="P194" s="14">
        <v>0</v>
      </c>
      <c r="Q194" s="15">
        <v>0</v>
      </c>
      <c r="R194" s="15">
        <v>0</v>
      </c>
      <c r="S194" s="15">
        <v>0</v>
      </c>
      <c r="T194" s="15">
        <v>0</v>
      </c>
      <c r="U194" s="15">
        <v>0</v>
      </c>
    </row>
    <row r="195" spans="1:21" x14ac:dyDescent="0.3">
      <c r="A195" s="10" t="s">
        <v>713</v>
      </c>
      <c r="B195" s="11" t="s">
        <v>708</v>
      </c>
      <c r="C195" s="11"/>
      <c r="D195" s="11" t="s">
        <v>714</v>
      </c>
      <c r="E195" s="11">
        <f xml:space="preserve"> IF($U$195,1,0)</f>
        <v>0</v>
      </c>
      <c r="F195" s="11" t="s">
        <v>715</v>
      </c>
      <c r="G195" s="11">
        <v>0</v>
      </c>
      <c r="H195" s="11">
        <v>0</v>
      </c>
      <c r="I195" s="11">
        <v>0</v>
      </c>
      <c r="J195" s="11">
        <v>0</v>
      </c>
      <c r="K195" s="11">
        <v>0</v>
      </c>
      <c r="L195" s="11">
        <v>0</v>
      </c>
      <c r="M195" s="11">
        <v>0</v>
      </c>
      <c r="N195" s="11">
        <v>0</v>
      </c>
      <c r="O195" s="11">
        <v>0</v>
      </c>
      <c r="P195" s="11">
        <v>0</v>
      </c>
      <c r="Q195" s="12">
        <v>0</v>
      </c>
      <c r="R195" s="12">
        <v>0</v>
      </c>
      <c r="S195" s="12">
        <v>0</v>
      </c>
      <c r="T195" s="12">
        <v>0</v>
      </c>
      <c r="U195" s="12">
        <v>0</v>
      </c>
    </row>
    <row r="196" spans="1:21" x14ac:dyDescent="0.3">
      <c r="A196" s="13" t="s">
        <v>716</v>
      </c>
      <c r="B196" s="14" t="s">
        <v>717</v>
      </c>
      <c r="C196" s="14"/>
      <c r="D196" s="14" t="s">
        <v>718</v>
      </c>
      <c r="E196" s="14">
        <f xml:space="preserve"> IF($U$196,1,0)</f>
        <v>0</v>
      </c>
      <c r="F196" s="14" t="s">
        <v>719</v>
      </c>
      <c r="G196" s="14">
        <v>0</v>
      </c>
      <c r="H196" s="14">
        <v>0</v>
      </c>
      <c r="I196" s="14">
        <v>0</v>
      </c>
      <c r="J196" s="14">
        <v>0</v>
      </c>
      <c r="K196" s="14">
        <v>0</v>
      </c>
      <c r="L196" s="14">
        <v>0</v>
      </c>
      <c r="M196" s="14">
        <v>0</v>
      </c>
      <c r="N196" s="14">
        <v>0</v>
      </c>
      <c r="O196" s="14">
        <v>0</v>
      </c>
      <c r="P196" s="14">
        <v>0</v>
      </c>
      <c r="Q196" s="15">
        <v>0</v>
      </c>
      <c r="R196" s="15">
        <v>0</v>
      </c>
      <c r="S196" s="15">
        <v>0</v>
      </c>
      <c r="T196" s="15">
        <v>0</v>
      </c>
      <c r="U196" s="15">
        <v>0</v>
      </c>
    </row>
    <row r="197" spans="1:21" x14ac:dyDescent="0.3">
      <c r="A197" s="10" t="s">
        <v>720</v>
      </c>
      <c r="B197" s="11" t="s">
        <v>721</v>
      </c>
      <c r="C197" s="11"/>
      <c r="D197" s="11" t="s">
        <v>722</v>
      </c>
      <c r="E197" s="11">
        <f xml:space="preserve"> IF($U$197,1,0)</f>
        <v>0</v>
      </c>
      <c r="F197" s="11" t="s">
        <v>723</v>
      </c>
      <c r="G197" s="11">
        <v>0</v>
      </c>
      <c r="H197" s="11">
        <v>0</v>
      </c>
      <c r="I197" s="11">
        <v>0</v>
      </c>
      <c r="J197" s="11">
        <v>0</v>
      </c>
      <c r="K197" s="11">
        <v>0</v>
      </c>
      <c r="L197" s="11">
        <v>0</v>
      </c>
      <c r="M197" s="11">
        <v>0</v>
      </c>
      <c r="N197" s="11">
        <v>0</v>
      </c>
      <c r="O197" s="11">
        <v>0</v>
      </c>
      <c r="P197" s="11">
        <v>0</v>
      </c>
      <c r="Q197" s="12">
        <v>0</v>
      </c>
      <c r="R197" s="12">
        <v>0</v>
      </c>
      <c r="S197" s="12">
        <v>0</v>
      </c>
      <c r="T197" s="12">
        <v>0</v>
      </c>
      <c r="U197" s="12">
        <v>0</v>
      </c>
    </row>
    <row r="198" spans="1:21" x14ac:dyDescent="0.3">
      <c r="A198" s="13" t="s">
        <v>724</v>
      </c>
      <c r="B198" s="14" t="s">
        <v>721</v>
      </c>
      <c r="C198" s="14"/>
      <c r="D198" s="14" t="s">
        <v>725</v>
      </c>
      <c r="E198" s="14">
        <f xml:space="preserve"> IF($U$198,1,0)</f>
        <v>0</v>
      </c>
      <c r="F198" s="14" t="s">
        <v>726</v>
      </c>
      <c r="G198" s="14">
        <v>0</v>
      </c>
      <c r="H198" s="14">
        <v>0</v>
      </c>
      <c r="I198" s="14">
        <v>0</v>
      </c>
      <c r="J198" s="14">
        <v>0</v>
      </c>
      <c r="K198" s="14">
        <v>0</v>
      </c>
      <c r="L198" s="14">
        <v>0</v>
      </c>
      <c r="M198" s="14">
        <v>0</v>
      </c>
      <c r="N198" s="14">
        <v>0</v>
      </c>
      <c r="O198" s="14">
        <v>0</v>
      </c>
      <c r="P198" s="14">
        <v>0</v>
      </c>
      <c r="Q198" s="15">
        <v>0</v>
      </c>
      <c r="R198" s="15">
        <v>0</v>
      </c>
      <c r="S198" s="15">
        <v>0</v>
      </c>
      <c r="T198" s="15">
        <v>0</v>
      </c>
      <c r="U198" s="15">
        <v>0</v>
      </c>
    </row>
    <row r="199" spans="1:21" x14ac:dyDescent="0.3">
      <c r="A199" s="10" t="s">
        <v>727</v>
      </c>
      <c r="B199" s="11" t="s">
        <v>728</v>
      </c>
      <c r="C199" s="11"/>
      <c r="D199" s="11" t="s">
        <v>729</v>
      </c>
      <c r="E199" s="11">
        <f xml:space="preserve"> IF($U$199,1,0)</f>
        <v>0</v>
      </c>
      <c r="F199" s="11" t="s">
        <v>730</v>
      </c>
      <c r="G199" s="11">
        <v>0</v>
      </c>
      <c r="H199" s="11">
        <v>0</v>
      </c>
      <c r="I199" s="11">
        <v>0</v>
      </c>
      <c r="J199" s="11">
        <v>0</v>
      </c>
      <c r="K199" s="11">
        <v>0</v>
      </c>
      <c r="L199" s="11">
        <v>0</v>
      </c>
      <c r="M199" s="11">
        <v>0</v>
      </c>
      <c r="N199" s="11">
        <v>0</v>
      </c>
      <c r="O199" s="11">
        <v>0</v>
      </c>
      <c r="P199" s="11">
        <v>0</v>
      </c>
      <c r="Q199" s="12">
        <v>0</v>
      </c>
      <c r="R199" s="12">
        <v>0</v>
      </c>
      <c r="S199" s="12">
        <v>0</v>
      </c>
      <c r="T199" s="12">
        <v>0</v>
      </c>
      <c r="U199" s="12">
        <v>0</v>
      </c>
    </row>
    <row r="200" spans="1:21" x14ac:dyDescent="0.3">
      <c r="A200" s="13" t="s">
        <v>731</v>
      </c>
      <c r="B200" s="14" t="s">
        <v>732</v>
      </c>
      <c r="C200" s="14"/>
      <c r="D200" s="14" t="s">
        <v>733</v>
      </c>
      <c r="E200" s="14">
        <f xml:space="preserve"> IF($U$200,1,0)</f>
        <v>0</v>
      </c>
      <c r="F200" s="14" t="s">
        <v>734</v>
      </c>
      <c r="G200" s="14">
        <v>0</v>
      </c>
      <c r="H200" s="14">
        <v>0</v>
      </c>
      <c r="I200" s="14">
        <v>0</v>
      </c>
      <c r="J200" s="14">
        <v>0</v>
      </c>
      <c r="K200" s="14">
        <v>0</v>
      </c>
      <c r="L200" s="14">
        <v>0</v>
      </c>
      <c r="M200" s="14">
        <v>0</v>
      </c>
      <c r="N200" s="14">
        <v>0</v>
      </c>
      <c r="O200" s="14">
        <v>0</v>
      </c>
      <c r="P200" s="14">
        <v>0</v>
      </c>
      <c r="Q200" s="15">
        <v>0</v>
      </c>
      <c r="R200" s="15">
        <v>0</v>
      </c>
      <c r="S200" s="15">
        <v>0</v>
      </c>
      <c r="T200" s="15">
        <v>0</v>
      </c>
      <c r="U200" s="15">
        <v>0</v>
      </c>
    </row>
    <row r="201" spans="1:21" x14ac:dyDescent="0.3">
      <c r="A201" s="10" t="s">
        <v>735</v>
      </c>
      <c r="B201" s="11" t="s">
        <v>736</v>
      </c>
      <c r="C201" s="11"/>
      <c r="D201" s="11" t="s">
        <v>737</v>
      </c>
      <c r="E201" s="11">
        <f xml:space="preserve"> IF($U$201,1,0)</f>
        <v>0</v>
      </c>
      <c r="F201" s="11" t="s">
        <v>738</v>
      </c>
      <c r="G201" s="11">
        <v>0</v>
      </c>
      <c r="H201" s="11">
        <v>0</v>
      </c>
      <c r="I201" s="11">
        <v>0</v>
      </c>
      <c r="J201" s="11">
        <v>0</v>
      </c>
      <c r="K201" s="11">
        <v>0</v>
      </c>
      <c r="L201" s="11">
        <v>0</v>
      </c>
      <c r="M201" s="11">
        <v>0</v>
      </c>
      <c r="N201" s="11">
        <v>0</v>
      </c>
      <c r="O201" s="11">
        <v>0</v>
      </c>
      <c r="P201" s="11">
        <v>0</v>
      </c>
      <c r="Q201" s="12">
        <v>0</v>
      </c>
      <c r="R201" s="12">
        <v>0</v>
      </c>
      <c r="S201" s="12">
        <v>0</v>
      </c>
      <c r="T201" s="12">
        <v>0</v>
      </c>
      <c r="U201" s="12">
        <v>0</v>
      </c>
    </row>
    <row r="202" spans="1:21" x14ac:dyDescent="0.3">
      <c r="A202" s="13" t="s">
        <v>739</v>
      </c>
      <c r="B202" s="14" t="s">
        <v>740</v>
      </c>
      <c r="C202" s="14" t="s">
        <v>65</v>
      </c>
      <c r="D202" s="14" t="s">
        <v>239</v>
      </c>
      <c r="E202" s="14">
        <f xml:space="preserve"> IF($U$202,1,0)</f>
        <v>0</v>
      </c>
      <c r="F202" s="14" t="s">
        <v>741</v>
      </c>
      <c r="G202" s="14">
        <v>0</v>
      </c>
      <c r="H202" s="14">
        <v>0</v>
      </c>
      <c r="I202" s="14">
        <v>0</v>
      </c>
      <c r="J202" s="14">
        <v>0</v>
      </c>
      <c r="K202" s="14">
        <v>0</v>
      </c>
      <c r="L202" s="14">
        <v>0</v>
      </c>
      <c r="M202" s="14">
        <v>0</v>
      </c>
      <c r="N202" s="14">
        <v>0</v>
      </c>
      <c r="O202" s="14">
        <v>0</v>
      </c>
      <c r="P202" s="14">
        <v>0</v>
      </c>
      <c r="Q202" s="15">
        <v>0</v>
      </c>
      <c r="R202" s="15">
        <v>0</v>
      </c>
      <c r="S202" s="15">
        <v>0</v>
      </c>
      <c r="T202" s="15">
        <v>0</v>
      </c>
      <c r="U202" s="15">
        <v>0</v>
      </c>
    </row>
    <row r="203" spans="1:21" x14ac:dyDescent="0.3">
      <c r="A203" s="10" t="s">
        <v>742</v>
      </c>
      <c r="B203" s="11" t="s">
        <v>743</v>
      </c>
      <c r="C203" s="11"/>
      <c r="D203" s="11" t="s">
        <v>744</v>
      </c>
      <c r="E203" s="11">
        <f xml:space="preserve"> IF($U$203,1,0)</f>
        <v>0</v>
      </c>
      <c r="F203" s="11" t="s">
        <v>745</v>
      </c>
      <c r="G203" s="11">
        <v>0</v>
      </c>
      <c r="H203" s="11">
        <v>0</v>
      </c>
      <c r="I203" s="11">
        <v>0</v>
      </c>
      <c r="J203" s="11">
        <v>0</v>
      </c>
      <c r="K203" s="11">
        <v>0</v>
      </c>
      <c r="L203" s="11">
        <v>0</v>
      </c>
      <c r="M203" s="11">
        <v>0</v>
      </c>
      <c r="N203" s="11">
        <v>0</v>
      </c>
      <c r="O203" s="11">
        <v>0</v>
      </c>
      <c r="P203" s="11">
        <v>0</v>
      </c>
      <c r="Q203" s="12">
        <v>0</v>
      </c>
      <c r="R203" s="12">
        <v>0</v>
      </c>
      <c r="S203" s="12">
        <v>0</v>
      </c>
      <c r="T203" s="12">
        <v>0</v>
      </c>
      <c r="U203" s="12">
        <v>0</v>
      </c>
    </row>
    <row r="204" spans="1:21" x14ac:dyDescent="0.3">
      <c r="A204" s="13" t="s">
        <v>746</v>
      </c>
      <c r="B204" s="14" t="s">
        <v>747</v>
      </c>
      <c r="C204" s="14"/>
      <c r="D204" s="14" t="s">
        <v>748</v>
      </c>
      <c r="E204" s="14">
        <f xml:space="preserve"> IF($U$204,1,0)</f>
        <v>0</v>
      </c>
      <c r="F204" s="14" t="s">
        <v>749</v>
      </c>
      <c r="G204" s="14">
        <v>0</v>
      </c>
      <c r="H204" s="14">
        <v>0</v>
      </c>
      <c r="I204" s="14">
        <v>0</v>
      </c>
      <c r="J204" s="14">
        <v>0</v>
      </c>
      <c r="K204" s="14">
        <v>0</v>
      </c>
      <c r="L204" s="14">
        <v>0</v>
      </c>
      <c r="M204" s="14">
        <v>0</v>
      </c>
      <c r="N204" s="14">
        <v>0</v>
      </c>
      <c r="O204" s="14">
        <v>0</v>
      </c>
      <c r="P204" s="14">
        <v>0</v>
      </c>
      <c r="Q204" s="15">
        <v>0</v>
      </c>
      <c r="R204" s="15">
        <v>0</v>
      </c>
      <c r="S204" s="15">
        <v>0</v>
      </c>
      <c r="T204" s="15">
        <v>0</v>
      </c>
      <c r="U204" s="15">
        <v>0</v>
      </c>
    </row>
    <row r="205" spans="1:21" x14ac:dyDescent="0.3">
      <c r="A205" s="10" t="s">
        <v>750</v>
      </c>
      <c r="B205" s="11" t="s">
        <v>751</v>
      </c>
      <c r="C205" s="11"/>
      <c r="D205" s="11" t="s">
        <v>752</v>
      </c>
      <c r="E205" s="11">
        <f xml:space="preserve"> IF($U$205,1,0)</f>
        <v>0</v>
      </c>
      <c r="F205" s="11" t="s">
        <v>753</v>
      </c>
      <c r="G205" s="11">
        <v>0</v>
      </c>
      <c r="H205" s="11">
        <v>0</v>
      </c>
      <c r="I205" s="11">
        <v>0</v>
      </c>
      <c r="J205" s="11">
        <v>0</v>
      </c>
      <c r="K205" s="11">
        <v>0</v>
      </c>
      <c r="L205" s="11">
        <v>0</v>
      </c>
      <c r="M205" s="11">
        <v>0</v>
      </c>
      <c r="N205" s="11">
        <v>0</v>
      </c>
      <c r="O205" s="11">
        <v>0</v>
      </c>
      <c r="P205" s="11">
        <v>0</v>
      </c>
      <c r="Q205" s="12">
        <v>0</v>
      </c>
      <c r="R205" s="12">
        <v>0</v>
      </c>
      <c r="S205" s="12">
        <v>0</v>
      </c>
      <c r="T205" s="12">
        <v>0</v>
      </c>
      <c r="U205" s="12">
        <v>0</v>
      </c>
    </row>
    <row r="206" spans="1:21" x14ac:dyDescent="0.3">
      <c r="A206" s="13" t="s">
        <v>754</v>
      </c>
      <c r="B206" s="14" t="s">
        <v>755</v>
      </c>
      <c r="C206" s="14"/>
      <c r="D206" s="14" t="s">
        <v>756</v>
      </c>
      <c r="E206" s="14">
        <f xml:space="preserve"> IF($U$206,1,0)</f>
        <v>0</v>
      </c>
      <c r="F206" s="14" t="s">
        <v>757</v>
      </c>
      <c r="G206" s="14">
        <v>0</v>
      </c>
      <c r="H206" s="14">
        <v>0</v>
      </c>
      <c r="I206" s="14">
        <v>0</v>
      </c>
      <c r="J206" s="14">
        <v>0</v>
      </c>
      <c r="K206" s="14">
        <v>0</v>
      </c>
      <c r="L206" s="14">
        <v>0</v>
      </c>
      <c r="M206" s="14">
        <v>0</v>
      </c>
      <c r="N206" s="14">
        <v>0</v>
      </c>
      <c r="O206" s="14">
        <v>0</v>
      </c>
      <c r="P206" s="14">
        <v>0</v>
      </c>
      <c r="Q206" s="15">
        <v>0</v>
      </c>
      <c r="R206" s="15">
        <v>0</v>
      </c>
      <c r="S206" s="15">
        <v>0</v>
      </c>
      <c r="T206" s="15">
        <v>0</v>
      </c>
      <c r="U206" s="15">
        <v>0</v>
      </c>
    </row>
    <row r="207" spans="1:21" x14ac:dyDescent="0.3">
      <c r="A207" s="10" t="s">
        <v>758</v>
      </c>
      <c r="B207" s="11" t="s">
        <v>759</v>
      </c>
      <c r="C207" s="11"/>
      <c r="D207" s="11" t="s">
        <v>760</v>
      </c>
      <c r="E207" s="11">
        <f xml:space="preserve"> IF($U$207,1,0)</f>
        <v>0</v>
      </c>
      <c r="F207" s="11" t="s">
        <v>761</v>
      </c>
      <c r="G207" s="11">
        <v>0</v>
      </c>
      <c r="H207" s="11">
        <v>0</v>
      </c>
      <c r="I207" s="11">
        <v>0</v>
      </c>
      <c r="J207" s="11">
        <v>0</v>
      </c>
      <c r="K207" s="11">
        <v>0</v>
      </c>
      <c r="L207" s="11">
        <v>0</v>
      </c>
      <c r="M207" s="11">
        <v>0</v>
      </c>
      <c r="N207" s="11">
        <v>0</v>
      </c>
      <c r="O207" s="11">
        <v>0</v>
      </c>
      <c r="P207" s="11">
        <v>0</v>
      </c>
      <c r="Q207" s="12">
        <v>0</v>
      </c>
      <c r="R207" s="12">
        <v>0</v>
      </c>
      <c r="S207" s="12">
        <v>0</v>
      </c>
      <c r="T207" s="12">
        <v>0</v>
      </c>
      <c r="U207" s="12">
        <v>0</v>
      </c>
    </row>
    <row r="208" spans="1:21" x14ac:dyDescent="0.3">
      <c r="A208" s="13" t="s">
        <v>762</v>
      </c>
      <c r="B208" s="14" t="s">
        <v>763</v>
      </c>
      <c r="C208" s="14"/>
      <c r="D208" s="14" t="s">
        <v>764</v>
      </c>
      <c r="E208" s="14">
        <f xml:space="preserve"> IF($U$208,1,0)</f>
        <v>0</v>
      </c>
      <c r="F208" s="14" t="s">
        <v>765</v>
      </c>
      <c r="G208" s="14">
        <v>0</v>
      </c>
      <c r="H208" s="14">
        <v>0</v>
      </c>
      <c r="I208" s="14">
        <v>0</v>
      </c>
      <c r="J208" s="14">
        <v>0</v>
      </c>
      <c r="K208" s="14">
        <v>0</v>
      </c>
      <c r="L208" s="14">
        <v>0</v>
      </c>
      <c r="M208" s="14">
        <v>0</v>
      </c>
      <c r="N208" s="14">
        <v>0</v>
      </c>
      <c r="O208" s="14">
        <v>0</v>
      </c>
      <c r="P208" s="14">
        <v>0</v>
      </c>
      <c r="Q208" s="15">
        <v>0</v>
      </c>
      <c r="R208" s="15">
        <v>0</v>
      </c>
      <c r="S208" s="15">
        <v>0</v>
      </c>
      <c r="T208" s="15">
        <v>0</v>
      </c>
      <c r="U208" s="15">
        <v>0</v>
      </c>
    </row>
    <row r="209" spans="1:21" x14ac:dyDescent="0.3">
      <c r="A209" s="10" t="s">
        <v>766</v>
      </c>
      <c r="B209" s="11" t="s">
        <v>767</v>
      </c>
      <c r="C209" s="11"/>
      <c r="D209" s="11" t="s">
        <v>768</v>
      </c>
      <c r="E209" s="11">
        <f xml:space="preserve"> IF($U$209,1,0)</f>
        <v>0</v>
      </c>
      <c r="F209" s="11" t="s">
        <v>769</v>
      </c>
      <c r="G209" s="11">
        <v>0</v>
      </c>
      <c r="H209" s="11">
        <v>0</v>
      </c>
      <c r="I209" s="11">
        <v>0</v>
      </c>
      <c r="J209" s="11">
        <v>0</v>
      </c>
      <c r="K209" s="11">
        <v>0</v>
      </c>
      <c r="L209" s="11">
        <v>0</v>
      </c>
      <c r="M209" s="11">
        <v>0</v>
      </c>
      <c r="N209" s="11">
        <v>0</v>
      </c>
      <c r="O209" s="11">
        <v>0</v>
      </c>
      <c r="P209" s="11">
        <v>0</v>
      </c>
      <c r="Q209" s="12">
        <v>0</v>
      </c>
      <c r="R209" s="12">
        <v>0</v>
      </c>
      <c r="S209" s="12">
        <v>0</v>
      </c>
      <c r="T209" s="12">
        <v>0</v>
      </c>
      <c r="U209" s="12">
        <v>0</v>
      </c>
    </row>
    <row r="210" spans="1:21" x14ac:dyDescent="0.3">
      <c r="A210" s="13" t="s">
        <v>770</v>
      </c>
      <c r="B210" s="14" t="s">
        <v>771</v>
      </c>
      <c r="C210" s="14"/>
      <c r="D210" s="14" t="s">
        <v>772</v>
      </c>
      <c r="E210" s="14">
        <f xml:space="preserve"> IF($U$210,1,0)</f>
        <v>0</v>
      </c>
      <c r="F210" s="14" t="s">
        <v>773</v>
      </c>
      <c r="G210" s="14">
        <v>0</v>
      </c>
      <c r="H210" s="14">
        <v>0</v>
      </c>
      <c r="I210" s="14">
        <v>0</v>
      </c>
      <c r="J210" s="14">
        <v>0</v>
      </c>
      <c r="K210" s="14">
        <v>0</v>
      </c>
      <c r="L210" s="14">
        <v>0</v>
      </c>
      <c r="M210" s="14">
        <v>0</v>
      </c>
      <c r="N210" s="14">
        <v>0</v>
      </c>
      <c r="O210" s="14">
        <v>0</v>
      </c>
      <c r="P210" s="14">
        <v>0</v>
      </c>
      <c r="Q210" s="15">
        <v>0</v>
      </c>
      <c r="R210" s="15">
        <v>0</v>
      </c>
      <c r="S210" s="15">
        <v>0</v>
      </c>
      <c r="T210" s="15">
        <v>0</v>
      </c>
      <c r="U210" s="15">
        <v>0</v>
      </c>
    </row>
    <row r="211" spans="1:21" x14ac:dyDescent="0.3">
      <c r="A211" s="10" t="s">
        <v>774</v>
      </c>
      <c r="B211" s="11" t="s">
        <v>775</v>
      </c>
      <c r="C211" s="11"/>
      <c r="D211" s="11" t="s">
        <v>776</v>
      </c>
      <c r="E211" s="11">
        <f xml:space="preserve"> IF($U$211,1,0)</f>
        <v>0</v>
      </c>
      <c r="F211" s="11" t="s">
        <v>777</v>
      </c>
      <c r="G211" s="11">
        <v>0</v>
      </c>
      <c r="H211" s="11">
        <v>0</v>
      </c>
      <c r="I211" s="11">
        <v>0</v>
      </c>
      <c r="J211" s="11">
        <v>0</v>
      </c>
      <c r="K211" s="11">
        <v>0</v>
      </c>
      <c r="L211" s="11">
        <v>0</v>
      </c>
      <c r="M211" s="11">
        <v>0</v>
      </c>
      <c r="N211" s="11">
        <v>0</v>
      </c>
      <c r="O211" s="11">
        <v>0</v>
      </c>
      <c r="P211" s="11">
        <v>0</v>
      </c>
      <c r="Q211" s="12">
        <v>0</v>
      </c>
      <c r="R211" s="12">
        <v>0</v>
      </c>
      <c r="S211" s="12">
        <v>0</v>
      </c>
      <c r="T211" s="12">
        <v>0</v>
      </c>
      <c r="U211" s="12">
        <v>0</v>
      </c>
    </row>
    <row r="212" spans="1:21" x14ac:dyDescent="0.3">
      <c r="A212" s="13" t="s">
        <v>778</v>
      </c>
      <c r="B212" s="14" t="s">
        <v>779</v>
      </c>
      <c r="C212" s="14"/>
      <c r="D212" s="14" t="s">
        <v>780</v>
      </c>
      <c r="E212" s="14">
        <f xml:space="preserve"> IF($U$212,1,0)</f>
        <v>0</v>
      </c>
      <c r="F212" s="14" t="s">
        <v>781</v>
      </c>
      <c r="G212" s="14">
        <v>0</v>
      </c>
      <c r="H212" s="14">
        <v>0</v>
      </c>
      <c r="I212" s="14">
        <v>0</v>
      </c>
      <c r="J212" s="14">
        <v>0</v>
      </c>
      <c r="K212" s="14">
        <v>0</v>
      </c>
      <c r="L212" s="14">
        <v>0</v>
      </c>
      <c r="M212" s="14">
        <v>0</v>
      </c>
      <c r="N212" s="14">
        <v>0</v>
      </c>
      <c r="O212" s="14">
        <v>0</v>
      </c>
      <c r="P212" s="14">
        <v>0</v>
      </c>
      <c r="Q212" s="15">
        <v>0</v>
      </c>
      <c r="R212" s="15">
        <v>0</v>
      </c>
      <c r="S212" s="15">
        <v>0</v>
      </c>
      <c r="T212" s="15">
        <v>0</v>
      </c>
      <c r="U212" s="15">
        <v>0</v>
      </c>
    </row>
    <row r="213" spans="1:21" x14ac:dyDescent="0.3">
      <c r="A213" s="10" t="s">
        <v>782</v>
      </c>
      <c r="B213" s="11" t="s">
        <v>779</v>
      </c>
      <c r="C213" s="11"/>
      <c r="D213" s="11" t="s">
        <v>783</v>
      </c>
      <c r="E213" s="11">
        <f xml:space="preserve"> IF($U$213,1,0)</f>
        <v>0</v>
      </c>
      <c r="F213" s="11" t="s">
        <v>784</v>
      </c>
      <c r="G213" s="11">
        <v>0</v>
      </c>
      <c r="H213" s="11">
        <v>0</v>
      </c>
      <c r="I213" s="11">
        <v>0</v>
      </c>
      <c r="J213" s="11">
        <v>0</v>
      </c>
      <c r="K213" s="11">
        <v>0</v>
      </c>
      <c r="L213" s="11">
        <v>0</v>
      </c>
      <c r="M213" s="11">
        <v>0</v>
      </c>
      <c r="N213" s="11">
        <v>0</v>
      </c>
      <c r="O213" s="11">
        <v>0</v>
      </c>
      <c r="P213" s="11">
        <v>0</v>
      </c>
      <c r="Q213" s="12">
        <v>0</v>
      </c>
      <c r="R213" s="12">
        <v>0</v>
      </c>
      <c r="S213" s="12">
        <v>0</v>
      </c>
      <c r="T213" s="12">
        <v>0</v>
      </c>
      <c r="U213" s="12">
        <v>0</v>
      </c>
    </row>
    <row r="214" spans="1:21" x14ac:dyDescent="0.3">
      <c r="A214" s="13" t="s">
        <v>785</v>
      </c>
      <c r="B214" s="14" t="s">
        <v>779</v>
      </c>
      <c r="C214" s="14"/>
      <c r="D214" s="14" t="s">
        <v>786</v>
      </c>
      <c r="E214" s="14">
        <f xml:space="preserve"> IF($U$214,1,0)</f>
        <v>0</v>
      </c>
      <c r="F214" s="14" t="s">
        <v>787</v>
      </c>
      <c r="G214" s="14">
        <v>0</v>
      </c>
      <c r="H214" s="14">
        <v>0</v>
      </c>
      <c r="I214" s="14">
        <v>0</v>
      </c>
      <c r="J214" s="14">
        <v>0</v>
      </c>
      <c r="K214" s="14">
        <v>0</v>
      </c>
      <c r="L214" s="14">
        <v>0</v>
      </c>
      <c r="M214" s="14">
        <v>0</v>
      </c>
      <c r="N214" s="14">
        <v>0</v>
      </c>
      <c r="O214" s="14">
        <v>0</v>
      </c>
      <c r="P214" s="14">
        <v>0</v>
      </c>
      <c r="Q214" s="15">
        <v>0</v>
      </c>
      <c r="R214" s="15">
        <v>0</v>
      </c>
      <c r="S214" s="15">
        <v>0</v>
      </c>
      <c r="T214" s="15">
        <v>0</v>
      </c>
      <c r="U214" s="15">
        <v>0</v>
      </c>
    </row>
    <row r="215" spans="1:21" x14ac:dyDescent="0.3">
      <c r="A215" s="10" t="s">
        <v>788</v>
      </c>
      <c r="B215" s="11" t="s">
        <v>789</v>
      </c>
      <c r="C215" s="11"/>
      <c r="D215" s="11" t="s">
        <v>790</v>
      </c>
      <c r="E215" s="11">
        <f xml:space="preserve"> IF($U$215,1,0)</f>
        <v>0</v>
      </c>
      <c r="F215" s="11" t="s">
        <v>791</v>
      </c>
      <c r="G215" s="11">
        <v>0</v>
      </c>
      <c r="H215" s="11">
        <v>0</v>
      </c>
      <c r="I215" s="11">
        <v>0</v>
      </c>
      <c r="J215" s="11">
        <v>0</v>
      </c>
      <c r="K215" s="11">
        <v>0</v>
      </c>
      <c r="L215" s="11">
        <v>0</v>
      </c>
      <c r="M215" s="11">
        <v>0</v>
      </c>
      <c r="N215" s="11">
        <v>0</v>
      </c>
      <c r="O215" s="11">
        <v>0</v>
      </c>
      <c r="P215" s="11">
        <v>0</v>
      </c>
      <c r="Q215" s="12">
        <v>0</v>
      </c>
      <c r="R215" s="12">
        <v>0</v>
      </c>
      <c r="S215" s="12">
        <v>0</v>
      </c>
      <c r="T215" s="12">
        <v>0</v>
      </c>
      <c r="U215" s="12">
        <v>0</v>
      </c>
    </row>
    <row r="216" spans="1:21" x14ac:dyDescent="0.3">
      <c r="A216" s="13" t="s">
        <v>792</v>
      </c>
      <c r="B216" s="14" t="s">
        <v>793</v>
      </c>
      <c r="C216" s="14"/>
      <c r="D216" s="14" t="s">
        <v>794</v>
      </c>
      <c r="E216" s="14">
        <f xml:space="preserve"> IF($U$216,1,0)</f>
        <v>0</v>
      </c>
      <c r="F216" s="14" t="s">
        <v>795</v>
      </c>
      <c r="G216" s="14">
        <v>0</v>
      </c>
      <c r="H216" s="14">
        <v>0</v>
      </c>
      <c r="I216" s="14">
        <v>0</v>
      </c>
      <c r="J216" s="14">
        <v>0</v>
      </c>
      <c r="K216" s="14">
        <v>0</v>
      </c>
      <c r="L216" s="14">
        <v>0</v>
      </c>
      <c r="M216" s="14">
        <v>0</v>
      </c>
      <c r="N216" s="14">
        <v>0</v>
      </c>
      <c r="O216" s="14">
        <v>0</v>
      </c>
      <c r="P216" s="14">
        <v>0</v>
      </c>
      <c r="Q216" s="15">
        <v>0</v>
      </c>
      <c r="R216" s="15">
        <v>0</v>
      </c>
      <c r="S216" s="15">
        <v>0</v>
      </c>
      <c r="T216" s="15">
        <v>0</v>
      </c>
      <c r="U216" s="15">
        <v>0</v>
      </c>
    </row>
    <row r="217" spans="1:21" x14ac:dyDescent="0.3">
      <c r="A217" s="10" t="s">
        <v>796</v>
      </c>
      <c r="B217" s="11" t="s">
        <v>797</v>
      </c>
      <c r="C217" s="11"/>
      <c r="D217" s="11" t="s">
        <v>798</v>
      </c>
      <c r="E217" s="11">
        <f xml:space="preserve"> IF($U$217,1,0)</f>
        <v>0</v>
      </c>
      <c r="F217" s="11" t="s">
        <v>799</v>
      </c>
      <c r="G217" s="11">
        <v>0</v>
      </c>
      <c r="H217" s="11">
        <v>0</v>
      </c>
      <c r="I217" s="11">
        <v>0</v>
      </c>
      <c r="J217" s="11">
        <v>0</v>
      </c>
      <c r="K217" s="11">
        <v>0</v>
      </c>
      <c r="L217" s="11">
        <v>0</v>
      </c>
      <c r="M217" s="11">
        <v>0</v>
      </c>
      <c r="N217" s="11">
        <v>0</v>
      </c>
      <c r="O217" s="11">
        <v>0</v>
      </c>
      <c r="P217" s="11">
        <v>0</v>
      </c>
      <c r="Q217" s="12">
        <v>0</v>
      </c>
      <c r="R217" s="12">
        <v>0</v>
      </c>
      <c r="S217" s="12">
        <v>0</v>
      </c>
      <c r="T217" s="12">
        <v>0</v>
      </c>
      <c r="U217" s="12">
        <v>0</v>
      </c>
    </row>
    <row r="218" spans="1:21" x14ac:dyDescent="0.3">
      <c r="A218" s="13" t="s">
        <v>800</v>
      </c>
      <c r="B218" s="14" t="s">
        <v>797</v>
      </c>
      <c r="C218" s="14" t="s">
        <v>34</v>
      </c>
      <c r="D218" s="14" t="s">
        <v>801</v>
      </c>
      <c r="E218" s="14">
        <f xml:space="preserve"> IF($U$218,1,0)</f>
        <v>0</v>
      </c>
      <c r="F218" s="14" t="s">
        <v>802</v>
      </c>
      <c r="G218" s="14">
        <v>0</v>
      </c>
      <c r="H218" s="14">
        <v>0</v>
      </c>
      <c r="I218" s="14">
        <v>0</v>
      </c>
      <c r="J218" s="14">
        <v>0</v>
      </c>
      <c r="K218" s="14">
        <v>0</v>
      </c>
      <c r="L218" s="14">
        <v>0</v>
      </c>
      <c r="M218" s="14">
        <v>0</v>
      </c>
      <c r="N218" s="14">
        <v>0</v>
      </c>
      <c r="O218" s="14">
        <v>0</v>
      </c>
      <c r="P218" s="14">
        <v>0</v>
      </c>
      <c r="Q218" s="15">
        <v>0</v>
      </c>
      <c r="R218" s="15">
        <v>0</v>
      </c>
      <c r="S218" s="15">
        <v>0</v>
      </c>
      <c r="T218" s="15">
        <v>0</v>
      </c>
      <c r="U218" s="15">
        <v>0</v>
      </c>
    </row>
    <row r="219" spans="1:21" x14ac:dyDescent="0.3">
      <c r="A219" s="10" t="s">
        <v>803</v>
      </c>
      <c r="B219" s="11" t="s">
        <v>804</v>
      </c>
      <c r="C219" s="11" t="s">
        <v>34</v>
      </c>
      <c r="D219" s="11" t="s">
        <v>805</v>
      </c>
      <c r="E219" s="11">
        <f xml:space="preserve"> IF($U$219,1,0)</f>
        <v>0</v>
      </c>
      <c r="F219" s="11" t="s">
        <v>806</v>
      </c>
      <c r="G219" s="11">
        <v>0</v>
      </c>
      <c r="H219" s="11">
        <v>0</v>
      </c>
      <c r="I219" s="11">
        <v>0</v>
      </c>
      <c r="J219" s="11">
        <v>0</v>
      </c>
      <c r="K219" s="11">
        <v>0</v>
      </c>
      <c r="L219" s="11">
        <v>0</v>
      </c>
      <c r="M219" s="11">
        <v>0</v>
      </c>
      <c r="N219" s="11">
        <v>0</v>
      </c>
      <c r="O219" s="11">
        <v>0</v>
      </c>
      <c r="P219" s="11">
        <v>0</v>
      </c>
      <c r="Q219" s="12">
        <v>0</v>
      </c>
      <c r="R219" s="12">
        <v>0</v>
      </c>
      <c r="S219" s="12">
        <v>0</v>
      </c>
      <c r="T219" s="12">
        <v>0</v>
      </c>
      <c r="U219" s="12">
        <v>0</v>
      </c>
    </row>
    <row r="220" spans="1:21" x14ac:dyDescent="0.3">
      <c r="A220" s="13" t="s">
        <v>807</v>
      </c>
      <c r="B220" s="14" t="s">
        <v>808</v>
      </c>
      <c r="C220" s="14"/>
      <c r="D220" s="14" t="s">
        <v>809</v>
      </c>
      <c r="E220" s="14">
        <f xml:space="preserve"> IF($U$220,1,0)</f>
        <v>0</v>
      </c>
      <c r="F220" s="14" t="s">
        <v>810</v>
      </c>
      <c r="G220" s="14">
        <v>0</v>
      </c>
      <c r="H220" s="14">
        <v>0</v>
      </c>
      <c r="I220" s="14">
        <v>0</v>
      </c>
      <c r="J220" s="14">
        <v>0</v>
      </c>
      <c r="K220" s="14">
        <v>0</v>
      </c>
      <c r="L220" s="14">
        <v>0</v>
      </c>
      <c r="M220" s="14">
        <v>0</v>
      </c>
      <c r="N220" s="14">
        <v>0</v>
      </c>
      <c r="O220" s="14">
        <v>0</v>
      </c>
      <c r="P220" s="14">
        <v>0</v>
      </c>
      <c r="Q220" s="15">
        <v>0</v>
      </c>
      <c r="R220" s="15">
        <v>0</v>
      </c>
      <c r="S220" s="15">
        <v>0</v>
      </c>
      <c r="T220" s="15">
        <v>0</v>
      </c>
      <c r="U220" s="15">
        <v>0</v>
      </c>
    </row>
    <row r="221" spans="1:21" x14ac:dyDescent="0.3">
      <c r="A221" s="10" t="s">
        <v>811</v>
      </c>
      <c r="B221" s="11" t="s">
        <v>812</v>
      </c>
      <c r="C221" s="11"/>
      <c r="D221" s="11" t="s">
        <v>813</v>
      </c>
      <c r="E221" s="11">
        <f xml:space="preserve"> IF($U$221,1,0)</f>
        <v>0</v>
      </c>
      <c r="F221" s="11" t="s">
        <v>814</v>
      </c>
      <c r="G221" s="11">
        <v>0</v>
      </c>
      <c r="H221" s="11">
        <v>0</v>
      </c>
      <c r="I221" s="11">
        <v>0</v>
      </c>
      <c r="J221" s="11">
        <v>0</v>
      </c>
      <c r="K221" s="11">
        <v>0</v>
      </c>
      <c r="L221" s="11">
        <v>0</v>
      </c>
      <c r="M221" s="11">
        <v>0</v>
      </c>
      <c r="N221" s="11">
        <v>0</v>
      </c>
      <c r="O221" s="11">
        <v>0</v>
      </c>
      <c r="P221" s="11">
        <v>0</v>
      </c>
      <c r="Q221" s="12">
        <v>0</v>
      </c>
      <c r="R221" s="12">
        <v>0</v>
      </c>
      <c r="S221" s="12">
        <v>0</v>
      </c>
      <c r="T221" s="12">
        <v>0</v>
      </c>
      <c r="U221" s="12">
        <v>0</v>
      </c>
    </row>
    <row r="222" spans="1:21" x14ac:dyDescent="0.3">
      <c r="A222" s="13" t="s">
        <v>815</v>
      </c>
      <c r="B222" s="14" t="s">
        <v>816</v>
      </c>
      <c r="C222" s="14"/>
      <c r="D222" s="14" t="s">
        <v>817</v>
      </c>
      <c r="E222" s="14">
        <f xml:space="preserve"> IF($U$222,1,0)</f>
        <v>0</v>
      </c>
      <c r="F222" s="14" t="s">
        <v>818</v>
      </c>
      <c r="G222" s="14">
        <v>0</v>
      </c>
      <c r="H222" s="14">
        <v>0</v>
      </c>
      <c r="I222" s="14">
        <v>0</v>
      </c>
      <c r="J222" s="14">
        <v>0</v>
      </c>
      <c r="K222" s="14">
        <v>0</v>
      </c>
      <c r="L222" s="14">
        <v>0</v>
      </c>
      <c r="M222" s="14">
        <v>0</v>
      </c>
      <c r="N222" s="14">
        <v>0</v>
      </c>
      <c r="O222" s="14">
        <v>0</v>
      </c>
      <c r="P222" s="14">
        <v>0</v>
      </c>
      <c r="Q222" s="15">
        <v>0</v>
      </c>
      <c r="R222" s="15">
        <v>0</v>
      </c>
      <c r="S222" s="15">
        <v>0</v>
      </c>
      <c r="T222" s="15">
        <v>0</v>
      </c>
      <c r="U222" s="15">
        <v>0</v>
      </c>
    </row>
    <row r="223" spans="1:21" x14ac:dyDescent="0.3">
      <c r="A223" s="10" t="s">
        <v>819</v>
      </c>
      <c r="B223" s="11" t="s">
        <v>820</v>
      </c>
      <c r="C223" s="11"/>
      <c r="D223" s="11" t="s">
        <v>821</v>
      </c>
      <c r="E223" s="11">
        <f xml:space="preserve"> IF($U$223,1,0)</f>
        <v>0</v>
      </c>
      <c r="F223" s="11" t="s">
        <v>822</v>
      </c>
      <c r="G223" s="11">
        <v>0</v>
      </c>
      <c r="H223" s="11">
        <v>0</v>
      </c>
      <c r="I223" s="11">
        <v>0</v>
      </c>
      <c r="J223" s="11">
        <v>0</v>
      </c>
      <c r="K223" s="11">
        <v>0</v>
      </c>
      <c r="L223" s="11">
        <v>0</v>
      </c>
      <c r="M223" s="11">
        <v>0</v>
      </c>
      <c r="N223" s="11">
        <v>0</v>
      </c>
      <c r="O223" s="11">
        <v>0</v>
      </c>
      <c r="P223" s="11">
        <v>0</v>
      </c>
      <c r="Q223" s="12">
        <v>0</v>
      </c>
      <c r="R223" s="12">
        <v>0</v>
      </c>
      <c r="S223" s="12">
        <v>0</v>
      </c>
      <c r="T223" s="12">
        <v>0</v>
      </c>
      <c r="U223" s="12">
        <v>0</v>
      </c>
    </row>
    <row r="224" spans="1:21" x14ac:dyDescent="0.3">
      <c r="A224" s="13" t="s">
        <v>823</v>
      </c>
      <c r="B224" s="14" t="s">
        <v>824</v>
      </c>
      <c r="C224" s="14"/>
      <c r="D224" s="14" t="s">
        <v>825</v>
      </c>
      <c r="E224" s="14">
        <f xml:space="preserve"> IF($U$224,1,0)</f>
        <v>0</v>
      </c>
      <c r="F224" s="14" t="s">
        <v>826</v>
      </c>
      <c r="G224" s="14">
        <v>0</v>
      </c>
      <c r="H224" s="14">
        <v>0</v>
      </c>
      <c r="I224" s="14">
        <v>0</v>
      </c>
      <c r="J224" s="14">
        <v>0</v>
      </c>
      <c r="K224" s="14">
        <v>0</v>
      </c>
      <c r="L224" s="14">
        <v>0</v>
      </c>
      <c r="M224" s="14">
        <v>0</v>
      </c>
      <c r="N224" s="14">
        <v>0</v>
      </c>
      <c r="O224" s="14">
        <v>0</v>
      </c>
      <c r="P224" s="14">
        <v>0</v>
      </c>
      <c r="Q224" s="15">
        <v>0</v>
      </c>
      <c r="R224" s="15">
        <v>0</v>
      </c>
      <c r="S224" s="15">
        <v>0</v>
      </c>
      <c r="T224" s="15">
        <v>0</v>
      </c>
      <c r="U224" s="15">
        <v>0</v>
      </c>
    </row>
    <row r="225" spans="1:21" x14ac:dyDescent="0.3">
      <c r="A225" s="10" t="s">
        <v>827</v>
      </c>
      <c r="B225" s="11" t="s">
        <v>828</v>
      </c>
      <c r="C225" s="11"/>
      <c r="D225" s="11" t="s">
        <v>829</v>
      </c>
      <c r="E225" s="11">
        <f xml:space="preserve"> IF($U$225,1,0)</f>
        <v>0</v>
      </c>
      <c r="F225" s="11" t="s">
        <v>830</v>
      </c>
      <c r="G225" s="11">
        <v>0</v>
      </c>
      <c r="H225" s="11">
        <v>0</v>
      </c>
      <c r="I225" s="11">
        <v>0</v>
      </c>
      <c r="J225" s="11">
        <v>0</v>
      </c>
      <c r="K225" s="11">
        <v>0</v>
      </c>
      <c r="L225" s="11">
        <v>0</v>
      </c>
      <c r="M225" s="11">
        <v>0</v>
      </c>
      <c r="N225" s="11">
        <v>0</v>
      </c>
      <c r="O225" s="11">
        <v>0</v>
      </c>
      <c r="P225" s="11">
        <v>0</v>
      </c>
      <c r="Q225" s="12">
        <v>0</v>
      </c>
      <c r="R225" s="12">
        <v>0</v>
      </c>
      <c r="S225" s="12">
        <v>0</v>
      </c>
      <c r="T225" s="12">
        <v>0</v>
      </c>
      <c r="U225" s="12">
        <v>0</v>
      </c>
    </row>
    <row r="226" spans="1:21" x14ac:dyDescent="0.3">
      <c r="A226" s="13" t="s">
        <v>831</v>
      </c>
      <c r="B226" s="14" t="s">
        <v>832</v>
      </c>
      <c r="C226" s="14"/>
      <c r="D226" s="14" t="s">
        <v>833</v>
      </c>
      <c r="E226" s="14">
        <f xml:space="preserve"> IF($U$226,1,0)</f>
        <v>0</v>
      </c>
      <c r="F226" s="14" t="s">
        <v>834</v>
      </c>
      <c r="G226" s="14">
        <v>0</v>
      </c>
      <c r="H226" s="14">
        <v>0</v>
      </c>
      <c r="I226" s="14">
        <v>0</v>
      </c>
      <c r="J226" s="14">
        <v>0</v>
      </c>
      <c r="K226" s="14">
        <v>0</v>
      </c>
      <c r="L226" s="14">
        <v>0</v>
      </c>
      <c r="M226" s="14">
        <v>0</v>
      </c>
      <c r="N226" s="14">
        <v>0</v>
      </c>
      <c r="O226" s="14">
        <v>0</v>
      </c>
      <c r="P226" s="14">
        <v>0</v>
      </c>
      <c r="Q226" s="15">
        <v>0</v>
      </c>
      <c r="R226" s="15">
        <v>0</v>
      </c>
      <c r="S226" s="15">
        <v>0</v>
      </c>
      <c r="T226" s="15">
        <v>0</v>
      </c>
      <c r="U226" s="15">
        <v>0</v>
      </c>
    </row>
    <row r="227" spans="1:21" x14ac:dyDescent="0.3">
      <c r="A227" s="10" t="s">
        <v>835</v>
      </c>
      <c r="B227" s="11" t="s">
        <v>836</v>
      </c>
      <c r="C227" s="11"/>
      <c r="D227" s="11" t="s">
        <v>837</v>
      </c>
      <c r="E227" s="11">
        <f xml:space="preserve"> IF($U$227,1,0)</f>
        <v>0</v>
      </c>
      <c r="F227" s="11" t="s">
        <v>838</v>
      </c>
      <c r="G227" s="11">
        <v>0</v>
      </c>
      <c r="H227" s="11">
        <v>0</v>
      </c>
      <c r="I227" s="11">
        <v>0</v>
      </c>
      <c r="J227" s="11">
        <v>0</v>
      </c>
      <c r="K227" s="11">
        <v>0</v>
      </c>
      <c r="L227" s="11">
        <v>0</v>
      </c>
      <c r="M227" s="11">
        <v>0</v>
      </c>
      <c r="N227" s="11">
        <v>0</v>
      </c>
      <c r="O227" s="11">
        <v>0</v>
      </c>
      <c r="P227" s="11">
        <v>0</v>
      </c>
      <c r="Q227" s="12">
        <v>0</v>
      </c>
      <c r="R227" s="12">
        <v>0</v>
      </c>
      <c r="S227" s="12">
        <v>0</v>
      </c>
      <c r="T227" s="12">
        <v>0</v>
      </c>
      <c r="U227" s="12">
        <v>0</v>
      </c>
    </row>
    <row r="228" spans="1:21" x14ac:dyDescent="0.3">
      <c r="A228" s="13" t="s">
        <v>839</v>
      </c>
      <c r="B228" s="14" t="s">
        <v>840</v>
      </c>
      <c r="C228" s="14"/>
      <c r="D228" s="14" t="s">
        <v>841</v>
      </c>
      <c r="E228" s="14">
        <f xml:space="preserve"> IF($U$228,1,0)</f>
        <v>0</v>
      </c>
      <c r="F228" s="14" t="s">
        <v>842</v>
      </c>
      <c r="G228" s="14">
        <v>0</v>
      </c>
      <c r="H228" s="14">
        <v>0</v>
      </c>
      <c r="I228" s="14">
        <v>0</v>
      </c>
      <c r="J228" s="14">
        <v>0</v>
      </c>
      <c r="K228" s="14">
        <v>0</v>
      </c>
      <c r="L228" s="14">
        <v>0</v>
      </c>
      <c r="M228" s="14">
        <v>0</v>
      </c>
      <c r="N228" s="14">
        <v>0</v>
      </c>
      <c r="O228" s="14">
        <v>0</v>
      </c>
      <c r="P228" s="14">
        <v>0</v>
      </c>
      <c r="Q228" s="15">
        <v>0</v>
      </c>
      <c r="R228" s="15">
        <v>0</v>
      </c>
      <c r="S228" s="15">
        <v>0</v>
      </c>
      <c r="T228" s="15">
        <v>0</v>
      </c>
      <c r="U228" s="15">
        <v>0</v>
      </c>
    </row>
    <row r="229" spans="1:21" x14ac:dyDescent="0.3">
      <c r="A229" s="10" t="s">
        <v>843</v>
      </c>
      <c r="B229" s="11" t="s">
        <v>844</v>
      </c>
      <c r="C229" s="11"/>
      <c r="D229" s="11" t="s">
        <v>845</v>
      </c>
      <c r="E229" s="11">
        <f xml:space="preserve"> IF($U$229,1,0)</f>
        <v>0</v>
      </c>
      <c r="F229" s="11" t="s">
        <v>846</v>
      </c>
      <c r="G229" s="11">
        <v>0</v>
      </c>
      <c r="H229" s="11">
        <v>0</v>
      </c>
      <c r="I229" s="11">
        <v>0</v>
      </c>
      <c r="J229" s="11">
        <v>0</v>
      </c>
      <c r="K229" s="11">
        <v>0</v>
      </c>
      <c r="L229" s="11">
        <v>0</v>
      </c>
      <c r="M229" s="11">
        <v>0</v>
      </c>
      <c r="N229" s="11">
        <v>0</v>
      </c>
      <c r="O229" s="11">
        <v>0</v>
      </c>
      <c r="P229" s="11">
        <v>0</v>
      </c>
      <c r="Q229" s="12">
        <v>0</v>
      </c>
      <c r="R229" s="12">
        <v>0</v>
      </c>
      <c r="S229" s="12">
        <v>0</v>
      </c>
      <c r="T229" s="12">
        <v>0</v>
      </c>
      <c r="U229" s="12">
        <v>0</v>
      </c>
    </row>
    <row r="230" spans="1:21" x14ac:dyDescent="0.3">
      <c r="A230" s="13" t="s">
        <v>847</v>
      </c>
      <c r="B230" s="14" t="s">
        <v>848</v>
      </c>
      <c r="C230" s="14" t="s">
        <v>202</v>
      </c>
      <c r="D230" s="14" t="s">
        <v>849</v>
      </c>
      <c r="E230" s="14">
        <f xml:space="preserve"> IF($U$230,1,0)</f>
        <v>0</v>
      </c>
      <c r="F230" s="14" t="s">
        <v>850</v>
      </c>
      <c r="G230" s="14">
        <v>0</v>
      </c>
      <c r="H230" s="14">
        <v>0</v>
      </c>
      <c r="I230" s="14">
        <v>0</v>
      </c>
      <c r="J230" s="14">
        <v>0</v>
      </c>
      <c r="K230" s="14">
        <v>0</v>
      </c>
      <c r="L230" s="14">
        <v>0</v>
      </c>
      <c r="M230" s="14">
        <v>0</v>
      </c>
      <c r="N230" s="14">
        <v>0</v>
      </c>
      <c r="O230" s="14">
        <v>0</v>
      </c>
      <c r="P230" s="14">
        <v>0</v>
      </c>
      <c r="Q230" s="15">
        <v>0</v>
      </c>
      <c r="R230" s="15">
        <v>0</v>
      </c>
      <c r="S230" s="15">
        <v>0</v>
      </c>
      <c r="T230" s="15">
        <v>0</v>
      </c>
      <c r="U230" s="15">
        <v>0</v>
      </c>
    </row>
    <row r="231" spans="1:21" x14ac:dyDescent="0.3">
      <c r="A231" s="10" t="s">
        <v>851</v>
      </c>
      <c r="B231" s="11" t="s">
        <v>852</v>
      </c>
      <c r="C231" s="11"/>
      <c r="D231" s="11" t="s">
        <v>853</v>
      </c>
      <c r="E231" s="11">
        <f xml:space="preserve"> IF($U$231,1,0)</f>
        <v>0</v>
      </c>
      <c r="F231" s="11" t="s">
        <v>854</v>
      </c>
      <c r="G231" s="11">
        <v>0</v>
      </c>
      <c r="H231" s="11">
        <v>0</v>
      </c>
      <c r="I231" s="11">
        <v>0</v>
      </c>
      <c r="J231" s="11">
        <v>0</v>
      </c>
      <c r="K231" s="11">
        <v>0</v>
      </c>
      <c r="L231" s="11">
        <v>0</v>
      </c>
      <c r="M231" s="11">
        <v>0</v>
      </c>
      <c r="N231" s="11">
        <v>0</v>
      </c>
      <c r="O231" s="11">
        <v>0</v>
      </c>
      <c r="P231" s="11">
        <v>0</v>
      </c>
      <c r="Q231" s="12">
        <v>0</v>
      </c>
      <c r="R231" s="12">
        <v>0</v>
      </c>
      <c r="S231" s="12">
        <v>0</v>
      </c>
      <c r="T231" s="12">
        <v>0</v>
      </c>
      <c r="U231" s="12">
        <v>0</v>
      </c>
    </row>
    <row r="232" spans="1:21" x14ac:dyDescent="0.3">
      <c r="A232" s="13" t="s">
        <v>855</v>
      </c>
      <c r="B232" s="14" t="s">
        <v>856</v>
      </c>
      <c r="C232" s="14"/>
      <c r="D232" s="14" t="s">
        <v>790</v>
      </c>
      <c r="E232" s="14">
        <f xml:space="preserve"> IF($U$232,1,0)</f>
        <v>0</v>
      </c>
      <c r="F232" s="14" t="s">
        <v>857</v>
      </c>
      <c r="G232" s="14">
        <v>0</v>
      </c>
      <c r="H232" s="14">
        <v>0</v>
      </c>
      <c r="I232" s="14">
        <v>0</v>
      </c>
      <c r="J232" s="14">
        <v>0</v>
      </c>
      <c r="K232" s="14">
        <v>0</v>
      </c>
      <c r="L232" s="14">
        <v>0</v>
      </c>
      <c r="M232" s="14">
        <v>0</v>
      </c>
      <c r="N232" s="14">
        <v>0</v>
      </c>
      <c r="O232" s="14">
        <v>0</v>
      </c>
      <c r="P232" s="14">
        <v>0</v>
      </c>
      <c r="Q232" s="15">
        <v>0</v>
      </c>
      <c r="R232" s="15">
        <v>0</v>
      </c>
      <c r="S232" s="15">
        <v>0</v>
      </c>
      <c r="T232" s="15">
        <v>0</v>
      </c>
      <c r="U232" s="15">
        <v>0</v>
      </c>
    </row>
    <row r="233" spans="1:21" x14ac:dyDescent="0.3">
      <c r="A233" s="10" t="s">
        <v>858</v>
      </c>
      <c r="B233" s="11" t="s">
        <v>859</v>
      </c>
      <c r="C233" s="11"/>
      <c r="D233" s="11" t="s">
        <v>860</v>
      </c>
      <c r="E233" s="11">
        <f xml:space="preserve"> IF($U$233,1,0)</f>
        <v>0</v>
      </c>
      <c r="F233" s="11" t="s">
        <v>861</v>
      </c>
      <c r="G233" s="11">
        <v>0</v>
      </c>
      <c r="H233" s="11">
        <v>0</v>
      </c>
      <c r="I233" s="11">
        <v>0</v>
      </c>
      <c r="J233" s="11">
        <v>0</v>
      </c>
      <c r="K233" s="11">
        <v>0</v>
      </c>
      <c r="L233" s="11">
        <v>0</v>
      </c>
      <c r="M233" s="11">
        <v>0</v>
      </c>
      <c r="N233" s="11">
        <v>0</v>
      </c>
      <c r="O233" s="11">
        <v>0</v>
      </c>
      <c r="P233" s="11">
        <v>0</v>
      </c>
      <c r="Q233" s="12">
        <v>0</v>
      </c>
      <c r="R233" s="12">
        <v>0</v>
      </c>
      <c r="S233" s="12">
        <v>0</v>
      </c>
      <c r="T233" s="12">
        <v>0</v>
      </c>
      <c r="U233" s="12">
        <v>0</v>
      </c>
    </row>
    <row r="234" spans="1:21" x14ac:dyDescent="0.3">
      <c r="A234" s="13" t="s">
        <v>862</v>
      </c>
      <c r="B234" s="14" t="s">
        <v>863</v>
      </c>
      <c r="C234" s="14"/>
      <c r="D234" s="14" t="s">
        <v>864</v>
      </c>
      <c r="E234" s="14">
        <f xml:space="preserve"> IF($U$234,1,0)</f>
        <v>0</v>
      </c>
      <c r="F234" s="14" t="s">
        <v>865</v>
      </c>
      <c r="G234" s="14">
        <v>0</v>
      </c>
      <c r="H234" s="14">
        <v>0</v>
      </c>
      <c r="I234" s="14">
        <v>0</v>
      </c>
      <c r="J234" s="14">
        <v>0</v>
      </c>
      <c r="K234" s="14">
        <v>0</v>
      </c>
      <c r="L234" s="14">
        <v>0</v>
      </c>
      <c r="M234" s="14">
        <v>0</v>
      </c>
      <c r="N234" s="14">
        <v>0</v>
      </c>
      <c r="O234" s="14">
        <v>0</v>
      </c>
      <c r="P234" s="14">
        <v>0</v>
      </c>
      <c r="Q234" s="15">
        <v>0</v>
      </c>
      <c r="R234" s="15">
        <v>0</v>
      </c>
      <c r="S234" s="15">
        <v>0</v>
      </c>
      <c r="T234" s="15">
        <v>0</v>
      </c>
      <c r="U234" s="15">
        <v>0</v>
      </c>
    </row>
    <row r="235" spans="1:21" x14ac:dyDescent="0.3">
      <c r="A235" s="10" t="s">
        <v>866</v>
      </c>
      <c r="B235" s="11" t="s">
        <v>867</v>
      </c>
      <c r="C235" s="11"/>
      <c r="D235" s="11" t="s">
        <v>868</v>
      </c>
      <c r="E235" s="11">
        <f xml:space="preserve"> IF($U$235,1,0)</f>
        <v>0</v>
      </c>
      <c r="F235" s="11" t="s">
        <v>869</v>
      </c>
      <c r="G235" s="11">
        <v>0</v>
      </c>
      <c r="H235" s="11">
        <v>0</v>
      </c>
      <c r="I235" s="11">
        <v>0</v>
      </c>
      <c r="J235" s="11">
        <v>0</v>
      </c>
      <c r="K235" s="11">
        <v>0</v>
      </c>
      <c r="L235" s="11">
        <v>0</v>
      </c>
      <c r="M235" s="11">
        <v>0</v>
      </c>
      <c r="N235" s="11">
        <v>0</v>
      </c>
      <c r="O235" s="11">
        <v>0</v>
      </c>
      <c r="P235" s="11">
        <v>0</v>
      </c>
      <c r="Q235" s="12">
        <v>0</v>
      </c>
      <c r="R235" s="12">
        <v>0</v>
      </c>
      <c r="S235" s="12">
        <v>0</v>
      </c>
      <c r="T235" s="12">
        <v>0</v>
      </c>
      <c r="U235" s="12">
        <v>0</v>
      </c>
    </row>
    <row r="236" spans="1:21" x14ac:dyDescent="0.3">
      <c r="A236" s="13" t="s">
        <v>870</v>
      </c>
      <c r="B236" s="14" t="s">
        <v>871</v>
      </c>
      <c r="C236" s="14" t="s">
        <v>243</v>
      </c>
      <c r="D236" s="14" t="s">
        <v>399</v>
      </c>
      <c r="E236" s="14">
        <f xml:space="preserve"> IF($U$236,1,0)</f>
        <v>0</v>
      </c>
      <c r="F236" s="14" t="s">
        <v>872</v>
      </c>
      <c r="G236" s="14">
        <v>0</v>
      </c>
      <c r="H236" s="14">
        <v>0</v>
      </c>
      <c r="I236" s="14">
        <v>0</v>
      </c>
      <c r="J236" s="14">
        <v>0</v>
      </c>
      <c r="K236" s="14">
        <v>0</v>
      </c>
      <c r="L236" s="14">
        <v>0</v>
      </c>
      <c r="M236" s="14">
        <v>0</v>
      </c>
      <c r="N236" s="14">
        <v>0</v>
      </c>
      <c r="O236" s="14">
        <v>0</v>
      </c>
      <c r="P236" s="14">
        <v>0</v>
      </c>
      <c r="Q236" s="15">
        <v>0</v>
      </c>
      <c r="R236" s="15">
        <v>0</v>
      </c>
      <c r="S236" s="15">
        <v>0</v>
      </c>
      <c r="T236" s="15">
        <v>0</v>
      </c>
      <c r="U236" s="15">
        <v>0</v>
      </c>
    </row>
    <row r="237" spans="1:21" x14ac:dyDescent="0.3">
      <c r="A237" s="10" t="s">
        <v>873</v>
      </c>
      <c r="B237" s="11" t="s">
        <v>874</v>
      </c>
      <c r="C237" s="11"/>
      <c r="D237" s="11" t="s">
        <v>875</v>
      </c>
      <c r="E237" s="11">
        <f xml:space="preserve"> IF($U$237,1,0)</f>
        <v>0</v>
      </c>
      <c r="F237" s="11" t="s">
        <v>876</v>
      </c>
      <c r="G237" s="11">
        <v>0</v>
      </c>
      <c r="H237" s="11">
        <v>0</v>
      </c>
      <c r="I237" s="11">
        <v>0</v>
      </c>
      <c r="J237" s="11">
        <v>0</v>
      </c>
      <c r="K237" s="11">
        <v>0</v>
      </c>
      <c r="L237" s="11">
        <v>0</v>
      </c>
      <c r="M237" s="11">
        <v>0</v>
      </c>
      <c r="N237" s="11">
        <v>0</v>
      </c>
      <c r="O237" s="11">
        <v>0</v>
      </c>
      <c r="P237" s="11">
        <v>0</v>
      </c>
      <c r="Q237" s="12">
        <v>0</v>
      </c>
      <c r="R237" s="12">
        <v>0</v>
      </c>
      <c r="S237" s="12">
        <v>0</v>
      </c>
      <c r="T237" s="12">
        <v>0</v>
      </c>
      <c r="U237" s="12">
        <v>0</v>
      </c>
    </row>
    <row r="238" spans="1:21" x14ac:dyDescent="0.3">
      <c r="A238" s="13" t="s">
        <v>877</v>
      </c>
      <c r="B238" s="14" t="s">
        <v>878</v>
      </c>
      <c r="C238" s="14"/>
      <c r="D238" s="14" t="s">
        <v>879</v>
      </c>
      <c r="E238" s="14">
        <f xml:space="preserve"> IF($U$238,1,0)</f>
        <v>0</v>
      </c>
      <c r="F238" s="14" t="s">
        <v>880</v>
      </c>
      <c r="G238" s="14">
        <v>0</v>
      </c>
      <c r="H238" s="14">
        <v>0</v>
      </c>
      <c r="I238" s="14">
        <v>0</v>
      </c>
      <c r="J238" s="14">
        <v>0</v>
      </c>
      <c r="K238" s="14">
        <v>0</v>
      </c>
      <c r="L238" s="14">
        <v>0</v>
      </c>
      <c r="M238" s="14">
        <v>0</v>
      </c>
      <c r="N238" s="14">
        <v>0</v>
      </c>
      <c r="O238" s="14">
        <v>0</v>
      </c>
      <c r="P238" s="14">
        <v>0</v>
      </c>
      <c r="Q238" s="15">
        <v>0</v>
      </c>
      <c r="R238" s="15">
        <v>0</v>
      </c>
      <c r="S238" s="15">
        <v>0</v>
      </c>
      <c r="T238" s="15">
        <v>0</v>
      </c>
      <c r="U238" s="15">
        <v>0</v>
      </c>
    </row>
    <row r="239" spans="1:21" x14ac:dyDescent="0.3">
      <c r="A239" s="10" t="s">
        <v>881</v>
      </c>
      <c r="B239" s="11" t="s">
        <v>882</v>
      </c>
      <c r="C239" s="11"/>
      <c r="D239" s="11" t="s">
        <v>883</v>
      </c>
      <c r="E239" s="11">
        <f xml:space="preserve"> IF($U$239,1,0)</f>
        <v>0</v>
      </c>
      <c r="F239" s="11" t="s">
        <v>884</v>
      </c>
      <c r="G239" s="11">
        <v>0</v>
      </c>
      <c r="H239" s="11">
        <v>0</v>
      </c>
      <c r="I239" s="11">
        <v>0</v>
      </c>
      <c r="J239" s="11">
        <v>0</v>
      </c>
      <c r="K239" s="11">
        <v>0</v>
      </c>
      <c r="L239" s="11">
        <v>0</v>
      </c>
      <c r="M239" s="11">
        <v>0</v>
      </c>
      <c r="N239" s="11">
        <v>0</v>
      </c>
      <c r="O239" s="11">
        <v>0</v>
      </c>
      <c r="P239" s="11">
        <v>0</v>
      </c>
      <c r="Q239" s="12">
        <v>0</v>
      </c>
      <c r="R239" s="12">
        <v>0</v>
      </c>
      <c r="S239" s="12">
        <v>0</v>
      </c>
      <c r="T239" s="12">
        <v>0</v>
      </c>
      <c r="U239" s="12">
        <v>0</v>
      </c>
    </row>
    <row r="240" spans="1:21" x14ac:dyDescent="0.3">
      <c r="A240" s="13" t="s">
        <v>885</v>
      </c>
      <c r="B240" s="14" t="s">
        <v>886</v>
      </c>
      <c r="C240" s="14" t="s">
        <v>887</v>
      </c>
      <c r="D240" s="14" t="s">
        <v>888</v>
      </c>
      <c r="E240" s="14">
        <f xml:space="preserve"> IF($U$240,1,0)</f>
        <v>0</v>
      </c>
      <c r="F240" s="14" t="s">
        <v>889</v>
      </c>
      <c r="G240" s="14">
        <v>0</v>
      </c>
      <c r="H240" s="14">
        <v>0</v>
      </c>
      <c r="I240" s="14">
        <v>0</v>
      </c>
      <c r="J240" s="14">
        <v>0</v>
      </c>
      <c r="K240" s="14">
        <v>0</v>
      </c>
      <c r="L240" s="14">
        <v>0</v>
      </c>
      <c r="M240" s="14">
        <v>0</v>
      </c>
      <c r="N240" s="14">
        <v>0</v>
      </c>
      <c r="O240" s="14">
        <v>0</v>
      </c>
      <c r="P240" s="14">
        <v>0</v>
      </c>
      <c r="Q240" s="15">
        <v>0</v>
      </c>
      <c r="R240" s="15">
        <v>0</v>
      </c>
      <c r="S240" s="15">
        <v>0</v>
      </c>
      <c r="T240" s="15">
        <v>0</v>
      </c>
      <c r="U240" s="15">
        <v>0</v>
      </c>
    </row>
    <row r="241" spans="1:21" x14ac:dyDescent="0.3">
      <c r="A241" s="10" t="s">
        <v>890</v>
      </c>
      <c r="B241" s="11" t="s">
        <v>886</v>
      </c>
      <c r="C241" s="11"/>
      <c r="D241" s="11" t="s">
        <v>891</v>
      </c>
      <c r="E241" s="11">
        <f xml:space="preserve"> IF($U$241,1,0)</f>
        <v>0</v>
      </c>
      <c r="F241" s="11" t="s">
        <v>892</v>
      </c>
      <c r="G241" s="11">
        <v>0</v>
      </c>
      <c r="H241" s="11">
        <v>0</v>
      </c>
      <c r="I241" s="11">
        <v>0</v>
      </c>
      <c r="J241" s="11">
        <v>0</v>
      </c>
      <c r="K241" s="11">
        <v>0</v>
      </c>
      <c r="L241" s="11">
        <v>0</v>
      </c>
      <c r="M241" s="11">
        <v>0</v>
      </c>
      <c r="N241" s="11">
        <v>0</v>
      </c>
      <c r="O241" s="11">
        <v>0</v>
      </c>
      <c r="P241" s="11">
        <v>0</v>
      </c>
      <c r="Q241" s="12">
        <v>0</v>
      </c>
      <c r="R241" s="12">
        <v>0</v>
      </c>
      <c r="S241" s="12">
        <v>0</v>
      </c>
      <c r="T241" s="12">
        <v>0</v>
      </c>
      <c r="U241" s="12">
        <v>0</v>
      </c>
    </row>
    <row r="242" spans="1:21" x14ac:dyDescent="0.3">
      <c r="A242" s="13" t="s">
        <v>893</v>
      </c>
      <c r="B242" s="14" t="s">
        <v>894</v>
      </c>
      <c r="C242" s="14"/>
      <c r="D242" s="14" t="s">
        <v>895</v>
      </c>
      <c r="E242" s="14">
        <f xml:space="preserve"> IF($U$242,1,0)</f>
        <v>0</v>
      </c>
      <c r="F242" s="14" t="s">
        <v>896</v>
      </c>
      <c r="G242" s="14">
        <v>0</v>
      </c>
      <c r="H242" s="14">
        <v>0</v>
      </c>
      <c r="I242" s="14">
        <v>0</v>
      </c>
      <c r="J242" s="14">
        <v>0</v>
      </c>
      <c r="K242" s="14">
        <v>0</v>
      </c>
      <c r="L242" s="14">
        <v>0</v>
      </c>
      <c r="M242" s="14">
        <v>0</v>
      </c>
      <c r="N242" s="14">
        <v>0</v>
      </c>
      <c r="O242" s="14">
        <v>0</v>
      </c>
      <c r="P242" s="14">
        <v>0</v>
      </c>
      <c r="Q242" s="15">
        <v>0</v>
      </c>
      <c r="R242" s="15">
        <v>0</v>
      </c>
      <c r="S242" s="15">
        <v>0</v>
      </c>
      <c r="T242" s="15">
        <v>0</v>
      </c>
      <c r="U242" s="15">
        <v>0</v>
      </c>
    </row>
    <row r="243" spans="1:21" x14ac:dyDescent="0.3">
      <c r="A243" s="10" t="s">
        <v>1290</v>
      </c>
      <c r="B243" s="11" t="s">
        <v>1291</v>
      </c>
      <c r="C243" s="11"/>
      <c r="D243" s="11" t="s">
        <v>1292</v>
      </c>
      <c r="E243" s="11">
        <f xml:space="preserve"> IF($U$243,1,0)</f>
        <v>0</v>
      </c>
      <c r="F243" s="11" t="s">
        <v>1293</v>
      </c>
      <c r="G243" s="11">
        <v>0</v>
      </c>
      <c r="H243" s="11">
        <v>0</v>
      </c>
      <c r="I243" s="11">
        <v>0</v>
      </c>
      <c r="J243" s="11">
        <v>0</v>
      </c>
      <c r="K243" s="11">
        <v>0</v>
      </c>
      <c r="L243" s="11">
        <v>0</v>
      </c>
      <c r="M243" s="11">
        <v>0</v>
      </c>
      <c r="N243" s="11">
        <v>0</v>
      </c>
      <c r="O243" s="11">
        <v>0</v>
      </c>
      <c r="P243" s="11">
        <v>0</v>
      </c>
      <c r="Q243" s="12">
        <v>0</v>
      </c>
      <c r="R243" s="12">
        <v>0</v>
      </c>
      <c r="S243" s="12">
        <v>0</v>
      </c>
      <c r="T243" s="12">
        <v>0</v>
      </c>
      <c r="U243" s="12">
        <v>0</v>
      </c>
    </row>
    <row r="244" spans="1:21" x14ac:dyDescent="0.3">
      <c r="A244" s="13" t="s">
        <v>897</v>
      </c>
      <c r="B244" s="14" t="s">
        <v>898</v>
      </c>
      <c r="C244" s="14"/>
      <c r="D244" s="14" t="s">
        <v>899</v>
      </c>
      <c r="E244" s="14">
        <f xml:space="preserve"> IF($U$244,1,0)</f>
        <v>0</v>
      </c>
      <c r="F244" s="14" t="s">
        <v>900</v>
      </c>
      <c r="G244" s="14">
        <v>0</v>
      </c>
      <c r="H244" s="14">
        <v>0</v>
      </c>
      <c r="I244" s="14">
        <v>0</v>
      </c>
      <c r="J244" s="14">
        <v>0</v>
      </c>
      <c r="K244" s="14">
        <v>0</v>
      </c>
      <c r="L244" s="14">
        <v>0</v>
      </c>
      <c r="M244" s="14">
        <v>0</v>
      </c>
      <c r="N244" s="14">
        <v>0</v>
      </c>
      <c r="O244" s="14">
        <v>0</v>
      </c>
      <c r="P244" s="14">
        <v>0</v>
      </c>
      <c r="Q244" s="15">
        <v>0</v>
      </c>
      <c r="R244" s="15">
        <v>0</v>
      </c>
      <c r="S244" s="15">
        <v>0</v>
      </c>
      <c r="T244" s="15">
        <v>0</v>
      </c>
      <c r="U244" s="15">
        <v>0</v>
      </c>
    </row>
    <row r="245" spans="1:21" x14ac:dyDescent="0.3">
      <c r="A245" s="10" t="s">
        <v>901</v>
      </c>
      <c r="B245" s="11" t="s">
        <v>902</v>
      </c>
      <c r="C245" s="11"/>
      <c r="D245" s="11" t="s">
        <v>903</v>
      </c>
      <c r="E245" s="11">
        <f xml:space="preserve"> IF($U$245,1,0)</f>
        <v>0</v>
      </c>
      <c r="F245" s="11" t="s">
        <v>904</v>
      </c>
      <c r="G245" s="11">
        <v>0</v>
      </c>
      <c r="H245" s="11">
        <v>0</v>
      </c>
      <c r="I245" s="11">
        <v>0</v>
      </c>
      <c r="J245" s="11">
        <v>0</v>
      </c>
      <c r="K245" s="11">
        <v>0</v>
      </c>
      <c r="L245" s="11">
        <v>0</v>
      </c>
      <c r="M245" s="11">
        <v>0</v>
      </c>
      <c r="N245" s="11">
        <v>0</v>
      </c>
      <c r="O245" s="11">
        <v>0</v>
      </c>
      <c r="P245" s="11">
        <v>0</v>
      </c>
      <c r="Q245" s="12">
        <v>0</v>
      </c>
      <c r="R245" s="12">
        <v>0</v>
      </c>
      <c r="S245" s="12">
        <v>0</v>
      </c>
      <c r="T245" s="12">
        <v>0</v>
      </c>
      <c r="U245" s="12">
        <v>0</v>
      </c>
    </row>
    <row r="246" spans="1:21" x14ac:dyDescent="0.3">
      <c r="A246" s="13" t="s">
        <v>905</v>
      </c>
      <c r="B246" s="14" t="s">
        <v>906</v>
      </c>
      <c r="C246" s="14" t="s">
        <v>283</v>
      </c>
      <c r="D246" s="14" t="s">
        <v>296</v>
      </c>
      <c r="E246" s="14">
        <f xml:space="preserve"> IF($U$246,1,0)</f>
        <v>0</v>
      </c>
      <c r="F246" s="14" t="s">
        <v>907</v>
      </c>
      <c r="G246" s="14">
        <v>0</v>
      </c>
      <c r="H246" s="14">
        <v>0</v>
      </c>
      <c r="I246" s="14">
        <v>0</v>
      </c>
      <c r="J246" s="14">
        <v>0</v>
      </c>
      <c r="K246" s="14">
        <v>0</v>
      </c>
      <c r="L246" s="14">
        <v>0</v>
      </c>
      <c r="M246" s="14">
        <v>0</v>
      </c>
      <c r="N246" s="14">
        <v>0</v>
      </c>
      <c r="O246" s="14">
        <v>0</v>
      </c>
      <c r="P246" s="14">
        <v>0</v>
      </c>
      <c r="Q246" s="15">
        <v>0</v>
      </c>
      <c r="R246" s="15">
        <v>0</v>
      </c>
      <c r="S246" s="15">
        <v>0</v>
      </c>
      <c r="T246" s="15">
        <v>0</v>
      </c>
      <c r="U246" s="15">
        <v>0</v>
      </c>
    </row>
    <row r="247" spans="1:21" x14ac:dyDescent="0.3">
      <c r="A247" s="10" t="s">
        <v>908</v>
      </c>
      <c r="B247" s="11" t="s">
        <v>909</v>
      </c>
      <c r="C247" s="11"/>
      <c r="D247" s="11" t="s">
        <v>910</v>
      </c>
      <c r="E247" s="11">
        <f xml:space="preserve"> IF($U$247,1,0)</f>
        <v>0</v>
      </c>
      <c r="F247" s="11" t="s">
        <v>911</v>
      </c>
      <c r="G247" s="11">
        <v>0</v>
      </c>
      <c r="H247" s="11">
        <v>0</v>
      </c>
      <c r="I247" s="11">
        <v>0</v>
      </c>
      <c r="J247" s="11">
        <v>0</v>
      </c>
      <c r="K247" s="11">
        <v>0</v>
      </c>
      <c r="L247" s="11">
        <v>0</v>
      </c>
      <c r="M247" s="11">
        <v>0</v>
      </c>
      <c r="N247" s="11">
        <v>0</v>
      </c>
      <c r="O247" s="11">
        <v>0</v>
      </c>
      <c r="P247" s="11">
        <v>0</v>
      </c>
      <c r="Q247" s="12">
        <v>0</v>
      </c>
      <c r="R247" s="12">
        <v>0</v>
      </c>
      <c r="S247" s="12">
        <v>0</v>
      </c>
      <c r="T247" s="12">
        <v>0</v>
      </c>
      <c r="U247" s="12">
        <v>0</v>
      </c>
    </row>
    <row r="248" spans="1:21" x14ac:dyDescent="0.3">
      <c r="A248" s="13" t="s">
        <v>912</v>
      </c>
      <c r="B248" s="14" t="s">
        <v>913</v>
      </c>
      <c r="C248" s="14" t="s">
        <v>65</v>
      </c>
      <c r="D248" s="14" t="s">
        <v>914</v>
      </c>
      <c r="E248" s="14">
        <f xml:space="preserve"> IF($U$248,1,0)</f>
        <v>0</v>
      </c>
      <c r="F248" s="14" t="s">
        <v>915</v>
      </c>
      <c r="G248" s="14">
        <v>0</v>
      </c>
      <c r="H248" s="14">
        <v>0</v>
      </c>
      <c r="I248" s="14">
        <v>0</v>
      </c>
      <c r="J248" s="14">
        <v>0</v>
      </c>
      <c r="K248" s="14">
        <v>0</v>
      </c>
      <c r="L248" s="14">
        <v>0</v>
      </c>
      <c r="M248" s="14">
        <v>0</v>
      </c>
      <c r="N248" s="14">
        <v>0</v>
      </c>
      <c r="O248" s="14">
        <v>0</v>
      </c>
      <c r="P248" s="14">
        <v>0</v>
      </c>
      <c r="Q248" s="15">
        <v>0</v>
      </c>
      <c r="R248" s="15">
        <v>0</v>
      </c>
      <c r="S248" s="15">
        <v>0</v>
      </c>
      <c r="T248" s="15">
        <v>0</v>
      </c>
      <c r="U248" s="15">
        <v>0</v>
      </c>
    </row>
    <row r="249" spans="1:21" x14ac:dyDescent="0.3">
      <c r="A249" s="10" t="s">
        <v>916</v>
      </c>
      <c r="B249" s="11" t="s">
        <v>917</v>
      </c>
      <c r="C249" s="11"/>
      <c r="D249" s="11" t="s">
        <v>918</v>
      </c>
      <c r="E249" s="11">
        <f xml:space="preserve"> IF($U$249,1,0)</f>
        <v>0</v>
      </c>
      <c r="F249" s="11" t="s">
        <v>919</v>
      </c>
      <c r="G249" s="11">
        <v>0</v>
      </c>
      <c r="H249" s="11">
        <v>0</v>
      </c>
      <c r="I249" s="11">
        <v>0</v>
      </c>
      <c r="J249" s="11">
        <v>0</v>
      </c>
      <c r="K249" s="11">
        <v>0</v>
      </c>
      <c r="L249" s="11">
        <v>0</v>
      </c>
      <c r="M249" s="11">
        <v>0</v>
      </c>
      <c r="N249" s="11">
        <v>0</v>
      </c>
      <c r="O249" s="11">
        <v>0</v>
      </c>
      <c r="P249" s="11">
        <v>0</v>
      </c>
      <c r="Q249" s="12">
        <v>0</v>
      </c>
      <c r="R249" s="12">
        <v>0</v>
      </c>
      <c r="S249" s="12">
        <v>0</v>
      </c>
      <c r="T249" s="12">
        <v>0</v>
      </c>
      <c r="U249" s="12">
        <v>0</v>
      </c>
    </row>
    <row r="250" spans="1:21" x14ac:dyDescent="0.3">
      <c r="A250" s="13" t="s">
        <v>920</v>
      </c>
      <c r="B250" s="14" t="s">
        <v>917</v>
      </c>
      <c r="C250" s="14"/>
      <c r="D250" s="14" t="s">
        <v>921</v>
      </c>
      <c r="E250" s="14">
        <f xml:space="preserve"> IF($U$250,1,0)</f>
        <v>0</v>
      </c>
      <c r="F250" s="14" t="s">
        <v>922</v>
      </c>
      <c r="G250" s="14">
        <v>0</v>
      </c>
      <c r="H250" s="14">
        <v>0</v>
      </c>
      <c r="I250" s="14">
        <v>0</v>
      </c>
      <c r="J250" s="14">
        <v>0</v>
      </c>
      <c r="K250" s="14">
        <v>0</v>
      </c>
      <c r="L250" s="14">
        <v>0</v>
      </c>
      <c r="M250" s="14">
        <v>0</v>
      </c>
      <c r="N250" s="14">
        <v>0</v>
      </c>
      <c r="O250" s="14">
        <v>0</v>
      </c>
      <c r="P250" s="14">
        <v>0</v>
      </c>
      <c r="Q250" s="15">
        <v>0</v>
      </c>
      <c r="R250" s="15">
        <v>0</v>
      </c>
      <c r="S250" s="15">
        <v>0</v>
      </c>
      <c r="T250" s="15">
        <v>0</v>
      </c>
      <c r="U250" s="15">
        <v>0</v>
      </c>
    </row>
    <row r="251" spans="1:21" x14ac:dyDescent="0.3">
      <c r="A251" s="10" t="s">
        <v>923</v>
      </c>
      <c r="B251" s="11" t="s">
        <v>917</v>
      </c>
      <c r="C251" s="11" t="s">
        <v>34</v>
      </c>
      <c r="D251" s="11" t="s">
        <v>924</v>
      </c>
      <c r="E251" s="11">
        <f xml:space="preserve"> IF($U$251,1,0)</f>
        <v>0</v>
      </c>
      <c r="F251" s="11" t="s">
        <v>925</v>
      </c>
      <c r="G251" s="11">
        <v>0</v>
      </c>
      <c r="H251" s="11">
        <v>0</v>
      </c>
      <c r="I251" s="11">
        <v>0</v>
      </c>
      <c r="J251" s="11">
        <v>0</v>
      </c>
      <c r="K251" s="11">
        <v>0</v>
      </c>
      <c r="L251" s="11">
        <v>0</v>
      </c>
      <c r="M251" s="11">
        <v>0</v>
      </c>
      <c r="N251" s="11">
        <v>0</v>
      </c>
      <c r="O251" s="11">
        <v>0</v>
      </c>
      <c r="P251" s="11">
        <v>0</v>
      </c>
      <c r="Q251" s="12">
        <v>0</v>
      </c>
      <c r="R251" s="12">
        <v>0</v>
      </c>
      <c r="S251" s="12">
        <v>0</v>
      </c>
      <c r="T251" s="12">
        <v>0</v>
      </c>
      <c r="U251" s="12">
        <v>0</v>
      </c>
    </row>
    <row r="252" spans="1:21" x14ac:dyDescent="0.3">
      <c r="A252" s="13" t="s">
        <v>926</v>
      </c>
      <c r="B252" s="14" t="s">
        <v>927</v>
      </c>
      <c r="C252" s="14"/>
      <c r="D252" s="14" t="s">
        <v>928</v>
      </c>
      <c r="E252" s="14">
        <f xml:space="preserve"> IF($U$252,1,0)</f>
        <v>0</v>
      </c>
      <c r="F252" s="14" t="s">
        <v>929</v>
      </c>
      <c r="G252" s="14">
        <v>0</v>
      </c>
      <c r="H252" s="14">
        <v>0</v>
      </c>
      <c r="I252" s="14">
        <v>0</v>
      </c>
      <c r="J252" s="14">
        <v>0</v>
      </c>
      <c r="K252" s="14">
        <v>0</v>
      </c>
      <c r="L252" s="14">
        <v>0</v>
      </c>
      <c r="M252" s="14">
        <v>0</v>
      </c>
      <c r="N252" s="14">
        <v>0</v>
      </c>
      <c r="O252" s="14">
        <v>0</v>
      </c>
      <c r="P252" s="14">
        <v>0</v>
      </c>
      <c r="Q252" s="15">
        <v>0</v>
      </c>
      <c r="R252" s="15">
        <v>0</v>
      </c>
      <c r="S252" s="15">
        <v>0</v>
      </c>
      <c r="T252" s="15">
        <v>0</v>
      </c>
      <c r="U252" s="15">
        <v>0</v>
      </c>
    </row>
    <row r="253" spans="1:21" x14ac:dyDescent="0.3">
      <c r="A253" s="10" t="s">
        <v>930</v>
      </c>
      <c r="B253" s="11" t="s">
        <v>931</v>
      </c>
      <c r="C253" s="11"/>
      <c r="D253" s="11" t="s">
        <v>932</v>
      </c>
      <c r="E253" s="11">
        <f xml:space="preserve"> IF($U$253,1,0)</f>
        <v>0</v>
      </c>
      <c r="F253" s="11" t="s">
        <v>933</v>
      </c>
      <c r="G253" s="11">
        <v>0</v>
      </c>
      <c r="H253" s="11">
        <v>0</v>
      </c>
      <c r="I253" s="11">
        <v>0</v>
      </c>
      <c r="J253" s="11">
        <v>0</v>
      </c>
      <c r="K253" s="11">
        <v>0</v>
      </c>
      <c r="L253" s="11">
        <v>0</v>
      </c>
      <c r="M253" s="11">
        <v>0</v>
      </c>
      <c r="N253" s="11">
        <v>0</v>
      </c>
      <c r="O253" s="11">
        <v>0</v>
      </c>
      <c r="P253" s="11">
        <v>0</v>
      </c>
      <c r="Q253" s="12">
        <v>0</v>
      </c>
      <c r="R253" s="12">
        <v>0</v>
      </c>
      <c r="S253" s="12">
        <v>0</v>
      </c>
      <c r="T253" s="12">
        <v>0</v>
      </c>
      <c r="U253" s="12">
        <v>0</v>
      </c>
    </row>
    <row r="254" spans="1:21" x14ac:dyDescent="0.3">
      <c r="A254" s="13" t="s">
        <v>934</v>
      </c>
      <c r="B254" s="14" t="s">
        <v>935</v>
      </c>
      <c r="C254" s="14"/>
      <c r="D254" s="14" t="s">
        <v>936</v>
      </c>
      <c r="E254" s="14">
        <f xml:space="preserve"> IF($U$254,1,0)</f>
        <v>0</v>
      </c>
      <c r="F254" s="14" t="s">
        <v>937</v>
      </c>
      <c r="G254" s="14">
        <v>0</v>
      </c>
      <c r="H254" s="14">
        <v>0</v>
      </c>
      <c r="I254" s="14">
        <v>0</v>
      </c>
      <c r="J254" s="14">
        <v>0</v>
      </c>
      <c r="K254" s="14">
        <v>0</v>
      </c>
      <c r="L254" s="14">
        <v>0</v>
      </c>
      <c r="M254" s="14">
        <v>0</v>
      </c>
      <c r="N254" s="14">
        <v>0</v>
      </c>
      <c r="O254" s="14">
        <v>0</v>
      </c>
      <c r="P254" s="14">
        <v>0</v>
      </c>
      <c r="Q254" s="15">
        <v>0</v>
      </c>
      <c r="R254" s="15">
        <v>0</v>
      </c>
      <c r="S254" s="15">
        <v>0</v>
      </c>
      <c r="T254" s="15">
        <v>0</v>
      </c>
      <c r="U254" s="15">
        <v>0</v>
      </c>
    </row>
    <row r="255" spans="1:21" x14ac:dyDescent="0.3">
      <c r="A255" s="10" t="s">
        <v>938</v>
      </c>
      <c r="B255" s="11" t="s">
        <v>939</v>
      </c>
      <c r="C255" s="11"/>
      <c r="D255" s="11" t="s">
        <v>940</v>
      </c>
      <c r="E255" s="11">
        <f xml:space="preserve"> IF($U$255,1,0)</f>
        <v>0</v>
      </c>
      <c r="F255" s="11" t="s">
        <v>941</v>
      </c>
      <c r="G255" s="11">
        <v>0</v>
      </c>
      <c r="H255" s="11">
        <v>0</v>
      </c>
      <c r="I255" s="11">
        <v>0</v>
      </c>
      <c r="J255" s="11">
        <v>0</v>
      </c>
      <c r="K255" s="11">
        <v>0</v>
      </c>
      <c r="L255" s="11">
        <v>0</v>
      </c>
      <c r="M255" s="11">
        <v>0</v>
      </c>
      <c r="N255" s="11">
        <v>0</v>
      </c>
      <c r="O255" s="11">
        <v>0</v>
      </c>
      <c r="P255" s="11">
        <v>0</v>
      </c>
      <c r="Q255" s="12">
        <v>0</v>
      </c>
      <c r="R255" s="12">
        <v>0</v>
      </c>
      <c r="S255" s="12">
        <v>0</v>
      </c>
      <c r="T255" s="12">
        <v>0</v>
      </c>
      <c r="U255" s="12">
        <v>0</v>
      </c>
    </row>
    <row r="256" spans="1:21" x14ac:dyDescent="0.3">
      <c r="A256" s="13" t="s">
        <v>942</v>
      </c>
      <c r="B256" s="14" t="s">
        <v>943</v>
      </c>
      <c r="C256" s="14"/>
      <c r="D256" s="14" t="s">
        <v>944</v>
      </c>
      <c r="E256" s="14">
        <f xml:space="preserve"> IF($U$256,1,0)</f>
        <v>0</v>
      </c>
      <c r="F256" s="14" t="s">
        <v>945</v>
      </c>
      <c r="G256" s="14">
        <v>0</v>
      </c>
      <c r="H256" s="14">
        <v>0</v>
      </c>
      <c r="I256" s="14">
        <v>0</v>
      </c>
      <c r="J256" s="14">
        <v>0</v>
      </c>
      <c r="K256" s="14">
        <v>0</v>
      </c>
      <c r="L256" s="14">
        <v>0</v>
      </c>
      <c r="M256" s="14">
        <v>0</v>
      </c>
      <c r="N256" s="14">
        <v>0</v>
      </c>
      <c r="O256" s="14">
        <v>0</v>
      </c>
      <c r="P256" s="14">
        <v>0</v>
      </c>
      <c r="Q256" s="15">
        <v>0</v>
      </c>
      <c r="R256" s="15">
        <v>0</v>
      </c>
      <c r="S256" s="15">
        <v>0</v>
      </c>
      <c r="T256" s="15">
        <v>0</v>
      </c>
      <c r="U256" s="15">
        <v>0</v>
      </c>
    </row>
    <row r="257" spans="1:21" x14ac:dyDescent="0.3">
      <c r="A257" s="10" t="s">
        <v>946</v>
      </c>
      <c r="B257" s="11" t="s">
        <v>947</v>
      </c>
      <c r="C257" s="11"/>
      <c r="D257" s="11" t="s">
        <v>948</v>
      </c>
      <c r="E257" s="11">
        <f xml:space="preserve"> IF($U$257,1,0)</f>
        <v>0</v>
      </c>
      <c r="F257" s="11" t="s">
        <v>949</v>
      </c>
      <c r="G257" s="11">
        <v>0</v>
      </c>
      <c r="H257" s="11">
        <v>0</v>
      </c>
      <c r="I257" s="11">
        <v>0</v>
      </c>
      <c r="J257" s="11">
        <v>0</v>
      </c>
      <c r="K257" s="11">
        <v>0</v>
      </c>
      <c r="L257" s="11">
        <v>0</v>
      </c>
      <c r="M257" s="11">
        <v>0</v>
      </c>
      <c r="N257" s="11">
        <v>0</v>
      </c>
      <c r="O257" s="11">
        <v>0</v>
      </c>
      <c r="P257" s="11">
        <v>0</v>
      </c>
      <c r="Q257" s="12">
        <v>0</v>
      </c>
      <c r="R257" s="12">
        <v>0</v>
      </c>
      <c r="S257" s="12">
        <v>0</v>
      </c>
      <c r="T257" s="12">
        <v>0</v>
      </c>
      <c r="U257" s="12">
        <v>0</v>
      </c>
    </row>
    <row r="258" spans="1:21" x14ac:dyDescent="0.3">
      <c r="A258" s="13" t="s">
        <v>950</v>
      </c>
      <c r="B258" s="14" t="s">
        <v>951</v>
      </c>
      <c r="C258" s="14" t="s">
        <v>34</v>
      </c>
      <c r="D258" s="14" t="s">
        <v>118</v>
      </c>
      <c r="E258" s="14">
        <f xml:space="preserve"> IF($U$258,1,0)</f>
        <v>0</v>
      </c>
      <c r="F258" s="14" t="s">
        <v>952</v>
      </c>
      <c r="G258" s="14">
        <v>0</v>
      </c>
      <c r="H258" s="14">
        <v>0</v>
      </c>
      <c r="I258" s="14">
        <v>0</v>
      </c>
      <c r="J258" s="14">
        <v>0</v>
      </c>
      <c r="K258" s="14">
        <v>0</v>
      </c>
      <c r="L258" s="14">
        <v>0</v>
      </c>
      <c r="M258" s="14">
        <v>0</v>
      </c>
      <c r="N258" s="14">
        <v>0</v>
      </c>
      <c r="O258" s="14">
        <v>0</v>
      </c>
      <c r="P258" s="14">
        <v>0</v>
      </c>
      <c r="Q258" s="15">
        <v>0</v>
      </c>
      <c r="R258" s="15">
        <v>0</v>
      </c>
      <c r="S258" s="15">
        <v>0</v>
      </c>
      <c r="T258" s="15">
        <v>0</v>
      </c>
      <c r="U258" s="15">
        <v>0</v>
      </c>
    </row>
    <row r="259" spans="1:21" x14ac:dyDescent="0.3">
      <c r="A259" s="10" t="s">
        <v>953</v>
      </c>
      <c r="B259" s="11" t="s">
        <v>954</v>
      </c>
      <c r="C259" s="11"/>
      <c r="D259" s="11" t="s">
        <v>955</v>
      </c>
      <c r="E259" s="11">
        <f xml:space="preserve"> IF($U$259,1,0)</f>
        <v>0</v>
      </c>
      <c r="F259" s="11" t="s">
        <v>956</v>
      </c>
      <c r="G259" s="11">
        <v>0</v>
      </c>
      <c r="H259" s="11">
        <v>0</v>
      </c>
      <c r="I259" s="11">
        <v>0</v>
      </c>
      <c r="J259" s="11">
        <v>0</v>
      </c>
      <c r="K259" s="11">
        <v>0</v>
      </c>
      <c r="L259" s="11">
        <v>0</v>
      </c>
      <c r="M259" s="11">
        <v>0</v>
      </c>
      <c r="N259" s="11">
        <v>0</v>
      </c>
      <c r="O259" s="11">
        <v>0</v>
      </c>
      <c r="P259" s="11">
        <v>0</v>
      </c>
      <c r="Q259" s="12">
        <v>0</v>
      </c>
      <c r="R259" s="12">
        <v>0</v>
      </c>
      <c r="S259" s="12">
        <v>0</v>
      </c>
      <c r="T259" s="12">
        <v>0</v>
      </c>
      <c r="U259" s="12">
        <v>0</v>
      </c>
    </row>
    <row r="260" spans="1:21" x14ac:dyDescent="0.3">
      <c r="A260" s="13" t="s">
        <v>957</v>
      </c>
      <c r="B260" s="14" t="s">
        <v>958</v>
      </c>
      <c r="C260" s="14" t="s">
        <v>65</v>
      </c>
      <c r="D260" s="14" t="s">
        <v>959</v>
      </c>
      <c r="E260" s="14">
        <f xml:space="preserve"> IF($U$260,1,0)</f>
        <v>0</v>
      </c>
      <c r="F260" s="14" t="s">
        <v>960</v>
      </c>
      <c r="G260" s="14">
        <v>0</v>
      </c>
      <c r="H260" s="14">
        <v>0</v>
      </c>
      <c r="I260" s="14">
        <v>0</v>
      </c>
      <c r="J260" s="14">
        <v>0</v>
      </c>
      <c r="K260" s="14">
        <v>0</v>
      </c>
      <c r="L260" s="14">
        <v>0</v>
      </c>
      <c r="M260" s="14">
        <v>0</v>
      </c>
      <c r="N260" s="14">
        <v>0</v>
      </c>
      <c r="O260" s="14">
        <v>0</v>
      </c>
      <c r="P260" s="14">
        <v>0</v>
      </c>
      <c r="Q260" s="15">
        <v>0</v>
      </c>
      <c r="R260" s="15">
        <v>0</v>
      </c>
      <c r="S260" s="15">
        <v>0</v>
      </c>
      <c r="T260" s="15">
        <v>0</v>
      </c>
      <c r="U260" s="15">
        <v>0</v>
      </c>
    </row>
    <row r="261" spans="1:21" x14ac:dyDescent="0.3">
      <c r="A261" s="10" t="s">
        <v>961</v>
      </c>
      <c r="B261" s="11" t="s">
        <v>962</v>
      </c>
      <c r="C261" s="11" t="s">
        <v>202</v>
      </c>
      <c r="D261" s="11" t="s">
        <v>963</v>
      </c>
      <c r="E261" s="11">
        <f xml:space="preserve"> IF($U$261,1,0)</f>
        <v>0</v>
      </c>
      <c r="F261" s="11" t="s">
        <v>964</v>
      </c>
      <c r="G261" s="11">
        <v>0</v>
      </c>
      <c r="H261" s="11">
        <v>0</v>
      </c>
      <c r="I261" s="11">
        <v>0</v>
      </c>
      <c r="J261" s="11">
        <v>0</v>
      </c>
      <c r="K261" s="11">
        <v>0</v>
      </c>
      <c r="L261" s="11">
        <v>0</v>
      </c>
      <c r="M261" s="11">
        <v>0</v>
      </c>
      <c r="N261" s="11">
        <v>0</v>
      </c>
      <c r="O261" s="11">
        <v>0</v>
      </c>
      <c r="P261" s="11">
        <v>0</v>
      </c>
      <c r="Q261" s="12">
        <v>0</v>
      </c>
      <c r="R261" s="12">
        <v>0</v>
      </c>
      <c r="S261" s="12">
        <v>0</v>
      </c>
      <c r="T261" s="12">
        <v>0</v>
      </c>
      <c r="U261" s="12">
        <v>0</v>
      </c>
    </row>
    <row r="262" spans="1:21" x14ac:dyDescent="0.3">
      <c r="A262" s="13" t="s">
        <v>965</v>
      </c>
      <c r="B262" s="14" t="s">
        <v>966</v>
      </c>
      <c r="C262" s="14"/>
      <c r="D262" s="14" t="s">
        <v>609</v>
      </c>
      <c r="E262" s="14">
        <f xml:space="preserve"> IF($U$262,1,0)</f>
        <v>0</v>
      </c>
      <c r="F262" s="14" t="s">
        <v>967</v>
      </c>
      <c r="G262" s="14">
        <v>0</v>
      </c>
      <c r="H262" s="14">
        <v>0</v>
      </c>
      <c r="I262" s="14">
        <v>0</v>
      </c>
      <c r="J262" s="14">
        <v>0</v>
      </c>
      <c r="K262" s="14">
        <v>0</v>
      </c>
      <c r="L262" s="14">
        <v>0</v>
      </c>
      <c r="M262" s="14">
        <v>0</v>
      </c>
      <c r="N262" s="14">
        <v>0</v>
      </c>
      <c r="O262" s="14">
        <v>0</v>
      </c>
      <c r="P262" s="14">
        <v>0</v>
      </c>
      <c r="Q262" s="15">
        <v>0</v>
      </c>
      <c r="R262" s="15">
        <v>0</v>
      </c>
      <c r="S262" s="15">
        <v>0</v>
      </c>
      <c r="T262" s="15">
        <v>0</v>
      </c>
      <c r="U262" s="15">
        <v>0</v>
      </c>
    </row>
    <row r="263" spans="1:21" x14ac:dyDescent="0.3">
      <c r="A263" s="10" t="s">
        <v>968</v>
      </c>
      <c r="B263" s="11" t="s">
        <v>969</v>
      </c>
      <c r="C263" s="11"/>
      <c r="D263" s="11" t="s">
        <v>970</v>
      </c>
      <c r="E263" s="11">
        <f xml:space="preserve"> IF($U$263,1,0)</f>
        <v>0</v>
      </c>
      <c r="F263" s="11" t="s">
        <v>971</v>
      </c>
      <c r="G263" s="11">
        <v>0</v>
      </c>
      <c r="H263" s="11">
        <v>0</v>
      </c>
      <c r="I263" s="11">
        <v>0</v>
      </c>
      <c r="J263" s="11">
        <v>0</v>
      </c>
      <c r="K263" s="11">
        <v>0</v>
      </c>
      <c r="L263" s="11">
        <v>0</v>
      </c>
      <c r="M263" s="11">
        <v>0</v>
      </c>
      <c r="N263" s="11">
        <v>0</v>
      </c>
      <c r="O263" s="11">
        <v>0</v>
      </c>
      <c r="P263" s="11">
        <v>0</v>
      </c>
      <c r="Q263" s="12">
        <v>0</v>
      </c>
      <c r="R263" s="12">
        <v>0</v>
      </c>
      <c r="S263" s="12">
        <v>0</v>
      </c>
      <c r="T263" s="12">
        <v>0</v>
      </c>
      <c r="U263" s="12">
        <v>0</v>
      </c>
    </row>
    <row r="264" spans="1:21" x14ac:dyDescent="0.3">
      <c r="A264" s="13" t="s">
        <v>972</v>
      </c>
      <c r="B264" s="14" t="s">
        <v>973</v>
      </c>
      <c r="C264" s="14"/>
      <c r="D264" s="14" t="s">
        <v>974</v>
      </c>
      <c r="E264" s="14">
        <f xml:space="preserve"> IF($U$264,1,0)</f>
        <v>0</v>
      </c>
      <c r="F264" s="14" t="s">
        <v>975</v>
      </c>
      <c r="G264" s="14">
        <v>0</v>
      </c>
      <c r="H264" s="14">
        <v>0</v>
      </c>
      <c r="I264" s="14">
        <v>0</v>
      </c>
      <c r="J264" s="14">
        <v>0</v>
      </c>
      <c r="K264" s="14">
        <v>0</v>
      </c>
      <c r="L264" s="14">
        <v>0</v>
      </c>
      <c r="M264" s="14">
        <v>0</v>
      </c>
      <c r="N264" s="14">
        <v>0</v>
      </c>
      <c r="O264" s="14">
        <v>0</v>
      </c>
      <c r="P264" s="14">
        <v>0</v>
      </c>
      <c r="Q264" s="15">
        <v>0</v>
      </c>
      <c r="R264" s="15">
        <v>0</v>
      </c>
      <c r="S264" s="15">
        <v>0</v>
      </c>
      <c r="T264" s="15">
        <v>0</v>
      </c>
      <c r="U264" s="15">
        <v>0</v>
      </c>
    </row>
    <row r="265" spans="1:21" x14ac:dyDescent="0.3">
      <c r="A265" s="10" t="s">
        <v>976</v>
      </c>
      <c r="B265" s="11" t="s">
        <v>977</v>
      </c>
      <c r="C265" s="11"/>
      <c r="D265" s="11" t="s">
        <v>978</v>
      </c>
      <c r="E265" s="11">
        <f xml:space="preserve"> IF($U$265,1,0)</f>
        <v>0</v>
      </c>
      <c r="F265" s="11" t="s">
        <v>979</v>
      </c>
      <c r="G265" s="11">
        <v>0</v>
      </c>
      <c r="H265" s="11">
        <v>0</v>
      </c>
      <c r="I265" s="11">
        <v>0</v>
      </c>
      <c r="J265" s="11">
        <v>0</v>
      </c>
      <c r="K265" s="11">
        <v>0</v>
      </c>
      <c r="L265" s="11">
        <v>0</v>
      </c>
      <c r="M265" s="11">
        <v>0</v>
      </c>
      <c r="N265" s="11">
        <v>0</v>
      </c>
      <c r="O265" s="11">
        <v>0</v>
      </c>
      <c r="P265" s="11">
        <v>0</v>
      </c>
      <c r="Q265" s="12">
        <v>0</v>
      </c>
      <c r="R265" s="12">
        <v>0</v>
      </c>
      <c r="S265" s="12">
        <v>0</v>
      </c>
      <c r="T265" s="12">
        <v>0</v>
      </c>
      <c r="U265" s="12">
        <v>0</v>
      </c>
    </row>
    <row r="266" spans="1:21" x14ac:dyDescent="0.3">
      <c r="A266" s="13" t="s">
        <v>980</v>
      </c>
      <c r="B266" s="14" t="s">
        <v>981</v>
      </c>
      <c r="C266" s="14" t="s">
        <v>34</v>
      </c>
      <c r="D266" s="14" t="s">
        <v>982</v>
      </c>
      <c r="E266" s="14">
        <f xml:space="preserve"> IF($U$266,1,0)</f>
        <v>0</v>
      </c>
      <c r="F266" s="14" t="s">
        <v>983</v>
      </c>
      <c r="G266" s="14">
        <v>0</v>
      </c>
      <c r="H266" s="14">
        <v>0</v>
      </c>
      <c r="I266" s="14">
        <v>0</v>
      </c>
      <c r="J266" s="14">
        <v>0</v>
      </c>
      <c r="K266" s="14">
        <v>0</v>
      </c>
      <c r="L266" s="14">
        <v>0</v>
      </c>
      <c r="M266" s="14">
        <v>0</v>
      </c>
      <c r="N266" s="14">
        <v>0</v>
      </c>
      <c r="O266" s="14">
        <v>0</v>
      </c>
      <c r="P266" s="14">
        <v>0</v>
      </c>
      <c r="Q266" s="15">
        <v>0</v>
      </c>
      <c r="R266" s="15">
        <v>0</v>
      </c>
      <c r="S266" s="15">
        <v>0</v>
      </c>
      <c r="T266" s="15">
        <v>0</v>
      </c>
      <c r="U266" s="15">
        <v>0</v>
      </c>
    </row>
    <row r="267" spans="1:21" x14ac:dyDescent="0.3">
      <c r="A267" s="10" t="s">
        <v>984</v>
      </c>
      <c r="B267" s="11" t="s">
        <v>985</v>
      </c>
      <c r="C267" s="11" t="s">
        <v>202</v>
      </c>
      <c r="D267" s="11" t="s">
        <v>986</v>
      </c>
      <c r="E267" s="11">
        <f xml:space="preserve"> IF($U$267,1,0)</f>
        <v>0</v>
      </c>
      <c r="F267" s="11" t="s">
        <v>987</v>
      </c>
      <c r="G267" s="11">
        <v>0</v>
      </c>
      <c r="H267" s="11">
        <v>0</v>
      </c>
      <c r="I267" s="11">
        <v>0</v>
      </c>
      <c r="J267" s="11">
        <v>0</v>
      </c>
      <c r="K267" s="11">
        <v>0</v>
      </c>
      <c r="L267" s="11">
        <v>0</v>
      </c>
      <c r="M267" s="11">
        <v>0</v>
      </c>
      <c r="N267" s="11">
        <v>0</v>
      </c>
      <c r="O267" s="11">
        <v>0</v>
      </c>
      <c r="P267" s="11">
        <v>0</v>
      </c>
      <c r="Q267" s="12">
        <v>0</v>
      </c>
      <c r="R267" s="12">
        <v>0</v>
      </c>
      <c r="S267" s="12">
        <v>0</v>
      </c>
      <c r="T267" s="12">
        <v>0</v>
      </c>
      <c r="U267" s="12">
        <v>0</v>
      </c>
    </row>
    <row r="268" spans="1:21" x14ac:dyDescent="0.3">
      <c r="A268" s="13" t="s">
        <v>1261</v>
      </c>
      <c r="B268" s="14" t="s">
        <v>1262</v>
      </c>
      <c r="C268" s="14"/>
      <c r="D268" s="14" t="s">
        <v>1263</v>
      </c>
      <c r="E268" s="14">
        <f xml:space="preserve"> IF($U$268,1,0)</f>
        <v>0</v>
      </c>
      <c r="F268" s="14" t="s">
        <v>1264</v>
      </c>
      <c r="G268" s="14">
        <v>0</v>
      </c>
      <c r="H268" s="14">
        <v>0</v>
      </c>
      <c r="I268" s="14">
        <v>0</v>
      </c>
      <c r="J268" s="14">
        <v>0</v>
      </c>
      <c r="K268" s="14">
        <v>0</v>
      </c>
      <c r="L268" s="14">
        <v>0</v>
      </c>
      <c r="M268" s="14">
        <v>0</v>
      </c>
      <c r="N268" s="14">
        <v>0</v>
      </c>
      <c r="O268" s="14">
        <v>0</v>
      </c>
      <c r="P268" s="14">
        <v>0</v>
      </c>
      <c r="Q268" s="15">
        <v>0</v>
      </c>
      <c r="R268" s="15">
        <v>0</v>
      </c>
      <c r="S268" s="15">
        <v>0</v>
      </c>
      <c r="T268" s="15">
        <v>0</v>
      </c>
      <c r="U268" s="15">
        <v>0</v>
      </c>
    </row>
    <row r="269" spans="1:21" x14ac:dyDescent="0.3">
      <c r="A269" s="10" t="s">
        <v>988</v>
      </c>
      <c r="B269" s="11" t="s">
        <v>989</v>
      </c>
      <c r="C269" s="11" t="s">
        <v>887</v>
      </c>
      <c r="D269" s="11" t="s">
        <v>1060</v>
      </c>
      <c r="E269" s="11">
        <f xml:space="preserve"> IF($U$269,1,0)</f>
        <v>0</v>
      </c>
      <c r="F269" s="11" t="s">
        <v>1256</v>
      </c>
      <c r="G269" s="11">
        <v>0</v>
      </c>
      <c r="H269" s="11">
        <v>0</v>
      </c>
      <c r="I269" s="11">
        <v>0</v>
      </c>
      <c r="J269" s="11">
        <v>0</v>
      </c>
      <c r="K269" s="11">
        <v>0</v>
      </c>
      <c r="L269" s="11">
        <v>0</v>
      </c>
      <c r="M269" s="11">
        <v>0</v>
      </c>
      <c r="N269" s="11">
        <v>0</v>
      </c>
      <c r="O269" s="11">
        <v>0</v>
      </c>
      <c r="P269" s="11">
        <v>0</v>
      </c>
      <c r="Q269" s="12">
        <v>0</v>
      </c>
      <c r="R269" s="12">
        <v>0</v>
      </c>
      <c r="S269" s="12">
        <v>0</v>
      </c>
      <c r="T269" s="12">
        <v>0</v>
      </c>
      <c r="U269" s="12">
        <v>0</v>
      </c>
    </row>
    <row r="270" spans="1:21" x14ac:dyDescent="0.3">
      <c r="A270" s="13" t="s">
        <v>992</v>
      </c>
      <c r="B270" s="14" t="s">
        <v>343</v>
      </c>
      <c r="C270" s="14"/>
      <c r="D270" s="14" t="s">
        <v>1294</v>
      </c>
      <c r="E270" s="14">
        <f xml:space="preserve"> IF($U$270,1,0)</f>
        <v>0</v>
      </c>
      <c r="F270" s="14" t="s">
        <v>1295</v>
      </c>
      <c r="G270" s="14">
        <v>0</v>
      </c>
      <c r="H270" s="14">
        <v>0</v>
      </c>
      <c r="I270" s="14">
        <v>0</v>
      </c>
      <c r="J270" s="14">
        <v>0</v>
      </c>
      <c r="K270" s="14">
        <v>0</v>
      </c>
      <c r="L270" s="14">
        <v>0</v>
      </c>
      <c r="M270" s="14">
        <v>0</v>
      </c>
      <c r="N270" s="14">
        <v>0</v>
      </c>
      <c r="O270" s="14">
        <v>0</v>
      </c>
      <c r="P270" s="14">
        <v>0</v>
      </c>
      <c r="Q270" s="15">
        <v>0</v>
      </c>
      <c r="R270" s="15">
        <v>0</v>
      </c>
      <c r="S270" s="15">
        <v>0</v>
      </c>
      <c r="T270" s="15">
        <v>0</v>
      </c>
      <c r="U270" s="15">
        <v>0</v>
      </c>
    </row>
    <row r="271" spans="1:21" x14ac:dyDescent="0.3">
      <c r="A271" s="10" t="s">
        <v>995</v>
      </c>
      <c r="B271" s="11" t="s">
        <v>996</v>
      </c>
      <c r="C271" s="11"/>
      <c r="D271" s="11" t="s">
        <v>997</v>
      </c>
      <c r="E271" s="11">
        <f xml:space="preserve"> IF($U$271,1,0)</f>
        <v>0</v>
      </c>
      <c r="F271" s="11" t="s">
        <v>998</v>
      </c>
      <c r="G271" s="11">
        <v>0</v>
      </c>
      <c r="H271" s="11">
        <v>0</v>
      </c>
      <c r="I271" s="11">
        <v>0</v>
      </c>
      <c r="J271" s="11">
        <v>0</v>
      </c>
      <c r="K271" s="11">
        <v>0</v>
      </c>
      <c r="L271" s="11">
        <v>0</v>
      </c>
      <c r="M271" s="11">
        <v>0</v>
      </c>
      <c r="N271" s="11">
        <v>0</v>
      </c>
      <c r="O271" s="11">
        <v>0</v>
      </c>
      <c r="P271" s="11">
        <v>0</v>
      </c>
      <c r="Q271" s="12">
        <v>0</v>
      </c>
      <c r="R271" s="12">
        <v>0</v>
      </c>
      <c r="S271" s="12">
        <v>0</v>
      </c>
      <c r="T271" s="12">
        <v>0</v>
      </c>
      <c r="U271" s="12">
        <v>0</v>
      </c>
    </row>
    <row r="272" spans="1:21" x14ac:dyDescent="0.3">
      <c r="A272" s="13" t="s">
        <v>999</v>
      </c>
      <c r="B272" s="14" t="s">
        <v>1000</v>
      </c>
      <c r="C272" s="14" t="s">
        <v>202</v>
      </c>
      <c r="D272" s="14" t="s">
        <v>1001</v>
      </c>
      <c r="E272" s="14">
        <f xml:space="preserve"> IF($U$272,1,0)</f>
        <v>0</v>
      </c>
      <c r="F272" s="14" t="s">
        <v>1002</v>
      </c>
      <c r="G272" s="14">
        <v>0</v>
      </c>
      <c r="H272" s="14">
        <v>0</v>
      </c>
      <c r="I272" s="14">
        <v>0</v>
      </c>
      <c r="J272" s="14">
        <v>0</v>
      </c>
      <c r="K272" s="14">
        <v>0</v>
      </c>
      <c r="L272" s="14">
        <v>0</v>
      </c>
      <c r="M272" s="14">
        <v>0</v>
      </c>
      <c r="N272" s="14">
        <v>0</v>
      </c>
      <c r="O272" s="14">
        <v>0</v>
      </c>
      <c r="P272" s="14">
        <v>0</v>
      </c>
      <c r="Q272" s="15">
        <v>0</v>
      </c>
      <c r="R272" s="15">
        <v>0</v>
      </c>
      <c r="S272" s="15">
        <v>0</v>
      </c>
      <c r="T272" s="15">
        <v>0</v>
      </c>
      <c r="U272" s="15">
        <v>0</v>
      </c>
    </row>
    <row r="273" spans="1:21" x14ac:dyDescent="0.3">
      <c r="A273" s="10" t="s">
        <v>1003</v>
      </c>
      <c r="B273" s="11" t="s">
        <v>1004</v>
      </c>
      <c r="C273" s="11"/>
      <c r="D273" s="11" t="s">
        <v>1005</v>
      </c>
      <c r="E273" s="11">
        <f xml:space="preserve"> IF($U$273,1,0)</f>
        <v>0</v>
      </c>
      <c r="F273" s="11" t="s">
        <v>1006</v>
      </c>
      <c r="G273" s="11">
        <v>0</v>
      </c>
      <c r="H273" s="11">
        <v>0</v>
      </c>
      <c r="I273" s="11">
        <v>0</v>
      </c>
      <c r="J273" s="11">
        <v>0</v>
      </c>
      <c r="K273" s="11">
        <v>0</v>
      </c>
      <c r="L273" s="11">
        <v>0</v>
      </c>
      <c r="M273" s="11">
        <v>0</v>
      </c>
      <c r="N273" s="11">
        <v>0</v>
      </c>
      <c r="O273" s="11">
        <v>0</v>
      </c>
      <c r="P273" s="11">
        <v>0</v>
      </c>
      <c r="Q273" s="12">
        <v>0</v>
      </c>
      <c r="R273" s="12">
        <v>0</v>
      </c>
      <c r="S273" s="12">
        <v>0</v>
      </c>
      <c r="T273" s="12">
        <v>0</v>
      </c>
      <c r="U273" s="12">
        <v>0</v>
      </c>
    </row>
    <row r="274" spans="1:21" x14ac:dyDescent="0.3">
      <c r="A274" s="13" t="s">
        <v>1007</v>
      </c>
      <c r="B274" s="14" t="s">
        <v>1004</v>
      </c>
      <c r="C274" s="14"/>
      <c r="D274" s="14" t="s">
        <v>1008</v>
      </c>
      <c r="E274" s="14">
        <f xml:space="preserve"> IF($U$274,1,0)</f>
        <v>0</v>
      </c>
      <c r="F274" s="14" t="s">
        <v>1009</v>
      </c>
      <c r="G274" s="14">
        <v>0</v>
      </c>
      <c r="H274" s="14">
        <v>0</v>
      </c>
      <c r="I274" s="14">
        <v>0</v>
      </c>
      <c r="J274" s="14">
        <v>0</v>
      </c>
      <c r="K274" s="14">
        <v>0</v>
      </c>
      <c r="L274" s="14">
        <v>0</v>
      </c>
      <c r="M274" s="14">
        <v>0</v>
      </c>
      <c r="N274" s="14">
        <v>0</v>
      </c>
      <c r="O274" s="14">
        <v>0</v>
      </c>
      <c r="P274" s="14">
        <v>0</v>
      </c>
      <c r="Q274" s="15">
        <v>0</v>
      </c>
      <c r="R274" s="15">
        <v>0</v>
      </c>
      <c r="S274" s="15">
        <v>0</v>
      </c>
      <c r="T274" s="15">
        <v>0</v>
      </c>
      <c r="U274" s="15">
        <v>0</v>
      </c>
    </row>
    <row r="275" spans="1:21" x14ac:dyDescent="0.3">
      <c r="A275" s="10" t="s">
        <v>1010</v>
      </c>
      <c r="B275" s="11" t="s">
        <v>1011</v>
      </c>
      <c r="C275" s="11"/>
      <c r="D275" s="11" t="s">
        <v>1012</v>
      </c>
      <c r="E275" s="11">
        <f xml:space="preserve"> IF($U$275,1,0)</f>
        <v>0</v>
      </c>
      <c r="F275" s="11" t="s">
        <v>1013</v>
      </c>
      <c r="G275" s="11">
        <v>0</v>
      </c>
      <c r="H275" s="11">
        <v>0</v>
      </c>
      <c r="I275" s="11">
        <v>0</v>
      </c>
      <c r="J275" s="11">
        <v>0</v>
      </c>
      <c r="K275" s="11">
        <v>0</v>
      </c>
      <c r="L275" s="11">
        <v>0</v>
      </c>
      <c r="M275" s="11">
        <v>0</v>
      </c>
      <c r="N275" s="11">
        <v>0</v>
      </c>
      <c r="O275" s="11">
        <v>0</v>
      </c>
      <c r="P275" s="11">
        <v>0</v>
      </c>
      <c r="Q275" s="12">
        <v>0</v>
      </c>
      <c r="R275" s="12">
        <v>0</v>
      </c>
      <c r="S275" s="12">
        <v>0</v>
      </c>
      <c r="T275" s="12">
        <v>0</v>
      </c>
      <c r="U275" s="12">
        <v>0</v>
      </c>
    </row>
    <row r="276" spans="1:21" x14ac:dyDescent="0.3">
      <c r="A276" s="13" t="s">
        <v>1014</v>
      </c>
      <c r="B276" s="14" t="s">
        <v>1015</v>
      </c>
      <c r="C276" s="14"/>
      <c r="D276" s="14" t="s">
        <v>1016</v>
      </c>
      <c r="E276" s="14">
        <f xml:space="preserve"> IF($U$276,1,0)</f>
        <v>0</v>
      </c>
      <c r="F276" s="14" t="s">
        <v>1017</v>
      </c>
      <c r="G276" s="14">
        <v>0</v>
      </c>
      <c r="H276" s="14">
        <v>0</v>
      </c>
      <c r="I276" s="14">
        <v>0</v>
      </c>
      <c r="J276" s="14">
        <v>0</v>
      </c>
      <c r="K276" s="14">
        <v>0</v>
      </c>
      <c r="L276" s="14">
        <v>0</v>
      </c>
      <c r="M276" s="14">
        <v>0</v>
      </c>
      <c r="N276" s="14">
        <v>0</v>
      </c>
      <c r="O276" s="14">
        <v>0</v>
      </c>
      <c r="P276" s="14">
        <v>0</v>
      </c>
      <c r="Q276" s="15">
        <v>0</v>
      </c>
      <c r="R276" s="15">
        <v>0</v>
      </c>
      <c r="S276" s="15">
        <v>0</v>
      </c>
      <c r="T276" s="15">
        <v>0</v>
      </c>
      <c r="U276" s="15">
        <v>0</v>
      </c>
    </row>
    <row r="277" spans="1:21" x14ac:dyDescent="0.3">
      <c r="A277" s="10" t="s">
        <v>1018</v>
      </c>
      <c r="B277" s="11" t="s">
        <v>1015</v>
      </c>
      <c r="C277" s="11"/>
      <c r="D277" s="11" t="s">
        <v>1019</v>
      </c>
      <c r="E277" s="11">
        <f xml:space="preserve"> IF($U$277,1,0)</f>
        <v>0</v>
      </c>
      <c r="F277" s="11" t="s">
        <v>1020</v>
      </c>
      <c r="G277" s="11">
        <v>0</v>
      </c>
      <c r="H277" s="11">
        <v>0</v>
      </c>
      <c r="I277" s="11">
        <v>0</v>
      </c>
      <c r="J277" s="11">
        <v>0</v>
      </c>
      <c r="K277" s="11">
        <v>0</v>
      </c>
      <c r="L277" s="11">
        <v>0</v>
      </c>
      <c r="M277" s="11">
        <v>0</v>
      </c>
      <c r="N277" s="11">
        <v>0</v>
      </c>
      <c r="O277" s="11">
        <v>0</v>
      </c>
      <c r="P277" s="11">
        <v>0</v>
      </c>
      <c r="Q277" s="12">
        <v>0</v>
      </c>
      <c r="R277" s="12">
        <v>0</v>
      </c>
      <c r="S277" s="12">
        <v>0</v>
      </c>
      <c r="T277" s="12">
        <v>0</v>
      </c>
      <c r="U277" s="12">
        <v>0</v>
      </c>
    </row>
    <row r="278" spans="1:21" x14ac:dyDescent="0.3">
      <c r="A278" s="13" t="s">
        <v>1021</v>
      </c>
      <c r="B278" s="14" t="s">
        <v>1022</v>
      </c>
      <c r="C278" s="14" t="s">
        <v>283</v>
      </c>
      <c r="D278" s="14" t="s">
        <v>1023</v>
      </c>
      <c r="E278" s="14">
        <f xml:space="preserve"> IF($U$278,1,0)</f>
        <v>0</v>
      </c>
      <c r="F278" s="14" t="s">
        <v>1024</v>
      </c>
      <c r="G278" s="14">
        <v>0</v>
      </c>
      <c r="H278" s="14">
        <v>0</v>
      </c>
      <c r="I278" s="14">
        <v>0</v>
      </c>
      <c r="J278" s="14">
        <v>0</v>
      </c>
      <c r="K278" s="14">
        <v>0</v>
      </c>
      <c r="L278" s="14">
        <v>0</v>
      </c>
      <c r="M278" s="14">
        <v>0</v>
      </c>
      <c r="N278" s="14">
        <v>0</v>
      </c>
      <c r="O278" s="14">
        <v>0</v>
      </c>
      <c r="P278" s="14">
        <v>0</v>
      </c>
      <c r="Q278" s="15">
        <v>0</v>
      </c>
      <c r="R278" s="15">
        <v>0</v>
      </c>
      <c r="S278" s="15">
        <v>0</v>
      </c>
      <c r="T278" s="15">
        <v>0</v>
      </c>
      <c r="U278" s="15">
        <v>0</v>
      </c>
    </row>
    <row r="279" spans="1:21" x14ac:dyDescent="0.3">
      <c r="A279" s="10" t="s">
        <v>1025</v>
      </c>
      <c r="B279" s="11" t="s">
        <v>1026</v>
      </c>
      <c r="C279" s="11"/>
      <c r="D279" s="11" t="s">
        <v>1027</v>
      </c>
      <c r="E279" s="11">
        <f xml:space="preserve"> IF($U$279,1,0)</f>
        <v>0</v>
      </c>
      <c r="F279" s="11" t="s">
        <v>1028</v>
      </c>
      <c r="G279" s="11">
        <v>0</v>
      </c>
      <c r="H279" s="11">
        <v>0</v>
      </c>
      <c r="I279" s="11">
        <v>0</v>
      </c>
      <c r="J279" s="11">
        <v>0</v>
      </c>
      <c r="K279" s="11">
        <v>0</v>
      </c>
      <c r="L279" s="11">
        <v>0</v>
      </c>
      <c r="M279" s="11">
        <v>0</v>
      </c>
      <c r="N279" s="11">
        <v>0</v>
      </c>
      <c r="O279" s="11">
        <v>0</v>
      </c>
      <c r="P279" s="11">
        <v>0</v>
      </c>
      <c r="Q279" s="12">
        <v>0</v>
      </c>
      <c r="R279" s="12">
        <v>0</v>
      </c>
      <c r="S279" s="12">
        <v>0</v>
      </c>
      <c r="T279" s="12">
        <v>0</v>
      </c>
      <c r="U279" s="12">
        <v>0</v>
      </c>
    </row>
    <row r="280" spans="1:21" x14ac:dyDescent="0.3">
      <c r="A280" s="13" t="s">
        <v>1029</v>
      </c>
      <c r="B280" s="14" t="s">
        <v>1030</v>
      </c>
      <c r="C280" s="14" t="s">
        <v>34</v>
      </c>
      <c r="D280" s="14" t="s">
        <v>1031</v>
      </c>
      <c r="E280" s="14">
        <f xml:space="preserve"> IF($U$280,1,0)</f>
        <v>0</v>
      </c>
      <c r="F280" s="14" t="s">
        <v>1032</v>
      </c>
      <c r="G280" s="14">
        <v>0</v>
      </c>
      <c r="H280" s="14">
        <v>0</v>
      </c>
      <c r="I280" s="14">
        <v>0</v>
      </c>
      <c r="J280" s="14">
        <v>0</v>
      </c>
      <c r="K280" s="14">
        <v>0</v>
      </c>
      <c r="L280" s="14">
        <v>0</v>
      </c>
      <c r="M280" s="14">
        <v>0</v>
      </c>
      <c r="N280" s="14">
        <v>0</v>
      </c>
      <c r="O280" s="14">
        <v>0</v>
      </c>
      <c r="P280" s="14">
        <v>0</v>
      </c>
      <c r="Q280" s="15">
        <v>0</v>
      </c>
      <c r="R280" s="15">
        <v>0</v>
      </c>
      <c r="S280" s="15">
        <v>0</v>
      </c>
      <c r="T280" s="15">
        <v>0</v>
      </c>
      <c r="U280" s="15">
        <v>0</v>
      </c>
    </row>
    <row r="281" spans="1:21" x14ac:dyDescent="0.3">
      <c r="A281" s="10" t="s">
        <v>1033</v>
      </c>
      <c r="B281" s="11" t="s">
        <v>1030</v>
      </c>
      <c r="C281" s="11"/>
      <c r="D281" s="11" t="s">
        <v>1034</v>
      </c>
      <c r="E281" s="11">
        <f xml:space="preserve"> IF($U$281,1,0)</f>
        <v>0</v>
      </c>
      <c r="F281" s="11" t="s">
        <v>1035</v>
      </c>
      <c r="G281" s="11">
        <v>0</v>
      </c>
      <c r="H281" s="11">
        <v>0</v>
      </c>
      <c r="I281" s="11">
        <v>0</v>
      </c>
      <c r="J281" s="11">
        <v>0</v>
      </c>
      <c r="K281" s="11">
        <v>0</v>
      </c>
      <c r="L281" s="11">
        <v>0</v>
      </c>
      <c r="M281" s="11">
        <v>0</v>
      </c>
      <c r="N281" s="11">
        <v>0</v>
      </c>
      <c r="O281" s="11">
        <v>0</v>
      </c>
      <c r="P281" s="11">
        <v>0</v>
      </c>
      <c r="Q281" s="12">
        <v>0</v>
      </c>
      <c r="R281" s="12">
        <v>0</v>
      </c>
      <c r="S281" s="12">
        <v>0</v>
      </c>
      <c r="T281" s="12">
        <v>0</v>
      </c>
      <c r="U281" s="12">
        <v>0</v>
      </c>
    </row>
    <row r="282" spans="1:21" x14ac:dyDescent="0.3">
      <c r="A282" s="13" t="s">
        <v>1036</v>
      </c>
      <c r="B282" s="14" t="s">
        <v>1037</v>
      </c>
      <c r="C282" s="14"/>
      <c r="D282" s="14" t="s">
        <v>1038</v>
      </c>
      <c r="E282" s="14">
        <f xml:space="preserve"> IF($U$282,1,0)</f>
        <v>0</v>
      </c>
      <c r="F282" s="14" t="s">
        <v>1039</v>
      </c>
      <c r="G282" s="14">
        <v>0</v>
      </c>
      <c r="H282" s="14">
        <v>0</v>
      </c>
      <c r="I282" s="14">
        <v>0</v>
      </c>
      <c r="J282" s="14">
        <v>0</v>
      </c>
      <c r="K282" s="14">
        <v>0</v>
      </c>
      <c r="L282" s="14">
        <v>0</v>
      </c>
      <c r="M282" s="14">
        <v>0</v>
      </c>
      <c r="N282" s="14">
        <v>0</v>
      </c>
      <c r="O282" s="14">
        <v>0</v>
      </c>
      <c r="P282" s="14">
        <v>0</v>
      </c>
      <c r="Q282" s="15">
        <v>0</v>
      </c>
      <c r="R282" s="15">
        <v>0</v>
      </c>
      <c r="S282" s="15">
        <v>0</v>
      </c>
      <c r="T282" s="15">
        <v>0</v>
      </c>
      <c r="U282" s="15">
        <v>0</v>
      </c>
    </row>
    <row r="283" spans="1:21" x14ac:dyDescent="0.3">
      <c r="A283" s="10" t="s">
        <v>1040</v>
      </c>
      <c r="B283" s="11" t="s">
        <v>1037</v>
      </c>
      <c r="C283" s="11" t="s">
        <v>202</v>
      </c>
      <c r="D283" s="11" t="s">
        <v>1041</v>
      </c>
      <c r="E283" s="11">
        <f xml:space="preserve"> IF($U$283,1,0)</f>
        <v>0</v>
      </c>
      <c r="F283" s="11" t="s">
        <v>1042</v>
      </c>
      <c r="G283" s="11">
        <v>0</v>
      </c>
      <c r="H283" s="11">
        <v>0</v>
      </c>
      <c r="I283" s="11">
        <v>0</v>
      </c>
      <c r="J283" s="11">
        <v>0</v>
      </c>
      <c r="K283" s="11">
        <v>0</v>
      </c>
      <c r="L283" s="11">
        <v>0</v>
      </c>
      <c r="M283" s="11">
        <v>0</v>
      </c>
      <c r="N283" s="11">
        <v>0</v>
      </c>
      <c r="O283" s="11">
        <v>0</v>
      </c>
      <c r="P283" s="11">
        <v>0</v>
      </c>
      <c r="Q283" s="12">
        <v>0</v>
      </c>
      <c r="R283" s="12">
        <v>0</v>
      </c>
      <c r="S283" s="12">
        <v>0</v>
      </c>
      <c r="T283" s="12">
        <v>0</v>
      </c>
      <c r="U283" s="12">
        <v>0</v>
      </c>
    </row>
    <row r="284" spans="1:21" x14ac:dyDescent="0.3">
      <c r="A284" s="13" t="s">
        <v>1043</v>
      </c>
      <c r="B284" s="14" t="s">
        <v>1044</v>
      </c>
      <c r="C284" s="14"/>
      <c r="D284" s="14" t="s">
        <v>1045</v>
      </c>
      <c r="E284" s="14">
        <f xml:space="preserve"> IF($U$284,1,0)</f>
        <v>0</v>
      </c>
      <c r="F284" s="14" t="s">
        <v>1046</v>
      </c>
      <c r="G284" s="14">
        <v>0</v>
      </c>
      <c r="H284" s="14">
        <v>0</v>
      </c>
      <c r="I284" s="14">
        <v>0</v>
      </c>
      <c r="J284" s="14">
        <v>0</v>
      </c>
      <c r="K284" s="14">
        <v>0</v>
      </c>
      <c r="L284" s="14">
        <v>0</v>
      </c>
      <c r="M284" s="14">
        <v>0</v>
      </c>
      <c r="N284" s="14">
        <v>0</v>
      </c>
      <c r="O284" s="14">
        <v>0</v>
      </c>
      <c r="P284" s="14">
        <v>0</v>
      </c>
      <c r="Q284" s="15">
        <v>0</v>
      </c>
      <c r="R284" s="15">
        <v>0</v>
      </c>
      <c r="S284" s="15">
        <v>0</v>
      </c>
      <c r="T284" s="15">
        <v>0</v>
      </c>
      <c r="U284" s="15">
        <v>0</v>
      </c>
    </row>
    <row r="285" spans="1:21" x14ac:dyDescent="0.3">
      <c r="A285" s="10" t="s">
        <v>1047</v>
      </c>
      <c r="B285" s="11" t="s">
        <v>1048</v>
      </c>
      <c r="C285" s="11"/>
      <c r="D285" s="11" t="s">
        <v>1049</v>
      </c>
      <c r="E285" s="11">
        <f xml:space="preserve"> IF($U$285,1,0)</f>
        <v>0</v>
      </c>
      <c r="F285" s="11" t="s">
        <v>1050</v>
      </c>
      <c r="G285" s="11">
        <v>0</v>
      </c>
      <c r="H285" s="11">
        <v>0</v>
      </c>
      <c r="I285" s="11">
        <v>0</v>
      </c>
      <c r="J285" s="11">
        <v>0</v>
      </c>
      <c r="K285" s="11">
        <v>0</v>
      </c>
      <c r="L285" s="11">
        <v>0</v>
      </c>
      <c r="M285" s="11">
        <v>0</v>
      </c>
      <c r="N285" s="11">
        <v>0</v>
      </c>
      <c r="O285" s="11">
        <v>0</v>
      </c>
      <c r="P285" s="11">
        <v>0</v>
      </c>
      <c r="Q285" s="12">
        <v>0</v>
      </c>
      <c r="R285" s="12">
        <v>0</v>
      </c>
      <c r="S285" s="12">
        <v>0</v>
      </c>
      <c r="T285" s="12">
        <v>0</v>
      </c>
      <c r="U285" s="12">
        <v>0</v>
      </c>
    </row>
    <row r="286" spans="1:21" x14ac:dyDescent="0.3">
      <c r="A286" s="13" t="s">
        <v>1051</v>
      </c>
      <c r="B286" s="14" t="s">
        <v>1052</v>
      </c>
      <c r="C286" s="14" t="s">
        <v>34</v>
      </c>
      <c r="D286" s="14" t="s">
        <v>1053</v>
      </c>
      <c r="E286" s="14">
        <f xml:space="preserve"> IF($U$286,1,0)</f>
        <v>0</v>
      </c>
      <c r="F286" s="14" t="s">
        <v>1054</v>
      </c>
      <c r="G286" s="14">
        <v>0</v>
      </c>
      <c r="H286" s="14">
        <v>0</v>
      </c>
      <c r="I286" s="14">
        <v>0</v>
      </c>
      <c r="J286" s="14">
        <v>0</v>
      </c>
      <c r="K286" s="14">
        <v>0</v>
      </c>
      <c r="L286" s="14">
        <v>0</v>
      </c>
      <c r="M286" s="14">
        <v>0</v>
      </c>
      <c r="N286" s="14">
        <v>0</v>
      </c>
      <c r="O286" s="14">
        <v>0</v>
      </c>
      <c r="P286" s="14">
        <v>0</v>
      </c>
      <c r="Q286" s="15">
        <v>0</v>
      </c>
      <c r="R286" s="15">
        <v>0</v>
      </c>
      <c r="S286" s="15">
        <v>0</v>
      </c>
      <c r="T286" s="15">
        <v>0</v>
      </c>
      <c r="U286" s="15">
        <v>0</v>
      </c>
    </row>
    <row r="287" spans="1:21" x14ac:dyDescent="0.3">
      <c r="A287" s="10" t="s">
        <v>1055</v>
      </c>
      <c r="B287" s="11" t="s">
        <v>1056</v>
      </c>
      <c r="C287" s="11" t="s">
        <v>243</v>
      </c>
      <c r="D287" s="11" t="s">
        <v>1057</v>
      </c>
      <c r="E287" s="11">
        <f xml:space="preserve"> IF($U$287,1,0)</f>
        <v>0</v>
      </c>
      <c r="F287" s="11" t="s">
        <v>1058</v>
      </c>
      <c r="G287" s="11">
        <v>0</v>
      </c>
      <c r="H287" s="11">
        <v>0</v>
      </c>
      <c r="I287" s="11">
        <v>0</v>
      </c>
      <c r="J287" s="11">
        <v>0</v>
      </c>
      <c r="K287" s="11">
        <v>0</v>
      </c>
      <c r="L287" s="11">
        <v>0</v>
      </c>
      <c r="M287" s="11">
        <v>0</v>
      </c>
      <c r="N287" s="11">
        <v>0</v>
      </c>
      <c r="O287" s="11">
        <v>0</v>
      </c>
      <c r="P287" s="11">
        <v>0</v>
      </c>
      <c r="Q287" s="12">
        <v>0</v>
      </c>
      <c r="R287" s="12">
        <v>0</v>
      </c>
      <c r="S287" s="12">
        <v>0</v>
      </c>
      <c r="T287" s="12">
        <v>0</v>
      </c>
      <c r="U287" s="12">
        <v>0</v>
      </c>
    </row>
    <row r="288" spans="1:21" x14ac:dyDescent="0.3">
      <c r="A288" s="13" t="s">
        <v>1059</v>
      </c>
      <c r="B288" s="14" t="s">
        <v>1056</v>
      </c>
      <c r="C288" s="14" t="s">
        <v>278</v>
      </c>
      <c r="D288" s="14" t="s">
        <v>1060</v>
      </c>
      <c r="E288" s="14">
        <f xml:space="preserve"> IF($U$288,1,0)</f>
        <v>0</v>
      </c>
      <c r="F288" s="14" t="s">
        <v>1061</v>
      </c>
      <c r="G288" s="14">
        <v>0</v>
      </c>
      <c r="H288" s="14">
        <v>0</v>
      </c>
      <c r="I288" s="14">
        <v>0</v>
      </c>
      <c r="J288" s="14">
        <v>0</v>
      </c>
      <c r="K288" s="14">
        <v>0</v>
      </c>
      <c r="L288" s="14">
        <v>0</v>
      </c>
      <c r="M288" s="14">
        <v>0</v>
      </c>
      <c r="N288" s="14">
        <v>0</v>
      </c>
      <c r="O288" s="14">
        <v>0</v>
      </c>
      <c r="P288" s="14">
        <v>0</v>
      </c>
      <c r="Q288" s="15">
        <v>0</v>
      </c>
      <c r="R288" s="15">
        <v>0</v>
      </c>
      <c r="S288" s="15">
        <v>0</v>
      </c>
      <c r="T288" s="15">
        <v>0</v>
      </c>
      <c r="U288" s="15">
        <v>0</v>
      </c>
    </row>
    <row r="289" spans="1:21" x14ac:dyDescent="0.3">
      <c r="A289" s="10" t="s">
        <v>1062</v>
      </c>
      <c r="B289" s="11" t="s">
        <v>1063</v>
      </c>
      <c r="C289" s="11"/>
      <c r="D289" s="11" t="s">
        <v>1064</v>
      </c>
      <c r="E289" s="11">
        <f xml:space="preserve"> IF($U$289,1,0)</f>
        <v>0</v>
      </c>
      <c r="F289" s="11" t="s">
        <v>1065</v>
      </c>
      <c r="G289" s="11">
        <v>0</v>
      </c>
      <c r="H289" s="11">
        <v>0</v>
      </c>
      <c r="I289" s="11">
        <v>0</v>
      </c>
      <c r="J289" s="11">
        <v>0</v>
      </c>
      <c r="K289" s="11">
        <v>0</v>
      </c>
      <c r="L289" s="11">
        <v>0</v>
      </c>
      <c r="M289" s="11">
        <v>0</v>
      </c>
      <c r="N289" s="11">
        <v>0</v>
      </c>
      <c r="O289" s="11">
        <v>0</v>
      </c>
      <c r="P289" s="11">
        <v>0</v>
      </c>
      <c r="Q289" s="12">
        <v>0</v>
      </c>
      <c r="R289" s="12">
        <v>0</v>
      </c>
      <c r="S289" s="12">
        <v>0</v>
      </c>
      <c r="T289" s="12">
        <v>0</v>
      </c>
      <c r="U289" s="12">
        <v>0</v>
      </c>
    </row>
    <row r="290" spans="1:21" x14ac:dyDescent="0.3">
      <c r="A290" s="13" t="s">
        <v>1066</v>
      </c>
      <c r="B290" s="14" t="s">
        <v>1067</v>
      </c>
      <c r="C290" s="14" t="s">
        <v>202</v>
      </c>
      <c r="D290" s="14" t="s">
        <v>1068</v>
      </c>
      <c r="E290" s="14">
        <f xml:space="preserve"> IF($U$290,1,0)</f>
        <v>0</v>
      </c>
      <c r="F290" s="14" t="s">
        <v>1069</v>
      </c>
      <c r="G290" s="14">
        <v>0</v>
      </c>
      <c r="H290" s="14">
        <v>0</v>
      </c>
      <c r="I290" s="14">
        <v>0</v>
      </c>
      <c r="J290" s="14">
        <v>0</v>
      </c>
      <c r="K290" s="14">
        <v>0</v>
      </c>
      <c r="L290" s="14">
        <v>0</v>
      </c>
      <c r="M290" s="14">
        <v>0</v>
      </c>
      <c r="N290" s="14">
        <v>0</v>
      </c>
      <c r="O290" s="14">
        <v>0</v>
      </c>
      <c r="P290" s="14">
        <v>0</v>
      </c>
      <c r="Q290" s="15">
        <v>0</v>
      </c>
      <c r="R290" s="15">
        <v>0</v>
      </c>
      <c r="S290" s="15">
        <v>0</v>
      </c>
      <c r="T290" s="15">
        <v>0</v>
      </c>
      <c r="U290" s="15">
        <v>0</v>
      </c>
    </row>
    <row r="291" spans="1:21" x14ac:dyDescent="0.3">
      <c r="A291" s="10" t="s">
        <v>1070</v>
      </c>
      <c r="B291" s="11" t="s">
        <v>1071</v>
      </c>
      <c r="C291" s="11"/>
      <c r="D291" s="11" t="s">
        <v>1072</v>
      </c>
      <c r="E291" s="11">
        <f xml:space="preserve"> IF($U$291,1,0)</f>
        <v>0</v>
      </c>
      <c r="F291" s="11" t="s">
        <v>1073</v>
      </c>
      <c r="G291" s="11">
        <v>0</v>
      </c>
      <c r="H291" s="11">
        <v>0</v>
      </c>
      <c r="I291" s="11">
        <v>0</v>
      </c>
      <c r="J291" s="11">
        <v>0</v>
      </c>
      <c r="K291" s="11">
        <v>0</v>
      </c>
      <c r="L291" s="11">
        <v>0</v>
      </c>
      <c r="M291" s="11">
        <v>0</v>
      </c>
      <c r="N291" s="11">
        <v>0</v>
      </c>
      <c r="O291" s="11">
        <v>0</v>
      </c>
      <c r="P291" s="11">
        <v>0</v>
      </c>
      <c r="Q291" s="12">
        <v>0</v>
      </c>
      <c r="R291" s="12">
        <v>0</v>
      </c>
      <c r="S291" s="12">
        <v>0</v>
      </c>
      <c r="T291" s="12">
        <v>0</v>
      </c>
      <c r="U291" s="12">
        <v>0</v>
      </c>
    </row>
    <row r="292" spans="1:21" x14ac:dyDescent="0.3">
      <c r="A292" s="13" t="s">
        <v>1074</v>
      </c>
      <c r="B292" s="14" t="s">
        <v>1071</v>
      </c>
      <c r="C292" s="14"/>
      <c r="D292" s="14" t="s">
        <v>1075</v>
      </c>
      <c r="E292" s="14">
        <f xml:space="preserve"> IF($U$292,1,0)</f>
        <v>0</v>
      </c>
      <c r="F292" s="14" t="s">
        <v>1076</v>
      </c>
      <c r="G292" s="14">
        <v>0</v>
      </c>
      <c r="H292" s="14">
        <v>0</v>
      </c>
      <c r="I292" s="14">
        <v>0</v>
      </c>
      <c r="J292" s="14">
        <v>0</v>
      </c>
      <c r="K292" s="14">
        <v>0</v>
      </c>
      <c r="L292" s="14">
        <v>0</v>
      </c>
      <c r="M292" s="14">
        <v>0</v>
      </c>
      <c r="N292" s="14">
        <v>0</v>
      </c>
      <c r="O292" s="14">
        <v>0</v>
      </c>
      <c r="P292" s="14">
        <v>0</v>
      </c>
      <c r="Q292" s="15">
        <v>0</v>
      </c>
      <c r="R292" s="15">
        <v>0</v>
      </c>
      <c r="S292" s="15">
        <v>0</v>
      </c>
      <c r="T292" s="15">
        <v>0</v>
      </c>
      <c r="U292" s="15">
        <v>0</v>
      </c>
    </row>
    <row r="293" spans="1:21" x14ac:dyDescent="0.3">
      <c r="A293" s="10" t="s">
        <v>1077</v>
      </c>
      <c r="B293" s="11" t="s">
        <v>1078</v>
      </c>
      <c r="C293" s="11"/>
      <c r="D293" s="11" t="s">
        <v>1079</v>
      </c>
      <c r="E293" s="11">
        <f xml:space="preserve"> IF($U$293,1,0)</f>
        <v>0</v>
      </c>
      <c r="F293" s="11" t="s">
        <v>1080</v>
      </c>
      <c r="G293" s="11">
        <v>0</v>
      </c>
      <c r="H293" s="11">
        <v>0</v>
      </c>
      <c r="I293" s="11">
        <v>0</v>
      </c>
      <c r="J293" s="11">
        <v>0</v>
      </c>
      <c r="K293" s="11">
        <v>0</v>
      </c>
      <c r="L293" s="11">
        <v>0</v>
      </c>
      <c r="M293" s="11">
        <v>0</v>
      </c>
      <c r="N293" s="11">
        <v>0</v>
      </c>
      <c r="O293" s="11">
        <v>0</v>
      </c>
      <c r="P293" s="11">
        <v>0</v>
      </c>
      <c r="Q293" s="12">
        <v>0</v>
      </c>
      <c r="R293" s="12">
        <v>0</v>
      </c>
      <c r="S293" s="12">
        <v>0</v>
      </c>
      <c r="T293" s="12">
        <v>0</v>
      </c>
      <c r="U293" s="12">
        <v>0</v>
      </c>
    </row>
    <row r="294" spans="1:21" x14ac:dyDescent="0.3">
      <c r="A294" s="13" t="s">
        <v>1081</v>
      </c>
      <c r="B294" s="14" t="s">
        <v>1082</v>
      </c>
      <c r="C294" s="14"/>
      <c r="D294" s="14" t="s">
        <v>1083</v>
      </c>
      <c r="E294" s="14">
        <f xml:space="preserve"> IF($U$294,1,0)</f>
        <v>0</v>
      </c>
      <c r="F294" s="14" t="s">
        <v>1084</v>
      </c>
      <c r="G294" s="14">
        <v>0</v>
      </c>
      <c r="H294" s="14">
        <v>0</v>
      </c>
      <c r="I294" s="14">
        <v>0</v>
      </c>
      <c r="J294" s="14">
        <v>0</v>
      </c>
      <c r="K294" s="14">
        <v>0</v>
      </c>
      <c r="L294" s="14">
        <v>0</v>
      </c>
      <c r="M294" s="14">
        <v>0</v>
      </c>
      <c r="N294" s="14">
        <v>0</v>
      </c>
      <c r="O294" s="14">
        <v>0</v>
      </c>
      <c r="P294" s="14">
        <v>0</v>
      </c>
      <c r="Q294" s="15">
        <v>0</v>
      </c>
      <c r="R294" s="15">
        <v>0</v>
      </c>
      <c r="S294" s="15">
        <v>0</v>
      </c>
      <c r="T294" s="15">
        <v>0</v>
      </c>
      <c r="U294" s="15">
        <v>0</v>
      </c>
    </row>
    <row r="295" spans="1:21" x14ac:dyDescent="0.3">
      <c r="A295" s="10" t="s">
        <v>1085</v>
      </c>
      <c r="B295" s="11" t="s">
        <v>1082</v>
      </c>
      <c r="C295" s="11"/>
      <c r="D295" s="11" t="s">
        <v>1086</v>
      </c>
      <c r="E295" s="11">
        <f xml:space="preserve"> IF($U$295,1,0)</f>
        <v>0</v>
      </c>
      <c r="F295" s="11" t="s">
        <v>1087</v>
      </c>
      <c r="G295" s="11">
        <v>0</v>
      </c>
      <c r="H295" s="11">
        <v>0</v>
      </c>
      <c r="I295" s="11">
        <v>0</v>
      </c>
      <c r="J295" s="11">
        <v>0</v>
      </c>
      <c r="K295" s="11">
        <v>0</v>
      </c>
      <c r="L295" s="11">
        <v>0</v>
      </c>
      <c r="M295" s="11">
        <v>0</v>
      </c>
      <c r="N295" s="11">
        <v>0</v>
      </c>
      <c r="O295" s="11">
        <v>0</v>
      </c>
      <c r="P295" s="11">
        <v>0</v>
      </c>
      <c r="Q295" s="12">
        <v>0</v>
      </c>
      <c r="R295" s="12">
        <v>0</v>
      </c>
      <c r="S295" s="12">
        <v>0</v>
      </c>
      <c r="T295" s="12">
        <v>0</v>
      </c>
      <c r="U295" s="12">
        <v>0</v>
      </c>
    </row>
    <row r="296" spans="1:21" x14ac:dyDescent="0.3">
      <c r="A296" s="13" t="s">
        <v>1088</v>
      </c>
      <c r="B296" s="14" t="s">
        <v>1082</v>
      </c>
      <c r="C296" s="14" t="s">
        <v>65</v>
      </c>
      <c r="D296" s="14" t="s">
        <v>1089</v>
      </c>
      <c r="E296" s="14">
        <f xml:space="preserve"> IF($U$296,1,0)</f>
        <v>0</v>
      </c>
      <c r="F296" s="14" t="s">
        <v>1090</v>
      </c>
      <c r="G296" s="14">
        <v>0</v>
      </c>
      <c r="H296" s="14">
        <v>0</v>
      </c>
      <c r="I296" s="14">
        <v>0</v>
      </c>
      <c r="J296" s="14">
        <v>0</v>
      </c>
      <c r="K296" s="14">
        <v>0</v>
      </c>
      <c r="L296" s="14">
        <v>0</v>
      </c>
      <c r="M296" s="14">
        <v>0</v>
      </c>
      <c r="N296" s="14">
        <v>0</v>
      </c>
      <c r="O296" s="14">
        <v>0</v>
      </c>
      <c r="P296" s="14">
        <v>0</v>
      </c>
      <c r="Q296" s="15">
        <v>0</v>
      </c>
      <c r="R296" s="15">
        <v>0</v>
      </c>
      <c r="S296" s="15">
        <v>0</v>
      </c>
      <c r="T296" s="15">
        <v>0</v>
      </c>
      <c r="U296" s="15">
        <v>0</v>
      </c>
    </row>
    <row r="297" spans="1:21" x14ac:dyDescent="0.3">
      <c r="A297" s="10" t="s">
        <v>1091</v>
      </c>
      <c r="B297" s="11" t="s">
        <v>1082</v>
      </c>
      <c r="C297" s="11"/>
      <c r="D297" s="11" t="s">
        <v>1092</v>
      </c>
      <c r="E297" s="11">
        <f xml:space="preserve"> IF($U$297,1,0)</f>
        <v>0</v>
      </c>
      <c r="F297" s="11" t="s">
        <v>1093</v>
      </c>
      <c r="G297" s="11">
        <v>0</v>
      </c>
      <c r="H297" s="11">
        <v>0</v>
      </c>
      <c r="I297" s="11">
        <v>0</v>
      </c>
      <c r="J297" s="11">
        <v>0</v>
      </c>
      <c r="K297" s="11">
        <v>0</v>
      </c>
      <c r="L297" s="11">
        <v>0</v>
      </c>
      <c r="M297" s="11">
        <v>0</v>
      </c>
      <c r="N297" s="11">
        <v>0</v>
      </c>
      <c r="O297" s="11">
        <v>0</v>
      </c>
      <c r="P297" s="11">
        <v>0</v>
      </c>
      <c r="Q297" s="12">
        <v>0</v>
      </c>
      <c r="R297" s="12">
        <v>0</v>
      </c>
      <c r="S297" s="12">
        <v>0</v>
      </c>
      <c r="T297" s="12">
        <v>0</v>
      </c>
      <c r="U297" s="12">
        <v>0</v>
      </c>
    </row>
    <row r="298" spans="1:21" x14ac:dyDescent="0.3">
      <c r="A298" s="13" t="s">
        <v>1094</v>
      </c>
      <c r="B298" s="14" t="s">
        <v>1095</v>
      </c>
      <c r="C298" s="14" t="s">
        <v>34</v>
      </c>
      <c r="D298" s="14" t="s">
        <v>1096</v>
      </c>
      <c r="E298" s="14">
        <f xml:space="preserve"> IF($U$298,1,0)</f>
        <v>0</v>
      </c>
      <c r="F298" s="14" t="s">
        <v>1097</v>
      </c>
      <c r="G298" s="14">
        <v>0</v>
      </c>
      <c r="H298" s="14">
        <v>0</v>
      </c>
      <c r="I298" s="14">
        <v>0</v>
      </c>
      <c r="J298" s="14">
        <v>0</v>
      </c>
      <c r="K298" s="14">
        <v>0</v>
      </c>
      <c r="L298" s="14">
        <v>0</v>
      </c>
      <c r="M298" s="14">
        <v>0</v>
      </c>
      <c r="N298" s="14">
        <v>0</v>
      </c>
      <c r="O298" s="14">
        <v>0</v>
      </c>
      <c r="P298" s="14">
        <v>0</v>
      </c>
      <c r="Q298" s="15">
        <v>0</v>
      </c>
      <c r="R298" s="15">
        <v>0</v>
      </c>
      <c r="S298" s="15">
        <v>0</v>
      </c>
      <c r="T298" s="15">
        <v>0</v>
      </c>
      <c r="U298" s="15">
        <v>0</v>
      </c>
    </row>
    <row r="299" spans="1:21" x14ac:dyDescent="0.3">
      <c r="A299" s="10" t="s">
        <v>1098</v>
      </c>
      <c r="B299" s="11" t="s">
        <v>1099</v>
      </c>
      <c r="C299" s="11"/>
      <c r="D299" s="11" t="s">
        <v>1100</v>
      </c>
      <c r="E299" s="11">
        <f xml:space="preserve"> IF($U$299,1,0)</f>
        <v>0</v>
      </c>
      <c r="F299" s="11" t="s">
        <v>1101</v>
      </c>
      <c r="G299" s="11">
        <v>0</v>
      </c>
      <c r="H299" s="11">
        <v>0</v>
      </c>
      <c r="I299" s="11">
        <v>0</v>
      </c>
      <c r="J299" s="11">
        <v>0</v>
      </c>
      <c r="K299" s="11">
        <v>0</v>
      </c>
      <c r="L299" s="11">
        <v>0</v>
      </c>
      <c r="M299" s="11">
        <v>0</v>
      </c>
      <c r="N299" s="11">
        <v>0</v>
      </c>
      <c r="O299" s="11">
        <v>0</v>
      </c>
      <c r="P299" s="11">
        <v>0</v>
      </c>
      <c r="Q299" s="12">
        <v>0</v>
      </c>
      <c r="R299" s="12">
        <v>0</v>
      </c>
      <c r="S299" s="12">
        <v>0</v>
      </c>
      <c r="T299" s="12">
        <v>0</v>
      </c>
      <c r="U299" s="12">
        <v>0</v>
      </c>
    </row>
    <row r="300" spans="1:21" x14ac:dyDescent="0.3">
      <c r="A300" s="13" t="s">
        <v>1102</v>
      </c>
      <c r="B300" s="14" t="s">
        <v>1103</v>
      </c>
      <c r="C300" s="14"/>
      <c r="D300" s="14" t="s">
        <v>1104</v>
      </c>
      <c r="E300" s="14">
        <f xml:space="preserve"> IF($U$300,1,0)</f>
        <v>0</v>
      </c>
      <c r="F300" s="14" t="s">
        <v>1105</v>
      </c>
      <c r="G300" s="14">
        <v>0</v>
      </c>
      <c r="H300" s="14">
        <v>0</v>
      </c>
      <c r="I300" s="14">
        <v>0</v>
      </c>
      <c r="J300" s="14">
        <v>0</v>
      </c>
      <c r="K300" s="14">
        <v>0</v>
      </c>
      <c r="L300" s="14">
        <v>0</v>
      </c>
      <c r="M300" s="14">
        <v>0</v>
      </c>
      <c r="N300" s="14">
        <v>0</v>
      </c>
      <c r="O300" s="14">
        <v>0</v>
      </c>
      <c r="P300" s="14">
        <v>0</v>
      </c>
      <c r="Q300" s="15">
        <v>0</v>
      </c>
      <c r="R300" s="15">
        <v>0</v>
      </c>
      <c r="S300" s="15">
        <v>0</v>
      </c>
      <c r="T300" s="15">
        <v>0</v>
      </c>
      <c r="U300" s="15">
        <v>0</v>
      </c>
    </row>
    <row r="301" spans="1:21" x14ac:dyDescent="0.3">
      <c r="A301" s="10" t="s">
        <v>1106</v>
      </c>
      <c r="B301" s="11" t="s">
        <v>1107</v>
      </c>
      <c r="C301" s="11"/>
      <c r="D301" s="11" t="s">
        <v>1107</v>
      </c>
      <c r="E301" s="11">
        <f xml:space="preserve"> IF($U$301,1,0)</f>
        <v>0</v>
      </c>
      <c r="F301" s="11" t="s">
        <v>1108</v>
      </c>
      <c r="G301" s="11">
        <v>0</v>
      </c>
      <c r="H301" s="11">
        <v>0</v>
      </c>
      <c r="I301" s="11">
        <v>0</v>
      </c>
      <c r="J301" s="11">
        <v>0</v>
      </c>
      <c r="K301" s="11">
        <v>0</v>
      </c>
      <c r="L301" s="11">
        <v>0</v>
      </c>
      <c r="M301" s="11">
        <v>0</v>
      </c>
      <c r="N301" s="11">
        <v>0</v>
      </c>
      <c r="O301" s="11">
        <v>0</v>
      </c>
      <c r="P301" s="11">
        <v>0</v>
      </c>
      <c r="Q301" s="12">
        <v>0</v>
      </c>
      <c r="R301" s="12">
        <v>0</v>
      </c>
      <c r="S301" s="12">
        <v>0</v>
      </c>
      <c r="T301" s="12">
        <v>0</v>
      </c>
      <c r="U301" s="12">
        <v>0</v>
      </c>
    </row>
    <row r="302" spans="1:21" x14ac:dyDescent="0.3">
      <c r="A302" s="13" t="s">
        <v>1109</v>
      </c>
      <c r="B302" s="14" t="s">
        <v>1110</v>
      </c>
      <c r="C302" s="14" t="s">
        <v>34</v>
      </c>
      <c r="D302" s="14" t="s">
        <v>1111</v>
      </c>
      <c r="E302" s="14">
        <f xml:space="preserve"> IF($U$302,1,0)</f>
        <v>0</v>
      </c>
      <c r="F302" s="14" t="s">
        <v>1112</v>
      </c>
      <c r="G302" s="14">
        <v>0</v>
      </c>
      <c r="H302" s="14">
        <v>0</v>
      </c>
      <c r="I302" s="14">
        <v>0</v>
      </c>
      <c r="J302" s="14">
        <v>0</v>
      </c>
      <c r="K302" s="14">
        <v>0</v>
      </c>
      <c r="L302" s="14">
        <v>0</v>
      </c>
      <c r="M302" s="14">
        <v>0</v>
      </c>
      <c r="N302" s="14">
        <v>0</v>
      </c>
      <c r="O302" s="14">
        <v>0</v>
      </c>
      <c r="P302" s="14">
        <v>0</v>
      </c>
      <c r="Q302" s="15">
        <v>0</v>
      </c>
      <c r="R302" s="15">
        <v>0</v>
      </c>
      <c r="S302" s="15">
        <v>0</v>
      </c>
      <c r="T302" s="15">
        <v>0</v>
      </c>
      <c r="U302" s="15">
        <v>0</v>
      </c>
    </row>
    <row r="303" spans="1:21" x14ac:dyDescent="0.3">
      <c r="A303" s="10" t="s">
        <v>1113</v>
      </c>
      <c r="B303" s="11" t="s">
        <v>1114</v>
      </c>
      <c r="C303" s="11" t="s">
        <v>34</v>
      </c>
      <c r="D303" s="11" t="s">
        <v>239</v>
      </c>
      <c r="E303" s="11">
        <f xml:space="preserve"> IF($U$303,1,0)</f>
        <v>0</v>
      </c>
      <c r="F303" s="11" t="s">
        <v>1115</v>
      </c>
      <c r="G303" s="11">
        <v>0</v>
      </c>
      <c r="H303" s="11">
        <v>0</v>
      </c>
      <c r="I303" s="11">
        <v>0</v>
      </c>
      <c r="J303" s="11">
        <v>0</v>
      </c>
      <c r="K303" s="11">
        <v>0</v>
      </c>
      <c r="L303" s="11">
        <v>0</v>
      </c>
      <c r="M303" s="11">
        <v>0</v>
      </c>
      <c r="N303" s="11">
        <v>0</v>
      </c>
      <c r="O303" s="11">
        <v>0</v>
      </c>
      <c r="P303" s="11">
        <v>0</v>
      </c>
      <c r="Q303" s="12">
        <v>0</v>
      </c>
      <c r="R303" s="12">
        <v>0</v>
      </c>
      <c r="S303" s="12">
        <v>0</v>
      </c>
      <c r="T303" s="12">
        <v>0</v>
      </c>
      <c r="U303" s="12">
        <v>0</v>
      </c>
    </row>
    <row r="304" spans="1:21" x14ac:dyDescent="0.3">
      <c r="A304" s="13" t="s">
        <v>1257</v>
      </c>
      <c r="B304" s="14" t="s">
        <v>1117</v>
      </c>
      <c r="C304" s="14" t="s">
        <v>202</v>
      </c>
      <c r="D304" s="14" t="s">
        <v>442</v>
      </c>
      <c r="E304" s="14">
        <f xml:space="preserve"> IF($U$304,1,0)</f>
        <v>0</v>
      </c>
      <c r="F304" s="14" t="s">
        <v>1258</v>
      </c>
      <c r="G304" s="14">
        <v>0</v>
      </c>
      <c r="H304" s="14">
        <v>0</v>
      </c>
      <c r="I304" s="14">
        <v>0</v>
      </c>
      <c r="J304" s="14">
        <v>0</v>
      </c>
      <c r="K304" s="14">
        <v>0</v>
      </c>
      <c r="L304" s="14">
        <v>0</v>
      </c>
      <c r="M304" s="14">
        <v>0</v>
      </c>
      <c r="N304" s="14">
        <v>0</v>
      </c>
      <c r="O304" s="14">
        <v>0</v>
      </c>
      <c r="P304" s="14">
        <v>0</v>
      </c>
      <c r="Q304" s="15">
        <v>0</v>
      </c>
      <c r="R304" s="15">
        <v>0</v>
      </c>
      <c r="S304" s="15">
        <v>0</v>
      </c>
      <c r="T304" s="15">
        <v>0</v>
      </c>
      <c r="U304" s="15">
        <v>0</v>
      </c>
    </row>
    <row r="305" spans="1:21" x14ac:dyDescent="0.3">
      <c r="A305" s="10" t="s">
        <v>1116</v>
      </c>
      <c r="B305" s="11" t="s">
        <v>1117</v>
      </c>
      <c r="C305" s="11"/>
      <c r="D305" s="11" t="s">
        <v>1118</v>
      </c>
      <c r="E305" s="11">
        <f xml:space="preserve"> IF($U$305,1,0)</f>
        <v>0</v>
      </c>
      <c r="F305" s="11" t="s">
        <v>1119</v>
      </c>
      <c r="G305" s="11">
        <v>0</v>
      </c>
      <c r="H305" s="11">
        <v>0</v>
      </c>
      <c r="I305" s="11">
        <v>0</v>
      </c>
      <c r="J305" s="11">
        <v>0</v>
      </c>
      <c r="K305" s="11">
        <v>0</v>
      </c>
      <c r="L305" s="11">
        <v>0</v>
      </c>
      <c r="M305" s="11">
        <v>0</v>
      </c>
      <c r="N305" s="11">
        <v>0</v>
      </c>
      <c r="O305" s="11">
        <v>0</v>
      </c>
      <c r="P305" s="11">
        <v>0</v>
      </c>
      <c r="Q305" s="12">
        <v>0</v>
      </c>
      <c r="R305" s="12">
        <v>0</v>
      </c>
      <c r="S305" s="12">
        <v>0</v>
      </c>
      <c r="T305" s="12">
        <v>0</v>
      </c>
      <c r="U305" s="12">
        <v>0</v>
      </c>
    </row>
    <row r="306" spans="1:21" x14ac:dyDescent="0.3">
      <c r="A306" s="13" t="s">
        <v>1120</v>
      </c>
      <c r="B306" s="14" t="s">
        <v>1117</v>
      </c>
      <c r="C306" s="14"/>
      <c r="D306" s="14" t="s">
        <v>1121</v>
      </c>
      <c r="E306" s="14">
        <f xml:space="preserve"> IF($U$306,1,0)</f>
        <v>0</v>
      </c>
      <c r="F306" s="14" t="s">
        <v>1122</v>
      </c>
      <c r="G306" s="14">
        <v>0</v>
      </c>
      <c r="H306" s="14">
        <v>0</v>
      </c>
      <c r="I306" s="14">
        <v>0</v>
      </c>
      <c r="J306" s="14">
        <v>0</v>
      </c>
      <c r="K306" s="14">
        <v>0</v>
      </c>
      <c r="L306" s="14">
        <v>0</v>
      </c>
      <c r="M306" s="14">
        <v>0</v>
      </c>
      <c r="N306" s="14">
        <v>0</v>
      </c>
      <c r="O306" s="14">
        <v>0</v>
      </c>
      <c r="P306" s="14">
        <v>0</v>
      </c>
      <c r="Q306" s="15">
        <v>0</v>
      </c>
      <c r="R306" s="15">
        <v>0</v>
      </c>
      <c r="S306" s="15">
        <v>0</v>
      </c>
      <c r="T306" s="15">
        <v>0</v>
      </c>
      <c r="U306" s="15">
        <v>0</v>
      </c>
    </row>
    <row r="307" spans="1:21" x14ac:dyDescent="0.3">
      <c r="A307" s="10" t="s">
        <v>1123</v>
      </c>
      <c r="B307" s="11" t="s">
        <v>1117</v>
      </c>
      <c r="C307" s="11"/>
      <c r="D307" s="11" t="s">
        <v>1124</v>
      </c>
      <c r="E307" s="11">
        <f xml:space="preserve"> IF($U$307,1,0)</f>
        <v>0</v>
      </c>
      <c r="F307" s="11" t="s">
        <v>1125</v>
      </c>
      <c r="G307" s="11">
        <v>0</v>
      </c>
      <c r="H307" s="11">
        <v>0</v>
      </c>
      <c r="I307" s="11">
        <v>0</v>
      </c>
      <c r="J307" s="11">
        <v>0</v>
      </c>
      <c r="K307" s="11">
        <v>0</v>
      </c>
      <c r="L307" s="11">
        <v>0</v>
      </c>
      <c r="M307" s="11">
        <v>0</v>
      </c>
      <c r="N307" s="11">
        <v>0</v>
      </c>
      <c r="O307" s="11">
        <v>0</v>
      </c>
      <c r="P307" s="11">
        <v>0</v>
      </c>
      <c r="Q307" s="12">
        <v>0</v>
      </c>
      <c r="R307" s="12">
        <v>0</v>
      </c>
      <c r="S307" s="12">
        <v>0</v>
      </c>
      <c r="T307" s="12">
        <v>0</v>
      </c>
      <c r="U307" s="12">
        <v>0</v>
      </c>
    </row>
    <row r="308" spans="1:21" x14ac:dyDescent="0.3">
      <c r="A308" s="13" t="s">
        <v>1126</v>
      </c>
      <c r="B308" s="14" t="s">
        <v>1117</v>
      </c>
      <c r="C308" s="14"/>
      <c r="D308" s="14" t="s">
        <v>1127</v>
      </c>
      <c r="E308" s="14">
        <f xml:space="preserve"> IF($U$308,1,0)</f>
        <v>0</v>
      </c>
      <c r="F308" s="14" t="s">
        <v>1128</v>
      </c>
      <c r="G308" s="14">
        <v>0</v>
      </c>
      <c r="H308" s="14">
        <v>0</v>
      </c>
      <c r="I308" s="14">
        <v>0</v>
      </c>
      <c r="J308" s="14">
        <v>0</v>
      </c>
      <c r="K308" s="14">
        <v>0</v>
      </c>
      <c r="L308" s="14">
        <v>0</v>
      </c>
      <c r="M308" s="14">
        <v>0</v>
      </c>
      <c r="N308" s="14">
        <v>0</v>
      </c>
      <c r="O308" s="14">
        <v>0</v>
      </c>
      <c r="P308" s="14">
        <v>0</v>
      </c>
      <c r="Q308" s="15">
        <v>0</v>
      </c>
      <c r="R308" s="15">
        <v>0</v>
      </c>
      <c r="S308" s="15">
        <v>0</v>
      </c>
      <c r="T308" s="15">
        <v>0</v>
      </c>
      <c r="U308" s="15">
        <v>0</v>
      </c>
    </row>
    <row r="309" spans="1:21" x14ac:dyDescent="0.3">
      <c r="A309" s="10" t="s">
        <v>1129</v>
      </c>
      <c r="B309" s="11" t="s">
        <v>1130</v>
      </c>
      <c r="C309" s="11" t="s">
        <v>34</v>
      </c>
      <c r="D309" s="11" t="s">
        <v>1131</v>
      </c>
      <c r="E309" s="11">
        <f xml:space="preserve"> IF($U$309,1,0)</f>
        <v>0</v>
      </c>
      <c r="F309" s="11" t="s">
        <v>1132</v>
      </c>
      <c r="G309" s="11">
        <v>0</v>
      </c>
      <c r="H309" s="11">
        <v>0</v>
      </c>
      <c r="I309" s="11">
        <v>0</v>
      </c>
      <c r="J309" s="11">
        <v>0</v>
      </c>
      <c r="K309" s="11">
        <v>0</v>
      </c>
      <c r="L309" s="11">
        <v>0</v>
      </c>
      <c r="M309" s="11">
        <v>0</v>
      </c>
      <c r="N309" s="11">
        <v>0</v>
      </c>
      <c r="O309" s="11">
        <v>0</v>
      </c>
      <c r="P309" s="11">
        <v>0</v>
      </c>
      <c r="Q309" s="12">
        <v>0</v>
      </c>
      <c r="R309" s="12">
        <v>0</v>
      </c>
      <c r="S309" s="12">
        <v>0</v>
      </c>
      <c r="T309" s="12">
        <v>0</v>
      </c>
      <c r="U309" s="12">
        <v>0</v>
      </c>
    </row>
    <row r="310" spans="1:21" x14ac:dyDescent="0.3">
      <c r="A310" s="13" t="s">
        <v>1133</v>
      </c>
      <c r="B310" s="14" t="s">
        <v>1134</v>
      </c>
      <c r="C310" s="14"/>
      <c r="D310" s="14" t="s">
        <v>1135</v>
      </c>
      <c r="E310" s="14">
        <f xml:space="preserve"> IF($U$310,1,0)</f>
        <v>0</v>
      </c>
      <c r="F310" s="14" t="s">
        <v>1136</v>
      </c>
      <c r="G310" s="14">
        <v>0</v>
      </c>
      <c r="H310" s="14">
        <v>0</v>
      </c>
      <c r="I310" s="14">
        <v>0</v>
      </c>
      <c r="J310" s="14">
        <v>0</v>
      </c>
      <c r="K310" s="14">
        <v>0</v>
      </c>
      <c r="L310" s="14">
        <v>0</v>
      </c>
      <c r="M310" s="14">
        <v>0</v>
      </c>
      <c r="N310" s="14">
        <v>0</v>
      </c>
      <c r="O310" s="14">
        <v>0</v>
      </c>
      <c r="P310" s="14">
        <v>0</v>
      </c>
      <c r="Q310" s="15">
        <v>0</v>
      </c>
      <c r="R310" s="15">
        <v>0</v>
      </c>
      <c r="S310" s="15">
        <v>0</v>
      </c>
      <c r="T310" s="15">
        <v>0</v>
      </c>
      <c r="U310" s="15">
        <v>0</v>
      </c>
    </row>
    <row r="311" spans="1:21" x14ac:dyDescent="0.3">
      <c r="A311" s="10" t="s">
        <v>1137</v>
      </c>
      <c r="B311" s="11" t="s">
        <v>1138</v>
      </c>
      <c r="C311" s="11" t="s">
        <v>1296</v>
      </c>
      <c r="D311" s="11" t="s">
        <v>1139</v>
      </c>
      <c r="E311" s="11">
        <f xml:space="preserve"> IF($U$311,1,0)</f>
        <v>0</v>
      </c>
      <c r="F311" s="11" t="s">
        <v>1297</v>
      </c>
      <c r="G311" s="11">
        <v>0</v>
      </c>
      <c r="H311" s="11">
        <v>0</v>
      </c>
      <c r="I311" s="11">
        <v>0</v>
      </c>
      <c r="J311" s="11">
        <v>0</v>
      </c>
      <c r="K311" s="11">
        <v>0</v>
      </c>
      <c r="L311" s="11">
        <v>0</v>
      </c>
      <c r="M311" s="11">
        <v>0</v>
      </c>
      <c r="N311" s="11">
        <v>0</v>
      </c>
      <c r="O311" s="11">
        <v>0</v>
      </c>
      <c r="P311" s="11">
        <v>0</v>
      </c>
      <c r="Q311" s="12">
        <v>0</v>
      </c>
      <c r="R311" s="12">
        <v>0</v>
      </c>
      <c r="S311" s="12">
        <v>0</v>
      </c>
      <c r="T311" s="12">
        <v>0</v>
      </c>
      <c r="U311" s="12">
        <v>0</v>
      </c>
    </row>
    <row r="312" spans="1:21" x14ac:dyDescent="0.3">
      <c r="A312" s="13" t="s">
        <v>1141</v>
      </c>
      <c r="B312" s="14" t="s">
        <v>1142</v>
      </c>
      <c r="C312" s="14" t="s">
        <v>202</v>
      </c>
      <c r="D312" s="14" t="s">
        <v>442</v>
      </c>
      <c r="E312" s="14">
        <f xml:space="preserve"> IF($U$312,1,0)</f>
        <v>0</v>
      </c>
      <c r="F312" s="14" t="s">
        <v>1143</v>
      </c>
      <c r="G312" s="14">
        <v>0</v>
      </c>
      <c r="H312" s="14">
        <v>0</v>
      </c>
      <c r="I312" s="14">
        <v>0</v>
      </c>
      <c r="J312" s="14">
        <v>0</v>
      </c>
      <c r="K312" s="14">
        <v>0</v>
      </c>
      <c r="L312" s="14">
        <v>0</v>
      </c>
      <c r="M312" s="14">
        <v>0</v>
      </c>
      <c r="N312" s="14">
        <v>0</v>
      </c>
      <c r="O312" s="14">
        <v>0</v>
      </c>
      <c r="P312" s="14">
        <v>0</v>
      </c>
      <c r="Q312" s="15">
        <v>0</v>
      </c>
      <c r="R312" s="15">
        <v>0</v>
      </c>
      <c r="S312" s="15">
        <v>0</v>
      </c>
      <c r="T312" s="15">
        <v>0</v>
      </c>
      <c r="U312" s="15">
        <v>0</v>
      </c>
    </row>
    <row r="313" spans="1:21" x14ac:dyDescent="0.3">
      <c r="A313" s="10" t="s">
        <v>1144</v>
      </c>
      <c r="B313" s="11" t="s">
        <v>1142</v>
      </c>
      <c r="C313" s="11"/>
      <c r="D313" s="11" t="s">
        <v>1145</v>
      </c>
      <c r="E313" s="11">
        <f xml:space="preserve"> IF($U$313,1,0)</f>
        <v>0</v>
      </c>
      <c r="F313" s="11" t="s">
        <v>1146</v>
      </c>
      <c r="G313" s="11">
        <v>0</v>
      </c>
      <c r="H313" s="11">
        <v>0</v>
      </c>
      <c r="I313" s="11">
        <v>0</v>
      </c>
      <c r="J313" s="11">
        <v>0</v>
      </c>
      <c r="K313" s="11">
        <v>0</v>
      </c>
      <c r="L313" s="11">
        <v>0</v>
      </c>
      <c r="M313" s="11">
        <v>0</v>
      </c>
      <c r="N313" s="11">
        <v>0</v>
      </c>
      <c r="O313" s="11">
        <v>0</v>
      </c>
      <c r="P313" s="11">
        <v>0</v>
      </c>
      <c r="Q313" s="12">
        <v>0</v>
      </c>
      <c r="R313" s="12">
        <v>0</v>
      </c>
      <c r="S313" s="12">
        <v>0</v>
      </c>
      <c r="T313" s="12">
        <v>0</v>
      </c>
      <c r="U313" s="12">
        <v>0</v>
      </c>
    </row>
    <row r="314" spans="1:21" x14ac:dyDescent="0.3">
      <c r="A314" s="13" t="s">
        <v>1147</v>
      </c>
      <c r="B314" s="14" t="s">
        <v>1142</v>
      </c>
      <c r="C314" s="14"/>
      <c r="D314" s="14" t="s">
        <v>138</v>
      </c>
      <c r="E314" s="14">
        <f xml:space="preserve"> IF($U$314,1,0)</f>
        <v>0</v>
      </c>
      <c r="F314" s="14" t="s">
        <v>1148</v>
      </c>
      <c r="G314" s="14">
        <v>0</v>
      </c>
      <c r="H314" s="14">
        <v>0</v>
      </c>
      <c r="I314" s="14">
        <v>0</v>
      </c>
      <c r="J314" s="14">
        <v>0</v>
      </c>
      <c r="K314" s="14">
        <v>0</v>
      </c>
      <c r="L314" s="14">
        <v>0</v>
      </c>
      <c r="M314" s="14">
        <v>0</v>
      </c>
      <c r="N314" s="14">
        <v>0</v>
      </c>
      <c r="O314" s="14">
        <v>0</v>
      </c>
      <c r="P314" s="14">
        <v>0</v>
      </c>
      <c r="Q314" s="15">
        <v>0</v>
      </c>
      <c r="R314" s="15">
        <v>0</v>
      </c>
      <c r="S314" s="15">
        <v>0</v>
      </c>
      <c r="T314" s="15">
        <v>0</v>
      </c>
      <c r="U314" s="15">
        <v>0</v>
      </c>
    </row>
    <row r="315" spans="1:21" x14ac:dyDescent="0.3">
      <c r="A315" s="10" t="s">
        <v>1149</v>
      </c>
      <c r="B315" s="11" t="s">
        <v>1142</v>
      </c>
      <c r="C315" s="11"/>
      <c r="D315" s="11" t="s">
        <v>1150</v>
      </c>
      <c r="E315" s="11">
        <f xml:space="preserve"> IF($U$315,1,0)</f>
        <v>0</v>
      </c>
      <c r="F315" s="11" t="s">
        <v>1151</v>
      </c>
      <c r="G315" s="11">
        <v>0</v>
      </c>
      <c r="H315" s="11">
        <v>0</v>
      </c>
      <c r="I315" s="11">
        <v>0</v>
      </c>
      <c r="J315" s="11">
        <v>0</v>
      </c>
      <c r="K315" s="11">
        <v>0</v>
      </c>
      <c r="L315" s="11">
        <v>0</v>
      </c>
      <c r="M315" s="11">
        <v>0</v>
      </c>
      <c r="N315" s="11">
        <v>0</v>
      </c>
      <c r="O315" s="11">
        <v>0</v>
      </c>
      <c r="P315" s="11">
        <v>0</v>
      </c>
      <c r="Q315" s="12">
        <v>0</v>
      </c>
      <c r="R315" s="12">
        <v>0</v>
      </c>
      <c r="S315" s="12">
        <v>0</v>
      </c>
      <c r="T315" s="12">
        <v>0</v>
      </c>
      <c r="U315" s="12">
        <v>0</v>
      </c>
    </row>
    <row r="316" spans="1:21" x14ac:dyDescent="0.3">
      <c r="A316" s="13" t="s">
        <v>1152</v>
      </c>
      <c r="B316" s="14" t="s">
        <v>1142</v>
      </c>
      <c r="C316" s="14"/>
      <c r="D316" s="14" t="s">
        <v>1153</v>
      </c>
      <c r="E316" s="14">
        <f xml:space="preserve"> IF($U$316,1,0)</f>
        <v>0</v>
      </c>
      <c r="F316" s="14" t="s">
        <v>1154</v>
      </c>
      <c r="G316" s="14">
        <v>0</v>
      </c>
      <c r="H316" s="14">
        <v>0</v>
      </c>
      <c r="I316" s="14">
        <v>0</v>
      </c>
      <c r="J316" s="14">
        <v>0</v>
      </c>
      <c r="K316" s="14">
        <v>0</v>
      </c>
      <c r="L316" s="14">
        <v>0</v>
      </c>
      <c r="M316" s="14">
        <v>0</v>
      </c>
      <c r="N316" s="14">
        <v>0</v>
      </c>
      <c r="O316" s="14">
        <v>0</v>
      </c>
      <c r="P316" s="14">
        <v>0</v>
      </c>
      <c r="Q316" s="15">
        <v>0</v>
      </c>
      <c r="R316" s="15">
        <v>0</v>
      </c>
      <c r="S316" s="15">
        <v>0</v>
      </c>
      <c r="T316" s="15">
        <v>0</v>
      </c>
      <c r="U316" s="15">
        <v>0</v>
      </c>
    </row>
    <row r="317" spans="1:21" x14ac:dyDescent="0.3">
      <c r="A317" s="10" t="s">
        <v>1155</v>
      </c>
      <c r="B317" s="11" t="s">
        <v>1156</v>
      </c>
      <c r="C317" s="11"/>
      <c r="D317" s="11" t="s">
        <v>1157</v>
      </c>
      <c r="E317" s="11">
        <f xml:space="preserve"> IF($U$317,1,0)</f>
        <v>0</v>
      </c>
      <c r="F317" s="11" t="s">
        <v>1158</v>
      </c>
      <c r="G317" s="11">
        <v>0</v>
      </c>
      <c r="H317" s="11">
        <v>0</v>
      </c>
      <c r="I317" s="11">
        <v>0</v>
      </c>
      <c r="J317" s="11">
        <v>0</v>
      </c>
      <c r="K317" s="11">
        <v>0</v>
      </c>
      <c r="L317" s="11">
        <v>0</v>
      </c>
      <c r="M317" s="11">
        <v>0</v>
      </c>
      <c r="N317" s="11">
        <v>0</v>
      </c>
      <c r="O317" s="11">
        <v>0</v>
      </c>
      <c r="P317" s="11">
        <v>0</v>
      </c>
      <c r="Q317" s="12">
        <v>0</v>
      </c>
      <c r="R317" s="12">
        <v>0</v>
      </c>
      <c r="S317" s="12">
        <v>0</v>
      </c>
      <c r="T317" s="12">
        <v>0</v>
      </c>
      <c r="U317" s="12">
        <v>0</v>
      </c>
    </row>
    <row r="318" spans="1:21" x14ac:dyDescent="0.3">
      <c r="A318" s="13" t="s">
        <v>1159</v>
      </c>
      <c r="B318" s="14" t="s">
        <v>1160</v>
      </c>
      <c r="C318" s="14"/>
      <c r="D318" s="14" t="s">
        <v>1161</v>
      </c>
      <c r="E318" s="14">
        <f xml:space="preserve"> IF($U$318,1,0)</f>
        <v>0</v>
      </c>
      <c r="F318" s="14" t="s">
        <v>1162</v>
      </c>
      <c r="G318" s="14">
        <v>0</v>
      </c>
      <c r="H318" s="14">
        <v>0</v>
      </c>
      <c r="I318" s="14">
        <v>0</v>
      </c>
      <c r="J318" s="14">
        <v>0</v>
      </c>
      <c r="K318" s="14">
        <v>0</v>
      </c>
      <c r="L318" s="14">
        <v>0</v>
      </c>
      <c r="M318" s="14">
        <v>0</v>
      </c>
      <c r="N318" s="14">
        <v>0</v>
      </c>
      <c r="O318" s="14">
        <v>0</v>
      </c>
      <c r="P318" s="14">
        <v>0</v>
      </c>
      <c r="Q318" s="15">
        <v>0</v>
      </c>
      <c r="R318" s="15">
        <v>0</v>
      </c>
      <c r="S318" s="15">
        <v>0</v>
      </c>
      <c r="T318" s="15">
        <v>0</v>
      </c>
      <c r="U318" s="15">
        <v>0</v>
      </c>
    </row>
    <row r="319" spans="1:21" x14ac:dyDescent="0.3">
      <c r="A319" s="10" t="s">
        <v>1163</v>
      </c>
      <c r="B319" s="11" t="s">
        <v>1160</v>
      </c>
      <c r="C319" s="11"/>
      <c r="D319" s="11" t="s">
        <v>1164</v>
      </c>
      <c r="E319" s="11">
        <f xml:space="preserve"> IF($U$319,1,0)</f>
        <v>0</v>
      </c>
      <c r="F319" s="11" t="s">
        <v>1165</v>
      </c>
      <c r="G319" s="11">
        <v>0</v>
      </c>
      <c r="H319" s="11">
        <v>0</v>
      </c>
      <c r="I319" s="11">
        <v>0</v>
      </c>
      <c r="J319" s="11">
        <v>0</v>
      </c>
      <c r="K319" s="11">
        <v>0</v>
      </c>
      <c r="L319" s="11">
        <v>0</v>
      </c>
      <c r="M319" s="11">
        <v>0</v>
      </c>
      <c r="N319" s="11">
        <v>0</v>
      </c>
      <c r="O319" s="11">
        <v>0</v>
      </c>
      <c r="P319" s="11">
        <v>0</v>
      </c>
      <c r="Q319" s="12">
        <v>0</v>
      </c>
      <c r="R319" s="12">
        <v>0</v>
      </c>
      <c r="S319" s="12">
        <v>0</v>
      </c>
      <c r="T319" s="12">
        <v>0</v>
      </c>
      <c r="U319" s="12">
        <v>0</v>
      </c>
    </row>
    <row r="320" spans="1:21" x14ac:dyDescent="0.3">
      <c r="A320" s="13" t="s">
        <v>1166</v>
      </c>
      <c r="B320" s="14" t="s">
        <v>1160</v>
      </c>
      <c r="C320" s="14" t="s">
        <v>243</v>
      </c>
      <c r="D320" s="14" t="s">
        <v>1167</v>
      </c>
      <c r="E320" s="14">
        <f xml:space="preserve"> IF($U$320,1,0)</f>
        <v>0</v>
      </c>
      <c r="F320" s="14" t="s">
        <v>1168</v>
      </c>
      <c r="G320" s="14">
        <v>0</v>
      </c>
      <c r="H320" s="14">
        <v>0</v>
      </c>
      <c r="I320" s="14">
        <v>0</v>
      </c>
      <c r="J320" s="14">
        <v>0</v>
      </c>
      <c r="K320" s="14">
        <v>0</v>
      </c>
      <c r="L320" s="14">
        <v>0</v>
      </c>
      <c r="M320" s="14">
        <v>0</v>
      </c>
      <c r="N320" s="14">
        <v>0</v>
      </c>
      <c r="O320" s="14">
        <v>0</v>
      </c>
      <c r="P320" s="14">
        <v>0</v>
      </c>
      <c r="Q320" s="15">
        <v>0</v>
      </c>
      <c r="R320" s="15">
        <v>0</v>
      </c>
      <c r="S320" s="15">
        <v>0</v>
      </c>
      <c r="T320" s="15">
        <v>0</v>
      </c>
      <c r="U320" s="15">
        <v>0</v>
      </c>
    </row>
    <row r="321" spans="1:21" x14ac:dyDescent="0.3">
      <c r="A321" s="10" t="s">
        <v>1169</v>
      </c>
      <c r="B321" s="11" t="s">
        <v>1170</v>
      </c>
      <c r="C321" s="11"/>
      <c r="D321" s="11" t="s">
        <v>1171</v>
      </c>
      <c r="E321" s="11">
        <f xml:space="preserve"> IF($U$321,1,0)</f>
        <v>0</v>
      </c>
      <c r="F321" s="11" t="s">
        <v>1172</v>
      </c>
      <c r="G321" s="11">
        <v>0</v>
      </c>
      <c r="H321" s="11">
        <v>0</v>
      </c>
      <c r="I321" s="11">
        <v>0</v>
      </c>
      <c r="J321" s="11">
        <v>0</v>
      </c>
      <c r="K321" s="11">
        <v>0</v>
      </c>
      <c r="L321" s="11">
        <v>0</v>
      </c>
      <c r="M321" s="11">
        <v>0</v>
      </c>
      <c r="N321" s="11">
        <v>0</v>
      </c>
      <c r="O321" s="11">
        <v>0</v>
      </c>
      <c r="P321" s="11">
        <v>0</v>
      </c>
      <c r="Q321" s="12">
        <v>0</v>
      </c>
      <c r="R321" s="12">
        <v>0</v>
      </c>
      <c r="S321" s="12">
        <v>0</v>
      </c>
      <c r="T321" s="12">
        <v>0</v>
      </c>
      <c r="U321" s="12">
        <v>0</v>
      </c>
    </row>
    <row r="322" spans="1:21" x14ac:dyDescent="0.3">
      <c r="A322" s="13" t="s">
        <v>1173</v>
      </c>
      <c r="B322" s="14" t="s">
        <v>1174</v>
      </c>
      <c r="C322" s="14"/>
      <c r="D322" s="14" t="s">
        <v>1175</v>
      </c>
      <c r="E322" s="14">
        <f xml:space="preserve"> IF($U$322,1,0)</f>
        <v>0</v>
      </c>
      <c r="F322" s="14" t="s">
        <v>1176</v>
      </c>
      <c r="G322" s="14">
        <v>0</v>
      </c>
      <c r="H322" s="14">
        <v>0</v>
      </c>
      <c r="I322" s="14">
        <v>0</v>
      </c>
      <c r="J322" s="14">
        <v>0</v>
      </c>
      <c r="K322" s="14">
        <v>0</v>
      </c>
      <c r="L322" s="14">
        <v>0</v>
      </c>
      <c r="M322" s="14">
        <v>0</v>
      </c>
      <c r="N322" s="14">
        <v>0</v>
      </c>
      <c r="O322" s="14">
        <v>0</v>
      </c>
      <c r="P322" s="14">
        <v>0</v>
      </c>
      <c r="Q322" s="15">
        <v>0</v>
      </c>
      <c r="R322" s="15">
        <v>0</v>
      </c>
      <c r="S322" s="15">
        <v>0</v>
      </c>
      <c r="T322" s="15">
        <v>0</v>
      </c>
      <c r="U322" s="15">
        <v>0</v>
      </c>
    </row>
    <row r="323" spans="1:21" x14ac:dyDescent="0.3">
      <c r="A323" s="10" t="s">
        <v>1177</v>
      </c>
      <c r="B323" s="11" t="s">
        <v>1174</v>
      </c>
      <c r="C323" s="11" t="s">
        <v>65</v>
      </c>
      <c r="D323" s="11" t="s">
        <v>1178</v>
      </c>
      <c r="E323" s="11">
        <f xml:space="preserve"> IF($U$323,1,0)</f>
        <v>0</v>
      </c>
      <c r="F323" s="11" t="s">
        <v>1179</v>
      </c>
      <c r="G323" s="11">
        <v>0</v>
      </c>
      <c r="H323" s="11">
        <v>0</v>
      </c>
      <c r="I323" s="11">
        <v>0</v>
      </c>
      <c r="J323" s="11">
        <v>0</v>
      </c>
      <c r="K323" s="11">
        <v>0</v>
      </c>
      <c r="L323" s="11">
        <v>0</v>
      </c>
      <c r="M323" s="11">
        <v>0</v>
      </c>
      <c r="N323" s="11">
        <v>0</v>
      </c>
      <c r="O323" s="11">
        <v>0</v>
      </c>
      <c r="P323" s="11">
        <v>0</v>
      </c>
      <c r="Q323" s="12">
        <v>0</v>
      </c>
      <c r="R323" s="12">
        <v>0</v>
      </c>
      <c r="S323" s="12">
        <v>0</v>
      </c>
      <c r="T323" s="12">
        <v>0</v>
      </c>
      <c r="U323" s="12">
        <v>0</v>
      </c>
    </row>
    <row r="324" spans="1:21" x14ac:dyDescent="0.3">
      <c r="A324" s="13" t="s">
        <v>1180</v>
      </c>
      <c r="B324" s="14" t="s">
        <v>1181</v>
      </c>
      <c r="C324" s="14"/>
      <c r="D324" s="14" t="s">
        <v>1182</v>
      </c>
      <c r="E324" s="14">
        <f xml:space="preserve"> IF($U$324,1,0)</f>
        <v>0</v>
      </c>
      <c r="F324" s="14" t="s">
        <v>1183</v>
      </c>
      <c r="G324" s="14">
        <v>0</v>
      </c>
      <c r="H324" s="14">
        <v>0</v>
      </c>
      <c r="I324" s="14">
        <v>0</v>
      </c>
      <c r="J324" s="14">
        <v>0</v>
      </c>
      <c r="K324" s="14">
        <v>0</v>
      </c>
      <c r="L324" s="14">
        <v>0</v>
      </c>
      <c r="M324" s="14">
        <v>0</v>
      </c>
      <c r="N324" s="14">
        <v>0</v>
      </c>
      <c r="O324" s="14">
        <v>0</v>
      </c>
      <c r="P324" s="14">
        <v>0</v>
      </c>
      <c r="Q324" s="15">
        <v>0</v>
      </c>
      <c r="R324" s="15">
        <v>0</v>
      </c>
      <c r="S324" s="15">
        <v>0</v>
      </c>
      <c r="T324" s="15">
        <v>0</v>
      </c>
      <c r="U324" s="15">
        <v>0</v>
      </c>
    </row>
    <row r="325" spans="1:21" x14ac:dyDescent="0.3">
      <c r="A325" s="10" t="s">
        <v>1184</v>
      </c>
      <c r="B325" s="11" t="s">
        <v>1185</v>
      </c>
      <c r="C325" s="11" t="s">
        <v>65</v>
      </c>
      <c r="D325" s="11" t="s">
        <v>1186</v>
      </c>
      <c r="E325" s="11">
        <f xml:space="preserve"> IF($U$325,1,0)</f>
        <v>0</v>
      </c>
      <c r="F325" s="11" t="s">
        <v>1187</v>
      </c>
      <c r="G325" s="11">
        <v>0</v>
      </c>
      <c r="H325" s="11">
        <v>0</v>
      </c>
      <c r="I325" s="11">
        <v>0</v>
      </c>
      <c r="J325" s="11">
        <v>0</v>
      </c>
      <c r="K325" s="11">
        <v>0</v>
      </c>
      <c r="L325" s="11">
        <v>0</v>
      </c>
      <c r="M325" s="11">
        <v>0</v>
      </c>
      <c r="N325" s="11">
        <v>0</v>
      </c>
      <c r="O325" s="11">
        <v>0</v>
      </c>
      <c r="P325" s="11">
        <v>0</v>
      </c>
      <c r="Q325" s="12">
        <v>0</v>
      </c>
      <c r="R325" s="12">
        <v>0</v>
      </c>
      <c r="S325" s="12">
        <v>0</v>
      </c>
      <c r="T325" s="12">
        <v>0</v>
      </c>
      <c r="U325" s="12">
        <v>0</v>
      </c>
    </row>
    <row r="326" spans="1:21" x14ac:dyDescent="0.3">
      <c r="A326" s="13" t="s">
        <v>1188</v>
      </c>
      <c r="B326" s="14" t="s">
        <v>1189</v>
      </c>
      <c r="C326" s="14"/>
      <c r="D326" s="14" t="s">
        <v>1190</v>
      </c>
      <c r="E326" s="14">
        <f xml:space="preserve"> IF($U$326,1,0)</f>
        <v>0</v>
      </c>
      <c r="F326" s="14" t="s">
        <v>1191</v>
      </c>
      <c r="G326" s="14">
        <v>0</v>
      </c>
      <c r="H326" s="14">
        <v>0</v>
      </c>
      <c r="I326" s="14">
        <v>0</v>
      </c>
      <c r="J326" s="14">
        <v>0</v>
      </c>
      <c r="K326" s="14">
        <v>0</v>
      </c>
      <c r="L326" s="14">
        <v>0</v>
      </c>
      <c r="M326" s="14">
        <v>0</v>
      </c>
      <c r="N326" s="14">
        <v>0</v>
      </c>
      <c r="O326" s="14">
        <v>0</v>
      </c>
      <c r="P326" s="14">
        <v>0</v>
      </c>
      <c r="Q326" s="15">
        <v>0</v>
      </c>
      <c r="R326" s="15">
        <v>0</v>
      </c>
      <c r="S326" s="15">
        <v>0</v>
      </c>
      <c r="T326" s="15">
        <v>0</v>
      </c>
      <c r="U326" s="15">
        <v>0</v>
      </c>
    </row>
    <row r="327" spans="1:21" x14ac:dyDescent="0.3">
      <c r="A327" s="10" t="s">
        <v>1192</v>
      </c>
      <c r="B327" s="11" t="s">
        <v>1193</v>
      </c>
      <c r="C327" s="11"/>
      <c r="D327" s="11" t="s">
        <v>1194</v>
      </c>
      <c r="E327" s="11">
        <f xml:space="preserve"> IF($U$327,1,0)</f>
        <v>0</v>
      </c>
      <c r="F327" s="11" t="s">
        <v>1195</v>
      </c>
      <c r="G327" s="11">
        <v>0</v>
      </c>
      <c r="H327" s="11">
        <v>0</v>
      </c>
      <c r="I327" s="11">
        <v>0</v>
      </c>
      <c r="J327" s="11">
        <v>0</v>
      </c>
      <c r="K327" s="11">
        <v>0</v>
      </c>
      <c r="L327" s="11">
        <v>0</v>
      </c>
      <c r="M327" s="11">
        <v>0</v>
      </c>
      <c r="N327" s="11">
        <v>0</v>
      </c>
      <c r="O327" s="11">
        <v>0</v>
      </c>
      <c r="P327" s="11">
        <v>0</v>
      </c>
      <c r="Q327" s="12">
        <v>0</v>
      </c>
      <c r="R327" s="12">
        <v>0</v>
      </c>
      <c r="S327" s="12">
        <v>0</v>
      </c>
      <c r="T327" s="12">
        <v>0</v>
      </c>
      <c r="U327" s="12">
        <v>0</v>
      </c>
    </row>
    <row r="328" spans="1:21" x14ac:dyDescent="0.3">
      <c r="A328" s="13" t="s">
        <v>1196</v>
      </c>
      <c r="B328" s="14" t="s">
        <v>1197</v>
      </c>
      <c r="C328" s="14"/>
      <c r="D328" s="14" t="s">
        <v>1198</v>
      </c>
      <c r="E328" s="14">
        <f xml:space="preserve"> IF($U$328,1,0)</f>
        <v>0</v>
      </c>
      <c r="F328" s="14" t="s">
        <v>1199</v>
      </c>
      <c r="G328" s="14">
        <v>0</v>
      </c>
      <c r="H328" s="14">
        <v>0</v>
      </c>
      <c r="I328" s="14">
        <v>0</v>
      </c>
      <c r="J328" s="14">
        <v>0</v>
      </c>
      <c r="K328" s="14">
        <v>0</v>
      </c>
      <c r="L328" s="14">
        <v>0</v>
      </c>
      <c r="M328" s="14">
        <v>0</v>
      </c>
      <c r="N328" s="14">
        <v>0</v>
      </c>
      <c r="O328" s="14">
        <v>0</v>
      </c>
      <c r="P328" s="14">
        <v>0</v>
      </c>
      <c r="Q328" s="15">
        <v>0</v>
      </c>
      <c r="R328" s="15">
        <v>0</v>
      </c>
      <c r="S328" s="15">
        <v>0</v>
      </c>
      <c r="T328" s="15">
        <v>0</v>
      </c>
      <c r="U328" s="15">
        <v>0</v>
      </c>
    </row>
    <row r="329" spans="1:21" x14ac:dyDescent="0.3">
      <c r="A329" s="10" t="s">
        <v>1200</v>
      </c>
      <c r="B329" s="11" t="s">
        <v>1201</v>
      </c>
      <c r="C329" s="11"/>
      <c r="D329" s="11" t="s">
        <v>1202</v>
      </c>
      <c r="E329" s="11">
        <f xml:space="preserve"> IF($U$329,1,0)</f>
        <v>0</v>
      </c>
      <c r="F329" s="11" t="s">
        <v>1203</v>
      </c>
      <c r="G329" s="11">
        <v>0</v>
      </c>
      <c r="H329" s="11">
        <v>0</v>
      </c>
      <c r="I329" s="11">
        <v>0</v>
      </c>
      <c r="J329" s="11">
        <v>0</v>
      </c>
      <c r="K329" s="11">
        <v>0</v>
      </c>
      <c r="L329" s="11">
        <v>0</v>
      </c>
      <c r="M329" s="11">
        <v>0</v>
      </c>
      <c r="N329" s="11">
        <v>0</v>
      </c>
      <c r="O329" s="11">
        <v>0</v>
      </c>
      <c r="P329" s="11">
        <v>0</v>
      </c>
      <c r="Q329" s="12">
        <v>0</v>
      </c>
      <c r="R329" s="12">
        <v>0</v>
      </c>
      <c r="S329" s="12">
        <v>0</v>
      </c>
      <c r="T329" s="12">
        <v>0</v>
      </c>
      <c r="U329" s="12">
        <v>0</v>
      </c>
    </row>
    <row r="330" spans="1:21" x14ac:dyDescent="0.3">
      <c r="A330" s="13" t="s">
        <v>1204</v>
      </c>
      <c r="B330" s="14" t="s">
        <v>1205</v>
      </c>
      <c r="C330" s="14"/>
      <c r="D330" s="14" t="s">
        <v>1206</v>
      </c>
      <c r="E330" s="14">
        <f xml:space="preserve"> IF($U$330,1,0)</f>
        <v>0</v>
      </c>
      <c r="F330" s="14" t="s">
        <v>1207</v>
      </c>
      <c r="G330" s="14">
        <v>0</v>
      </c>
      <c r="H330" s="14">
        <v>0</v>
      </c>
      <c r="I330" s="14">
        <v>0</v>
      </c>
      <c r="J330" s="14">
        <v>0</v>
      </c>
      <c r="K330" s="14">
        <v>0</v>
      </c>
      <c r="L330" s="14">
        <v>0</v>
      </c>
      <c r="M330" s="14">
        <v>0</v>
      </c>
      <c r="N330" s="14">
        <v>0</v>
      </c>
      <c r="O330" s="14">
        <v>0</v>
      </c>
      <c r="P330" s="14">
        <v>0</v>
      </c>
      <c r="Q330" s="15">
        <v>0</v>
      </c>
      <c r="R330" s="15">
        <v>0</v>
      </c>
      <c r="S330" s="15">
        <v>0</v>
      </c>
      <c r="T330" s="15">
        <v>0</v>
      </c>
      <c r="U330" s="15">
        <v>0</v>
      </c>
    </row>
    <row r="331" spans="1:21" x14ac:dyDescent="0.3">
      <c r="A331" s="10" t="s">
        <v>1208</v>
      </c>
      <c r="B331" s="11" t="s">
        <v>1205</v>
      </c>
      <c r="C331" s="11"/>
      <c r="D331" s="11" t="s">
        <v>1209</v>
      </c>
      <c r="E331" s="11">
        <f xml:space="preserve"> IF($U$331,1,0)</f>
        <v>0</v>
      </c>
      <c r="F331" s="11" t="s">
        <v>1210</v>
      </c>
      <c r="G331" s="11">
        <v>0</v>
      </c>
      <c r="H331" s="11">
        <v>0</v>
      </c>
      <c r="I331" s="11">
        <v>0</v>
      </c>
      <c r="J331" s="11">
        <v>0</v>
      </c>
      <c r="K331" s="11">
        <v>0</v>
      </c>
      <c r="L331" s="11">
        <v>0</v>
      </c>
      <c r="M331" s="11">
        <v>0</v>
      </c>
      <c r="N331" s="11">
        <v>0</v>
      </c>
      <c r="O331" s="11">
        <v>0</v>
      </c>
      <c r="P331" s="11">
        <v>0</v>
      </c>
      <c r="Q331" s="12">
        <v>0</v>
      </c>
      <c r="R331" s="12">
        <v>0</v>
      </c>
      <c r="S331" s="12">
        <v>0</v>
      </c>
      <c r="T331" s="12">
        <v>0</v>
      </c>
      <c r="U331" s="12">
        <v>0</v>
      </c>
    </row>
    <row r="332" spans="1:21" x14ac:dyDescent="0.3">
      <c r="A332" s="13" t="s">
        <v>1211</v>
      </c>
      <c r="B332" s="14" t="s">
        <v>1212</v>
      </c>
      <c r="C332" s="14"/>
      <c r="D332" s="14" t="s">
        <v>670</v>
      </c>
      <c r="E332" s="14">
        <f xml:space="preserve"> IF($U$332,1,0)</f>
        <v>0</v>
      </c>
      <c r="F332" s="14" t="s">
        <v>1213</v>
      </c>
      <c r="G332" s="14">
        <v>0</v>
      </c>
      <c r="H332" s="14">
        <v>0</v>
      </c>
      <c r="I332" s="14">
        <v>0</v>
      </c>
      <c r="J332" s="14">
        <v>0</v>
      </c>
      <c r="K332" s="14">
        <v>0</v>
      </c>
      <c r="L332" s="14">
        <v>0</v>
      </c>
      <c r="M332" s="14">
        <v>0</v>
      </c>
      <c r="N332" s="14">
        <v>0</v>
      </c>
      <c r="O332" s="14">
        <v>0</v>
      </c>
      <c r="P332" s="14">
        <v>0</v>
      </c>
      <c r="Q332" s="15">
        <v>0</v>
      </c>
      <c r="R332" s="15">
        <v>0</v>
      </c>
      <c r="S332" s="15">
        <v>0</v>
      </c>
      <c r="T332" s="15">
        <v>0</v>
      </c>
      <c r="U332" s="15">
        <v>0</v>
      </c>
    </row>
    <row r="333" spans="1:21" x14ac:dyDescent="0.3">
      <c r="A333" s="10" t="s">
        <v>1214</v>
      </c>
      <c r="B333" s="11" t="s">
        <v>1215</v>
      </c>
      <c r="C333" s="11"/>
      <c r="D333" s="11" t="s">
        <v>1216</v>
      </c>
      <c r="E333" s="11">
        <f xml:space="preserve"> IF($U$333,1,0)</f>
        <v>0</v>
      </c>
      <c r="F333" s="11" t="s">
        <v>1217</v>
      </c>
      <c r="G333" s="11">
        <v>0</v>
      </c>
      <c r="H333" s="11">
        <v>0</v>
      </c>
      <c r="I333" s="11">
        <v>0</v>
      </c>
      <c r="J333" s="11">
        <v>0</v>
      </c>
      <c r="K333" s="11">
        <v>0</v>
      </c>
      <c r="L333" s="11">
        <v>0</v>
      </c>
      <c r="M333" s="11">
        <v>0</v>
      </c>
      <c r="N333" s="11">
        <v>0</v>
      </c>
      <c r="O333" s="11">
        <v>0</v>
      </c>
      <c r="P333" s="11">
        <v>0</v>
      </c>
      <c r="Q333" s="12">
        <v>0</v>
      </c>
      <c r="R333" s="12">
        <v>0</v>
      </c>
      <c r="S333" s="12">
        <v>0</v>
      </c>
      <c r="T333" s="12">
        <v>0</v>
      </c>
      <c r="U333" s="12">
        <v>0</v>
      </c>
    </row>
    <row r="334" spans="1:21" x14ac:dyDescent="0.3">
      <c r="A334" s="13" t="s">
        <v>1218</v>
      </c>
      <c r="B334" s="14" t="s">
        <v>1219</v>
      </c>
      <c r="C334" s="14" t="s">
        <v>202</v>
      </c>
      <c r="D334" s="14" t="s">
        <v>1068</v>
      </c>
      <c r="E334" s="14">
        <f xml:space="preserve"> IF($U$334,1,0)</f>
        <v>0</v>
      </c>
      <c r="F334" s="14" t="s">
        <v>1220</v>
      </c>
      <c r="G334" s="14">
        <v>0</v>
      </c>
      <c r="H334" s="14">
        <v>0</v>
      </c>
      <c r="I334" s="14">
        <v>0</v>
      </c>
      <c r="J334" s="14">
        <v>0</v>
      </c>
      <c r="K334" s="14">
        <v>0</v>
      </c>
      <c r="L334" s="14">
        <v>0</v>
      </c>
      <c r="M334" s="14">
        <v>0</v>
      </c>
      <c r="N334" s="14">
        <v>0</v>
      </c>
      <c r="O334" s="14">
        <v>0</v>
      </c>
      <c r="P334" s="14">
        <v>0</v>
      </c>
      <c r="Q334" s="15">
        <v>0</v>
      </c>
      <c r="R334" s="15">
        <v>0</v>
      </c>
      <c r="S334" s="15">
        <v>0</v>
      </c>
      <c r="T334" s="15">
        <v>0</v>
      </c>
      <c r="U334" s="15">
        <v>0</v>
      </c>
    </row>
    <row r="335" spans="1:21" x14ac:dyDescent="0.3">
      <c r="A335" s="10" t="s">
        <v>1221</v>
      </c>
      <c r="B335" s="11" t="s">
        <v>1222</v>
      </c>
      <c r="C335" s="11"/>
      <c r="D335" s="11" t="s">
        <v>1223</v>
      </c>
      <c r="E335" s="11">
        <f xml:space="preserve"> IF($U$335,1,0)</f>
        <v>0</v>
      </c>
      <c r="F335" s="11" t="s">
        <v>1224</v>
      </c>
      <c r="G335" s="11">
        <v>0</v>
      </c>
      <c r="H335" s="11">
        <v>0</v>
      </c>
      <c r="I335" s="11">
        <v>0</v>
      </c>
      <c r="J335" s="11">
        <v>0</v>
      </c>
      <c r="K335" s="11">
        <v>0</v>
      </c>
      <c r="L335" s="11">
        <v>0</v>
      </c>
      <c r="M335" s="11">
        <v>0</v>
      </c>
      <c r="N335" s="11">
        <v>0</v>
      </c>
      <c r="O335" s="11">
        <v>0</v>
      </c>
      <c r="P335" s="11">
        <v>0</v>
      </c>
      <c r="Q335" s="12">
        <v>0</v>
      </c>
      <c r="R335" s="12">
        <v>0</v>
      </c>
      <c r="S335" s="12">
        <v>0</v>
      </c>
      <c r="T335" s="12">
        <v>0</v>
      </c>
      <c r="U335" s="12">
        <v>0</v>
      </c>
    </row>
    <row r="336" spans="1:21" x14ac:dyDescent="0.3">
      <c r="A336" s="13" t="s">
        <v>1225</v>
      </c>
      <c r="B336" s="14" t="s">
        <v>1226</v>
      </c>
      <c r="C336" s="14" t="s">
        <v>34</v>
      </c>
      <c r="D336" s="14" t="s">
        <v>1227</v>
      </c>
      <c r="E336" s="14">
        <f xml:space="preserve"> IF($U$336,1,0)</f>
        <v>0</v>
      </c>
      <c r="F336" s="14" t="s">
        <v>1228</v>
      </c>
      <c r="G336" s="14">
        <v>0</v>
      </c>
      <c r="H336" s="14">
        <v>0</v>
      </c>
      <c r="I336" s="14">
        <v>0</v>
      </c>
      <c r="J336" s="14">
        <v>0</v>
      </c>
      <c r="K336" s="14">
        <v>0</v>
      </c>
      <c r="L336" s="14">
        <v>0</v>
      </c>
      <c r="M336" s="14">
        <v>0</v>
      </c>
      <c r="N336" s="14">
        <v>0</v>
      </c>
      <c r="O336" s="14">
        <v>0</v>
      </c>
      <c r="P336" s="14">
        <v>0</v>
      </c>
      <c r="Q336" s="15">
        <v>0</v>
      </c>
      <c r="R336" s="15">
        <v>0</v>
      </c>
      <c r="S336" s="15">
        <v>0</v>
      </c>
      <c r="T336" s="15">
        <v>0</v>
      </c>
      <c r="U336" s="15">
        <v>0</v>
      </c>
    </row>
    <row r="337" spans="1:21" x14ac:dyDescent="0.3">
      <c r="A337" s="10" t="s">
        <v>1229</v>
      </c>
      <c r="B337" s="11" t="s">
        <v>1230</v>
      </c>
      <c r="C337" s="11"/>
      <c r="D337" s="11" t="s">
        <v>1231</v>
      </c>
      <c r="E337" s="11">
        <f xml:space="preserve"> IF($U$337,1,0)</f>
        <v>0</v>
      </c>
      <c r="F337" s="11" t="s">
        <v>1232</v>
      </c>
      <c r="G337" s="11">
        <v>0</v>
      </c>
      <c r="H337" s="11">
        <v>0</v>
      </c>
      <c r="I337" s="11">
        <v>0</v>
      </c>
      <c r="J337" s="11">
        <v>0</v>
      </c>
      <c r="K337" s="11">
        <v>0</v>
      </c>
      <c r="L337" s="11">
        <v>0</v>
      </c>
      <c r="M337" s="11">
        <v>0</v>
      </c>
      <c r="N337" s="11">
        <v>0</v>
      </c>
      <c r="O337" s="11">
        <v>0</v>
      </c>
      <c r="P337" s="11">
        <v>0</v>
      </c>
      <c r="Q337" s="12">
        <v>0</v>
      </c>
      <c r="R337" s="12">
        <v>0</v>
      </c>
      <c r="S337" s="12">
        <v>0</v>
      </c>
      <c r="T337" s="12">
        <v>0</v>
      </c>
      <c r="U337" s="12">
        <v>0</v>
      </c>
    </row>
    <row r="338" spans="1:21" x14ac:dyDescent="0.3">
      <c r="A338" s="13" t="s">
        <v>1233</v>
      </c>
      <c r="B338" s="14" t="s">
        <v>1230</v>
      </c>
      <c r="C338" s="14"/>
      <c r="D338" s="14" t="s">
        <v>1234</v>
      </c>
      <c r="E338" s="14">
        <f xml:space="preserve"> IF($U$338,1,0)</f>
        <v>0</v>
      </c>
      <c r="F338" s="14" t="s">
        <v>1235</v>
      </c>
      <c r="G338" s="14">
        <v>0</v>
      </c>
      <c r="H338" s="14">
        <v>0</v>
      </c>
      <c r="I338" s="14">
        <v>0</v>
      </c>
      <c r="J338" s="14">
        <v>0</v>
      </c>
      <c r="K338" s="14">
        <v>0</v>
      </c>
      <c r="L338" s="14">
        <v>0</v>
      </c>
      <c r="M338" s="14">
        <v>0</v>
      </c>
      <c r="N338" s="14">
        <v>0</v>
      </c>
      <c r="O338" s="14">
        <v>0</v>
      </c>
      <c r="P338" s="14">
        <v>0</v>
      </c>
      <c r="Q338" s="15">
        <v>0</v>
      </c>
      <c r="R338" s="15">
        <v>0</v>
      </c>
      <c r="S338" s="15">
        <v>0</v>
      </c>
      <c r="T338" s="15">
        <v>0</v>
      </c>
      <c r="U338" s="15">
        <v>0</v>
      </c>
    </row>
    <row r="339" spans="1:21" x14ac:dyDescent="0.3">
      <c r="A339" s="10" t="s">
        <v>1236</v>
      </c>
      <c r="B339" s="11" t="s">
        <v>1237</v>
      </c>
      <c r="C339" s="11"/>
      <c r="D339" s="11" t="s">
        <v>1237</v>
      </c>
      <c r="E339" s="11">
        <f xml:space="preserve"> IF($U$339,1,0)</f>
        <v>0</v>
      </c>
      <c r="F339" s="11" t="s">
        <v>1238</v>
      </c>
      <c r="G339" s="11">
        <v>0</v>
      </c>
      <c r="H339" s="11">
        <v>0</v>
      </c>
      <c r="I339" s="11">
        <v>0</v>
      </c>
      <c r="J339" s="11">
        <v>0</v>
      </c>
      <c r="K339" s="11">
        <v>0</v>
      </c>
      <c r="L339" s="11">
        <v>0</v>
      </c>
      <c r="M339" s="11">
        <v>0</v>
      </c>
      <c r="N339" s="11">
        <v>0</v>
      </c>
      <c r="O339" s="11">
        <v>0</v>
      </c>
      <c r="P339" s="11">
        <v>0</v>
      </c>
      <c r="Q339" s="12">
        <v>0</v>
      </c>
      <c r="R339" s="12">
        <v>0</v>
      </c>
      <c r="S339" s="12">
        <v>0</v>
      </c>
      <c r="T339" s="12">
        <v>0</v>
      </c>
      <c r="U339" s="12">
        <v>0</v>
      </c>
    </row>
    <row r="341" spans="1:21" ht="15" thickBot="1" x14ac:dyDescent="0.35">
      <c r="E341" s="5" t="s">
        <v>18</v>
      </c>
      <c r="F341" s="6" t="s">
        <v>19</v>
      </c>
      <c r="G341" s="6" t="s">
        <v>4</v>
      </c>
      <c r="H341" s="6" t="s">
        <v>1245</v>
      </c>
      <c r="I341" s="6" t="s">
        <v>7</v>
      </c>
      <c r="J341" s="6" t="s">
        <v>6</v>
      </c>
      <c r="K341" s="6" t="s">
        <v>8</v>
      </c>
      <c r="L341" s="6" t="s">
        <v>9</v>
      </c>
      <c r="M341" s="6" t="s">
        <v>10</v>
      </c>
      <c r="N341" s="6" t="s">
        <v>11</v>
      </c>
      <c r="O341" s="6" t="s">
        <v>12</v>
      </c>
      <c r="P341" s="6" t="s">
        <v>1277</v>
      </c>
      <c r="Q341" s="6" t="s">
        <v>1259</v>
      </c>
      <c r="R341" s="6" t="s">
        <v>1260</v>
      </c>
      <c r="S341" s="6" t="s">
        <v>23</v>
      </c>
      <c r="T341" s="6" t="s">
        <v>26</v>
      </c>
      <c r="U341" s="6" t="s">
        <v>25</v>
      </c>
    </row>
    <row r="342" spans="1:21" ht="15" thickTop="1" x14ac:dyDescent="0.3">
      <c r="E342" s="7">
        <f xml:space="preserve"> IF($U$342,1,0)</f>
        <v>0</v>
      </c>
      <c r="F342" s="8" t="s">
        <v>1247</v>
      </c>
      <c r="G342" s="8">
        <v>0</v>
      </c>
      <c r="H342" s="8">
        <v>0</v>
      </c>
      <c r="I342" s="8">
        <v>0</v>
      </c>
      <c r="J342" s="8">
        <v>0</v>
      </c>
      <c r="K342" s="8">
        <v>0</v>
      </c>
      <c r="L342" s="8">
        <v>0</v>
      </c>
      <c r="M342" s="8">
        <v>0</v>
      </c>
      <c r="N342" s="8">
        <v>0</v>
      </c>
      <c r="O342" s="8">
        <v>0</v>
      </c>
      <c r="P342" s="8">
        <v>0</v>
      </c>
      <c r="Q342" s="8"/>
      <c r="R342" s="8"/>
      <c r="S342" s="9">
        <f>$G$342*$G$8+$H$342*$H$8+$I$342*$I$8+$J$342*$J$8+$K$342*$K$8+$L$342*$L$8+$M$342*$M$8+$N$342*$N$8+$O$342*$O$8+$P$342*$P$8</f>
        <v>0</v>
      </c>
      <c r="T342" s="9">
        <f>$U$342/2</f>
        <v>0</v>
      </c>
      <c r="U342" s="9">
        <f>$G$342*$G$8+$H$342*$H$8+$I$342*$I$8+$J$342*$J$8+$K$342*$K$8+$L$342*$L$8+$M$342*$M$8+$N$342*$N$8+$O$342*$O$8+$P$342*$P$8</f>
        <v>0</v>
      </c>
    </row>
    <row r="343" spans="1:21" x14ac:dyDescent="0.3">
      <c r="E343" s="10">
        <f xml:space="preserve"> IF($U$343,1,0)</f>
        <v>1</v>
      </c>
      <c r="F343" s="11" t="s">
        <v>1278</v>
      </c>
      <c r="G343" s="11">
        <v>0</v>
      </c>
      <c r="H343" s="11">
        <v>0</v>
      </c>
      <c r="I343" s="11">
        <v>0</v>
      </c>
      <c r="J343" s="11">
        <v>0</v>
      </c>
      <c r="K343" s="11">
        <v>2</v>
      </c>
      <c r="L343" s="11">
        <v>2</v>
      </c>
      <c r="M343" s="11">
        <v>0</v>
      </c>
      <c r="N343" s="11">
        <v>0</v>
      </c>
      <c r="O343" s="11">
        <v>0</v>
      </c>
      <c r="P343" s="11">
        <v>0</v>
      </c>
      <c r="Q343" s="11"/>
      <c r="R343" s="11"/>
      <c r="S343" s="12">
        <f>$G$343*$G$8+$H$343*$H$8+$I$343*$I$8+$J$343*$J$8+$K$343*$K$8+$L$343*$L$8+$M$343*$M$8+$N$343*$N$8+$O$343*$O$8+$P$343*$P$8</f>
        <v>10</v>
      </c>
      <c r="T343" s="12">
        <f>$U$343/4</f>
        <v>2.5</v>
      </c>
      <c r="U343" s="12">
        <f>$G$343*$G$8+$H$343*$H$8+$I$343*$I$8+$J$343*$J$8+$K$343*$K$8+$L$343*$L$8+$M$343*$M$8+$N$343*$N$8+$O$343*$O$8+$P$343*$P$8</f>
        <v>10</v>
      </c>
    </row>
    <row r="344" spans="1:21" x14ac:dyDescent="0.3">
      <c r="E344" s="13">
        <f xml:space="preserve"> IF($U$344,1,0)</f>
        <v>1</v>
      </c>
      <c r="F344" s="14" t="s">
        <v>1279</v>
      </c>
      <c r="G344" s="14">
        <v>10</v>
      </c>
      <c r="H344" s="14">
        <v>0</v>
      </c>
      <c r="I344" s="14">
        <v>0</v>
      </c>
      <c r="J344" s="14">
        <v>0</v>
      </c>
      <c r="K344" s="14">
        <v>1</v>
      </c>
      <c r="L344" s="14">
        <v>1</v>
      </c>
      <c r="M344" s="14">
        <v>1</v>
      </c>
      <c r="N344" s="14">
        <v>1</v>
      </c>
      <c r="O344" s="14">
        <v>0</v>
      </c>
      <c r="P344" s="14">
        <v>0</v>
      </c>
      <c r="Q344" s="14"/>
      <c r="R344" s="14"/>
      <c r="S344" s="15">
        <f>$G$344*$G$8+$H$344*$H$8+$I$344*$I$8+$J$344*$J$8+$K$344*$K$8+$L$344*$L$8+$M$344*$M$8+$N$344*$N$8+$O$344*$O$8+$P$344*$P$8</f>
        <v>25</v>
      </c>
      <c r="T344" s="15">
        <f>$U$344/14</f>
        <v>1.7857142857142858</v>
      </c>
      <c r="U344" s="15">
        <f>$G$344*$G$8+$H$344*$H$8+$I$344*$I$8+$J$344*$J$8+$K$344*$K$8+$L$344*$L$8+$M$344*$M$8+$N$344*$N$8+$O$344*$O$8+$P$344*$P$8</f>
        <v>25</v>
      </c>
    </row>
    <row r="345" spans="1:21" x14ac:dyDescent="0.3">
      <c r="E345" s="10">
        <f xml:space="preserve"> IF($U$345,1,0)</f>
        <v>0</v>
      </c>
      <c r="F345" s="11" t="s">
        <v>27</v>
      </c>
      <c r="G345" s="11">
        <v>0</v>
      </c>
      <c r="H345" s="11">
        <v>0</v>
      </c>
      <c r="I345" s="11">
        <v>0</v>
      </c>
      <c r="J345" s="11">
        <v>0</v>
      </c>
      <c r="K345" s="11">
        <v>0</v>
      </c>
      <c r="L345" s="11">
        <v>0</v>
      </c>
      <c r="M345" s="11">
        <v>0</v>
      </c>
      <c r="N345" s="11">
        <v>0</v>
      </c>
      <c r="O345" s="11">
        <v>0</v>
      </c>
      <c r="P345" s="11">
        <v>0</v>
      </c>
      <c r="Q345" s="11"/>
      <c r="R345" s="11"/>
      <c r="S345" s="12">
        <f>$G$345*$G$8+$H$345*$H$8+$I$345*$I$8+$J$345*$J$8+$K$345*$K$8+$L$345*$L$8+$M$345*$M$8+$N$345*$N$8+$O$345*$O$8+$P$345*$P$8</f>
        <v>0</v>
      </c>
      <c r="T345" s="12">
        <f>$U$345/2</f>
        <v>0</v>
      </c>
      <c r="U345" s="12">
        <f>$G$345*$G$8+$H$345*$H$8+$I$345*$I$8+$J$345*$J$8+$K$345*$K$8+$L$345*$L$8+$M$345*$M$8+$N$345*$N$8+$O$345*$O$8+$P$345*$P$8</f>
        <v>0</v>
      </c>
    </row>
  </sheetData>
  <sortState ref="A10:U339">
    <sortCondition descending="1" ref="S10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5E0F4-A169-4831-B67F-470A9D5FB5E7}">
  <dimension ref="A2:U345"/>
  <sheetViews>
    <sheetView topLeftCell="F1" workbookViewId="0">
      <selection activeCell="E341" sqref="E341:U345"/>
    </sheetView>
  </sheetViews>
  <sheetFormatPr defaultRowHeight="14.4" x14ac:dyDescent="0.3"/>
  <cols>
    <col min="2" max="2" width="14.77734375" customWidth="1"/>
    <col min="3" max="3" width="18.77734375" customWidth="1"/>
    <col min="4" max="4" width="20.77734375" customWidth="1"/>
    <col min="5" max="5" width="14.77734375" customWidth="1"/>
    <col min="6" max="6" width="25.77734375" customWidth="1"/>
    <col min="8" max="8" width="11.109375" customWidth="1"/>
    <col min="11" max="14" width="11.44140625" customWidth="1"/>
    <col min="16" max="16" width="11.88671875" customWidth="1"/>
    <col min="17" max="17" width="9.6640625" customWidth="1"/>
    <col min="18" max="18" width="15.88671875" customWidth="1"/>
    <col min="19" max="19" width="22.109375" customWidth="1"/>
    <col min="20" max="20" width="18.6640625" customWidth="1"/>
  </cols>
  <sheetData>
    <row r="2" spans="1:21" x14ac:dyDescent="0.3">
      <c r="A2" t="s">
        <v>1239</v>
      </c>
      <c r="F2" t="s">
        <v>20</v>
      </c>
      <c r="G2">
        <f>SUM($G$10:$G$339)+ SUM($G$342:$G$345)</f>
        <v>12</v>
      </c>
      <c r="H2">
        <f>SUM($H$10:$H$339)+ SUM($H$342:$H$345)</f>
        <v>3</v>
      </c>
      <c r="I2">
        <f>SUM($I$10:$I$339)+ SUM($I$342:$I$345)</f>
        <v>2</v>
      </c>
      <c r="J2">
        <f>SUM($J$10:$J$339)+ SUM($J$342:$J$345)</f>
        <v>5</v>
      </c>
      <c r="K2">
        <f>SUM($K$10:$K$339)+ SUM($K$342:$K$345)</f>
        <v>5</v>
      </c>
      <c r="L2">
        <f>SUM($L$10:$L$339)+ SUM($L$342:$L$345)</f>
        <v>4</v>
      </c>
      <c r="M2">
        <f>SUM($M$10:$M$339)+ SUM($M$342:$M$345)</f>
        <v>2</v>
      </c>
      <c r="N2">
        <f>SUM($N$10:$N$339)+ SUM($N$342:$N$345)</f>
        <v>6</v>
      </c>
      <c r="O2">
        <f>SUM($O$10:$O$339)+ SUM($O$342:$O$345)</f>
        <v>2</v>
      </c>
      <c r="P2">
        <f>SUM($P$10:$P$339)+ SUM($P$342:$P$345)</f>
        <v>2</v>
      </c>
    </row>
    <row r="3" spans="1:21" x14ac:dyDescent="0.3">
      <c r="A3">
        <f>SUM($E$10:$E$339)</f>
        <v>20</v>
      </c>
      <c r="F3" t="s">
        <v>21</v>
      </c>
      <c r="G3" s="3">
        <f>$G$8*G2</f>
        <v>13.200000000000001</v>
      </c>
      <c r="H3" s="3">
        <f>$H$8*H2</f>
        <v>5.4</v>
      </c>
      <c r="I3" s="3">
        <f>$I$8*I2</f>
        <v>9.5</v>
      </c>
      <c r="J3" s="3">
        <f>$J$8*J2</f>
        <v>5</v>
      </c>
      <c r="K3" s="3">
        <f>$K$8*K2</f>
        <v>10</v>
      </c>
      <c r="L3" s="3">
        <f>$L$8*L2</f>
        <v>12</v>
      </c>
      <c r="M3" s="3">
        <f>$M$8*M2</f>
        <v>8</v>
      </c>
      <c r="N3" s="3">
        <f>$N$8*N2</f>
        <v>30</v>
      </c>
      <c r="O3" s="3">
        <f>$O$8*O2</f>
        <v>1</v>
      </c>
      <c r="P3" s="3">
        <f>$P$8*P2</f>
        <v>0.8</v>
      </c>
    </row>
    <row r="8" spans="1:21" x14ac:dyDescent="0.3">
      <c r="F8" t="s">
        <v>22</v>
      </c>
      <c r="G8" s="4">
        <v>1.1000000000000001</v>
      </c>
      <c r="H8" s="4">
        <v>1.8</v>
      </c>
      <c r="I8" s="4">
        <v>4.75</v>
      </c>
      <c r="J8" s="4">
        <v>1</v>
      </c>
      <c r="K8" s="4">
        <v>2</v>
      </c>
      <c r="L8" s="4">
        <v>3</v>
      </c>
      <c r="M8" s="4">
        <v>4</v>
      </c>
      <c r="N8" s="4">
        <v>5</v>
      </c>
      <c r="O8" s="4">
        <v>0.5</v>
      </c>
      <c r="P8" s="4">
        <v>0.4</v>
      </c>
      <c r="S8" s="3">
        <f>SUM($S$10:$S$339)</f>
        <v>59.9</v>
      </c>
      <c r="T8" s="3">
        <f>SUM($T$10:$T$339)</f>
        <v>35</v>
      </c>
      <c r="U8" s="3">
        <f>SUM($U$10:$U$339)</f>
        <v>94.899999999999977</v>
      </c>
    </row>
    <row r="9" spans="1:21" ht="15" thickBot="1" x14ac:dyDescent="0.35">
      <c r="A9" s="5" t="s">
        <v>14</v>
      </c>
      <c r="B9" s="6" t="s">
        <v>15</v>
      </c>
      <c r="C9" s="6" t="s">
        <v>16</v>
      </c>
      <c r="D9" s="6" t="s">
        <v>17</v>
      </c>
      <c r="E9" s="6" t="s">
        <v>18</v>
      </c>
      <c r="F9" s="6" t="s">
        <v>19</v>
      </c>
      <c r="G9" s="6" t="s">
        <v>4</v>
      </c>
      <c r="H9" s="6" t="s">
        <v>1245</v>
      </c>
      <c r="I9" s="6" t="s">
        <v>7</v>
      </c>
      <c r="J9" s="6" t="s">
        <v>6</v>
      </c>
      <c r="K9" s="6" t="s">
        <v>8</v>
      </c>
      <c r="L9" s="6" t="s">
        <v>9</v>
      </c>
      <c r="M9" s="6" t="s">
        <v>10</v>
      </c>
      <c r="N9" s="6" t="s">
        <v>11</v>
      </c>
      <c r="O9" s="6" t="s">
        <v>12</v>
      </c>
      <c r="P9" s="6" t="s">
        <v>1277</v>
      </c>
      <c r="Q9" s="6" t="s">
        <v>1278</v>
      </c>
      <c r="R9" s="6" t="s">
        <v>1279</v>
      </c>
      <c r="S9" s="6" t="s">
        <v>23</v>
      </c>
      <c r="T9" s="6" t="s">
        <v>24</v>
      </c>
      <c r="U9" s="6" t="s">
        <v>25</v>
      </c>
    </row>
    <row r="10" spans="1:21" ht="15" thickTop="1" x14ac:dyDescent="0.3">
      <c r="A10" s="7" t="s">
        <v>28</v>
      </c>
      <c r="B10" s="8" t="s">
        <v>29</v>
      </c>
      <c r="C10" s="8"/>
      <c r="D10" s="8" t="s">
        <v>30</v>
      </c>
      <c r="E10" s="8">
        <f xml:space="preserve"> IF($U$10,1,0)</f>
        <v>0</v>
      </c>
      <c r="F10" s="8" t="s">
        <v>31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9">
        <v>0</v>
      </c>
      <c r="R10" s="9">
        <v>0</v>
      </c>
      <c r="S10" s="9">
        <f>$G$10*$G$8+$H$10*$H$8+$I$10*$I$8+$J$10*$J$8+$K$10*$K$8+$L$10*$L$8+$M$10*$M$8+$N$10*$N$8+$O$10*$O$8+$P$10*$P$8</f>
        <v>0</v>
      </c>
      <c r="T10" s="9">
        <f>SUM($Q$10:$R$10)</f>
        <v>0</v>
      </c>
      <c r="U10" s="9">
        <f>$S$10+$T$10</f>
        <v>0</v>
      </c>
    </row>
    <row r="11" spans="1:21" x14ac:dyDescent="0.3">
      <c r="A11" s="10" t="s">
        <v>32</v>
      </c>
      <c r="B11" s="11" t="s">
        <v>33</v>
      </c>
      <c r="C11" s="11" t="s">
        <v>34</v>
      </c>
      <c r="D11" s="11" t="s">
        <v>35</v>
      </c>
      <c r="E11" s="11">
        <f xml:space="preserve"> IF($U$11,1,0)</f>
        <v>0</v>
      </c>
      <c r="F11" s="11" t="s">
        <v>36</v>
      </c>
      <c r="G11" s="11">
        <v>0</v>
      </c>
      <c r="H11" s="11">
        <v>0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2">
        <v>0</v>
      </c>
      <c r="R11" s="12">
        <v>0</v>
      </c>
      <c r="S11" s="12">
        <f>$G$11*$G$8+$H$11*$H$8+$I$11*$I$8+$J$11*$J$8+$K$11*$K$8+$L$11*$L$8+$M$11*$M$8+$N$11*$N$8+$O$11*$O$8+$P$11*$P$8</f>
        <v>0</v>
      </c>
      <c r="T11" s="12">
        <f>SUM($Q$11:$R$11)</f>
        <v>0</v>
      </c>
      <c r="U11" s="12">
        <f>$S$11+$T$11</f>
        <v>0</v>
      </c>
    </row>
    <row r="12" spans="1:21" x14ac:dyDescent="0.3">
      <c r="A12" s="13" t="s">
        <v>37</v>
      </c>
      <c r="B12" s="14" t="s">
        <v>38</v>
      </c>
      <c r="C12" s="14"/>
      <c r="D12" s="14" t="s">
        <v>39</v>
      </c>
      <c r="E12" s="14">
        <f xml:space="preserve"> IF($U$12,1,0)</f>
        <v>0</v>
      </c>
      <c r="F12" s="14" t="s">
        <v>40</v>
      </c>
      <c r="G12" s="14">
        <v>0</v>
      </c>
      <c r="H12" s="14">
        <v>0</v>
      </c>
      <c r="I12" s="14">
        <v>0</v>
      </c>
      <c r="J12" s="14">
        <v>0</v>
      </c>
      <c r="K12" s="14">
        <v>0</v>
      </c>
      <c r="L12" s="14">
        <v>0</v>
      </c>
      <c r="M12" s="14">
        <v>0</v>
      </c>
      <c r="N12" s="14">
        <v>0</v>
      </c>
      <c r="O12" s="14">
        <v>0</v>
      </c>
      <c r="P12" s="14">
        <v>0</v>
      </c>
      <c r="Q12" s="15">
        <v>0</v>
      </c>
      <c r="R12" s="15">
        <v>0</v>
      </c>
      <c r="S12" s="15">
        <f>$G$12*$G$8+$H$12*$H$8+$I$12*$I$8+$J$12*$J$8+$K$12*$K$8+$L$12*$L$8+$M$12*$M$8+$N$12*$N$8+$O$12*$O$8+$P$12*$P$8</f>
        <v>0</v>
      </c>
      <c r="T12" s="15">
        <f>SUM($Q$12:$R$12)</f>
        <v>0</v>
      </c>
      <c r="U12" s="15">
        <f>$S$12+$T$12</f>
        <v>0</v>
      </c>
    </row>
    <row r="13" spans="1:21" x14ac:dyDescent="0.3">
      <c r="A13" s="10" t="s">
        <v>41</v>
      </c>
      <c r="B13" s="11" t="s">
        <v>38</v>
      </c>
      <c r="C13" s="11"/>
      <c r="D13" s="11" t="s">
        <v>42</v>
      </c>
      <c r="E13" s="11">
        <f xml:space="preserve"> IF($U$13,1,0)</f>
        <v>0</v>
      </c>
      <c r="F13" s="11" t="s">
        <v>43</v>
      </c>
      <c r="G13" s="11">
        <v>0</v>
      </c>
      <c r="H13" s="11">
        <v>0</v>
      </c>
      <c r="I13" s="11">
        <v>0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2">
        <v>0</v>
      </c>
      <c r="R13" s="12">
        <v>0</v>
      </c>
      <c r="S13" s="12">
        <f>$G$13*$G$8+$H$13*$H$8+$I$13*$I$8+$J$13*$J$8+$K$13*$K$8+$L$13*$L$8+$M$13*$M$8+$N$13*$N$8+$O$13*$O$8+$P$13*$P$8</f>
        <v>0</v>
      </c>
      <c r="T13" s="12">
        <f>SUM($Q$13:$R$13)</f>
        <v>0</v>
      </c>
      <c r="U13" s="12">
        <f>$S$13+$T$13</f>
        <v>0</v>
      </c>
    </row>
    <row r="14" spans="1:21" x14ac:dyDescent="0.3">
      <c r="A14" s="13" t="s">
        <v>44</v>
      </c>
      <c r="B14" s="14" t="s">
        <v>45</v>
      </c>
      <c r="C14" s="14"/>
      <c r="D14" s="14" t="s">
        <v>46</v>
      </c>
      <c r="E14" s="14">
        <f xml:space="preserve"> IF($U$14,1,0)</f>
        <v>1</v>
      </c>
      <c r="F14" s="14" t="s">
        <v>47</v>
      </c>
      <c r="G14" s="14">
        <v>1</v>
      </c>
      <c r="H14" s="14">
        <v>0</v>
      </c>
      <c r="I14" s="14">
        <v>1</v>
      </c>
      <c r="J14" s="14">
        <v>2</v>
      </c>
      <c r="K14" s="14">
        <v>1</v>
      </c>
      <c r="L14" s="14">
        <v>0</v>
      </c>
      <c r="M14" s="14">
        <v>1</v>
      </c>
      <c r="N14" s="14">
        <v>1</v>
      </c>
      <c r="O14" s="14">
        <v>1</v>
      </c>
      <c r="P14" s="14">
        <v>0</v>
      </c>
      <c r="Q14" s="15">
        <v>0</v>
      </c>
      <c r="R14" s="15">
        <v>0</v>
      </c>
      <c r="S14" s="15">
        <f>$G$14*$G$8+$H$14*$H$8+$I$14*$I$8+$J$14*$J$8+$K$14*$K$8+$L$14*$L$8+$M$14*$M$8+$N$14*$N$8+$O$14*$O$8+$P$14*$P$8</f>
        <v>19.350000000000001</v>
      </c>
      <c r="T14" s="15">
        <f>SUM($Q$14:$R$14)</f>
        <v>0</v>
      </c>
      <c r="U14" s="15">
        <f>$S$14+$T$14</f>
        <v>19.350000000000001</v>
      </c>
    </row>
    <row r="15" spans="1:21" x14ac:dyDescent="0.3">
      <c r="A15" s="10" t="s">
        <v>48</v>
      </c>
      <c r="B15" s="11" t="s">
        <v>45</v>
      </c>
      <c r="C15" s="11"/>
      <c r="D15" s="11" t="s">
        <v>49</v>
      </c>
      <c r="E15" s="11">
        <f xml:space="preserve"> IF($U$15,1,0)</f>
        <v>1</v>
      </c>
      <c r="F15" s="11" t="s">
        <v>50</v>
      </c>
      <c r="G15" s="11">
        <v>0</v>
      </c>
      <c r="H15" s="11">
        <v>0</v>
      </c>
      <c r="I15" s="11">
        <v>0</v>
      </c>
      <c r="J15" s="11">
        <v>0</v>
      </c>
      <c r="K15" s="11">
        <v>0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2">
        <v>0</v>
      </c>
      <c r="R15" s="12">
        <f>$T$344</f>
        <v>1.7857142857142858</v>
      </c>
      <c r="S15" s="12">
        <f>$G$15*$G$8+$H$15*$H$8+$I$15*$I$8+$J$15*$J$8+$K$15*$K$8+$L$15*$L$8+$M$15*$M$8+$N$15*$N$8+$O$15*$O$8+$P$15*$P$8</f>
        <v>0</v>
      </c>
      <c r="T15" s="12">
        <f>SUM($Q$15:$R$15)</f>
        <v>1.7857142857142858</v>
      </c>
      <c r="U15" s="12">
        <f>$S$15+$T$15</f>
        <v>1.7857142857142858</v>
      </c>
    </row>
    <row r="16" spans="1:21" x14ac:dyDescent="0.3">
      <c r="A16" s="13" t="s">
        <v>51</v>
      </c>
      <c r="B16" s="14" t="s">
        <v>52</v>
      </c>
      <c r="C16" s="14"/>
      <c r="D16" s="14" t="s">
        <v>53</v>
      </c>
      <c r="E16" s="14">
        <f xml:space="preserve"> IF($U$16,1,0)</f>
        <v>0</v>
      </c>
      <c r="F16" s="14" t="s">
        <v>54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4">
        <v>0</v>
      </c>
      <c r="O16" s="14">
        <v>0</v>
      </c>
      <c r="P16" s="14">
        <v>0</v>
      </c>
      <c r="Q16" s="15">
        <v>0</v>
      </c>
      <c r="R16" s="15">
        <v>0</v>
      </c>
      <c r="S16" s="15">
        <f>$G$16*$G$8+$H$16*$H$8+$I$16*$I$8+$J$16*$J$8+$K$16*$K$8+$L$16*$L$8+$M$16*$M$8+$N$16*$N$8+$O$16*$O$8+$P$16*$P$8</f>
        <v>0</v>
      </c>
      <c r="T16" s="15">
        <f>SUM($Q$16:$R$16)</f>
        <v>0</v>
      </c>
      <c r="U16" s="15">
        <f>$S$16+$T$16</f>
        <v>0</v>
      </c>
    </row>
    <row r="17" spans="1:21" x14ac:dyDescent="0.3">
      <c r="A17" s="10" t="s">
        <v>55</v>
      </c>
      <c r="B17" s="11" t="s">
        <v>56</v>
      </c>
      <c r="C17" s="11"/>
      <c r="D17" s="11" t="s">
        <v>57</v>
      </c>
      <c r="E17" s="11">
        <f xml:space="preserve"> IF($U$17,1,0)</f>
        <v>1</v>
      </c>
      <c r="F17" s="11" t="s">
        <v>58</v>
      </c>
      <c r="G17" s="11">
        <v>0</v>
      </c>
      <c r="H17" s="11">
        <v>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2">
        <v>0</v>
      </c>
      <c r="R17" s="12">
        <f>$T$344</f>
        <v>1.7857142857142858</v>
      </c>
      <c r="S17" s="12">
        <f>$G$17*$G$8+$H$17*$H$8+$I$17*$I$8+$J$17*$J$8+$K$17*$K$8+$L$17*$L$8+$M$17*$M$8+$N$17*$N$8+$O$17*$O$8+$P$17*$P$8</f>
        <v>0</v>
      </c>
      <c r="T17" s="12">
        <f>SUM($Q$17:$R$17)</f>
        <v>1.7857142857142858</v>
      </c>
      <c r="U17" s="12">
        <f>$S$17+$T$17</f>
        <v>1.7857142857142858</v>
      </c>
    </row>
    <row r="18" spans="1:21" x14ac:dyDescent="0.3">
      <c r="A18" s="13" t="s">
        <v>59</v>
      </c>
      <c r="B18" s="14" t="s">
        <v>60</v>
      </c>
      <c r="C18" s="14"/>
      <c r="D18" s="14" t="s">
        <v>61</v>
      </c>
      <c r="E18" s="14">
        <f xml:space="preserve"> IF($U$18,1,0)</f>
        <v>1</v>
      </c>
      <c r="F18" s="14" t="s">
        <v>62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5">
        <v>0</v>
      </c>
      <c r="R18" s="15">
        <f>$T$344</f>
        <v>1.7857142857142858</v>
      </c>
      <c r="S18" s="15">
        <f>$G$18*$G$8+$H$18*$H$8+$I$18*$I$8+$J$18*$J$8+$K$18*$K$8+$L$18*$L$8+$M$18*$M$8+$N$18*$N$8+$O$18*$O$8+$P$18*$P$8</f>
        <v>0</v>
      </c>
      <c r="T18" s="15">
        <f>SUM($Q$18:$R$18)</f>
        <v>1.7857142857142858</v>
      </c>
      <c r="U18" s="15">
        <f>$S$18+$T$18</f>
        <v>1.7857142857142858</v>
      </c>
    </row>
    <row r="19" spans="1:21" x14ac:dyDescent="0.3">
      <c r="A19" s="10" t="s">
        <v>63</v>
      </c>
      <c r="B19" s="11" t="s">
        <v>64</v>
      </c>
      <c r="C19" s="11" t="s">
        <v>65</v>
      </c>
      <c r="D19" s="11" t="s">
        <v>66</v>
      </c>
      <c r="E19" s="11">
        <f xml:space="preserve"> IF($U$19,1,0)</f>
        <v>1</v>
      </c>
      <c r="F19" s="11" t="s">
        <v>67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2">
        <v>0</v>
      </c>
      <c r="R19" s="12">
        <f>$T$344</f>
        <v>1.7857142857142858</v>
      </c>
      <c r="S19" s="12">
        <f>$G$19*$G$8+$H$19*$H$8+$I$19*$I$8+$J$19*$J$8+$K$19*$K$8+$L$19*$L$8+$M$19*$M$8+$N$19*$N$8+$O$19*$O$8+$P$19*$P$8</f>
        <v>0</v>
      </c>
      <c r="T19" s="12">
        <f>SUM($Q$19:$R$19)</f>
        <v>1.7857142857142858</v>
      </c>
      <c r="U19" s="12">
        <f>$S$19+$T$19</f>
        <v>1.7857142857142858</v>
      </c>
    </row>
    <row r="20" spans="1:21" x14ac:dyDescent="0.3">
      <c r="A20" s="13" t="s">
        <v>68</v>
      </c>
      <c r="B20" s="14" t="s">
        <v>69</v>
      </c>
      <c r="C20" s="14"/>
      <c r="D20" s="14" t="s">
        <v>70</v>
      </c>
      <c r="E20" s="14">
        <f xml:space="preserve"> IF($U$20,1,0)</f>
        <v>1</v>
      </c>
      <c r="F20" s="14" t="s">
        <v>71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4">
        <v>0</v>
      </c>
      <c r="N20" s="14">
        <v>0</v>
      </c>
      <c r="O20" s="14">
        <v>0</v>
      </c>
      <c r="P20" s="14">
        <v>0</v>
      </c>
      <c r="Q20" s="15">
        <v>0</v>
      </c>
      <c r="R20" s="15">
        <f>$T$344</f>
        <v>1.7857142857142858</v>
      </c>
      <c r="S20" s="15">
        <f>$G$20*$G$8+$H$20*$H$8+$I$20*$I$8+$J$20*$J$8+$K$20*$K$8+$L$20*$L$8+$M$20*$M$8+$N$20*$N$8+$O$20*$O$8+$P$20*$P$8</f>
        <v>0</v>
      </c>
      <c r="T20" s="15">
        <f>SUM($Q$20:$R$20)</f>
        <v>1.7857142857142858</v>
      </c>
      <c r="U20" s="15">
        <f>$S$20+$T$20</f>
        <v>1.7857142857142858</v>
      </c>
    </row>
    <row r="21" spans="1:21" x14ac:dyDescent="0.3">
      <c r="A21" s="10" t="s">
        <v>72</v>
      </c>
      <c r="B21" s="11" t="s">
        <v>73</v>
      </c>
      <c r="C21" s="11"/>
      <c r="D21" s="11" t="s">
        <v>74</v>
      </c>
      <c r="E21" s="11">
        <f xml:space="preserve"> IF($U$21,1,0)</f>
        <v>0</v>
      </c>
      <c r="F21" s="11" t="s">
        <v>75</v>
      </c>
      <c r="G21" s="11">
        <v>0</v>
      </c>
      <c r="H21" s="11">
        <v>0</v>
      </c>
      <c r="I21" s="11">
        <v>0</v>
      </c>
      <c r="J21" s="11">
        <v>0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2">
        <v>0</v>
      </c>
      <c r="R21" s="12">
        <v>0</v>
      </c>
      <c r="S21" s="12">
        <f>$G$21*$G$8+$H$21*$H$8+$I$21*$I$8+$J$21*$J$8+$K$21*$K$8+$L$21*$L$8+$M$21*$M$8+$N$21*$N$8+$O$21*$O$8+$P$21*$P$8</f>
        <v>0</v>
      </c>
      <c r="T21" s="12">
        <f>SUM($Q$21:$R$21)</f>
        <v>0</v>
      </c>
      <c r="U21" s="12">
        <f>$S$21+$T$21</f>
        <v>0</v>
      </c>
    </row>
    <row r="22" spans="1:21" x14ac:dyDescent="0.3">
      <c r="A22" s="13" t="s">
        <v>76</v>
      </c>
      <c r="B22" s="14" t="s">
        <v>77</v>
      </c>
      <c r="C22" s="14"/>
      <c r="D22" s="14" t="s">
        <v>78</v>
      </c>
      <c r="E22" s="14">
        <f xml:space="preserve"> IF($U$22,1,0)</f>
        <v>1</v>
      </c>
      <c r="F22" s="14" t="s">
        <v>79</v>
      </c>
      <c r="G22" s="14">
        <v>0</v>
      </c>
      <c r="H22" s="14">
        <v>2</v>
      </c>
      <c r="I22" s="14">
        <v>0</v>
      </c>
      <c r="J22" s="14">
        <v>2</v>
      </c>
      <c r="K22" s="14">
        <v>0</v>
      </c>
      <c r="L22" s="14">
        <v>0</v>
      </c>
      <c r="M22" s="14">
        <v>0</v>
      </c>
      <c r="N22" s="14">
        <v>0</v>
      </c>
      <c r="O22" s="14">
        <v>0</v>
      </c>
      <c r="P22" s="14">
        <v>0</v>
      </c>
      <c r="Q22" s="15">
        <f>$T$343</f>
        <v>2.5</v>
      </c>
      <c r="R22" s="15">
        <v>0</v>
      </c>
      <c r="S22" s="15">
        <f>$G$22*$G$8+$H$22*$H$8+$I$22*$I$8+$J$22*$J$8+$K$22*$K$8+$L$22*$L$8+$M$22*$M$8+$N$22*$N$8+$O$22*$O$8+$P$22*$P$8</f>
        <v>5.6</v>
      </c>
      <c r="T22" s="15">
        <f>SUM($Q$22:$R$22)</f>
        <v>2.5</v>
      </c>
      <c r="U22" s="15">
        <f>$S$22+$T$22</f>
        <v>8.1</v>
      </c>
    </row>
    <row r="23" spans="1:21" x14ac:dyDescent="0.3">
      <c r="A23" s="10" t="s">
        <v>80</v>
      </c>
      <c r="B23" s="11" t="s">
        <v>77</v>
      </c>
      <c r="C23" s="11" t="s">
        <v>65</v>
      </c>
      <c r="D23" s="11" t="s">
        <v>81</v>
      </c>
      <c r="E23" s="11">
        <f xml:space="preserve"> IF($U$23,1,0)</f>
        <v>0</v>
      </c>
      <c r="F23" s="11" t="s">
        <v>82</v>
      </c>
      <c r="G23" s="11">
        <v>0</v>
      </c>
      <c r="H23" s="11">
        <v>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2">
        <v>0</v>
      </c>
      <c r="R23" s="12">
        <v>0</v>
      </c>
      <c r="S23" s="12">
        <f>$G$23*$G$8+$H$23*$H$8+$I$23*$I$8+$J$23*$J$8+$K$23*$K$8+$L$23*$L$8+$M$23*$M$8+$N$23*$N$8+$O$23*$O$8+$P$23*$P$8</f>
        <v>0</v>
      </c>
      <c r="T23" s="12">
        <f>SUM($Q$23:$R$23)</f>
        <v>0</v>
      </c>
      <c r="U23" s="12">
        <f>$S$23+$T$23</f>
        <v>0</v>
      </c>
    </row>
    <row r="24" spans="1:21" x14ac:dyDescent="0.3">
      <c r="A24" s="13" t="s">
        <v>83</v>
      </c>
      <c r="B24" s="14" t="s">
        <v>84</v>
      </c>
      <c r="C24" s="14"/>
      <c r="D24" s="14" t="s">
        <v>81</v>
      </c>
      <c r="E24" s="14">
        <f xml:space="preserve"> IF($U$24,1,0)</f>
        <v>0</v>
      </c>
      <c r="F24" s="14" t="s">
        <v>85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5">
        <v>0</v>
      </c>
      <c r="R24" s="15">
        <v>0</v>
      </c>
      <c r="S24" s="15">
        <f>$G$24*$G$8+$H$24*$H$8+$I$24*$I$8+$J$24*$J$8+$K$24*$K$8+$L$24*$L$8+$M$24*$M$8+$N$24*$N$8+$O$24*$O$8+$P$24*$P$8</f>
        <v>0</v>
      </c>
      <c r="T24" s="15">
        <f>SUM($Q$24:$R$24)</f>
        <v>0</v>
      </c>
      <c r="U24" s="15">
        <f>$S$24+$T$24</f>
        <v>0</v>
      </c>
    </row>
    <row r="25" spans="1:21" x14ac:dyDescent="0.3">
      <c r="A25" s="10" t="s">
        <v>86</v>
      </c>
      <c r="B25" s="11" t="s">
        <v>87</v>
      </c>
      <c r="C25" s="11"/>
      <c r="D25" s="11" t="s">
        <v>88</v>
      </c>
      <c r="E25" s="11">
        <f xml:space="preserve"> IF($U$25,1,0)</f>
        <v>1</v>
      </c>
      <c r="F25" s="11" t="s">
        <v>89</v>
      </c>
      <c r="G25" s="11">
        <v>0</v>
      </c>
      <c r="H25" s="11">
        <v>0</v>
      </c>
      <c r="I25" s="11">
        <v>0</v>
      </c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2">
        <v>0</v>
      </c>
      <c r="R25" s="12">
        <f>$T$344</f>
        <v>1.7857142857142858</v>
      </c>
      <c r="S25" s="12">
        <f>$G$25*$G$8+$H$25*$H$8+$I$25*$I$8+$J$25*$J$8+$K$25*$K$8+$L$25*$L$8+$M$25*$M$8+$N$25*$N$8+$O$25*$O$8+$P$25*$P$8</f>
        <v>0</v>
      </c>
      <c r="T25" s="12">
        <f>SUM($Q$25:$R$25)</f>
        <v>1.7857142857142858</v>
      </c>
      <c r="U25" s="12">
        <f>$S$25+$T$25</f>
        <v>1.7857142857142858</v>
      </c>
    </row>
    <row r="26" spans="1:21" x14ac:dyDescent="0.3">
      <c r="A26" s="13" t="s">
        <v>90</v>
      </c>
      <c r="B26" s="14" t="s">
        <v>91</v>
      </c>
      <c r="C26" s="14"/>
      <c r="D26" s="14" t="s">
        <v>92</v>
      </c>
      <c r="E26" s="14">
        <f xml:space="preserve"> IF($U$26,1,0)</f>
        <v>0</v>
      </c>
      <c r="F26" s="14" t="s">
        <v>93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5">
        <v>0</v>
      </c>
      <c r="R26" s="15">
        <v>0</v>
      </c>
      <c r="S26" s="15">
        <f>$G$26*$G$8+$H$26*$H$8+$I$26*$I$8+$J$26*$J$8+$K$26*$K$8+$L$26*$L$8+$M$26*$M$8+$N$26*$N$8+$O$26*$O$8+$P$26*$P$8</f>
        <v>0</v>
      </c>
      <c r="T26" s="15">
        <f>SUM($Q$26:$R$26)</f>
        <v>0</v>
      </c>
      <c r="U26" s="15">
        <f>$S$26+$T$26</f>
        <v>0</v>
      </c>
    </row>
    <row r="27" spans="1:21" x14ac:dyDescent="0.3">
      <c r="A27" s="10" t="s">
        <v>94</v>
      </c>
      <c r="B27" s="11" t="s">
        <v>95</v>
      </c>
      <c r="C27" s="11"/>
      <c r="D27" s="11" t="s">
        <v>96</v>
      </c>
      <c r="E27" s="11">
        <f xml:space="preserve"> IF($U$27,1,0)</f>
        <v>0</v>
      </c>
      <c r="F27" s="11" t="s">
        <v>97</v>
      </c>
      <c r="G27" s="11">
        <v>0</v>
      </c>
      <c r="H27" s="11">
        <v>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2">
        <v>0</v>
      </c>
      <c r="R27" s="12">
        <v>0</v>
      </c>
      <c r="S27" s="12">
        <f>$G$27*$G$8+$H$27*$H$8+$I$27*$I$8+$J$27*$J$8+$K$27*$K$8+$L$27*$L$8+$M$27*$M$8+$N$27*$N$8+$O$27*$O$8+$P$27*$P$8</f>
        <v>0</v>
      </c>
      <c r="T27" s="12">
        <f>SUM($Q$27:$R$27)</f>
        <v>0</v>
      </c>
      <c r="U27" s="12">
        <f>$S$27+$T$27</f>
        <v>0</v>
      </c>
    </row>
    <row r="28" spans="1:21" x14ac:dyDescent="0.3">
      <c r="A28" s="13" t="s">
        <v>98</v>
      </c>
      <c r="B28" s="14" t="s">
        <v>99</v>
      </c>
      <c r="C28" s="14"/>
      <c r="D28" s="14" t="s">
        <v>100</v>
      </c>
      <c r="E28" s="14">
        <f xml:space="preserve"> IF($U$28,1,0)</f>
        <v>1</v>
      </c>
      <c r="F28" s="14" t="s">
        <v>101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5">
        <v>0</v>
      </c>
      <c r="R28" s="15">
        <f>$T$344</f>
        <v>1.7857142857142858</v>
      </c>
      <c r="S28" s="15">
        <f>$G$28*$G$8+$H$28*$H$8+$I$28*$I$8+$J$28*$J$8+$K$28*$K$8+$L$28*$L$8+$M$28*$M$8+$N$28*$N$8+$O$28*$O$8+$P$28*$P$8</f>
        <v>0</v>
      </c>
      <c r="T28" s="15">
        <f>SUM($Q$28:$R$28)</f>
        <v>1.7857142857142858</v>
      </c>
      <c r="U28" s="15">
        <f>$S$28+$T$28</f>
        <v>1.7857142857142858</v>
      </c>
    </row>
    <row r="29" spans="1:21" x14ac:dyDescent="0.3">
      <c r="A29" s="10" t="s">
        <v>102</v>
      </c>
      <c r="B29" s="11" t="s">
        <v>103</v>
      </c>
      <c r="C29" s="11"/>
      <c r="D29" s="11" t="s">
        <v>104</v>
      </c>
      <c r="E29" s="11">
        <f xml:space="preserve"> IF($U$29,1,0)</f>
        <v>1</v>
      </c>
      <c r="F29" s="11" t="s">
        <v>105</v>
      </c>
      <c r="G29" s="11">
        <v>0</v>
      </c>
      <c r="H29" s="11">
        <v>0</v>
      </c>
      <c r="I29" s="11">
        <v>0</v>
      </c>
      <c r="J29" s="11">
        <v>0</v>
      </c>
      <c r="K29" s="11">
        <v>0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2">
        <v>0</v>
      </c>
      <c r="R29" s="12">
        <f>$T$344</f>
        <v>1.7857142857142858</v>
      </c>
      <c r="S29" s="12">
        <f>$G$29*$G$8+$H$29*$H$8+$I$29*$I$8+$J$29*$J$8+$K$29*$K$8+$L$29*$L$8+$M$29*$M$8+$N$29*$N$8+$O$29*$O$8+$P$29*$P$8</f>
        <v>0</v>
      </c>
      <c r="T29" s="12">
        <f>SUM($Q$29:$R$29)</f>
        <v>1.7857142857142858</v>
      </c>
      <c r="U29" s="12">
        <f>$S$29+$T$29</f>
        <v>1.7857142857142858</v>
      </c>
    </row>
    <row r="30" spans="1:21" x14ac:dyDescent="0.3">
      <c r="A30" s="13" t="s">
        <v>106</v>
      </c>
      <c r="B30" s="14" t="s">
        <v>103</v>
      </c>
      <c r="C30" s="14"/>
      <c r="D30" s="14" t="s">
        <v>107</v>
      </c>
      <c r="E30" s="14">
        <f xml:space="preserve"> IF($U$30,1,0)</f>
        <v>0</v>
      </c>
      <c r="F30" s="14" t="s">
        <v>108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5">
        <v>0</v>
      </c>
      <c r="R30" s="15">
        <v>0</v>
      </c>
      <c r="S30" s="15">
        <f>$G$30*$G$8+$H$30*$H$8+$I$30*$I$8+$J$30*$J$8+$K$30*$K$8+$L$30*$L$8+$M$30*$M$8+$N$30*$N$8+$O$30*$O$8+$P$30*$P$8</f>
        <v>0</v>
      </c>
      <c r="T30" s="15">
        <f>SUM($Q$30:$R$30)</f>
        <v>0</v>
      </c>
      <c r="U30" s="15">
        <f>$S$30+$T$30</f>
        <v>0</v>
      </c>
    </row>
    <row r="31" spans="1:21" x14ac:dyDescent="0.3">
      <c r="A31" s="10" t="s">
        <v>109</v>
      </c>
      <c r="B31" s="11" t="s">
        <v>103</v>
      </c>
      <c r="C31" s="11"/>
      <c r="D31" s="11" t="s">
        <v>110</v>
      </c>
      <c r="E31" s="11">
        <f xml:space="preserve"> IF($U$31,1,0)</f>
        <v>0</v>
      </c>
      <c r="F31" s="11" t="s">
        <v>111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2">
        <v>0</v>
      </c>
      <c r="R31" s="12">
        <v>0</v>
      </c>
      <c r="S31" s="12">
        <f>$G$31*$G$8+$H$31*$H$8+$I$31*$I$8+$J$31*$J$8+$K$31*$K$8+$L$31*$L$8+$M$31*$M$8+$N$31*$N$8+$O$31*$O$8+$P$31*$P$8</f>
        <v>0</v>
      </c>
      <c r="T31" s="12">
        <f>SUM($Q$31:$R$31)</f>
        <v>0</v>
      </c>
      <c r="U31" s="12">
        <f>$S$31+$T$31</f>
        <v>0</v>
      </c>
    </row>
    <row r="32" spans="1:21" x14ac:dyDescent="0.3">
      <c r="A32" s="13" t="s">
        <v>112</v>
      </c>
      <c r="B32" s="14" t="s">
        <v>113</v>
      </c>
      <c r="C32" s="14"/>
      <c r="D32" s="14" t="s">
        <v>114</v>
      </c>
      <c r="E32" s="14">
        <f xml:space="preserve"> IF($U$32,1,0)</f>
        <v>1</v>
      </c>
      <c r="F32" s="14" t="s">
        <v>115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5">
        <v>0</v>
      </c>
      <c r="R32" s="15">
        <f>$T$344</f>
        <v>1.7857142857142858</v>
      </c>
      <c r="S32" s="15">
        <f>$G$32*$G$8+$H$32*$H$8+$I$32*$I$8+$J$32*$J$8+$K$32*$K$8+$L$32*$L$8+$M$32*$M$8+$N$32*$N$8+$O$32*$O$8+$P$32*$P$8</f>
        <v>0</v>
      </c>
      <c r="T32" s="15">
        <f>SUM($Q$32:$R$32)</f>
        <v>1.7857142857142858</v>
      </c>
      <c r="U32" s="15">
        <f>$S$32+$T$32</f>
        <v>1.7857142857142858</v>
      </c>
    </row>
    <row r="33" spans="1:21" x14ac:dyDescent="0.3">
      <c r="A33" s="10" t="s">
        <v>116</v>
      </c>
      <c r="B33" s="11" t="s">
        <v>117</v>
      </c>
      <c r="C33" s="11" t="s">
        <v>34</v>
      </c>
      <c r="D33" s="11" t="s">
        <v>118</v>
      </c>
      <c r="E33" s="11">
        <f xml:space="preserve"> IF($U$33,1,0)</f>
        <v>1</v>
      </c>
      <c r="F33" s="11" t="s">
        <v>119</v>
      </c>
      <c r="G33" s="11">
        <v>0</v>
      </c>
      <c r="H33" s="11">
        <v>0</v>
      </c>
      <c r="I33" s="11">
        <v>0</v>
      </c>
      <c r="J33" s="11">
        <v>0</v>
      </c>
      <c r="K33" s="11">
        <v>0</v>
      </c>
      <c r="L33" s="11">
        <v>0</v>
      </c>
      <c r="M33" s="11">
        <v>0</v>
      </c>
      <c r="N33" s="11">
        <v>0</v>
      </c>
      <c r="O33" s="11">
        <v>0</v>
      </c>
      <c r="P33" s="11">
        <v>0</v>
      </c>
      <c r="Q33" s="12">
        <v>0</v>
      </c>
      <c r="R33" s="12">
        <f>$T$344</f>
        <v>1.7857142857142858</v>
      </c>
      <c r="S33" s="12">
        <f>$G$33*$G$8+$H$33*$H$8+$I$33*$I$8+$J$33*$J$8+$K$33*$K$8+$L$33*$L$8+$M$33*$M$8+$N$33*$N$8+$O$33*$O$8+$P$33*$P$8</f>
        <v>0</v>
      </c>
      <c r="T33" s="12">
        <f>SUM($Q$33:$R$33)</f>
        <v>1.7857142857142858</v>
      </c>
      <c r="U33" s="12">
        <f>$S$33+$T$33</f>
        <v>1.7857142857142858</v>
      </c>
    </row>
    <row r="34" spans="1:21" x14ac:dyDescent="0.3">
      <c r="A34" s="13" t="s">
        <v>120</v>
      </c>
      <c r="B34" s="14" t="s">
        <v>121</v>
      </c>
      <c r="C34" s="14"/>
      <c r="D34" s="14" t="s">
        <v>122</v>
      </c>
      <c r="E34" s="14">
        <f xml:space="preserve"> IF($U$34,1,0)</f>
        <v>1</v>
      </c>
      <c r="F34" s="14" t="s">
        <v>123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5">
        <v>0</v>
      </c>
      <c r="R34" s="15">
        <f>$T$344</f>
        <v>1.7857142857142858</v>
      </c>
      <c r="S34" s="15">
        <f>$G$34*$G$8+$H$34*$H$8+$I$34*$I$8+$J$34*$J$8+$K$34*$K$8+$L$34*$L$8+$M$34*$M$8+$N$34*$N$8+$O$34*$O$8+$P$34*$P$8</f>
        <v>0</v>
      </c>
      <c r="T34" s="15">
        <f>SUM($Q$34:$R$34)</f>
        <v>1.7857142857142858</v>
      </c>
      <c r="U34" s="15">
        <f>$S$34+$T$34</f>
        <v>1.7857142857142858</v>
      </c>
    </row>
    <row r="35" spans="1:21" x14ac:dyDescent="0.3">
      <c r="A35" s="10" t="s">
        <v>124</v>
      </c>
      <c r="B35" s="11" t="s">
        <v>125</v>
      </c>
      <c r="C35" s="11"/>
      <c r="D35" s="11" t="s">
        <v>126</v>
      </c>
      <c r="E35" s="11">
        <f xml:space="preserve"> IF($U$35,1,0)</f>
        <v>0</v>
      </c>
      <c r="F35" s="11" t="s">
        <v>127</v>
      </c>
      <c r="G35" s="11">
        <v>0</v>
      </c>
      <c r="H35" s="11">
        <v>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0</v>
      </c>
      <c r="Q35" s="12">
        <v>0</v>
      </c>
      <c r="R35" s="12">
        <v>0</v>
      </c>
      <c r="S35" s="12">
        <f>$G$35*$G$8+$H$35*$H$8+$I$35*$I$8+$J$35*$J$8+$K$35*$K$8+$L$35*$L$8+$M$35*$M$8+$N$35*$N$8+$O$35*$O$8+$P$35*$P$8</f>
        <v>0</v>
      </c>
      <c r="T35" s="12">
        <f>SUM($Q$35:$R$35)</f>
        <v>0</v>
      </c>
      <c r="U35" s="12">
        <f>$S$35+$T$35</f>
        <v>0</v>
      </c>
    </row>
    <row r="36" spans="1:21" x14ac:dyDescent="0.3">
      <c r="A36" s="13" t="s">
        <v>128</v>
      </c>
      <c r="B36" s="14" t="s">
        <v>129</v>
      </c>
      <c r="C36" s="14" t="s">
        <v>34</v>
      </c>
      <c r="D36" s="14" t="s">
        <v>130</v>
      </c>
      <c r="E36" s="14">
        <f xml:space="preserve"> IF($U$36,1,0)</f>
        <v>0</v>
      </c>
      <c r="F36" s="14" t="s">
        <v>131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5">
        <v>0</v>
      </c>
      <c r="R36" s="15">
        <v>0</v>
      </c>
      <c r="S36" s="15">
        <f>$G$36*$G$8+$H$36*$H$8+$I$36*$I$8+$J$36*$J$8+$K$36*$K$8+$L$36*$L$8+$M$36*$M$8+$N$36*$N$8+$O$36*$O$8+$P$36*$P$8</f>
        <v>0</v>
      </c>
      <c r="T36" s="15">
        <f>SUM($Q$36:$R$36)</f>
        <v>0</v>
      </c>
      <c r="U36" s="15">
        <f>$S$36+$T$36</f>
        <v>0</v>
      </c>
    </row>
    <row r="37" spans="1:21" x14ac:dyDescent="0.3">
      <c r="A37" s="10" t="s">
        <v>132</v>
      </c>
      <c r="B37" s="11" t="s">
        <v>133</v>
      </c>
      <c r="C37" s="11"/>
      <c r="D37" s="11" t="s">
        <v>134</v>
      </c>
      <c r="E37" s="11">
        <f xml:space="preserve"> IF($U$37,1,0)</f>
        <v>0</v>
      </c>
      <c r="F37" s="11" t="s">
        <v>135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2">
        <v>0</v>
      </c>
      <c r="R37" s="12">
        <v>0</v>
      </c>
      <c r="S37" s="12">
        <f>$G$37*$G$8+$H$37*$H$8+$I$37*$I$8+$J$37*$J$8+$K$37*$K$8+$L$37*$L$8+$M$37*$M$8+$N$37*$N$8+$O$37*$O$8+$P$37*$P$8</f>
        <v>0</v>
      </c>
      <c r="T37" s="12">
        <f>SUM($Q$37:$R$37)</f>
        <v>0</v>
      </c>
      <c r="U37" s="12">
        <f>$S$37+$T$37</f>
        <v>0</v>
      </c>
    </row>
    <row r="38" spans="1:21" x14ac:dyDescent="0.3">
      <c r="A38" s="13" t="s">
        <v>1280</v>
      </c>
      <c r="B38" s="14" t="s">
        <v>1281</v>
      </c>
      <c r="C38" s="14"/>
      <c r="D38" s="14" t="s">
        <v>1250</v>
      </c>
      <c r="E38" s="14">
        <f xml:space="preserve"> IF($U$38,1,0)</f>
        <v>1</v>
      </c>
      <c r="F38" s="14" t="s">
        <v>1282</v>
      </c>
      <c r="G38" s="14">
        <v>0</v>
      </c>
      <c r="H38" s="14">
        <v>0</v>
      </c>
      <c r="I38" s="14">
        <v>0</v>
      </c>
      <c r="J38" s="14">
        <v>0</v>
      </c>
      <c r="K38" s="14">
        <v>0</v>
      </c>
      <c r="L38" s="14">
        <v>0</v>
      </c>
      <c r="M38" s="14">
        <v>0</v>
      </c>
      <c r="N38" s="14">
        <v>0</v>
      </c>
      <c r="O38" s="14">
        <v>0</v>
      </c>
      <c r="P38" s="14">
        <v>0</v>
      </c>
      <c r="Q38" s="15">
        <v>0</v>
      </c>
      <c r="R38" s="15">
        <f>$T$344</f>
        <v>1.7857142857142858</v>
      </c>
      <c r="S38" s="15">
        <f>$G$38*$G$8+$H$38*$H$8+$I$38*$I$8+$J$38*$J$8+$K$38*$K$8+$L$38*$L$8+$M$38*$M$8+$N$38*$N$8+$O$38*$O$8+$P$38*$P$8</f>
        <v>0</v>
      </c>
      <c r="T38" s="15">
        <f>SUM($Q$38:$R$38)</f>
        <v>1.7857142857142858</v>
      </c>
      <c r="U38" s="15">
        <f>$S$38+$T$38</f>
        <v>1.7857142857142858</v>
      </c>
    </row>
    <row r="39" spans="1:21" x14ac:dyDescent="0.3">
      <c r="A39" s="10" t="s">
        <v>136</v>
      </c>
      <c r="B39" s="11" t="s">
        <v>137</v>
      </c>
      <c r="C39" s="11"/>
      <c r="D39" s="11" t="s">
        <v>138</v>
      </c>
      <c r="E39" s="11">
        <f xml:space="preserve"> IF($U$39,1,0)</f>
        <v>0</v>
      </c>
      <c r="F39" s="11" t="s">
        <v>139</v>
      </c>
      <c r="G39" s="11">
        <v>0</v>
      </c>
      <c r="H39" s="11">
        <v>0</v>
      </c>
      <c r="I39" s="11">
        <v>0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2">
        <v>0</v>
      </c>
      <c r="R39" s="12">
        <v>0</v>
      </c>
      <c r="S39" s="12">
        <f>$G$39*$G$8+$H$39*$H$8+$I$39*$I$8+$J$39*$J$8+$K$39*$K$8+$L$39*$L$8+$M$39*$M$8+$N$39*$N$8+$O$39*$O$8+$P$39*$P$8</f>
        <v>0</v>
      </c>
      <c r="T39" s="12">
        <f>SUM($Q$39:$R$39)</f>
        <v>0</v>
      </c>
      <c r="U39" s="12">
        <f>$S$39+$T$39</f>
        <v>0</v>
      </c>
    </row>
    <row r="40" spans="1:21" x14ac:dyDescent="0.3">
      <c r="A40" s="13" t="s">
        <v>140</v>
      </c>
      <c r="B40" s="14" t="s">
        <v>141</v>
      </c>
      <c r="C40" s="14"/>
      <c r="D40" s="14" t="s">
        <v>142</v>
      </c>
      <c r="E40" s="14">
        <f xml:space="preserve"> IF($U$40,1,0)</f>
        <v>0</v>
      </c>
      <c r="F40" s="14" t="s">
        <v>143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5">
        <v>0</v>
      </c>
      <c r="R40" s="15">
        <v>0</v>
      </c>
      <c r="S40" s="15">
        <f>$G$40*$G$8+$H$40*$H$8+$I$40*$I$8+$J$40*$J$8+$K$40*$K$8+$L$40*$L$8+$M$40*$M$8+$N$40*$N$8+$O$40*$O$8+$P$40*$P$8</f>
        <v>0</v>
      </c>
      <c r="T40" s="15">
        <f>SUM($Q$40:$R$40)</f>
        <v>0</v>
      </c>
      <c r="U40" s="15">
        <f>$S$40+$T$40</f>
        <v>0</v>
      </c>
    </row>
    <row r="41" spans="1:21" x14ac:dyDescent="0.3">
      <c r="A41" s="10" t="s">
        <v>144</v>
      </c>
      <c r="B41" s="11" t="s">
        <v>145</v>
      </c>
      <c r="C41" s="11"/>
      <c r="D41" s="11" t="s">
        <v>146</v>
      </c>
      <c r="E41" s="11">
        <f xml:space="preserve"> IF($U$41,1,0)</f>
        <v>1</v>
      </c>
      <c r="F41" s="11" t="s">
        <v>147</v>
      </c>
      <c r="G41" s="11">
        <v>0</v>
      </c>
      <c r="H41" s="11">
        <v>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2">
        <f>$T$343</f>
        <v>2.5</v>
      </c>
      <c r="R41" s="12">
        <v>0</v>
      </c>
      <c r="S41" s="12">
        <f>$G$41*$G$8+$H$41*$H$8+$I$41*$I$8+$J$41*$J$8+$K$41*$K$8+$L$41*$L$8+$M$41*$M$8+$N$41*$N$8+$O$41*$O$8+$P$41*$P$8</f>
        <v>0</v>
      </c>
      <c r="T41" s="12">
        <f>SUM($Q$41:$R$41)</f>
        <v>2.5</v>
      </c>
      <c r="U41" s="12">
        <f>$S$41+$T$41</f>
        <v>2.5</v>
      </c>
    </row>
    <row r="42" spans="1:21" x14ac:dyDescent="0.3">
      <c r="A42" s="13" t="s">
        <v>148</v>
      </c>
      <c r="B42" s="14" t="s">
        <v>149</v>
      </c>
      <c r="C42" s="14"/>
      <c r="D42" s="14" t="s">
        <v>150</v>
      </c>
      <c r="E42" s="14">
        <f xml:space="preserve"> IF($U$42,1,0)</f>
        <v>1</v>
      </c>
      <c r="F42" s="14" t="s">
        <v>151</v>
      </c>
      <c r="G42" s="14">
        <v>0</v>
      </c>
      <c r="H42" s="14">
        <v>0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0</v>
      </c>
      <c r="Q42" s="15">
        <v>0</v>
      </c>
      <c r="R42" s="15">
        <f>$T$344</f>
        <v>1.7857142857142858</v>
      </c>
      <c r="S42" s="15">
        <f>$G$42*$G$8+$H$42*$H$8+$I$42*$I$8+$J$42*$J$8+$K$42*$K$8+$L$42*$L$8+$M$42*$M$8+$N$42*$N$8+$O$42*$O$8+$P$42*$P$8</f>
        <v>0</v>
      </c>
      <c r="T42" s="15">
        <f>SUM($Q$42:$R$42)</f>
        <v>1.7857142857142858</v>
      </c>
      <c r="U42" s="15">
        <f>$S$42+$T$42</f>
        <v>1.7857142857142858</v>
      </c>
    </row>
    <row r="43" spans="1:21" x14ac:dyDescent="0.3">
      <c r="A43" s="10" t="s">
        <v>152</v>
      </c>
      <c r="B43" s="11" t="s">
        <v>153</v>
      </c>
      <c r="C43" s="11"/>
      <c r="D43" s="11" t="s">
        <v>154</v>
      </c>
      <c r="E43" s="11">
        <f xml:space="preserve"> IF($U$43,1,0)</f>
        <v>0</v>
      </c>
      <c r="F43" s="11" t="s">
        <v>155</v>
      </c>
      <c r="G43" s="11">
        <v>0</v>
      </c>
      <c r="H43" s="11">
        <v>0</v>
      </c>
      <c r="I43" s="11">
        <v>0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2">
        <v>0</v>
      </c>
      <c r="R43" s="12">
        <v>0</v>
      </c>
      <c r="S43" s="12">
        <f>$G$43*$G$8+$H$43*$H$8+$I$43*$I$8+$J$43*$J$8+$K$43*$K$8+$L$43*$L$8+$M$43*$M$8+$N$43*$N$8+$O$43*$O$8+$P$43*$P$8</f>
        <v>0</v>
      </c>
      <c r="T43" s="12">
        <f>SUM($Q$43:$R$43)</f>
        <v>0</v>
      </c>
      <c r="U43" s="12">
        <f>$S$43+$T$43</f>
        <v>0</v>
      </c>
    </row>
    <row r="44" spans="1:21" x14ac:dyDescent="0.3">
      <c r="A44" s="13" t="s">
        <v>156</v>
      </c>
      <c r="B44" s="14" t="s">
        <v>157</v>
      </c>
      <c r="C44" s="14" t="s">
        <v>65</v>
      </c>
      <c r="D44" s="14" t="s">
        <v>158</v>
      </c>
      <c r="E44" s="14">
        <f xml:space="preserve"> IF($U$44,1,0)</f>
        <v>0</v>
      </c>
      <c r="F44" s="14" t="s">
        <v>159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14">
        <v>0</v>
      </c>
      <c r="P44" s="14">
        <v>0</v>
      </c>
      <c r="Q44" s="15">
        <v>0</v>
      </c>
      <c r="R44" s="15">
        <v>0</v>
      </c>
      <c r="S44" s="15">
        <f>$G$44*$G$8+$H$44*$H$8+$I$44*$I$8+$J$44*$J$8+$K$44*$K$8+$L$44*$L$8+$M$44*$M$8+$N$44*$N$8+$O$44*$O$8+$P$44*$P$8</f>
        <v>0</v>
      </c>
      <c r="T44" s="15">
        <f>SUM($Q$44:$R$44)</f>
        <v>0</v>
      </c>
      <c r="U44" s="15">
        <f>$S$44+$T$44</f>
        <v>0</v>
      </c>
    </row>
    <row r="45" spans="1:21" x14ac:dyDescent="0.3">
      <c r="A45" s="10" t="s">
        <v>160</v>
      </c>
      <c r="B45" s="11" t="s">
        <v>161</v>
      </c>
      <c r="C45" s="11"/>
      <c r="D45" s="11" t="s">
        <v>162</v>
      </c>
      <c r="E45" s="11">
        <f xml:space="preserve"> IF($U$45,1,0)</f>
        <v>0</v>
      </c>
      <c r="F45" s="11" t="s">
        <v>163</v>
      </c>
      <c r="G45" s="11">
        <v>0</v>
      </c>
      <c r="H45" s="11">
        <v>0</v>
      </c>
      <c r="I45" s="11">
        <v>0</v>
      </c>
      <c r="J45" s="11">
        <v>0</v>
      </c>
      <c r="K45" s="11">
        <v>0</v>
      </c>
      <c r="L45" s="11">
        <v>0</v>
      </c>
      <c r="M45" s="11">
        <v>0</v>
      </c>
      <c r="N45" s="11">
        <v>0</v>
      </c>
      <c r="O45" s="11">
        <v>0</v>
      </c>
      <c r="P45" s="11">
        <v>0</v>
      </c>
      <c r="Q45" s="12">
        <v>0</v>
      </c>
      <c r="R45" s="12">
        <v>0</v>
      </c>
      <c r="S45" s="12">
        <f>$G$45*$G$8+$H$45*$H$8+$I$45*$I$8+$J$45*$J$8+$K$45*$K$8+$L$45*$L$8+$M$45*$M$8+$N$45*$N$8+$O$45*$O$8+$P$45*$P$8</f>
        <v>0</v>
      </c>
      <c r="T45" s="12">
        <f>SUM($Q$45:$R$45)</f>
        <v>0</v>
      </c>
      <c r="U45" s="12">
        <f>$S$45+$T$45</f>
        <v>0</v>
      </c>
    </row>
    <row r="46" spans="1:21" x14ac:dyDescent="0.3">
      <c r="A46" s="13" t="s">
        <v>164</v>
      </c>
      <c r="B46" s="14" t="s">
        <v>165</v>
      </c>
      <c r="C46" s="14"/>
      <c r="D46" s="14" t="s">
        <v>166</v>
      </c>
      <c r="E46" s="14">
        <f xml:space="preserve"> IF($U$46,1,0)</f>
        <v>0</v>
      </c>
      <c r="F46" s="14" t="s">
        <v>167</v>
      </c>
      <c r="G46" s="14">
        <v>0</v>
      </c>
      <c r="H46" s="14">
        <v>0</v>
      </c>
      <c r="I46" s="14">
        <v>0</v>
      </c>
      <c r="J46" s="14">
        <v>0</v>
      </c>
      <c r="K46" s="14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5">
        <v>0</v>
      </c>
      <c r="R46" s="15">
        <v>0</v>
      </c>
      <c r="S46" s="15">
        <f>$G$46*$G$8+$H$46*$H$8+$I$46*$I$8+$J$46*$J$8+$K$46*$K$8+$L$46*$L$8+$M$46*$M$8+$N$46*$N$8+$O$46*$O$8+$P$46*$P$8</f>
        <v>0</v>
      </c>
      <c r="T46" s="15">
        <f>SUM($Q$46:$R$46)</f>
        <v>0</v>
      </c>
      <c r="U46" s="15">
        <f>$S$46+$T$46</f>
        <v>0</v>
      </c>
    </row>
    <row r="47" spans="1:21" x14ac:dyDescent="0.3">
      <c r="A47" s="10" t="s">
        <v>168</v>
      </c>
      <c r="B47" s="11" t="s">
        <v>169</v>
      </c>
      <c r="C47" s="11" t="s">
        <v>65</v>
      </c>
      <c r="D47" s="11" t="s">
        <v>170</v>
      </c>
      <c r="E47" s="11">
        <f xml:space="preserve"> IF($U$47,1,0)</f>
        <v>0</v>
      </c>
      <c r="F47" s="11" t="s">
        <v>171</v>
      </c>
      <c r="G47" s="11">
        <v>0</v>
      </c>
      <c r="H47" s="11">
        <v>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2">
        <v>0</v>
      </c>
      <c r="R47" s="12">
        <v>0</v>
      </c>
      <c r="S47" s="12">
        <f>$G$47*$G$8+$H$47*$H$8+$I$47*$I$8+$J$47*$J$8+$K$47*$K$8+$L$47*$L$8+$M$47*$M$8+$N$47*$N$8+$O$47*$O$8+$P$47*$P$8</f>
        <v>0</v>
      </c>
      <c r="T47" s="12">
        <f>SUM($Q$47:$R$47)</f>
        <v>0</v>
      </c>
      <c r="U47" s="12">
        <f>$S$47+$T$47</f>
        <v>0</v>
      </c>
    </row>
    <row r="48" spans="1:21" x14ac:dyDescent="0.3">
      <c r="A48" s="13" t="s">
        <v>172</v>
      </c>
      <c r="B48" s="14" t="s">
        <v>173</v>
      </c>
      <c r="C48" s="14"/>
      <c r="D48" s="14" t="s">
        <v>174</v>
      </c>
      <c r="E48" s="14">
        <f xml:space="preserve"> IF($U$48,1,0)</f>
        <v>0</v>
      </c>
      <c r="F48" s="14" t="s">
        <v>175</v>
      </c>
      <c r="G48" s="14">
        <v>0</v>
      </c>
      <c r="H48" s="14">
        <v>0</v>
      </c>
      <c r="I48" s="14">
        <v>0</v>
      </c>
      <c r="J48" s="14">
        <v>0</v>
      </c>
      <c r="K48" s="14">
        <v>0</v>
      </c>
      <c r="L48" s="14">
        <v>0</v>
      </c>
      <c r="M48" s="14">
        <v>0</v>
      </c>
      <c r="N48" s="14">
        <v>0</v>
      </c>
      <c r="O48" s="14">
        <v>0</v>
      </c>
      <c r="P48" s="14">
        <v>0</v>
      </c>
      <c r="Q48" s="15">
        <v>0</v>
      </c>
      <c r="R48" s="15">
        <v>0</v>
      </c>
      <c r="S48" s="15">
        <f>$G$48*$G$8+$H$48*$H$8+$I$48*$I$8+$J$48*$J$8+$K$48*$K$8+$L$48*$L$8+$M$48*$M$8+$N$48*$N$8+$O$48*$O$8+$P$48*$P$8</f>
        <v>0</v>
      </c>
      <c r="T48" s="15">
        <f>SUM($Q$48:$R$48)</f>
        <v>0</v>
      </c>
      <c r="U48" s="15">
        <f>$S$48+$T$48</f>
        <v>0</v>
      </c>
    </row>
    <row r="49" spans="1:21" x14ac:dyDescent="0.3">
      <c r="A49" s="10" t="s">
        <v>176</v>
      </c>
      <c r="B49" s="11" t="s">
        <v>177</v>
      </c>
      <c r="C49" s="11"/>
      <c r="D49" s="11" t="s">
        <v>178</v>
      </c>
      <c r="E49" s="11">
        <f xml:space="preserve"> IF($U$49,1,0)</f>
        <v>1</v>
      </c>
      <c r="F49" s="11" t="s">
        <v>179</v>
      </c>
      <c r="G49" s="11">
        <v>0</v>
      </c>
      <c r="H49" s="11">
        <v>0</v>
      </c>
      <c r="I49" s="11">
        <v>0</v>
      </c>
      <c r="J49" s="11">
        <v>0</v>
      </c>
      <c r="K49" s="11">
        <v>0</v>
      </c>
      <c r="L49" s="11">
        <v>0</v>
      </c>
      <c r="M49" s="11">
        <v>0</v>
      </c>
      <c r="N49" s="11">
        <v>0</v>
      </c>
      <c r="O49" s="11">
        <v>0</v>
      </c>
      <c r="P49" s="11">
        <v>0</v>
      </c>
      <c r="Q49" s="12">
        <v>0</v>
      </c>
      <c r="R49" s="12">
        <f>$T$344</f>
        <v>1.7857142857142858</v>
      </c>
      <c r="S49" s="12">
        <f>$G$49*$G$8+$H$49*$H$8+$I$49*$I$8+$J$49*$J$8+$K$49*$K$8+$L$49*$L$8+$M$49*$M$8+$N$49*$N$8+$O$49*$O$8+$P$49*$P$8</f>
        <v>0</v>
      </c>
      <c r="T49" s="12">
        <f>SUM($Q$49:$R$49)</f>
        <v>1.7857142857142858</v>
      </c>
      <c r="U49" s="12">
        <f>$S$49+$T$49</f>
        <v>1.7857142857142858</v>
      </c>
    </row>
    <row r="50" spans="1:21" x14ac:dyDescent="0.3">
      <c r="A50" s="13" t="s">
        <v>180</v>
      </c>
      <c r="B50" s="14" t="s">
        <v>177</v>
      </c>
      <c r="C50" s="14"/>
      <c r="D50" s="14" t="s">
        <v>181</v>
      </c>
      <c r="E50" s="14">
        <f xml:space="preserve"> IF($U$50,1,0)</f>
        <v>1</v>
      </c>
      <c r="F50" s="14" t="s">
        <v>182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  <c r="M50" s="14">
        <v>0</v>
      </c>
      <c r="N50" s="14">
        <v>3</v>
      </c>
      <c r="O50" s="14">
        <v>0</v>
      </c>
      <c r="P50" s="14">
        <v>2</v>
      </c>
      <c r="Q50" s="15">
        <f>$T$343</f>
        <v>2.5</v>
      </c>
      <c r="R50" s="15">
        <v>0</v>
      </c>
      <c r="S50" s="15">
        <f>$G$50*$G$8+$H$50*$H$8+$I$50*$I$8+$J$50*$J$8+$K$50*$K$8+$L$50*$L$8+$M$50*$M$8+$N$50*$N$8+$O$50*$O$8+$P$50*$P$8</f>
        <v>15.8</v>
      </c>
      <c r="T50" s="15">
        <f>SUM($Q$50:$R$50)</f>
        <v>2.5</v>
      </c>
      <c r="U50" s="15">
        <f>$S$50+$T$50</f>
        <v>18.3</v>
      </c>
    </row>
    <row r="51" spans="1:21" x14ac:dyDescent="0.3">
      <c r="A51" s="10" t="s">
        <v>183</v>
      </c>
      <c r="B51" s="11" t="s">
        <v>177</v>
      </c>
      <c r="C51" s="11"/>
      <c r="D51" s="11" t="s">
        <v>184</v>
      </c>
      <c r="E51" s="11">
        <f xml:space="preserve"> IF($U$51,1,0)</f>
        <v>0</v>
      </c>
      <c r="F51" s="11" t="s">
        <v>185</v>
      </c>
      <c r="G51" s="11">
        <v>0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2">
        <v>0</v>
      </c>
      <c r="R51" s="12">
        <v>0</v>
      </c>
      <c r="S51" s="12">
        <f>$G$51*$G$8+$H$51*$H$8+$I$51*$I$8+$J$51*$J$8+$K$51*$K$8+$L$51*$L$8+$M$51*$M$8+$N$51*$N$8+$O$51*$O$8+$P$51*$P$8</f>
        <v>0</v>
      </c>
      <c r="T51" s="12">
        <f>SUM($Q$51:$R$51)</f>
        <v>0</v>
      </c>
      <c r="U51" s="12">
        <f>$S$51+$T$51</f>
        <v>0</v>
      </c>
    </row>
    <row r="52" spans="1:21" x14ac:dyDescent="0.3">
      <c r="A52" s="13" t="s">
        <v>186</v>
      </c>
      <c r="B52" s="14" t="s">
        <v>177</v>
      </c>
      <c r="C52" s="14"/>
      <c r="D52" s="14" t="s">
        <v>187</v>
      </c>
      <c r="E52" s="14">
        <f xml:space="preserve"> IF($U$52,1,0)</f>
        <v>0</v>
      </c>
      <c r="F52" s="14" t="s">
        <v>188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5">
        <v>0</v>
      </c>
      <c r="R52" s="15">
        <v>0</v>
      </c>
      <c r="S52" s="15">
        <f>$G$52*$G$8+$H$52*$H$8+$I$52*$I$8+$J$52*$J$8+$K$52*$K$8+$L$52*$L$8+$M$52*$M$8+$N$52*$N$8+$O$52*$O$8+$P$52*$P$8</f>
        <v>0</v>
      </c>
      <c r="T52" s="15">
        <f>SUM($Q$52:$R$52)</f>
        <v>0</v>
      </c>
      <c r="U52" s="15">
        <f>$S$52+$T$52</f>
        <v>0</v>
      </c>
    </row>
    <row r="53" spans="1:21" x14ac:dyDescent="0.3">
      <c r="A53" s="10" t="s">
        <v>189</v>
      </c>
      <c r="B53" s="11" t="s">
        <v>177</v>
      </c>
      <c r="C53" s="11"/>
      <c r="D53" s="11" t="s">
        <v>190</v>
      </c>
      <c r="E53" s="11">
        <f xml:space="preserve"> IF($U$53,1,0)</f>
        <v>0</v>
      </c>
      <c r="F53" s="11" t="s">
        <v>191</v>
      </c>
      <c r="G53" s="11">
        <v>0</v>
      </c>
      <c r="H53" s="11">
        <v>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2">
        <v>0</v>
      </c>
      <c r="R53" s="12">
        <v>0</v>
      </c>
      <c r="S53" s="12">
        <f>$G$53*$G$8+$H$53*$H$8+$I$53*$I$8+$J$53*$J$8+$K$53*$K$8+$L$53*$L$8+$M$53*$M$8+$N$53*$N$8+$O$53*$O$8+$P$53*$P$8</f>
        <v>0</v>
      </c>
      <c r="T53" s="12">
        <f>SUM($Q$53:$R$53)</f>
        <v>0</v>
      </c>
      <c r="U53" s="12">
        <f>$S$53+$T$53</f>
        <v>0</v>
      </c>
    </row>
    <row r="54" spans="1:21" x14ac:dyDescent="0.3">
      <c r="A54" s="13" t="s">
        <v>192</v>
      </c>
      <c r="B54" s="14" t="s">
        <v>177</v>
      </c>
      <c r="C54" s="14"/>
      <c r="D54" s="14" t="s">
        <v>193</v>
      </c>
      <c r="E54" s="14">
        <f xml:space="preserve"> IF($U$54,1,0)</f>
        <v>0</v>
      </c>
      <c r="F54" s="14" t="s">
        <v>194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5">
        <v>0</v>
      </c>
      <c r="R54" s="15">
        <v>0</v>
      </c>
      <c r="S54" s="15">
        <f>$G$54*$G$8+$H$54*$H$8+$I$54*$I$8+$J$54*$J$8+$K$54*$K$8+$L$54*$L$8+$M$54*$M$8+$N$54*$N$8+$O$54*$O$8+$P$54*$P$8</f>
        <v>0</v>
      </c>
      <c r="T54" s="15">
        <f>SUM($Q$54:$R$54)</f>
        <v>0</v>
      </c>
      <c r="U54" s="15">
        <f>$S$54+$T$54</f>
        <v>0</v>
      </c>
    </row>
    <row r="55" spans="1:21" x14ac:dyDescent="0.3">
      <c r="A55" s="10" t="s">
        <v>195</v>
      </c>
      <c r="B55" s="11" t="s">
        <v>177</v>
      </c>
      <c r="C55" s="11"/>
      <c r="D55" s="11" t="s">
        <v>196</v>
      </c>
      <c r="E55" s="11">
        <f xml:space="preserve"> IF($U$55,1,0)</f>
        <v>0</v>
      </c>
      <c r="F55" s="11" t="s">
        <v>197</v>
      </c>
      <c r="G55" s="11">
        <v>0</v>
      </c>
      <c r="H55" s="11">
        <v>0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2">
        <v>0</v>
      </c>
      <c r="R55" s="12">
        <v>0</v>
      </c>
      <c r="S55" s="12">
        <f>$G$55*$G$8+$H$55*$H$8+$I$55*$I$8+$J$55*$J$8+$K$55*$K$8+$L$55*$L$8+$M$55*$M$8+$N$55*$N$8+$O$55*$O$8+$P$55*$P$8</f>
        <v>0</v>
      </c>
      <c r="T55" s="12">
        <f>SUM($Q$55:$R$55)</f>
        <v>0</v>
      </c>
      <c r="U55" s="12">
        <f>$S$55+$T$55</f>
        <v>0</v>
      </c>
    </row>
    <row r="56" spans="1:21" x14ac:dyDescent="0.3">
      <c r="A56" s="13" t="s">
        <v>198</v>
      </c>
      <c r="B56" s="14" t="s">
        <v>177</v>
      </c>
      <c r="C56" s="14" t="s">
        <v>65</v>
      </c>
      <c r="D56" s="14" t="s">
        <v>199</v>
      </c>
      <c r="E56" s="14">
        <f xml:space="preserve"> IF($U$56,1,0)</f>
        <v>1</v>
      </c>
      <c r="F56" s="14" t="s">
        <v>200</v>
      </c>
      <c r="G56" s="14">
        <v>0</v>
      </c>
      <c r="H56" s="14">
        <v>0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5">
        <f>$T$343</f>
        <v>2.5</v>
      </c>
      <c r="R56" s="15">
        <v>0</v>
      </c>
      <c r="S56" s="15">
        <f>$G$56*$G$8+$H$56*$H$8+$I$56*$I$8+$J$56*$J$8+$K$56*$K$8+$L$56*$L$8+$M$56*$M$8+$N$56*$N$8+$O$56*$O$8+$P$56*$P$8</f>
        <v>0</v>
      </c>
      <c r="T56" s="15">
        <f>SUM($Q$56:$R$56)</f>
        <v>2.5</v>
      </c>
      <c r="U56" s="15">
        <f>$S$56+$T$56</f>
        <v>2.5</v>
      </c>
    </row>
    <row r="57" spans="1:21" x14ac:dyDescent="0.3">
      <c r="A57" s="10" t="s">
        <v>201</v>
      </c>
      <c r="B57" s="11" t="s">
        <v>177</v>
      </c>
      <c r="C57" s="11" t="s">
        <v>202</v>
      </c>
      <c r="D57" s="11" t="s">
        <v>203</v>
      </c>
      <c r="E57" s="11">
        <f xml:space="preserve"> IF($U$57,1,0)</f>
        <v>0</v>
      </c>
      <c r="F57" s="11" t="s">
        <v>204</v>
      </c>
      <c r="G57" s="11">
        <v>0</v>
      </c>
      <c r="H57" s="11">
        <v>0</v>
      </c>
      <c r="I57" s="11">
        <v>0</v>
      </c>
      <c r="J57" s="11">
        <v>0</v>
      </c>
      <c r="K57" s="11">
        <v>0</v>
      </c>
      <c r="L57" s="11">
        <v>0</v>
      </c>
      <c r="M57" s="11">
        <v>0</v>
      </c>
      <c r="N57" s="11">
        <v>0</v>
      </c>
      <c r="O57" s="11">
        <v>0</v>
      </c>
      <c r="P57" s="11">
        <v>0</v>
      </c>
      <c r="Q57" s="12">
        <v>0</v>
      </c>
      <c r="R57" s="12">
        <v>0</v>
      </c>
      <c r="S57" s="12">
        <f>$G$57*$G$8+$H$57*$H$8+$I$57*$I$8+$J$57*$J$8+$K$57*$K$8+$L$57*$L$8+$M$57*$M$8+$N$57*$N$8+$O$57*$O$8+$P$57*$P$8</f>
        <v>0</v>
      </c>
      <c r="T57" s="12">
        <f>SUM($Q$57:$R$57)</f>
        <v>0</v>
      </c>
      <c r="U57" s="12">
        <f>$S$57+$T$57</f>
        <v>0</v>
      </c>
    </row>
    <row r="58" spans="1:21" x14ac:dyDescent="0.3">
      <c r="A58" s="13" t="s">
        <v>205</v>
      </c>
      <c r="B58" s="14" t="s">
        <v>206</v>
      </c>
      <c r="C58" s="14"/>
      <c r="D58" s="14" t="s">
        <v>207</v>
      </c>
      <c r="E58" s="14">
        <f xml:space="preserve"> IF($U$58,1,0)</f>
        <v>0</v>
      </c>
      <c r="F58" s="14" t="s">
        <v>208</v>
      </c>
      <c r="G58" s="14">
        <v>0</v>
      </c>
      <c r="H58" s="14">
        <v>0</v>
      </c>
      <c r="I58" s="14">
        <v>0</v>
      </c>
      <c r="J58" s="14">
        <v>0</v>
      </c>
      <c r="K58" s="14">
        <v>0</v>
      </c>
      <c r="L58" s="14">
        <v>0</v>
      </c>
      <c r="M58" s="14">
        <v>0</v>
      </c>
      <c r="N58" s="14">
        <v>0</v>
      </c>
      <c r="O58" s="14">
        <v>0</v>
      </c>
      <c r="P58" s="14">
        <v>0</v>
      </c>
      <c r="Q58" s="15">
        <v>0</v>
      </c>
      <c r="R58" s="15">
        <v>0</v>
      </c>
      <c r="S58" s="15">
        <f>$G$58*$G$8+$H$58*$H$8+$I$58*$I$8+$J$58*$J$8+$K$58*$K$8+$L$58*$L$8+$M$58*$M$8+$N$58*$N$8+$O$58*$O$8+$P$58*$P$8</f>
        <v>0</v>
      </c>
      <c r="T58" s="15">
        <f>SUM($Q$58:$R$58)</f>
        <v>0</v>
      </c>
      <c r="U58" s="15">
        <f>$S$58+$T$58</f>
        <v>0</v>
      </c>
    </row>
    <row r="59" spans="1:21" x14ac:dyDescent="0.3">
      <c r="A59" s="10" t="s">
        <v>209</v>
      </c>
      <c r="B59" s="11" t="s">
        <v>210</v>
      </c>
      <c r="C59" s="11"/>
      <c r="D59" s="11" t="s">
        <v>211</v>
      </c>
      <c r="E59" s="11">
        <f xml:space="preserve"> IF($U$59,1,0)</f>
        <v>0</v>
      </c>
      <c r="F59" s="11" t="s">
        <v>212</v>
      </c>
      <c r="G59" s="11">
        <v>0</v>
      </c>
      <c r="H59" s="11">
        <v>0</v>
      </c>
      <c r="I59" s="11">
        <v>0</v>
      </c>
      <c r="J59" s="11">
        <v>0</v>
      </c>
      <c r="K59" s="11">
        <v>0</v>
      </c>
      <c r="L59" s="11">
        <v>0</v>
      </c>
      <c r="M59" s="11">
        <v>0</v>
      </c>
      <c r="N59" s="11">
        <v>0</v>
      </c>
      <c r="O59" s="11">
        <v>0</v>
      </c>
      <c r="P59" s="11">
        <v>0</v>
      </c>
      <c r="Q59" s="12">
        <v>0</v>
      </c>
      <c r="R59" s="12">
        <v>0</v>
      </c>
      <c r="S59" s="12">
        <f>$G$59*$G$8+$H$59*$H$8+$I$59*$I$8+$J$59*$J$8+$K$59*$K$8+$L$59*$L$8+$M$59*$M$8+$N$59*$N$8+$O$59*$O$8+$P$59*$P$8</f>
        <v>0</v>
      </c>
      <c r="T59" s="12">
        <f>SUM($Q$59:$R$59)</f>
        <v>0</v>
      </c>
      <c r="U59" s="12">
        <f>$S$59+$T$59</f>
        <v>0</v>
      </c>
    </row>
    <row r="60" spans="1:21" x14ac:dyDescent="0.3">
      <c r="A60" s="13" t="s">
        <v>213</v>
      </c>
      <c r="B60" s="14" t="s">
        <v>210</v>
      </c>
      <c r="C60" s="14"/>
      <c r="D60" s="14" t="s">
        <v>214</v>
      </c>
      <c r="E60" s="14">
        <f xml:space="preserve"> IF($U$60,1,0)</f>
        <v>0</v>
      </c>
      <c r="F60" s="14" t="s">
        <v>215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0</v>
      </c>
      <c r="M60" s="14">
        <v>0</v>
      </c>
      <c r="N60" s="14">
        <v>0</v>
      </c>
      <c r="O60" s="14">
        <v>0</v>
      </c>
      <c r="P60" s="14">
        <v>0</v>
      </c>
      <c r="Q60" s="15">
        <v>0</v>
      </c>
      <c r="R60" s="15">
        <v>0</v>
      </c>
      <c r="S60" s="15">
        <f>$G$60*$G$8+$H$60*$H$8+$I$60*$I$8+$J$60*$J$8+$K$60*$K$8+$L$60*$L$8+$M$60*$M$8+$N$60*$N$8+$O$60*$O$8+$P$60*$P$8</f>
        <v>0</v>
      </c>
      <c r="T60" s="15">
        <f>SUM($Q$60:$R$60)</f>
        <v>0</v>
      </c>
      <c r="U60" s="15">
        <f>$S$60+$T$60</f>
        <v>0</v>
      </c>
    </row>
    <row r="61" spans="1:21" x14ac:dyDescent="0.3">
      <c r="A61" s="10" t="s">
        <v>216</v>
      </c>
      <c r="B61" s="11" t="s">
        <v>217</v>
      </c>
      <c r="C61" s="11"/>
      <c r="D61" s="11" t="s">
        <v>218</v>
      </c>
      <c r="E61" s="11">
        <f xml:space="preserve"> IF($U$61,1,0)</f>
        <v>0</v>
      </c>
      <c r="F61" s="11" t="s">
        <v>219</v>
      </c>
      <c r="G61" s="11">
        <v>0</v>
      </c>
      <c r="H61" s="11">
        <v>0</v>
      </c>
      <c r="I61" s="11">
        <v>0</v>
      </c>
      <c r="J61" s="11">
        <v>0</v>
      </c>
      <c r="K61" s="11">
        <v>0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2">
        <v>0</v>
      </c>
      <c r="R61" s="12">
        <v>0</v>
      </c>
      <c r="S61" s="12">
        <f>$G$61*$G$8+$H$61*$H$8+$I$61*$I$8+$J$61*$J$8+$K$61*$K$8+$L$61*$L$8+$M$61*$M$8+$N$61*$N$8+$O$61*$O$8+$P$61*$P$8</f>
        <v>0</v>
      </c>
      <c r="T61" s="12">
        <f>SUM($Q$61:$R$61)</f>
        <v>0</v>
      </c>
      <c r="U61" s="12">
        <f>$S$61+$T$61</f>
        <v>0</v>
      </c>
    </row>
    <row r="62" spans="1:21" x14ac:dyDescent="0.3">
      <c r="A62" s="13" t="s">
        <v>220</v>
      </c>
      <c r="B62" s="14" t="s">
        <v>221</v>
      </c>
      <c r="C62" s="14" t="s">
        <v>34</v>
      </c>
      <c r="D62" s="14" t="s">
        <v>222</v>
      </c>
      <c r="E62" s="14">
        <f xml:space="preserve"> IF($U$62,1,0)</f>
        <v>0</v>
      </c>
      <c r="F62" s="14" t="s">
        <v>223</v>
      </c>
      <c r="G62" s="14">
        <v>0</v>
      </c>
      <c r="H62" s="14">
        <v>0</v>
      </c>
      <c r="I62" s="14">
        <v>0</v>
      </c>
      <c r="J62" s="14">
        <v>0</v>
      </c>
      <c r="K62" s="14">
        <v>0</v>
      </c>
      <c r="L62" s="14">
        <v>0</v>
      </c>
      <c r="M62" s="14">
        <v>0</v>
      </c>
      <c r="N62" s="14">
        <v>0</v>
      </c>
      <c r="O62" s="14">
        <v>0</v>
      </c>
      <c r="P62" s="14">
        <v>0</v>
      </c>
      <c r="Q62" s="15">
        <v>0</v>
      </c>
      <c r="R62" s="15">
        <v>0</v>
      </c>
      <c r="S62" s="15">
        <f>$G$62*$G$8+$H$62*$H$8+$I$62*$I$8+$J$62*$J$8+$K$62*$K$8+$L$62*$L$8+$M$62*$M$8+$N$62*$N$8+$O$62*$O$8+$P$62*$P$8</f>
        <v>0</v>
      </c>
      <c r="T62" s="15">
        <f>SUM($Q$62:$R$62)</f>
        <v>0</v>
      </c>
      <c r="U62" s="15">
        <f>$S$62+$T$62</f>
        <v>0</v>
      </c>
    </row>
    <row r="63" spans="1:21" x14ac:dyDescent="0.3">
      <c r="A63" s="10" t="s">
        <v>224</v>
      </c>
      <c r="B63" s="11" t="s">
        <v>225</v>
      </c>
      <c r="C63" s="11"/>
      <c r="D63" s="11" t="s">
        <v>226</v>
      </c>
      <c r="E63" s="11">
        <f xml:space="preserve"> IF($U$63,1,0)</f>
        <v>0</v>
      </c>
      <c r="F63" s="11" t="s">
        <v>227</v>
      </c>
      <c r="G63" s="11">
        <v>0</v>
      </c>
      <c r="H63" s="11">
        <v>0</v>
      </c>
      <c r="I63" s="11">
        <v>0</v>
      </c>
      <c r="J63" s="11">
        <v>0</v>
      </c>
      <c r="K63" s="11">
        <v>0</v>
      </c>
      <c r="L63" s="11">
        <v>0</v>
      </c>
      <c r="M63" s="11">
        <v>0</v>
      </c>
      <c r="N63" s="11">
        <v>0</v>
      </c>
      <c r="O63" s="11">
        <v>0</v>
      </c>
      <c r="P63" s="11">
        <v>0</v>
      </c>
      <c r="Q63" s="12">
        <v>0</v>
      </c>
      <c r="R63" s="12">
        <v>0</v>
      </c>
      <c r="S63" s="12">
        <f>$G$63*$G$8+$H$63*$H$8+$I$63*$I$8+$J$63*$J$8+$K$63*$K$8+$L$63*$L$8+$M$63*$M$8+$N$63*$N$8+$O$63*$O$8+$P$63*$P$8</f>
        <v>0</v>
      </c>
      <c r="T63" s="12">
        <f>SUM($Q$63:$R$63)</f>
        <v>0</v>
      </c>
      <c r="U63" s="12">
        <f>$S$63+$T$63</f>
        <v>0</v>
      </c>
    </row>
    <row r="64" spans="1:21" x14ac:dyDescent="0.3">
      <c r="A64" s="13" t="s">
        <v>228</v>
      </c>
      <c r="B64" s="14" t="s">
        <v>225</v>
      </c>
      <c r="C64" s="14"/>
      <c r="D64" s="14" t="s">
        <v>229</v>
      </c>
      <c r="E64" s="14">
        <f xml:space="preserve"> IF($U$64,1,0)</f>
        <v>0</v>
      </c>
      <c r="F64" s="14" t="s">
        <v>230</v>
      </c>
      <c r="G64" s="14">
        <v>0</v>
      </c>
      <c r="H64" s="14">
        <v>0</v>
      </c>
      <c r="I64" s="14">
        <v>0</v>
      </c>
      <c r="J64" s="14">
        <v>0</v>
      </c>
      <c r="K64" s="14">
        <v>0</v>
      </c>
      <c r="L64" s="14">
        <v>0</v>
      </c>
      <c r="M64" s="14">
        <v>0</v>
      </c>
      <c r="N64" s="14">
        <v>0</v>
      </c>
      <c r="O64" s="14">
        <v>0</v>
      </c>
      <c r="P64" s="14">
        <v>0</v>
      </c>
      <c r="Q64" s="15">
        <v>0</v>
      </c>
      <c r="R64" s="15">
        <v>0</v>
      </c>
      <c r="S64" s="15">
        <f>$G$64*$G$8+$H$64*$H$8+$I$64*$I$8+$J$64*$J$8+$K$64*$K$8+$L$64*$L$8+$M$64*$M$8+$N$64*$N$8+$O$64*$O$8+$P$64*$P$8</f>
        <v>0</v>
      </c>
      <c r="T64" s="15">
        <f>SUM($Q$64:$R$64)</f>
        <v>0</v>
      </c>
      <c r="U64" s="15">
        <f>$S$64+$T$64</f>
        <v>0</v>
      </c>
    </row>
    <row r="65" spans="1:21" x14ac:dyDescent="0.3">
      <c r="A65" s="10" t="s">
        <v>231</v>
      </c>
      <c r="B65" s="11" t="s">
        <v>225</v>
      </c>
      <c r="C65" s="11"/>
      <c r="D65" s="11" t="s">
        <v>232</v>
      </c>
      <c r="E65" s="11">
        <f xml:space="preserve"> IF($U$65,1,0)</f>
        <v>0</v>
      </c>
      <c r="F65" s="11" t="s">
        <v>233</v>
      </c>
      <c r="G65" s="11">
        <v>0</v>
      </c>
      <c r="H65" s="11">
        <v>0</v>
      </c>
      <c r="I65" s="11">
        <v>0</v>
      </c>
      <c r="J65" s="11">
        <v>0</v>
      </c>
      <c r="K65" s="11">
        <v>0</v>
      </c>
      <c r="L65" s="11">
        <v>0</v>
      </c>
      <c r="M65" s="11">
        <v>0</v>
      </c>
      <c r="N65" s="11">
        <v>0</v>
      </c>
      <c r="O65" s="11">
        <v>0</v>
      </c>
      <c r="P65" s="11">
        <v>0</v>
      </c>
      <c r="Q65" s="12">
        <v>0</v>
      </c>
      <c r="R65" s="12">
        <v>0</v>
      </c>
      <c r="S65" s="12">
        <f>$G$65*$G$8+$H$65*$H$8+$I$65*$I$8+$J$65*$J$8+$K$65*$K$8+$L$65*$L$8+$M$65*$M$8+$N$65*$N$8+$O$65*$O$8+$P$65*$P$8</f>
        <v>0</v>
      </c>
      <c r="T65" s="12">
        <f>SUM($Q$65:$R$65)</f>
        <v>0</v>
      </c>
      <c r="U65" s="12">
        <f>$S$65+$T$65</f>
        <v>0</v>
      </c>
    </row>
    <row r="66" spans="1:21" x14ac:dyDescent="0.3">
      <c r="A66" s="13" t="s">
        <v>234</v>
      </c>
      <c r="B66" s="14" t="s">
        <v>235</v>
      </c>
      <c r="C66" s="14"/>
      <c r="D66" s="14" t="s">
        <v>236</v>
      </c>
      <c r="E66" s="14">
        <f xml:space="preserve"> IF($U$66,1,0)</f>
        <v>0</v>
      </c>
      <c r="F66" s="14" t="s">
        <v>237</v>
      </c>
      <c r="G66" s="14">
        <v>0</v>
      </c>
      <c r="H66" s="14">
        <v>0</v>
      </c>
      <c r="I66" s="14">
        <v>0</v>
      </c>
      <c r="J66" s="14">
        <v>0</v>
      </c>
      <c r="K66" s="14">
        <v>0</v>
      </c>
      <c r="L66" s="14">
        <v>0</v>
      </c>
      <c r="M66" s="14">
        <v>0</v>
      </c>
      <c r="N66" s="14">
        <v>0</v>
      </c>
      <c r="O66" s="14">
        <v>0</v>
      </c>
      <c r="P66" s="14">
        <v>0</v>
      </c>
      <c r="Q66" s="15">
        <v>0</v>
      </c>
      <c r="R66" s="15">
        <v>0</v>
      </c>
      <c r="S66" s="15">
        <f>$G$66*$G$8+$H$66*$H$8+$I$66*$I$8+$J$66*$J$8+$K$66*$K$8+$L$66*$L$8+$M$66*$M$8+$N$66*$N$8+$O$66*$O$8+$P$66*$P$8</f>
        <v>0</v>
      </c>
      <c r="T66" s="15">
        <f>SUM($Q$66:$R$66)</f>
        <v>0</v>
      </c>
      <c r="U66" s="15">
        <f>$S$66+$T$66</f>
        <v>0</v>
      </c>
    </row>
    <row r="67" spans="1:21" x14ac:dyDescent="0.3">
      <c r="A67" s="10" t="s">
        <v>238</v>
      </c>
      <c r="B67" s="11" t="s">
        <v>235</v>
      </c>
      <c r="C67" s="11" t="s">
        <v>34</v>
      </c>
      <c r="D67" s="11" t="s">
        <v>239</v>
      </c>
      <c r="E67" s="11">
        <f xml:space="preserve"> IF($U$67,1,0)</f>
        <v>0</v>
      </c>
      <c r="F67" s="11" t="s">
        <v>240</v>
      </c>
      <c r="G67" s="11">
        <v>0</v>
      </c>
      <c r="H67" s="11">
        <v>0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2">
        <v>0</v>
      </c>
      <c r="R67" s="12">
        <v>0</v>
      </c>
      <c r="S67" s="12">
        <f>$G$67*$G$8+$H$67*$H$8+$I$67*$I$8+$J$67*$J$8+$K$67*$K$8+$L$67*$L$8+$M$67*$M$8+$N$67*$N$8+$O$67*$O$8+$P$67*$P$8</f>
        <v>0</v>
      </c>
      <c r="T67" s="12">
        <f>SUM($Q$67:$R$67)</f>
        <v>0</v>
      </c>
      <c r="U67" s="12">
        <f>$S$67+$T$67</f>
        <v>0</v>
      </c>
    </row>
    <row r="68" spans="1:21" x14ac:dyDescent="0.3">
      <c r="A68" s="13" t="s">
        <v>241</v>
      </c>
      <c r="B68" s="14" t="s">
        <v>242</v>
      </c>
      <c r="C68" s="14" t="s">
        <v>243</v>
      </c>
      <c r="D68" s="14" t="s">
        <v>244</v>
      </c>
      <c r="E68" s="14">
        <f xml:space="preserve"> IF($U$68,1,0)</f>
        <v>0</v>
      </c>
      <c r="F68" s="14" t="s">
        <v>245</v>
      </c>
      <c r="G68" s="14">
        <v>0</v>
      </c>
      <c r="H68" s="14">
        <v>0</v>
      </c>
      <c r="I68" s="14">
        <v>0</v>
      </c>
      <c r="J68" s="14">
        <v>0</v>
      </c>
      <c r="K68" s="14">
        <v>0</v>
      </c>
      <c r="L68" s="14">
        <v>0</v>
      </c>
      <c r="M68" s="14">
        <v>0</v>
      </c>
      <c r="N68" s="14">
        <v>0</v>
      </c>
      <c r="O68" s="14">
        <v>0</v>
      </c>
      <c r="P68" s="14">
        <v>0</v>
      </c>
      <c r="Q68" s="15">
        <v>0</v>
      </c>
      <c r="R68" s="15">
        <v>0</v>
      </c>
      <c r="S68" s="15">
        <f>$G$68*$G$8+$H$68*$H$8+$I$68*$I$8+$J$68*$J$8+$K$68*$K$8+$L$68*$L$8+$M$68*$M$8+$N$68*$N$8+$O$68*$O$8+$P$68*$P$8</f>
        <v>0</v>
      </c>
      <c r="T68" s="15">
        <f>SUM($Q$68:$R$68)</f>
        <v>0</v>
      </c>
      <c r="U68" s="15">
        <f>$S$68+$T$68</f>
        <v>0</v>
      </c>
    </row>
    <row r="69" spans="1:21" x14ac:dyDescent="0.3">
      <c r="A69" s="10" t="s">
        <v>246</v>
      </c>
      <c r="B69" s="11" t="s">
        <v>242</v>
      </c>
      <c r="C69" s="11"/>
      <c r="D69" s="11" t="s">
        <v>247</v>
      </c>
      <c r="E69" s="11">
        <f xml:space="preserve"> IF($U$69,1,0)</f>
        <v>0</v>
      </c>
      <c r="F69" s="11" t="s">
        <v>248</v>
      </c>
      <c r="G69" s="11">
        <v>0</v>
      </c>
      <c r="H69" s="11">
        <v>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2">
        <v>0</v>
      </c>
      <c r="R69" s="12">
        <v>0</v>
      </c>
      <c r="S69" s="12">
        <f>$G$69*$G$8+$H$69*$H$8+$I$69*$I$8+$J$69*$J$8+$K$69*$K$8+$L$69*$L$8+$M$69*$M$8+$N$69*$N$8+$O$69*$O$8+$P$69*$P$8</f>
        <v>0</v>
      </c>
      <c r="T69" s="12">
        <f>SUM($Q$69:$R$69)</f>
        <v>0</v>
      </c>
      <c r="U69" s="12">
        <f>$S$69+$T$69</f>
        <v>0</v>
      </c>
    </row>
    <row r="70" spans="1:21" x14ac:dyDescent="0.3">
      <c r="A70" s="13" t="s">
        <v>249</v>
      </c>
      <c r="B70" s="14" t="s">
        <v>242</v>
      </c>
      <c r="C70" s="14" t="s">
        <v>34</v>
      </c>
      <c r="D70" s="14" t="s">
        <v>250</v>
      </c>
      <c r="E70" s="14">
        <f xml:space="preserve"> IF($U$70,1,0)</f>
        <v>0</v>
      </c>
      <c r="F70" s="14" t="s">
        <v>251</v>
      </c>
      <c r="G70" s="14">
        <v>0</v>
      </c>
      <c r="H70" s="14">
        <v>0</v>
      </c>
      <c r="I70" s="14">
        <v>0</v>
      </c>
      <c r="J70" s="14">
        <v>0</v>
      </c>
      <c r="K70" s="14">
        <v>0</v>
      </c>
      <c r="L70" s="14">
        <v>0</v>
      </c>
      <c r="M70" s="14">
        <v>0</v>
      </c>
      <c r="N70" s="14">
        <v>0</v>
      </c>
      <c r="O70" s="14">
        <v>0</v>
      </c>
      <c r="P70" s="14">
        <v>0</v>
      </c>
      <c r="Q70" s="15">
        <v>0</v>
      </c>
      <c r="R70" s="15">
        <v>0</v>
      </c>
      <c r="S70" s="15">
        <f>$G$70*$G$8+$H$70*$H$8+$I$70*$I$8+$J$70*$J$8+$K$70*$K$8+$L$70*$L$8+$M$70*$M$8+$N$70*$N$8+$O$70*$O$8+$P$70*$P$8</f>
        <v>0</v>
      </c>
      <c r="T70" s="15">
        <f>SUM($Q$70:$R$70)</f>
        <v>0</v>
      </c>
      <c r="U70" s="15">
        <f>$S$70+$T$70</f>
        <v>0</v>
      </c>
    </row>
    <row r="71" spans="1:21" x14ac:dyDescent="0.3">
      <c r="A71" s="10" t="s">
        <v>252</v>
      </c>
      <c r="B71" s="11" t="s">
        <v>253</v>
      </c>
      <c r="C71" s="11"/>
      <c r="D71" s="11" t="s">
        <v>254</v>
      </c>
      <c r="E71" s="11">
        <f xml:space="preserve"> IF($U$71,1,0)</f>
        <v>0</v>
      </c>
      <c r="F71" s="11" t="s">
        <v>255</v>
      </c>
      <c r="G71" s="11">
        <v>0</v>
      </c>
      <c r="H71" s="11">
        <v>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0</v>
      </c>
      <c r="O71" s="11">
        <v>0</v>
      </c>
      <c r="P71" s="11">
        <v>0</v>
      </c>
      <c r="Q71" s="12">
        <v>0</v>
      </c>
      <c r="R71" s="12">
        <v>0</v>
      </c>
      <c r="S71" s="12">
        <f>$G$71*$G$8+$H$71*$H$8+$I$71*$I$8+$J$71*$J$8+$K$71*$K$8+$L$71*$L$8+$M$71*$M$8+$N$71*$N$8+$O$71*$O$8+$P$71*$P$8</f>
        <v>0</v>
      </c>
      <c r="T71" s="12">
        <f>SUM($Q$71:$R$71)</f>
        <v>0</v>
      </c>
      <c r="U71" s="12">
        <f>$S$71+$T$71</f>
        <v>0</v>
      </c>
    </row>
    <row r="72" spans="1:21" x14ac:dyDescent="0.3">
      <c r="A72" s="13" t="s">
        <v>1283</v>
      </c>
      <c r="B72" s="14" t="s">
        <v>1284</v>
      </c>
      <c r="C72" s="14"/>
      <c r="D72" s="14" t="s">
        <v>1285</v>
      </c>
      <c r="E72" s="14">
        <f xml:space="preserve"> IF($U$72,1,0)</f>
        <v>0</v>
      </c>
      <c r="F72" s="14" t="s">
        <v>1286</v>
      </c>
      <c r="G72" s="14">
        <v>0</v>
      </c>
      <c r="H72" s="14">
        <v>0</v>
      </c>
      <c r="I72" s="14">
        <v>0</v>
      </c>
      <c r="J72" s="14">
        <v>0</v>
      </c>
      <c r="K72" s="14">
        <v>0</v>
      </c>
      <c r="L72" s="14">
        <v>0</v>
      </c>
      <c r="M72" s="14">
        <v>0</v>
      </c>
      <c r="N72" s="14">
        <v>0</v>
      </c>
      <c r="O72" s="14">
        <v>0</v>
      </c>
      <c r="P72" s="14">
        <v>0</v>
      </c>
      <c r="Q72" s="15">
        <v>0</v>
      </c>
      <c r="R72" s="15">
        <v>0</v>
      </c>
      <c r="S72" s="15">
        <f>$G$72*$G$8+$H$72*$H$8+$I$72*$I$8+$J$72*$J$8+$K$72*$K$8+$L$72*$L$8+$M$72*$M$8+$N$72*$N$8+$O$72*$O$8+$P$72*$P$8</f>
        <v>0</v>
      </c>
      <c r="T72" s="15">
        <f>SUM($Q$72:$R$72)</f>
        <v>0</v>
      </c>
      <c r="U72" s="15">
        <f>$S$72+$T$72</f>
        <v>0</v>
      </c>
    </row>
    <row r="73" spans="1:21" x14ac:dyDescent="0.3">
      <c r="A73" s="10" t="s">
        <v>256</v>
      </c>
      <c r="B73" s="11" t="s">
        <v>257</v>
      </c>
      <c r="C73" s="11"/>
      <c r="D73" s="11" t="s">
        <v>258</v>
      </c>
      <c r="E73" s="11">
        <f xml:space="preserve"> IF($U$73,1,0)</f>
        <v>0</v>
      </c>
      <c r="F73" s="11" t="s">
        <v>259</v>
      </c>
      <c r="G73" s="11">
        <v>0</v>
      </c>
      <c r="H73" s="11">
        <v>0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2">
        <v>0</v>
      </c>
      <c r="R73" s="12">
        <v>0</v>
      </c>
      <c r="S73" s="12">
        <f>$G$73*$G$8+$H$73*$H$8+$I$73*$I$8+$J$73*$J$8+$K$73*$K$8+$L$73*$L$8+$M$73*$M$8+$N$73*$N$8+$O$73*$O$8+$P$73*$P$8</f>
        <v>0</v>
      </c>
      <c r="T73" s="12">
        <f>SUM($Q$73:$R$73)</f>
        <v>0</v>
      </c>
      <c r="U73" s="12">
        <f>$S$73+$T$73</f>
        <v>0</v>
      </c>
    </row>
    <row r="74" spans="1:21" x14ac:dyDescent="0.3">
      <c r="A74" s="13" t="s">
        <v>1248</v>
      </c>
      <c r="B74" s="14" t="s">
        <v>1249</v>
      </c>
      <c r="C74" s="14"/>
      <c r="D74" s="14" t="s">
        <v>1250</v>
      </c>
      <c r="E74" s="14">
        <f xml:space="preserve"> IF($U$74,1,0)</f>
        <v>0</v>
      </c>
      <c r="F74" s="14" t="s">
        <v>1251</v>
      </c>
      <c r="G74" s="14">
        <v>0</v>
      </c>
      <c r="H74" s="14">
        <v>0</v>
      </c>
      <c r="I74" s="14">
        <v>0</v>
      </c>
      <c r="J74" s="14">
        <v>0</v>
      </c>
      <c r="K74" s="14">
        <v>0</v>
      </c>
      <c r="L74" s="14">
        <v>0</v>
      </c>
      <c r="M74" s="14">
        <v>0</v>
      </c>
      <c r="N74" s="14">
        <v>0</v>
      </c>
      <c r="O74" s="14">
        <v>0</v>
      </c>
      <c r="P74" s="14">
        <v>0</v>
      </c>
      <c r="Q74" s="15">
        <v>0</v>
      </c>
      <c r="R74" s="15">
        <v>0</v>
      </c>
      <c r="S74" s="15">
        <f>$G$74*$G$8+$H$74*$H$8+$I$74*$I$8+$J$74*$J$8+$K$74*$K$8+$L$74*$L$8+$M$74*$M$8+$N$74*$N$8+$O$74*$O$8+$P$74*$P$8</f>
        <v>0</v>
      </c>
      <c r="T74" s="15">
        <f>SUM($Q$74:$R$74)</f>
        <v>0</v>
      </c>
      <c r="U74" s="15">
        <f>$S$74+$T$74</f>
        <v>0</v>
      </c>
    </row>
    <row r="75" spans="1:21" x14ac:dyDescent="0.3">
      <c r="A75" s="10" t="s">
        <v>260</v>
      </c>
      <c r="B75" s="11" t="s">
        <v>261</v>
      </c>
      <c r="C75" s="11"/>
      <c r="D75" s="11" t="s">
        <v>262</v>
      </c>
      <c r="E75" s="11">
        <f xml:space="preserve"> IF($U$75,1,0)</f>
        <v>0</v>
      </c>
      <c r="F75" s="11" t="s">
        <v>263</v>
      </c>
      <c r="G75" s="11">
        <v>0</v>
      </c>
      <c r="H75" s="11">
        <v>0</v>
      </c>
      <c r="I75" s="11">
        <v>0</v>
      </c>
      <c r="J75" s="11">
        <v>0</v>
      </c>
      <c r="K75" s="11">
        <v>0</v>
      </c>
      <c r="L75" s="11">
        <v>0</v>
      </c>
      <c r="M75" s="11">
        <v>0</v>
      </c>
      <c r="N75" s="11">
        <v>0</v>
      </c>
      <c r="O75" s="11">
        <v>0</v>
      </c>
      <c r="P75" s="11">
        <v>0</v>
      </c>
      <c r="Q75" s="12">
        <v>0</v>
      </c>
      <c r="R75" s="12">
        <v>0</v>
      </c>
      <c r="S75" s="12">
        <f>$G$75*$G$8+$H$75*$H$8+$I$75*$I$8+$J$75*$J$8+$K$75*$K$8+$L$75*$L$8+$M$75*$M$8+$N$75*$N$8+$O$75*$O$8+$P$75*$P$8</f>
        <v>0</v>
      </c>
      <c r="T75" s="12">
        <f>SUM($Q$75:$R$75)</f>
        <v>0</v>
      </c>
      <c r="U75" s="12">
        <f>$S$75+$T$75</f>
        <v>0</v>
      </c>
    </row>
    <row r="76" spans="1:21" x14ac:dyDescent="0.3">
      <c r="A76" s="13" t="s">
        <v>264</v>
      </c>
      <c r="B76" s="14" t="s">
        <v>265</v>
      </c>
      <c r="C76" s="14"/>
      <c r="D76" s="14" t="s">
        <v>266</v>
      </c>
      <c r="E76" s="14">
        <f xml:space="preserve"> IF($U$76,1,0)</f>
        <v>0</v>
      </c>
      <c r="F76" s="14" t="s">
        <v>267</v>
      </c>
      <c r="G76" s="14">
        <v>0</v>
      </c>
      <c r="H76" s="14">
        <v>0</v>
      </c>
      <c r="I76" s="14">
        <v>0</v>
      </c>
      <c r="J76" s="14">
        <v>0</v>
      </c>
      <c r="K76" s="14">
        <v>0</v>
      </c>
      <c r="L76" s="14">
        <v>0</v>
      </c>
      <c r="M76" s="14">
        <v>0</v>
      </c>
      <c r="N76" s="14">
        <v>0</v>
      </c>
      <c r="O76" s="14">
        <v>0</v>
      </c>
      <c r="P76" s="14">
        <v>0</v>
      </c>
      <c r="Q76" s="15">
        <v>0</v>
      </c>
      <c r="R76" s="15">
        <v>0</v>
      </c>
      <c r="S76" s="15">
        <f>$G$76*$G$8+$H$76*$H$8+$I$76*$I$8+$J$76*$J$8+$K$76*$K$8+$L$76*$L$8+$M$76*$M$8+$N$76*$N$8+$O$76*$O$8+$P$76*$P$8</f>
        <v>0</v>
      </c>
      <c r="T76" s="15">
        <f>SUM($Q$76:$R$76)</f>
        <v>0</v>
      </c>
      <c r="U76" s="15">
        <f>$S$76+$T$76</f>
        <v>0</v>
      </c>
    </row>
    <row r="77" spans="1:21" x14ac:dyDescent="0.3">
      <c r="A77" s="10" t="s">
        <v>268</v>
      </c>
      <c r="B77" s="11" t="s">
        <v>269</v>
      </c>
      <c r="C77" s="11"/>
      <c r="D77" s="11" t="s">
        <v>270</v>
      </c>
      <c r="E77" s="11">
        <f xml:space="preserve"> IF($U$77,1,0)</f>
        <v>0</v>
      </c>
      <c r="F77" s="11" t="s">
        <v>271</v>
      </c>
      <c r="G77" s="11">
        <v>0</v>
      </c>
      <c r="H77" s="11">
        <v>0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2">
        <v>0</v>
      </c>
      <c r="R77" s="12">
        <v>0</v>
      </c>
      <c r="S77" s="12">
        <f>$G$77*$G$8+$H$77*$H$8+$I$77*$I$8+$J$77*$J$8+$K$77*$K$8+$L$77*$L$8+$M$77*$M$8+$N$77*$N$8+$O$77*$O$8+$P$77*$P$8</f>
        <v>0</v>
      </c>
      <c r="T77" s="12">
        <f>SUM($Q$77:$R$77)</f>
        <v>0</v>
      </c>
      <c r="U77" s="12">
        <f>$S$77+$T$77</f>
        <v>0</v>
      </c>
    </row>
    <row r="78" spans="1:21" x14ac:dyDescent="0.3">
      <c r="A78" s="13" t="s">
        <v>272</v>
      </c>
      <c r="B78" s="14" t="s">
        <v>273</v>
      </c>
      <c r="C78" s="14"/>
      <c r="D78" s="14" t="s">
        <v>274</v>
      </c>
      <c r="E78" s="14">
        <f xml:space="preserve"> IF($U$78,1,0)</f>
        <v>0</v>
      </c>
      <c r="F78" s="14" t="s">
        <v>275</v>
      </c>
      <c r="G78" s="14">
        <v>0</v>
      </c>
      <c r="H78" s="14">
        <v>0</v>
      </c>
      <c r="I78" s="14">
        <v>0</v>
      </c>
      <c r="J78" s="14">
        <v>0</v>
      </c>
      <c r="K78" s="14">
        <v>0</v>
      </c>
      <c r="L78" s="14">
        <v>0</v>
      </c>
      <c r="M78" s="14">
        <v>0</v>
      </c>
      <c r="N78" s="14">
        <v>0</v>
      </c>
      <c r="O78" s="14">
        <v>0</v>
      </c>
      <c r="P78" s="14">
        <v>0</v>
      </c>
      <c r="Q78" s="15">
        <v>0</v>
      </c>
      <c r="R78" s="15">
        <v>0</v>
      </c>
      <c r="S78" s="15">
        <f>$G$78*$G$8+$H$78*$H$8+$I$78*$I$8+$J$78*$J$8+$K$78*$K$8+$L$78*$L$8+$M$78*$M$8+$N$78*$N$8+$O$78*$O$8+$P$78*$P$8</f>
        <v>0</v>
      </c>
      <c r="T78" s="15">
        <f>SUM($Q$78:$R$78)</f>
        <v>0</v>
      </c>
      <c r="U78" s="15">
        <f>$S$78+$T$78</f>
        <v>0</v>
      </c>
    </row>
    <row r="79" spans="1:21" x14ac:dyDescent="0.3">
      <c r="A79" s="10" t="s">
        <v>276</v>
      </c>
      <c r="B79" s="11" t="s">
        <v>277</v>
      </c>
      <c r="C79" s="11" t="s">
        <v>278</v>
      </c>
      <c r="D79" s="11" t="s">
        <v>279</v>
      </c>
      <c r="E79" s="11">
        <f xml:space="preserve"> IF($U$79,1,0)</f>
        <v>0</v>
      </c>
      <c r="F79" s="11" t="s">
        <v>280</v>
      </c>
      <c r="G79" s="11">
        <v>0</v>
      </c>
      <c r="H79" s="11">
        <v>0</v>
      </c>
      <c r="I79" s="11">
        <v>0</v>
      </c>
      <c r="J79" s="11">
        <v>0</v>
      </c>
      <c r="K79" s="11">
        <v>0</v>
      </c>
      <c r="L79" s="11">
        <v>0</v>
      </c>
      <c r="M79" s="11">
        <v>0</v>
      </c>
      <c r="N79" s="11">
        <v>0</v>
      </c>
      <c r="O79" s="11">
        <v>0</v>
      </c>
      <c r="P79" s="11">
        <v>0</v>
      </c>
      <c r="Q79" s="12">
        <v>0</v>
      </c>
      <c r="R79" s="12">
        <v>0</v>
      </c>
      <c r="S79" s="12">
        <f>$G$79*$G$8+$H$79*$H$8+$I$79*$I$8+$J$79*$J$8+$K$79*$K$8+$L$79*$L$8+$M$79*$M$8+$N$79*$N$8+$O$79*$O$8+$P$79*$P$8</f>
        <v>0</v>
      </c>
      <c r="T79" s="12">
        <f>SUM($Q$79:$R$79)</f>
        <v>0</v>
      </c>
      <c r="U79" s="12">
        <f>$S$79+$T$79</f>
        <v>0</v>
      </c>
    </row>
    <row r="80" spans="1:21" x14ac:dyDescent="0.3">
      <c r="A80" s="13" t="s">
        <v>281</v>
      </c>
      <c r="B80" s="14" t="s">
        <v>282</v>
      </c>
      <c r="C80" s="14" t="s">
        <v>283</v>
      </c>
      <c r="D80" s="14" t="s">
        <v>284</v>
      </c>
      <c r="E80" s="14">
        <f xml:space="preserve"> IF($U$80,1,0)</f>
        <v>0</v>
      </c>
      <c r="F80" s="14" t="s">
        <v>285</v>
      </c>
      <c r="G80" s="14">
        <v>0</v>
      </c>
      <c r="H80" s="14">
        <v>0</v>
      </c>
      <c r="I80" s="14">
        <v>0</v>
      </c>
      <c r="J80" s="14">
        <v>0</v>
      </c>
      <c r="K80" s="14">
        <v>0</v>
      </c>
      <c r="L80" s="14">
        <v>0</v>
      </c>
      <c r="M80" s="14">
        <v>0</v>
      </c>
      <c r="N80" s="14">
        <v>0</v>
      </c>
      <c r="O80" s="14">
        <v>0</v>
      </c>
      <c r="P80" s="14">
        <v>0</v>
      </c>
      <c r="Q80" s="15">
        <v>0</v>
      </c>
      <c r="R80" s="15">
        <v>0</v>
      </c>
      <c r="S80" s="15">
        <f>$G$80*$G$8+$H$80*$H$8+$I$80*$I$8+$J$80*$J$8+$K$80*$K$8+$L$80*$L$8+$M$80*$M$8+$N$80*$N$8+$O$80*$O$8+$P$80*$P$8</f>
        <v>0</v>
      </c>
      <c r="T80" s="15">
        <f>SUM($Q$80:$R$80)</f>
        <v>0</v>
      </c>
      <c r="U80" s="15">
        <f>$S$80+$T$80</f>
        <v>0</v>
      </c>
    </row>
    <row r="81" spans="1:21" x14ac:dyDescent="0.3">
      <c r="A81" s="10" t="s">
        <v>286</v>
      </c>
      <c r="B81" s="11" t="s">
        <v>287</v>
      </c>
      <c r="C81" s="11" t="s">
        <v>278</v>
      </c>
      <c r="D81" s="11" t="s">
        <v>288</v>
      </c>
      <c r="E81" s="11">
        <f xml:space="preserve"> IF($U$81,1,0)</f>
        <v>0</v>
      </c>
      <c r="F81" s="11" t="s">
        <v>289</v>
      </c>
      <c r="G81" s="11">
        <v>0</v>
      </c>
      <c r="H81" s="11">
        <v>0</v>
      </c>
      <c r="I81" s="11">
        <v>0</v>
      </c>
      <c r="J81" s="11">
        <v>0</v>
      </c>
      <c r="K81" s="11">
        <v>0</v>
      </c>
      <c r="L81" s="11">
        <v>0</v>
      </c>
      <c r="M81" s="11">
        <v>0</v>
      </c>
      <c r="N81" s="11">
        <v>0</v>
      </c>
      <c r="O81" s="11">
        <v>0</v>
      </c>
      <c r="P81" s="11">
        <v>0</v>
      </c>
      <c r="Q81" s="12">
        <v>0</v>
      </c>
      <c r="R81" s="12">
        <v>0</v>
      </c>
      <c r="S81" s="12">
        <f>$G$81*$G$8+$H$81*$H$8+$I$81*$I$8+$J$81*$J$8+$K$81*$K$8+$L$81*$L$8+$M$81*$M$8+$N$81*$N$8+$O$81*$O$8+$P$81*$P$8</f>
        <v>0</v>
      </c>
      <c r="T81" s="12">
        <f>SUM($Q$81:$R$81)</f>
        <v>0</v>
      </c>
      <c r="U81" s="12">
        <f>$S$81+$T$81</f>
        <v>0</v>
      </c>
    </row>
    <row r="82" spans="1:21" x14ac:dyDescent="0.3">
      <c r="A82" s="13" t="s">
        <v>290</v>
      </c>
      <c r="B82" s="14" t="s">
        <v>291</v>
      </c>
      <c r="C82" s="14"/>
      <c r="D82" s="14" t="s">
        <v>292</v>
      </c>
      <c r="E82" s="14">
        <f xml:space="preserve"> IF($U$82,1,0)</f>
        <v>0</v>
      </c>
      <c r="F82" s="14" t="s">
        <v>293</v>
      </c>
      <c r="G82" s="14">
        <v>0</v>
      </c>
      <c r="H82" s="14">
        <v>0</v>
      </c>
      <c r="I82" s="14">
        <v>0</v>
      </c>
      <c r="J82" s="14">
        <v>0</v>
      </c>
      <c r="K82" s="14">
        <v>0</v>
      </c>
      <c r="L82" s="14">
        <v>0</v>
      </c>
      <c r="M82" s="14">
        <v>0</v>
      </c>
      <c r="N82" s="14">
        <v>0</v>
      </c>
      <c r="O82" s="14">
        <v>0</v>
      </c>
      <c r="P82" s="14">
        <v>0</v>
      </c>
      <c r="Q82" s="15">
        <v>0</v>
      </c>
      <c r="R82" s="15">
        <v>0</v>
      </c>
      <c r="S82" s="15">
        <f>$G$82*$G$8+$H$82*$H$8+$I$82*$I$8+$J$82*$J$8+$K$82*$K$8+$L$82*$L$8+$M$82*$M$8+$N$82*$N$8+$O$82*$O$8+$P$82*$P$8</f>
        <v>0</v>
      </c>
      <c r="T82" s="15">
        <f>SUM($Q$82:$R$82)</f>
        <v>0</v>
      </c>
      <c r="U82" s="15">
        <f>$S$82+$T$82</f>
        <v>0</v>
      </c>
    </row>
    <row r="83" spans="1:21" x14ac:dyDescent="0.3">
      <c r="A83" s="10" t="s">
        <v>294</v>
      </c>
      <c r="B83" s="11" t="s">
        <v>295</v>
      </c>
      <c r="C83" s="11"/>
      <c r="D83" s="11" t="s">
        <v>296</v>
      </c>
      <c r="E83" s="11">
        <f xml:space="preserve"> IF($U$83,1,0)</f>
        <v>0</v>
      </c>
      <c r="F83" s="11" t="s">
        <v>297</v>
      </c>
      <c r="G83" s="11">
        <v>0</v>
      </c>
      <c r="H83" s="11">
        <v>0</v>
      </c>
      <c r="I83" s="11">
        <v>0</v>
      </c>
      <c r="J83" s="11">
        <v>0</v>
      </c>
      <c r="K83" s="11">
        <v>0</v>
      </c>
      <c r="L83" s="11">
        <v>0</v>
      </c>
      <c r="M83" s="11">
        <v>0</v>
      </c>
      <c r="N83" s="11">
        <v>0</v>
      </c>
      <c r="O83" s="11">
        <v>0</v>
      </c>
      <c r="P83" s="11">
        <v>0</v>
      </c>
      <c r="Q83" s="12">
        <v>0</v>
      </c>
      <c r="R83" s="12">
        <v>0</v>
      </c>
      <c r="S83" s="12">
        <f>$G$83*$G$8+$H$83*$H$8+$I$83*$I$8+$J$83*$J$8+$K$83*$K$8+$L$83*$L$8+$M$83*$M$8+$N$83*$N$8+$O$83*$O$8+$P$83*$P$8</f>
        <v>0</v>
      </c>
      <c r="T83" s="12">
        <f>SUM($Q$83:$R$83)</f>
        <v>0</v>
      </c>
      <c r="U83" s="12">
        <f>$S$83+$T$83</f>
        <v>0</v>
      </c>
    </row>
    <row r="84" spans="1:21" x14ac:dyDescent="0.3">
      <c r="A84" s="13" t="s">
        <v>298</v>
      </c>
      <c r="B84" s="14" t="s">
        <v>295</v>
      </c>
      <c r="C84" s="14"/>
      <c r="D84" s="14" t="s">
        <v>299</v>
      </c>
      <c r="E84" s="14">
        <f xml:space="preserve"> IF($U$84,1,0)</f>
        <v>0</v>
      </c>
      <c r="F84" s="14" t="s">
        <v>300</v>
      </c>
      <c r="G84" s="14">
        <v>0</v>
      </c>
      <c r="H84" s="14">
        <v>0</v>
      </c>
      <c r="I84" s="14">
        <v>0</v>
      </c>
      <c r="J84" s="14">
        <v>0</v>
      </c>
      <c r="K84" s="14">
        <v>0</v>
      </c>
      <c r="L84" s="14">
        <v>0</v>
      </c>
      <c r="M84" s="14">
        <v>0</v>
      </c>
      <c r="N84" s="14">
        <v>0</v>
      </c>
      <c r="O84" s="14">
        <v>0</v>
      </c>
      <c r="P84" s="14">
        <v>0</v>
      </c>
      <c r="Q84" s="15">
        <v>0</v>
      </c>
      <c r="R84" s="15">
        <v>0</v>
      </c>
      <c r="S84" s="15">
        <f>$G$84*$G$8+$H$84*$H$8+$I$84*$I$8+$J$84*$J$8+$K$84*$K$8+$L$84*$L$8+$M$84*$M$8+$N$84*$N$8+$O$84*$O$8+$P$84*$P$8</f>
        <v>0</v>
      </c>
      <c r="T84" s="15">
        <f>SUM($Q$84:$R$84)</f>
        <v>0</v>
      </c>
      <c r="U84" s="15">
        <f>$S$84+$T$84</f>
        <v>0</v>
      </c>
    </row>
    <row r="85" spans="1:21" x14ac:dyDescent="0.3">
      <c r="A85" s="10" t="s">
        <v>301</v>
      </c>
      <c r="B85" s="11" t="s">
        <v>302</v>
      </c>
      <c r="C85" s="11"/>
      <c r="D85" s="11" t="s">
        <v>303</v>
      </c>
      <c r="E85" s="11">
        <f xml:space="preserve"> IF($U$85,1,0)</f>
        <v>0</v>
      </c>
      <c r="F85" s="11" t="s">
        <v>304</v>
      </c>
      <c r="G85" s="11">
        <v>0</v>
      </c>
      <c r="H85" s="11">
        <v>0</v>
      </c>
      <c r="I85" s="11">
        <v>0</v>
      </c>
      <c r="J85" s="11">
        <v>0</v>
      </c>
      <c r="K85" s="11">
        <v>0</v>
      </c>
      <c r="L85" s="11">
        <v>0</v>
      </c>
      <c r="M85" s="11">
        <v>0</v>
      </c>
      <c r="N85" s="11">
        <v>0</v>
      </c>
      <c r="O85" s="11">
        <v>0</v>
      </c>
      <c r="P85" s="11">
        <v>0</v>
      </c>
      <c r="Q85" s="12">
        <v>0</v>
      </c>
      <c r="R85" s="12">
        <v>0</v>
      </c>
      <c r="S85" s="12">
        <f>$G$85*$G$8+$H$85*$H$8+$I$85*$I$8+$J$85*$J$8+$K$85*$K$8+$L$85*$L$8+$M$85*$M$8+$N$85*$N$8+$O$85*$O$8+$P$85*$P$8</f>
        <v>0</v>
      </c>
      <c r="T85" s="12">
        <f>SUM($Q$85:$R$85)</f>
        <v>0</v>
      </c>
      <c r="U85" s="12">
        <f>$S$85+$T$85</f>
        <v>0</v>
      </c>
    </row>
    <row r="86" spans="1:21" x14ac:dyDescent="0.3">
      <c r="A86" s="13" t="s">
        <v>305</v>
      </c>
      <c r="B86" s="14" t="s">
        <v>306</v>
      </c>
      <c r="C86" s="14"/>
      <c r="D86" s="14" t="s">
        <v>307</v>
      </c>
      <c r="E86" s="14">
        <f xml:space="preserve"> IF($U$86,1,0)</f>
        <v>0</v>
      </c>
      <c r="F86" s="14" t="s">
        <v>308</v>
      </c>
      <c r="G86" s="14">
        <v>0</v>
      </c>
      <c r="H86" s="14">
        <v>0</v>
      </c>
      <c r="I86" s="14">
        <v>0</v>
      </c>
      <c r="J86" s="14">
        <v>0</v>
      </c>
      <c r="K86" s="14">
        <v>0</v>
      </c>
      <c r="L86" s="14">
        <v>0</v>
      </c>
      <c r="M86" s="14">
        <v>0</v>
      </c>
      <c r="N86" s="14">
        <v>0</v>
      </c>
      <c r="O86" s="14">
        <v>0</v>
      </c>
      <c r="P86" s="14">
        <v>0</v>
      </c>
      <c r="Q86" s="15">
        <v>0</v>
      </c>
      <c r="R86" s="15">
        <v>0</v>
      </c>
      <c r="S86" s="15">
        <f>$G$86*$G$8+$H$86*$H$8+$I$86*$I$8+$J$86*$J$8+$K$86*$K$8+$L$86*$L$8+$M$86*$M$8+$N$86*$N$8+$O$86*$O$8+$P$86*$P$8</f>
        <v>0</v>
      </c>
      <c r="T86" s="15">
        <f>SUM($Q$86:$R$86)</f>
        <v>0</v>
      </c>
      <c r="U86" s="15">
        <f>$S$86+$T$86</f>
        <v>0</v>
      </c>
    </row>
    <row r="87" spans="1:21" x14ac:dyDescent="0.3">
      <c r="A87" s="10" t="s">
        <v>309</v>
      </c>
      <c r="B87" s="11" t="s">
        <v>310</v>
      </c>
      <c r="C87" s="11"/>
      <c r="D87" s="11" t="s">
        <v>311</v>
      </c>
      <c r="E87" s="11">
        <f xml:space="preserve"> IF($U$87,1,0)</f>
        <v>0</v>
      </c>
      <c r="F87" s="11" t="s">
        <v>312</v>
      </c>
      <c r="G87" s="11">
        <v>0</v>
      </c>
      <c r="H87" s="11">
        <v>0</v>
      </c>
      <c r="I87" s="11">
        <v>0</v>
      </c>
      <c r="J87" s="11">
        <v>0</v>
      </c>
      <c r="K87" s="11">
        <v>0</v>
      </c>
      <c r="L87" s="11">
        <v>0</v>
      </c>
      <c r="M87" s="11">
        <v>0</v>
      </c>
      <c r="N87" s="11">
        <v>0</v>
      </c>
      <c r="O87" s="11">
        <v>0</v>
      </c>
      <c r="P87" s="11">
        <v>0</v>
      </c>
      <c r="Q87" s="12">
        <v>0</v>
      </c>
      <c r="R87" s="12">
        <v>0</v>
      </c>
      <c r="S87" s="12">
        <f>$G$87*$G$8+$H$87*$H$8+$I$87*$I$8+$J$87*$J$8+$K$87*$K$8+$L$87*$L$8+$M$87*$M$8+$N$87*$N$8+$O$87*$O$8+$P$87*$P$8</f>
        <v>0</v>
      </c>
      <c r="T87" s="12">
        <f>SUM($Q$87:$R$87)</f>
        <v>0</v>
      </c>
      <c r="U87" s="12">
        <f>$S$87+$T$87</f>
        <v>0</v>
      </c>
    </row>
    <row r="88" spans="1:21" x14ac:dyDescent="0.3">
      <c r="A88" s="13" t="s">
        <v>313</v>
      </c>
      <c r="B88" s="14" t="s">
        <v>314</v>
      </c>
      <c r="C88" s="14"/>
      <c r="D88" s="14" t="s">
        <v>315</v>
      </c>
      <c r="E88" s="14">
        <f xml:space="preserve"> IF($U$88,1,0)</f>
        <v>0</v>
      </c>
      <c r="F88" s="14" t="s">
        <v>316</v>
      </c>
      <c r="G88" s="14">
        <v>0</v>
      </c>
      <c r="H88" s="14">
        <v>0</v>
      </c>
      <c r="I88" s="14">
        <v>0</v>
      </c>
      <c r="J88" s="14">
        <v>0</v>
      </c>
      <c r="K88" s="14">
        <v>0</v>
      </c>
      <c r="L88" s="14">
        <v>0</v>
      </c>
      <c r="M88" s="14">
        <v>0</v>
      </c>
      <c r="N88" s="14">
        <v>0</v>
      </c>
      <c r="O88" s="14">
        <v>0</v>
      </c>
      <c r="P88" s="14">
        <v>0</v>
      </c>
      <c r="Q88" s="15">
        <v>0</v>
      </c>
      <c r="R88" s="15">
        <v>0</v>
      </c>
      <c r="S88" s="15">
        <f>$G$88*$G$8+$H$88*$H$8+$I$88*$I$8+$J$88*$J$8+$K$88*$K$8+$L$88*$L$8+$M$88*$M$8+$N$88*$N$8+$O$88*$O$8+$P$88*$P$8</f>
        <v>0</v>
      </c>
      <c r="T88" s="15">
        <f>SUM($Q$88:$R$88)</f>
        <v>0</v>
      </c>
      <c r="U88" s="15">
        <f>$S$88+$T$88</f>
        <v>0</v>
      </c>
    </row>
    <row r="89" spans="1:21" x14ac:dyDescent="0.3">
      <c r="A89" s="10" t="s">
        <v>317</v>
      </c>
      <c r="B89" s="11" t="s">
        <v>318</v>
      </c>
      <c r="C89" s="11"/>
      <c r="D89" s="11" t="s">
        <v>319</v>
      </c>
      <c r="E89" s="11">
        <f xml:space="preserve"> IF($U$89,1,0)</f>
        <v>0</v>
      </c>
      <c r="F89" s="11" t="s">
        <v>320</v>
      </c>
      <c r="G89" s="11">
        <v>0</v>
      </c>
      <c r="H89" s="11">
        <v>0</v>
      </c>
      <c r="I89" s="11">
        <v>0</v>
      </c>
      <c r="J89" s="11">
        <v>0</v>
      </c>
      <c r="K89" s="11">
        <v>0</v>
      </c>
      <c r="L89" s="11">
        <v>0</v>
      </c>
      <c r="M89" s="11">
        <v>0</v>
      </c>
      <c r="N89" s="11">
        <v>0</v>
      </c>
      <c r="O89" s="11">
        <v>0</v>
      </c>
      <c r="P89" s="11">
        <v>0</v>
      </c>
      <c r="Q89" s="12">
        <v>0</v>
      </c>
      <c r="R89" s="12">
        <v>0</v>
      </c>
      <c r="S89" s="12">
        <f>$G$89*$G$8+$H$89*$H$8+$I$89*$I$8+$J$89*$J$8+$K$89*$K$8+$L$89*$L$8+$M$89*$M$8+$N$89*$N$8+$O$89*$O$8+$P$89*$P$8</f>
        <v>0</v>
      </c>
      <c r="T89" s="12">
        <f>SUM($Q$89:$R$89)</f>
        <v>0</v>
      </c>
      <c r="U89" s="12">
        <f>$S$89+$T$89</f>
        <v>0</v>
      </c>
    </row>
    <row r="90" spans="1:21" x14ac:dyDescent="0.3">
      <c r="A90" s="13" t="s">
        <v>321</v>
      </c>
      <c r="B90" s="14" t="s">
        <v>322</v>
      </c>
      <c r="C90" s="14"/>
      <c r="D90" s="14" t="s">
        <v>323</v>
      </c>
      <c r="E90" s="14">
        <f xml:space="preserve"> IF($U$90,1,0)</f>
        <v>0</v>
      </c>
      <c r="F90" s="14" t="s">
        <v>324</v>
      </c>
      <c r="G90" s="14">
        <v>0</v>
      </c>
      <c r="H90" s="14">
        <v>0</v>
      </c>
      <c r="I90" s="14">
        <v>0</v>
      </c>
      <c r="J90" s="14">
        <v>0</v>
      </c>
      <c r="K90" s="14">
        <v>0</v>
      </c>
      <c r="L90" s="14">
        <v>0</v>
      </c>
      <c r="M90" s="14">
        <v>0</v>
      </c>
      <c r="N90" s="14">
        <v>0</v>
      </c>
      <c r="O90" s="14">
        <v>0</v>
      </c>
      <c r="P90" s="14">
        <v>0</v>
      </c>
      <c r="Q90" s="15">
        <v>0</v>
      </c>
      <c r="R90" s="15">
        <v>0</v>
      </c>
      <c r="S90" s="15">
        <f>$G$90*$G$8+$H$90*$H$8+$I$90*$I$8+$J$90*$J$8+$K$90*$K$8+$L$90*$L$8+$M$90*$M$8+$N$90*$N$8+$O$90*$O$8+$P$90*$P$8</f>
        <v>0</v>
      </c>
      <c r="T90" s="15">
        <f>SUM($Q$90:$R$90)</f>
        <v>0</v>
      </c>
      <c r="U90" s="15">
        <f>$S$90+$T$90</f>
        <v>0</v>
      </c>
    </row>
    <row r="91" spans="1:21" x14ac:dyDescent="0.3">
      <c r="A91" s="10" t="s">
        <v>325</v>
      </c>
      <c r="B91" s="11" t="s">
        <v>326</v>
      </c>
      <c r="C91" s="11" t="s">
        <v>243</v>
      </c>
      <c r="D91" s="11" t="s">
        <v>327</v>
      </c>
      <c r="E91" s="11">
        <f xml:space="preserve"> IF($U$91,1,0)</f>
        <v>0</v>
      </c>
      <c r="F91" s="11" t="s">
        <v>328</v>
      </c>
      <c r="G91" s="11">
        <v>0</v>
      </c>
      <c r="H91" s="11">
        <v>0</v>
      </c>
      <c r="I91" s="11">
        <v>0</v>
      </c>
      <c r="J91" s="11">
        <v>0</v>
      </c>
      <c r="K91" s="11">
        <v>0</v>
      </c>
      <c r="L91" s="11">
        <v>0</v>
      </c>
      <c r="M91" s="11">
        <v>0</v>
      </c>
      <c r="N91" s="11">
        <v>0</v>
      </c>
      <c r="O91" s="11">
        <v>0</v>
      </c>
      <c r="P91" s="11">
        <v>0</v>
      </c>
      <c r="Q91" s="12">
        <v>0</v>
      </c>
      <c r="R91" s="12">
        <v>0</v>
      </c>
      <c r="S91" s="12">
        <f>$G$91*$G$8+$H$91*$H$8+$I$91*$I$8+$J$91*$J$8+$K$91*$K$8+$L$91*$L$8+$M$91*$M$8+$N$91*$N$8+$O$91*$O$8+$P$91*$P$8</f>
        <v>0</v>
      </c>
      <c r="T91" s="12">
        <f>SUM($Q$91:$R$91)</f>
        <v>0</v>
      </c>
      <c r="U91" s="12">
        <f>$S$91+$T$91</f>
        <v>0</v>
      </c>
    </row>
    <row r="92" spans="1:21" x14ac:dyDescent="0.3">
      <c r="A92" s="13" t="s">
        <v>329</v>
      </c>
      <c r="B92" s="14" t="s">
        <v>330</v>
      </c>
      <c r="C92" s="14"/>
      <c r="D92" s="14" t="s">
        <v>331</v>
      </c>
      <c r="E92" s="14">
        <f xml:space="preserve"> IF($U$92,1,0)</f>
        <v>0</v>
      </c>
      <c r="F92" s="14" t="s">
        <v>332</v>
      </c>
      <c r="G92" s="14">
        <v>0</v>
      </c>
      <c r="H92" s="14">
        <v>0</v>
      </c>
      <c r="I92" s="14">
        <v>0</v>
      </c>
      <c r="J92" s="14">
        <v>0</v>
      </c>
      <c r="K92" s="14">
        <v>0</v>
      </c>
      <c r="L92" s="14">
        <v>0</v>
      </c>
      <c r="M92" s="14">
        <v>0</v>
      </c>
      <c r="N92" s="14">
        <v>0</v>
      </c>
      <c r="O92" s="14">
        <v>0</v>
      </c>
      <c r="P92" s="14">
        <v>0</v>
      </c>
      <c r="Q92" s="15">
        <v>0</v>
      </c>
      <c r="R92" s="15">
        <v>0</v>
      </c>
      <c r="S92" s="15">
        <f>$G$92*$G$8+$H$92*$H$8+$I$92*$I$8+$J$92*$J$8+$K$92*$K$8+$L$92*$L$8+$M$92*$M$8+$N$92*$N$8+$O$92*$O$8+$P$92*$P$8</f>
        <v>0</v>
      </c>
      <c r="T92" s="15">
        <f>SUM($Q$92:$R$92)</f>
        <v>0</v>
      </c>
      <c r="U92" s="15">
        <f>$S$92+$T$92</f>
        <v>0</v>
      </c>
    </row>
    <row r="93" spans="1:21" x14ac:dyDescent="0.3">
      <c r="A93" s="10" t="s">
        <v>333</v>
      </c>
      <c r="B93" s="11" t="s">
        <v>334</v>
      </c>
      <c r="C93" s="11"/>
      <c r="D93" s="11" t="s">
        <v>335</v>
      </c>
      <c r="E93" s="11">
        <f xml:space="preserve"> IF($U$93,1,0)</f>
        <v>0</v>
      </c>
      <c r="F93" s="11" t="s">
        <v>336</v>
      </c>
      <c r="G93" s="11">
        <v>0</v>
      </c>
      <c r="H93" s="11">
        <v>0</v>
      </c>
      <c r="I93" s="11">
        <v>0</v>
      </c>
      <c r="J93" s="11">
        <v>0</v>
      </c>
      <c r="K93" s="11">
        <v>0</v>
      </c>
      <c r="L93" s="11">
        <v>0</v>
      </c>
      <c r="M93" s="11">
        <v>0</v>
      </c>
      <c r="N93" s="11">
        <v>0</v>
      </c>
      <c r="O93" s="11">
        <v>0</v>
      </c>
      <c r="P93" s="11">
        <v>0</v>
      </c>
      <c r="Q93" s="12">
        <v>0</v>
      </c>
      <c r="R93" s="12">
        <v>0</v>
      </c>
      <c r="S93" s="12">
        <f>$G$93*$G$8+$H$93*$H$8+$I$93*$I$8+$J$93*$J$8+$K$93*$K$8+$L$93*$L$8+$M$93*$M$8+$N$93*$N$8+$O$93*$O$8+$P$93*$P$8</f>
        <v>0</v>
      </c>
      <c r="T93" s="12">
        <f>SUM($Q$93:$R$93)</f>
        <v>0</v>
      </c>
      <c r="U93" s="12">
        <f>$S$93+$T$93</f>
        <v>0</v>
      </c>
    </row>
    <row r="94" spans="1:21" x14ac:dyDescent="0.3">
      <c r="A94" s="13" t="s">
        <v>337</v>
      </c>
      <c r="B94" s="14" t="s">
        <v>334</v>
      </c>
      <c r="C94" s="14"/>
      <c r="D94" s="14" t="s">
        <v>338</v>
      </c>
      <c r="E94" s="14">
        <f xml:space="preserve"> IF($U$94,1,0)</f>
        <v>0</v>
      </c>
      <c r="F94" s="14" t="s">
        <v>339</v>
      </c>
      <c r="G94" s="14">
        <v>0</v>
      </c>
      <c r="H94" s="14">
        <v>0</v>
      </c>
      <c r="I94" s="14">
        <v>0</v>
      </c>
      <c r="J94" s="14">
        <v>0</v>
      </c>
      <c r="K94" s="14">
        <v>0</v>
      </c>
      <c r="L94" s="14">
        <v>0</v>
      </c>
      <c r="M94" s="14">
        <v>0</v>
      </c>
      <c r="N94" s="14">
        <v>0</v>
      </c>
      <c r="O94" s="14">
        <v>0</v>
      </c>
      <c r="P94" s="14">
        <v>0</v>
      </c>
      <c r="Q94" s="15">
        <v>0</v>
      </c>
      <c r="R94" s="15">
        <v>0</v>
      </c>
      <c r="S94" s="15">
        <f>$G$94*$G$8+$H$94*$H$8+$I$94*$I$8+$J$94*$J$8+$K$94*$K$8+$L$94*$L$8+$M$94*$M$8+$N$94*$N$8+$O$94*$O$8+$P$94*$P$8</f>
        <v>0</v>
      </c>
      <c r="T94" s="15">
        <f>SUM($Q$94:$R$94)</f>
        <v>0</v>
      </c>
      <c r="U94" s="15">
        <f>$S$94+$T$94</f>
        <v>0</v>
      </c>
    </row>
    <row r="95" spans="1:21" x14ac:dyDescent="0.3">
      <c r="A95" s="10" t="s">
        <v>340</v>
      </c>
      <c r="B95" s="11" t="s">
        <v>341</v>
      </c>
      <c r="C95" s="11" t="s">
        <v>342</v>
      </c>
      <c r="D95" s="11" t="s">
        <v>343</v>
      </c>
      <c r="E95" s="11">
        <f xml:space="preserve"> IF($U$95,1,0)</f>
        <v>0</v>
      </c>
      <c r="F95" s="11" t="s">
        <v>344</v>
      </c>
      <c r="G95" s="11">
        <v>0</v>
      </c>
      <c r="H95" s="11">
        <v>0</v>
      </c>
      <c r="I95" s="11">
        <v>0</v>
      </c>
      <c r="J95" s="11">
        <v>0</v>
      </c>
      <c r="K95" s="11">
        <v>0</v>
      </c>
      <c r="L95" s="11">
        <v>0</v>
      </c>
      <c r="M95" s="11">
        <v>0</v>
      </c>
      <c r="N95" s="11">
        <v>0</v>
      </c>
      <c r="O95" s="11">
        <v>0</v>
      </c>
      <c r="P95" s="11">
        <v>0</v>
      </c>
      <c r="Q95" s="12">
        <v>0</v>
      </c>
      <c r="R95" s="12">
        <v>0</v>
      </c>
      <c r="S95" s="12">
        <f>$G$95*$G$8+$H$95*$H$8+$I$95*$I$8+$J$95*$J$8+$K$95*$K$8+$L$95*$L$8+$M$95*$M$8+$N$95*$N$8+$O$95*$O$8+$P$95*$P$8</f>
        <v>0</v>
      </c>
      <c r="T95" s="12">
        <f>SUM($Q$95:$R$95)</f>
        <v>0</v>
      </c>
      <c r="U95" s="12">
        <f>$S$95+$T$95</f>
        <v>0</v>
      </c>
    </row>
    <row r="96" spans="1:21" x14ac:dyDescent="0.3">
      <c r="A96" s="13" t="s">
        <v>345</v>
      </c>
      <c r="B96" s="14" t="s">
        <v>346</v>
      </c>
      <c r="C96" s="14"/>
      <c r="D96" s="14" t="s">
        <v>347</v>
      </c>
      <c r="E96" s="14">
        <f xml:space="preserve"> IF($U$96,1,0)</f>
        <v>0</v>
      </c>
      <c r="F96" s="14" t="s">
        <v>348</v>
      </c>
      <c r="G96" s="14">
        <v>0</v>
      </c>
      <c r="H96" s="14">
        <v>0</v>
      </c>
      <c r="I96" s="14">
        <v>0</v>
      </c>
      <c r="J96" s="14">
        <v>0</v>
      </c>
      <c r="K96" s="14">
        <v>0</v>
      </c>
      <c r="L96" s="14">
        <v>0</v>
      </c>
      <c r="M96" s="14">
        <v>0</v>
      </c>
      <c r="N96" s="14">
        <v>0</v>
      </c>
      <c r="O96" s="14">
        <v>0</v>
      </c>
      <c r="P96" s="14">
        <v>0</v>
      </c>
      <c r="Q96" s="15">
        <v>0</v>
      </c>
      <c r="R96" s="15">
        <v>0</v>
      </c>
      <c r="S96" s="15">
        <f>$G$96*$G$8+$H$96*$H$8+$I$96*$I$8+$J$96*$J$8+$K$96*$K$8+$L$96*$L$8+$M$96*$M$8+$N$96*$N$8+$O$96*$O$8+$P$96*$P$8</f>
        <v>0</v>
      </c>
      <c r="T96" s="15">
        <f>SUM($Q$96:$R$96)</f>
        <v>0</v>
      </c>
      <c r="U96" s="15">
        <f>$S$96+$T$96</f>
        <v>0</v>
      </c>
    </row>
    <row r="97" spans="1:21" x14ac:dyDescent="0.3">
      <c r="A97" s="10" t="s">
        <v>349</v>
      </c>
      <c r="B97" s="11" t="s">
        <v>350</v>
      </c>
      <c r="C97" s="11"/>
      <c r="D97" s="11" t="s">
        <v>351</v>
      </c>
      <c r="E97" s="11">
        <f xml:space="preserve"> IF($U$97,1,0)</f>
        <v>0</v>
      </c>
      <c r="F97" s="11" t="s">
        <v>352</v>
      </c>
      <c r="G97" s="11">
        <v>0</v>
      </c>
      <c r="H97" s="11">
        <v>0</v>
      </c>
      <c r="I97" s="11">
        <v>0</v>
      </c>
      <c r="J97" s="11">
        <v>0</v>
      </c>
      <c r="K97" s="11">
        <v>0</v>
      </c>
      <c r="L97" s="11">
        <v>0</v>
      </c>
      <c r="M97" s="11">
        <v>0</v>
      </c>
      <c r="N97" s="11">
        <v>0</v>
      </c>
      <c r="O97" s="11">
        <v>0</v>
      </c>
      <c r="P97" s="11">
        <v>0</v>
      </c>
      <c r="Q97" s="12">
        <v>0</v>
      </c>
      <c r="R97" s="12">
        <v>0</v>
      </c>
      <c r="S97" s="12">
        <f>$G$97*$G$8+$H$97*$H$8+$I$97*$I$8+$J$97*$J$8+$K$97*$K$8+$L$97*$L$8+$M$97*$M$8+$N$97*$N$8+$O$97*$O$8+$P$97*$P$8</f>
        <v>0</v>
      </c>
      <c r="T97" s="12">
        <f>SUM($Q$97:$R$97)</f>
        <v>0</v>
      </c>
      <c r="U97" s="12">
        <f>$S$97+$T$97</f>
        <v>0</v>
      </c>
    </row>
    <row r="98" spans="1:21" x14ac:dyDescent="0.3">
      <c r="A98" s="13" t="s">
        <v>353</v>
      </c>
      <c r="B98" s="14" t="s">
        <v>354</v>
      </c>
      <c r="C98" s="14"/>
      <c r="D98" s="14" t="s">
        <v>355</v>
      </c>
      <c r="E98" s="14">
        <f xml:space="preserve"> IF($U$98,1,0)</f>
        <v>0</v>
      </c>
      <c r="F98" s="14" t="s">
        <v>356</v>
      </c>
      <c r="G98" s="14">
        <v>0</v>
      </c>
      <c r="H98" s="14">
        <v>0</v>
      </c>
      <c r="I98" s="14">
        <v>0</v>
      </c>
      <c r="J98" s="14">
        <v>0</v>
      </c>
      <c r="K98" s="14">
        <v>0</v>
      </c>
      <c r="L98" s="14">
        <v>0</v>
      </c>
      <c r="M98" s="14">
        <v>0</v>
      </c>
      <c r="N98" s="14">
        <v>0</v>
      </c>
      <c r="O98" s="14">
        <v>0</v>
      </c>
      <c r="P98" s="14">
        <v>0</v>
      </c>
      <c r="Q98" s="15">
        <v>0</v>
      </c>
      <c r="R98" s="15">
        <v>0</v>
      </c>
      <c r="S98" s="15">
        <f>$G$98*$G$8+$H$98*$H$8+$I$98*$I$8+$J$98*$J$8+$K$98*$K$8+$L$98*$L$8+$M$98*$M$8+$N$98*$N$8+$O$98*$O$8+$P$98*$P$8</f>
        <v>0</v>
      </c>
      <c r="T98" s="15">
        <f>SUM($Q$98:$R$98)</f>
        <v>0</v>
      </c>
      <c r="U98" s="15">
        <f>$S$98+$T$98</f>
        <v>0</v>
      </c>
    </row>
    <row r="99" spans="1:21" x14ac:dyDescent="0.3">
      <c r="A99" s="10" t="s">
        <v>357</v>
      </c>
      <c r="B99" s="11" t="s">
        <v>358</v>
      </c>
      <c r="C99" s="11" t="s">
        <v>34</v>
      </c>
      <c r="D99" s="11" t="s">
        <v>359</v>
      </c>
      <c r="E99" s="11">
        <f xml:space="preserve"> IF($U$99,1,0)</f>
        <v>0</v>
      </c>
      <c r="F99" s="11" t="s">
        <v>360</v>
      </c>
      <c r="G99" s="11">
        <v>0</v>
      </c>
      <c r="H99" s="11">
        <v>0</v>
      </c>
      <c r="I99" s="11">
        <v>0</v>
      </c>
      <c r="J99" s="11">
        <v>0</v>
      </c>
      <c r="K99" s="11">
        <v>0</v>
      </c>
      <c r="L99" s="11">
        <v>0</v>
      </c>
      <c r="M99" s="11">
        <v>0</v>
      </c>
      <c r="N99" s="11">
        <v>0</v>
      </c>
      <c r="O99" s="11">
        <v>0</v>
      </c>
      <c r="P99" s="11">
        <v>0</v>
      </c>
      <c r="Q99" s="12">
        <v>0</v>
      </c>
      <c r="R99" s="12">
        <v>0</v>
      </c>
      <c r="S99" s="12">
        <f>$G$99*$G$8+$H$99*$H$8+$I$99*$I$8+$J$99*$J$8+$K$99*$K$8+$L$99*$L$8+$M$99*$M$8+$N$99*$N$8+$O$99*$O$8+$P$99*$P$8</f>
        <v>0</v>
      </c>
      <c r="T99" s="12">
        <f>SUM($Q$99:$R$99)</f>
        <v>0</v>
      </c>
      <c r="U99" s="12">
        <f>$S$99+$T$99</f>
        <v>0</v>
      </c>
    </row>
    <row r="100" spans="1:21" x14ac:dyDescent="0.3">
      <c r="A100" s="13" t="s">
        <v>361</v>
      </c>
      <c r="B100" s="14" t="s">
        <v>358</v>
      </c>
      <c r="C100" s="14" t="s">
        <v>34</v>
      </c>
      <c r="D100" s="14" t="s">
        <v>362</v>
      </c>
      <c r="E100" s="14">
        <f xml:space="preserve"> IF($U$100,1,0)</f>
        <v>0</v>
      </c>
      <c r="F100" s="14" t="s">
        <v>363</v>
      </c>
      <c r="G100" s="14">
        <v>0</v>
      </c>
      <c r="H100" s="14">
        <v>0</v>
      </c>
      <c r="I100" s="14">
        <v>0</v>
      </c>
      <c r="J100" s="14">
        <v>0</v>
      </c>
      <c r="K100" s="14">
        <v>0</v>
      </c>
      <c r="L100" s="14">
        <v>0</v>
      </c>
      <c r="M100" s="14">
        <v>0</v>
      </c>
      <c r="N100" s="14">
        <v>0</v>
      </c>
      <c r="O100" s="14">
        <v>0</v>
      </c>
      <c r="P100" s="14">
        <v>0</v>
      </c>
      <c r="Q100" s="15">
        <v>0</v>
      </c>
      <c r="R100" s="15">
        <v>0</v>
      </c>
      <c r="S100" s="15">
        <f>$G$100*$G$8+$H$100*$H$8+$I$100*$I$8+$J$100*$J$8+$K$100*$K$8+$L$100*$L$8+$M$100*$M$8+$N$100*$N$8+$O$100*$O$8+$P$100*$P$8</f>
        <v>0</v>
      </c>
      <c r="T100" s="15">
        <f>SUM($Q$100:$R$100)</f>
        <v>0</v>
      </c>
      <c r="U100" s="15">
        <f>$S$100+$T$100</f>
        <v>0</v>
      </c>
    </row>
    <row r="101" spans="1:21" x14ac:dyDescent="0.3">
      <c r="A101" s="10" t="s">
        <v>364</v>
      </c>
      <c r="B101" s="11" t="s">
        <v>358</v>
      </c>
      <c r="C101" s="11"/>
      <c r="D101" s="11" t="s">
        <v>365</v>
      </c>
      <c r="E101" s="11">
        <f xml:space="preserve"> IF($U$101,1,0)</f>
        <v>0</v>
      </c>
      <c r="F101" s="11" t="s">
        <v>366</v>
      </c>
      <c r="G101" s="11">
        <v>0</v>
      </c>
      <c r="H101" s="11">
        <v>0</v>
      </c>
      <c r="I101" s="11">
        <v>0</v>
      </c>
      <c r="J101" s="11">
        <v>0</v>
      </c>
      <c r="K101" s="11">
        <v>0</v>
      </c>
      <c r="L101" s="11">
        <v>0</v>
      </c>
      <c r="M101" s="11">
        <v>0</v>
      </c>
      <c r="N101" s="11">
        <v>0</v>
      </c>
      <c r="O101" s="11">
        <v>0</v>
      </c>
      <c r="P101" s="11">
        <v>0</v>
      </c>
      <c r="Q101" s="12">
        <v>0</v>
      </c>
      <c r="R101" s="12">
        <v>0</v>
      </c>
      <c r="S101" s="12">
        <f>$G$101*$G$8+$H$101*$H$8+$I$101*$I$8+$J$101*$J$8+$K$101*$K$8+$L$101*$L$8+$M$101*$M$8+$N$101*$N$8+$O$101*$O$8+$P$101*$P$8</f>
        <v>0</v>
      </c>
      <c r="T101" s="12">
        <f>SUM($Q$101:$R$101)</f>
        <v>0</v>
      </c>
      <c r="U101" s="12">
        <f>$S$101+$T$101</f>
        <v>0</v>
      </c>
    </row>
    <row r="102" spans="1:21" x14ac:dyDescent="0.3">
      <c r="A102" s="13" t="s">
        <v>1287</v>
      </c>
      <c r="B102" s="14" t="s">
        <v>1288</v>
      </c>
      <c r="C102" s="14"/>
      <c r="D102" s="14" t="s">
        <v>1285</v>
      </c>
      <c r="E102" s="14">
        <f xml:space="preserve"> IF($U$102,1,0)</f>
        <v>0</v>
      </c>
      <c r="F102" s="14" t="s">
        <v>1289</v>
      </c>
      <c r="G102" s="14">
        <v>0</v>
      </c>
      <c r="H102" s="14">
        <v>0</v>
      </c>
      <c r="I102" s="14">
        <v>0</v>
      </c>
      <c r="J102" s="14">
        <v>0</v>
      </c>
      <c r="K102" s="14">
        <v>0</v>
      </c>
      <c r="L102" s="14">
        <v>0</v>
      </c>
      <c r="M102" s="14">
        <v>0</v>
      </c>
      <c r="N102" s="14">
        <v>0</v>
      </c>
      <c r="O102" s="14">
        <v>0</v>
      </c>
      <c r="P102" s="14">
        <v>0</v>
      </c>
      <c r="Q102" s="15">
        <v>0</v>
      </c>
      <c r="R102" s="15">
        <v>0</v>
      </c>
      <c r="S102" s="15">
        <f>$G$102*$G$8+$H$102*$H$8+$I$102*$I$8+$J$102*$J$8+$K$102*$K$8+$L$102*$L$8+$M$102*$M$8+$N$102*$N$8+$O$102*$O$8+$P$102*$P$8</f>
        <v>0</v>
      </c>
      <c r="T102" s="15">
        <f>SUM($Q$102:$R$102)</f>
        <v>0</v>
      </c>
      <c r="U102" s="15">
        <f>$S$102+$T$102</f>
        <v>0</v>
      </c>
    </row>
    <row r="103" spans="1:21" x14ac:dyDescent="0.3">
      <c r="A103" s="10" t="s">
        <v>367</v>
      </c>
      <c r="B103" s="11" t="s">
        <v>368</v>
      </c>
      <c r="C103" s="11" t="s">
        <v>34</v>
      </c>
      <c r="D103" s="11" t="s">
        <v>118</v>
      </c>
      <c r="E103" s="11">
        <f xml:space="preserve"> IF($U$103,1,0)</f>
        <v>0</v>
      </c>
      <c r="F103" s="11" t="s">
        <v>369</v>
      </c>
      <c r="G103" s="11">
        <v>0</v>
      </c>
      <c r="H103" s="11">
        <v>0</v>
      </c>
      <c r="I103" s="11">
        <v>0</v>
      </c>
      <c r="J103" s="11">
        <v>0</v>
      </c>
      <c r="K103" s="11">
        <v>0</v>
      </c>
      <c r="L103" s="11">
        <v>0</v>
      </c>
      <c r="M103" s="11">
        <v>0</v>
      </c>
      <c r="N103" s="11">
        <v>0</v>
      </c>
      <c r="O103" s="11">
        <v>0</v>
      </c>
      <c r="P103" s="11">
        <v>0</v>
      </c>
      <c r="Q103" s="12">
        <v>0</v>
      </c>
      <c r="R103" s="12">
        <v>0</v>
      </c>
      <c r="S103" s="12">
        <f>$G$103*$G$8+$H$103*$H$8+$I$103*$I$8+$J$103*$J$8+$K$103*$K$8+$L$103*$L$8+$M$103*$M$8+$N$103*$N$8+$O$103*$O$8+$P$103*$P$8</f>
        <v>0</v>
      </c>
      <c r="T103" s="12">
        <f>SUM($Q$103:$R$103)</f>
        <v>0</v>
      </c>
      <c r="U103" s="12">
        <f>$S$103+$T$103</f>
        <v>0</v>
      </c>
    </row>
    <row r="104" spans="1:21" x14ac:dyDescent="0.3">
      <c r="A104" s="13" t="s">
        <v>370</v>
      </c>
      <c r="B104" s="14" t="s">
        <v>371</v>
      </c>
      <c r="C104" s="14"/>
      <c r="D104" s="14" t="s">
        <v>372</v>
      </c>
      <c r="E104" s="14">
        <f xml:space="preserve"> IF($U$104,1,0)</f>
        <v>0</v>
      </c>
      <c r="F104" s="14" t="s">
        <v>373</v>
      </c>
      <c r="G104" s="14">
        <v>0</v>
      </c>
      <c r="H104" s="14">
        <v>0</v>
      </c>
      <c r="I104" s="14">
        <v>0</v>
      </c>
      <c r="J104" s="14">
        <v>0</v>
      </c>
      <c r="K104" s="14">
        <v>0</v>
      </c>
      <c r="L104" s="14">
        <v>0</v>
      </c>
      <c r="M104" s="14">
        <v>0</v>
      </c>
      <c r="N104" s="14">
        <v>0</v>
      </c>
      <c r="O104" s="14">
        <v>0</v>
      </c>
      <c r="P104" s="14">
        <v>0</v>
      </c>
      <c r="Q104" s="15">
        <v>0</v>
      </c>
      <c r="R104" s="15">
        <v>0</v>
      </c>
      <c r="S104" s="15">
        <f>$G$104*$G$8+$H$104*$H$8+$I$104*$I$8+$J$104*$J$8+$K$104*$K$8+$L$104*$L$8+$M$104*$M$8+$N$104*$N$8+$O$104*$O$8+$P$104*$P$8</f>
        <v>0</v>
      </c>
      <c r="T104" s="15">
        <f>SUM($Q$104:$R$104)</f>
        <v>0</v>
      </c>
      <c r="U104" s="15">
        <f>$S$104+$T$104</f>
        <v>0</v>
      </c>
    </row>
    <row r="105" spans="1:21" x14ac:dyDescent="0.3">
      <c r="A105" s="10" t="s">
        <v>374</v>
      </c>
      <c r="B105" s="11" t="s">
        <v>375</v>
      </c>
      <c r="C105" s="11"/>
      <c r="D105" s="11" t="s">
        <v>376</v>
      </c>
      <c r="E105" s="11">
        <f xml:space="preserve"> IF($U$105,1,0)</f>
        <v>0</v>
      </c>
      <c r="F105" s="11" t="s">
        <v>377</v>
      </c>
      <c r="G105" s="11">
        <v>0</v>
      </c>
      <c r="H105" s="11">
        <v>0</v>
      </c>
      <c r="I105" s="11">
        <v>0</v>
      </c>
      <c r="J105" s="11">
        <v>0</v>
      </c>
      <c r="K105" s="11">
        <v>0</v>
      </c>
      <c r="L105" s="11">
        <v>0</v>
      </c>
      <c r="M105" s="11">
        <v>0</v>
      </c>
      <c r="N105" s="11">
        <v>0</v>
      </c>
      <c r="O105" s="11">
        <v>0</v>
      </c>
      <c r="P105" s="11">
        <v>0</v>
      </c>
      <c r="Q105" s="12">
        <v>0</v>
      </c>
      <c r="R105" s="12">
        <v>0</v>
      </c>
      <c r="S105" s="12">
        <f>$G$105*$G$8+$H$105*$H$8+$I$105*$I$8+$J$105*$J$8+$K$105*$K$8+$L$105*$L$8+$M$105*$M$8+$N$105*$N$8+$O$105*$O$8+$P$105*$P$8</f>
        <v>0</v>
      </c>
      <c r="T105" s="12">
        <f>SUM($Q$105:$R$105)</f>
        <v>0</v>
      </c>
      <c r="U105" s="12">
        <f>$S$105+$T$105</f>
        <v>0</v>
      </c>
    </row>
    <row r="106" spans="1:21" x14ac:dyDescent="0.3">
      <c r="A106" s="13" t="s">
        <v>378</v>
      </c>
      <c r="B106" s="14" t="s">
        <v>379</v>
      </c>
      <c r="C106" s="14"/>
      <c r="D106" s="14" t="s">
        <v>380</v>
      </c>
      <c r="E106" s="14">
        <f xml:space="preserve"> IF($U$106,1,0)</f>
        <v>0</v>
      </c>
      <c r="F106" s="14" t="s">
        <v>381</v>
      </c>
      <c r="G106" s="14">
        <v>0</v>
      </c>
      <c r="H106" s="14">
        <v>0</v>
      </c>
      <c r="I106" s="14">
        <v>0</v>
      </c>
      <c r="J106" s="14">
        <v>0</v>
      </c>
      <c r="K106" s="14">
        <v>0</v>
      </c>
      <c r="L106" s="14">
        <v>0</v>
      </c>
      <c r="M106" s="14">
        <v>0</v>
      </c>
      <c r="N106" s="14">
        <v>0</v>
      </c>
      <c r="O106" s="14">
        <v>0</v>
      </c>
      <c r="P106" s="14">
        <v>0</v>
      </c>
      <c r="Q106" s="15">
        <v>0</v>
      </c>
      <c r="R106" s="15">
        <v>0</v>
      </c>
      <c r="S106" s="15">
        <f>$G$106*$G$8+$H$106*$H$8+$I$106*$I$8+$J$106*$J$8+$K$106*$K$8+$L$106*$L$8+$M$106*$M$8+$N$106*$N$8+$O$106*$O$8+$P$106*$P$8</f>
        <v>0</v>
      </c>
      <c r="T106" s="15">
        <f>SUM($Q$106:$R$106)</f>
        <v>0</v>
      </c>
      <c r="U106" s="15">
        <f>$S$106+$T$106</f>
        <v>0</v>
      </c>
    </row>
    <row r="107" spans="1:21" x14ac:dyDescent="0.3">
      <c r="A107" s="10" t="s">
        <v>382</v>
      </c>
      <c r="B107" s="11" t="s">
        <v>383</v>
      </c>
      <c r="C107" s="11"/>
      <c r="D107" s="11" t="s">
        <v>384</v>
      </c>
      <c r="E107" s="11">
        <f xml:space="preserve"> IF($U$107,1,0)</f>
        <v>0</v>
      </c>
      <c r="F107" s="11" t="s">
        <v>385</v>
      </c>
      <c r="G107" s="11">
        <v>0</v>
      </c>
      <c r="H107" s="11">
        <v>0</v>
      </c>
      <c r="I107" s="11">
        <v>0</v>
      </c>
      <c r="J107" s="11">
        <v>0</v>
      </c>
      <c r="K107" s="11">
        <v>0</v>
      </c>
      <c r="L107" s="11">
        <v>0</v>
      </c>
      <c r="M107" s="11">
        <v>0</v>
      </c>
      <c r="N107" s="11">
        <v>0</v>
      </c>
      <c r="O107" s="11">
        <v>0</v>
      </c>
      <c r="P107" s="11">
        <v>0</v>
      </c>
      <c r="Q107" s="12">
        <v>0</v>
      </c>
      <c r="R107" s="12">
        <v>0</v>
      </c>
      <c r="S107" s="12">
        <f>$G$107*$G$8+$H$107*$H$8+$I$107*$I$8+$J$107*$J$8+$K$107*$K$8+$L$107*$L$8+$M$107*$M$8+$N$107*$N$8+$O$107*$O$8+$P$107*$P$8</f>
        <v>0</v>
      </c>
      <c r="T107" s="12">
        <f>SUM($Q$107:$R$107)</f>
        <v>0</v>
      </c>
      <c r="U107" s="12">
        <f>$S$107+$T$107</f>
        <v>0</v>
      </c>
    </row>
    <row r="108" spans="1:21" x14ac:dyDescent="0.3">
      <c r="A108" s="13" t="s">
        <v>386</v>
      </c>
      <c r="B108" s="14" t="s">
        <v>387</v>
      </c>
      <c r="C108" s="14" t="s">
        <v>278</v>
      </c>
      <c r="D108" s="14" t="s">
        <v>388</v>
      </c>
      <c r="E108" s="14">
        <f xml:space="preserve"> IF($U$108,1,0)</f>
        <v>0</v>
      </c>
      <c r="F108" s="14" t="s">
        <v>389</v>
      </c>
      <c r="G108" s="14">
        <v>0</v>
      </c>
      <c r="H108" s="14">
        <v>0</v>
      </c>
      <c r="I108" s="14">
        <v>0</v>
      </c>
      <c r="J108" s="14">
        <v>0</v>
      </c>
      <c r="K108" s="14">
        <v>0</v>
      </c>
      <c r="L108" s="14">
        <v>0</v>
      </c>
      <c r="M108" s="14">
        <v>0</v>
      </c>
      <c r="N108" s="14">
        <v>0</v>
      </c>
      <c r="O108" s="14">
        <v>0</v>
      </c>
      <c r="P108" s="14">
        <v>0</v>
      </c>
      <c r="Q108" s="15">
        <v>0</v>
      </c>
      <c r="R108" s="15">
        <v>0</v>
      </c>
      <c r="S108" s="15">
        <f>$G$108*$G$8+$H$108*$H$8+$I$108*$I$8+$J$108*$J$8+$K$108*$K$8+$L$108*$L$8+$M$108*$M$8+$N$108*$N$8+$O$108*$O$8+$P$108*$P$8</f>
        <v>0</v>
      </c>
      <c r="T108" s="15">
        <f>SUM($Q$108:$R$108)</f>
        <v>0</v>
      </c>
      <c r="U108" s="15">
        <f>$S$108+$T$108</f>
        <v>0</v>
      </c>
    </row>
    <row r="109" spans="1:21" x14ac:dyDescent="0.3">
      <c r="A109" s="10" t="s">
        <v>390</v>
      </c>
      <c r="B109" s="11" t="s">
        <v>387</v>
      </c>
      <c r="C109" s="11" t="s">
        <v>34</v>
      </c>
      <c r="D109" s="11" t="s">
        <v>391</v>
      </c>
      <c r="E109" s="11">
        <f xml:space="preserve"> IF($U$109,1,0)</f>
        <v>0</v>
      </c>
      <c r="F109" s="11" t="s">
        <v>392</v>
      </c>
      <c r="G109" s="11">
        <v>0</v>
      </c>
      <c r="H109" s="11">
        <v>0</v>
      </c>
      <c r="I109" s="11">
        <v>0</v>
      </c>
      <c r="J109" s="11">
        <v>0</v>
      </c>
      <c r="K109" s="11">
        <v>0</v>
      </c>
      <c r="L109" s="11">
        <v>0</v>
      </c>
      <c r="M109" s="11">
        <v>0</v>
      </c>
      <c r="N109" s="11">
        <v>0</v>
      </c>
      <c r="O109" s="11">
        <v>0</v>
      </c>
      <c r="P109" s="11">
        <v>0</v>
      </c>
      <c r="Q109" s="12">
        <v>0</v>
      </c>
      <c r="R109" s="12">
        <v>0</v>
      </c>
      <c r="S109" s="12">
        <f>$G$109*$G$8+$H$109*$H$8+$I$109*$I$8+$J$109*$J$8+$K$109*$K$8+$L$109*$L$8+$M$109*$M$8+$N$109*$N$8+$O$109*$O$8+$P$109*$P$8</f>
        <v>0</v>
      </c>
      <c r="T109" s="12">
        <f>SUM($Q$109:$R$109)</f>
        <v>0</v>
      </c>
      <c r="U109" s="12">
        <f>$S$109+$T$109</f>
        <v>0</v>
      </c>
    </row>
    <row r="110" spans="1:21" x14ac:dyDescent="0.3">
      <c r="A110" s="13" t="s">
        <v>393</v>
      </c>
      <c r="B110" s="14" t="s">
        <v>394</v>
      </c>
      <c r="C110" s="14"/>
      <c r="D110" s="14" t="s">
        <v>395</v>
      </c>
      <c r="E110" s="14">
        <f xml:space="preserve"> IF($U$110,1,0)</f>
        <v>0</v>
      </c>
      <c r="F110" s="14" t="s">
        <v>396</v>
      </c>
      <c r="G110" s="14">
        <v>0</v>
      </c>
      <c r="H110" s="14">
        <v>0</v>
      </c>
      <c r="I110" s="14">
        <v>0</v>
      </c>
      <c r="J110" s="14">
        <v>0</v>
      </c>
      <c r="K110" s="14">
        <v>0</v>
      </c>
      <c r="L110" s="14">
        <v>0</v>
      </c>
      <c r="M110" s="14">
        <v>0</v>
      </c>
      <c r="N110" s="14">
        <v>0</v>
      </c>
      <c r="O110" s="14">
        <v>0</v>
      </c>
      <c r="P110" s="14">
        <v>0</v>
      </c>
      <c r="Q110" s="15">
        <v>0</v>
      </c>
      <c r="R110" s="15">
        <v>0</v>
      </c>
      <c r="S110" s="15">
        <f>$G$110*$G$8+$H$110*$H$8+$I$110*$I$8+$J$110*$J$8+$K$110*$K$8+$L$110*$L$8+$M$110*$M$8+$N$110*$N$8+$O$110*$O$8+$P$110*$P$8</f>
        <v>0</v>
      </c>
      <c r="T110" s="15">
        <f>SUM($Q$110:$R$110)</f>
        <v>0</v>
      </c>
      <c r="U110" s="15">
        <f>$S$110+$T$110</f>
        <v>0</v>
      </c>
    </row>
    <row r="111" spans="1:21" x14ac:dyDescent="0.3">
      <c r="A111" s="10" t="s">
        <v>397</v>
      </c>
      <c r="B111" s="11" t="s">
        <v>398</v>
      </c>
      <c r="C111" s="11" t="s">
        <v>243</v>
      </c>
      <c r="D111" s="11" t="s">
        <v>399</v>
      </c>
      <c r="E111" s="11">
        <f xml:space="preserve"> IF($U$111,1,0)</f>
        <v>0</v>
      </c>
      <c r="F111" s="11" t="s">
        <v>400</v>
      </c>
      <c r="G111" s="11">
        <v>0</v>
      </c>
      <c r="H111" s="11">
        <v>0</v>
      </c>
      <c r="I111" s="11">
        <v>0</v>
      </c>
      <c r="J111" s="11">
        <v>0</v>
      </c>
      <c r="K111" s="11">
        <v>0</v>
      </c>
      <c r="L111" s="11">
        <v>0</v>
      </c>
      <c r="M111" s="11">
        <v>0</v>
      </c>
      <c r="N111" s="11">
        <v>0</v>
      </c>
      <c r="O111" s="11">
        <v>0</v>
      </c>
      <c r="P111" s="11">
        <v>0</v>
      </c>
      <c r="Q111" s="12">
        <v>0</v>
      </c>
      <c r="R111" s="12">
        <v>0</v>
      </c>
      <c r="S111" s="12">
        <f>$G$111*$G$8+$H$111*$H$8+$I$111*$I$8+$J$111*$J$8+$K$111*$K$8+$L$111*$L$8+$M$111*$M$8+$N$111*$N$8+$O$111*$O$8+$P$111*$P$8</f>
        <v>0</v>
      </c>
      <c r="T111" s="12">
        <f>SUM($Q$111:$R$111)</f>
        <v>0</v>
      </c>
      <c r="U111" s="12">
        <f>$S$111+$T$111</f>
        <v>0</v>
      </c>
    </row>
    <row r="112" spans="1:21" x14ac:dyDescent="0.3">
      <c r="A112" s="13" t="s">
        <v>401</v>
      </c>
      <c r="B112" s="14" t="s">
        <v>402</v>
      </c>
      <c r="C112" s="14"/>
      <c r="D112" s="14" t="s">
        <v>403</v>
      </c>
      <c r="E112" s="14">
        <f xml:space="preserve"> IF($U$112,1,0)</f>
        <v>0</v>
      </c>
      <c r="F112" s="14" t="s">
        <v>404</v>
      </c>
      <c r="G112" s="14">
        <v>0</v>
      </c>
      <c r="H112" s="14">
        <v>0</v>
      </c>
      <c r="I112" s="14">
        <v>0</v>
      </c>
      <c r="J112" s="14">
        <v>0</v>
      </c>
      <c r="K112" s="14">
        <v>0</v>
      </c>
      <c r="L112" s="14">
        <v>0</v>
      </c>
      <c r="M112" s="14">
        <v>0</v>
      </c>
      <c r="N112" s="14">
        <v>0</v>
      </c>
      <c r="O112" s="14">
        <v>0</v>
      </c>
      <c r="P112" s="14">
        <v>0</v>
      </c>
      <c r="Q112" s="15">
        <v>0</v>
      </c>
      <c r="R112" s="15">
        <v>0</v>
      </c>
      <c r="S112" s="15">
        <f>$G$112*$G$8+$H$112*$H$8+$I$112*$I$8+$J$112*$J$8+$K$112*$K$8+$L$112*$L$8+$M$112*$M$8+$N$112*$N$8+$O$112*$O$8+$P$112*$P$8</f>
        <v>0</v>
      </c>
      <c r="T112" s="15">
        <f>SUM($Q$112:$R$112)</f>
        <v>0</v>
      </c>
      <c r="U112" s="15">
        <f>$S$112+$T$112</f>
        <v>0</v>
      </c>
    </row>
    <row r="113" spans="1:21" x14ac:dyDescent="0.3">
      <c r="A113" s="10" t="s">
        <v>405</v>
      </c>
      <c r="B113" s="11" t="s">
        <v>406</v>
      </c>
      <c r="C113" s="11"/>
      <c r="D113" s="11" t="s">
        <v>407</v>
      </c>
      <c r="E113" s="11">
        <f xml:space="preserve"> IF($U$113,1,0)</f>
        <v>0</v>
      </c>
      <c r="F113" s="11" t="s">
        <v>408</v>
      </c>
      <c r="G113" s="11">
        <v>0</v>
      </c>
      <c r="H113" s="11">
        <v>0</v>
      </c>
      <c r="I113" s="11">
        <v>0</v>
      </c>
      <c r="J113" s="11">
        <v>0</v>
      </c>
      <c r="K113" s="11">
        <v>0</v>
      </c>
      <c r="L113" s="11">
        <v>0</v>
      </c>
      <c r="M113" s="11">
        <v>0</v>
      </c>
      <c r="N113" s="11">
        <v>0</v>
      </c>
      <c r="O113" s="11">
        <v>0</v>
      </c>
      <c r="P113" s="11">
        <v>0</v>
      </c>
      <c r="Q113" s="12">
        <v>0</v>
      </c>
      <c r="R113" s="12">
        <v>0</v>
      </c>
      <c r="S113" s="12">
        <f>$G$113*$G$8+$H$113*$H$8+$I$113*$I$8+$J$113*$J$8+$K$113*$K$8+$L$113*$L$8+$M$113*$M$8+$N$113*$N$8+$O$113*$O$8+$P$113*$P$8</f>
        <v>0</v>
      </c>
      <c r="T113" s="12">
        <f>SUM($Q$113:$R$113)</f>
        <v>0</v>
      </c>
      <c r="U113" s="12">
        <f>$S$113+$T$113</f>
        <v>0</v>
      </c>
    </row>
    <row r="114" spans="1:21" x14ac:dyDescent="0.3">
      <c r="A114" s="13" t="s">
        <v>409</v>
      </c>
      <c r="B114" s="14" t="s">
        <v>410</v>
      </c>
      <c r="C114" s="14"/>
      <c r="D114" s="14" t="s">
        <v>411</v>
      </c>
      <c r="E114" s="14">
        <f xml:space="preserve"> IF($U$114,1,0)</f>
        <v>0</v>
      </c>
      <c r="F114" s="14" t="s">
        <v>412</v>
      </c>
      <c r="G114" s="14">
        <v>0</v>
      </c>
      <c r="H114" s="14">
        <v>0</v>
      </c>
      <c r="I114" s="14">
        <v>0</v>
      </c>
      <c r="J114" s="14">
        <v>0</v>
      </c>
      <c r="K114" s="14">
        <v>0</v>
      </c>
      <c r="L114" s="14">
        <v>0</v>
      </c>
      <c r="M114" s="14">
        <v>0</v>
      </c>
      <c r="N114" s="14">
        <v>0</v>
      </c>
      <c r="O114" s="14">
        <v>0</v>
      </c>
      <c r="P114" s="14">
        <v>0</v>
      </c>
      <c r="Q114" s="15">
        <v>0</v>
      </c>
      <c r="R114" s="15">
        <v>0</v>
      </c>
      <c r="S114" s="15">
        <f>$G$114*$G$8+$H$114*$H$8+$I$114*$I$8+$J$114*$J$8+$K$114*$K$8+$L$114*$L$8+$M$114*$M$8+$N$114*$N$8+$O$114*$O$8+$P$114*$P$8</f>
        <v>0</v>
      </c>
      <c r="T114" s="15">
        <f>SUM($Q$114:$R$114)</f>
        <v>0</v>
      </c>
      <c r="U114" s="15">
        <f>$S$114+$T$114</f>
        <v>0</v>
      </c>
    </row>
    <row r="115" spans="1:21" x14ac:dyDescent="0.3">
      <c r="A115" s="10" t="s">
        <v>413</v>
      </c>
      <c r="B115" s="11" t="s">
        <v>414</v>
      </c>
      <c r="C115" s="11"/>
      <c r="D115" s="11" t="s">
        <v>415</v>
      </c>
      <c r="E115" s="11">
        <f xml:space="preserve"> IF($U$115,1,0)</f>
        <v>0</v>
      </c>
      <c r="F115" s="11" t="s">
        <v>416</v>
      </c>
      <c r="G115" s="11">
        <v>0</v>
      </c>
      <c r="H115" s="11">
        <v>0</v>
      </c>
      <c r="I115" s="11">
        <v>0</v>
      </c>
      <c r="J115" s="11">
        <v>0</v>
      </c>
      <c r="K115" s="11">
        <v>0</v>
      </c>
      <c r="L115" s="11">
        <v>0</v>
      </c>
      <c r="M115" s="11">
        <v>0</v>
      </c>
      <c r="N115" s="11">
        <v>0</v>
      </c>
      <c r="O115" s="11">
        <v>0</v>
      </c>
      <c r="P115" s="11">
        <v>0</v>
      </c>
      <c r="Q115" s="12">
        <v>0</v>
      </c>
      <c r="R115" s="12">
        <v>0</v>
      </c>
      <c r="S115" s="12">
        <f>$G$115*$G$8+$H$115*$H$8+$I$115*$I$8+$J$115*$J$8+$K$115*$K$8+$L$115*$L$8+$M$115*$M$8+$N$115*$N$8+$O$115*$O$8+$P$115*$P$8</f>
        <v>0</v>
      </c>
      <c r="T115" s="12">
        <f>SUM($Q$115:$R$115)</f>
        <v>0</v>
      </c>
      <c r="U115" s="12">
        <f>$S$115+$T$115</f>
        <v>0</v>
      </c>
    </row>
    <row r="116" spans="1:21" x14ac:dyDescent="0.3">
      <c r="A116" s="13" t="s">
        <v>417</v>
      </c>
      <c r="B116" s="14" t="s">
        <v>418</v>
      </c>
      <c r="C116" s="14"/>
      <c r="D116" s="14" t="s">
        <v>419</v>
      </c>
      <c r="E116" s="14">
        <f xml:space="preserve"> IF($U$116,1,0)</f>
        <v>0</v>
      </c>
      <c r="F116" s="14" t="s">
        <v>420</v>
      </c>
      <c r="G116" s="14">
        <v>0</v>
      </c>
      <c r="H116" s="14">
        <v>0</v>
      </c>
      <c r="I116" s="14">
        <v>0</v>
      </c>
      <c r="J116" s="14">
        <v>0</v>
      </c>
      <c r="K116" s="14">
        <v>0</v>
      </c>
      <c r="L116" s="14">
        <v>0</v>
      </c>
      <c r="M116" s="14">
        <v>0</v>
      </c>
      <c r="N116" s="14">
        <v>0</v>
      </c>
      <c r="O116" s="14">
        <v>0</v>
      </c>
      <c r="P116" s="14">
        <v>0</v>
      </c>
      <c r="Q116" s="15">
        <v>0</v>
      </c>
      <c r="R116" s="15">
        <v>0</v>
      </c>
      <c r="S116" s="15">
        <f>$G$116*$G$8+$H$116*$H$8+$I$116*$I$8+$J$116*$J$8+$K$116*$K$8+$L$116*$L$8+$M$116*$M$8+$N$116*$N$8+$O$116*$O$8+$P$116*$P$8</f>
        <v>0</v>
      </c>
      <c r="T116" s="15">
        <f>SUM($Q$116:$R$116)</f>
        <v>0</v>
      </c>
      <c r="U116" s="15">
        <f>$S$116+$T$116</f>
        <v>0</v>
      </c>
    </row>
    <row r="117" spans="1:21" x14ac:dyDescent="0.3">
      <c r="A117" s="10" t="s">
        <v>421</v>
      </c>
      <c r="B117" s="11" t="s">
        <v>422</v>
      </c>
      <c r="C117" s="11"/>
      <c r="D117" s="11" t="s">
        <v>423</v>
      </c>
      <c r="E117" s="11">
        <f xml:space="preserve"> IF($U$117,1,0)</f>
        <v>0</v>
      </c>
      <c r="F117" s="11" t="s">
        <v>424</v>
      </c>
      <c r="G117" s="11">
        <v>0</v>
      </c>
      <c r="H117" s="11">
        <v>0</v>
      </c>
      <c r="I117" s="11">
        <v>0</v>
      </c>
      <c r="J117" s="11">
        <v>0</v>
      </c>
      <c r="K117" s="11">
        <v>0</v>
      </c>
      <c r="L117" s="11">
        <v>0</v>
      </c>
      <c r="M117" s="11">
        <v>0</v>
      </c>
      <c r="N117" s="11">
        <v>0</v>
      </c>
      <c r="O117" s="11">
        <v>0</v>
      </c>
      <c r="P117" s="11">
        <v>0</v>
      </c>
      <c r="Q117" s="12">
        <v>0</v>
      </c>
      <c r="R117" s="12">
        <v>0</v>
      </c>
      <c r="S117" s="12">
        <f>$G$117*$G$8+$H$117*$H$8+$I$117*$I$8+$J$117*$J$8+$K$117*$K$8+$L$117*$L$8+$M$117*$M$8+$N$117*$N$8+$O$117*$O$8+$P$117*$P$8</f>
        <v>0</v>
      </c>
      <c r="T117" s="12">
        <f>SUM($Q$117:$R$117)</f>
        <v>0</v>
      </c>
      <c r="U117" s="12">
        <f>$S$117+$T$117</f>
        <v>0</v>
      </c>
    </row>
    <row r="118" spans="1:21" x14ac:dyDescent="0.3">
      <c r="A118" s="13" t="s">
        <v>425</v>
      </c>
      <c r="B118" s="14" t="s">
        <v>426</v>
      </c>
      <c r="C118" s="14" t="s">
        <v>34</v>
      </c>
      <c r="D118" s="14" t="s">
        <v>427</v>
      </c>
      <c r="E118" s="14">
        <f xml:space="preserve"> IF($U$118,1,0)</f>
        <v>0</v>
      </c>
      <c r="F118" s="14" t="s">
        <v>428</v>
      </c>
      <c r="G118" s="14">
        <v>0</v>
      </c>
      <c r="H118" s="14">
        <v>0</v>
      </c>
      <c r="I118" s="14">
        <v>0</v>
      </c>
      <c r="J118" s="14">
        <v>0</v>
      </c>
      <c r="K118" s="14">
        <v>0</v>
      </c>
      <c r="L118" s="14">
        <v>0</v>
      </c>
      <c r="M118" s="14">
        <v>0</v>
      </c>
      <c r="N118" s="14">
        <v>0</v>
      </c>
      <c r="O118" s="14">
        <v>0</v>
      </c>
      <c r="P118" s="14">
        <v>0</v>
      </c>
      <c r="Q118" s="15">
        <v>0</v>
      </c>
      <c r="R118" s="15">
        <v>0</v>
      </c>
      <c r="S118" s="15">
        <f>$G$118*$G$8+$H$118*$H$8+$I$118*$I$8+$J$118*$J$8+$K$118*$K$8+$L$118*$L$8+$M$118*$M$8+$N$118*$N$8+$O$118*$O$8+$P$118*$P$8</f>
        <v>0</v>
      </c>
      <c r="T118" s="15">
        <f>SUM($Q$118:$R$118)</f>
        <v>0</v>
      </c>
      <c r="U118" s="15">
        <f>$S$118+$T$118</f>
        <v>0</v>
      </c>
    </row>
    <row r="119" spans="1:21" x14ac:dyDescent="0.3">
      <c r="A119" s="10" t="s">
        <v>429</v>
      </c>
      <c r="B119" s="11" t="s">
        <v>430</v>
      </c>
      <c r="C119" s="11"/>
      <c r="D119" s="11" t="s">
        <v>431</v>
      </c>
      <c r="E119" s="11">
        <f xml:space="preserve"> IF($U$119,1,0)</f>
        <v>0</v>
      </c>
      <c r="F119" s="11" t="s">
        <v>432</v>
      </c>
      <c r="G119" s="11">
        <v>0</v>
      </c>
      <c r="H119" s="11">
        <v>0</v>
      </c>
      <c r="I119" s="11">
        <v>0</v>
      </c>
      <c r="J119" s="11">
        <v>0</v>
      </c>
      <c r="K119" s="11">
        <v>0</v>
      </c>
      <c r="L119" s="11">
        <v>0</v>
      </c>
      <c r="M119" s="11">
        <v>0</v>
      </c>
      <c r="N119" s="11">
        <v>0</v>
      </c>
      <c r="O119" s="11">
        <v>0</v>
      </c>
      <c r="P119" s="11">
        <v>0</v>
      </c>
      <c r="Q119" s="12">
        <v>0</v>
      </c>
      <c r="R119" s="12">
        <v>0</v>
      </c>
      <c r="S119" s="12">
        <f>$G$119*$G$8+$H$119*$H$8+$I$119*$I$8+$J$119*$J$8+$K$119*$K$8+$L$119*$L$8+$M$119*$M$8+$N$119*$N$8+$O$119*$O$8+$P$119*$P$8</f>
        <v>0</v>
      </c>
      <c r="T119" s="12">
        <f>SUM($Q$119:$R$119)</f>
        <v>0</v>
      </c>
      <c r="U119" s="12">
        <f>$S$119+$T$119</f>
        <v>0</v>
      </c>
    </row>
    <row r="120" spans="1:21" x14ac:dyDescent="0.3">
      <c r="A120" s="13" t="s">
        <v>1252</v>
      </c>
      <c r="B120" s="14" t="s">
        <v>1253</v>
      </c>
      <c r="C120" s="14"/>
      <c r="D120" s="14" t="s">
        <v>1254</v>
      </c>
      <c r="E120" s="14">
        <f xml:space="preserve"> IF($U$120,1,0)</f>
        <v>0</v>
      </c>
      <c r="F120" s="14" t="s">
        <v>1255</v>
      </c>
      <c r="G120" s="14">
        <v>0</v>
      </c>
      <c r="H120" s="14">
        <v>0</v>
      </c>
      <c r="I120" s="14">
        <v>0</v>
      </c>
      <c r="J120" s="14">
        <v>0</v>
      </c>
      <c r="K120" s="14">
        <v>0</v>
      </c>
      <c r="L120" s="14">
        <v>0</v>
      </c>
      <c r="M120" s="14">
        <v>0</v>
      </c>
      <c r="N120" s="14">
        <v>0</v>
      </c>
      <c r="O120" s="14">
        <v>0</v>
      </c>
      <c r="P120" s="14">
        <v>0</v>
      </c>
      <c r="Q120" s="15">
        <v>0</v>
      </c>
      <c r="R120" s="15">
        <v>0</v>
      </c>
      <c r="S120" s="15">
        <f>$G$120*$G$8+$H$120*$H$8+$I$120*$I$8+$J$120*$J$8+$K$120*$K$8+$L$120*$L$8+$M$120*$M$8+$N$120*$N$8+$O$120*$O$8+$P$120*$P$8</f>
        <v>0</v>
      </c>
      <c r="T120" s="15">
        <f>SUM($Q$120:$R$120)</f>
        <v>0</v>
      </c>
      <c r="U120" s="15">
        <f>$S$120+$T$120</f>
        <v>0</v>
      </c>
    </row>
    <row r="121" spans="1:21" x14ac:dyDescent="0.3">
      <c r="A121" s="10" t="s">
        <v>433</v>
      </c>
      <c r="B121" s="11" t="s">
        <v>434</v>
      </c>
      <c r="C121" s="11" t="s">
        <v>202</v>
      </c>
      <c r="D121" s="11" t="s">
        <v>435</v>
      </c>
      <c r="E121" s="11">
        <f xml:space="preserve"> IF($U$121,1,0)</f>
        <v>0</v>
      </c>
      <c r="F121" s="11" t="s">
        <v>436</v>
      </c>
      <c r="G121" s="11">
        <v>0</v>
      </c>
      <c r="H121" s="11">
        <v>0</v>
      </c>
      <c r="I121" s="11">
        <v>0</v>
      </c>
      <c r="J121" s="11">
        <v>0</v>
      </c>
      <c r="K121" s="11">
        <v>0</v>
      </c>
      <c r="L121" s="11">
        <v>0</v>
      </c>
      <c r="M121" s="11">
        <v>0</v>
      </c>
      <c r="N121" s="11">
        <v>0</v>
      </c>
      <c r="O121" s="11">
        <v>0</v>
      </c>
      <c r="P121" s="11">
        <v>0</v>
      </c>
      <c r="Q121" s="12">
        <v>0</v>
      </c>
      <c r="R121" s="12">
        <v>0</v>
      </c>
      <c r="S121" s="12">
        <f>$G$121*$G$8+$H$121*$H$8+$I$121*$I$8+$J$121*$J$8+$K$121*$K$8+$L$121*$L$8+$M$121*$M$8+$N$121*$N$8+$O$121*$O$8+$P$121*$P$8</f>
        <v>0</v>
      </c>
      <c r="T121" s="12">
        <f>SUM($Q$121:$R$121)</f>
        <v>0</v>
      </c>
      <c r="U121" s="12">
        <f>$S$121+$T$121</f>
        <v>0</v>
      </c>
    </row>
    <row r="122" spans="1:21" x14ac:dyDescent="0.3">
      <c r="A122" s="13" t="s">
        <v>437</v>
      </c>
      <c r="B122" s="14" t="s">
        <v>434</v>
      </c>
      <c r="C122" s="14"/>
      <c r="D122" s="14" t="s">
        <v>438</v>
      </c>
      <c r="E122" s="14">
        <f xml:space="preserve"> IF($U$122,1,0)</f>
        <v>0</v>
      </c>
      <c r="F122" s="14" t="s">
        <v>439</v>
      </c>
      <c r="G122" s="14">
        <v>0</v>
      </c>
      <c r="H122" s="14">
        <v>0</v>
      </c>
      <c r="I122" s="14">
        <v>0</v>
      </c>
      <c r="J122" s="14">
        <v>0</v>
      </c>
      <c r="K122" s="14">
        <v>0</v>
      </c>
      <c r="L122" s="14">
        <v>0</v>
      </c>
      <c r="M122" s="14">
        <v>0</v>
      </c>
      <c r="N122" s="14">
        <v>0</v>
      </c>
      <c r="O122" s="14">
        <v>0</v>
      </c>
      <c r="P122" s="14">
        <v>0</v>
      </c>
      <c r="Q122" s="15">
        <v>0</v>
      </c>
      <c r="R122" s="15">
        <v>0</v>
      </c>
      <c r="S122" s="15">
        <f>$G$122*$G$8+$H$122*$H$8+$I$122*$I$8+$J$122*$J$8+$K$122*$K$8+$L$122*$L$8+$M$122*$M$8+$N$122*$N$8+$O$122*$O$8+$P$122*$P$8</f>
        <v>0</v>
      </c>
      <c r="T122" s="15">
        <f>SUM($Q$122:$R$122)</f>
        <v>0</v>
      </c>
      <c r="U122" s="15">
        <f>$S$122+$T$122</f>
        <v>0</v>
      </c>
    </row>
    <row r="123" spans="1:21" x14ac:dyDescent="0.3">
      <c r="A123" s="10" t="s">
        <v>440</v>
      </c>
      <c r="B123" s="11" t="s">
        <v>441</v>
      </c>
      <c r="C123" s="11" t="s">
        <v>202</v>
      </c>
      <c r="D123" s="11" t="s">
        <v>442</v>
      </c>
      <c r="E123" s="11">
        <f xml:space="preserve"> IF($U$123,1,0)</f>
        <v>0</v>
      </c>
      <c r="F123" s="11" t="s">
        <v>443</v>
      </c>
      <c r="G123" s="11">
        <v>0</v>
      </c>
      <c r="H123" s="11">
        <v>0</v>
      </c>
      <c r="I123" s="11">
        <v>0</v>
      </c>
      <c r="J123" s="11">
        <v>0</v>
      </c>
      <c r="K123" s="11">
        <v>0</v>
      </c>
      <c r="L123" s="11">
        <v>0</v>
      </c>
      <c r="M123" s="11">
        <v>0</v>
      </c>
      <c r="N123" s="11">
        <v>0</v>
      </c>
      <c r="O123" s="11">
        <v>0</v>
      </c>
      <c r="P123" s="11">
        <v>0</v>
      </c>
      <c r="Q123" s="12">
        <v>0</v>
      </c>
      <c r="R123" s="12">
        <v>0</v>
      </c>
      <c r="S123" s="12">
        <f>$G$123*$G$8+$H$123*$H$8+$I$123*$I$8+$J$123*$J$8+$K$123*$K$8+$L$123*$L$8+$M$123*$M$8+$N$123*$N$8+$O$123*$O$8+$P$123*$P$8</f>
        <v>0</v>
      </c>
      <c r="T123" s="12">
        <f>SUM($Q$123:$R$123)</f>
        <v>0</v>
      </c>
      <c r="U123" s="12">
        <f>$S$123+$T$123</f>
        <v>0</v>
      </c>
    </row>
    <row r="124" spans="1:21" x14ac:dyDescent="0.3">
      <c r="A124" s="13" t="s">
        <v>444</v>
      </c>
      <c r="B124" s="14" t="s">
        <v>445</v>
      </c>
      <c r="C124" s="14"/>
      <c r="D124" s="14" t="s">
        <v>446</v>
      </c>
      <c r="E124" s="14">
        <f xml:space="preserve"> IF($U$124,1,0)</f>
        <v>0</v>
      </c>
      <c r="F124" s="14" t="s">
        <v>447</v>
      </c>
      <c r="G124" s="14">
        <v>0</v>
      </c>
      <c r="H124" s="14">
        <v>0</v>
      </c>
      <c r="I124" s="14">
        <v>0</v>
      </c>
      <c r="J124" s="14">
        <v>0</v>
      </c>
      <c r="K124" s="14">
        <v>0</v>
      </c>
      <c r="L124" s="14">
        <v>0</v>
      </c>
      <c r="M124" s="14">
        <v>0</v>
      </c>
      <c r="N124" s="14">
        <v>0</v>
      </c>
      <c r="O124" s="14">
        <v>0</v>
      </c>
      <c r="P124" s="14">
        <v>0</v>
      </c>
      <c r="Q124" s="15">
        <v>0</v>
      </c>
      <c r="R124" s="15">
        <v>0</v>
      </c>
      <c r="S124" s="15">
        <f>$G$124*$G$8+$H$124*$H$8+$I$124*$I$8+$J$124*$J$8+$K$124*$K$8+$L$124*$L$8+$M$124*$M$8+$N$124*$N$8+$O$124*$O$8+$P$124*$P$8</f>
        <v>0</v>
      </c>
      <c r="T124" s="15">
        <f>SUM($Q$124:$R$124)</f>
        <v>0</v>
      </c>
      <c r="U124" s="15">
        <f>$S$124+$T$124</f>
        <v>0</v>
      </c>
    </row>
    <row r="125" spans="1:21" x14ac:dyDescent="0.3">
      <c r="A125" s="10" t="s">
        <v>448</v>
      </c>
      <c r="B125" s="11" t="s">
        <v>449</v>
      </c>
      <c r="C125" s="11"/>
      <c r="D125" s="11" t="s">
        <v>450</v>
      </c>
      <c r="E125" s="11">
        <f xml:space="preserve"> IF($U$125,1,0)</f>
        <v>0</v>
      </c>
      <c r="F125" s="11" t="s">
        <v>451</v>
      </c>
      <c r="G125" s="11">
        <v>0</v>
      </c>
      <c r="H125" s="11">
        <v>0</v>
      </c>
      <c r="I125" s="11">
        <v>0</v>
      </c>
      <c r="J125" s="11">
        <v>0</v>
      </c>
      <c r="K125" s="11">
        <v>0</v>
      </c>
      <c r="L125" s="11">
        <v>0</v>
      </c>
      <c r="M125" s="11">
        <v>0</v>
      </c>
      <c r="N125" s="11">
        <v>0</v>
      </c>
      <c r="O125" s="11">
        <v>0</v>
      </c>
      <c r="P125" s="11">
        <v>0</v>
      </c>
      <c r="Q125" s="12">
        <v>0</v>
      </c>
      <c r="R125" s="12">
        <v>0</v>
      </c>
      <c r="S125" s="12">
        <f>$G$125*$G$8+$H$125*$H$8+$I$125*$I$8+$J$125*$J$8+$K$125*$K$8+$L$125*$L$8+$M$125*$M$8+$N$125*$N$8+$O$125*$O$8+$P$125*$P$8</f>
        <v>0</v>
      </c>
      <c r="T125" s="12">
        <f>SUM($Q$125:$R$125)</f>
        <v>0</v>
      </c>
      <c r="U125" s="12">
        <f>$S$125+$T$125</f>
        <v>0</v>
      </c>
    </row>
    <row r="126" spans="1:21" x14ac:dyDescent="0.3">
      <c r="A126" s="13" t="s">
        <v>452</v>
      </c>
      <c r="B126" s="14" t="s">
        <v>453</v>
      </c>
      <c r="C126" s="14"/>
      <c r="D126" s="14" t="s">
        <v>454</v>
      </c>
      <c r="E126" s="14">
        <f xml:space="preserve"> IF($U$126,1,0)</f>
        <v>0</v>
      </c>
      <c r="F126" s="14" t="s">
        <v>455</v>
      </c>
      <c r="G126" s="14">
        <v>0</v>
      </c>
      <c r="H126" s="14">
        <v>0</v>
      </c>
      <c r="I126" s="14">
        <v>0</v>
      </c>
      <c r="J126" s="14">
        <v>0</v>
      </c>
      <c r="K126" s="14">
        <v>0</v>
      </c>
      <c r="L126" s="14">
        <v>0</v>
      </c>
      <c r="M126" s="14">
        <v>0</v>
      </c>
      <c r="N126" s="14">
        <v>0</v>
      </c>
      <c r="O126" s="14">
        <v>0</v>
      </c>
      <c r="P126" s="14">
        <v>0</v>
      </c>
      <c r="Q126" s="15">
        <v>0</v>
      </c>
      <c r="R126" s="15">
        <v>0</v>
      </c>
      <c r="S126" s="15">
        <f>$G$126*$G$8+$H$126*$H$8+$I$126*$I$8+$J$126*$J$8+$K$126*$K$8+$L$126*$L$8+$M$126*$M$8+$N$126*$N$8+$O$126*$O$8+$P$126*$P$8</f>
        <v>0</v>
      </c>
      <c r="T126" s="15">
        <f>SUM($Q$126:$R$126)</f>
        <v>0</v>
      </c>
      <c r="U126" s="15">
        <f>$S$126+$T$126</f>
        <v>0</v>
      </c>
    </row>
    <row r="127" spans="1:21" x14ac:dyDescent="0.3">
      <c r="A127" s="10" t="s">
        <v>456</v>
      </c>
      <c r="B127" s="11" t="s">
        <v>457</v>
      </c>
      <c r="C127" s="11"/>
      <c r="D127" s="11" t="s">
        <v>458</v>
      </c>
      <c r="E127" s="11">
        <f xml:space="preserve"> IF($U$127,1,0)</f>
        <v>0</v>
      </c>
      <c r="F127" s="11" t="s">
        <v>459</v>
      </c>
      <c r="G127" s="11">
        <v>0</v>
      </c>
      <c r="H127" s="11">
        <v>0</v>
      </c>
      <c r="I127" s="11">
        <v>0</v>
      </c>
      <c r="J127" s="11">
        <v>0</v>
      </c>
      <c r="K127" s="11">
        <v>0</v>
      </c>
      <c r="L127" s="11">
        <v>0</v>
      </c>
      <c r="M127" s="11">
        <v>0</v>
      </c>
      <c r="N127" s="11">
        <v>0</v>
      </c>
      <c r="O127" s="11">
        <v>0</v>
      </c>
      <c r="P127" s="11">
        <v>0</v>
      </c>
      <c r="Q127" s="12">
        <v>0</v>
      </c>
      <c r="R127" s="12">
        <v>0</v>
      </c>
      <c r="S127" s="12">
        <f>$G$127*$G$8+$H$127*$H$8+$I$127*$I$8+$J$127*$J$8+$K$127*$K$8+$L$127*$L$8+$M$127*$M$8+$N$127*$N$8+$O$127*$O$8+$P$127*$P$8</f>
        <v>0</v>
      </c>
      <c r="T127" s="12">
        <f>SUM($Q$127:$R$127)</f>
        <v>0</v>
      </c>
      <c r="U127" s="12">
        <f>$S$127+$T$127</f>
        <v>0</v>
      </c>
    </row>
    <row r="128" spans="1:21" x14ac:dyDescent="0.3">
      <c r="A128" s="13" t="s">
        <v>460</v>
      </c>
      <c r="B128" s="14" t="s">
        <v>457</v>
      </c>
      <c r="C128" s="14"/>
      <c r="D128" s="14" t="s">
        <v>461</v>
      </c>
      <c r="E128" s="14">
        <f xml:space="preserve"> IF($U$128,1,0)</f>
        <v>0</v>
      </c>
      <c r="F128" s="14" t="s">
        <v>462</v>
      </c>
      <c r="G128" s="14">
        <v>0</v>
      </c>
      <c r="H128" s="14">
        <v>0</v>
      </c>
      <c r="I128" s="14">
        <v>0</v>
      </c>
      <c r="J128" s="14">
        <v>0</v>
      </c>
      <c r="K128" s="14">
        <v>0</v>
      </c>
      <c r="L128" s="14">
        <v>0</v>
      </c>
      <c r="M128" s="14">
        <v>0</v>
      </c>
      <c r="N128" s="14">
        <v>0</v>
      </c>
      <c r="O128" s="14">
        <v>0</v>
      </c>
      <c r="P128" s="14">
        <v>0</v>
      </c>
      <c r="Q128" s="15">
        <v>0</v>
      </c>
      <c r="R128" s="15">
        <v>0</v>
      </c>
      <c r="S128" s="15">
        <f>$G$128*$G$8+$H$128*$H$8+$I$128*$I$8+$J$128*$J$8+$K$128*$K$8+$L$128*$L$8+$M$128*$M$8+$N$128*$N$8+$O$128*$O$8+$P$128*$P$8</f>
        <v>0</v>
      </c>
      <c r="T128" s="15">
        <f>SUM($Q$128:$R$128)</f>
        <v>0</v>
      </c>
      <c r="U128" s="15">
        <f>$S$128+$T$128</f>
        <v>0</v>
      </c>
    </row>
    <row r="129" spans="1:21" x14ac:dyDescent="0.3">
      <c r="A129" s="10" t="s">
        <v>463</v>
      </c>
      <c r="B129" s="11" t="s">
        <v>457</v>
      </c>
      <c r="C129" s="11" t="s">
        <v>34</v>
      </c>
      <c r="D129" s="11" t="s">
        <v>464</v>
      </c>
      <c r="E129" s="11">
        <f xml:space="preserve"> IF($U$129,1,0)</f>
        <v>0</v>
      </c>
      <c r="F129" s="11" t="s">
        <v>465</v>
      </c>
      <c r="G129" s="11">
        <v>0</v>
      </c>
      <c r="H129" s="11">
        <v>0</v>
      </c>
      <c r="I129" s="11">
        <v>0</v>
      </c>
      <c r="J129" s="11">
        <v>0</v>
      </c>
      <c r="K129" s="11">
        <v>0</v>
      </c>
      <c r="L129" s="11">
        <v>0</v>
      </c>
      <c r="M129" s="11">
        <v>0</v>
      </c>
      <c r="N129" s="11">
        <v>0</v>
      </c>
      <c r="O129" s="11">
        <v>0</v>
      </c>
      <c r="P129" s="11">
        <v>0</v>
      </c>
      <c r="Q129" s="12">
        <v>0</v>
      </c>
      <c r="R129" s="12">
        <v>0</v>
      </c>
      <c r="S129" s="12">
        <f>$G$129*$G$8+$H$129*$H$8+$I$129*$I$8+$J$129*$J$8+$K$129*$K$8+$L$129*$L$8+$M$129*$M$8+$N$129*$N$8+$O$129*$O$8+$P$129*$P$8</f>
        <v>0</v>
      </c>
      <c r="T129" s="12">
        <f>SUM($Q$129:$R$129)</f>
        <v>0</v>
      </c>
      <c r="U129" s="12">
        <f>$S$129+$T$129</f>
        <v>0</v>
      </c>
    </row>
    <row r="130" spans="1:21" x14ac:dyDescent="0.3">
      <c r="A130" s="13" t="s">
        <v>466</v>
      </c>
      <c r="B130" s="14" t="s">
        <v>457</v>
      </c>
      <c r="C130" s="14"/>
      <c r="D130" s="14" t="s">
        <v>467</v>
      </c>
      <c r="E130" s="14">
        <f xml:space="preserve"> IF($U$130,1,0)</f>
        <v>0</v>
      </c>
      <c r="F130" s="14" t="s">
        <v>468</v>
      </c>
      <c r="G130" s="14">
        <v>0</v>
      </c>
      <c r="H130" s="14">
        <v>0</v>
      </c>
      <c r="I130" s="14">
        <v>0</v>
      </c>
      <c r="J130" s="14">
        <v>0</v>
      </c>
      <c r="K130" s="14">
        <v>0</v>
      </c>
      <c r="L130" s="14">
        <v>0</v>
      </c>
      <c r="M130" s="14">
        <v>0</v>
      </c>
      <c r="N130" s="14">
        <v>0</v>
      </c>
      <c r="O130" s="14">
        <v>0</v>
      </c>
      <c r="P130" s="14">
        <v>0</v>
      </c>
      <c r="Q130" s="15">
        <v>0</v>
      </c>
      <c r="R130" s="15">
        <v>0</v>
      </c>
      <c r="S130" s="15">
        <f>$G$130*$G$8+$H$130*$H$8+$I$130*$I$8+$J$130*$J$8+$K$130*$K$8+$L$130*$L$8+$M$130*$M$8+$N$130*$N$8+$O$130*$O$8+$P$130*$P$8</f>
        <v>0</v>
      </c>
      <c r="T130" s="15">
        <f>SUM($Q$130:$R$130)</f>
        <v>0</v>
      </c>
      <c r="U130" s="15">
        <f>$S$130+$T$130</f>
        <v>0</v>
      </c>
    </row>
    <row r="131" spans="1:21" x14ac:dyDescent="0.3">
      <c r="A131" s="10" t="s">
        <v>469</v>
      </c>
      <c r="B131" s="11" t="s">
        <v>470</v>
      </c>
      <c r="C131" s="11"/>
      <c r="D131" s="11" t="s">
        <v>471</v>
      </c>
      <c r="E131" s="11">
        <f xml:space="preserve"> IF($U$131,1,0)</f>
        <v>0</v>
      </c>
      <c r="F131" s="11" t="s">
        <v>472</v>
      </c>
      <c r="G131" s="11">
        <v>0</v>
      </c>
      <c r="H131" s="11">
        <v>0</v>
      </c>
      <c r="I131" s="11">
        <v>0</v>
      </c>
      <c r="J131" s="11">
        <v>0</v>
      </c>
      <c r="K131" s="11">
        <v>0</v>
      </c>
      <c r="L131" s="11">
        <v>0</v>
      </c>
      <c r="M131" s="11">
        <v>0</v>
      </c>
      <c r="N131" s="11">
        <v>0</v>
      </c>
      <c r="O131" s="11">
        <v>0</v>
      </c>
      <c r="P131" s="11">
        <v>0</v>
      </c>
      <c r="Q131" s="12">
        <v>0</v>
      </c>
      <c r="R131" s="12">
        <v>0</v>
      </c>
      <c r="S131" s="12">
        <f>$G$131*$G$8+$H$131*$H$8+$I$131*$I$8+$J$131*$J$8+$K$131*$K$8+$L$131*$L$8+$M$131*$M$8+$N$131*$N$8+$O$131*$O$8+$P$131*$P$8</f>
        <v>0</v>
      </c>
      <c r="T131" s="12">
        <f>SUM($Q$131:$R$131)</f>
        <v>0</v>
      </c>
      <c r="U131" s="12">
        <f>$S$131+$T$131</f>
        <v>0</v>
      </c>
    </row>
    <row r="132" spans="1:21" x14ac:dyDescent="0.3">
      <c r="A132" s="13" t="s">
        <v>473</v>
      </c>
      <c r="B132" s="14" t="s">
        <v>474</v>
      </c>
      <c r="C132" s="14"/>
      <c r="D132" s="14" t="s">
        <v>475</v>
      </c>
      <c r="E132" s="14">
        <f xml:space="preserve"> IF($U$132,1,0)</f>
        <v>0</v>
      </c>
      <c r="F132" s="14" t="s">
        <v>476</v>
      </c>
      <c r="G132" s="14">
        <v>0</v>
      </c>
      <c r="H132" s="14">
        <v>0</v>
      </c>
      <c r="I132" s="14">
        <v>0</v>
      </c>
      <c r="J132" s="14">
        <v>0</v>
      </c>
      <c r="K132" s="14">
        <v>0</v>
      </c>
      <c r="L132" s="14">
        <v>0</v>
      </c>
      <c r="M132" s="14">
        <v>0</v>
      </c>
      <c r="N132" s="14">
        <v>0</v>
      </c>
      <c r="O132" s="14">
        <v>0</v>
      </c>
      <c r="P132" s="14">
        <v>0</v>
      </c>
      <c r="Q132" s="15">
        <v>0</v>
      </c>
      <c r="R132" s="15">
        <v>0</v>
      </c>
      <c r="S132" s="15">
        <f>$G$132*$G$8+$H$132*$H$8+$I$132*$I$8+$J$132*$J$8+$K$132*$K$8+$L$132*$L$8+$M$132*$M$8+$N$132*$N$8+$O$132*$O$8+$P$132*$P$8</f>
        <v>0</v>
      </c>
      <c r="T132" s="15">
        <f>SUM($Q$132:$R$132)</f>
        <v>0</v>
      </c>
      <c r="U132" s="15">
        <f>$S$132+$T$132</f>
        <v>0</v>
      </c>
    </row>
    <row r="133" spans="1:21" x14ac:dyDescent="0.3">
      <c r="A133" s="10" t="s">
        <v>477</v>
      </c>
      <c r="B133" s="11" t="s">
        <v>478</v>
      </c>
      <c r="C133" s="11"/>
      <c r="D133" s="11" t="s">
        <v>479</v>
      </c>
      <c r="E133" s="11">
        <f xml:space="preserve"> IF($U$133,1,0)</f>
        <v>0</v>
      </c>
      <c r="F133" s="11" t="s">
        <v>480</v>
      </c>
      <c r="G133" s="11">
        <v>0</v>
      </c>
      <c r="H133" s="11">
        <v>0</v>
      </c>
      <c r="I133" s="11">
        <v>0</v>
      </c>
      <c r="J133" s="11">
        <v>0</v>
      </c>
      <c r="K133" s="11">
        <v>0</v>
      </c>
      <c r="L133" s="11">
        <v>0</v>
      </c>
      <c r="M133" s="11">
        <v>0</v>
      </c>
      <c r="N133" s="11">
        <v>0</v>
      </c>
      <c r="O133" s="11">
        <v>0</v>
      </c>
      <c r="P133" s="11">
        <v>0</v>
      </c>
      <c r="Q133" s="12">
        <v>0</v>
      </c>
      <c r="R133" s="12">
        <v>0</v>
      </c>
      <c r="S133" s="12">
        <f>$G$133*$G$8+$H$133*$H$8+$I$133*$I$8+$J$133*$J$8+$K$133*$K$8+$L$133*$L$8+$M$133*$M$8+$N$133*$N$8+$O$133*$O$8+$P$133*$P$8</f>
        <v>0</v>
      </c>
      <c r="T133" s="12">
        <f>SUM($Q$133:$R$133)</f>
        <v>0</v>
      </c>
      <c r="U133" s="12">
        <f>$S$133+$T$133</f>
        <v>0</v>
      </c>
    </row>
    <row r="134" spans="1:21" x14ac:dyDescent="0.3">
      <c r="A134" s="13" t="s">
        <v>481</v>
      </c>
      <c r="B134" s="14" t="s">
        <v>482</v>
      </c>
      <c r="C134" s="14"/>
      <c r="D134" s="14" t="s">
        <v>483</v>
      </c>
      <c r="E134" s="14">
        <f xml:space="preserve"> IF($U$134,1,0)</f>
        <v>1</v>
      </c>
      <c r="F134" s="14" t="s">
        <v>484</v>
      </c>
      <c r="G134" s="14">
        <v>1</v>
      </c>
      <c r="H134" s="14">
        <v>1</v>
      </c>
      <c r="I134" s="14">
        <v>1</v>
      </c>
      <c r="J134" s="14">
        <v>1</v>
      </c>
      <c r="K134" s="14">
        <v>1</v>
      </c>
      <c r="L134" s="14">
        <v>1</v>
      </c>
      <c r="M134" s="14">
        <v>0</v>
      </c>
      <c r="N134" s="14">
        <v>1</v>
      </c>
      <c r="O134" s="14">
        <v>1</v>
      </c>
      <c r="P134" s="14">
        <v>0</v>
      </c>
      <c r="Q134" s="15">
        <v>0</v>
      </c>
      <c r="R134" s="15">
        <v>0</v>
      </c>
      <c r="S134" s="15">
        <f>$G$134*$G$8+$H$134*$H$8+$I$134*$I$8+$J$134*$J$8+$K$134*$K$8+$L$134*$L$8+$M$134*$M$8+$N$134*$N$8+$O$134*$O$8+$P$134*$P$8</f>
        <v>19.149999999999999</v>
      </c>
      <c r="T134" s="15">
        <f>SUM($Q$134:$R$134)</f>
        <v>0</v>
      </c>
      <c r="U134" s="15">
        <f>$S$134+$T$134</f>
        <v>19.149999999999999</v>
      </c>
    </row>
    <row r="135" spans="1:21" x14ac:dyDescent="0.3">
      <c r="A135" s="10" t="s">
        <v>485</v>
      </c>
      <c r="B135" s="11" t="s">
        <v>486</v>
      </c>
      <c r="C135" s="11"/>
      <c r="D135" s="11" t="s">
        <v>487</v>
      </c>
      <c r="E135" s="11">
        <f xml:space="preserve"> IF($U$135,1,0)</f>
        <v>0</v>
      </c>
      <c r="F135" s="11" t="s">
        <v>488</v>
      </c>
      <c r="G135" s="11">
        <v>0</v>
      </c>
      <c r="H135" s="11">
        <v>0</v>
      </c>
      <c r="I135" s="11">
        <v>0</v>
      </c>
      <c r="J135" s="11">
        <v>0</v>
      </c>
      <c r="K135" s="11">
        <v>0</v>
      </c>
      <c r="L135" s="11">
        <v>0</v>
      </c>
      <c r="M135" s="11">
        <v>0</v>
      </c>
      <c r="N135" s="11">
        <v>0</v>
      </c>
      <c r="O135" s="11">
        <v>0</v>
      </c>
      <c r="P135" s="11">
        <v>0</v>
      </c>
      <c r="Q135" s="12">
        <v>0</v>
      </c>
      <c r="R135" s="12">
        <v>0</v>
      </c>
      <c r="S135" s="12">
        <f>$G$135*$G$8+$H$135*$H$8+$I$135*$I$8+$J$135*$J$8+$K$135*$K$8+$L$135*$L$8+$M$135*$M$8+$N$135*$N$8+$O$135*$O$8+$P$135*$P$8</f>
        <v>0</v>
      </c>
      <c r="T135" s="12">
        <f>SUM($Q$135:$R$135)</f>
        <v>0</v>
      </c>
      <c r="U135" s="12">
        <f>$S$135+$T$135</f>
        <v>0</v>
      </c>
    </row>
    <row r="136" spans="1:21" x14ac:dyDescent="0.3">
      <c r="A136" s="13" t="s">
        <v>489</v>
      </c>
      <c r="B136" s="14" t="s">
        <v>490</v>
      </c>
      <c r="C136" s="14"/>
      <c r="D136" s="14" t="s">
        <v>491</v>
      </c>
      <c r="E136" s="14">
        <f xml:space="preserve"> IF($U$136,1,0)</f>
        <v>0</v>
      </c>
      <c r="F136" s="14" t="s">
        <v>492</v>
      </c>
      <c r="G136" s="14">
        <v>0</v>
      </c>
      <c r="H136" s="14">
        <v>0</v>
      </c>
      <c r="I136" s="14">
        <v>0</v>
      </c>
      <c r="J136" s="14">
        <v>0</v>
      </c>
      <c r="K136" s="14">
        <v>0</v>
      </c>
      <c r="L136" s="14">
        <v>0</v>
      </c>
      <c r="M136" s="14">
        <v>0</v>
      </c>
      <c r="N136" s="14">
        <v>0</v>
      </c>
      <c r="O136" s="14">
        <v>0</v>
      </c>
      <c r="P136" s="14">
        <v>0</v>
      </c>
      <c r="Q136" s="15">
        <v>0</v>
      </c>
      <c r="R136" s="15">
        <v>0</v>
      </c>
      <c r="S136" s="15">
        <f>$G$136*$G$8+$H$136*$H$8+$I$136*$I$8+$J$136*$J$8+$K$136*$K$8+$L$136*$L$8+$M$136*$M$8+$N$136*$N$8+$O$136*$O$8+$P$136*$P$8</f>
        <v>0</v>
      </c>
      <c r="T136" s="15">
        <f>SUM($Q$136:$R$136)</f>
        <v>0</v>
      </c>
      <c r="U136" s="15">
        <f>$S$136+$T$136</f>
        <v>0</v>
      </c>
    </row>
    <row r="137" spans="1:21" x14ac:dyDescent="0.3">
      <c r="A137" s="10" t="s">
        <v>493</v>
      </c>
      <c r="B137" s="11" t="s">
        <v>494</v>
      </c>
      <c r="C137" s="11" t="s">
        <v>34</v>
      </c>
      <c r="D137" s="11" t="s">
        <v>495</v>
      </c>
      <c r="E137" s="11">
        <f xml:space="preserve"> IF($U$137,1,0)</f>
        <v>0</v>
      </c>
      <c r="F137" s="11" t="s">
        <v>496</v>
      </c>
      <c r="G137" s="11">
        <v>0</v>
      </c>
      <c r="H137" s="11">
        <v>0</v>
      </c>
      <c r="I137" s="11">
        <v>0</v>
      </c>
      <c r="J137" s="11">
        <v>0</v>
      </c>
      <c r="K137" s="11">
        <v>0</v>
      </c>
      <c r="L137" s="11">
        <v>0</v>
      </c>
      <c r="M137" s="11">
        <v>0</v>
      </c>
      <c r="N137" s="11">
        <v>0</v>
      </c>
      <c r="O137" s="11">
        <v>0</v>
      </c>
      <c r="P137" s="11">
        <v>0</v>
      </c>
      <c r="Q137" s="12">
        <v>0</v>
      </c>
      <c r="R137" s="12">
        <v>0</v>
      </c>
      <c r="S137" s="12">
        <f>$G$137*$G$8+$H$137*$H$8+$I$137*$I$8+$J$137*$J$8+$K$137*$K$8+$L$137*$L$8+$M$137*$M$8+$N$137*$N$8+$O$137*$O$8+$P$137*$P$8</f>
        <v>0</v>
      </c>
      <c r="T137" s="12">
        <f>SUM($Q$137:$R$137)</f>
        <v>0</v>
      </c>
      <c r="U137" s="12">
        <f>$S$137+$T$137</f>
        <v>0</v>
      </c>
    </row>
    <row r="138" spans="1:21" x14ac:dyDescent="0.3">
      <c r="A138" s="13" t="s">
        <v>497</v>
      </c>
      <c r="B138" s="14" t="s">
        <v>498</v>
      </c>
      <c r="C138" s="14"/>
      <c r="D138" s="14" t="s">
        <v>499</v>
      </c>
      <c r="E138" s="14">
        <f xml:space="preserve"> IF($U$138,1,0)</f>
        <v>0</v>
      </c>
      <c r="F138" s="14" t="s">
        <v>500</v>
      </c>
      <c r="G138" s="14">
        <v>0</v>
      </c>
      <c r="H138" s="14">
        <v>0</v>
      </c>
      <c r="I138" s="14">
        <v>0</v>
      </c>
      <c r="J138" s="14">
        <v>0</v>
      </c>
      <c r="K138" s="14">
        <v>0</v>
      </c>
      <c r="L138" s="14">
        <v>0</v>
      </c>
      <c r="M138" s="14">
        <v>0</v>
      </c>
      <c r="N138" s="14">
        <v>0</v>
      </c>
      <c r="O138" s="14">
        <v>0</v>
      </c>
      <c r="P138" s="14">
        <v>0</v>
      </c>
      <c r="Q138" s="15">
        <v>0</v>
      </c>
      <c r="R138" s="15">
        <v>0</v>
      </c>
      <c r="S138" s="15">
        <f>$G$138*$G$8+$H$138*$H$8+$I$138*$I$8+$J$138*$J$8+$K$138*$K$8+$L$138*$L$8+$M$138*$M$8+$N$138*$N$8+$O$138*$O$8+$P$138*$P$8</f>
        <v>0</v>
      </c>
      <c r="T138" s="15">
        <f>SUM($Q$138:$R$138)</f>
        <v>0</v>
      </c>
      <c r="U138" s="15">
        <f>$S$138+$T$138</f>
        <v>0</v>
      </c>
    </row>
    <row r="139" spans="1:21" x14ac:dyDescent="0.3">
      <c r="A139" s="10" t="s">
        <v>501</v>
      </c>
      <c r="B139" s="11" t="s">
        <v>502</v>
      </c>
      <c r="C139" s="11" t="s">
        <v>34</v>
      </c>
      <c r="D139" s="11" t="s">
        <v>503</v>
      </c>
      <c r="E139" s="11">
        <f xml:space="preserve"> IF($U$139,1,0)</f>
        <v>0</v>
      </c>
      <c r="F139" s="11" t="s">
        <v>504</v>
      </c>
      <c r="G139" s="11">
        <v>0</v>
      </c>
      <c r="H139" s="11">
        <v>0</v>
      </c>
      <c r="I139" s="11">
        <v>0</v>
      </c>
      <c r="J139" s="11">
        <v>0</v>
      </c>
      <c r="K139" s="11">
        <v>0</v>
      </c>
      <c r="L139" s="11">
        <v>0</v>
      </c>
      <c r="M139" s="11">
        <v>0</v>
      </c>
      <c r="N139" s="11">
        <v>0</v>
      </c>
      <c r="O139" s="11">
        <v>0</v>
      </c>
      <c r="P139" s="11">
        <v>0</v>
      </c>
      <c r="Q139" s="12">
        <v>0</v>
      </c>
      <c r="R139" s="12">
        <v>0</v>
      </c>
      <c r="S139" s="12">
        <f>$G$139*$G$8+$H$139*$H$8+$I$139*$I$8+$J$139*$J$8+$K$139*$K$8+$L$139*$L$8+$M$139*$M$8+$N$139*$N$8+$O$139*$O$8+$P$139*$P$8</f>
        <v>0</v>
      </c>
      <c r="T139" s="12">
        <f>SUM($Q$139:$R$139)</f>
        <v>0</v>
      </c>
      <c r="U139" s="12">
        <f>$S$139+$T$139</f>
        <v>0</v>
      </c>
    </row>
    <row r="140" spans="1:21" x14ac:dyDescent="0.3">
      <c r="A140" s="13" t="s">
        <v>505</v>
      </c>
      <c r="B140" s="14" t="s">
        <v>502</v>
      </c>
      <c r="C140" s="14"/>
      <c r="D140" s="14" t="s">
        <v>232</v>
      </c>
      <c r="E140" s="14">
        <f xml:space="preserve"> IF($U$140,1,0)</f>
        <v>0</v>
      </c>
      <c r="F140" s="14" t="s">
        <v>506</v>
      </c>
      <c r="G140" s="14">
        <v>0</v>
      </c>
      <c r="H140" s="14">
        <v>0</v>
      </c>
      <c r="I140" s="14">
        <v>0</v>
      </c>
      <c r="J140" s="14">
        <v>0</v>
      </c>
      <c r="K140" s="14">
        <v>0</v>
      </c>
      <c r="L140" s="14">
        <v>0</v>
      </c>
      <c r="M140" s="14">
        <v>0</v>
      </c>
      <c r="N140" s="14">
        <v>0</v>
      </c>
      <c r="O140" s="14">
        <v>0</v>
      </c>
      <c r="P140" s="14">
        <v>0</v>
      </c>
      <c r="Q140" s="15">
        <v>0</v>
      </c>
      <c r="R140" s="15">
        <v>0</v>
      </c>
      <c r="S140" s="15">
        <f>$G$140*$G$8+$H$140*$H$8+$I$140*$I$8+$J$140*$J$8+$K$140*$K$8+$L$140*$L$8+$M$140*$M$8+$N$140*$N$8+$O$140*$O$8+$P$140*$P$8</f>
        <v>0</v>
      </c>
      <c r="T140" s="15">
        <f>SUM($Q$140:$R$140)</f>
        <v>0</v>
      </c>
      <c r="U140" s="15">
        <f>$S$140+$T$140</f>
        <v>0</v>
      </c>
    </row>
    <row r="141" spans="1:21" x14ac:dyDescent="0.3">
      <c r="A141" s="10" t="s">
        <v>507</v>
      </c>
      <c r="B141" s="11" t="s">
        <v>508</v>
      </c>
      <c r="C141" s="11" t="s">
        <v>65</v>
      </c>
      <c r="D141" s="11" t="s">
        <v>509</v>
      </c>
      <c r="E141" s="11">
        <f xml:space="preserve"> IF($U$141,1,0)</f>
        <v>0</v>
      </c>
      <c r="F141" s="11" t="s">
        <v>510</v>
      </c>
      <c r="G141" s="11">
        <v>0</v>
      </c>
      <c r="H141" s="11">
        <v>0</v>
      </c>
      <c r="I141" s="11">
        <v>0</v>
      </c>
      <c r="J141" s="11">
        <v>0</v>
      </c>
      <c r="K141" s="11">
        <v>0</v>
      </c>
      <c r="L141" s="11">
        <v>0</v>
      </c>
      <c r="M141" s="11">
        <v>0</v>
      </c>
      <c r="N141" s="11">
        <v>0</v>
      </c>
      <c r="O141" s="11">
        <v>0</v>
      </c>
      <c r="P141" s="11">
        <v>0</v>
      </c>
      <c r="Q141" s="12">
        <v>0</v>
      </c>
      <c r="R141" s="12">
        <v>0</v>
      </c>
      <c r="S141" s="12">
        <f>$G$141*$G$8+$H$141*$H$8+$I$141*$I$8+$J$141*$J$8+$K$141*$K$8+$L$141*$L$8+$M$141*$M$8+$N$141*$N$8+$O$141*$O$8+$P$141*$P$8</f>
        <v>0</v>
      </c>
      <c r="T141" s="12">
        <f>SUM($Q$141:$R$141)</f>
        <v>0</v>
      </c>
      <c r="U141" s="12">
        <f>$S$141+$T$141</f>
        <v>0</v>
      </c>
    </row>
    <row r="142" spans="1:21" x14ac:dyDescent="0.3">
      <c r="A142" s="13" t="s">
        <v>511</v>
      </c>
      <c r="B142" s="14" t="s">
        <v>512</v>
      </c>
      <c r="C142" s="14" t="s">
        <v>513</v>
      </c>
      <c r="D142" s="14" t="s">
        <v>514</v>
      </c>
      <c r="E142" s="14">
        <f xml:space="preserve"> IF($U$142,1,0)</f>
        <v>0</v>
      </c>
      <c r="F142" s="14" t="s">
        <v>515</v>
      </c>
      <c r="G142" s="14">
        <v>0</v>
      </c>
      <c r="H142" s="14">
        <v>0</v>
      </c>
      <c r="I142" s="14">
        <v>0</v>
      </c>
      <c r="J142" s="14">
        <v>0</v>
      </c>
      <c r="K142" s="14">
        <v>0</v>
      </c>
      <c r="L142" s="14">
        <v>0</v>
      </c>
      <c r="M142" s="14">
        <v>0</v>
      </c>
      <c r="N142" s="14">
        <v>0</v>
      </c>
      <c r="O142" s="14">
        <v>0</v>
      </c>
      <c r="P142" s="14">
        <v>0</v>
      </c>
      <c r="Q142" s="15">
        <v>0</v>
      </c>
      <c r="R142" s="15">
        <v>0</v>
      </c>
      <c r="S142" s="15">
        <f>$G$142*$G$8+$H$142*$H$8+$I$142*$I$8+$J$142*$J$8+$K$142*$K$8+$L$142*$L$8+$M$142*$M$8+$N$142*$N$8+$O$142*$O$8+$P$142*$P$8</f>
        <v>0</v>
      </c>
      <c r="T142" s="15">
        <f>SUM($Q$142:$R$142)</f>
        <v>0</v>
      </c>
      <c r="U142" s="15">
        <f>$S$142+$T$142</f>
        <v>0</v>
      </c>
    </row>
    <row r="143" spans="1:21" x14ac:dyDescent="0.3">
      <c r="A143" s="10" t="s">
        <v>516</v>
      </c>
      <c r="B143" s="11" t="s">
        <v>517</v>
      </c>
      <c r="C143" s="11" t="s">
        <v>65</v>
      </c>
      <c r="D143" s="11" t="s">
        <v>518</v>
      </c>
      <c r="E143" s="11">
        <f xml:space="preserve"> IF($U$143,1,0)</f>
        <v>0</v>
      </c>
      <c r="F143" s="11" t="s">
        <v>519</v>
      </c>
      <c r="G143" s="11">
        <v>0</v>
      </c>
      <c r="H143" s="11">
        <v>0</v>
      </c>
      <c r="I143" s="11">
        <v>0</v>
      </c>
      <c r="J143" s="11">
        <v>0</v>
      </c>
      <c r="K143" s="11">
        <v>0</v>
      </c>
      <c r="L143" s="11">
        <v>0</v>
      </c>
      <c r="M143" s="11">
        <v>0</v>
      </c>
      <c r="N143" s="11">
        <v>0</v>
      </c>
      <c r="O143" s="11">
        <v>0</v>
      </c>
      <c r="P143" s="11">
        <v>0</v>
      </c>
      <c r="Q143" s="12">
        <v>0</v>
      </c>
      <c r="R143" s="12">
        <v>0</v>
      </c>
      <c r="S143" s="12">
        <f>$G$143*$G$8+$H$143*$H$8+$I$143*$I$8+$J$143*$J$8+$K$143*$K$8+$L$143*$L$8+$M$143*$M$8+$N$143*$N$8+$O$143*$O$8+$P$143*$P$8</f>
        <v>0</v>
      </c>
      <c r="T143" s="12">
        <f>SUM($Q$143:$R$143)</f>
        <v>0</v>
      </c>
      <c r="U143" s="12">
        <f>$S$143+$T$143</f>
        <v>0</v>
      </c>
    </row>
    <row r="144" spans="1:21" x14ac:dyDescent="0.3">
      <c r="A144" s="13" t="s">
        <v>520</v>
      </c>
      <c r="B144" s="14" t="s">
        <v>517</v>
      </c>
      <c r="C144" s="14"/>
      <c r="D144" s="14" t="s">
        <v>521</v>
      </c>
      <c r="E144" s="14">
        <f xml:space="preserve"> IF($U$144,1,0)</f>
        <v>0</v>
      </c>
      <c r="F144" s="14" t="s">
        <v>522</v>
      </c>
      <c r="G144" s="14">
        <v>0</v>
      </c>
      <c r="H144" s="14">
        <v>0</v>
      </c>
      <c r="I144" s="14">
        <v>0</v>
      </c>
      <c r="J144" s="14">
        <v>0</v>
      </c>
      <c r="K144" s="14">
        <v>0</v>
      </c>
      <c r="L144" s="14">
        <v>0</v>
      </c>
      <c r="M144" s="14">
        <v>0</v>
      </c>
      <c r="N144" s="14">
        <v>0</v>
      </c>
      <c r="O144" s="14">
        <v>0</v>
      </c>
      <c r="P144" s="14">
        <v>0</v>
      </c>
      <c r="Q144" s="15">
        <v>0</v>
      </c>
      <c r="R144" s="15">
        <v>0</v>
      </c>
      <c r="S144" s="15">
        <f>$G$144*$G$8+$H$144*$H$8+$I$144*$I$8+$J$144*$J$8+$K$144*$K$8+$L$144*$L$8+$M$144*$M$8+$N$144*$N$8+$O$144*$O$8+$P$144*$P$8</f>
        <v>0</v>
      </c>
      <c r="T144" s="15">
        <f>SUM($Q$144:$R$144)</f>
        <v>0</v>
      </c>
      <c r="U144" s="15">
        <f>$S$144+$T$144</f>
        <v>0</v>
      </c>
    </row>
    <row r="145" spans="1:21" x14ac:dyDescent="0.3">
      <c r="A145" s="10" t="s">
        <v>523</v>
      </c>
      <c r="B145" s="11" t="s">
        <v>524</v>
      </c>
      <c r="C145" s="11" t="s">
        <v>65</v>
      </c>
      <c r="D145" s="11" t="s">
        <v>327</v>
      </c>
      <c r="E145" s="11">
        <f xml:space="preserve"> IF($U$145,1,0)</f>
        <v>0</v>
      </c>
      <c r="F145" s="11" t="s">
        <v>525</v>
      </c>
      <c r="G145" s="11">
        <v>0</v>
      </c>
      <c r="H145" s="11">
        <v>0</v>
      </c>
      <c r="I145" s="11">
        <v>0</v>
      </c>
      <c r="J145" s="11">
        <v>0</v>
      </c>
      <c r="K145" s="11">
        <v>0</v>
      </c>
      <c r="L145" s="11">
        <v>0</v>
      </c>
      <c r="M145" s="11">
        <v>0</v>
      </c>
      <c r="N145" s="11">
        <v>0</v>
      </c>
      <c r="O145" s="11">
        <v>0</v>
      </c>
      <c r="P145" s="11">
        <v>0</v>
      </c>
      <c r="Q145" s="12">
        <v>0</v>
      </c>
      <c r="R145" s="12">
        <v>0</v>
      </c>
      <c r="S145" s="12">
        <f>$G$145*$G$8+$H$145*$H$8+$I$145*$I$8+$J$145*$J$8+$K$145*$K$8+$L$145*$L$8+$M$145*$M$8+$N$145*$N$8+$O$145*$O$8+$P$145*$P$8</f>
        <v>0</v>
      </c>
      <c r="T145" s="12">
        <f>SUM($Q$145:$R$145)</f>
        <v>0</v>
      </c>
      <c r="U145" s="12">
        <f>$S$145+$T$145</f>
        <v>0</v>
      </c>
    </row>
    <row r="146" spans="1:21" x14ac:dyDescent="0.3">
      <c r="A146" s="13" t="s">
        <v>526</v>
      </c>
      <c r="B146" s="14" t="s">
        <v>527</v>
      </c>
      <c r="C146" s="14"/>
      <c r="D146" s="14" t="s">
        <v>528</v>
      </c>
      <c r="E146" s="14">
        <f xml:space="preserve"> IF($U$146,1,0)</f>
        <v>0</v>
      </c>
      <c r="F146" s="14" t="s">
        <v>529</v>
      </c>
      <c r="G146" s="14">
        <v>0</v>
      </c>
      <c r="H146" s="14">
        <v>0</v>
      </c>
      <c r="I146" s="14">
        <v>0</v>
      </c>
      <c r="J146" s="14">
        <v>0</v>
      </c>
      <c r="K146" s="14">
        <v>0</v>
      </c>
      <c r="L146" s="14">
        <v>0</v>
      </c>
      <c r="M146" s="14">
        <v>0</v>
      </c>
      <c r="N146" s="14">
        <v>0</v>
      </c>
      <c r="O146" s="14">
        <v>0</v>
      </c>
      <c r="P146" s="14">
        <v>0</v>
      </c>
      <c r="Q146" s="15">
        <v>0</v>
      </c>
      <c r="R146" s="15">
        <v>0</v>
      </c>
      <c r="S146" s="15">
        <f>$G$146*$G$8+$H$146*$H$8+$I$146*$I$8+$J$146*$J$8+$K$146*$K$8+$L$146*$L$8+$M$146*$M$8+$N$146*$N$8+$O$146*$O$8+$P$146*$P$8</f>
        <v>0</v>
      </c>
      <c r="T146" s="15">
        <f>SUM($Q$146:$R$146)</f>
        <v>0</v>
      </c>
      <c r="U146" s="15">
        <f>$S$146+$T$146</f>
        <v>0</v>
      </c>
    </row>
    <row r="147" spans="1:21" x14ac:dyDescent="0.3">
      <c r="A147" s="10" t="s">
        <v>530</v>
      </c>
      <c r="B147" s="11" t="s">
        <v>531</v>
      </c>
      <c r="C147" s="11"/>
      <c r="D147" s="11" t="s">
        <v>532</v>
      </c>
      <c r="E147" s="11">
        <f xml:space="preserve"> IF($U$147,1,0)</f>
        <v>0</v>
      </c>
      <c r="F147" s="11" t="s">
        <v>533</v>
      </c>
      <c r="G147" s="11">
        <v>0</v>
      </c>
      <c r="H147" s="11">
        <v>0</v>
      </c>
      <c r="I147" s="11">
        <v>0</v>
      </c>
      <c r="J147" s="11">
        <v>0</v>
      </c>
      <c r="K147" s="11">
        <v>0</v>
      </c>
      <c r="L147" s="11">
        <v>0</v>
      </c>
      <c r="M147" s="11">
        <v>0</v>
      </c>
      <c r="N147" s="11">
        <v>0</v>
      </c>
      <c r="O147" s="11">
        <v>0</v>
      </c>
      <c r="P147" s="11">
        <v>0</v>
      </c>
      <c r="Q147" s="12">
        <v>0</v>
      </c>
      <c r="R147" s="12">
        <v>0</v>
      </c>
      <c r="S147" s="12">
        <f>$G$147*$G$8+$H$147*$H$8+$I$147*$I$8+$J$147*$J$8+$K$147*$K$8+$L$147*$L$8+$M$147*$M$8+$N$147*$N$8+$O$147*$O$8+$P$147*$P$8</f>
        <v>0</v>
      </c>
      <c r="T147" s="12">
        <f>SUM($Q$147:$R$147)</f>
        <v>0</v>
      </c>
      <c r="U147" s="12">
        <f>$S$147+$T$147</f>
        <v>0</v>
      </c>
    </row>
    <row r="148" spans="1:21" x14ac:dyDescent="0.3">
      <c r="A148" s="13" t="s">
        <v>534</v>
      </c>
      <c r="B148" s="14" t="s">
        <v>535</v>
      </c>
      <c r="C148" s="14"/>
      <c r="D148" s="14" t="s">
        <v>536</v>
      </c>
      <c r="E148" s="14">
        <f xml:space="preserve"> IF($U$148,1,0)</f>
        <v>0</v>
      </c>
      <c r="F148" s="14" t="s">
        <v>537</v>
      </c>
      <c r="G148" s="14">
        <v>0</v>
      </c>
      <c r="H148" s="14">
        <v>0</v>
      </c>
      <c r="I148" s="14">
        <v>0</v>
      </c>
      <c r="J148" s="14">
        <v>0</v>
      </c>
      <c r="K148" s="14">
        <v>0</v>
      </c>
      <c r="L148" s="14">
        <v>0</v>
      </c>
      <c r="M148" s="14">
        <v>0</v>
      </c>
      <c r="N148" s="14">
        <v>0</v>
      </c>
      <c r="O148" s="14">
        <v>0</v>
      </c>
      <c r="P148" s="14">
        <v>0</v>
      </c>
      <c r="Q148" s="15">
        <v>0</v>
      </c>
      <c r="R148" s="15">
        <v>0</v>
      </c>
      <c r="S148" s="15">
        <f>$G$148*$G$8+$H$148*$H$8+$I$148*$I$8+$J$148*$J$8+$K$148*$K$8+$L$148*$L$8+$M$148*$M$8+$N$148*$N$8+$O$148*$O$8+$P$148*$P$8</f>
        <v>0</v>
      </c>
      <c r="T148" s="15">
        <f>SUM($Q$148:$R$148)</f>
        <v>0</v>
      </c>
      <c r="U148" s="15">
        <f>$S$148+$T$148</f>
        <v>0</v>
      </c>
    </row>
    <row r="149" spans="1:21" x14ac:dyDescent="0.3">
      <c r="A149" s="10" t="s">
        <v>538</v>
      </c>
      <c r="B149" s="11" t="s">
        <v>535</v>
      </c>
      <c r="C149" s="11"/>
      <c r="D149" s="11" t="s">
        <v>539</v>
      </c>
      <c r="E149" s="11">
        <f xml:space="preserve"> IF($U$149,1,0)</f>
        <v>0</v>
      </c>
      <c r="F149" s="11" t="s">
        <v>540</v>
      </c>
      <c r="G149" s="11">
        <v>0</v>
      </c>
      <c r="H149" s="11">
        <v>0</v>
      </c>
      <c r="I149" s="11">
        <v>0</v>
      </c>
      <c r="J149" s="11">
        <v>0</v>
      </c>
      <c r="K149" s="11">
        <v>0</v>
      </c>
      <c r="L149" s="11">
        <v>0</v>
      </c>
      <c r="M149" s="11">
        <v>0</v>
      </c>
      <c r="N149" s="11">
        <v>0</v>
      </c>
      <c r="O149" s="11">
        <v>0</v>
      </c>
      <c r="P149" s="11">
        <v>0</v>
      </c>
      <c r="Q149" s="12">
        <v>0</v>
      </c>
      <c r="R149" s="12">
        <v>0</v>
      </c>
      <c r="S149" s="12">
        <f>$G$149*$G$8+$H$149*$H$8+$I$149*$I$8+$J$149*$J$8+$K$149*$K$8+$L$149*$L$8+$M$149*$M$8+$N$149*$N$8+$O$149*$O$8+$P$149*$P$8</f>
        <v>0</v>
      </c>
      <c r="T149" s="12">
        <f>SUM($Q$149:$R$149)</f>
        <v>0</v>
      </c>
      <c r="U149" s="12">
        <f>$S$149+$T$149</f>
        <v>0</v>
      </c>
    </row>
    <row r="150" spans="1:21" x14ac:dyDescent="0.3">
      <c r="A150" s="13" t="s">
        <v>541</v>
      </c>
      <c r="B150" s="14" t="s">
        <v>542</v>
      </c>
      <c r="C150" s="14"/>
      <c r="D150" s="14" t="s">
        <v>543</v>
      </c>
      <c r="E150" s="14">
        <f xml:space="preserve"> IF($U$150,1,0)</f>
        <v>0</v>
      </c>
      <c r="F150" s="14" t="s">
        <v>544</v>
      </c>
      <c r="G150" s="14">
        <v>0</v>
      </c>
      <c r="H150" s="14">
        <v>0</v>
      </c>
      <c r="I150" s="14">
        <v>0</v>
      </c>
      <c r="J150" s="14">
        <v>0</v>
      </c>
      <c r="K150" s="14">
        <v>0</v>
      </c>
      <c r="L150" s="14">
        <v>0</v>
      </c>
      <c r="M150" s="14">
        <v>0</v>
      </c>
      <c r="N150" s="14">
        <v>0</v>
      </c>
      <c r="O150" s="14">
        <v>0</v>
      </c>
      <c r="P150" s="14">
        <v>0</v>
      </c>
      <c r="Q150" s="15">
        <v>0</v>
      </c>
      <c r="R150" s="15">
        <v>0</v>
      </c>
      <c r="S150" s="15">
        <f>$G$150*$G$8+$H$150*$H$8+$I$150*$I$8+$J$150*$J$8+$K$150*$K$8+$L$150*$L$8+$M$150*$M$8+$N$150*$N$8+$O$150*$O$8+$P$150*$P$8</f>
        <v>0</v>
      </c>
      <c r="T150" s="15">
        <f>SUM($Q$150:$R$150)</f>
        <v>0</v>
      </c>
      <c r="U150" s="15">
        <f>$S$150+$T$150</f>
        <v>0</v>
      </c>
    </row>
    <row r="151" spans="1:21" x14ac:dyDescent="0.3">
      <c r="A151" s="10" t="s">
        <v>545</v>
      </c>
      <c r="B151" s="11" t="s">
        <v>546</v>
      </c>
      <c r="C151" s="11"/>
      <c r="D151" s="11" t="s">
        <v>547</v>
      </c>
      <c r="E151" s="11">
        <f xml:space="preserve"> IF($U$151,1,0)</f>
        <v>0</v>
      </c>
      <c r="F151" s="11" t="s">
        <v>548</v>
      </c>
      <c r="G151" s="11">
        <v>0</v>
      </c>
      <c r="H151" s="11">
        <v>0</v>
      </c>
      <c r="I151" s="11">
        <v>0</v>
      </c>
      <c r="J151" s="11">
        <v>0</v>
      </c>
      <c r="K151" s="11">
        <v>0</v>
      </c>
      <c r="L151" s="11">
        <v>0</v>
      </c>
      <c r="M151" s="11">
        <v>0</v>
      </c>
      <c r="N151" s="11">
        <v>0</v>
      </c>
      <c r="O151" s="11">
        <v>0</v>
      </c>
      <c r="P151" s="11">
        <v>0</v>
      </c>
      <c r="Q151" s="12">
        <v>0</v>
      </c>
      <c r="R151" s="12">
        <v>0</v>
      </c>
      <c r="S151" s="12">
        <f>$G$151*$G$8+$H$151*$H$8+$I$151*$I$8+$J$151*$J$8+$K$151*$K$8+$L$151*$L$8+$M$151*$M$8+$N$151*$N$8+$O$151*$O$8+$P$151*$P$8</f>
        <v>0</v>
      </c>
      <c r="T151" s="12">
        <f>SUM($Q$151:$R$151)</f>
        <v>0</v>
      </c>
      <c r="U151" s="12">
        <f>$S$151+$T$151</f>
        <v>0</v>
      </c>
    </row>
    <row r="152" spans="1:21" x14ac:dyDescent="0.3">
      <c r="A152" s="13" t="s">
        <v>549</v>
      </c>
      <c r="B152" s="14" t="s">
        <v>550</v>
      </c>
      <c r="C152" s="14" t="s">
        <v>34</v>
      </c>
      <c r="D152" s="14" t="s">
        <v>551</v>
      </c>
      <c r="E152" s="14">
        <f xml:space="preserve"> IF($U$152,1,0)</f>
        <v>0</v>
      </c>
      <c r="F152" s="14" t="s">
        <v>552</v>
      </c>
      <c r="G152" s="14">
        <v>0</v>
      </c>
      <c r="H152" s="14">
        <v>0</v>
      </c>
      <c r="I152" s="14">
        <v>0</v>
      </c>
      <c r="J152" s="14">
        <v>0</v>
      </c>
      <c r="K152" s="14">
        <v>0</v>
      </c>
      <c r="L152" s="14">
        <v>0</v>
      </c>
      <c r="M152" s="14">
        <v>0</v>
      </c>
      <c r="N152" s="14">
        <v>0</v>
      </c>
      <c r="O152" s="14">
        <v>0</v>
      </c>
      <c r="P152" s="14">
        <v>0</v>
      </c>
      <c r="Q152" s="15">
        <v>0</v>
      </c>
      <c r="R152" s="15">
        <v>0</v>
      </c>
      <c r="S152" s="15">
        <f>$G$152*$G$8+$H$152*$H$8+$I$152*$I$8+$J$152*$J$8+$K$152*$K$8+$L$152*$L$8+$M$152*$M$8+$N$152*$N$8+$O$152*$O$8+$P$152*$P$8</f>
        <v>0</v>
      </c>
      <c r="T152" s="15">
        <f>SUM($Q$152:$R$152)</f>
        <v>0</v>
      </c>
      <c r="U152" s="15">
        <f>$S$152+$T$152</f>
        <v>0</v>
      </c>
    </row>
    <row r="153" spans="1:21" x14ac:dyDescent="0.3">
      <c r="A153" s="10" t="s">
        <v>553</v>
      </c>
      <c r="B153" s="11" t="s">
        <v>554</v>
      </c>
      <c r="C153" s="11"/>
      <c r="D153" s="11" t="s">
        <v>555</v>
      </c>
      <c r="E153" s="11">
        <f xml:space="preserve"> IF($U$153,1,0)</f>
        <v>0</v>
      </c>
      <c r="F153" s="11" t="s">
        <v>556</v>
      </c>
      <c r="G153" s="11">
        <v>0</v>
      </c>
      <c r="H153" s="11">
        <v>0</v>
      </c>
      <c r="I153" s="11">
        <v>0</v>
      </c>
      <c r="J153" s="11">
        <v>0</v>
      </c>
      <c r="K153" s="11">
        <v>0</v>
      </c>
      <c r="L153" s="11">
        <v>0</v>
      </c>
      <c r="M153" s="11">
        <v>0</v>
      </c>
      <c r="N153" s="11">
        <v>0</v>
      </c>
      <c r="O153" s="11">
        <v>0</v>
      </c>
      <c r="P153" s="11">
        <v>0</v>
      </c>
      <c r="Q153" s="12">
        <v>0</v>
      </c>
      <c r="R153" s="12">
        <v>0</v>
      </c>
      <c r="S153" s="12">
        <f>$G$153*$G$8+$H$153*$H$8+$I$153*$I$8+$J$153*$J$8+$K$153*$K$8+$L$153*$L$8+$M$153*$M$8+$N$153*$N$8+$O$153*$O$8+$P$153*$P$8</f>
        <v>0</v>
      </c>
      <c r="T153" s="12">
        <f>SUM($Q$153:$R$153)</f>
        <v>0</v>
      </c>
      <c r="U153" s="12">
        <f>$S$153+$T$153</f>
        <v>0</v>
      </c>
    </row>
    <row r="154" spans="1:21" x14ac:dyDescent="0.3">
      <c r="A154" s="13" t="s">
        <v>557</v>
      </c>
      <c r="B154" s="14" t="s">
        <v>554</v>
      </c>
      <c r="C154" s="14"/>
      <c r="D154" s="14" t="s">
        <v>558</v>
      </c>
      <c r="E154" s="14">
        <f xml:space="preserve"> IF($U$154,1,0)</f>
        <v>0</v>
      </c>
      <c r="F154" s="14" t="s">
        <v>559</v>
      </c>
      <c r="G154" s="14">
        <v>0</v>
      </c>
      <c r="H154" s="14">
        <v>0</v>
      </c>
      <c r="I154" s="14">
        <v>0</v>
      </c>
      <c r="J154" s="14">
        <v>0</v>
      </c>
      <c r="K154" s="14">
        <v>0</v>
      </c>
      <c r="L154" s="14">
        <v>0</v>
      </c>
      <c r="M154" s="14">
        <v>0</v>
      </c>
      <c r="N154" s="14">
        <v>0</v>
      </c>
      <c r="O154" s="14">
        <v>0</v>
      </c>
      <c r="P154" s="14">
        <v>0</v>
      </c>
      <c r="Q154" s="15">
        <v>0</v>
      </c>
      <c r="R154" s="15">
        <v>0</v>
      </c>
      <c r="S154" s="15">
        <f>$G$154*$G$8+$H$154*$H$8+$I$154*$I$8+$J$154*$J$8+$K$154*$K$8+$L$154*$L$8+$M$154*$M$8+$N$154*$N$8+$O$154*$O$8+$P$154*$P$8</f>
        <v>0</v>
      </c>
      <c r="T154" s="15">
        <f>SUM($Q$154:$R$154)</f>
        <v>0</v>
      </c>
      <c r="U154" s="15">
        <f>$S$154+$T$154</f>
        <v>0</v>
      </c>
    </row>
    <row r="155" spans="1:21" x14ac:dyDescent="0.3">
      <c r="A155" s="10" t="s">
        <v>560</v>
      </c>
      <c r="B155" s="11" t="s">
        <v>561</v>
      </c>
      <c r="C155" s="11"/>
      <c r="D155" s="11" t="s">
        <v>562</v>
      </c>
      <c r="E155" s="11">
        <f xml:space="preserve"> IF($U$155,1,0)</f>
        <v>0</v>
      </c>
      <c r="F155" s="11" t="s">
        <v>563</v>
      </c>
      <c r="G155" s="11">
        <v>0</v>
      </c>
      <c r="H155" s="11">
        <v>0</v>
      </c>
      <c r="I155" s="11">
        <v>0</v>
      </c>
      <c r="J155" s="11">
        <v>0</v>
      </c>
      <c r="K155" s="11">
        <v>0</v>
      </c>
      <c r="L155" s="11">
        <v>0</v>
      </c>
      <c r="M155" s="11">
        <v>0</v>
      </c>
      <c r="N155" s="11">
        <v>0</v>
      </c>
      <c r="O155" s="11">
        <v>0</v>
      </c>
      <c r="P155" s="11">
        <v>0</v>
      </c>
      <c r="Q155" s="12">
        <v>0</v>
      </c>
      <c r="R155" s="12">
        <v>0</v>
      </c>
      <c r="S155" s="12">
        <f>$G$155*$G$8+$H$155*$H$8+$I$155*$I$8+$J$155*$J$8+$K$155*$K$8+$L$155*$L$8+$M$155*$M$8+$N$155*$N$8+$O$155*$O$8+$P$155*$P$8</f>
        <v>0</v>
      </c>
      <c r="T155" s="12">
        <f>SUM($Q$155:$R$155)</f>
        <v>0</v>
      </c>
      <c r="U155" s="12">
        <f>$S$155+$T$155</f>
        <v>0</v>
      </c>
    </row>
    <row r="156" spans="1:21" x14ac:dyDescent="0.3">
      <c r="A156" s="13" t="s">
        <v>564</v>
      </c>
      <c r="B156" s="14" t="s">
        <v>565</v>
      </c>
      <c r="C156" s="14"/>
      <c r="D156" s="14" t="s">
        <v>566</v>
      </c>
      <c r="E156" s="14">
        <f xml:space="preserve"> IF($U$156,1,0)</f>
        <v>0</v>
      </c>
      <c r="F156" s="14" t="s">
        <v>567</v>
      </c>
      <c r="G156" s="14">
        <v>0</v>
      </c>
      <c r="H156" s="14">
        <v>0</v>
      </c>
      <c r="I156" s="14">
        <v>0</v>
      </c>
      <c r="J156" s="14">
        <v>0</v>
      </c>
      <c r="K156" s="14">
        <v>0</v>
      </c>
      <c r="L156" s="14">
        <v>0</v>
      </c>
      <c r="M156" s="14">
        <v>0</v>
      </c>
      <c r="N156" s="14">
        <v>0</v>
      </c>
      <c r="O156" s="14">
        <v>0</v>
      </c>
      <c r="P156" s="14">
        <v>0</v>
      </c>
      <c r="Q156" s="15">
        <v>0</v>
      </c>
      <c r="R156" s="15">
        <v>0</v>
      </c>
      <c r="S156" s="15">
        <f>$G$156*$G$8+$H$156*$H$8+$I$156*$I$8+$J$156*$J$8+$K$156*$K$8+$L$156*$L$8+$M$156*$M$8+$N$156*$N$8+$O$156*$O$8+$P$156*$P$8</f>
        <v>0</v>
      </c>
      <c r="T156" s="15">
        <f>SUM($Q$156:$R$156)</f>
        <v>0</v>
      </c>
      <c r="U156" s="15">
        <f>$S$156+$T$156</f>
        <v>0</v>
      </c>
    </row>
    <row r="157" spans="1:21" x14ac:dyDescent="0.3">
      <c r="A157" s="10" t="s">
        <v>568</v>
      </c>
      <c r="B157" s="11" t="s">
        <v>569</v>
      </c>
      <c r="C157" s="11"/>
      <c r="D157" s="11" t="s">
        <v>570</v>
      </c>
      <c r="E157" s="11">
        <f xml:space="preserve"> IF($U$157,1,0)</f>
        <v>0</v>
      </c>
      <c r="F157" s="11" t="s">
        <v>571</v>
      </c>
      <c r="G157" s="11">
        <v>0</v>
      </c>
      <c r="H157" s="11">
        <v>0</v>
      </c>
      <c r="I157" s="11">
        <v>0</v>
      </c>
      <c r="J157" s="11">
        <v>0</v>
      </c>
      <c r="K157" s="11">
        <v>0</v>
      </c>
      <c r="L157" s="11">
        <v>0</v>
      </c>
      <c r="M157" s="11">
        <v>0</v>
      </c>
      <c r="N157" s="11">
        <v>0</v>
      </c>
      <c r="O157" s="11">
        <v>0</v>
      </c>
      <c r="P157" s="11">
        <v>0</v>
      </c>
      <c r="Q157" s="12">
        <v>0</v>
      </c>
      <c r="R157" s="12">
        <v>0</v>
      </c>
      <c r="S157" s="12">
        <f>$G$157*$G$8+$H$157*$H$8+$I$157*$I$8+$J$157*$J$8+$K$157*$K$8+$L$157*$L$8+$M$157*$M$8+$N$157*$N$8+$O$157*$O$8+$P$157*$P$8</f>
        <v>0</v>
      </c>
      <c r="T157" s="12">
        <f>SUM($Q$157:$R$157)</f>
        <v>0</v>
      </c>
      <c r="U157" s="12">
        <f>$S$157+$T$157</f>
        <v>0</v>
      </c>
    </row>
    <row r="158" spans="1:21" x14ac:dyDescent="0.3">
      <c r="A158" s="13" t="s">
        <v>572</v>
      </c>
      <c r="B158" s="14" t="s">
        <v>573</v>
      </c>
      <c r="C158" s="14" t="s">
        <v>34</v>
      </c>
      <c r="D158" s="14" t="s">
        <v>574</v>
      </c>
      <c r="E158" s="14">
        <f xml:space="preserve"> IF($U$158,1,0)</f>
        <v>0</v>
      </c>
      <c r="F158" s="14" t="s">
        <v>575</v>
      </c>
      <c r="G158" s="14">
        <v>0</v>
      </c>
      <c r="H158" s="14">
        <v>0</v>
      </c>
      <c r="I158" s="14">
        <v>0</v>
      </c>
      <c r="J158" s="14">
        <v>0</v>
      </c>
      <c r="K158" s="14">
        <v>0</v>
      </c>
      <c r="L158" s="14">
        <v>0</v>
      </c>
      <c r="M158" s="14">
        <v>0</v>
      </c>
      <c r="N158" s="14">
        <v>0</v>
      </c>
      <c r="O158" s="14">
        <v>0</v>
      </c>
      <c r="P158" s="14">
        <v>0</v>
      </c>
      <c r="Q158" s="15">
        <v>0</v>
      </c>
      <c r="R158" s="15">
        <v>0</v>
      </c>
      <c r="S158" s="15">
        <f>$G$158*$G$8+$H$158*$H$8+$I$158*$I$8+$J$158*$J$8+$K$158*$K$8+$L$158*$L$8+$M$158*$M$8+$N$158*$N$8+$O$158*$O$8+$P$158*$P$8</f>
        <v>0</v>
      </c>
      <c r="T158" s="15">
        <f>SUM($Q$158:$R$158)</f>
        <v>0</v>
      </c>
      <c r="U158" s="15">
        <f>$S$158+$T$158</f>
        <v>0</v>
      </c>
    </row>
    <row r="159" spans="1:21" x14ac:dyDescent="0.3">
      <c r="A159" s="10" t="s">
        <v>576</v>
      </c>
      <c r="B159" s="11" t="s">
        <v>577</v>
      </c>
      <c r="C159" s="11"/>
      <c r="D159" s="11" t="s">
        <v>578</v>
      </c>
      <c r="E159" s="11">
        <f xml:space="preserve"> IF($U$159,1,0)</f>
        <v>0</v>
      </c>
      <c r="F159" s="11" t="s">
        <v>579</v>
      </c>
      <c r="G159" s="11">
        <v>0</v>
      </c>
      <c r="H159" s="11">
        <v>0</v>
      </c>
      <c r="I159" s="11">
        <v>0</v>
      </c>
      <c r="J159" s="11">
        <v>0</v>
      </c>
      <c r="K159" s="11">
        <v>0</v>
      </c>
      <c r="L159" s="11">
        <v>0</v>
      </c>
      <c r="M159" s="11">
        <v>0</v>
      </c>
      <c r="N159" s="11">
        <v>0</v>
      </c>
      <c r="O159" s="11">
        <v>0</v>
      </c>
      <c r="P159" s="11">
        <v>0</v>
      </c>
      <c r="Q159" s="12">
        <v>0</v>
      </c>
      <c r="R159" s="12">
        <v>0</v>
      </c>
      <c r="S159" s="12">
        <f>$G$159*$G$8+$H$159*$H$8+$I$159*$I$8+$J$159*$J$8+$K$159*$K$8+$L$159*$L$8+$M$159*$M$8+$N$159*$N$8+$O$159*$O$8+$P$159*$P$8</f>
        <v>0</v>
      </c>
      <c r="T159" s="12">
        <f>SUM($Q$159:$R$159)</f>
        <v>0</v>
      </c>
      <c r="U159" s="12">
        <f>$S$159+$T$159</f>
        <v>0</v>
      </c>
    </row>
    <row r="160" spans="1:21" x14ac:dyDescent="0.3">
      <c r="A160" s="13" t="s">
        <v>580</v>
      </c>
      <c r="B160" s="14" t="s">
        <v>581</v>
      </c>
      <c r="C160" s="14"/>
      <c r="D160" s="14" t="s">
        <v>582</v>
      </c>
      <c r="E160" s="14">
        <f xml:space="preserve"> IF($U$160,1,0)</f>
        <v>0</v>
      </c>
      <c r="F160" s="14" t="s">
        <v>583</v>
      </c>
      <c r="G160" s="14">
        <v>0</v>
      </c>
      <c r="H160" s="14">
        <v>0</v>
      </c>
      <c r="I160" s="14">
        <v>0</v>
      </c>
      <c r="J160" s="14">
        <v>0</v>
      </c>
      <c r="K160" s="14">
        <v>0</v>
      </c>
      <c r="L160" s="14">
        <v>0</v>
      </c>
      <c r="M160" s="14">
        <v>0</v>
      </c>
      <c r="N160" s="14">
        <v>0</v>
      </c>
      <c r="O160" s="14">
        <v>0</v>
      </c>
      <c r="P160" s="14">
        <v>0</v>
      </c>
      <c r="Q160" s="15">
        <v>0</v>
      </c>
      <c r="R160" s="15">
        <v>0</v>
      </c>
      <c r="S160" s="15">
        <f>$G$160*$G$8+$H$160*$H$8+$I$160*$I$8+$J$160*$J$8+$K$160*$K$8+$L$160*$L$8+$M$160*$M$8+$N$160*$N$8+$O$160*$O$8+$P$160*$P$8</f>
        <v>0</v>
      </c>
      <c r="T160" s="15">
        <f>SUM($Q$160:$R$160)</f>
        <v>0</v>
      </c>
      <c r="U160" s="15">
        <f>$S$160+$T$160</f>
        <v>0</v>
      </c>
    </row>
    <row r="161" spans="1:21" x14ac:dyDescent="0.3">
      <c r="A161" s="10" t="s">
        <v>584</v>
      </c>
      <c r="B161" s="11" t="s">
        <v>585</v>
      </c>
      <c r="C161" s="11"/>
      <c r="D161" s="11" t="s">
        <v>586</v>
      </c>
      <c r="E161" s="11">
        <f xml:space="preserve"> IF($U$161,1,0)</f>
        <v>0</v>
      </c>
      <c r="F161" s="11" t="s">
        <v>587</v>
      </c>
      <c r="G161" s="11">
        <v>0</v>
      </c>
      <c r="H161" s="11">
        <v>0</v>
      </c>
      <c r="I161" s="11">
        <v>0</v>
      </c>
      <c r="J161" s="11">
        <v>0</v>
      </c>
      <c r="K161" s="11">
        <v>0</v>
      </c>
      <c r="L161" s="11">
        <v>0</v>
      </c>
      <c r="M161" s="11">
        <v>0</v>
      </c>
      <c r="N161" s="11">
        <v>0</v>
      </c>
      <c r="O161" s="11">
        <v>0</v>
      </c>
      <c r="P161" s="11">
        <v>0</v>
      </c>
      <c r="Q161" s="12">
        <v>0</v>
      </c>
      <c r="R161" s="12">
        <v>0</v>
      </c>
      <c r="S161" s="12">
        <f>$G$161*$G$8+$H$161*$H$8+$I$161*$I$8+$J$161*$J$8+$K$161*$K$8+$L$161*$L$8+$M$161*$M$8+$N$161*$N$8+$O$161*$O$8+$P$161*$P$8</f>
        <v>0</v>
      </c>
      <c r="T161" s="12">
        <f>SUM($Q$161:$R$161)</f>
        <v>0</v>
      </c>
      <c r="U161" s="12">
        <f>$S$161+$T$161</f>
        <v>0</v>
      </c>
    </row>
    <row r="162" spans="1:21" x14ac:dyDescent="0.3">
      <c r="A162" s="13" t="s">
        <v>588</v>
      </c>
      <c r="B162" s="14" t="s">
        <v>589</v>
      </c>
      <c r="C162" s="14"/>
      <c r="D162" s="14" t="s">
        <v>590</v>
      </c>
      <c r="E162" s="14">
        <f xml:space="preserve"> IF($U$162,1,0)</f>
        <v>0</v>
      </c>
      <c r="F162" s="14" t="s">
        <v>591</v>
      </c>
      <c r="G162" s="14">
        <v>0</v>
      </c>
      <c r="H162" s="14">
        <v>0</v>
      </c>
      <c r="I162" s="14">
        <v>0</v>
      </c>
      <c r="J162" s="14">
        <v>0</v>
      </c>
      <c r="K162" s="14">
        <v>0</v>
      </c>
      <c r="L162" s="14">
        <v>0</v>
      </c>
      <c r="M162" s="14">
        <v>0</v>
      </c>
      <c r="N162" s="14">
        <v>0</v>
      </c>
      <c r="O162" s="14">
        <v>0</v>
      </c>
      <c r="P162" s="14">
        <v>0</v>
      </c>
      <c r="Q162" s="15">
        <v>0</v>
      </c>
      <c r="R162" s="15">
        <v>0</v>
      </c>
      <c r="S162" s="15">
        <f>$G$162*$G$8+$H$162*$H$8+$I$162*$I$8+$J$162*$J$8+$K$162*$K$8+$L$162*$L$8+$M$162*$M$8+$N$162*$N$8+$O$162*$O$8+$P$162*$P$8</f>
        <v>0</v>
      </c>
      <c r="T162" s="15">
        <f>SUM($Q$162:$R$162)</f>
        <v>0</v>
      </c>
      <c r="U162" s="15">
        <f>$S$162+$T$162</f>
        <v>0</v>
      </c>
    </row>
    <row r="163" spans="1:21" x14ac:dyDescent="0.3">
      <c r="A163" s="10" t="s">
        <v>592</v>
      </c>
      <c r="B163" s="11" t="s">
        <v>593</v>
      </c>
      <c r="C163" s="11"/>
      <c r="D163" s="11" t="s">
        <v>594</v>
      </c>
      <c r="E163" s="11">
        <f xml:space="preserve"> IF($U$163,1,0)</f>
        <v>0</v>
      </c>
      <c r="F163" s="11" t="s">
        <v>595</v>
      </c>
      <c r="G163" s="11">
        <v>0</v>
      </c>
      <c r="H163" s="11">
        <v>0</v>
      </c>
      <c r="I163" s="11">
        <v>0</v>
      </c>
      <c r="J163" s="11">
        <v>0</v>
      </c>
      <c r="K163" s="11">
        <v>0</v>
      </c>
      <c r="L163" s="11">
        <v>0</v>
      </c>
      <c r="M163" s="11">
        <v>0</v>
      </c>
      <c r="N163" s="11">
        <v>0</v>
      </c>
      <c r="O163" s="11">
        <v>0</v>
      </c>
      <c r="P163" s="11">
        <v>0</v>
      </c>
      <c r="Q163" s="12">
        <v>0</v>
      </c>
      <c r="R163" s="12">
        <v>0</v>
      </c>
      <c r="S163" s="12">
        <f>$G$163*$G$8+$H$163*$H$8+$I$163*$I$8+$J$163*$J$8+$K$163*$K$8+$L$163*$L$8+$M$163*$M$8+$N$163*$N$8+$O$163*$O$8+$P$163*$P$8</f>
        <v>0</v>
      </c>
      <c r="T163" s="12">
        <f>SUM($Q$163:$R$163)</f>
        <v>0</v>
      </c>
      <c r="U163" s="12">
        <f>$S$163+$T$163</f>
        <v>0</v>
      </c>
    </row>
    <row r="164" spans="1:21" x14ac:dyDescent="0.3">
      <c r="A164" s="13" t="s">
        <v>596</v>
      </c>
      <c r="B164" s="14" t="s">
        <v>597</v>
      </c>
      <c r="C164" s="14"/>
      <c r="D164" s="14" t="s">
        <v>598</v>
      </c>
      <c r="E164" s="14">
        <f xml:space="preserve"> IF($U$164,1,0)</f>
        <v>0</v>
      </c>
      <c r="F164" s="14" t="s">
        <v>599</v>
      </c>
      <c r="G164" s="14">
        <v>0</v>
      </c>
      <c r="H164" s="14">
        <v>0</v>
      </c>
      <c r="I164" s="14">
        <v>0</v>
      </c>
      <c r="J164" s="14">
        <v>0</v>
      </c>
      <c r="K164" s="14">
        <v>0</v>
      </c>
      <c r="L164" s="14">
        <v>0</v>
      </c>
      <c r="M164" s="14">
        <v>0</v>
      </c>
      <c r="N164" s="14">
        <v>0</v>
      </c>
      <c r="O164" s="14">
        <v>0</v>
      </c>
      <c r="P164" s="14">
        <v>0</v>
      </c>
      <c r="Q164" s="15">
        <v>0</v>
      </c>
      <c r="R164" s="15">
        <v>0</v>
      </c>
      <c r="S164" s="15">
        <f>$G$164*$G$8+$H$164*$H$8+$I$164*$I$8+$J$164*$J$8+$K$164*$K$8+$L$164*$L$8+$M$164*$M$8+$N$164*$N$8+$O$164*$O$8+$P$164*$P$8</f>
        <v>0</v>
      </c>
      <c r="T164" s="15">
        <f>SUM($Q$164:$R$164)</f>
        <v>0</v>
      </c>
      <c r="U164" s="15">
        <f>$S$164+$T$164</f>
        <v>0</v>
      </c>
    </row>
    <row r="165" spans="1:21" x14ac:dyDescent="0.3">
      <c r="A165" s="10" t="s">
        <v>600</v>
      </c>
      <c r="B165" s="11" t="s">
        <v>601</v>
      </c>
      <c r="C165" s="11"/>
      <c r="D165" s="11" t="s">
        <v>70</v>
      </c>
      <c r="E165" s="11">
        <f xml:space="preserve"> IF($U$165,1,0)</f>
        <v>0</v>
      </c>
      <c r="F165" s="11" t="s">
        <v>602</v>
      </c>
      <c r="G165" s="11">
        <v>0</v>
      </c>
      <c r="H165" s="11">
        <v>0</v>
      </c>
      <c r="I165" s="11">
        <v>0</v>
      </c>
      <c r="J165" s="11">
        <v>0</v>
      </c>
      <c r="K165" s="11">
        <v>0</v>
      </c>
      <c r="L165" s="11">
        <v>0</v>
      </c>
      <c r="M165" s="11">
        <v>0</v>
      </c>
      <c r="N165" s="11">
        <v>0</v>
      </c>
      <c r="O165" s="11">
        <v>0</v>
      </c>
      <c r="P165" s="11">
        <v>0</v>
      </c>
      <c r="Q165" s="12">
        <v>0</v>
      </c>
      <c r="R165" s="12">
        <v>0</v>
      </c>
      <c r="S165" s="12">
        <f>$G$165*$G$8+$H$165*$H$8+$I$165*$I$8+$J$165*$J$8+$K$165*$K$8+$L$165*$L$8+$M$165*$M$8+$N$165*$N$8+$O$165*$O$8+$P$165*$P$8</f>
        <v>0</v>
      </c>
      <c r="T165" s="12">
        <f>SUM($Q$165:$R$165)</f>
        <v>0</v>
      </c>
      <c r="U165" s="12">
        <f>$S$165+$T$165</f>
        <v>0</v>
      </c>
    </row>
    <row r="166" spans="1:21" x14ac:dyDescent="0.3">
      <c r="A166" s="13" t="s">
        <v>603</v>
      </c>
      <c r="B166" s="14" t="s">
        <v>604</v>
      </c>
      <c r="C166" s="14"/>
      <c r="D166" s="14" t="s">
        <v>605</v>
      </c>
      <c r="E166" s="14">
        <f xml:space="preserve"> IF($U$166,1,0)</f>
        <v>0</v>
      </c>
      <c r="F166" s="14" t="s">
        <v>606</v>
      </c>
      <c r="G166" s="14">
        <v>0</v>
      </c>
      <c r="H166" s="14">
        <v>0</v>
      </c>
      <c r="I166" s="14">
        <v>0</v>
      </c>
      <c r="J166" s="14">
        <v>0</v>
      </c>
      <c r="K166" s="14">
        <v>0</v>
      </c>
      <c r="L166" s="14">
        <v>0</v>
      </c>
      <c r="M166" s="14">
        <v>0</v>
      </c>
      <c r="N166" s="14">
        <v>0</v>
      </c>
      <c r="O166" s="14">
        <v>0</v>
      </c>
      <c r="P166" s="14">
        <v>0</v>
      </c>
      <c r="Q166" s="15">
        <v>0</v>
      </c>
      <c r="R166" s="15">
        <v>0</v>
      </c>
      <c r="S166" s="15">
        <f>$G$166*$G$8+$H$166*$H$8+$I$166*$I$8+$J$166*$J$8+$K$166*$K$8+$L$166*$L$8+$M$166*$M$8+$N$166*$N$8+$O$166*$O$8+$P$166*$P$8</f>
        <v>0</v>
      </c>
      <c r="T166" s="15">
        <f>SUM($Q$166:$R$166)</f>
        <v>0</v>
      </c>
      <c r="U166" s="15">
        <f>$S$166+$T$166</f>
        <v>0</v>
      </c>
    </row>
    <row r="167" spans="1:21" x14ac:dyDescent="0.3">
      <c r="A167" s="10" t="s">
        <v>607</v>
      </c>
      <c r="B167" s="11" t="s">
        <v>608</v>
      </c>
      <c r="C167" s="11"/>
      <c r="D167" s="11" t="s">
        <v>609</v>
      </c>
      <c r="E167" s="11">
        <f xml:space="preserve"> IF($U$167,1,0)</f>
        <v>0</v>
      </c>
      <c r="F167" s="11" t="s">
        <v>610</v>
      </c>
      <c r="G167" s="11">
        <v>0</v>
      </c>
      <c r="H167" s="11">
        <v>0</v>
      </c>
      <c r="I167" s="11">
        <v>0</v>
      </c>
      <c r="J167" s="11">
        <v>0</v>
      </c>
      <c r="K167" s="11">
        <v>0</v>
      </c>
      <c r="L167" s="11">
        <v>0</v>
      </c>
      <c r="M167" s="11">
        <v>0</v>
      </c>
      <c r="N167" s="11">
        <v>0</v>
      </c>
      <c r="O167" s="11">
        <v>0</v>
      </c>
      <c r="P167" s="11">
        <v>0</v>
      </c>
      <c r="Q167" s="12">
        <v>0</v>
      </c>
      <c r="R167" s="12">
        <v>0</v>
      </c>
      <c r="S167" s="12">
        <f>$G$167*$G$8+$H$167*$H$8+$I$167*$I$8+$J$167*$J$8+$K$167*$K$8+$L$167*$L$8+$M$167*$M$8+$N$167*$N$8+$O$167*$O$8+$P$167*$P$8</f>
        <v>0</v>
      </c>
      <c r="T167" s="12">
        <f>SUM($Q$167:$R$167)</f>
        <v>0</v>
      </c>
      <c r="U167" s="12">
        <f>$S$167+$T$167</f>
        <v>0</v>
      </c>
    </row>
    <row r="168" spans="1:21" x14ac:dyDescent="0.3">
      <c r="A168" s="13" t="s">
        <v>611</v>
      </c>
      <c r="B168" s="14" t="s">
        <v>612</v>
      </c>
      <c r="C168" s="14"/>
      <c r="D168" s="14" t="s">
        <v>613</v>
      </c>
      <c r="E168" s="14">
        <f xml:space="preserve"> IF($U$168,1,0)</f>
        <v>0</v>
      </c>
      <c r="F168" s="14" t="s">
        <v>614</v>
      </c>
      <c r="G168" s="14">
        <v>0</v>
      </c>
      <c r="H168" s="14">
        <v>0</v>
      </c>
      <c r="I168" s="14">
        <v>0</v>
      </c>
      <c r="J168" s="14">
        <v>0</v>
      </c>
      <c r="K168" s="14">
        <v>0</v>
      </c>
      <c r="L168" s="14">
        <v>0</v>
      </c>
      <c r="M168" s="14">
        <v>0</v>
      </c>
      <c r="N168" s="14">
        <v>0</v>
      </c>
      <c r="O168" s="14">
        <v>0</v>
      </c>
      <c r="P168" s="14">
        <v>0</v>
      </c>
      <c r="Q168" s="15">
        <v>0</v>
      </c>
      <c r="R168" s="15">
        <v>0</v>
      </c>
      <c r="S168" s="15">
        <f>$G$168*$G$8+$H$168*$H$8+$I$168*$I$8+$J$168*$J$8+$K$168*$K$8+$L$168*$L$8+$M$168*$M$8+$N$168*$N$8+$O$168*$O$8+$P$168*$P$8</f>
        <v>0</v>
      </c>
      <c r="T168" s="15">
        <f>SUM($Q$168:$R$168)</f>
        <v>0</v>
      </c>
      <c r="U168" s="15">
        <f>$S$168+$T$168</f>
        <v>0</v>
      </c>
    </row>
    <row r="169" spans="1:21" x14ac:dyDescent="0.3">
      <c r="A169" s="10" t="s">
        <v>615</v>
      </c>
      <c r="B169" s="11" t="s">
        <v>616</v>
      </c>
      <c r="C169" s="11"/>
      <c r="D169" s="11" t="s">
        <v>617</v>
      </c>
      <c r="E169" s="11">
        <f xml:space="preserve"> IF($U$169,1,0)</f>
        <v>0</v>
      </c>
      <c r="F169" s="11" t="s">
        <v>618</v>
      </c>
      <c r="G169" s="11">
        <v>0</v>
      </c>
      <c r="H169" s="11">
        <v>0</v>
      </c>
      <c r="I169" s="11">
        <v>0</v>
      </c>
      <c r="J169" s="11">
        <v>0</v>
      </c>
      <c r="K169" s="11">
        <v>0</v>
      </c>
      <c r="L169" s="11">
        <v>0</v>
      </c>
      <c r="M169" s="11">
        <v>0</v>
      </c>
      <c r="N169" s="11">
        <v>0</v>
      </c>
      <c r="O169" s="11">
        <v>0</v>
      </c>
      <c r="P169" s="11">
        <v>0</v>
      </c>
      <c r="Q169" s="12">
        <v>0</v>
      </c>
      <c r="R169" s="12">
        <v>0</v>
      </c>
      <c r="S169" s="12">
        <f>$G$169*$G$8+$H$169*$H$8+$I$169*$I$8+$J$169*$J$8+$K$169*$K$8+$L$169*$L$8+$M$169*$M$8+$N$169*$N$8+$O$169*$O$8+$P$169*$P$8</f>
        <v>0</v>
      </c>
      <c r="T169" s="12">
        <f>SUM($Q$169:$R$169)</f>
        <v>0</v>
      </c>
      <c r="U169" s="12">
        <f>$S$169+$T$169</f>
        <v>0</v>
      </c>
    </row>
    <row r="170" spans="1:21" x14ac:dyDescent="0.3">
      <c r="A170" s="13" t="s">
        <v>619</v>
      </c>
      <c r="B170" s="14" t="s">
        <v>620</v>
      </c>
      <c r="C170" s="14" t="s">
        <v>34</v>
      </c>
      <c r="D170" s="14" t="s">
        <v>621</v>
      </c>
      <c r="E170" s="14">
        <f xml:space="preserve"> IF($U$170,1,0)</f>
        <v>0</v>
      </c>
      <c r="F170" s="14" t="s">
        <v>622</v>
      </c>
      <c r="G170" s="14">
        <v>0</v>
      </c>
      <c r="H170" s="14">
        <v>0</v>
      </c>
      <c r="I170" s="14">
        <v>0</v>
      </c>
      <c r="J170" s="14">
        <v>0</v>
      </c>
      <c r="K170" s="14">
        <v>0</v>
      </c>
      <c r="L170" s="14">
        <v>0</v>
      </c>
      <c r="M170" s="14">
        <v>0</v>
      </c>
      <c r="N170" s="14">
        <v>0</v>
      </c>
      <c r="O170" s="14">
        <v>0</v>
      </c>
      <c r="P170" s="14">
        <v>0</v>
      </c>
      <c r="Q170" s="15">
        <v>0</v>
      </c>
      <c r="R170" s="15">
        <v>0</v>
      </c>
      <c r="S170" s="15">
        <f>$G$170*$G$8+$H$170*$H$8+$I$170*$I$8+$J$170*$J$8+$K$170*$K$8+$L$170*$L$8+$M$170*$M$8+$N$170*$N$8+$O$170*$O$8+$P$170*$P$8</f>
        <v>0</v>
      </c>
      <c r="T170" s="15">
        <f>SUM($Q$170:$R$170)</f>
        <v>0</v>
      </c>
      <c r="U170" s="15">
        <f>$S$170+$T$170</f>
        <v>0</v>
      </c>
    </row>
    <row r="171" spans="1:21" x14ac:dyDescent="0.3">
      <c r="A171" s="10" t="s">
        <v>623</v>
      </c>
      <c r="B171" s="11" t="s">
        <v>624</v>
      </c>
      <c r="C171" s="11"/>
      <c r="D171" s="11" t="s">
        <v>625</v>
      </c>
      <c r="E171" s="11">
        <f xml:space="preserve"> IF($U$171,1,0)</f>
        <v>0</v>
      </c>
      <c r="F171" s="11" t="s">
        <v>626</v>
      </c>
      <c r="G171" s="11">
        <v>0</v>
      </c>
      <c r="H171" s="11">
        <v>0</v>
      </c>
      <c r="I171" s="11">
        <v>0</v>
      </c>
      <c r="J171" s="11">
        <v>0</v>
      </c>
      <c r="K171" s="11">
        <v>0</v>
      </c>
      <c r="L171" s="11">
        <v>0</v>
      </c>
      <c r="M171" s="11">
        <v>0</v>
      </c>
      <c r="N171" s="11">
        <v>0</v>
      </c>
      <c r="O171" s="11">
        <v>0</v>
      </c>
      <c r="P171" s="11">
        <v>0</v>
      </c>
      <c r="Q171" s="12">
        <v>0</v>
      </c>
      <c r="R171" s="12">
        <v>0</v>
      </c>
      <c r="S171" s="12">
        <f>$G$171*$G$8+$H$171*$H$8+$I$171*$I$8+$J$171*$J$8+$K$171*$K$8+$L$171*$L$8+$M$171*$M$8+$N$171*$N$8+$O$171*$O$8+$P$171*$P$8</f>
        <v>0</v>
      </c>
      <c r="T171" s="12">
        <f>SUM($Q$171:$R$171)</f>
        <v>0</v>
      </c>
      <c r="U171" s="12">
        <f>$S$171+$T$171</f>
        <v>0</v>
      </c>
    </row>
    <row r="172" spans="1:21" x14ac:dyDescent="0.3">
      <c r="A172" s="13" t="s">
        <v>627</v>
      </c>
      <c r="B172" s="14" t="s">
        <v>624</v>
      </c>
      <c r="C172" s="14"/>
      <c r="D172" s="14" t="s">
        <v>628</v>
      </c>
      <c r="E172" s="14">
        <f xml:space="preserve"> IF($U$172,1,0)</f>
        <v>0</v>
      </c>
      <c r="F172" s="14" t="s">
        <v>629</v>
      </c>
      <c r="G172" s="14">
        <v>0</v>
      </c>
      <c r="H172" s="14">
        <v>0</v>
      </c>
      <c r="I172" s="14">
        <v>0</v>
      </c>
      <c r="J172" s="14">
        <v>0</v>
      </c>
      <c r="K172" s="14">
        <v>0</v>
      </c>
      <c r="L172" s="14">
        <v>0</v>
      </c>
      <c r="M172" s="14">
        <v>0</v>
      </c>
      <c r="N172" s="14">
        <v>0</v>
      </c>
      <c r="O172" s="14">
        <v>0</v>
      </c>
      <c r="P172" s="14">
        <v>0</v>
      </c>
      <c r="Q172" s="15">
        <v>0</v>
      </c>
      <c r="R172" s="15">
        <v>0</v>
      </c>
      <c r="S172" s="15">
        <f>$G$172*$G$8+$H$172*$H$8+$I$172*$I$8+$J$172*$J$8+$K$172*$K$8+$L$172*$L$8+$M$172*$M$8+$N$172*$N$8+$O$172*$O$8+$P$172*$P$8</f>
        <v>0</v>
      </c>
      <c r="T172" s="15">
        <f>SUM($Q$172:$R$172)</f>
        <v>0</v>
      </c>
      <c r="U172" s="15">
        <f>$S$172+$T$172</f>
        <v>0</v>
      </c>
    </row>
    <row r="173" spans="1:21" x14ac:dyDescent="0.3">
      <c r="A173" s="10" t="s">
        <v>630</v>
      </c>
      <c r="B173" s="11" t="s">
        <v>631</v>
      </c>
      <c r="C173" s="11"/>
      <c r="D173" s="11" t="s">
        <v>632</v>
      </c>
      <c r="E173" s="11">
        <f xml:space="preserve"> IF($U$173,1,0)</f>
        <v>0</v>
      </c>
      <c r="F173" s="11" t="s">
        <v>633</v>
      </c>
      <c r="G173" s="11">
        <v>0</v>
      </c>
      <c r="H173" s="11">
        <v>0</v>
      </c>
      <c r="I173" s="11">
        <v>0</v>
      </c>
      <c r="J173" s="11">
        <v>0</v>
      </c>
      <c r="K173" s="11">
        <v>0</v>
      </c>
      <c r="L173" s="11">
        <v>0</v>
      </c>
      <c r="M173" s="11">
        <v>0</v>
      </c>
      <c r="N173" s="11">
        <v>0</v>
      </c>
      <c r="O173" s="11">
        <v>0</v>
      </c>
      <c r="P173" s="11">
        <v>0</v>
      </c>
      <c r="Q173" s="12">
        <v>0</v>
      </c>
      <c r="R173" s="12">
        <v>0</v>
      </c>
      <c r="S173" s="12">
        <f>$G$173*$G$8+$H$173*$H$8+$I$173*$I$8+$J$173*$J$8+$K$173*$K$8+$L$173*$L$8+$M$173*$M$8+$N$173*$N$8+$O$173*$O$8+$P$173*$P$8</f>
        <v>0</v>
      </c>
      <c r="T173" s="12">
        <f>SUM($Q$173:$R$173)</f>
        <v>0</v>
      </c>
      <c r="U173" s="12">
        <f>$S$173+$T$173</f>
        <v>0</v>
      </c>
    </row>
    <row r="174" spans="1:21" x14ac:dyDescent="0.3">
      <c r="A174" s="13" t="s">
        <v>634</v>
      </c>
      <c r="B174" s="14" t="s">
        <v>635</v>
      </c>
      <c r="C174" s="14"/>
      <c r="D174" s="14" t="s">
        <v>636</v>
      </c>
      <c r="E174" s="14">
        <f xml:space="preserve"> IF($U$174,1,0)</f>
        <v>0</v>
      </c>
      <c r="F174" s="14" t="s">
        <v>637</v>
      </c>
      <c r="G174" s="14">
        <v>0</v>
      </c>
      <c r="H174" s="14">
        <v>0</v>
      </c>
      <c r="I174" s="14">
        <v>0</v>
      </c>
      <c r="J174" s="14">
        <v>0</v>
      </c>
      <c r="K174" s="14">
        <v>0</v>
      </c>
      <c r="L174" s="14">
        <v>0</v>
      </c>
      <c r="M174" s="14">
        <v>0</v>
      </c>
      <c r="N174" s="14">
        <v>0</v>
      </c>
      <c r="O174" s="14">
        <v>0</v>
      </c>
      <c r="P174" s="14">
        <v>0</v>
      </c>
      <c r="Q174" s="15">
        <v>0</v>
      </c>
      <c r="R174" s="15">
        <v>0</v>
      </c>
      <c r="S174" s="15">
        <f>$G$174*$G$8+$H$174*$H$8+$I$174*$I$8+$J$174*$J$8+$K$174*$K$8+$L$174*$L$8+$M$174*$M$8+$N$174*$N$8+$O$174*$O$8+$P$174*$P$8</f>
        <v>0</v>
      </c>
      <c r="T174" s="15">
        <f>SUM($Q$174:$R$174)</f>
        <v>0</v>
      </c>
      <c r="U174" s="15">
        <f>$S$174+$T$174</f>
        <v>0</v>
      </c>
    </row>
    <row r="175" spans="1:21" x14ac:dyDescent="0.3">
      <c r="A175" s="10" t="s">
        <v>638</v>
      </c>
      <c r="B175" s="11" t="s">
        <v>639</v>
      </c>
      <c r="C175" s="11"/>
      <c r="D175" s="11" t="s">
        <v>274</v>
      </c>
      <c r="E175" s="11">
        <f xml:space="preserve"> IF($U$175,1,0)</f>
        <v>0</v>
      </c>
      <c r="F175" s="11" t="s">
        <v>640</v>
      </c>
      <c r="G175" s="11">
        <v>0</v>
      </c>
      <c r="H175" s="11">
        <v>0</v>
      </c>
      <c r="I175" s="11">
        <v>0</v>
      </c>
      <c r="J175" s="11">
        <v>0</v>
      </c>
      <c r="K175" s="11">
        <v>0</v>
      </c>
      <c r="L175" s="11">
        <v>0</v>
      </c>
      <c r="M175" s="11">
        <v>0</v>
      </c>
      <c r="N175" s="11">
        <v>0</v>
      </c>
      <c r="O175" s="11">
        <v>0</v>
      </c>
      <c r="P175" s="11">
        <v>0</v>
      </c>
      <c r="Q175" s="12">
        <v>0</v>
      </c>
      <c r="R175" s="12">
        <v>0</v>
      </c>
      <c r="S175" s="12">
        <f>$G$175*$G$8+$H$175*$H$8+$I$175*$I$8+$J$175*$J$8+$K$175*$K$8+$L$175*$L$8+$M$175*$M$8+$N$175*$N$8+$O$175*$O$8+$P$175*$P$8</f>
        <v>0</v>
      </c>
      <c r="T175" s="12">
        <f>SUM($Q$175:$R$175)</f>
        <v>0</v>
      </c>
      <c r="U175" s="12">
        <f>$S$175+$T$175</f>
        <v>0</v>
      </c>
    </row>
    <row r="176" spans="1:21" x14ac:dyDescent="0.3">
      <c r="A176" s="13" t="s">
        <v>641</v>
      </c>
      <c r="B176" s="14" t="s">
        <v>642</v>
      </c>
      <c r="C176" s="14"/>
      <c r="D176" s="14" t="s">
        <v>643</v>
      </c>
      <c r="E176" s="14">
        <f xml:space="preserve"> IF($U$176,1,0)</f>
        <v>0</v>
      </c>
      <c r="F176" s="14" t="s">
        <v>644</v>
      </c>
      <c r="G176" s="14">
        <v>0</v>
      </c>
      <c r="H176" s="14">
        <v>0</v>
      </c>
      <c r="I176" s="14">
        <v>0</v>
      </c>
      <c r="J176" s="14">
        <v>0</v>
      </c>
      <c r="K176" s="14">
        <v>0</v>
      </c>
      <c r="L176" s="14">
        <v>0</v>
      </c>
      <c r="M176" s="14">
        <v>0</v>
      </c>
      <c r="N176" s="14">
        <v>0</v>
      </c>
      <c r="O176" s="14">
        <v>0</v>
      </c>
      <c r="P176" s="14">
        <v>0</v>
      </c>
      <c r="Q176" s="15">
        <v>0</v>
      </c>
      <c r="R176" s="15">
        <v>0</v>
      </c>
      <c r="S176" s="15">
        <f>$G$176*$G$8+$H$176*$H$8+$I$176*$I$8+$J$176*$J$8+$K$176*$K$8+$L$176*$L$8+$M$176*$M$8+$N$176*$N$8+$O$176*$O$8+$P$176*$P$8</f>
        <v>0</v>
      </c>
      <c r="T176" s="15">
        <f>SUM($Q$176:$R$176)</f>
        <v>0</v>
      </c>
      <c r="U176" s="15">
        <f>$S$176+$T$176</f>
        <v>0</v>
      </c>
    </row>
    <row r="177" spans="1:21" x14ac:dyDescent="0.3">
      <c r="A177" s="10" t="s">
        <v>645</v>
      </c>
      <c r="B177" s="11" t="s">
        <v>646</v>
      </c>
      <c r="C177" s="11"/>
      <c r="D177" s="11" t="s">
        <v>647</v>
      </c>
      <c r="E177" s="11">
        <f xml:space="preserve"> IF($U$177,1,0)</f>
        <v>0</v>
      </c>
      <c r="F177" s="11" t="s">
        <v>648</v>
      </c>
      <c r="G177" s="11">
        <v>0</v>
      </c>
      <c r="H177" s="11">
        <v>0</v>
      </c>
      <c r="I177" s="11">
        <v>0</v>
      </c>
      <c r="J177" s="11">
        <v>0</v>
      </c>
      <c r="K177" s="11">
        <v>0</v>
      </c>
      <c r="L177" s="11">
        <v>0</v>
      </c>
      <c r="M177" s="11">
        <v>0</v>
      </c>
      <c r="N177" s="11">
        <v>0</v>
      </c>
      <c r="O177" s="11">
        <v>0</v>
      </c>
      <c r="P177" s="11">
        <v>0</v>
      </c>
      <c r="Q177" s="12">
        <v>0</v>
      </c>
      <c r="R177" s="12">
        <v>0</v>
      </c>
      <c r="S177" s="12">
        <f>$G$177*$G$8+$H$177*$H$8+$I$177*$I$8+$J$177*$J$8+$K$177*$K$8+$L$177*$L$8+$M$177*$M$8+$N$177*$N$8+$O$177*$O$8+$P$177*$P$8</f>
        <v>0</v>
      </c>
      <c r="T177" s="12">
        <f>SUM($Q$177:$R$177)</f>
        <v>0</v>
      </c>
      <c r="U177" s="12">
        <f>$S$177+$T$177</f>
        <v>0</v>
      </c>
    </row>
    <row r="178" spans="1:21" x14ac:dyDescent="0.3">
      <c r="A178" s="13" t="s">
        <v>649</v>
      </c>
      <c r="B178" s="14" t="s">
        <v>650</v>
      </c>
      <c r="C178" s="14"/>
      <c r="D178" s="14" t="s">
        <v>651</v>
      </c>
      <c r="E178" s="14">
        <f xml:space="preserve"> IF($U$178,1,0)</f>
        <v>0</v>
      </c>
      <c r="F178" s="14" t="s">
        <v>652</v>
      </c>
      <c r="G178" s="14">
        <v>0</v>
      </c>
      <c r="H178" s="14">
        <v>0</v>
      </c>
      <c r="I178" s="14">
        <v>0</v>
      </c>
      <c r="J178" s="14">
        <v>0</v>
      </c>
      <c r="K178" s="14">
        <v>0</v>
      </c>
      <c r="L178" s="14">
        <v>0</v>
      </c>
      <c r="M178" s="14">
        <v>0</v>
      </c>
      <c r="N178" s="14">
        <v>0</v>
      </c>
      <c r="O178" s="14">
        <v>0</v>
      </c>
      <c r="P178" s="14">
        <v>0</v>
      </c>
      <c r="Q178" s="15">
        <v>0</v>
      </c>
      <c r="R178" s="15">
        <v>0</v>
      </c>
      <c r="S178" s="15">
        <f>$G$178*$G$8+$H$178*$H$8+$I$178*$I$8+$J$178*$J$8+$K$178*$K$8+$L$178*$L$8+$M$178*$M$8+$N$178*$N$8+$O$178*$O$8+$P$178*$P$8</f>
        <v>0</v>
      </c>
      <c r="T178" s="15">
        <f>SUM($Q$178:$R$178)</f>
        <v>0</v>
      </c>
      <c r="U178" s="15">
        <f>$S$178+$T$178</f>
        <v>0</v>
      </c>
    </row>
    <row r="179" spans="1:21" x14ac:dyDescent="0.3">
      <c r="A179" s="10" t="s">
        <v>653</v>
      </c>
      <c r="B179" s="11" t="s">
        <v>654</v>
      </c>
      <c r="C179" s="11"/>
      <c r="D179" s="11" t="s">
        <v>655</v>
      </c>
      <c r="E179" s="11">
        <f xml:space="preserve"> IF($U$179,1,0)</f>
        <v>0</v>
      </c>
      <c r="F179" s="11" t="s">
        <v>656</v>
      </c>
      <c r="G179" s="11">
        <v>0</v>
      </c>
      <c r="H179" s="11">
        <v>0</v>
      </c>
      <c r="I179" s="11">
        <v>0</v>
      </c>
      <c r="J179" s="11">
        <v>0</v>
      </c>
      <c r="K179" s="11">
        <v>0</v>
      </c>
      <c r="L179" s="11">
        <v>0</v>
      </c>
      <c r="M179" s="11">
        <v>0</v>
      </c>
      <c r="N179" s="11">
        <v>0</v>
      </c>
      <c r="O179" s="11">
        <v>0</v>
      </c>
      <c r="P179" s="11">
        <v>0</v>
      </c>
      <c r="Q179" s="12">
        <v>0</v>
      </c>
      <c r="R179" s="12">
        <v>0</v>
      </c>
      <c r="S179" s="12">
        <f>$G$179*$G$8+$H$179*$H$8+$I$179*$I$8+$J$179*$J$8+$K$179*$K$8+$L$179*$L$8+$M$179*$M$8+$N$179*$N$8+$O$179*$O$8+$P$179*$P$8</f>
        <v>0</v>
      </c>
      <c r="T179" s="12">
        <f>SUM($Q$179:$R$179)</f>
        <v>0</v>
      </c>
      <c r="U179" s="12">
        <f>$S$179+$T$179</f>
        <v>0</v>
      </c>
    </row>
    <row r="180" spans="1:21" x14ac:dyDescent="0.3">
      <c r="A180" s="13" t="s">
        <v>657</v>
      </c>
      <c r="B180" s="14" t="s">
        <v>658</v>
      </c>
      <c r="C180" s="14"/>
      <c r="D180" s="14" t="s">
        <v>659</v>
      </c>
      <c r="E180" s="14">
        <f xml:space="preserve"> IF($U$180,1,0)</f>
        <v>0</v>
      </c>
      <c r="F180" s="14" t="s">
        <v>660</v>
      </c>
      <c r="G180" s="14">
        <v>0</v>
      </c>
      <c r="H180" s="14">
        <v>0</v>
      </c>
      <c r="I180" s="14">
        <v>0</v>
      </c>
      <c r="J180" s="14">
        <v>0</v>
      </c>
      <c r="K180" s="14">
        <v>0</v>
      </c>
      <c r="L180" s="14">
        <v>0</v>
      </c>
      <c r="M180" s="14">
        <v>0</v>
      </c>
      <c r="N180" s="14">
        <v>0</v>
      </c>
      <c r="O180" s="14">
        <v>0</v>
      </c>
      <c r="P180" s="14">
        <v>0</v>
      </c>
      <c r="Q180" s="15">
        <v>0</v>
      </c>
      <c r="R180" s="15">
        <v>0</v>
      </c>
      <c r="S180" s="15">
        <f>$G$180*$G$8+$H$180*$H$8+$I$180*$I$8+$J$180*$J$8+$K$180*$K$8+$L$180*$L$8+$M$180*$M$8+$N$180*$N$8+$O$180*$O$8+$P$180*$P$8</f>
        <v>0</v>
      </c>
      <c r="T180" s="15">
        <f>SUM($Q$180:$R$180)</f>
        <v>0</v>
      </c>
      <c r="U180" s="15">
        <f>$S$180+$T$180</f>
        <v>0</v>
      </c>
    </row>
    <row r="181" spans="1:21" x14ac:dyDescent="0.3">
      <c r="A181" s="10" t="s">
        <v>661</v>
      </c>
      <c r="B181" s="11" t="s">
        <v>658</v>
      </c>
      <c r="C181" s="11" t="s">
        <v>202</v>
      </c>
      <c r="D181" s="11" t="s">
        <v>662</v>
      </c>
      <c r="E181" s="11">
        <f xml:space="preserve"> IF($U$181,1,0)</f>
        <v>0</v>
      </c>
      <c r="F181" s="11" t="s">
        <v>663</v>
      </c>
      <c r="G181" s="11">
        <v>0</v>
      </c>
      <c r="H181" s="11">
        <v>0</v>
      </c>
      <c r="I181" s="11">
        <v>0</v>
      </c>
      <c r="J181" s="11">
        <v>0</v>
      </c>
      <c r="K181" s="11">
        <v>0</v>
      </c>
      <c r="L181" s="11">
        <v>0</v>
      </c>
      <c r="M181" s="11">
        <v>0</v>
      </c>
      <c r="N181" s="11">
        <v>0</v>
      </c>
      <c r="O181" s="11">
        <v>0</v>
      </c>
      <c r="P181" s="11">
        <v>0</v>
      </c>
      <c r="Q181" s="12">
        <v>0</v>
      </c>
      <c r="R181" s="12">
        <v>0</v>
      </c>
      <c r="S181" s="12">
        <f>$G$181*$G$8+$H$181*$H$8+$I$181*$I$8+$J$181*$J$8+$K$181*$K$8+$L$181*$L$8+$M$181*$M$8+$N$181*$N$8+$O$181*$O$8+$P$181*$P$8</f>
        <v>0</v>
      </c>
      <c r="T181" s="12">
        <f>SUM($Q$181:$R$181)</f>
        <v>0</v>
      </c>
      <c r="U181" s="12">
        <f>$S$181+$T$181</f>
        <v>0</v>
      </c>
    </row>
    <row r="182" spans="1:21" x14ac:dyDescent="0.3">
      <c r="A182" s="13" t="s">
        <v>664</v>
      </c>
      <c r="B182" s="14" t="s">
        <v>665</v>
      </c>
      <c r="C182" s="14"/>
      <c r="D182" s="14" t="s">
        <v>666</v>
      </c>
      <c r="E182" s="14">
        <f xml:space="preserve"> IF($U$182,1,0)</f>
        <v>0</v>
      </c>
      <c r="F182" s="14" t="s">
        <v>667</v>
      </c>
      <c r="G182" s="14">
        <v>0</v>
      </c>
      <c r="H182" s="14">
        <v>0</v>
      </c>
      <c r="I182" s="14">
        <v>0</v>
      </c>
      <c r="J182" s="14">
        <v>0</v>
      </c>
      <c r="K182" s="14">
        <v>0</v>
      </c>
      <c r="L182" s="14">
        <v>0</v>
      </c>
      <c r="M182" s="14">
        <v>0</v>
      </c>
      <c r="N182" s="14">
        <v>0</v>
      </c>
      <c r="O182" s="14">
        <v>0</v>
      </c>
      <c r="P182" s="14">
        <v>0</v>
      </c>
      <c r="Q182" s="15">
        <v>0</v>
      </c>
      <c r="R182" s="15">
        <v>0</v>
      </c>
      <c r="S182" s="15">
        <f>$G$182*$G$8+$H$182*$H$8+$I$182*$I$8+$J$182*$J$8+$K$182*$K$8+$L$182*$L$8+$M$182*$M$8+$N$182*$N$8+$O$182*$O$8+$P$182*$P$8</f>
        <v>0</v>
      </c>
      <c r="T182" s="15">
        <f>SUM($Q$182:$R$182)</f>
        <v>0</v>
      </c>
      <c r="U182" s="15">
        <f>$S$182+$T$182</f>
        <v>0</v>
      </c>
    </row>
    <row r="183" spans="1:21" x14ac:dyDescent="0.3">
      <c r="A183" s="10" t="s">
        <v>668</v>
      </c>
      <c r="B183" s="11" t="s">
        <v>669</v>
      </c>
      <c r="C183" s="11"/>
      <c r="D183" s="11" t="s">
        <v>670</v>
      </c>
      <c r="E183" s="11">
        <f xml:space="preserve"> IF($U$183,1,0)</f>
        <v>0</v>
      </c>
      <c r="F183" s="11" t="s">
        <v>671</v>
      </c>
      <c r="G183" s="11">
        <v>0</v>
      </c>
      <c r="H183" s="11">
        <v>0</v>
      </c>
      <c r="I183" s="11">
        <v>0</v>
      </c>
      <c r="J183" s="11">
        <v>0</v>
      </c>
      <c r="K183" s="11">
        <v>0</v>
      </c>
      <c r="L183" s="11">
        <v>0</v>
      </c>
      <c r="M183" s="11">
        <v>0</v>
      </c>
      <c r="N183" s="11">
        <v>0</v>
      </c>
      <c r="O183" s="11">
        <v>0</v>
      </c>
      <c r="P183" s="11">
        <v>0</v>
      </c>
      <c r="Q183" s="12">
        <v>0</v>
      </c>
      <c r="R183" s="12">
        <v>0</v>
      </c>
      <c r="S183" s="12">
        <f>$G$183*$G$8+$H$183*$H$8+$I$183*$I$8+$J$183*$J$8+$K$183*$K$8+$L$183*$L$8+$M$183*$M$8+$N$183*$N$8+$O$183*$O$8+$P$183*$P$8</f>
        <v>0</v>
      </c>
      <c r="T183" s="12">
        <f>SUM($Q$183:$R$183)</f>
        <v>0</v>
      </c>
      <c r="U183" s="12">
        <f>$S$183+$T$183</f>
        <v>0</v>
      </c>
    </row>
    <row r="184" spans="1:21" x14ac:dyDescent="0.3">
      <c r="A184" s="13" t="s">
        <v>672</v>
      </c>
      <c r="B184" s="14" t="s">
        <v>673</v>
      </c>
      <c r="C184" s="14"/>
      <c r="D184" s="14" t="s">
        <v>674</v>
      </c>
      <c r="E184" s="14">
        <f xml:space="preserve"> IF($U$184,1,0)</f>
        <v>0</v>
      </c>
      <c r="F184" s="14" t="s">
        <v>675</v>
      </c>
      <c r="G184" s="14">
        <v>0</v>
      </c>
      <c r="H184" s="14">
        <v>0</v>
      </c>
      <c r="I184" s="14">
        <v>0</v>
      </c>
      <c r="J184" s="14">
        <v>0</v>
      </c>
      <c r="K184" s="14">
        <v>0</v>
      </c>
      <c r="L184" s="14">
        <v>0</v>
      </c>
      <c r="M184" s="14">
        <v>0</v>
      </c>
      <c r="N184" s="14">
        <v>0</v>
      </c>
      <c r="O184" s="14">
        <v>0</v>
      </c>
      <c r="P184" s="14">
        <v>0</v>
      </c>
      <c r="Q184" s="15">
        <v>0</v>
      </c>
      <c r="R184" s="15">
        <v>0</v>
      </c>
      <c r="S184" s="15">
        <f>$G$184*$G$8+$H$184*$H$8+$I$184*$I$8+$J$184*$J$8+$K$184*$K$8+$L$184*$L$8+$M$184*$M$8+$N$184*$N$8+$O$184*$O$8+$P$184*$P$8</f>
        <v>0</v>
      </c>
      <c r="T184" s="15">
        <f>SUM($Q$184:$R$184)</f>
        <v>0</v>
      </c>
      <c r="U184" s="15">
        <f>$S$184+$T$184</f>
        <v>0</v>
      </c>
    </row>
    <row r="185" spans="1:21" x14ac:dyDescent="0.3">
      <c r="A185" s="10" t="s">
        <v>676</v>
      </c>
      <c r="B185" s="11" t="s">
        <v>677</v>
      </c>
      <c r="C185" s="11"/>
      <c r="D185" s="11" t="s">
        <v>678</v>
      </c>
      <c r="E185" s="11">
        <f xml:space="preserve"> IF($U$185,1,0)</f>
        <v>0</v>
      </c>
      <c r="F185" s="11" t="s">
        <v>679</v>
      </c>
      <c r="G185" s="11">
        <v>0</v>
      </c>
      <c r="H185" s="11">
        <v>0</v>
      </c>
      <c r="I185" s="11">
        <v>0</v>
      </c>
      <c r="J185" s="11">
        <v>0</v>
      </c>
      <c r="K185" s="11">
        <v>0</v>
      </c>
      <c r="L185" s="11">
        <v>0</v>
      </c>
      <c r="M185" s="11">
        <v>0</v>
      </c>
      <c r="N185" s="11">
        <v>0</v>
      </c>
      <c r="O185" s="11">
        <v>0</v>
      </c>
      <c r="P185" s="11">
        <v>0</v>
      </c>
      <c r="Q185" s="12">
        <v>0</v>
      </c>
      <c r="R185" s="12">
        <v>0</v>
      </c>
      <c r="S185" s="12">
        <f>$G$185*$G$8+$H$185*$H$8+$I$185*$I$8+$J$185*$J$8+$K$185*$K$8+$L$185*$L$8+$M$185*$M$8+$N$185*$N$8+$O$185*$O$8+$P$185*$P$8</f>
        <v>0</v>
      </c>
      <c r="T185" s="12">
        <f>SUM($Q$185:$R$185)</f>
        <v>0</v>
      </c>
      <c r="U185" s="12">
        <f>$S$185+$T$185</f>
        <v>0</v>
      </c>
    </row>
    <row r="186" spans="1:21" x14ac:dyDescent="0.3">
      <c r="A186" s="13" t="s">
        <v>680</v>
      </c>
      <c r="B186" s="14" t="s">
        <v>681</v>
      </c>
      <c r="C186" s="14"/>
      <c r="D186" s="14" t="s">
        <v>682</v>
      </c>
      <c r="E186" s="14">
        <f xml:space="preserve"> IF($U$186,1,0)</f>
        <v>0</v>
      </c>
      <c r="F186" s="14" t="s">
        <v>683</v>
      </c>
      <c r="G186" s="14">
        <v>0</v>
      </c>
      <c r="H186" s="14">
        <v>0</v>
      </c>
      <c r="I186" s="14">
        <v>0</v>
      </c>
      <c r="J186" s="14">
        <v>0</v>
      </c>
      <c r="K186" s="14">
        <v>0</v>
      </c>
      <c r="L186" s="14">
        <v>0</v>
      </c>
      <c r="M186" s="14">
        <v>0</v>
      </c>
      <c r="N186" s="14">
        <v>0</v>
      </c>
      <c r="O186" s="14">
        <v>0</v>
      </c>
      <c r="P186" s="14">
        <v>0</v>
      </c>
      <c r="Q186" s="15">
        <v>0</v>
      </c>
      <c r="R186" s="15">
        <v>0</v>
      </c>
      <c r="S186" s="15">
        <f>$G$186*$G$8+$H$186*$H$8+$I$186*$I$8+$J$186*$J$8+$K$186*$K$8+$L$186*$L$8+$M$186*$M$8+$N$186*$N$8+$O$186*$O$8+$P$186*$P$8</f>
        <v>0</v>
      </c>
      <c r="T186" s="15">
        <f>SUM($Q$186:$R$186)</f>
        <v>0</v>
      </c>
      <c r="U186" s="15">
        <f>$S$186+$T$186</f>
        <v>0</v>
      </c>
    </row>
    <row r="187" spans="1:21" x14ac:dyDescent="0.3">
      <c r="A187" s="10" t="s">
        <v>684</v>
      </c>
      <c r="B187" s="11" t="s">
        <v>685</v>
      </c>
      <c r="C187" s="11"/>
      <c r="D187" s="11" t="s">
        <v>686</v>
      </c>
      <c r="E187" s="11">
        <f xml:space="preserve"> IF($U$187,1,0)</f>
        <v>0</v>
      </c>
      <c r="F187" s="11" t="s">
        <v>687</v>
      </c>
      <c r="G187" s="11">
        <v>0</v>
      </c>
      <c r="H187" s="11">
        <v>0</v>
      </c>
      <c r="I187" s="11">
        <v>0</v>
      </c>
      <c r="J187" s="11">
        <v>0</v>
      </c>
      <c r="K187" s="11">
        <v>0</v>
      </c>
      <c r="L187" s="11">
        <v>0</v>
      </c>
      <c r="M187" s="11">
        <v>0</v>
      </c>
      <c r="N187" s="11">
        <v>0</v>
      </c>
      <c r="O187" s="11">
        <v>0</v>
      </c>
      <c r="P187" s="11">
        <v>0</v>
      </c>
      <c r="Q187" s="12">
        <v>0</v>
      </c>
      <c r="R187" s="12">
        <v>0</v>
      </c>
      <c r="S187" s="12">
        <f>$G$187*$G$8+$H$187*$H$8+$I$187*$I$8+$J$187*$J$8+$K$187*$K$8+$L$187*$L$8+$M$187*$M$8+$N$187*$N$8+$O$187*$O$8+$P$187*$P$8</f>
        <v>0</v>
      </c>
      <c r="T187" s="12">
        <f>SUM($Q$187:$R$187)</f>
        <v>0</v>
      </c>
      <c r="U187" s="12">
        <f>$S$187+$T$187</f>
        <v>0</v>
      </c>
    </row>
    <row r="188" spans="1:21" x14ac:dyDescent="0.3">
      <c r="A188" s="13" t="s">
        <v>688</v>
      </c>
      <c r="B188" s="14" t="s">
        <v>689</v>
      </c>
      <c r="C188" s="14"/>
      <c r="D188" s="14" t="s">
        <v>690</v>
      </c>
      <c r="E188" s="14">
        <f xml:space="preserve"> IF($U$188,1,0)</f>
        <v>0</v>
      </c>
      <c r="F188" s="14" t="s">
        <v>691</v>
      </c>
      <c r="G188" s="14">
        <v>0</v>
      </c>
      <c r="H188" s="14">
        <v>0</v>
      </c>
      <c r="I188" s="14">
        <v>0</v>
      </c>
      <c r="J188" s="14">
        <v>0</v>
      </c>
      <c r="K188" s="14">
        <v>0</v>
      </c>
      <c r="L188" s="14">
        <v>0</v>
      </c>
      <c r="M188" s="14">
        <v>0</v>
      </c>
      <c r="N188" s="14">
        <v>0</v>
      </c>
      <c r="O188" s="14">
        <v>0</v>
      </c>
      <c r="P188" s="14">
        <v>0</v>
      </c>
      <c r="Q188" s="15">
        <v>0</v>
      </c>
      <c r="R188" s="15">
        <v>0</v>
      </c>
      <c r="S188" s="15">
        <f>$G$188*$G$8+$H$188*$H$8+$I$188*$I$8+$J$188*$J$8+$K$188*$K$8+$L$188*$L$8+$M$188*$M$8+$N$188*$N$8+$O$188*$O$8+$P$188*$P$8</f>
        <v>0</v>
      </c>
      <c r="T188" s="15">
        <f>SUM($Q$188:$R$188)</f>
        <v>0</v>
      </c>
      <c r="U188" s="15">
        <f>$S$188+$T$188</f>
        <v>0</v>
      </c>
    </row>
    <row r="189" spans="1:21" x14ac:dyDescent="0.3">
      <c r="A189" s="10" t="s">
        <v>692</v>
      </c>
      <c r="B189" s="11" t="s">
        <v>693</v>
      </c>
      <c r="C189" s="11" t="s">
        <v>65</v>
      </c>
      <c r="D189" s="11" t="s">
        <v>694</v>
      </c>
      <c r="E189" s="11">
        <f xml:space="preserve"> IF($U$189,1,0)</f>
        <v>0</v>
      </c>
      <c r="F189" s="11" t="s">
        <v>695</v>
      </c>
      <c r="G189" s="11">
        <v>0</v>
      </c>
      <c r="H189" s="11">
        <v>0</v>
      </c>
      <c r="I189" s="11">
        <v>0</v>
      </c>
      <c r="J189" s="11">
        <v>0</v>
      </c>
      <c r="K189" s="11">
        <v>0</v>
      </c>
      <c r="L189" s="11">
        <v>0</v>
      </c>
      <c r="M189" s="11">
        <v>0</v>
      </c>
      <c r="N189" s="11">
        <v>0</v>
      </c>
      <c r="O189" s="11">
        <v>0</v>
      </c>
      <c r="P189" s="11">
        <v>0</v>
      </c>
      <c r="Q189" s="12">
        <v>0</v>
      </c>
      <c r="R189" s="12">
        <v>0</v>
      </c>
      <c r="S189" s="12">
        <f>$G$189*$G$8+$H$189*$H$8+$I$189*$I$8+$J$189*$J$8+$K$189*$K$8+$L$189*$L$8+$M$189*$M$8+$N$189*$N$8+$O$189*$O$8+$P$189*$P$8</f>
        <v>0</v>
      </c>
      <c r="T189" s="12">
        <f>SUM($Q$189:$R$189)</f>
        <v>0</v>
      </c>
      <c r="U189" s="12">
        <f>$S$189+$T$189</f>
        <v>0</v>
      </c>
    </row>
    <row r="190" spans="1:21" x14ac:dyDescent="0.3">
      <c r="A190" s="13" t="s">
        <v>696</v>
      </c>
      <c r="B190" s="14" t="s">
        <v>697</v>
      </c>
      <c r="C190" s="14"/>
      <c r="D190" s="14" t="s">
        <v>698</v>
      </c>
      <c r="E190" s="14">
        <f xml:space="preserve"> IF($U$190,1,0)</f>
        <v>0</v>
      </c>
      <c r="F190" s="14" t="s">
        <v>699</v>
      </c>
      <c r="G190" s="14">
        <v>0</v>
      </c>
      <c r="H190" s="14">
        <v>0</v>
      </c>
      <c r="I190" s="14">
        <v>0</v>
      </c>
      <c r="J190" s="14">
        <v>0</v>
      </c>
      <c r="K190" s="14">
        <v>0</v>
      </c>
      <c r="L190" s="14">
        <v>0</v>
      </c>
      <c r="M190" s="14">
        <v>0</v>
      </c>
      <c r="N190" s="14">
        <v>0</v>
      </c>
      <c r="O190" s="14">
        <v>0</v>
      </c>
      <c r="P190" s="14">
        <v>0</v>
      </c>
      <c r="Q190" s="15">
        <v>0</v>
      </c>
      <c r="R190" s="15">
        <v>0</v>
      </c>
      <c r="S190" s="15">
        <f>$G$190*$G$8+$H$190*$H$8+$I$190*$I$8+$J$190*$J$8+$K$190*$K$8+$L$190*$L$8+$M$190*$M$8+$N$190*$N$8+$O$190*$O$8+$P$190*$P$8</f>
        <v>0</v>
      </c>
      <c r="T190" s="15">
        <f>SUM($Q$190:$R$190)</f>
        <v>0</v>
      </c>
      <c r="U190" s="15">
        <f>$S$190+$T$190</f>
        <v>0</v>
      </c>
    </row>
    <row r="191" spans="1:21" x14ac:dyDescent="0.3">
      <c r="A191" s="10" t="s">
        <v>700</v>
      </c>
      <c r="B191" s="11" t="s">
        <v>697</v>
      </c>
      <c r="C191" s="11"/>
      <c r="D191" s="11" t="s">
        <v>701</v>
      </c>
      <c r="E191" s="11">
        <f xml:space="preserve"> IF($U$191,1,0)</f>
        <v>0</v>
      </c>
      <c r="F191" s="11" t="s">
        <v>702</v>
      </c>
      <c r="G191" s="11">
        <v>0</v>
      </c>
      <c r="H191" s="11">
        <v>0</v>
      </c>
      <c r="I191" s="11">
        <v>0</v>
      </c>
      <c r="J191" s="11">
        <v>0</v>
      </c>
      <c r="K191" s="11">
        <v>0</v>
      </c>
      <c r="L191" s="11">
        <v>0</v>
      </c>
      <c r="M191" s="11">
        <v>0</v>
      </c>
      <c r="N191" s="11">
        <v>0</v>
      </c>
      <c r="O191" s="11">
        <v>0</v>
      </c>
      <c r="P191" s="11">
        <v>0</v>
      </c>
      <c r="Q191" s="12">
        <v>0</v>
      </c>
      <c r="R191" s="12">
        <v>0</v>
      </c>
      <c r="S191" s="12">
        <f>$G$191*$G$8+$H$191*$H$8+$I$191*$I$8+$J$191*$J$8+$K$191*$K$8+$L$191*$L$8+$M$191*$M$8+$N$191*$N$8+$O$191*$O$8+$P$191*$P$8</f>
        <v>0</v>
      </c>
      <c r="T191" s="12">
        <f>SUM($Q$191:$R$191)</f>
        <v>0</v>
      </c>
      <c r="U191" s="12">
        <f>$S$191+$T$191</f>
        <v>0</v>
      </c>
    </row>
    <row r="192" spans="1:21" x14ac:dyDescent="0.3">
      <c r="A192" s="13" t="s">
        <v>703</v>
      </c>
      <c r="B192" s="14" t="s">
        <v>704</v>
      </c>
      <c r="C192" s="14"/>
      <c r="D192" s="14" t="s">
        <v>705</v>
      </c>
      <c r="E192" s="14">
        <f xml:space="preserve"> IF($U$192,1,0)</f>
        <v>0</v>
      </c>
      <c r="F192" s="14" t="s">
        <v>706</v>
      </c>
      <c r="G192" s="14">
        <v>0</v>
      </c>
      <c r="H192" s="14">
        <v>0</v>
      </c>
      <c r="I192" s="14">
        <v>0</v>
      </c>
      <c r="J192" s="14">
        <v>0</v>
      </c>
      <c r="K192" s="14">
        <v>0</v>
      </c>
      <c r="L192" s="14">
        <v>0</v>
      </c>
      <c r="M192" s="14">
        <v>0</v>
      </c>
      <c r="N192" s="14">
        <v>0</v>
      </c>
      <c r="O192" s="14">
        <v>0</v>
      </c>
      <c r="P192" s="14">
        <v>0</v>
      </c>
      <c r="Q192" s="15">
        <v>0</v>
      </c>
      <c r="R192" s="15">
        <v>0</v>
      </c>
      <c r="S192" s="15">
        <f>$G$192*$G$8+$H$192*$H$8+$I$192*$I$8+$J$192*$J$8+$K$192*$K$8+$L$192*$L$8+$M$192*$M$8+$N$192*$N$8+$O$192*$O$8+$P$192*$P$8</f>
        <v>0</v>
      </c>
      <c r="T192" s="15">
        <f>SUM($Q$192:$R$192)</f>
        <v>0</v>
      </c>
      <c r="U192" s="15">
        <f>$S$192+$T$192</f>
        <v>0</v>
      </c>
    </row>
    <row r="193" spans="1:21" x14ac:dyDescent="0.3">
      <c r="A193" s="10" t="s">
        <v>707</v>
      </c>
      <c r="B193" s="11" t="s">
        <v>708</v>
      </c>
      <c r="C193" s="11"/>
      <c r="D193" s="11" t="s">
        <v>222</v>
      </c>
      <c r="E193" s="11">
        <f xml:space="preserve"> IF($U$193,1,0)</f>
        <v>0</v>
      </c>
      <c r="F193" s="11" t="s">
        <v>709</v>
      </c>
      <c r="G193" s="11">
        <v>0</v>
      </c>
      <c r="H193" s="11">
        <v>0</v>
      </c>
      <c r="I193" s="11">
        <v>0</v>
      </c>
      <c r="J193" s="11">
        <v>0</v>
      </c>
      <c r="K193" s="11">
        <v>0</v>
      </c>
      <c r="L193" s="11">
        <v>0</v>
      </c>
      <c r="M193" s="11">
        <v>0</v>
      </c>
      <c r="N193" s="11">
        <v>0</v>
      </c>
      <c r="O193" s="11">
        <v>0</v>
      </c>
      <c r="P193" s="11">
        <v>0</v>
      </c>
      <c r="Q193" s="12">
        <v>0</v>
      </c>
      <c r="R193" s="12">
        <v>0</v>
      </c>
      <c r="S193" s="12">
        <f>$G$193*$G$8+$H$193*$H$8+$I$193*$I$8+$J$193*$J$8+$K$193*$K$8+$L$193*$L$8+$M$193*$M$8+$N$193*$N$8+$O$193*$O$8+$P$193*$P$8</f>
        <v>0</v>
      </c>
      <c r="T193" s="12">
        <f>SUM($Q$193:$R$193)</f>
        <v>0</v>
      </c>
      <c r="U193" s="12">
        <f>$S$193+$T$193</f>
        <v>0</v>
      </c>
    </row>
    <row r="194" spans="1:21" x14ac:dyDescent="0.3">
      <c r="A194" s="13" t="s">
        <v>710</v>
      </c>
      <c r="B194" s="14" t="s">
        <v>708</v>
      </c>
      <c r="C194" s="14"/>
      <c r="D194" s="14" t="s">
        <v>711</v>
      </c>
      <c r="E194" s="14">
        <f xml:space="preserve"> IF($U$194,1,0)</f>
        <v>0</v>
      </c>
      <c r="F194" s="14" t="s">
        <v>712</v>
      </c>
      <c r="G194" s="14">
        <v>0</v>
      </c>
      <c r="H194" s="14">
        <v>0</v>
      </c>
      <c r="I194" s="14">
        <v>0</v>
      </c>
      <c r="J194" s="14">
        <v>0</v>
      </c>
      <c r="K194" s="14">
        <v>0</v>
      </c>
      <c r="L194" s="14">
        <v>0</v>
      </c>
      <c r="M194" s="14">
        <v>0</v>
      </c>
      <c r="N194" s="14">
        <v>0</v>
      </c>
      <c r="O194" s="14">
        <v>0</v>
      </c>
      <c r="P194" s="14">
        <v>0</v>
      </c>
      <c r="Q194" s="15">
        <v>0</v>
      </c>
      <c r="R194" s="15">
        <v>0</v>
      </c>
      <c r="S194" s="15">
        <f>$G$194*$G$8+$H$194*$H$8+$I$194*$I$8+$J$194*$J$8+$K$194*$K$8+$L$194*$L$8+$M$194*$M$8+$N$194*$N$8+$O$194*$O$8+$P$194*$P$8</f>
        <v>0</v>
      </c>
      <c r="T194" s="15">
        <f>SUM($Q$194:$R$194)</f>
        <v>0</v>
      </c>
      <c r="U194" s="15">
        <f>$S$194+$T$194</f>
        <v>0</v>
      </c>
    </row>
    <row r="195" spans="1:21" x14ac:dyDescent="0.3">
      <c r="A195" s="10" t="s">
        <v>713</v>
      </c>
      <c r="B195" s="11" t="s">
        <v>708</v>
      </c>
      <c r="C195" s="11"/>
      <c r="D195" s="11" t="s">
        <v>714</v>
      </c>
      <c r="E195" s="11">
        <f xml:space="preserve"> IF($U$195,1,0)</f>
        <v>0</v>
      </c>
      <c r="F195" s="11" t="s">
        <v>715</v>
      </c>
      <c r="G195" s="11">
        <v>0</v>
      </c>
      <c r="H195" s="11">
        <v>0</v>
      </c>
      <c r="I195" s="11">
        <v>0</v>
      </c>
      <c r="J195" s="11">
        <v>0</v>
      </c>
      <c r="K195" s="11">
        <v>0</v>
      </c>
      <c r="L195" s="11">
        <v>0</v>
      </c>
      <c r="M195" s="11">
        <v>0</v>
      </c>
      <c r="N195" s="11">
        <v>0</v>
      </c>
      <c r="O195" s="11">
        <v>0</v>
      </c>
      <c r="P195" s="11">
        <v>0</v>
      </c>
      <c r="Q195" s="12">
        <v>0</v>
      </c>
      <c r="R195" s="12">
        <v>0</v>
      </c>
      <c r="S195" s="12">
        <f>$G$195*$G$8+$H$195*$H$8+$I$195*$I$8+$J$195*$J$8+$K$195*$K$8+$L$195*$L$8+$M$195*$M$8+$N$195*$N$8+$O$195*$O$8+$P$195*$P$8</f>
        <v>0</v>
      </c>
      <c r="T195" s="12">
        <f>SUM($Q$195:$R$195)</f>
        <v>0</v>
      </c>
      <c r="U195" s="12">
        <f>$S$195+$T$195</f>
        <v>0</v>
      </c>
    </row>
    <row r="196" spans="1:21" x14ac:dyDescent="0.3">
      <c r="A196" s="13" t="s">
        <v>716</v>
      </c>
      <c r="B196" s="14" t="s">
        <v>717</v>
      </c>
      <c r="C196" s="14"/>
      <c r="D196" s="14" t="s">
        <v>718</v>
      </c>
      <c r="E196" s="14">
        <f xml:space="preserve"> IF($U$196,1,0)</f>
        <v>0</v>
      </c>
      <c r="F196" s="14" t="s">
        <v>719</v>
      </c>
      <c r="G196" s="14">
        <v>0</v>
      </c>
      <c r="H196" s="14">
        <v>0</v>
      </c>
      <c r="I196" s="14">
        <v>0</v>
      </c>
      <c r="J196" s="14">
        <v>0</v>
      </c>
      <c r="K196" s="14">
        <v>0</v>
      </c>
      <c r="L196" s="14">
        <v>0</v>
      </c>
      <c r="M196" s="14">
        <v>0</v>
      </c>
      <c r="N196" s="14">
        <v>0</v>
      </c>
      <c r="O196" s="14">
        <v>0</v>
      </c>
      <c r="P196" s="14">
        <v>0</v>
      </c>
      <c r="Q196" s="15">
        <v>0</v>
      </c>
      <c r="R196" s="15">
        <v>0</v>
      </c>
      <c r="S196" s="15">
        <f>$G$196*$G$8+$H$196*$H$8+$I$196*$I$8+$J$196*$J$8+$K$196*$K$8+$L$196*$L$8+$M$196*$M$8+$N$196*$N$8+$O$196*$O$8+$P$196*$P$8</f>
        <v>0</v>
      </c>
      <c r="T196" s="15">
        <f>SUM($Q$196:$R$196)</f>
        <v>0</v>
      </c>
      <c r="U196" s="15">
        <f>$S$196+$T$196</f>
        <v>0</v>
      </c>
    </row>
    <row r="197" spans="1:21" x14ac:dyDescent="0.3">
      <c r="A197" s="10" t="s">
        <v>720</v>
      </c>
      <c r="B197" s="11" t="s">
        <v>721</v>
      </c>
      <c r="C197" s="11"/>
      <c r="D197" s="11" t="s">
        <v>722</v>
      </c>
      <c r="E197" s="11">
        <f xml:space="preserve"> IF($U$197,1,0)</f>
        <v>0</v>
      </c>
      <c r="F197" s="11" t="s">
        <v>723</v>
      </c>
      <c r="G197" s="11">
        <v>0</v>
      </c>
      <c r="H197" s="11">
        <v>0</v>
      </c>
      <c r="I197" s="11">
        <v>0</v>
      </c>
      <c r="J197" s="11">
        <v>0</v>
      </c>
      <c r="K197" s="11">
        <v>0</v>
      </c>
      <c r="L197" s="11">
        <v>0</v>
      </c>
      <c r="M197" s="11">
        <v>0</v>
      </c>
      <c r="N197" s="11">
        <v>0</v>
      </c>
      <c r="O197" s="11">
        <v>0</v>
      </c>
      <c r="P197" s="11">
        <v>0</v>
      </c>
      <c r="Q197" s="12">
        <v>0</v>
      </c>
      <c r="R197" s="12">
        <v>0</v>
      </c>
      <c r="S197" s="12">
        <f>$G$197*$G$8+$H$197*$H$8+$I$197*$I$8+$J$197*$J$8+$K$197*$K$8+$L$197*$L$8+$M$197*$M$8+$N$197*$N$8+$O$197*$O$8+$P$197*$P$8</f>
        <v>0</v>
      </c>
      <c r="T197" s="12">
        <f>SUM($Q$197:$R$197)</f>
        <v>0</v>
      </c>
      <c r="U197" s="12">
        <f>$S$197+$T$197</f>
        <v>0</v>
      </c>
    </row>
    <row r="198" spans="1:21" x14ac:dyDescent="0.3">
      <c r="A198" s="13" t="s">
        <v>724</v>
      </c>
      <c r="B198" s="14" t="s">
        <v>721</v>
      </c>
      <c r="C198" s="14"/>
      <c r="D198" s="14" t="s">
        <v>725</v>
      </c>
      <c r="E198" s="14">
        <f xml:space="preserve"> IF($U$198,1,0)</f>
        <v>0</v>
      </c>
      <c r="F198" s="14" t="s">
        <v>726</v>
      </c>
      <c r="G198" s="14">
        <v>0</v>
      </c>
      <c r="H198" s="14">
        <v>0</v>
      </c>
      <c r="I198" s="14">
        <v>0</v>
      </c>
      <c r="J198" s="14">
        <v>0</v>
      </c>
      <c r="K198" s="14">
        <v>0</v>
      </c>
      <c r="L198" s="14">
        <v>0</v>
      </c>
      <c r="M198" s="14">
        <v>0</v>
      </c>
      <c r="N198" s="14">
        <v>0</v>
      </c>
      <c r="O198" s="14">
        <v>0</v>
      </c>
      <c r="P198" s="14">
        <v>0</v>
      </c>
      <c r="Q198" s="15">
        <v>0</v>
      </c>
      <c r="R198" s="15">
        <v>0</v>
      </c>
      <c r="S198" s="15">
        <f>$G$198*$G$8+$H$198*$H$8+$I$198*$I$8+$J$198*$J$8+$K$198*$K$8+$L$198*$L$8+$M$198*$M$8+$N$198*$N$8+$O$198*$O$8+$P$198*$P$8</f>
        <v>0</v>
      </c>
      <c r="T198" s="15">
        <f>SUM($Q$198:$R$198)</f>
        <v>0</v>
      </c>
      <c r="U198" s="15">
        <f>$S$198+$T$198</f>
        <v>0</v>
      </c>
    </row>
    <row r="199" spans="1:21" x14ac:dyDescent="0.3">
      <c r="A199" s="10" t="s">
        <v>727</v>
      </c>
      <c r="B199" s="11" t="s">
        <v>728</v>
      </c>
      <c r="C199" s="11"/>
      <c r="D199" s="11" t="s">
        <v>729</v>
      </c>
      <c r="E199" s="11">
        <f xml:space="preserve"> IF($U$199,1,0)</f>
        <v>0</v>
      </c>
      <c r="F199" s="11" t="s">
        <v>730</v>
      </c>
      <c r="G199" s="11">
        <v>0</v>
      </c>
      <c r="H199" s="11">
        <v>0</v>
      </c>
      <c r="I199" s="11">
        <v>0</v>
      </c>
      <c r="J199" s="11">
        <v>0</v>
      </c>
      <c r="K199" s="11">
        <v>0</v>
      </c>
      <c r="L199" s="11">
        <v>0</v>
      </c>
      <c r="M199" s="11">
        <v>0</v>
      </c>
      <c r="N199" s="11">
        <v>0</v>
      </c>
      <c r="O199" s="11">
        <v>0</v>
      </c>
      <c r="P199" s="11">
        <v>0</v>
      </c>
      <c r="Q199" s="12">
        <v>0</v>
      </c>
      <c r="R199" s="12">
        <v>0</v>
      </c>
      <c r="S199" s="12">
        <f>$G$199*$G$8+$H$199*$H$8+$I$199*$I$8+$J$199*$J$8+$K$199*$K$8+$L$199*$L$8+$M$199*$M$8+$N$199*$N$8+$O$199*$O$8+$P$199*$P$8</f>
        <v>0</v>
      </c>
      <c r="T199" s="12">
        <f>SUM($Q$199:$R$199)</f>
        <v>0</v>
      </c>
      <c r="U199" s="12">
        <f>$S$199+$T$199</f>
        <v>0</v>
      </c>
    </row>
    <row r="200" spans="1:21" x14ac:dyDescent="0.3">
      <c r="A200" s="13" t="s">
        <v>731</v>
      </c>
      <c r="B200" s="14" t="s">
        <v>732</v>
      </c>
      <c r="C200" s="14"/>
      <c r="D200" s="14" t="s">
        <v>733</v>
      </c>
      <c r="E200" s="14">
        <f xml:space="preserve"> IF($U$200,1,0)</f>
        <v>0</v>
      </c>
      <c r="F200" s="14" t="s">
        <v>734</v>
      </c>
      <c r="G200" s="14">
        <v>0</v>
      </c>
      <c r="H200" s="14">
        <v>0</v>
      </c>
      <c r="I200" s="14">
        <v>0</v>
      </c>
      <c r="J200" s="14">
        <v>0</v>
      </c>
      <c r="K200" s="14">
        <v>0</v>
      </c>
      <c r="L200" s="14">
        <v>0</v>
      </c>
      <c r="M200" s="14">
        <v>0</v>
      </c>
      <c r="N200" s="14">
        <v>0</v>
      </c>
      <c r="O200" s="14">
        <v>0</v>
      </c>
      <c r="P200" s="14">
        <v>0</v>
      </c>
      <c r="Q200" s="15">
        <v>0</v>
      </c>
      <c r="R200" s="15">
        <v>0</v>
      </c>
      <c r="S200" s="15">
        <f>$G$200*$G$8+$H$200*$H$8+$I$200*$I$8+$J$200*$J$8+$K$200*$K$8+$L$200*$L$8+$M$200*$M$8+$N$200*$N$8+$O$200*$O$8+$P$200*$P$8</f>
        <v>0</v>
      </c>
      <c r="T200" s="15">
        <f>SUM($Q$200:$R$200)</f>
        <v>0</v>
      </c>
      <c r="U200" s="15">
        <f>$S$200+$T$200</f>
        <v>0</v>
      </c>
    </row>
    <row r="201" spans="1:21" x14ac:dyDescent="0.3">
      <c r="A201" s="10" t="s">
        <v>735</v>
      </c>
      <c r="B201" s="11" t="s">
        <v>736</v>
      </c>
      <c r="C201" s="11"/>
      <c r="D201" s="11" t="s">
        <v>737</v>
      </c>
      <c r="E201" s="11">
        <f xml:space="preserve"> IF($U$201,1,0)</f>
        <v>0</v>
      </c>
      <c r="F201" s="11" t="s">
        <v>738</v>
      </c>
      <c r="G201" s="11">
        <v>0</v>
      </c>
      <c r="H201" s="11">
        <v>0</v>
      </c>
      <c r="I201" s="11">
        <v>0</v>
      </c>
      <c r="J201" s="11">
        <v>0</v>
      </c>
      <c r="K201" s="11">
        <v>0</v>
      </c>
      <c r="L201" s="11">
        <v>0</v>
      </c>
      <c r="M201" s="11">
        <v>0</v>
      </c>
      <c r="N201" s="11">
        <v>0</v>
      </c>
      <c r="O201" s="11">
        <v>0</v>
      </c>
      <c r="P201" s="11">
        <v>0</v>
      </c>
      <c r="Q201" s="12">
        <v>0</v>
      </c>
      <c r="R201" s="12">
        <v>0</v>
      </c>
      <c r="S201" s="12">
        <f>$G$201*$G$8+$H$201*$H$8+$I$201*$I$8+$J$201*$J$8+$K$201*$K$8+$L$201*$L$8+$M$201*$M$8+$N$201*$N$8+$O$201*$O$8+$P$201*$P$8</f>
        <v>0</v>
      </c>
      <c r="T201" s="12">
        <f>SUM($Q$201:$R$201)</f>
        <v>0</v>
      </c>
      <c r="U201" s="12">
        <f>$S$201+$T$201</f>
        <v>0</v>
      </c>
    </row>
    <row r="202" spans="1:21" x14ac:dyDescent="0.3">
      <c r="A202" s="13" t="s">
        <v>739</v>
      </c>
      <c r="B202" s="14" t="s">
        <v>740</v>
      </c>
      <c r="C202" s="14" t="s">
        <v>65</v>
      </c>
      <c r="D202" s="14" t="s">
        <v>239</v>
      </c>
      <c r="E202" s="14">
        <f xml:space="preserve"> IF($U$202,1,0)</f>
        <v>0</v>
      </c>
      <c r="F202" s="14" t="s">
        <v>741</v>
      </c>
      <c r="G202" s="14">
        <v>0</v>
      </c>
      <c r="H202" s="14">
        <v>0</v>
      </c>
      <c r="I202" s="14">
        <v>0</v>
      </c>
      <c r="J202" s="14">
        <v>0</v>
      </c>
      <c r="K202" s="14">
        <v>0</v>
      </c>
      <c r="L202" s="14">
        <v>0</v>
      </c>
      <c r="M202" s="14">
        <v>0</v>
      </c>
      <c r="N202" s="14">
        <v>0</v>
      </c>
      <c r="O202" s="14">
        <v>0</v>
      </c>
      <c r="P202" s="14">
        <v>0</v>
      </c>
      <c r="Q202" s="15">
        <v>0</v>
      </c>
      <c r="R202" s="15">
        <v>0</v>
      </c>
      <c r="S202" s="15">
        <f>$G$202*$G$8+$H$202*$H$8+$I$202*$I$8+$J$202*$J$8+$K$202*$K$8+$L$202*$L$8+$M$202*$M$8+$N$202*$N$8+$O$202*$O$8+$P$202*$P$8</f>
        <v>0</v>
      </c>
      <c r="T202" s="15">
        <f>SUM($Q$202:$R$202)</f>
        <v>0</v>
      </c>
      <c r="U202" s="15">
        <f>$S$202+$T$202</f>
        <v>0</v>
      </c>
    </row>
    <row r="203" spans="1:21" x14ac:dyDescent="0.3">
      <c r="A203" s="10" t="s">
        <v>742</v>
      </c>
      <c r="B203" s="11" t="s">
        <v>743</v>
      </c>
      <c r="C203" s="11"/>
      <c r="D203" s="11" t="s">
        <v>744</v>
      </c>
      <c r="E203" s="11">
        <f xml:space="preserve"> IF($U$203,1,0)</f>
        <v>0</v>
      </c>
      <c r="F203" s="11" t="s">
        <v>745</v>
      </c>
      <c r="G203" s="11">
        <v>0</v>
      </c>
      <c r="H203" s="11">
        <v>0</v>
      </c>
      <c r="I203" s="11">
        <v>0</v>
      </c>
      <c r="J203" s="11">
        <v>0</v>
      </c>
      <c r="K203" s="11">
        <v>0</v>
      </c>
      <c r="L203" s="11">
        <v>0</v>
      </c>
      <c r="M203" s="11">
        <v>0</v>
      </c>
      <c r="N203" s="11">
        <v>0</v>
      </c>
      <c r="O203" s="11">
        <v>0</v>
      </c>
      <c r="P203" s="11">
        <v>0</v>
      </c>
      <c r="Q203" s="12">
        <v>0</v>
      </c>
      <c r="R203" s="12">
        <v>0</v>
      </c>
      <c r="S203" s="12">
        <f>$G$203*$G$8+$H$203*$H$8+$I$203*$I$8+$J$203*$J$8+$K$203*$K$8+$L$203*$L$8+$M$203*$M$8+$N$203*$N$8+$O$203*$O$8+$P$203*$P$8</f>
        <v>0</v>
      </c>
      <c r="T203" s="12">
        <f>SUM($Q$203:$R$203)</f>
        <v>0</v>
      </c>
      <c r="U203" s="12">
        <f>$S$203+$T$203</f>
        <v>0</v>
      </c>
    </row>
    <row r="204" spans="1:21" x14ac:dyDescent="0.3">
      <c r="A204" s="13" t="s">
        <v>746</v>
      </c>
      <c r="B204" s="14" t="s">
        <v>747</v>
      </c>
      <c r="C204" s="14"/>
      <c r="D204" s="14" t="s">
        <v>748</v>
      </c>
      <c r="E204" s="14">
        <f xml:space="preserve"> IF($U$204,1,0)</f>
        <v>0</v>
      </c>
      <c r="F204" s="14" t="s">
        <v>749</v>
      </c>
      <c r="G204" s="14">
        <v>0</v>
      </c>
      <c r="H204" s="14">
        <v>0</v>
      </c>
      <c r="I204" s="14">
        <v>0</v>
      </c>
      <c r="J204" s="14">
        <v>0</v>
      </c>
      <c r="K204" s="14">
        <v>0</v>
      </c>
      <c r="L204" s="14">
        <v>0</v>
      </c>
      <c r="M204" s="14">
        <v>0</v>
      </c>
      <c r="N204" s="14">
        <v>0</v>
      </c>
      <c r="O204" s="14">
        <v>0</v>
      </c>
      <c r="P204" s="14">
        <v>0</v>
      </c>
      <c r="Q204" s="15">
        <v>0</v>
      </c>
      <c r="R204" s="15">
        <v>0</v>
      </c>
      <c r="S204" s="15">
        <f>$G$204*$G$8+$H$204*$H$8+$I$204*$I$8+$J$204*$J$8+$K$204*$K$8+$L$204*$L$8+$M$204*$M$8+$N$204*$N$8+$O$204*$O$8+$P$204*$P$8</f>
        <v>0</v>
      </c>
      <c r="T204" s="15">
        <f>SUM($Q$204:$R$204)</f>
        <v>0</v>
      </c>
      <c r="U204" s="15">
        <f>$S$204+$T$204</f>
        <v>0</v>
      </c>
    </row>
    <row r="205" spans="1:21" x14ac:dyDescent="0.3">
      <c r="A205" s="10" t="s">
        <v>750</v>
      </c>
      <c r="B205" s="11" t="s">
        <v>751</v>
      </c>
      <c r="C205" s="11"/>
      <c r="D205" s="11" t="s">
        <v>752</v>
      </c>
      <c r="E205" s="11">
        <f xml:space="preserve"> IF($U$205,1,0)</f>
        <v>0</v>
      </c>
      <c r="F205" s="11" t="s">
        <v>753</v>
      </c>
      <c r="G205" s="11">
        <v>0</v>
      </c>
      <c r="H205" s="11">
        <v>0</v>
      </c>
      <c r="I205" s="11">
        <v>0</v>
      </c>
      <c r="J205" s="11">
        <v>0</v>
      </c>
      <c r="K205" s="11">
        <v>0</v>
      </c>
      <c r="L205" s="11">
        <v>0</v>
      </c>
      <c r="M205" s="11">
        <v>0</v>
      </c>
      <c r="N205" s="11">
        <v>0</v>
      </c>
      <c r="O205" s="11">
        <v>0</v>
      </c>
      <c r="P205" s="11">
        <v>0</v>
      </c>
      <c r="Q205" s="12">
        <v>0</v>
      </c>
      <c r="R205" s="12">
        <v>0</v>
      </c>
      <c r="S205" s="12">
        <f>$G$205*$G$8+$H$205*$H$8+$I$205*$I$8+$J$205*$J$8+$K$205*$K$8+$L$205*$L$8+$M$205*$M$8+$N$205*$N$8+$O$205*$O$8+$P$205*$P$8</f>
        <v>0</v>
      </c>
      <c r="T205" s="12">
        <f>SUM($Q$205:$R$205)</f>
        <v>0</v>
      </c>
      <c r="U205" s="12">
        <f>$S$205+$T$205</f>
        <v>0</v>
      </c>
    </row>
    <row r="206" spans="1:21" x14ac:dyDescent="0.3">
      <c r="A206" s="13" t="s">
        <v>754</v>
      </c>
      <c r="B206" s="14" t="s">
        <v>755</v>
      </c>
      <c r="C206" s="14"/>
      <c r="D206" s="14" t="s">
        <v>756</v>
      </c>
      <c r="E206" s="14">
        <f xml:space="preserve"> IF($U$206,1,0)</f>
        <v>0</v>
      </c>
      <c r="F206" s="14" t="s">
        <v>757</v>
      </c>
      <c r="G206" s="14">
        <v>0</v>
      </c>
      <c r="H206" s="14">
        <v>0</v>
      </c>
      <c r="I206" s="14">
        <v>0</v>
      </c>
      <c r="J206" s="14">
        <v>0</v>
      </c>
      <c r="K206" s="14">
        <v>0</v>
      </c>
      <c r="L206" s="14">
        <v>0</v>
      </c>
      <c r="M206" s="14">
        <v>0</v>
      </c>
      <c r="N206" s="14">
        <v>0</v>
      </c>
      <c r="O206" s="14">
        <v>0</v>
      </c>
      <c r="P206" s="14">
        <v>0</v>
      </c>
      <c r="Q206" s="15">
        <v>0</v>
      </c>
      <c r="R206" s="15">
        <v>0</v>
      </c>
      <c r="S206" s="15">
        <f>$G$206*$G$8+$H$206*$H$8+$I$206*$I$8+$J$206*$J$8+$K$206*$K$8+$L$206*$L$8+$M$206*$M$8+$N$206*$N$8+$O$206*$O$8+$P$206*$P$8</f>
        <v>0</v>
      </c>
      <c r="T206" s="15">
        <f>SUM($Q$206:$R$206)</f>
        <v>0</v>
      </c>
      <c r="U206" s="15">
        <f>$S$206+$T$206</f>
        <v>0</v>
      </c>
    </row>
    <row r="207" spans="1:21" x14ac:dyDescent="0.3">
      <c r="A207" s="10" t="s">
        <v>758</v>
      </c>
      <c r="B207" s="11" t="s">
        <v>759</v>
      </c>
      <c r="C207" s="11"/>
      <c r="D207" s="11" t="s">
        <v>760</v>
      </c>
      <c r="E207" s="11">
        <f xml:space="preserve"> IF($U$207,1,0)</f>
        <v>0</v>
      </c>
      <c r="F207" s="11" t="s">
        <v>761</v>
      </c>
      <c r="G207" s="11">
        <v>0</v>
      </c>
      <c r="H207" s="11">
        <v>0</v>
      </c>
      <c r="I207" s="11">
        <v>0</v>
      </c>
      <c r="J207" s="11">
        <v>0</v>
      </c>
      <c r="K207" s="11">
        <v>0</v>
      </c>
      <c r="L207" s="11">
        <v>0</v>
      </c>
      <c r="M207" s="11">
        <v>0</v>
      </c>
      <c r="N207" s="11">
        <v>0</v>
      </c>
      <c r="O207" s="11">
        <v>0</v>
      </c>
      <c r="P207" s="11">
        <v>0</v>
      </c>
      <c r="Q207" s="12">
        <v>0</v>
      </c>
      <c r="R207" s="12">
        <v>0</v>
      </c>
      <c r="S207" s="12">
        <f>$G$207*$G$8+$H$207*$H$8+$I$207*$I$8+$J$207*$J$8+$K$207*$K$8+$L$207*$L$8+$M$207*$M$8+$N$207*$N$8+$O$207*$O$8+$P$207*$P$8</f>
        <v>0</v>
      </c>
      <c r="T207" s="12">
        <f>SUM($Q$207:$R$207)</f>
        <v>0</v>
      </c>
      <c r="U207" s="12">
        <f>$S$207+$T$207</f>
        <v>0</v>
      </c>
    </row>
    <row r="208" spans="1:21" x14ac:dyDescent="0.3">
      <c r="A208" s="13" t="s">
        <v>762</v>
      </c>
      <c r="B208" s="14" t="s">
        <v>763</v>
      </c>
      <c r="C208" s="14"/>
      <c r="D208" s="14" t="s">
        <v>764</v>
      </c>
      <c r="E208" s="14">
        <f xml:space="preserve"> IF($U$208,1,0)</f>
        <v>0</v>
      </c>
      <c r="F208" s="14" t="s">
        <v>765</v>
      </c>
      <c r="G208" s="14">
        <v>0</v>
      </c>
      <c r="H208" s="14">
        <v>0</v>
      </c>
      <c r="I208" s="14">
        <v>0</v>
      </c>
      <c r="J208" s="14">
        <v>0</v>
      </c>
      <c r="K208" s="14">
        <v>0</v>
      </c>
      <c r="L208" s="14">
        <v>0</v>
      </c>
      <c r="M208" s="14">
        <v>0</v>
      </c>
      <c r="N208" s="14">
        <v>0</v>
      </c>
      <c r="O208" s="14">
        <v>0</v>
      </c>
      <c r="P208" s="14">
        <v>0</v>
      </c>
      <c r="Q208" s="15">
        <v>0</v>
      </c>
      <c r="R208" s="15">
        <v>0</v>
      </c>
      <c r="S208" s="15">
        <f>$G$208*$G$8+$H$208*$H$8+$I$208*$I$8+$J$208*$J$8+$K$208*$K$8+$L$208*$L$8+$M$208*$M$8+$N$208*$N$8+$O$208*$O$8+$P$208*$P$8</f>
        <v>0</v>
      </c>
      <c r="T208" s="15">
        <f>SUM($Q$208:$R$208)</f>
        <v>0</v>
      </c>
      <c r="U208" s="15">
        <f>$S$208+$T$208</f>
        <v>0</v>
      </c>
    </row>
    <row r="209" spans="1:21" x14ac:dyDescent="0.3">
      <c r="A209" s="10" t="s">
        <v>766</v>
      </c>
      <c r="B209" s="11" t="s">
        <v>767</v>
      </c>
      <c r="C209" s="11"/>
      <c r="D209" s="11" t="s">
        <v>768</v>
      </c>
      <c r="E209" s="11">
        <f xml:space="preserve"> IF($U$209,1,0)</f>
        <v>0</v>
      </c>
      <c r="F209" s="11" t="s">
        <v>769</v>
      </c>
      <c r="G209" s="11">
        <v>0</v>
      </c>
      <c r="H209" s="11">
        <v>0</v>
      </c>
      <c r="I209" s="11">
        <v>0</v>
      </c>
      <c r="J209" s="11">
        <v>0</v>
      </c>
      <c r="K209" s="11">
        <v>0</v>
      </c>
      <c r="L209" s="11">
        <v>0</v>
      </c>
      <c r="M209" s="11">
        <v>0</v>
      </c>
      <c r="N209" s="11">
        <v>0</v>
      </c>
      <c r="O209" s="11">
        <v>0</v>
      </c>
      <c r="P209" s="11">
        <v>0</v>
      </c>
      <c r="Q209" s="12">
        <v>0</v>
      </c>
      <c r="R209" s="12">
        <v>0</v>
      </c>
      <c r="S209" s="12">
        <f>$G$209*$G$8+$H$209*$H$8+$I$209*$I$8+$J$209*$J$8+$K$209*$K$8+$L$209*$L$8+$M$209*$M$8+$N$209*$N$8+$O$209*$O$8+$P$209*$P$8</f>
        <v>0</v>
      </c>
      <c r="T209" s="12">
        <f>SUM($Q$209:$R$209)</f>
        <v>0</v>
      </c>
      <c r="U209" s="12">
        <f>$S$209+$T$209</f>
        <v>0</v>
      </c>
    </row>
    <row r="210" spans="1:21" x14ac:dyDescent="0.3">
      <c r="A210" s="13" t="s">
        <v>770</v>
      </c>
      <c r="B210" s="14" t="s">
        <v>771</v>
      </c>
      <c r="C210" s="14"/>
      <c r="D210" s="14" t="s">
        <v>772</v>
      </c>
      <c r="E210" s="14">
        <f xml:space="preserve"> IF($U$210,1,0)</f>
        <v>0</v>
      </c>
      <c r="F210" s="14" t="s">
        <v>773</v>
      </c>
      <c r="G210" s="14">
        <v>0</v>
      </c>
      <c r="H210" s="14">
        <v>0</v>
      </c>
      <c r="I210" s="14">
        <v>0</v>
      </c>
      <c r="J210" s="14">
        <v>0</v>
      </c>
      <c r="K210" s="14">
        <v>0</v>
      </c>
      <c r="L210" s="14">
        <v>0</v>
      </c>
      <c r="M210" s="14">
        <v>0</v>
      </c>
      <c r="N210" s="14">
        <v>0</v>
      </c>
      <c r="O210" s="14">
        <v>0</v>
      </c>
      <c r="P210" s="14">
        <v>0</v>
      </c>
      <c r="Q210" s="15">
        <v>0</v>
      </c>
      <c r="R210" s="15">
        <v>0</v>
      </c>
      <c r="S210" s="15">
        <f>$G$210*$G$8+$H$210*$H$8+$I$210*$I$8+$J$210*$J$8+$K$210*$K$8+$L$210*$L$8+$M$210*$M$8+$N$210*$N$8+$O$210*$O$8+$P$210*$P$8</f>
        <v>0</v>
      </c>
      <c r="T210" s="15">
        <f>SUM($Q$210:$R$210)</f>
        <v>0</v>
      </c>
      <c r="U210" s="15">
        <f>$S$210+$T$210</f>
        <v>0</v>
      </c>
    </row>
    <row r="211" spans="1:21" x14ac:dyDescent="0.3">
      <c r="A211" s="10" t="s">
        <v>774</v>
      </c>
      <c r="B211" s="11" t="s">
        <v>775</v>
      </c>
      <c r="C211" s="11"/>
      <c r="D211" s="11" t="s">
        <v>776</v>
      </c>
      <c r="E211" s="11">
        <f xml:space="preserve"> IF($U$211,1,0)</f>
        <v>0</v>
      </c>
      <c r="F211" s="11" t="s">
        <v>777</v>
      </c>
      <c r="G211" s="11">
        <v>0</v>
      </c>
      <c r="H211" s="11">
        <v>0</v>
      </c>
      <c r="I211" s="11">
        <v>0</v>
      </c>
      <c r="J211" s="11">
        <v>0</v>
      </c>
      <c r="K211" s="11">
        <v>0</v>
      </c>
      <c r="L211" s="11">
        <v>0</v>
      </c>
      <c r="M211" s="11">
        <v>0</v>
      </c>
      <c r="N211" s="11">
        <v>0</v>
      </c>
      <c r="O211" s="11">
        <v>0</v>
      </c>
      <c r="P211" s="11">
        <v>0</v>
      </c>
      <c r="Q211" s="12">
        <v>0</v>
      </c>
      <c r="R211" s="12">
        <v>0</v>
      </c>
      <c r="S211" s="12">
        <f>$G$211*$G$8+$H$211*$H$8+$I$211*$I$8+$J$211*$J$8+$K$211*$K$8+$L$211*$L$8+$M$211*$M$8+$N$211*$N$8+$O$211*$O$8+$P$211*$P$8</f>
        <v>0</v>
      </c>
      <c r="T211" s="12">
        <f>SUM($Q$211:$R$211)</f>
        <v>0</v>
      </c>
      <c r="U211" s="12">
        <f>$S$211+$T$211</f>
        <v>0</v>
      </c>
    </row>
    <row r="212" spans="1:21" x14ac:dyDescent="0.3">
      <c r="A212" s="13" t="s">
        <v>778</v>
      </c>
      <c r="B212" s="14" t="s">
        <v>779</v>
      </c>
      <c r="C212" s="14"/>
      <c r="D212" s="14" t="s">
        <v>780</v>
      </c>
      <c r="E212" s="14">
        <f xml:space="preserve"> IF($U$212,1,0)</f>
        <v>0</v>
      </c>
      <c r="F212" s="14" t="s">
        <v>781</v>
      </c>
      <c r="G212" s="14">
        <v>0</v>
      </c>
      <c r="H212" s="14">
        <v>0</v>
      </c>
      <c r="I212" s="14">
        <v>0</v>
      </c>
      <c r="J212" s="14">
        <v>0</v>
      </c>
      <c r="K212" s="14">
        <v>0</v>
      </c>
      <c r="L212" s="14">
        <v>0</v>
      </c>
      <c r="M212" s="14">
        <v>0</v>
      </c>
      <c r="N212" s="14">
        <v>0</v>
      </c>
      <c r="O212" s="14">
        <v>0</v>
      </c>
      <c r="P212" s="14">
        <v>0</v>
      </c>
      <c r="Q212" s="15">
        <v>0</v>
      </c>
      <c r="R212" s="15">
        <v>0</v>
      </c>
      <c r="S212" s="15">
        <f>$G$212*$G$8+$H$212*$H$8+$I$212*$I$8+$J$212*$J$8+$K$212*$K$8+$L$212*$L$8+$M$212*$M$8+$N$212*$N$8+$O$212*$O$8+$P$212*$P$8</f>
        <v>0</v>
      </c>
      <c r="T212" s="15">
        <f>SUM($Q$212:$R$212)</f>
        <v>0</v>
      </c>
      <c r="U212" s="15">
        <f>$S$212+$T$212</f>
        <v>0</v>
      </c>
    </row>
    <row r="213" spans="1:21" x14ac:dyDescent="0.3">
      <c r="A213" s="10" t="s">
        <v>782</v>
      </c>
      <c r="B213" s="11" t="s">
        <v>779</v>
      </c>
      <c r="C213" s="11"/>
      <c r="D213" s="11" t="s">
        <v>783</v>
      </c>
      <c r="E213" s="11">
        <f xml:space="preserve"> IF($U$213,1,0)</f>
        <v>0</v>
      </c>
      <c r="F213" s="11" t="s">
        <v>784</v>
      </c>
      <c r="G213" s="11">
        <v>0</v>
      </c>
      <c r="H213" s="11">
        <v>0</v>
      </c>
      <c r="I213" s="11">
        <v>0</v>
      </c>
      <c r="J213" s="11">
        <v>0</v>
      </c>
      <c r="K213" s="11">
        <v>0</v>
      </c>
      <c r="L213" s="11">
        <v>0</v>
      </c>
      <c r="M213" s="11">
        <v>0</v>
      </c>
      <c r="N213" s="11">
        <v>0</v>
      </c>
      <c r="O213" s="11">
        <v>0</v>
      </c>
      <c r="P213" s="11">
        <v>0</v>
      </c>
      <c r="Q213" s="12">
        <v>0</v>
      </c>
      <c r="R213" s="12">
        <v>0</v>
      </c>
      <c r="S213" s="12">
        <f>$G$213*$G$8+$H$213*$H$8+$I$213*$I$8+$J$213*$J$8+$K$213*$K$8+$L$213*$L$8+$M$213*$M$8+$N$213*$N$8+$O$213*$O$8+$P$213*$P$8</f>
        <v>0</v>
      </c>
      <c r="T213" s="12">
        <f>SUM($Q$213:$R$213)</f>
        <v>0</v>
      </c>
      <c r="U213" s="12">
        <f>$S$213+$T$213</f>
        <v>0</v>
      </c>
    </row>
    <row r="214" spans="1:21" x14ac:dyDescent="0.3">
      <c r="A214" s="13" t="s">
        <v>785</v>
      </c>
      <c r="B214" s="14" t="s">
        <v>779</v>
      </c>
      <c r="C214" s="14"/>
      <c r="D214" s="14" t="s">
        <v>786</v>
      </c>
      <c r="E214" s="14">
        <f xml:space="preserve"> IF($U$214,1,0)</f>
        <v>0</v>
      </c>
      <c r="F214" s="14" t="s">
        <v>787</v>
      </c>
      <c r="G214" s="14">
        <v>0</v>
      </c>
      <c r="H214" s="14">
        <v>0</v>
      </c>
      <c r="I214" s="14">
        <v>0</v>
      </c>
      <c r="J214" s="14">
        <v>0</v>
      </c>
      <c r="K214" s="14">
        <v>0</v>
      </c>
      <c r="L214" s="14">
        <v>0</v>
      </c>
      <c r="M214" s="14">
        <v>0</v>
      </c>
      <c r="N214" s="14">
        <v>0</v>
      </c>
      <c r="O214" s="14">
        <v>0</v>
      </c>
      <c r="P214" s="14">
        <v>0</v>
      </c>
      <c r="Q214" s="15">
        <v>0</v>
      </c>
      <c r="R214" s="15">
        <v>0</v>
      </c>
      <c r="S214" s="15">
        <f>$G$214*$G$8+$H$214*$H$8+$I$214*$I$8+$J$214*$J$8+$K$214*$K$8+$L$214*$L$8+$M$214*$M$8+$N$214*$N$8+$O$214*$O$8+$P$214*$P$8</f>
        <v>0</v>
      </c>
      <c r="T214" s="15">
        <f>SUM($Q$214:$R$214)</f>
        <v>0</v>
      </c>
      <c r="U214" s="15">
        <f>$S$214+$T$214</f>
        <v>0</v>
      </c>
    </row>
    <row r="215" spans="1:21" x14ac:dyDescent="0.3">
      <c r="A215" s="10" t="s">
        <v>788</v>
      </c>
      <c r="B215" s="11" t="s">
        <v>789</v>
      </c>
      <c r="C215" s="11"/>
      <c r="D215" s="11" t="s">
        <v>790</v>
      </c>
      <c r="E215" s="11">
        <f xml:space="preserve"> IF($U$215,1,0)</f>
        <v>0</v>
      </c>
      <c r="F215" s="11" t="s">
        <v>791</v>
      </c>
      <c r="G215" s="11">
        <v>0</v>
      </c>
      <c r="H215" s="11">
        <v>0</v>
      </c>
      <c r="I215" s="11">
        <v>0</v>
      </c>
      <c r="J215" s="11">
        <v>0</v>
      </c>
      <c r="K215" s="11">
        <v>0</v>
      </c>
      <c r="L215" s="11">
        <v>0</v>
      </c>
      <c r="M215" s="11">
        <v>0</v>
      </c>
      <c r="N215" s="11">
        <v>0</v>
      </c>
      <c r="O215" s="11">
        <v>0</v>
      </c>
      <c r="P215" s="11">
        <v>0</v>
      </c>
      <c r="Q215" s="12">
        <v>0</v>
      </c>
      <c r="R215" s="12">
        <v>0</v>
      </c>
      <c r="S215" s="12">
        <f>$G$215*$G$8+$H$215*$H$8+$I$215*$I$8+$J$215*$J$8+$K$215*$K$8+$L$215*$L$8+$M$215*$M$8+$N$215*$N$8+$O$215*$O$8+$P$215*$P$8</f>
        <v>0</v>
      </c>
      <c r="T215" s="12">
        <f>SUM($Q$215:$R$215)</f>
        <v>0</v>
      </c>
      <c r="U215" s="12">
        <f>$S$215+$T$215</f>
        <v>0</v>
      </c>
    </row>
    <row r="216" spans="1:21" x14ac:dyDescent="0.3">
      <c r="A216" s="13" t="s">
        <v>792</v>
      </c>
      <c r="B216" s="14" t="s">
        <v>793</v>
      </c>
      <c r="C216" s="14"/>
      <c r="D216" s="14" t="s">
        <v>794</v>
      </c>
      <c r="E216" s="14">
        <f xml:space="preserve"> IF($U$216,1,0)</f>
        <v>0</v>
      </c>
      <c r="F216" s="14" t="s">
        <v>795</v>
      </c>
      <c r="G216" s="14">
        <v>0</v>
      </c>
      <c r="H216" s="14">
        <v>0</v>
      </c>
      <c r="I216" s="14">
        <v>0</v>
      </c>
      <c r="J216" s="14">
        <v>0</v>
      </c>
      <c r="K216" s="14">
        <v>0</v>
      </c>
      <c r="L216" s="14">
        <v>0</v>
      </c>
      <c r="M216" s="14">
        <v>0</v>
      </c>
      <c r="N216" s="14">
        <v>0</v>
      </c>
      <c r="O216" s="14">
        <v>0</v>
      </c>
      <c r="P216" s="14">
        <v>0</v>
      </c>
      <c r="Q216" s="15">
        <v>0</v>
      </c>
      <c r="R216" s="15">
        <v>0</v>
      </c>
      <c r="S216" s="15">
        <f>$G$216*$G$8+$H$216*$H$8+$I$216*$I$8+$J$216*$J$8+$K$216*$K$8+$L$216*$L$8+$M$216*$M$8+$N$216*$N$8+$O$216*$O$8+$P$216*$P$8</f>
        <v>0</v>
      </c>
      <c r="T216" s="15">
        <f>SUM($Q$216:$R$216)</f>
        <v>0</v>
      </c>
      <c r="U216" s="15">
        <f>$S$216+$T$216</f>
        <v>0</v>
      </c>
    </row>
    <row r="217" spans="1:21" x14ac:dyDescent="0.3">
      <c r="A217" s="10" t="s">
        <v>796</v>
      </c>
      <c r="B217" s="11" t="s">
        <v>797</v>
      </c>
      <c r="C217" s="11"/>
      <c r="D217" s="11" t="s">
        <v>798</v>
      </c>
      <c r="E217" s="11">
        <f xml:space="preserve"> IF($U$217,1,0)</f>
        <v>0</v>
      </c>
      <c r="F217" s="11" t="s">
        <v>799</v>
      </c>
      <c r="G217" s="11">
        <v>0</v>
      </c>
      <c r="H217" s="11">
        <v>0</v>
      </c>
      <c r="I217" s="11">
        <v>0</v>
      </c>
      <c r="J217" s="11">
        <v>0</v>
      </c>
      <c r="K217" s="11">
        <v>0</v>
      </c>
      <c r="L217" s="11">
        <v>0</v>
      </c>
      <c r="M217" s="11">
        <v>0</v>
      </c>
      <c r="N217" s="11">
        <v>0</v>
      </c>
      <c r="O217" s="11">
        <v>0</v>
      </c>
      <c r="P217" s="11">
        <v>0</v>
      </c>
      <c r="Q217" s="12">
        <v>0</v>
      </c>
      <c r="R217" s="12">
        <v>0</v>
      </c>
      <c r="S217" s="12">
        <f>$G$217*$G$8+$H$217*$H$8+$I$217*$I$8+$J$217*$J$8+$K$217*$K$8+$L$217*$L$8+$M$217*$M$8+$N$217*$N$8+$O$217*$O$8+$P$217*$P$8</f>
        <v>0</v>
      </c>
      <c r="T217" s="12">
        <f>SUM($Q$217:$R$217)</f>
        <v>0</v>
      </c>
      <c r="U217" s="12">
        <f>$S$217+$T$217</f>
        <v>0</v>
      </c>
    </row>
    <row r="218" spans="1:21" x14ac:dyDescent="0.3">
      <c r="A218" s="13" t="s">
        <v>800</v>
      </c>
      <c r="B218" s="14" t="s">
        <v>797</v>
      </c>
      <c r="C218" s="14" t="s">
        <v>34</v>
      </c>
      <c r="D218" s="14" t="s">
        <v>801</v>
      </c>
      <c r="E218" s="14">
        <f xml:space="preserve"> IF($U$218,1,0)</f>
        <v>0</v>
      </c>
      <c r="F218" s="14" t="s">
        <v>802</v>
      </c>
      <c r="G218" s="14">
        <v>0</v>
      </c>
      <c r="H218" s="14">
        <v>0</v>
      </c>
      <c r="I218" s="14">
        <v>0</v>
      </c>
      <c r="J218" s="14">
        <v>0</v>
      </c>
      <c r="K218" s="14">
        <v>0</v>
      </c>
      <c r="L218" s="14">
        <v>0</v>
      </c>
      <c r="M218" s="14">
        <v>0</v>
      </c>
      <c r="N218" s="14">
        <v>0</v>
      </c>
      <c r="O218" s="14">
        <v>0</v>
      </c>
      <c r="P218" s="14">
        <v>0</v>
      </c>
      <c r="Q218" s="15">
        <v>0</v>
      </c>
      <c r="R218" s="15">
        <v>0</v>
      </c>
      <c r="S218" s="15">
        <f>$G$218*$G$8+$H$218*$H$8+$I$218*$I$8+$J$218*$J$8+$K$218*$K$8+$L$218*$L$8+$M$218*$M$8+$N$218*$N$8+$O$218*$O$8+$P$218*$P$8</f>
        <v>0</v>
      </c>
      <c r="T218" s="15">
        <f>SUM($Q$218:$R$218)</f>
        <v>0</v>
      </c>
      <c r="U218" s="15">
        <f>$S$218+$T$218</f>
        <v>0</v>
      </c>
    </row>
    <row r="219" spans="1:21" x14ac:dyDescent="0.3">
      <c r="A219" s="10" t="s">
        <v>803</v>
      </c>
      <c r="B219" s="11" t="s">
        <v>804</v>
      </c>
      <c r="C219" s="11" t="s">
        <v>34</v>
      </c>
      <c r="D219" s="11" t="s">
        <v>805</v>
      </c>
      <c r="E219" s="11">
        <f xml:space="preserve"> IF($U$219,1,0)</f>
        <v>0</v>
      </c>
      <c r="F219" s="11" t="s">
        <v>806</v>
      </c>
      <c r="G219" s="11">
        <v>0</v>
      </c>
      <c r="H219" s="11">
        <v>0</v>
      </c>
      <c r="I219" s="11">
        <v>0</v>
      </c>
      <c r="J219" s="11">
        <v>0</v>
      </c>
      <c r="K219" s="11">
        <v>0</v>
      </c>
      <c r="L219" s="11">
        <v>0</v>
      </c>
      <c r="M219" s="11">
        <v>0</v>
      </c>
      <c r="N219" s="11">
        <v>0</v>
      </c>
      <c r="O219" s="11">
        <v>0</v>
      </c>
      <c r="P219" s="11">
        <v>0</v>
      </c>
      <c r="Q219" s="12">
        <v>0</v>
      </c>
      <c r="R219" s="12">
        <v>0</v>
      </c>
      <c r="S219" s="12">
        <f>$G$219*$G$8+$H$219*$H$8+$I$219*$I$8+$J$219*$J$8+$K$219*$K$8+$L$219*$L$8+$M$219*$M$8+$N$219*$N$8+$O$219*$O$8+$P$219*$P$8</f>
        <v>0</v>
      </c>
      <c r="T219" s="12">
        <f>SUM($Q$219:$R$219)</f>
        <v>0</v>
      </c>
      <c r="U219" s="12">
        <f>$S$219+$T$219</f>
        <v>0</v>
      </c>
    </row>
    <row r="220" spans="1:21" x14ac:dyDescent="0.3">
      <c r="A220" s="13" t="s">
        <v>807</v>
      </c>
      <c r="B220" s="14" t="s">
        <v>808</v>
      </c>
      <c r="C220" s="14"/>
      <c r="D220" s="14" t="s">
        <v>809</v>
      </c>
      <c r="E220" s="14">
        <f xml:space="preserve"> IF($U$220,1,0)</f>
        <v>0</v>
      </c>
      <c r="F220" s="14" t="s">
        <v>810</v>
      </c>
      <c r="G220" s="14">
        <v>0</v>
      </c>
      <c r="H220" s="14">
        <v>0</v>
      </c>
      <c r="I220" s="14">
        <v>0</v>
      </c>
      <c r="J220" s="14">
        <v>0</v>
      </c>
      <c r="K220" s="14">
        <v>0</v>
      </c>
      <c r="L220" s="14">
        <v>0</v>
      </c>
      <c r="M220" s="14">
        <v>0</v>
      </c>
      <c r="N220" s="14">
        <v>0</v>
      </c>
      <c r="O220" s="14">
        <v>0</v>
      </c>
      <c r="P220" s="14">
        <v>0</v>
      </c>
      <c r="Q220" s="15">
        <v>0</v>
      </c>
      <c r="R220" s="15">
        <v>0</v>
      </c>
      <c r="S220" s="15">
        <f>$G$220*$G$8+$H$220*$H$8+$I$220*$I$8+$J$220*$J$8+$K$220*$K$8+$L$220*$L$8+$M$220*$M$8+$N$220*$N$8+$O$220*$O$8+$P$220*$P$8</f>
        <v>0</v>
      </c>
      <c r="T220" s="15">
        <f>SUM($Q$220:$R$220)</f>
        <v>0</v>
      </c>
      <c r="U220" s="15">
        <f>$S$220+$T$220</f>
        <v>0</v>
      </c>
    </row>
    <row r="221" spans="1:21" x14ac:dyDescent="0.3">
      <c r="A221" s="10" t="s">
        <v>811</v>
      </c>
      <c r="B221" s="11" t="s">
        <v>812</v>
      </c>
      <c r="C221" s="11"/>
      <c r="D221" s="11" t="s">
        <v>813</v>
      </c>
      <c r="E221" s="11">
        <f xml:space="preserve"> IF($U$221,1,0)</f>
        <v>0</v>
      </c>
      <c r="F221" s="11" t="s">
        <v>814</v>
      </c>
      <c r="G221" s="11">
        <v>0</v>
      </c>
      <c r="H221" s="11">
        <v>0</v>
      </c>
      <c r="I221" s="11">
        <v>0</v>
      </c>
      <c r="J221" s="11">
        <v>0</v>
      </c>
      <c r="K221" s="11">
        <v>0</v>
      </c>
      <c r="L221" s="11">
        <v>0</v>
      </c>
      <c r="M221" s="11">
        <v>0</v>
      </c>
      <c r="N221" s="11">
        <v>0</v>
      </c>
      <c r="O221" s="11">
        <v>0</v>
      </c>
      <c r="P221" s="11">
        <v>0</v>
      </c>
      <c r="Q221" s="12">
        <v>0</v>
      </c>
      <c r="R221" s="12">
        <v>0</v>
      </c>
      <c r="S221" s="12">
        <f>$G$221*$G$8+$H$221*$H$8+$I$221*$I$8+$J$221*$J$8+$K$221*$K$8+$L$221*$L$8+$M$221*$M$8+$N$221*$N$8+$O$221*$O$8+$P$221*$P$8</f>
        <v>0</v>
      </c>
      <c r="T221" s="12">
        <f>SUM($Q$221:$R$221)</f>
        <v>0</v>
      </c>
      <c r="U221" s="12">
        <f>$S$221+$T$221</f>
        <v>0</v>
      </c>
    </row>
    <row r="222" spans="1:21" x14ac:dyDescent="0.3">
      <c r="A222" s="13" t="s">
        <v>815</v>
      </c>
      <c r="B222" s="14" t="s">
        <v>816</v>
      </c>
      <c r="C222" s="14"/>
      <c r="D222" s="14" t="s">
        <v>817</v>
      </c>
      <c r="E222" s="14">
        <f xml:space="preserve"> IF($U$222,1,0)</f>
        <v>0</v>
      </c>
      <c r="F222" s="14" t="s">
        <v>818</v>
      </c>
      <c r="G222" s="14">
        <v>0</v>
      </c>
      <c r="H222" s="14">
        <v>0</v>
      </c>
      <c r="I222" s="14">
        <v>0</v>
      </c>
      <c r="J222" s="14">
        <v>0</v>
      </c>
      <c r="K222" s="14">
        <v>0</v>
      </c>
      <c r="L222" s="14">
        <v>0</v>
      </c>
      <c r="M222" s="14">
        <v>0</v>
      </c>
      <c r="N222" s="14">
        <v>0</v>
      </c>
      <c r="O222" s="14">
        <v>0</v>
      </c>
      <c r="P222" s="14">
        <v>0</v>
      </c>
      <c r="Q222" s="15">
        <v>0</v>
      </c>
      <c r="R222" s="15">
        <v>0</v>
      </c>
      <c r="S222" s="15">
        <f>$G$222*$G$8+$H$222*$H$8+$I$222*$I$8+$J$222*$J$8+$K$222*$K$8+$L$222*$L$8+$M$222*$M$8+$N$222*$N$8+$O$222*$O$8+$P$222*$P$8</f>
        <v>0</v>
      </c>
      <c r="T222" s="15">
        <f>SUM($Q$222:$R$222)</f>
        <v>0</v>
      </c>
      <c r="U222" s="15">
        <f>$S$222+$T$222</f>
        <v>0</v>
      </c>
    </row>
    <row r="223" spans="1:21" x14ac:dyDescent="0.3">
      <c r="A223" s="10" t="s">
        <v>819</v>
      </c>
      <c r="B223" s="11" t="s">
        <v>820</v>
      </c>
      <c r="C223" s="11"/>
      <c r="D223" s="11" t="s">
        <v>821</v>
      </c>
      <c r="E223" s="11">
        <f xml:space="preserve"> IF($U$223,1,0)</f>
        <v>0</v>
      </c>
      <c r="F223" s="11" t="s">
        <v>822</v>
      </c>
      <c r="G223" s="11">
        <v>0</v>
      </c>
      <c r="H223" s="11">
        <v>0</v>
      </c>
      <c r="I223" s="11">
        <v>0</v>
      </c>
      <c r="J223" s="11">
        <v>0</v>
      </c>
      <c r="K223" s="11">
        <v>0</v>
      </c>
      <c r="L223" s="11">
        <v>0</v>
      </c>
      <c r="M223" s="11">
        <v>0</v>
      </c>
      <c r="N223" s="11">
        <v>0</v>
      </c>
      <c r="O223" s="11">
        <v>0</v>
      </c>
      <c r="P223" s="11">
        <v>0</v>
      </c>
      <c r="Q223" s="12">
        <v>0</v>
      </c>
      <c r="R223" s="12">
        <v>0</v>
      </c>
      <c r="S223" s="12">
        <f>$G$223*$G$8+$H$223*$H$8+$I$223*$I$8+$J$223*$J$8+$K$223*$K$8+$L$223*$L$8+$M$223*$M$8+$N$223*$N$8+$O$223*$O$8+$P$223*$P$8</f>
        <v>0</v>
      </c>
      <c r="T223" s="12">
        <f>SUM($Q$223:$R$223)</f>
        <v>0</v>
      </c>
      <c r="U223" s="12">
        <f>$S$223+$T$223</f>
        <v>0</v>
      </c>
    </row>
    <row r="224" spans="1:21" x14ac:dyDescent="0.3">
      <c r="A224" s="13" t="s">
        <v>823</v>
      </c>
      <c r="B224" s="14" t="s">
        <v>824</v>
      </c>
      <c r="C224" s="14"/>
      <c r="D224" s="14" t="s">
        <v>825</v>
      </c>
      <c r="E224" s="14">
        <f xml:space="preserve"> IF($U$224,1,0)</f>
        <v>0</v>
      </c>
      <c r="F224" s="14" t="s">
        <v>826</v>
      </c>
      <c r="G224" s="14">
        <v>0</v>
      </c>
      <c r="H224" s="14">
        <v>0</v>
      </c>
      <c r="I224" s="14">
        <v>0</v>
      </c>
      <c r="J224" s="14">
        <v>0</v>
      </c>
      <c r="K224" s="14">
        <v>0</v>
      </c>
      <c r="L224" s="14">
        <v>0</v>
      </c>
      <c r="M224" s="14">
        <v>0</v>
      </c>
      <c r="N224" s="14">
        <v>0</v>
      </c>
      <c r="O224" s="14">
        <v>0</v>
      </c>
      <c r="P224" s="14">
        <v>0</v>
      </c>
      <c r="Q224" s="15">
        <v>0</v>
      </c>
      <c r="R224" s="15">
        <v>0</v>
      </c>
      <c r="S224" s="15">
        <f>$G$224*$G$8+$H$224*$H$8+$I$224*$I$8+$J$224*$J$8+$K$224*$K$8+$L$224*$L$8+$M$224*$M$8+$N$224*$N$8+$O$224*$O$8+$P$224*$P$8</f>
        <v>0</v>
      </c>
      <c r="T224" s="15">
        <f>SUM($Q$224:$R$224)</f>
        <v>0</v>
      </c>
      <c r="U224" s="15">
        <f>$S$224+$T$224</f>
        <v>0</v>
      </c>
    </row>
    <row r="225" spans="1:21" x14ac:dyDescent="0.3">
      <c r="A225" s="10" t="s">
        <v>827</v>
      </c>
      <c r="B225" s="11" t="s">
        <v>828</v>
      </c>
      <c r="C225" s="11"/>
      <c r="D225" s="11" t="s">
        <v>829</v>
      </c>
      <c r="E225" s="11">
        <f xml:space="preserve"> IF($U$225,1,0)</f>
        <v>0</v>
      </c>
      <c r="F225" s="11" t="s">
        <v>830</v>
      </c>
      <c r="G225" s="11">
        <v>0</v>
      </c>
      <c r="H225" s="11">
        <v>0</v>
      </c>
      <c r="I225" s="11">
        <v>0</v>
      </c>
      <c r="J225" s="11">
        <v>0</v>
      </c>
      <c r="K225" s="11">
        <v>0</v>
      </c>
      <c r="L225" s="11">
        <v>0</v>
      </c>
      <c r="M225" s="11">
        <v>0</v>
      </c>
      <c r="N225" s="11">
        <v>0</v>
      </c>
      <c r="O225" s="11">
        <v>0</v>
      </c>
      <c r="P225" s="11">
        <v>0</v>
      </c>
      <c r="Q225" s="12">
        <v>0</v>
      </c>
      <c r="R225" s="12">
        <v>0</v>
      </c>
      <c r="S225" s="12">
        <f>$G$225*$G$8+$H$225*$H$8+$I$225*$I$8+$J$225*$J$8+$K$225*$K$8+$L$225*$L$8+$M$225*$M$8+$N$225*$N$8+$O$225*$O$8+$P$225*$P$8</f>
        <v>0</v>
      </c>
      <c r="T225" s="12">
        <f>SUM($Q$225:$R$225)</f>
        <v>0</v>
      </c>
      <c r="U225" s="12">
        <f>$S$225+$T$225</f>
        <v>0</v>
      </c>
    </row>
    <row r="226" spans="1:21" x14ac:dyDescent="0.3">
      <c r="A226" s="13" t="s">
        <v>831</v>
      </c>
      <c r="B226" s="14" t="s">
        <v>832</v>
      </c>
      <c r="C226" s="14"/>
      <c r="D226" s="14" t="s">
        <v>833</v>
      </c>
      <c r="E226" s="14">
        <f xml:space="preserve"> IF($U$226,1,0)</f>
        <v>0</v>
      </c>
      <c r="F226" s="14" t="s">
        <v>834</v>
      </c>
      <c r="G226" s="14">
        <v>0</v>
      </c>
      <c r="H226" s="14">
        <v>0</v>
      </c>
      <c r="I226" s="14">
        <v>0</v>
      </c>
      <c r="J226" s="14">
        <v>0</v>
      </c>
      <c r="K226" s="14">
        <v>0</v>
      </c>
      <c r="L226" s="14">
        <v>0</v>
      </c>
      <c r="M226" s="14">
        <v>0</v>
      </c>
      <c r="N226" s="14">
        <v>0</v>
      </c>
      <c r="O226" s="14">
        <v>0</v>
      </c>
      <c r="P226" s="14">
        <v>0</v>
      </c>
      <c r="Q226" s="15">
        <v>0</v>
      </c>
      <c r="R226" s="15">
        <v>0</v>
      </c>
      <c r="S226" s="15">
        <f>$G$226*$G$8+$H$226*$H$8+$I$226*$I$8+$J$226*$J$8+$K$226*$K$8+$L$226*$L$8+$M$226*$M$8+$N$226*$N$8+$O$226*$O$8+$P$226*$P$8</f>
        <v>0</v>
      </c>
      <c r="T226" s="15">
        <f>SUM($Q$226:$R$226)</f>
        <v>0</v>
      </c>
      <c r="U226" s="15">
        <f>$S$226+$T$226</f>
        <v>0</v>
      </c>
    </row>
    <row r="227" spans="1:21" x14ac:dyDescent="0.3">
      <c r="A227" s="10" t="s">
        <v>835</v>
      </c>
      <c r="B227" s="11" t="s">
        <v>836</v>
      </c>
      <c r="C227" s="11"/>
      <c r="D227" s="11" t="s">
        <v>837</v>
      </c>
      <c r="E227" s="11">
        <f xml:space="preserve"> IF($U$227,1,0)</f>
        <v>0</v>
      </c>
      <c r="F227" s="11" t="s">
        <v>838</v>
      </c>
      <c r="G227" s="11">
        <v>0</v>
      </c>
      <c r="H227" s="11">
        <v>0</v>
      </c>
      <c r="I227" s="11">
        <v>0</v>
      </c>
      <c r="J227" s="11">
        <v>0</v>
      </c>
      <c r="K227" s="11">
        <v>0</v>
      </c>
      <c r="L227" s="11">
        <v>0</v>
      </c>
      <c r="M227" s="11">
        <v>0</v>
      </c>
      <c r="N227" s="11">
        <v>0</v>
      </c>
      <c r="O227" s="11">
        <v>0</v>
      </c>
      <c r="P227" s="11">
        <v>0</v>
      </c>
      <c r="Q227" s="12">
        <v>0</v>
      </c>
      <c r="R227" s="12">
        <v>0</v>
      </c>
      <c r="S227" s="12">
        <f>$G$227*$G$8+$H$227*$H$8+$I$227*$I$8+$J$227*$J$8+$K$227*$K$8+$L$227*$L$8+$M$227*$M$8+$N$227*$N$8+$O$227*$O$8+$P$227*$P$8</f>
        <v>0</v>
      </c>
      <c r="T227" s="12">
        <f>SUM($Q$227:$R$227)</f>
        <v>0</v>
      </c>
      <c r="U227" s="12">
        <f>$S$227+$T$227</f>
        <v>0</v>
      </c>
    </row>
    <row r="228" spans="1:21" x14ac:dyDescent="0.3">
      <c r="A228" s="13" t="s">
        <v>839</v>
      </c>
      <c r="B228" s="14" t="s">
        <v>840</v>
      </c>
      <c r="C228" s="14"/>
      <c r="D228" s="14" t="s">
        <v>841</v>
      </c>
      <c r="E228" s="14">
        <f xml:space="preserve"> IF($U$228,1,0)</f>
        <v>0</v>
      </c>
      <c r="F228" s="14" t="s">
        <v>842</v>
      </c>
      <c r="G228" s="14">
        <v>0</v>
      </c>
      <c r="H228" s="14">
        <v>0</v>
      </c>
      <c r="I228" s="14">
        <v>0</v>
      </c>
      <c r="J228" s="14">
        <v>0</v>
      </c>
      <c r="K228" s="14">
        <v>0</v>
      </c>
      <c r="L228" s="14">
        <v>0</v>
      </c>
      <c r="M228" s="14">
        <v>0</v>
      </c>
      <c r="N228" s="14">
        <v>0</v>
      </c>
      <c r="O228" s="14">
        <v>0</v>
      </c>
      <c r="P228" s="14">
        <v>0</v>
      </c>
      <c r="Q228" s="15">
        <v>0</v>
      </c>
      <c r="R228" s="15">
        <v>0</v>
      </c>
      <c r="S228" s="15">
        <f>$G$228*$G$8+$H$228*$H$8+$I$228*$I$8+$J$228*$J$8+$K$228*$K$8+$L$228*$L$8+$M$228*$M$8+$N$228*$N$8+$O$228*$O$8+$P$228*$P$8</f>
        <v>0</v>
      </c>
      <c r="T228" s="15">
        <f>SUM($Q$228:$R$228)</f>
        <v>0</v>
      </c>
      <c r="U228" s="15">
        <f>$S$228+$T$228</f>
        <v>0</v>
      </c>
    </row>
    <row r="229" spans="1:21" x14ac:dyDescent="0.3">
      <c r="A229" s="10" t="s">
        <v>843</v>
      </c>
      <c r="B229" s="11" t="s">
        <v>844</v>
      </c>
      <c r="C229" s="11"/>
      <c r="D229" s="11" t="s">
        <v>845</v>
      </c>
      <c r="E229" s="11">
        <f xml:space="preserve"> IF($U$229,1,0)</f>
        <v>0</v>
      </c>
      <c r="F229" s="11" t="s">
        <v>846</v>
      </c>
      <c r="G229" s="11">
        <v>0</v>
      </c>
      <c r="H229" s="11">
        <v>0</v>
      </c>
      <c r="I229" s="11">
        <v>0</v>
      </c>
      <c r="J229" s="11">
        <v>0</v>
      </c>
      <c r="K229" s="11">
        <v>0</v>
      </c>
      <c r="L229" s="11">
        <v>0</v>
      </c>
      <c r="M229" s="11">
        <v>0</v>
      </c>
      <c r="N229" s="11">
        <v>0</v>
      </c>
      <c r="O229" s="11">
        <v>0</v>
      </c>
      <c r="P229" s="11">
        <v>0</v>
      </c>
      <c r="Q229" s="12">
        <v>0</v>
      </c>
      <c r="R229" s="12">
        <v>0</v>
      </c>
      <c r="S229" s="12">
        <f>$G$229*$G$8+$H$229*$H$8+$I$229*$I$8+$J$229*$J$8+$K$229*$K$8+$L$229*$L$8+$M$229*$M$8+$N$229*$N$8+$O$229*$O$8+$P$229*$P$8</f>
        <v>0</v>
      </c>
      <c r="T229" s="12">
        <f>SUM($Q$229:$R$229)</f>
        <v>0</v>
      </c>
      <c r="U229" s="12">
        <f>$S$229+$T$229</f>
        <v>0</v>
      </c>
    </row>
    <row r="230" spans="1:21" x14ac:dyDescent="0.3">
      <c r="A230" s="13" t="s">
        <v>847</v>
      </c>
      <c r="B230" s="14" t="s">
        <v>848</v>
      </c>
      <c r="C230" s="14" t="s">
        <v>202</v>
      </c>
      <c r="D230" s="14" t="s">
        <v>849</v>
      </c>
      <c r="E230" s="14">
        <f xml:space="preserve"> IF($U$230,1,0)</f>
        <v>0</v>
      </c>
      <c r="F230" s="14" t="s">
        <v>850</v>
      </c>
      <c r="G230" s="14">
        <v>0</v>
      </c>
      <c r="H230" s="14">
        <v>0</v>
      </c>
      <c r="I230" s="14">
        <v>0</v>
      </c>
      <c r="J230" s="14">
        <v>0</v>
      </c>
      <c r="K230" s="14">
        <v>0</v>
      </c>
      <c r="L230" s="14">
        <v>0</v>
      </c>
      <c r="M230" s="14">
        <v>0</v>
      </c>
      <c r="N230" s="14">
        <v>0</v>
      </c>
      <c r="O230" s="14">
        <v>0</v>
      </c>
      <c r="P230" s="14">
        <v>0</v>
      </c>
      <c r="Q230" s="15">
        <v>0</v>
      </c>
      <c r="R230" s="15">
        <v>0</v>
      </c>
      <c r="S230" s="15">
        <f>$G$230*$G$8+$H$230*$H$8+$I$230*$I$8+$J$230*$J$8+$K$230*$K$8+$L$230*$L$8+$M$230*$M$8+$N$230*$N$8+$O$230*$O$8+$P$230*$P$8</f>
        <v>0</v>
      </c>
      <c r="T230" s="15">
        <f>SUM($Q$230:$R$230)</f>
        <v>0</v>
      </c>
      <c r="U230" s="15">
        <f>$S$230+$T$230</f>
        <v>0</v>
      </c>
    </row>
    <row r="231" spans="1:21" x14ac:dyDescent="0.3">
      <c r="A231" s="10" t="s">
        <v>851</v>
      </c>
      <c r="B231" s="11" t="s">
        <v>852</v>
      </c>
      <c r="C231" s="11"/>
      <c r="D231" s="11" t="s">
        <v>853</v>
      </c>
      <c r="E231" s="11">
        <f xml:space="preserve"> IF($U$231,1,0)</f>
        <v>0</v>
      </c>
      <c r="F231" s="11" t="s">
        <v>854</v>
      </c>
      <c r="G231" s="11">
        <v>0</v>
      </c>
      <c r="H231" s="11">
        <v>0</v>
      </c>
      <c r="I231" s="11">
        <v>0</v>
      </c>
      <c r="J231" s="11">
        <v>0</v>
      </c>
      <c r="K231" s="11">
        <v>0</v>
      </c>
      <c r="L231" s="11">
        <v>0</v>
      </c>
      <c r="M231" s="11">
        <v>0</v>
      </c>
      <c r="N231" s="11">
        <v>0</v>
      </c>
      <c r="O231" s="11">
        <v>0</v>
      </c>
      <c r="P231" s="11">
        <v>0</v>
      </c>
      <c r="Q231" s="12">
        <v>0</v>
      </c>
      <c r="R231" s="12">
        <v>0</v>
      </c>
      <c r="S231" s="12">
        <f>$G$231*$G$8+$H$231*$H$8+$I$231*$I$8+$J$231*$J$8+$K$231*$K$8+$L$231*$L$8+$M$231*$M$8+$N$231*$N$8+$O$231*$O$8+$P$231*$P$8</f>
        <v>0</v>
      </c>
      <c r="T231" s="12">
        <f>SUM($Q$231:$R$231)</f>
        <v>0</v>
      </c>
      <c r="U231" s="12">
        <f>$S$231+$T$231</f>
        <v>0</v>
      </c>
    </row>
    <row r="232" spans="1:21" x14ac:dyDescent="0.3">
      <c r="A232" s="13" t="s">
        <v>855</v>
      </c>
      <c r="B232" s="14" t="s">
        <v>856</v>
      </c>
      <c r="C232" s="14"/>
      <c r="D232" s="14" t="s">
        <v>790</v>
      </c>
      <c r="E232" s="14">
        <f xml:space="preserve"> IF($U$232,1,0)</f>
        <v>0</v>
      </c>
      <c r="F232" s="14" t="s">
        <v>857</v>
      </c>
      <c r="G232" s="14">
        <v>0</v>
      </c>
      <c r="H232" s="14">
        <v>0</v>
      </c>
      <c r="I232" s="14">
        <v>0</v>
      </c>
      <c r="J232" s="14">
        <v>0</v>
      </c>
      <c r="K232" s="14">
        <v>0</v>
      </c>
      <c r="L232" s="14">
        <v>0</v>
      </c>
      <c r="M232" s="14">
        <v>0</v>
      </c>
      <c r="N232" s="14">
        <v>0</v>
      </c>
      <c r="O232" s="14">
        <v>0</v>
      </c>
      <c r="P232" s="14">
        <v>0</v>
      </c>
      <c r="Q232" s="15">
        <v>0</v>
      </c>
      <c r="R232" s="15">
        <v>0</v>
      </c>
      <c r="S232" s="15">
        <f>$G$232*$G$8+$H$232*$H$8+$I$232*$I$8+$J$232*$J$8+$K$232*$K$8+$L$232*$L$8+$M$232*$M$8+$N$232*$N$8+$O$232*$O$8+$P$232*$P$8</f>
        <v>0</v>
      </c>
      <c r="T232" s="15">
        <f>SUM($Q$232:$R$232)</f>
        <v>0</v>
      </c>
      <c r="U232" s="15">
        <f>$S$232+$T$232</f>
        <v>0</v>
      </c>
    </row>
    <row r="233" spans="1:21" x14ac:dyDescent="0.3">
      <c r="A233" s="10" t="s">
        <v>858</v>
      </c>
      <c r="B233" s="11" t="s">
        <v>859</v>
      </c>
      <c r="C233" s="11"/>
      <c r="D233" s="11" t="s">
        <v>860</v>
      </c>
      <c r="E233" s="11">
        <f xml:space="preserve"> IF($U$233,1,0)</f>
        <v>0</v>
      </c>
      <c r="F233" s="11" t="s">
        <v>861</v>
      </c>
      <c r="G233" s="11">
        <v>0</v>
      </c>
      <c r="H233" s="11">
        <v>0</v>
      </c>
      <c r="I233" s="11">
        <v>0</v>
      </c>
      <c r="J233" s="11">
        <v>0</v>
      </c>
      <c r="K233" s="11">
        <v>0</v>
      </c>
      <c r="L233" s="11">
        <v>0</v>
      </c>
      <c r="M233" s="11">
        <v>0</v>
      </c>
      <c r="N233" s="11">
        <v>0</v>
      </c>
      <c r="O233" s="11">
        <v>0</v>
      </c>
      <c r="P233" s="11">
        <v>0</v>
      </c>
      <c r="Q233" s="12">
        <v>0</v>
      </c>
      <c r="R233" s="12">
        <v>0</v>
      </c>
      <c r="S233" s="12">
        <f>$G$233*$G$8+$H$233*$H$8+$I$233*$I$8+$J$233*$J$8+$K$233*$K$8+$L$233*$L$8+$M$233*$M$8+$N$233*$N$8+$O$233*$O$8+$P$233*$P$8</f>
        <v>0</v>
      </c>
      <c r="T233" s="12">
        <f>SUM($Q$233:$R$233)</f>
        <v>0</v>
      </c>
      <c r="U233" s="12">
        <f>$S$233+$T$233</f>
        <v>0</v>
      </c>
    </row>
    <row r="234" spans="1:21" x14ac:dyDescent="0.3">
      <c r="A234" s="13" t="s">
        <v>862</v>
      </c>
      <c r="B234" s="14" t="s">
        <v>863</v>
      </c>
      <c r="C234" s="14"/>
      <c r="D234" s="14" t="s">
        <v>864</v>
      </c>
      <c r="E234" s="14">
        <f xml:space="preserve"> IF($U$234,1,0)</f>
        <v>0</v>
      </c>
      <c r="F234" s="14" t="s">
        <v>865</v>
      </c>
      <c r="G234" s="14">
        <v>0</v>
      </c>
      <c r="H234" s="14">
        <v>0</v>
      </c>
      <c r="I234" s="14">
        <v>0</v>
      </c>
      <c r="J234" s="14">
        <v>0</v>
      </c>
      <c r="K234" s="14">
        <v>0</v>
      </c>
      <c r="L234" s="14">
        <v>0</v>
      </c>
      <c r="M234" s="14">
        <v>0</v>
      </c>
      <c r="N234" s="14">
        <v>0</v>
      </c>
      <c r="O234" s="14">
        <v>0</v>
      </c>
      <c r="P234" s="14">
        <v>0</v>
      </c>
      <c r="Q234" s="15">
        <v>0</v>
      </c>
      <c r="R234" s="15">
        <v>0</v>
      </c>
      <c r="S234" s="15">
        <f>$G$234*$G$8+$H$234*$H$8+$I$234*$I$8+$J$234*$J$8+$K$234*$K$8+$L$234*$L$8+$M$234*$M$8+$N$234*$N$8+$O$234*$O$8+$P$234*$P$8</f>
        <v>0</v>
      </c>
      <c r="T234" s="15">
        <f>SUM($Q$234:$R$234)</f>
        <v>0</v>
      </c>
      <c r="U234" s="15">
        <f>$S$234+$T$234</f>
        <v>0</v>
      </c>
    </row>
    <row r="235" spans="1:21" x14ac:dyDescent="0.3">
      <c r="A235" s="10" t="s">
        <v>866</v>
      </c>
      <c r="B235" s="11" t="s">
        <v>867</v>
      </c>
      <c r="C235" s="11"/>
      <c r="D235" s="11" t="s">
        <v>868</v>
      </c>
      <c r="E235" s="11">
        <f xml:space="preserve"> IF($U$235,1,0)</f>
        <v>0</v>
      </c>
      <c r="F235" s="11" t="s">
        <v>869</v>
      </c>
      <c r="G235" s="11">
        <v>0</v>
      </c>
      <c r="H235" s="11">
        <v>0</v>
      </c>
      <c r="I235" s="11">
        <v>0</v>
      </c>
      <c r="J235" s="11">
        <v>0</v>
      </c>
      <c r="K235" s="11">
        <v>0</v>
      </c>
      <c r="L235" s="11">
        <v>0</v>
      </c>
      <c r="M235" s="11">
        <v>0</v>
      </c>
      <c r="N235" s="11">
        <v>0</v>
      </c>
      <c r="O235" s="11">
        <v>0</v>
      </c>
      <c r="P235" s="11">
        <v>0</v>
      </c>
      <c r="Q235" s="12">
        <v>0</v>
      </c>
      <c r="R235" s="12">
        <v>0</v>
      </c>
      <c r="S235" s="12">
        <f>$G$235*$G$8+$H$235*$H$8+$I$235*$I$8+$J$235*$J$8+$K$235*$K$8+$L$235*$L$8+$M$235*$M$8+$N$235*$N$8+$O$235*$O$8+$P$235*$P$8</f>
        <v>0</v>
      </c>
      <c r="T235" s="12">
        <f>SUM($Q$235:$R$235)</f>
        <v>0</v>
      </c>
      <c r="U235" s="12">
        <f>$S$235+$T$235</f>
        <v>0</v>
      </c>
    </row>
    <row r="236" spans="1:21" x14ac:dyDescent="0.3">
      <c r="A236" s="13" t="s">
        <v>870</v>
      </c>
      <c r="B236" s="14" t="s">
        <v>871</v>
      </c>
      <c r="C236" s="14" t="s">
        <v>243</v>
      </c>
      <c r="D236" s="14" t="s">
        <v>399</v>
      </c>
      <c r="E236" s="14">
        <f xml:space="preserve"> IF($U$236,1,0)</f>
        <v>0</v>
      </c>
      <c r="F236" s="14" t="s">
        <v>872</v>
      </c>
      <c r="G236" s="14">
        <v>0</v>
      </c>
      <c r="H236" s="14">
        <v>0</v>
      </c>
      <c r="I236" s="14">
        <v>0</v>
      </c>
      <c r="J236" s="14">
        <v>0</v>
      </c>
      <c r="K236" s="14">
        <v>0</v>
      </c>
      <c r="L236" s="14">
        <v>0</v>
      </c>
      <c r="M236" s="14">
        <v>0</v>
      </c>
      <c r="N236" s="14">
        <v>0</v>
      </c>
      <c r="O236" s="14">
        <v>0</v>
      </c>
      <c r="P236" s="14">
        <v>0</v>
      </c>
      <c r="Q236" s="15">
        <v>0</v>
      </c>
      <c r="R236" s="15">
        <v>0</v>
      </c>
      <c r="S236" s="15">
        <f>$G$236*$G$8+$H$236*$H$8+$I$236*$I$8+$J$236*$J$8+$K$236*$K$8+$L$236*$L$8+$M$236*$M$8+$N$236*$N$8+$O$236*$O$8+$P$236*$P$8</f>
        <v>0</v>
      </c>
      <c r="T236" s="15">
        <f>SUM($Q$236:$R$236)</f>
        <v>0</v>
      </c>
      <c r="U236" s="15">
        <f>$S$236+$T$236</f>
        <v>0</v>
      </c>
    </row>
    <row r="237" spans="1:21" x14ac:dyDescent="0.3">
      <c r="A237" s="10" t="s">
        <v>873</v>
      </c>
      <c r="B237" s="11" t="s">
        <v>874</v>
      </c>
      <c r="C237" s="11"/>
      <c r="D237" s="11" t="s">
        <v>875</v>
      </c>
      <c r="E237" s="11">
        <f xml:space="preserve"> IF($U$237,1,0)</f>
        <v>0</v>
      </c>
      <c r="F237" s="11" t="s">
        <v>876</v>
      </c>
      <c r="G237" s="11">
        <v>0</v>
      </c>
      <c r="H237" s="11">
        <v>0</v>
      </c>
      <c r="I237" s="11">
        <v>0</v>
      </c>
      <c r="J237" s="11">
        <v>0</v>
      </c>
      <c r="K237" s="11">
        <v>0</v>
      </c>
      <c r="L237" s="11">
        <v>0</v>
      </c>
      <c r="M237" s="11">
        <v>0</v>
      </c>
      <c r="N237" s="11">
        <v>0</v>
      </c>
      <c r="O237" s="11">
        <v>0</v>
      </c>
      <c r="P237" s="11">
        <v>0</v>
      </c>
      <c r="Q237" s="12">
        <v>0</v>
      </c>
      <c r="R237" s="12">
        <v>0</v>
      </c>
      <c r="S237" s="12">
        <f>$G$237*$G$8+$H$237*$H$8+$I$237*$I$8+$J$237*$J$8+$K$237*$K$8+$L$237*$L$8+$M$237*$M$8+$N$237*$N$8+$O$237*$O$8+$P$237*$P$8</f>
        <v>0</v>
      </c>
      <c r="T237" s="12">
        <f>SUM($Q$237:$R$237)</f>
        <v>0</v>
      </c>
      <c r="U237" s="12">
        <f>$S$237+$T$237</f>
        <v>0</v>
      </c>
    </row>
    <row r="238" spans="1:21" x14ac:dyDescent="0.3">
      <c r="A238" s="13" t="s">
        <v>877</v>
      </c>
      <c r="B238" s="14" t="s">
        <v>878</v>
      </c>
      <c r="C238" s="14"/>
      <c r="D238" s="14" t="s">
        <v>879</v>
      </c>
      <c r="E238" s="14">
        <f xml:space="preserve"> IF($U$238,1,0)</f>
        <v>0</v>
      </c>
      <c r="F238" s="14" t="s">
        <v>880</v>
      </c>
      <c r="G238" s="14">
        <v>0</v>
      </c>
      <c r="H238" s="14">
        <v>0</v>
      </c>
      <c r="I238" s="14">
        <v>0</v>
      </c>
      <c r="J238" s="14">
        <v>0</v>
      </c>
      <c r="K238" s="14">
        <v>0</v>
      </c>
      <c r="L238" s="14">
        <v>0</v>
      </c>
      <c r="M238" s="14">
        <v>0</v>
      </c>
      <c r="N238" s="14">
        <v>0</v>
      </c>
      <c r="O238" s="14">
        <v>0</v>
      </c>
      <c r="P238" s="14">
        <v>0</v>
      </c>
      <c r="Q238" s="15">
        <v>0</v>
      </c>
      <c r="R238" s="15">
        <v>0</v>
      </c>
      <c r="S238" s="15">
        <f>$G$238*$G$8+$H$238*$H$8+$I$238*$I$8+$J$238*$J$8+$K$238*$K$8+$L$238*$L$8+$M$238*$M$8+$N$238*$N$8+$O$238*$O$8+$P$238*$P$8</f>
        <v>0</v>
      </c>
      <c r="T238" s="15">
        <f>SUM($Q$238:$R$238)</f>
        <v>0</v>
      </c>
      <c r="U238" s="15">
        <f>$S$238+$T$238</f>
        <v>0</v>
      </c>
    </row>
    <row r="239" spans="1:21" x14ac:dyDescent="0.3">
      <c r="A239" s="10" t="s">
        <v>881</v>
      </c>
      <c r="B239" s="11" t="s">
        <v>882</v>
      </c>
      <c r="C239" s="11"/>
      <c r="D239" s="11" t="s">
        <v>883</v>
      </c>
      <c r="E239" s="11">
        <f xml:space="preserve"> IF($U$239,1,0)</f>
        <v>0</v>
      </c>
      <c r="F239" s="11" t="s">
        <v>884</v>
      </c>
      <c r="G239" s="11">
        <v>0</v>
      </c>
      <c r="H239" s="11">
        <v>0</v>
      </c>
      <c r="I239" s="11">
        <v>0</v>
      </c>
      <c r="J239" s="11">
        <v>0</v>
      </c>
      <c r="K239" s="11">
        <v>0</v>
      </c>
      <c r="L239" s="11">
        <v>0</v>
      </c>
      <c r="M239" s="11">
        <v>0</v>
      </c>
      <c r="N239" s="11">
        <v>0</v>
      </c>
      <c r="O239" s="11">
        <v>0</v>
      </c>
      <c r="P239" s="11">
        <v>0</v>
      </c>
      <c r="Q239" s="12">
        <v>0</v>
      </c>
      <c r="R239" s="12">
        <v>0</v>
      </c>
      <c r="S239" s="12">
        <f>$G$239*$G$8+$H$239*$H$8+$I$239*$I$8+$J$239*$J$8+$K$239*$K$8+$L$239*$L$8+$M$239*$M$8+$N$239*$N$8+$O$239*$O$8+$P$239*$P$8</f>
        <v>0</v>
      </c>
      <c r="T239" s="12">
        <f>SUM($Q$239:$R$239)</f>
        <v>0</v>
      </c>
      <c r="U239" s="12">
        <f>$S$239+$T$239</f>
        <v>0</v>
      </c>
    </row>
    <row r="240" spans="1:21" x14ac:dyDescent="0.3">
      <c r="A240" s="13" t="s">
        <v>885</v>
      </c>
      <c r="B240" s="14" t="s">
        <v>886</v>
      </c>
      <c r="C240" s="14" t="s">
        <v>887</v>
      </c>
      <c r="D240" s="14" t="s">
        <v>888</v>
      </c>
      <c r="E240" s="14">
        <f xml:space="preserve"> IF($U$240,1,0)</f>
        <v>0</v>
      </c>
      <c r="F240" s="14" t="s">
        <v>889</v>
      </c>
      <c r="G240" s="14">
        <v>0</v>
      </c>
      <c r="H240" s="14">
        <v>0</v>
      </c>
      <c r="I240" s="14">
        <v>0</v>
      </c>
      <c r="J240" s="14">
        <v>0</v>
      </c>
      <c r="K240" s="14">
        <v>0</v>
      </c>
      <c r="L240" s="14">
        <v>0</v>
      </c>
      <c r="M240" s="14">
        <v>0</v>
      </c>
      <c r="N240" s="14">
        <v>0</v>
      </c>
      <c r="O240" s="14">
        <v>0</v>
      </c>
      <c r="P240" s="14">
        <v>0</v>
      </c>
      <c r="Q240" s="15">
        <v>0</v>
      </c>
      <c r="R240" s="15">
        <v>0</v>
      </c>
      <c r="S240" s="15">
        <f>$G$240*$G$8+$H$240*$H$8+$I$240*$I$8+$J$240*$J$8+$K$240*$K$8+$L$240*$L$8+$M$240*$M$8+$N$240*$N$8+$O$240*$O$8+$P$240*$P$8</f>
        <v>0</v>
      </c>
      <c r="T240" s="15">
        <f>SUM($Q$240:$R$240)</f>
        <v>0</v>
      </c>
      <c r="U240" s="15">
        <f>$S$240+$T$240</f>
        <v>0</v>
      </c>
    </row>
    <row r="241" spans="1:21" x14ac:dyDescent="0.3">
      <c r="A241" s="10" t="s">
        <v>890</v>
      </c>
      <c r="B241" s="11" t="s">
        <v>886</v>
      </c>
      <c r="C241" s="11"/>
      <c r="D241" s="11" t="s">
        <v>891</v>
      </c>
      <c r="E241" s="11">
        <f xml:space="preserve"> IF($U$241,1,0)</f>
        <v>0</v>
      </c>
      <c r="F241" s="11" t="s">
        <v>892</v>
      </c>
      <c r="G241" s="11">
        <v>0</v>
      </c>
      <c r="H241" s="11">
        <v>0</v>
      </c>
      <c r="I241" s="11">
        <v>0</v>
      </c>
      <c r="J241" s="11">
        <v>0</v>
      </c>
      <c r="K241" s="11">
        <v>0</v>
      </c>
      <c r="L241" s="11">
        <v>0</v>
      </c>
      <c r="M241" s="11">
        <v>0</v>
      </c>
      <c r="N241" s="11">
        <v>0</v>
      </c>
      <c r="O241" s="11">
        <v>0</v>
      </c>
      <c r="P241" s="11">
        <v>0</v>
      </c>
      <c r="Q241" s="12">
        <v>0</v>
      </c>
      <c r="R241" s="12">
        <v>0</v>
      </c>
      <c r="S241" s="12">
        <f>$G$241*$G$8+$H$241*$H$8+$I$241*$I$8+$J$241*$J$8+$K$241*$K$8+$L$241*$L$8+$M$241*$M$8+$N$241*$N$8+$O$241*$O$8+$P$241*$P$8</f>
        <v>0</v>
      </c>
      <c r="T241" s="12">
        <f>SUM($Q$241:$R$241)</f>
        <v>0</v>
      </c>
      <c r="U241" s="12">
        <f>$S$241+$T$241</f>
        <v>0</v>
      </c>
    </row>
    <row r="242" spans="1:21" x14ac:dyDescent="0.3">
      <c r="A242" s="13" t="s">
        <v>893</v>
      </c>
      <c r="B242" s="14" t="s">
        <v>894</v>
      </c>
      <c r="C242" s="14"/>
      <c r="D242" s="14" t="s">
        <v>895</v>
      </c>
      <c r="E242" s="14">
        <f xml:space="preserve"> IF($U$242,1,0)</f>
        <v>0</v>
      </c>
      <c r="F242" s="14" t="s">
        <v>896</v>
      </c>
      <c r="G242" s="14">
        <v>0</v>
      </c>
      <c r="H242" s="14">
        <v>0</v>
      </c>
      <c r="I242" s="14">
        <v>0</v>
      </c>
      <c r="J242" s="14">
        <v>0</v>
      </c>
      <c r="K242" s="14">
        <v>0</v>
      </c>
      <c r="L242" s="14">
        <v>0</v>
      </c>
      <c r="M242" s="14">
        <v>0</v>
      </c>
      <c r="N242" s="14">
        <v>0</v>
      </c>
      <c r="O242" s="14">
        <v>0</v>
      </c>
      <c r="P242" s="14">
        <v>0</v>
      </c>
      <c r="Q242" s="15">
        <v>0</v>
      </c>
      <c r="R242" s="15">
        <v>0</v>
      </c>
      <c r="S242" s="15">
        <f>$G$242*$G$8+$H$242*$H$8+$I$242*$I$8+$J$242*$J$8+$K$242*$K$8+$L$242*$L$8+$M$242*$M$8+$N$242*$N$8+$O$242*$O$8+$P$242*$P$8</f>
        <v>0</v>
      </c>
      <c r="T242" s="15">
        <f>SUM($Q$242:$R$242)</f>
        <v>0</v>
      </c>
      <c r="U242" s="15">
        <f>$S$242+$T$242</f>
        <v>0</v>
      </c>
    </row>
    <row r="243" spans="1:21" x14ac:dyDescent="0.3">
      <c r="A243" s="10" t="s">
        <v>1290</v>
      </c>
      <c r="B243" s="11" t="s">
        <v>1291</v>
      </c>
      <c r="C243" s="11"/>
      <c r="D243" s="11" t="s">
        <v>1292</v>
      </c>
      <c r="E243" s="11">
        <f xml:space="preserve"> IF($U$243,1,0)</f>
        <v>0</v>
      </c>
      <c r="F243" s="11" t="s">
        <v>1293</v>
      </c>
      <c r="G243" s="11">
        <v>0</v>
      </c>
      <c r="H243" s="11">
        <v>0</v>
      </c>
      <c r="I243" s="11">
        <v>0</v>
      </c>
      <c r="J243" s="11">
        <v>0</v>
      </c>
      <c r="K243" s="11">
        <v>0</v>
      </c>
      <c r="L243" s="11">
        <v>0</v>
      </c>
      <c r="M243" s="11">
        <v>0</v>
      </c>
      <c r="N243" s="11">
        <v>0</v>
      </c>
      <c r="O243" s="11">
        <v>0</v>
      </c>
      <c r="P243" s="11">
        <v>0</v>
      </c>
      <c r="Q243" s="12">
        <v>0</v>
      </c>
      <c r="R243" s="12">
        <v>0</v>
      </c>
      <c r="S243" s="12">
        <f>$G$243*$G$8+$H$243*$H$8+$I$243*$I$8+$J$243*$J$8+$K$243*$K$8+$L$243*$L$8+$M$243*$M$8+$N$243*$N$8+$O$243*$O$8+$P$243*$P$8</f>
        <v>0</v>
      </c>
      <c r="T243" s="12">
        <f>SUM($Q$243:$R$243)</f>
        <v>0</v>
      </c>
      <c r="U243" s="12">
        <f>$S$243+$T$243</f>
        <v>0</v>
      </c>
    </row>
    <row r="244" spans="1:21" x14ac:dyDescent="0.3">
      <c r="A244" s="13" t="s">
        <v>897</v>
      </c>
      <c r="B244" s="14" t="s">
        <v>898</v>
      </c>
      <c r="C244" s="14"/>
      <c r="D244" s="14" t="s">
        <v>899</v>
      </c>
      <c r="E244" s="14">
        <f xml:space="preserve"> IF($U$244,1,0)</f>
        <v>0</v>
      </c>
      <c r="F244" s="14" t="s">
        <v>900</v>
      </c>
      <c r="G244" s="14">
        <v>0</v>
      </c>
      <c r="H244" s="14">
        <v>0</v>
      </c>
      <c r="I244" s="14">
        <v>0</v>
      </c>
      <c r="J244" s="14">
        <v>0</v>
      </c>
      <c r="K244" s="14">
        <v>0</v>
      </c>
      <c r="L244" s="14">
        <v>0</v>
      </c>
      <c r="M244" s="14">
        <v>0</v>
      </c>
      <c r="N244" s="14">
        <v>0</v>
      </c>
      <c r="O244" s="14">
        <v>0</v>
      </c>
      <c r="P244" s="14">
        <v>0</v>
      </c>
      <c r="Q244" s="15">
        <v>0</v>
      </c>
      <c r="R244" s="15">
        <v>0</v>
      </c>
      <c r="S244" s="15">
        <f>$G$244*$G$8+$H$244*$H$8+$I$244*$I$8+$J$244*$J$8+$K$244*$K$8+$L$244*$L$8+$M$244*$M$8+$N$244*$N$8+$O$244*$O$8+$P$244*$P$8</f>
        <v>0</v>
      </c>
      <c r="T244" s="15">
        <f>SUM($Q$244:$R$244)</f>
        <v>0</v>
      </c>
      <c r="U244" s="15">
        <f>$S$244+$T$244</f>
        <v>0</v>
      </c>
    </row>
    <row r="245" spans="1:21" x14ac:dyDescent="0.3">
      <c r="A245" s="10" t="s">
        <v>901</v>
      </c>
      <c r="B245" s="11" t="s">
        <v>902</v>
      </c>
      <c r="C245" s="11"/>
      <c r="D245" s="11" t="s">
        <v>903</v>
      </c>
      <c r="E245" s="11">
        <f xml:space="preserve"> IF($U$245,1,0)</f>
        <v>0</v>
      </c>
      <c r="F245" s="11" t="s">
        <v>904</v>
      </c>
      <c r="G245" s="11">
        <v>0</v>
      </c>
      <c r="H245" s="11">
        <v>0</v>
      </c>
      <c r="I245" s="11">
        <v>0</v>
      </c>
      <c r="J245" s="11">
        <v>0</v>
      </c>
      <c r="K245" s="11">
        <v>0</v>
      </c>
      <c r="L245" s="11">
        <v>0</v>
      </c>
      <c r="M245" s="11">
        <v>0</v>
      </c>
      <c r="N245" s="11">
        <v>0</v>
      </c>
      <c r="O245" s="11">
        <v>0</v>
      </c>
      <c r="P245" s="11">
        <v>0</v>
      </c>
      <c r="Q245" s="12">
        <v>0</v>
      </c>
      <c r="R245" s="12">
        <v>0</v>
      </c>
      <c r="S245" s="12">
        <f>$G$245*$G$8+$H$245*$H$8+$I$245*$I$8+$J$245*$J$8+$K$245*$K$8+$L$245*$L$8+$M$245*$M$8+$N$245*$N$8+$O$245*$O$8+$P$245*$P$8</f>
        <v>0</v>
      </c>
      <c r="T245" s="12">
        <f>SUM($Q$245:$R$245)</f>
        <v>0</v>
      </c>
      <c r="U245" s="12">
        <f>$S$245+$T$245</f>
        <v>0</v>
      </c>
    </row>
    <row r="246" spans="1:21" x14ac:dyDescent="0.3">
      <c r="A246" s="13" t="s">
        <v>905</v>
      </c>
      <c r="B246" s="14" t="s">
        <v>906</v>
      </c>
      <c r="C246" s="14" t="s">
        <v>283</v>
      </c>
      <c r="D246" s="14" t="s">
        <v>296</v>
      </c>
      <c r="E246" s="14">
        <f xml:space="preserve"> IF($U$246,1,0)</f>
        <v>0</v>
      </c>
      <c r="F246" s="14" t="s">
        <v>907</v>
      </c>
      <c r="G246" s="14">
        <v>0</v>
      </c>
      <c r="H246" s="14">
        <v>0</v>
      </c>
      <c r="I246" s="14">
        <v>0</v>
      </c>
      <c r="J246" s="14">
        <v>0</v>
      </c>
      <c r="K246" s="14">
        <v>0</v>
      </c>
      <c r="L246" s="14">
        <v>0</v>
      </c>
      <c r="M246" s="14">
        <v>0</v>
      </c>
      <c r="N246" s="14">
        <v>0</v>
      </c>
      <c r="O246" s="14">
        <v>0</v>
      </c>
      <c r="P246" s="14">
        <v>0</v>
      </c>
      <c r="Q246" s="15">
        <v>0</v>
      </c>
      <c r="R246" s="15">
        <v>0</v>
      </c>
      <c r="S246" s="15">
        <f>$G$246*$G$8+$H$246*$H$8+$I$246*$I$8+$J$246*$J$8+$K$246*$K$8+$L$246*$L$8+$M$246*$M$8+$N$246*$N$8+$O$246*$O$8+$P$246*$P$8</f>
        <v>0</v>
      </c>
      <c r="T246" s="15">
        <f>SUM($Q$246:$R$246)</f>
        <v>0</v>
      </c>
      <c r="U246" s="15">
        <f>$S$246+$T$246</f>
        <v>0</v>
      </c>
    </row>
    <row r="247" spans="1:21" x14ac:dyDescent="0.3">
      <c r="A247" s="10" t="s">
        <v>908</v>
      </c>
      <c r="B247" s="11" t="s">
        <v>909</v>
      </c>
      <c r="C247" s="11"/>
      <c r="D247" s="11" t="s">
        <v>910</v>
      </c>
      <c r="E247" s="11">
        <f xml:space="preserve"> IF($U$247,1,0)</f>
        <v>0</v>
      </c>
      <c r="F247" s="11" t="s">
        <v>911</v>
      </c>
      <c r="G247" s="11">
        <v>0</v>
      </c>
      <c r="H247" s="11">
        <v>0</v>
      </c>
      <c r="I247" s="11">
        <v>0</v>
      </c>
      <c r="J247" s="11">
        <v>0</v>
      </c>
      <c r="K247" s="11">
        <v>0</v>
      </c>
      <c r="L247" s="11">
        <v>0</v>
      </c>
      <c r="M247" s="11">
        <v>0</v>
      </c>
      <c r="N247" s="11">
        <v>0</v>
      </c>
      <c r="O247" s="11">
        <v>0</v>
      </c>
      <c r="P247" s="11">
        <v>0</v>
      </c>
      <c r="Q247" s="12">
        <v>0</v>
      </c>
      <c r="R247" s="12">
        <v>0</v>
      </c>
      <c r="S247" s="12">
        <f>$G$247*$G$8+$H$247*$H$8+$I$247*$I$8+$J$247*$J$8+$K$247*$K$8+$L$247*$L$8+$M$247*$M$8+$N$247*$N$8+$O$247*$O$8+$P$247*$P$8</f>
        <v>0</v>
      </c>
      <c r="T247" s="12">
        <f>SUM($Q$247:$R$247)</f>
        <v>0</v>
      </c>
      <c r="U247" s="12">
        <f>$S$247+$T$247</f>
        <v>0</v>
      </c>
    </row>
    <row r="248" spans="1:21" x14ac:dyDescent="0.3">
      <c r="A248" s="13" t="s">
        <v>912</v>
      </c>
      <c r="B248" s="14" t="s">
        <v>913</v>
      </c>
      <c r="C248" s="14" t="s">
        <v>65</v>
      </c>
      <c r="D248" s="14" t="s">
        <v>914</v>
      </c>
      <c r="E248" s="14">
        <f xml:space="preserve"> IF($U$248,1,0)</f>
        <v>0</v>
      </c>
      <c r="F248" s="14" t="s">
        <v>915</v>
      </c>
      <c r="G248" s="14">
        <v>0</v>
      </c>
      <c r="H248" s="14">
        <v>0</v>
      </c>
      <c r="I248" s="14">
        <v>0</v>
      </c>
      <c r="J248" s="14">
        <v>0</v>
      </c>
      <c r="K248" s="14">
        <v>0</v>
      </c>
      <c r="L248" s="14">
        <v>0</v>
      </c>
      <c r="M248" s="14">
        <v>0</v>
      </c>
      <c r="N248" s="14">
        <v>0</v>
      </c>
      <c r="O248" s="14">
        <v>0</v>
      </c>
      <c r="P248" s="14">
        <v>0</v>
      </c>
      <c r="Q248" s="15">
        <v>0</v>
      </c>
      <c r="R248" s="15">
        <v>0</v>
      </c>
      <c r="S248" s="15">
        <f>$G$248*$G$8+$H$248*$H$8+$I$248*$I$8+$J$248*$J$8+$K$248*$K$8+$L$248*$L$8+$M$248*$M$8+$N$248*$N$8+$O$248*$O$8+$P$248*$P$8</f>
        <v>0</v>
      </c>
      <c r="T248" s="15">
        <f>SUM($Q$248:$R$248)</f>
        <v>0</v>
      </c>
      <c r="U248" s="15">
        <f>$S$248+$T$248</f>
        <v>0</v>
      </c>
    </row>
    <row r="249" spans="1:21" x14ac:dyDescent="0.3">
      <c r="A249" s="10" t="s">
        <v>916</v>
      </c>
      <c r="B249" s="11" t="s">
        <v>917</v>
      </c>
      <c r="C249" s="11"/>
      <c r="D249" s="11" t="s">
        <v>918</v>
      </c>
      <c r="E249" s="11">
        <f xml:space="preserve"> IF($U$249,1,0)</f>
        <v>0</v>
      </c>
      <c r="F249" s="11" t="s">
        <v>919</v>
      </c>
      <c r="G249" s="11">
        <v>0</v>
      </c>
      <c r="H249" s="11">
        <v>0</v>
      </c>
      <c r="I249" s="11">
        <v>0</v>
      </c>
      <c r="J249" s="11">
        <v>0</v>
      </c>
      <c r="K249" s="11">
        <v>0</v>
      </c>
      <c r="L249" s="11">
        <v>0</v>
      </c>
      <c r="M249" s="11">
        <v>0</v>
      </c>
      <c r="N249" s="11">
        <v>0</v>
      </c>
      <c r="O249" s="11">
        <v>0</v>
      </c>
      <c r="P249" s="11">
        <v>0</v>
      </c>
      <c r="Q249" s="12">
        <v>0</v>
      </c>
      <c r="R249" s="12">
        <v>0</v>
      </c>
      <c r="S249" s="12">
        <f>$G$249*$G$8+$H$249*$H$8+$I$249*$I$8+$J$249*$J$8+$K$249*$K$8+$L$249*$L$8+$M$249*$M$8+$N$249*$N$8+$O$249*$O$8+$P$249*$P$8</f>
        <v>0</v>
      </c>
      <c r="T249" s="12">
        <f>SUM($Q$249:$R$249)</f>
        <v>0</v>
      </c>
      <c r="U249" s="12">
        <f>$S$249+$T$249</f>
        <v>0</v>
      </c>
    </row>
    <row r="250" spans="1:21" x14ac:dyDescent="0.3">
      <c r="A250" s="13" t="s">
        <v>920</v>
      </c>
      <c r="B250" s="14" t="s">
        <v>917</v>
      </c>
      <c r="C250" s="14"/>
      <c r="D250" s="14" t="s">
        <v>921</v>
      </c>
      <c r="E250" s="14">
        <f xml:space="preserve"> IF($U$250,1,0)</f>
        <v>0</v>
      </c>
      <c r="F250" s="14" t="s">
        <v>922</v>
      </c>
      <c r="G250" s="14">
        <v>0</v>
      </c>
      <c r="H250" s="14">
        <v>0</v>
      </c>
      <c r="I250" s="14">
        <v>0</v>
      </c>
      <c r="J250" s="14">
        <v>0</v>
      </c>
      <c r="K250" s="14">
        <v>0</v>
      </c>
      <c r="L250" s="14">
        <v>0</v>
      </c>
      <c r="M250" s="14">
        <v>0</v>
      </c>
      <c r="N250" s="14">
        <v>0</v>
      </c>
      <c r="O250" s="14">
        <v>0</v>
      </c>
      <c r="P250" s="14">
        <v>0</v>
      </c>
      <c r="Q250" s="15">
        <v>0</v>
      </c>
      <c r="R250" s="15">
        <v>0</v>
      </c>
      <c r="S250" s="15">
        <f>$G$250*$G$8+$H$250*$H$8+$I$250*$I$8+$J$250*$J$8+$K$250*$K$8+$L$250*$L$8+$M$250*$M$8+$N$250*$N$8+$O$250*$O$8+$P$250*$P$8</f>
        <v>0</v>
      </c>
      <c r="T250" s="15">
        <f>SUM($Q$250:$R$250)</f>
        <v>0</v>
      </c>
      <c r="U250" s="15">
        <f>$S$250+$T$250</f>
        <v>0</v>
      </c>
    </row>
    <row r="251" spans="1:21" x14ac:dyDescent="0.3">
      <c r="A251" s="10" t="s">
        <v>923</v>
      </c>
      <c r="B251" s="11" t="s">
        <v>917</v>
      </c>
      <c r="C251" s="11" t="s">
        <v>34</v>
      </c>
      <c r="D251" s="11" t="s">
        <v>924</v>
      </c>
      <c r="E251" s="11">
        <f xml:space="preserve"> IF($U$251,1,0)</f>
        <v>0</v>
      </c>
      <c r="F251" s="11" t="s">
        <v>925</v>
      </c>
      <c r="G251" s="11">
        <v>0</v>
      </c>
      <c r="H251" s="11">
        <v>0</v>
      </c>
      <c r="I251" s="11">
        <v>0</v>
      </c>
      <c r="J251" s="11">
        <v>0</v>
      </c>
      <c r="K251" s="11">
        <v>0</v>
      </c>
      <c r="L251" s="11">
        <v>0</v>
      </c>
      <c r="M251" s="11">
        <v>0</v>
      </c>
      <c r="N251" s="11">
        <v>0</v>
      </c>
      <c r="O251" s="11">
        <v>0</v>
      </c>
      <c r="P251" s="11">
        <v>0</v>
      </c>
      <c r="Q251" s="12">
        <v>0</v>
      </c>
      <c r="R251" s="12">
        <v>0</v>
      </c>
      <c r="S251" s="12">
        <f>$G$251*$G$8+$H$251*$H$8+$I$251*$I$8+$J$251*$J$8+$K$251*$K$8+$L$251*$L$8+$M$251*$M$8+$N$251*$N$8+$O$251*$O$8+$P$251*$P$8</f>
        <v>0</v>
      </c>
      <c r="T251" s="12">
        <f>SUM($Q$251:$R$251)</f>
        <v>0</v>
      </c>
      <c r="U251" s="12">
        <f>$S$251+$T$251</f>
        <v>0</v>
      </c>
    </row>
    <row r="252" spans="1:21" x14ac:dyDescent="0.3">
      <c r="A252" s="13" t="s">
        <v>926</v>
      </c>
      <c r="B252" s="14" t="s">
        <v>927</v>
      </c>
      <c r="C252" s="14"/>
      <c r="D252" s="14" t="s">
        <v>928</v>
      </c>
      <c r="E252" s="14">
        <f xml:space="preserve"> IF($U$252,1,0)</f>
        <v>0</v>
      </c>
      <c r="F252" s="14" t="s">
        <v>929</v>
      </c>
      <c r="G252" s="14">
        <v>0</v>
      </c>
      <c r="H252" s="14">
        <v>0</v>
      </c>
      <c r="I252" s="14">
        <v>0</v>
      </c>
      <c r="J252" s="14">
        <v>0</v>
      </c>
      <c r="K252" s="14">
        <v>0</v>
      </c>
      <c r="L252" s="14">
        <v>0</v>
      </c>
      <c r="M252" s="14">
        <v>0</v>
      </c>
      <c r="N252" s="14">
        <v>0</v>
      </c>
      <c r="O252" s="14">
        <v>0</v>
      </c>
      <c r="P252" s="14">
        <v>0</v>
      </c>
      <c r="Q252" s="15">
        <v>0</v>
      </c>
      <c r="R252" s="15">
        <v>0</v>
      </c>
      <c r="S252" s="15">
        <f>$G$252*$G$8+$H$252*$H$8+$I$252*$I$8+$J$252*$J$8+$K$252*$K$8+$L$252*$L$8+$M$252*$M$8+$N$252*$N$8+$O$252*$O$8+$P$252*$P$8</f>
        <v>0</v>
      </c>
      <c r="T252" s="15">
        <f>SUM($Q$252:$R$252)</f>
        <v>0</v>
      </c>
      <c r="U252" s="15">
        <f>$S$252+$T$252</f>
        <v>0</v>
      </c>
    </row>
    <row r="253" spans="1:21" x14ac:dyDescent="0.3">
      <c r="A253" s="10" t="s">
        <v>930</v>
      </c>
      <c r="B253" s="11" t="s">
        <v>931</v>
      </c>
      <c r="C253" s="11"/>
      <c r="D253" s="11" t="s">
        <v>932</v>
      </c>
      <c r="E253" s="11">
        <f xml:space="preserve"> IF($U$253,1,0)</f>
        <v>0</v>
      </c>
      <c r="F253" s="11" t="s">
        <v>933</v>
      </c>
      <c r="G253" s="11">
        <v>0</v>
      </c>
      <c r="H253" s="11">
        <v>0</v>
      </c>
      <c r="I253" s="11">
        <v>0</v>
      </c>
      <c r="J253" s="11">
        <v>0</v>
      </c>
      <c r="K253" s="11">
        <v>0</v>
      </c>
      <c r="L253" s="11">
        <v>0</v>
      </c>
      <c r="M253" s="11">
        <v>0</v>
      </c>
      <c r="N253" s="11">
        <v>0</v>
      </c>
      <c r="O253" s="11">
        <v>0</v>
      </c>
      <c r="P253" s="11">
        <v>0</v>
      </c>
      <c r="Q253" s="12">
        <v>0</v>
      </c>
      <c r="R253" s="12">
        <v>0</v>
      </c>
      <c r="S253" s="12">
        <f>$G$253*$G$8+$H$253*$H$8+$I$253*$I$8+$J$253*$J$8+$K$253*$K$8+$L$253*$L$8+$M$253*$M$8+$N$253*$N$8+$O$253*$O$8+$P$253*$P$8</f>
        <v>0</v>
      </c>
      <c r="T253" s="12">
        <f>SUM($Q$253:$R$253)</f>
        <v>0</v>
      </c>
      <c r="U253" s="12">
        <f>$S$253+$T$253</f>
        <v>0</v>
      </c>
    </row>
    <row r="254" spans="1:21" x14ac:dyDescent="0.3">
      <c r="A254" s="13" t="s">
        <v>934</v>
      </c>
      <c r="B254" s="14" t="s">
        <v>935</v>
      </c>
      <c r="C254" s="14"/>
      <c r="D254" s="14" t="s">
        <v>936</v>
      </c>
      <c r="E254" s="14">
        <f xml:space="preserve"> IF($U$254,1,0)</f>
        <v>0</v>
      </c>
      <c r="F254" s="14" t="s">
        <v>937</v>
      </c>
      <c r="G254" s="14">
        <v>0</v>
      </c>
      <c r="H254" s="14">
        <v>0</v>
      </c>
      <c r="I254" s="14">
        <v>0</v>
      </c>
      <c r="J254" s="14">
        <v>0</v>
      </c>
      <c r="K254" s="14">
        <v>0</v>
      </c>
      <c r="L254" s="14">
        <v>0</v>
      </c>
      <c r="M254" s="14">
        <v>0</v>
      </c>
      <c r="N254" s="14">
        <v>0</v>
      </c>
      <c r="O254" s="14">
        <v>0</v>
      </c>
      <c r="P254" s="14">
        <v>0</v>
      </c>
      <c r="Q254" s="15">
        <v>0</v>
      </c>
      <c r="R254" s="15">
        <v>0</v>
      </c>
      <c r="S254" s="15">
        <f>$G$254*$G$8+$H$254*$H$8+$I$254*$I$8+$J$254*$J$8+$K$254*$K$8+$L$254*$L$8+$M$254*$M$8+$N$254*$N$8+$O$254*$O$8+$P$254*$P$8</f>
        <v>0</v>
      </c>
      <c r="T254" s="15">
        <f>SUM($Q$254:$R$254)</f>
        <v>0</v>
      </c>
      <c r="U254" s="15">
        <f>$S$254+$T$254</f>
        <v>0</v>
      </c>
    </row>
    <row r="255" spans="1:21" x14ac:dyDescent="0.3">
      <c r="A255" s="10" t="s">
        <v>938</v>
      </c>
      <c r="B255" s="11" t="s">
        <v>939</v>
      </c>
      <c r="C255" s="11"/>
      <c r="D255" s="11" t="s">
        <v>940</v>
      </c>
      <c r="E255" s="11">
        <f xml:space="preserve"> IF($U$255,1,0)</f>
        <v>0</v>
      </c>
      <c r="F255" s="11" t="s">
        <v>941</v>
      </c>
      <c r="G255" s="11">
        <v>0</v>
      </c>
      <c r="H255" s="11">
        <v>0</v>
      </c>
      <c r="I255" s="11">
        <v>0</v>
      </c>
      <c r="J255" s="11">
        <v>0</v>
      </c>
      <c r="K255" s="11">
        <v>0</v>
      </c>
      <c r="L255" s="11">
        <v>0</v>
      </c>
      <c r="M255" s="11">
        <v>0</v>
      </c>
      <c r="N255" s="11">
        <v>0</v>
      </c>
      <c r="O255" s="11">
        <v>0</v>
      </c>
      <c r="P255" s="11">
        <v>0</v>
      </c>
      <c r="Q255" s="12">
        <v>0</v>
      </c>
      <c r="R255" s="12">
        <v>0</v>
      </c>
      <c r="S255" s="12">
        <f>$G$255*$G$8+$H$255*$H$8+$I$255*$I$8+$J$255*$J$8+$K$255*$K$8+$L$255*$L$8+$M$255*$M$8+$N$255*$N$8+$O$255*$O$8+$P$255*$P$8</f>
        <v>0</v>
      </c>
      <c r="T255" s="12">
        <f>SUM($Q$255:$R$255)</f>
        <v>0</v>
      </c>
      <c r="U255" s="12">
        <f>$S$255+$T$255</f>
        <v>0</v>
      </c>
    </row>
    <row r="256" spans="1:21" x14ac:dyDescent="0.3">
      <c r="A256" s="13" t="s">
        <v>942</v>
      </c>
      <c r="B256" s="14" t="s">
        <v>943</v>
      </c>
      <c r="C256" s="14"/>
      <c r="D256" s="14" t="s">
        <v>944</v>
      </c>
      <c r="E256" s="14">
        <f xml:space="preserve"> IF($U$256,1,0)</f>
        <v>0</v>
      </c>
      <c r="F256" s="14" t="s">
        <v>945</v>
      </c>
      <c r="G256" s="14">
        <v>0</v>
      </c>
      <c r="H256" s="14">
        <v>0</v>
      </c>
      <c r="I256" s="14">
        <v>0</v>
      </c>
      <c r="J256" s="14">
        <v>0</v>
      </c>
      <c r="K256" s="14">
        <v>0</v>
      </c>
      <c r="L256" s="14">
        <v>0</v>
      </c>
      <c r="M256" s="14">
        <v>0</v>
      </c>
      <c r="N256" s="14">
        <v>0</v>
      </c>
      <c r="O256" s="14">
        <v>0</v>
      </c>
      <c r="P256" s="14">
        <v>0</v>
      </c>
      <c r="Q256" s="15">
        <v>0</v>
      </c>
      <c r="R256" s="15">
        <v>0</v>
      </c>
      <c r="S256" s="15">
        <f>$G$256*$G$8+$H$256*$H$8+$I$256*$I$8+$J$256*$J$8+$K$256*$K$8+$L$256*$L$8+$M$256*$M$8+$N$256*$N$8+$O$256*$O$8+$P$256*$P$8</f>
        <v>0</v>
      </c>
      <c r="T256" s="15">
        <f>SUM($Q$256:$R$256)</f>
        <v>0</v>
      </c>
      <c r="U256" s="15">
        <f>$S$256+$T$256</f>
        <v>0</v>
      </c>
    </row>
    <row r="257" spans="1:21" x14ac:dyDescent="0.3">
      <c r="A257" s="10" t="s">
        <v>946</v>
      </c>
      <c r="B257" s="11" t="s">
        <v>947</v>
      </c>
      <c r="C257" s="11"/>
      <c r="D257" s="11" t="s">
        <v>948</v>
      </c>
      <c r="E257" s="11">
        <f xml:space="preserve"> IF($U$257,1,0)</f>
        <v>0</v>
      </c>
      <c r="F257" s="11" t="s">
        <v>949</v>
      </c>
      <c r="G257" s="11">
        <v>0</v>
      </c>
      <c r="H257" s="11">
        <v>0</v>
      </c>
      <c r="I257" s="11">
        <v>0</v>
      </c>
      <c r="J257" s="11">
        <v>0</v>
      </c>
      <c r="K257" s="11">
        <v>0</v>
      </c>
      <c r="L257" s="11">
        <v>0</v>
      </c>
      <c r="M257" s="11">
        <v>0</v>
      </c>
      <c r="N257" s="11">
        <v>0</v>
      </c>
      <c r="O257" s="11">
        <v>0</v>
      </c>
      <c r="P257" s="11">
        <v>0</v>
      </c>
      <c r="Q257" s="12">
        <v>0</v>
      </c>
      <c r="R257" s="12">
        <v>0</v>
      </c>
      <c r="S257" s="12">
        <f>$G$257*$G$8+$H$257*$H$8+$I$257*$I$8+$J$257*$J$8+$K$257*$K$8+$L$257*$L$8+$M$257*$M$8+$N$257*$N$8+$O$257*$O$8+$P$257*$P$8</f>
        <v>0</v>
      </c>
      <c r="T257" s="12">
        <f>SUM($Q$257:$R$257)</f>
        <v>0</v>
      </c>
      <c r="U257" s="12">
        <f>$S$257+$T$257</f>
        <v>0</v>
      </c>
    </row>
    <row r="258" spans="1:21" x14ac:dyDescent="0.3">
      <c r="A258" s="13" t="s">
        <v>950</v>
      </c>
      <c r="B258" s="14" t="s">
        <v>951</v>
      </c>
      <c r="C258" s="14" t="s">
        <v>34</v>
      </c>
      <c r="D258" s="14" t="s">
        <v>118</v>
      </c>
      <c r="E258" s="14">
        <f xml:space="preserve"> IF($U$258,1,0)</f>
        <v>0</v>
      </c>
      <c r="F258" s="14" t="s">
        <v>952</v>
      </c>
      <c r="G258" s="14">
        <v>0</v>
      </c>
      <c r="H258" s="14">
        <v>0</v>
      </c>
      <c r="I258" s="14">
        <v>0</v>
      </c>
      <c r="J258" s="14">
        <v>0</v>
      </c>
      <c r="K258" s="14">
        <v>0</v>
      </c>
      <c r="L258" s="14">
        <v>0</v>
      </c>
      <c r="M258" s="14">
        <v>0</v>
      </c>
      <c r="N258" s="14">
        <v>0</v>
      </c>
      <c r="O258" s="14">
        <v>0</v>
      </c>
      <c r="P258" s="14">
        <v>0</v>
      </c>
      <c r="Q258" s="15">
        <v>0</v>
      </c>
      <c r="R258" s="15">
        <v>0</v>
      </c>
      <c r="S258" s="15">
        <f>$G$258*$G$8+$H$258*$H$8+$I$258*$I$8+$J$258*$J$8+$K$258*$K$8+$L$258*$L$8+$M$258*$M$8+$N$258*$N$8+$O$258*$O$8+$P$258*$P$8</f>
        <v>0</v>
      </c>
      <c r="T258" s="15">
        <f>SUM($Q$258:$R$258)</f>
        <v>0</v>
      </c>
      <c r="U258" s="15">
        <f>$S$258+$T$258</f>
        <v>0</v>
      </c>
    </row>
    <row r="259" spans="1:21" x14ac:dyDescent="0.3">
      <c r="A259" s="10" t="s">
        <v>953</v>
      </c>
      <c r="B259" s="11" t="s">
        <v>954</v>
      </c>
      <c r="C259" s="11"/>
      <c r="D259" s="11" t="s">
        <v>955</v>
      </c>
      <c r="E259" s="11">
        <f xml:space="preserve"> IF($U$259,1,0)</f>
        <v>0</v>
      </c>
      <c r="F259" s="11" t="s">
        <v>956</v>
      </c>
      <c r="G259" s="11">
        <v>0</v>
      </c>
      <c r="H259" s="11">
        <v>0</v>
      </c>
      <c r="I259" s="11">
        <v>0</v>
      </c>
      <c r="J259" s="11">
        <v>0</v>
      </c>
      <c r="K259" s="11">
        <v>0</v>
      </c>
      <c r="L259" s="11">
        <v>0</v>
      </c>
      <c r="M259" s="11">
        <v>0</v>
      </c>
      <c r="N259" s="11">
        <v>0</v>
      </c>
      <c r="O259" s="11">
        <v>0</v>
      </c>
      <c r="P259" s="11">
        <v>0</v>
      </c>
      <c r="Q259" s="12">
        <v>0</v>
      </c>
      <c r="R259" s="12">
        <v>0</v>
      </c>
      <c r="S259" s="12">
        <f>$G$259*$G$8+$H$259*$H$8+$I$259*$I$8+$J$259*$J$8+$K$259*$K$8+$L$259*$L$8+$M$259*$M$8+$N$259*$N$8+$O$259*$O$8+$P$259*$P$8</f>
        <v>0</v>
      </c>
      <c r="T259" s="12">
        <f>SUM($Q$259:$R$259)</f>
        <v>0</v>
      </c>
      <c r="U259" s="12">
        <f>$S$259+$T$259</f>
        <v>0</v>
      </c>
    </row>
    <row r="260" spans="1:21" x14ac:dyDescent="0.3">
      <c r="A260" s="13" t="s">
        <v>957</v>
      </c>
      <c r="B260" s="14" t="s">
        <v>958</v>
      </c>
      <c r="C260" s="14" t="s">
        <v>65</v>
      </c>
      <c r="D260" s="14" t="s">
        <v>959</v>
      </c>
      <c r="E260" s="14">
        <f xml:space="preserve"> IF($U$260,1,0)</f>
        <v>0</v>
      </c>
      <c r="F260" s="14" t="s">
        <v>960</v>
      </c>
      <c r="G260" s="14">
        <v>0</v>
      </c>
      <c r="H260" s="14">
        <v>0</v>
      </c>
      <c r="I260" s="14">
        <v>0</v>
      </c>
      <c r="J260" s="14">
        <v>0</v>
      </c>
      <c r="K260" s="14">
        <v>0</v>
      </c>
      <c r="L260" s="14">
        <v>0</v>
      </c>
      <c r="M260" s="14">
        <v>0</v>
      </c>
      <c r="N260" s="14">
        <v>0</v>
      </c>
      <c r="O260" s="14">
        <v>0</v>
      </c>
      <c r="P260" s="14">
        <v>0</v>
      </c>
      <c r="Q260" s="15">
        <v>0</v>
      </c>
      <c r="R260" s="15">
        <v>0</v>
      </c>
      <c r="S260" s="15">
        <f>$G$260*$G$8+$H$260*$H$8+$I$260*$I$8+$J$260*$J$8+$K$260*$K$8+$L$260*$L$8+$M$260*$M$8+$N$260*$N$8+$O$260*$O$8+$P$260*$P$8</f>
        <v>0</v>
      </c>
      <c r="T260" s="15">
        <f>SUM($Q$260:$R$260)</f>
        <v>0</v>
      </c>
      <c r="U260" s="15">
        <f>$S$260+$T$260</f>
        <v>0</v>
      </c>
    </row>
    <row r="261" spans="1:21" x14ac:dyDescent="0.3">
      <c r="A261" s="10" t="s">
        <v>961</v>
      </c>
      <c r="B261" s="11" t="s">
        <v>962</v>
      </c>
      <c r="C261" s="11" t="s">
        <v>202</v>
      </c>
      <c r="D261" s="11" t="s">
        <v>963</v>
      </c>
      <c r="E261" s="11">
        <f xml:space="preserve"> IF($U$261,1,0)</f>
        <v>0</v>
      </c>
      <c r="F261" s="11" t="s">
        <v>964</v>
      </c>
      <c r="G261" s="11">
        <v>0</v>
      </c>
      <c r="H261" s="11">
        <v>0</v>
      </c>
      <c r="I261" s="11">
        <v>0</v>
      </c>
      <c r="J261" s="11">
        <v>0</v>
      </c>
      <c r="K261" s="11">
        <v>0</v>
      </c>
      <c r="L261" s="11">
        <v>0</v>
      </c>
      <c r="M261" s="11">
        <v>0</v>
      </c>
      <c r="N261" s="11">
        <v>0</v>
      </c>
      <c r="O261" s="11">
        <v>0</v>
      </c>
      <c r="P261" s="11">
        <v>0</v>
      </c>
      <c r="Q261" s="12">
        <v>0</v>
      </c>
      <c r="R261" s="12">
        <v>0</v>
      </c>
      <c r="S261" s="12">
        <f>$G$261*$G$8+$H$261*$H$8+$I$261*$I$8+$J$261*$J$8+$K$261*$K$8+$L$261*$L$8+$M$261*$M$8+$N$261*$N$8+$O$261*$O$8+$P$261*$P$8</f>
        <v>0</v>
      </c>
      <c r="T261" s="12">
        <f>SUM($Q$261:$R$261)</f>
        <v>0</v>
      </c>
      <c r="U261" s="12">
        <f>$S$261+$T$261</f>
        <v>0</v>
      </c>
    </row>
    <row r="262" spans="1:21" x14ac:dyDescent="0.3">
      <c r="A262" s="13" t="s">
        <v>965</v>
      </c>
      <c r="B262" s="14" t="s">
        <v>966</v>
      </c>
      <c r="C262" s="14"/>
      <c r="D262" s="14" t="s">
        <v>609</v>
      </c>
      <c r="E262" s="14">
        <f xml:space="preserve"> IF($U$262,1,0)</f>
        <v>0</v>
      </c>
      <c r="F262" s="14" t="s">
        <v>967</v>
      </c>
      <c r="G262" s="14">
        <v>0</v>
      </c>
      <c r="H262" s="14">
        <v>0</v>
      </c>
      <c r="I262" s="14">
        <v>0</v>
      </c>
      <c r="J262" s="14">
        <v>0</v>
      </c>
      <c r="K262" s="14">
        <v>0</v>
      </c>
      <c r="L262" s="14">
        <v>0</v>
      </c>
      <c r="M262" s="14">
        <v>0</v>
      </c>
      <c r="N262" s="14">
        <v>0</v>
      </c>
      <c r="O262" s="14">
        <v>0</v>
      </c>
      <c r="P262" s="14">
        <v>0</v>
      </c>
      <c r="Q262" s="15">
        <v>0</v>
      </c>
      <c r="R262" s="15">
        <v>0</v>
      </c>
      <c r="S262" s="15">
        <f>$G$262*$G$8+$H$262*$H$8+$I$262*$I$8+$J$262*$J$8+$K$262*$K$8+$L$262*$L$8+$M$262*$M$8+$N$262*$N$8+$O$262*$O$8+$P$262*$P$8</f>
        <v>0</v>
      </c>
      <c r="T262" s="15">
        <f>SUM($Q$262:$R$262)</f>
        <v>0</v>
      </c>
      <c r="U262" s="15">
        <f>$S$262+$T$262</f>
        <v>0</v>
      </c>
    </row>
    <row r="263" spans="1:21" x14ac:dyDescent="0.3">
      <c r="A263" s="10" t="s">
        <v>968</v>
      </c>
      <c r="B263" s="11" t="s">
        <v>969</v>
      </c>
      <c r="C263" s="11"/>
      <c r="D263" s="11" t="s">
        <v>970</v>
      </c>
      <c r="E263" s="11">
        <f xml:space="preserve"> IF($U$263,1,0)</f>
        <v>0</v>
      </c>
      <c r="F263" s="11" t="s">
        <v>971</v>
      </c>
      <c r="G263" s="11">
        <v>0</v>
      </c>
      <c r="H263" s="11">
        <v>0</v>
      </c>
      <c r="I263" s="11">
        <v>0</v>
      </c>
      <c r="J263" s="11">
        <v>0</v>
      </c>
      <c r="K263" s="11">
        <v>0</v>
      </c>
      <c r="L263" s="11">
        <v>0</v>
      </c>
      <c r="M263" s="11">
        <v>0</v>
      </c>
      <c r="N263" s="11">
        <v>0</v>
      </c>
      <c r="O263" s="11">
        <v>0</v>
      </c>
      <c r="P263" s="11">
        <v>0</v>
      </c>
      <c r="Q263" s="12">
        <v>0</v>
      </c>
      <c r="R263" s="12">
        <v>0</v>
      </c>
      <c r="S263" s="12">
        <f>$G$263*$G$8+$H$263*$H$8+$I$263*$I$8+$J$263*$J$8+$K$263*$K$8+$L$263*$L$8+$M$263*$M$8+$N$263*$N$8+$O$263*$O$8+$P$263*$P$8</f>
        <v>0</v>
      </c>
      <c r="T263" s="12">
        <f>SUM($Q$263:$R$263)</f>
        <v>0</v>
      </c>
      <c r="U263" s="12">
        <f>$S$263+$T$263</f>
        <v>0</v>
      </c>
    </row>
    <row r="264" spans="1:21" x14ac:dyDescent="0.3">
      <c r="A264" s="13" t="s">
        <v>972</v>
      </c>
      <c r="B264" s="14" t="s">
        <v>973</v>
      </c>
      <c r="C264" s="14"/>
      <c r="D264" s="14" t="s">
        <v>974</v>
      </c>
      <c r="E264" s="14">
        <f xml:space="preserve"> IF($U$264,1,0)</f>
        <v>0</v>
      </c>
      <c r="F264" s="14" t="s">
        <v>975</v>
      </c>
      <c r="G264" s="14">
        <v>0</v>
      </c>
      <c r="H264" s="14">
        <v>0</v>
      </c>
      <c r="I264" s="14">
        <v>0</v>
      </c>
      <c r="J264" s="14">
        <v>0</v>
      </c>
      <c r="K264" s="14">
        <v>0</v>
      </c>
      <c r="L264" s="14">
        <v>0</v>
      </c>
      <c r="M264" s="14">
        <v>0</v>
      </c>
      <c r="N264" s="14">
        <v>0</v>
      </c>
      <c r="O264" s="14">
        <v>0</v>
      </c>
      <c r="P264" s="14">
        <v>0</v>
      </c>
      <c r="Q264" s="15">
        <v>0</v>
      </c>
      <c r="R264" s="15">
        <v>0</v>
      </c>
      <c r="S264" s="15">
        <f>$G$264*$G$8+$H$264*$H$8+$I$264*$I$8+$J$264*$J$8+$K$264*$K$8+$L$264*$L$8+$M$264*$M$8+$N$264*$N$8+$O$264*$O$8+$P$264*$P$8</f>
        <v>0</v>
      </c>
      <c r="T264" s="15">
        <f>SUM($Q$264:$R$264)</f>
        <v>0</v>
      </c>
      <c r="U264" s="15">
        <f>$S$264+$T$264</f>
        <v>0</v>
      </c>
    </row>
    <row r="265" spans="1:21" x14ac:dyDescent="0.3">
      <c r="A265" s="10" t="s">
        <v>976</v>
      </c>
      <c r="B265" s="11" t="s">
        <v>977</v>
      </c>
      <c r="C265" s="11"/>
      <c r="D265" s="11" t="s">
        <v>978</v>
      </c>
      <c r="E265" s="11">
        <f xml:space="preserve"> IF($U$265,1,0)</f>
        <v>0</v>
      </c>
      <c r="F265" s="11" t="s">
        <v>979</v>
      </c>
      <c r="G265" s="11">
        <v>0</v>
      </c>
      <c r="H265" s="11">
        <v>0</v>
      </c>
      <c r="I265" s="11">
        <v>0</v>
      </c>
      <c r="J265" s="11">
        <v>0</v>
      </c>
      <c r="K265" s="11">
        <v>0</v>
      </c>
      <c r="L265" s="11">
        <v>0</v>
      </c>
      <c r="M265" s="11">
        <v>0</v>
      </c>
      <c r="N265" s="11">
        <v>0</v>
      </c>
      <c r="O265" s="11">
        <v>0</v>
      </c>
      <c r="P265" s="11">
        <v>0</v>
      </c>
      <c r="Q265" s="12">
        <v>0</v>
      </c>
      <c r="R265" s="12">
        <v>0</v>
      </c>
      <c r="S265" s="12">
        <f>$G$265*$G$8+$H$265*$H$8+$I$265*$I$8+$J$265*$J$8+$K$265*$K$8+$L$265*$L$8+$M$265*$M$8+$N$265*$N$8+$O$265*$O$8+$P$265*$P$8</f>
        <v>0</v>
      </c>
      <c r="T265" s="12">
        <f>SUM($Q$265:$R$265)</f>
        <v>0</v>
      </c>
      <c r="U265" s="12">
        <f>$S$265+$T$265</f>
        <v>0</v>
      </c>
    </row>
    <row r="266" spans="1:21" x14ac:dyDescent="0.3">
      <c r="A266" s="13" t="s">
        <v>980</v>
      </c>
      <c r="B266" s="14" t="s">
        <v>981</v>
      </c>
      <c r="C266" s="14" t="s">
        <v>34</v>
      </c>
      <c r="D266" s="14" t="s">
        <v>982</v>
      </c>
      <c r="E266" s="14">
        <f xml:space="preserve"> IF($U$266,1,0)</f>
        <v>0</v>
      </c>
      <c r="F266" s="14" t="s">
        <v>983</v>
      </c>
      <c r="G266" s="14">
        <v>0</v>
      </c>
      <c r="H266" s="14">
        <v>0</v>
      </c>
      <c r="I266" s="14">
        <v>0</v>
      </c>
      <c r="J266" s="14">
        <v>0</v>
      </c>
      <c r="K266" s="14">
        <v>0</v>
      </c>
      <c r="L266" s="14">
        <v>0</v>
      </c>
      <c r="M266" s="14">
        <v>0</v>
      </c>
      <c r="N266" s="14">
        <v>0</v>
      </c>
      <c r="O266" s="14">
        <v>0</v>
      </c>
      <c r="P266" s="14">
        <v>0</v>
      </c>
      <c r="Q266" s="15">
        <v>0</v>
      </c>
      <c r="R266" s="15">
        <v>0</v>
      </c>
      <c r="S266" s="15">
        <f>$G$266*$G$8+$H$266*$H$8+$I$266*$I$8+$J$266*$J$8+$K$266*$K$8+$L$266*$L$8+$M$266*$M$8+$N$266*$N$8+$O$266*$O$8+$P$266*$P$8</f>
        <v>0</v>
      </c>
      <c r="T266" s="15">
        <f>SUM($Q$266:$R$266)</f>
        <v>0</v>
      </c>
      <c r="U266" s="15">
        <f>$S$266+$T$266</f>
        <v>0</v>
      </c>
    </row>
    <row r="267" spans="1:21" x14ac:dyDescent="0.3">
      <c r="A267" s="10" t="s">
        <v>984</v>
      </c>
      <c r="B267" s="11" t="s">
        <v>985</v>
      </c>
      <c r="C267" s="11" t="s">
        <v>202</v>
      </c>
      <c r="D267" s="11" t="s">
        <v>986</v>
      </c>
      <c r="E267" s="11">
        <f xml:space="preserve"> IF($U$267,1,0)</f>
        <v>0</v>
      </c>
      <c r="F267" s="11" t="s">
        <v>987</v>
      </c>
      <c r="G267" s="11">
        <v>0</v>
      </c>
      <c r="H267" s="11">
        <v>0</v>
      </c>
      <c r="I267" s="11">
        <v>0</v>
      </c>
      <c r="J267" s="11">
        <v>0</v>
      </c>
      <c r="K267" s="11">
        <v>0</v>
      </c>
      <c r="L267" s="11">
        <v>0</v>
      </c>
      <c r="M267" s="11">
        <v>0</v>
      </c>
      <c r="N267" s="11">
        <v>0</v>
      </c>
      <c r="O267" s="11">
        <v>0</v>
      </c>
      <c r="P267" s="11">
        <v>0</v>
      </c>
      <c r="Q267" s="12">
        <v>0</v>
      </c>
      <c r="R267" s="12">
        <v>0</v>
      </c>
      <c r="S267" s="12">
        <f>$G$267*$G$8+$H$267*$H$8+$I$267*$I$8+$J$267*$J$8+$K$267*$K$8+$L$267*$L$8+$M$267*$M$8+$N$267*$N$8+$O$267*$O$8+$P$267*$P$8</f>
        <v>0</v>
      </c>
      <c r="T267" s="12">
        <f>SUM($Q$267:$R$267)</f>
        <v>0</v>
      </c>
      <c r="U267" s="12">
        <f>$S$267+$T$267</f>
        <v>0</v>
      </c>
    </row>
    <row r="268" spans="1:21" x14ac:dyDescent="0.3">
      <c r="A268" s="13" t="s">
        <v>1261</v>
      </c>
      <c r="B268" s="14" t="s">
        <v>1262</v>
      </c>
      <c r="C268" s="14"/>
      <c r="D268" s="14" t="s">
        <v>1263</v>
      </c>
      <c r="E268" s="14">
        <f xml:space="preserve"> IF($U$268,1,0)</f>
        <v>0</v>
      </c>
      <c r="F268" s="14" t="s">
        <v>1264</v>
      </c>
      <c r="G268" s="14">
        <v>0</v>
      </c>
      <c r="H268" s="14">
        <v>0</v>
      </c>
      <c r="I268" s="14">
        <v>0</v>
      </c>
      <c r="J268" s="14">
        <v>0</v>
      </c>
      <c r="K268" s="14">
        <v>0</v>
      </c>
      <c r="L268" s="14">
        <v>0</v>
      </c>
      <c r="M268" s="14">
        <v>0</v>
      </c>
      <c r="N268" s="14">
        <v>0</v>
      </c>
      <c r="O268" s="14">
        <v>0</v>
      </c>
      <c r="P268" s="14">
        <v>0</v>
      </c>
      <c r="Q268" s="15">
        <v>0</v>
      </c>
      <c r="R268" s="15">
        <v>0</v>
      </c>
      <c r="S268" s="15">
        <f>$G$268*$G$8+$H$268*$H$8+$I$268*$I$8+$J$268*$J$8+$K$268*$K$8+$L$268*$L$8+$M$268*$M$8+$N$268*$N$8+$O$268*$O$8+$P$268*$P$8</f>
        <v>0</v>
      </c>
      <c r="T268" s="15">
        <f>SUM($Q$268:$R$268)</f>
        <v>0</v>
      </c>
      <c r="U268" s="15">
        <f>$S$268+$T$268</f>
        <v>0</v>
      </c>
    </row>
    <row r="269" spans="1:21" x14ac:dyDescent="0.3">
      <c r="A269" s="10" t="s">
        <v>988</v>
      </c>
      <c r="B269" s="11" t="s">
        <v>989</v>
      </c>
      <c r="C269" s="11" t="s">
        <v>887</v>
      </c>
      <c r="D269" s="11" t="s">
        <v>1060</v>
      </c>
      <c r="E269" s="11">
        <f xml:space="preserve"> IF($U$269,1,0)</f>
        <v>0</v>
      </c>
      <c r="F269" s="11" t="s">
        <v>1256</v>
      </c>
      <c r="G269" s="11">
        <v>0</v>
      </c>
      <c r="H269" s="11">
        <v>0</v>
      </c>
      <c r="I269" s="11">
        <v>0</v>
      </c>
      <c r="J269" s="11">
        <v>0</v>
      </c>
      <c r="K269" s="11">
        <v>0</v>
      </c>
      <c r="L269" s="11">
        <v>0</v>
      </c>
      <c r="M269" s="11">
        <v>0</v>
      </c>
      <c r="N269" s="11">
        <v>0</v>
      </c>
      <c r="O269" s="11">
        <v>0</v>
      </c>
      <c r="P269" s="11">
        <v>0</v>
      </c>
      <c r="Q269" s="12">
        <v>0</v>
      </c>
      <c r="R269" s="12">
        <v>0</v>
      </c>
      <c r="S269" s="12">
        <f>$G$269*$G$8+$H$269*$H$8+$I$269*$I$8+$J$269*$J$8+$K$269*$K$8+$L$269*$L$8+$M$269*$M$8+$N$269*$N$8+$O$269*$O$8+$P$269*$P$8</f>
        <v>0</v>
      </c>
      <c r="T269" s="12">
        <f>SUM($Q$269:$R$269)</f>
        <v>0</v>
      </c>
      <c r="U269" s="12">
        <f>$S$269+$T$269</f>
        <v>0</v>
      </c>
    </row>
    <row r="270" spans="1:21" x14ac:dyDescent="0.3">
      <c r="A270" s="13" t="s">
        <v>992</v>
      </c>
      <c r="B270" s="14" t="s">
        <v>343</v>
      </c>
      <c r="C270" s="14"/>
      <c r="D270" s="14" t="s">
        <v>1294</v>
      </c>
      <c r="E270" s="14">
        <f xml:space="preserve"> IF($U$270,1,0)</f>
        <v>0</v>
      </c>
      <c r="F270" s="14" t="s">
        <v>1295</v>
      </c>
      <c r="G270" s="14">
        <v>0</v>
      </c>
      <c r="H270" s="14">
        <v>0</v>
      </c>
      <c r="I270" s="14">
        <v>0</v>
      </c>
      <c r="J270" s="14">
        <v>0</v>
      </c>
      <c r="K270" s="14">
        <v>0</v>
      </c>
      <c r="L270" s="14">
        <v>0</v>
      </c>
      <c r="M270" s="14">
        <v>0</v>
      </c>
      <c r="N270" s="14">
        <v>0</v>
      </c>
      <c r="O270" s="14">
        <v>0</v>
      </c>
      <c r="P270" s="14">
        <v>0</v>
      </c>
      <c r="Q270" s="15">
        <v>0</v>
      </c>
      <c r="R270" s="15">
        <v>0</v>
      </c>
      <c r="S270" s="15">
        <f>$G$270*$G$8+$H$270*$H$8+$I$270*$I$8+$J$270*$J$8+$K$270*$K$8+$L$270*$L$8+$M$270*$M$8+$N$270*$N$8+$O$270*$O$8+$P$270*$P$8</f>
        <v>0</v>
      </c>
      <c r="T270" s="15">
        <f>SUM($Q$270:$R$270)</f>
        <v>0</v>
      </c>
      <c r="U270" s="15">
        <f>$S$270+$T$270</f>
        <v>0</v>
      </c>
    </row>
    <row r="271" spans="1:21" x14ac:dyDescent="0.3">
      <c r="A271" s="10" t="s">
        <v>995</v>
      </c>
      <c r="B271" s="11" t="s">
        <v>996</v>
      </c>
      <c r="C271" s="11"/>
      <c r="D271" s="11" t="s">
        <v>997</v>
      </c>
      <c r="E271" s="11">
        <f xml:space="preserve"> IF($U$271,1,0)</f>
        <v>0</v>
      </c>
      <c r="F271" s="11" t="s">
        <v>998</v>
      </c>
      <c r="G271" s="11">
        <v>0</v>
      </c>
      <c r="H271" s="11">
        <v>0</v>
      </c>
      <c r="I271" s="11">
        <v>0</v>
      </c>
      <c r="J271" s="11">
        <v>0</v>
      </c>
      <c r="K271" s="11">
        <v>0</v>
      </c>
      <c r="L271" s="11">
        <v>0</v>
      </c>
      <c r="M271" s="11">
        <v>0</v>
      </c>
      <c r="N271" s="11">
        <v>0</v>
      </c>
      <c r="O271" s="11">
        <v>0</v>
      </c>
      <c r="P271" s="11">
        <v>0</v>
      </c>
      <c r="Q271" s="12">
        <v>0</v>
      </c>
      <c r="R271" s="12">
        <v>0</v>
      </c>
      <c r="S271" s="12">
        <f>$G$271*$G$8+$H$271*$H$8+$I$271*$I$8+$J$271*$J$8+$K$271*$K$8+$L$271*$L$8+$M$271*$M$8+$N$271*$N$8+$O$271*$O$8+$P$271*$P$8</f>
        <v>0</v>
      </c>
      <c r="T271" s="12">
        <f>SUM($Q$271:$R$271)</f>
        <v>0</v>
      </c>
      <c r="U271" s="12">
        <f>$S$271+$T$271</f>
        <v>0</v>
      </c>
    </row>
    <row r="272" spans="1:21" x14ac:dyDescent="0.3">
      <c r="A272" s="13" t="s">
        <v>999</v>
      </c>
      <c r="B272" s="14" t="s">
        <v>1000</v>
      </c>
      <c r="C272" s="14" t="s">
        <v>202</v>
      </c>
      <c r="D272" s="14" t="s">
        <v>1001</v>
      </c>
      <c r="E272" s="14">
        <f xml:space="preserve"> IF($U$272,1,0)</f>
        <v>0</v>
      </c>
      <c r="F272" s="14" t="s">
        <v>1002</v>
      </c>
      <c r="G272" s="14">
        <v>0</v>
      </c>
      <c r="H272" s="14">
        <v>0</v>
      </c>
      <c r="I272" s="14">
        <v>0</v>
      </c>
      <c r="J272" s="14">
        <v>0</v>
      </c>
      <c r="K272" s="14">
        <v>0</v>
      </c>
      <c r="L272" s="14">
        <v>0</v>
      </c>
      <c r="M272" s="14">
        <v>0</v>
      </c>
      <c r="N272" s="14">
        <v>0</v>
      </c>
      <c r="O272" s="14">
        <v>0</v>
      </c>
      <c r="P272" s="14">
        <v>0</v>
      </c>
      <c r="Q272" s="15">
        <v>0</v>
      </c>
      <c r="R272" s="15">
        <v>0</v>
      </c>
      <c r="S272" s="15">
        <f>$G$272*$G$8+$H$272*$H$8+$I$272*$I$8+$J$272*$J$8+$K$272*$K$8+$L$272*$L$8+$M$272*$M$8+$N$272*$N$8+$O$272*$O$8+$P$272*$P$8</f>
        <v>0</v>
      </c>
      <c r="T272" s="15">
        <f>SUM($Q$272:$R$272)</f>
        <v>0</v>
      </c>
      <c r="U272" s="15">
        <f>$S$272+$T$272</f>
        <v>0</v>
      </c>
    </row>
    <row r="273" spans="1:21" x14ac:dyDescent="0.3">
      <c r="A273" s="10" t="s">
        <v>1003</v>
      </c>
      <c r="B273" s="11" t="s">
        <v>1004</v>
      </c>
      <c r="C273" s="11"/>
      <c r="D273" s="11" t="s">
        <v>1005</v>
      </c>
      <c r="E273" s="11">
        <f xml:space="preserve"> IF($U$273,1,0)</f>
        <v>0</v>
      </c>
      <c r="F273" s="11" t="s">
        <v>1006</v>
      </c>
      <c r="G273" s="11">
        <v>0</v>
      </c>
      <c r="H273" s="11">
        <v>0</v>
      </c>
      <c r="I273" s="11">
        <v>0</v>
      </c>
      <c r="J273" s="11">
        <v>0</v>
      </c>
      <c r="K273" s="11">
        <v>0</v>
      </c>
      <c r="L273" s="11">
        <v>0</v>
      </c>
      <c r="M273" s="11">
        <v>0</v>
      </c>
      <c r="N273" s="11">
        <v>0</v>
      </c>
      <c r="O273" s="11">
        <v>0</v>
      </c>
      <c r="P273" s="11">
        <v>0</v>
      </c>
      <c r="Q273" s="12">
        <v>0</v>
      </c>
      <c r="R273" s="12">
        <v>0</v>
      </c>
      <c r="S273" s="12">
        <f>$G$273*$G$8+$H$273*$H$8+$I$273*$I$8+$J$273*$J$8+$K$273*$K$8+$L$273*$L$8+$M$273*$M$8+$N$273*$N$8+$O$273*$O$8+$P$273*$P$8</f>
        <v>0</v>
      </c>
      <c r="T273" s="12">
        <f>SUM($Q$273:$R$273)</f>
        <v>0</v>
      </c>
      <c r="U273" s="12">
        <f>$S$273+$T$273</f>
        <v>0</v>
      </c>
    </row>
    <row r="274" spans="1:21" x14ac:dyDescent="0.3">
      <c r="A274" s="13" t="s">
        <v>1007</v>
      </c>
      <c r="B274" s="14" t="s">
        <v>1004</v>
      </c>
      <c r="C274" s="14"/>
      <c r="D274" s="14" t="s">
        <v>1008</v>
      </c>
      <c r="E274" s="14">
        <f xml:space="preserve"> IF($U$274,1,0)</f>
        <v>0</v>
      </c>
      <c r="F274" s="14" t="s">
        <v>1009</v>
      </c>
      <c r="G274" s="14">
        <v>0</v>
      </c>
      <c r="H274" s="14">
        <v>0</v>
      </c>
      <c r="I274" s="14">
        <v>0</v>
      </c>
      <c r="J274" s="14">
        <v>0</v>
      </c>
      <c r="K274" s="14">
        <v>0</v>
      </c>
      <c r="L274" s="14">
        <v>0</v>
      </c>
      <c r="M274" s="14">
        <v>0</v>
      </c>
      <c r="N274" s="14">
        <v>0</v>
      </c>
      <c r="O274" s="14">
        <v>0</v>
      </c>
      <c r="P274" s="14">
        <v>0</v>
      </c>
      <c r="Q274" s="15">
        <v>0</v>
      </c>
      <c r="R274" s="15">
        <v>0</v>
      </c>
      <c r="S274" s="15">
        <f>$G$274*$G$8+$H$274*$H$8+$I$274*$I$8+$J$274*$J$8+$K$274*$K$8+$L$274*$L$8+$M$274*$M$8+$N$274*$N$8+$O$274*$O$8+$P$274*$P$8</f>
        <v>0</v>
      </c>
      <c r="T274" s="15">
        <f>SUM($Q$274:$R$274)</f>
        <v>0</v>
      </c>
      <c r="U274" s="15">
        <f>$S$274+$T$274</f>
        <v>0</v>
      </c>
    </row>
    <row r="275" spans="1:21" x14ac:dyDescent="0.3">
      <c r="A275" s="10" t="s">
        <v>1010</v>
      </c>
      <c r="B275" s="11" t="s">
        <v>1011</v>
      </c>
      <c r="C275" s="11"/>
      <c r="D275" s="11" t="s">
        <v>1012</v>
      </c>
      <c r="E275" s="11">
        <f xml:space="preserve"> IF($U$275,1,0)</f>
        <v>0</v>
      </c>
      <c r="F275" s="11" t="s">
        <v>1013</v>
      </c>
      <c r="G275" s="11">
        <v>0</v>
      </c>
      <c r="H275" s="11">
        <v>0</v>
      </c>
      <c r="I275" s="11">
        <v>0</v>
      </c>
      <c r="J275" s="11">
        <v>0</v>
      </c>
      <c r="K275" s="11">
        <v>0</v>
      </c>
      <c r="L275" s="11">
        <v>0</v>
      </c>
      <c r="M275" s="11">
        <v>0</v>
      </c>
      <c r="N275" s="11">
        <v>0</v>
      </c>
      <c r="O275" s="11">
        <v>0</v>
      </c>
      <c r="P275" s="11">
        <v>0</v>
      </c>
      <c r="Q275" s="12">
        <v>0</v>
      </c>
      <c r="R275" s="12">
        <v>0</v>
      </c>
      <c r="S275" s="12">
        <f>$G$275*$G$8+$H$275*$H$8+$I$275*$I$8+$J$275*$J$8+$K$275*$K$8+$L$275*$L$8+$M$275*$M$8+$N$275*$N$8+$O$275*$O$8+$P$275*$P$8</f>
        <v>0</v>
      </c>
      <c r="T275" s="12">
        <f>SUM($Q$275:$R$275)</f>
        <v>0</v>
      </c>
      <c r="U275" s="12">
        <f>$S$275+$T$275</f>
        <v>0</v>
      </c>
    </row>
    <row r="276" spans="1:21" x14ac:dyDescent="0.3">
      <c r="A276" s="13" t="s">
        <v>1014</v>
      </c>
      <c r="B276" s="14" t="s">
        <v>1015</v>
      </c>
      <c r="C276" s="14"/>
      <c r="D276" s="14" t="s">
        <v>1016</v>
      </c>
      <c r="E276" s="14">
        <f xml:space="preserve"> IF($U$276,1,0)</f>
        <v>0</v>
      </c>
      <c r="F276" s="14" t="s">
        <v>1017</v>
      </c>
      <c r="G276" s="14">
        <v>0</v>
      </c>
      <c r="H276" s="14">
        <v>0</v>
      </c>
      <c r="I276" s="14">
        <v>0</v>
      </c>
      <c r="J276" s="14">
        <v>0</v>
      </c>
      <c r="K276" s="14">
        <v>0</v>
      </c>
      <c r="L276" s="14">
        <v>0</v>
      </c>
      <c r="M276" s="14">
        <v>0</v>
      </c>
      <c r="N276" s="14">
        <v>0</v>
      </c>
      <c r="O276" s="14">
        <v>0</v>
      </c>
      <c r="P276" s="14">
        <v>0</v>
      </c>
      <c r="Q276" s="15">
        <v>0</v>
      </c>
      <c r="R276" s="15">
        <v>0</v>
      </c>
      <c r="S276" s="15">
        <f>$G$276*$G$8+$H$276*$H$8+$I$276*$I$8+$J$276*$J$8+$K$276*$K$8+$L$276*$L$8+$M$276*$M$8+$N$276*$N$8+$O$276*$O$8+$P$276*$P$8</f>
        <v>0</v>
      </c>
      <c r="T276" s="15">
        <f>SUM($Q$276:$R$276)</f>
        <v>0</v>
      </c>
      <c r="U276" s="15">
        <f>$S$276+$T$276</f>
        <v>0</v>
      </c>
    </row>
    <row r="277" spans="1:21" x14ac:dyDescent="0.3">
      <c r="A277" s="10" t="s">
        <v>1018</v>
      </c>
      <c r="B277" s="11" t="s">
        <v>1015</v>
      </c>
      <c r="C277" s="11"/>
      <c r="D277" s="11" t="s">
        <v>1019</v>
      </c>
      <c r="E277" s="11">
        <f xml:space="preserve"> IF($U$277,1,0)</f>
        <v>0</v>
      </c>
      <c r="F277" s="11" t="s">
        <v>1020</v>
      </c>
      <c r="G277" s="11">
        <v>0</v>
      </c>
      <c r="H277" s="11">
        <v>0</v>
      </c>
      <c r="I277" s="11">
        <v>0</v>
      </c>
      <c r="J277" s="11">
        <v>0</v>
      </c>
      <c r="K277" s="11">
        <v>0</v>
      </c>
      <c r="L277" s="11">
        <v>0</v>
      </c>
      <c r="M277" s="11">
        <v>0</v>
      </c>
      <c r="N277" s="11">
        <v>0</v>
      </c>
      <c r="O277" s="11">
        <v>0</v>
      </c>
      <c r="P277" s="11">
        <v>0</v>
      </c>
      <c r="Q277" s="12">
        <v>0</v>
      </c>
      <c r="R277" s="12">
        <v>0</v>
      </c>
      <c r="S277" s="12">
        <f>$G$277*$G$8+$H$277*$H$8+$I$277*$I$8+$J$277*$J$8+$K$277*$K$8+$L$277*$L$8+$M$277*$M$8+$N$277*$N$8+$O$277*$O$8+$P$277*$P$8</f>
        <v>0</v>
      </c>
      <c r="T277" s="12">
        <f>SUM($Q$277:$R$277)</f>
        <v>0</v>
      </c>
      <c r="U277" s="12">
        <f>$S$277+$T$277</f>
        <v>0</v>
      </c>
    </row>
    <row r="278" spans="1:21" x14ac:dyDescent="0.3">
      <c r="A278" s="13" t="s">
        <v>1021</v>
      </c>
      <c r="B278" s="14" t="s">
        <v>1022</v>
      </c>
      <c r="C278" s="14" t="s">
        <v>283</v>
      </c>
      <c r="D278" s="14" t="s">
        <v>1023</v>
      </c>
      <c r="E278" s="14">
        <f xml:space="preserve"> IF($U$278,1,0)</f>
        <v>0</v>
      </c>
      <c r="F278" s="14" t="s">
        <v>1024</v>
      </c>
      <c r="G278" s="14">
        <v>0</v>
      </c>
      <c r="H278" s="14">
        <v>0</v>
      </c>
      <c r="I278" s="14">
        <v>0</v>
      </c>
      <c r="J278" s="14">
        <v>0</v>
      </c>
      <c r="K278" s="14">
        <v>0</v>
      </c>
      <c r="L278" s="14">
        <v>0</v>
      </c>
      <c r="M278" s="14">
        <v>0</v>
      </c>
      <c r="N278" s="14">
        <v>0</v>
      </c>
      <c r="O278" s="14">
        <v>0</v>
      </c>
      <c r="P278" s="14">
        <v>0</v>
      </c>
      <c r="Q278" s="15">
        <v>0</v>
      </c>
      <c r="R278" s="15">
        <v>0</v>
      </c>
      <c r="S278" s="15">
        <f>$G$278*$G$8+$H$278*$H$8+$I$278*$I$8+$J$278*$J$8+$K$278*$K$8+$L$278*$L$8+$M$278*$M$8+$N$278*$N$8+$O$278*$O$8+$P$278*$P$8</f>
        <v>0</v>
      </c>
      <c r="T278" s="15">
        <f>SUM($Q$278:$R$278)</f>
        <v>0</v>
      </c>
      <c r="U278" s="15">
        <f>$S$278+$T$278</f>
        <v>0</v>
      </c>
    </row>
    <row r="279" spans="1:21" x14ac:dyDescent="0.3">
      <c r="A279" s="10" t="s">
        <v>1025</v>
      </c>
      <c r="B279" s="11" t="s">
        <v>1026</v>
      </c>
      <c r="C279" s="11"/>
      <c r="D279" s="11" t="s">
        <v>1027</v>
      </c>
      <c r="E279" s="11">
        <f xml:space="preserve"> IF($U$279,1,0)</f>
        <v>0</v>
      </c>
      <c r="F279" s="11" t="s">
        <v>1028</v>
      </c>
      <c r="G279" s="11">
        <v>0</v>
      </c>
      <c r="H279" s="11">
        <v>0</v>
      </c>
      <c r="I279" s="11">
        <v>0</v>
      </c>
      <c r="J279" s="11">
        <v>0</v>
      </c>
      <c r="K279" s="11">
        <v>0</v>
      </c>
      <c r="L279" s="11">
        <v>0</v>
      </c>
      <c r="M279" s="11">
        <v>0</v>
      </c>
      <c r="N279" s="11">
        <v>0</v>
      </c>
      <c r="O279" s="11">
        <v>0</v>
      </c>
      <c r="P279" s="11">
        <v>0</v>
      </c>
      <c r="Q279" s="12">
        <v>0</v>
      </c>
      <c r="R279" s="12">
        <v>0</v>
      </c>
      <c r="S279" s="12">
        <f>$G$279*$G$8+$H$279*$H$8+$I$279*$I$8+$J$279*$J$8+$K$279*$K$8+$L$279*$L$8+$M$279*$M$8+$N$279*$N$8+$O$279*$O$8+$P$279*$P$8</f>
        <v>0</v>
      </c>
      <c r="T279" s="12">
        <f>SUM($Q$279:$R$279)</f>
        <v>0</v>
      </c>
      <c r="U279" s="12">
        <f>$S$279+$T$279</f>
        <v>0</v>
      </c>
    </row>
    <row r="280" spans="1:21" x14ac:dyDescent="0.3">
      <c r="A280" s="13" t="s">
        <v>1029</v>
      </c>
      <c r="B280" s="14" t="s">
        <v>1030</v>
      </c>
      <c r="C280" s="14" t="s">
        <v>34</v>
      </c>
      <c r="D280" s="14" t="s">
        <v>1031</v>
      </c>
      <c r="E280" s="14">
        <f xml:space="preserve"> IF($U$280,1,0)</f>
        <v>0</v>
      </c>
      <c r="F280" s="14" t="s">
        <v>1032</v>
      </c>
      <c r="G280" s="14">
        <v>0</v>
      </c>
      <c r="H280" s="14">
        <v>0</v>
      </c>
      <c r="I280" s="14">
        <v>0</v>
      </c>
      <c r="J280" s="14">
        <v>0</v>
      </c>
      <c r="K280" s="14">
        <v>0</v>
      </c>
      <c r="L280" s="14">
        <v>0</v>
      </c>
      <c r="M280" s="14">
        <v>0</v>
      </c>
      <c r="N280" s="14">
        <v>0</v>
      </c>
      <c r="O280" s="14">
        <v>0</v>
      </c>
      <c r="P280" s="14">
        <v>0</v>
      </c>
      <c r="Q280" s="15">
        <v>0</v>
      </c>
      <c r="R280" s="15">
        <v>0</v>
      </c>
      <c r="S280" s="15">
        <f>$G$280*$G$8+$H$280*$H$8+$I$280*$I$8+$J$280*$J$8+$K$280*$K$8+$L$280*$L$8+$M$280*$M$8+$N$280*$N$8+$O$280*$O$8+$P$280*$P$8</f>
        <v>0</v>
      </c>
      <c r="T280" s="15">
        <f>SUM($Q$280:$R$280)</f>
        <v>0</v>
      </c>
      <c r="U280" s="15">
        <f>$S$280+$T$280</f>
        <v>0</v>
      </c>
    </row>
    <row r="281" spans="1:21" x14ac:dyDescent="0.3">
      <c r="A281" s="10" t="s">
        <v>1033</v>
      </c>
      <c r="B281" s="11" t="s">
        <v>1030</v>
      </c>
      <c r="C281" s="11"/>
      <c r="D281" s="11" t="s">
        <v>1034</v>
      </c>
      <c r="E281" s="11">
        <f xml:space="preserve"> IF($U$281,1,0)</f>
        <v>0</v>
      </c>
      <c r="F281" s="11" t="s">
        <v>1035</v>
      </c>
      <c r="G281" s="11">
        <v>0</v>
      </c>
      <c r="H281" s="11">
        <v>0</v>
      </c>
      <c r="I281" s="11">
        <v>0</v>
      </c>
      <c r="J281" s="11">
        <v>0</v>
      </c>
      <c r="K281" s="11">
        <v>0</v>
      </c>
      <c r="L281" s="11">
        <v>0</v>
      </c>
      <c r="M281" s="11">
        <v>0</v>
      </c>
      <c r="N281" s="11">
        <v>0</v>
      </c>
      <c r="O281" s="11">
        <v>0</v>
      </c>
      <c r="P281" s="11">
        <v>0</v>
      </c>
      <c r="Q281" s="12">
        <v>0</v>
      </c>
      <c r="R281" s="12">
        <v>0</v>
      </c>
      <c r="S281" s="12">
        <f>$G$281*$G$8+$H$281*$H$8+$I$281*$I$8+$J$281*$J$8+$K$281*$K$8+$L$281*$L$8+$M$281*$M$8+$N$281*$N$8+$O$281*$O$8+$P$281*$P$8</f>
        <v>0</v>
      </c>
      <c r="T281" s="12">
        <f>SUM($Q$281:$R$281)</f>
        <v>0</v>
      </c>
      <c r="U281" s="12">
        <f>$S$281+$T$281</f>
        <v>0</v>
      </c>
    </row>
    <row r="282" spans="1:21" x14ac:dyDescent="0.3">
      <c r="A282" s="13" t="s">
        <v>1036</v>
      </c>
      <c r="B282" s="14" t="s">
        <v>1037</v>
      </c>
      <c r="C282" s="14"/>
      <c r="D282" s="14" t="s">
        <v>1038</v>
      </c>
      <c r="E282" s="14">
        <f xml:space="preserve"> IF($U$282,1,0)</f>
        <v>0</v>
      </c>
      <c r="F282" s="14" t="s">
        <v>1039</v>
      </c>
      <c r="G282" s="14">
        <v>0</v>
      </c>
      <c r="H282" s="14">
        <v>0</v>
      </c>
      <c r="I282" s="14">
        <v>0</v>
      </c>
      <c r="J282" s="14">
        <v>0</v>
      </c>
      <c r="K282" s="14">
        <v>0</v>
      </c>
      <c r="L282" s="14">
        <v>0</v>
      </c>
      <c r="M282" s="14">
        <v>0</v>
      </c>
      <c r="N282" s="14">
        <v>0</v>
      </c>
      <c r="O282" s="14">
        <v>0</v>
      </c>
      <c r="P282" s="14">
        <v>0</v>
      </c>
      <c r="Q282" s="15">
        <v>0</v>
      </c>
      <c r="R282" s="15">
        <v>0</v>
      </c>
      <c r="S282" s="15">
        <f>$G$282*$G$8+$H$282*$H$8+$I$282*$I$8+$J$282*$J$8+$K$282*$K$8+$L$282*$L$8+$M$282*$M$8+$N$282*$N$8+$O$282*$O$8+$P$282*$P$8</f>
        <v>0</v>
      </c>
      <c r="T282" s="15">
        <f>SUM($Q$282:$R$282)</f>
        <v>0</v>
      </c>
      <c r="U282" s="15">
        <f>$S$282+$T$282</f>
        <v>0</v>
      </c>
    </row>
    <row r="283" spans="1:21" x14ac:dyDescent="0.3">
      <c r="A283" s="10" t="s">
        <v>1040</v>
      </c>
      <c r="B283" s="11" t="s">
        <v>1037</v>
      </c>
      <c r="C283" s="11" t="s">
        <v>202</v>
      </c>
      <c r="D283" s="11" t="s">
        <v>1041</v>
      </c>
      <c r="E283" s="11">
        <f xml:space="preserve"> IF($U$283,1,0)</f>
        <v>0</v>
      </c>
      <c r="F283" s="11" t="s">
        <v>1042</v>
      </c>
      <c r="G283" s="11">
        <v>0</v>
      </c>
      <c r="H283" s="11">
        <v>0</v>
      </c>
      <c r="I283" s="11">
        <v>0</v>
      </c>
      <c r="J283" s="11">
        <v>0</v>
      </c>
      <c r="K283" s="11">
        <v>0</v>
      </c>
      <c r="L283" s="11">
        <v>0</v>
      </c>
      <c r="M283" s="11">
        <v>0</v>
      </c>
      <c r="N283" s="11">
        <v>0</v>
      </c>
      <c r="O283" s="11">
        <v>0</v>
      </c>
      <c r="P283" s="11">
        <v>0</v>
      </c>
      <c r="Q283" s="12">
        <v>0</v>
      </c>
      <c r="R283" s="12">
        <v>0</v>
      </c>
      <c r="S283" s="12">
        <f>$G$283*$G$8+$H$283*$H$8+$I$283*$I$8+$J$283*$J$8+$K$283*$K$8+$L$283*$L$8+$M$283*$M$8+$N$283*$N$8+$O$283*$O$8+$P$283*$P$8</f>
        <v>0</v>
      </c>
      <c r="T283" s="12">
        <f>SUM($Q$283:$R$283)</f>
        <v>0</v>
      </c>
      <c r="U283" s="12">
        <f>$S$283+$T$283</f>
        <v>0</v>
      </c>
    </row>
    <row r="284" spans="1:21" x14ac:dyDescent="0.3">
      <c r="A284" s="13" t="s">
        <v>1043</v>
      </c>
      <c r="B284" s="14" t="s">
        <v>1044</v>
      </c>
      <c r="C284" s="14"/>
      <c r="D284" s="14" t="s">
        <v>1045</v>
      </c>
      <c r="E284" s="14">
        <f xml:space="preserve"> IF($U$284,1,0)</f>
        <v>0</v>
      </c>
      <c r="F284" s="14" t="s">
        <v>1046</v>
      </c>
      <c r="G284" s="14">
        <v>0</v>
      </c>
      <c r="H284" s="14">
        <v>0</v>
      </c>
      <c r="I284" s="14">
        <v>0</v>
      </c>
      <c r="J284" s="14">
        <v>0</v>
      </c>
      <c r="K284" s="14">
        <v>0</v>
      </c>
      <c r="L284" s="14">
        <v>0</v>
      </c>
      <c r="M284" s="14">
        <v>0</v>
      </c>
      <c r="N284" s="14">
        <v>0</v>
      </c>
      <c r="O284" s="14">
        <v>0</v>
      </c>
      <c r="P284" s="14">
        <v>0</v>
      </c>
      <c r="Q284" s="15">
        <v>0</v>
      </c>
      <c r="R284" s="15">
        <v>0</v>
      </c>
      <c r="S284" s="15">
        <f>$G$284*$G$8+$H$284*$H$8+$I$284*$I$8+$J$284*$J$8+$K$284*$K$8+$L$284*$L$8+$M$284*$M$8+$N$284*$N$8+$O$284*$O$8+$P$284*$P$8</f>
        <v>0</v>
      </c>
      <c r="T284" s="15">
        <f>SUM($Q$284:$R$284)</f>
        <v>0</v>
      </c>
      <c r="U284" s="15">
        <f>$S$284+$T$284</f>
        <v>0</v>
      </c>
    </row>
    <row r="285" spans="1:21" x14ac:dyDescent="0.3">
      <c r="A285" s="10" t="s">
        <v>1047</v>
      </c>
      <c r="B285" s="11" t="s">
        <v>1048</v>
      </c>
      <c r="C285" s="11"/>
      <c r="D285" s="11" t="s">
        <v>1049</v>
      </c>
      <c r="E285" s="11">
        <f xml:space="preserve"> IF($U$285,1,0)</f>
        <v>0</v>
      </c>
      <c r="F285" s="11" t="s">
        <v>1050</v>
      </c>
      <c r="G285" s="11">
        <v>0</v>
      </c>
      <c r="H285" s="11">
        <v>0</v>
      </c>
      <c r="I285" s="11">
        <v>0</v>
      </c>
      <c r="J285" s="11">
        <v>0</v>
      </c>
      <c r="K285" s="11">
        <v>0</v>
      </c>
      <c r="L285" s="11">
        <v>0</v>
      </c>
      <c r="M285" s="11">
        <v>0</v>
      </c>
      <c r="N285" s="11">
        <v>0</v>
      </c>
      <c r="O285" s="11">
        <v>0</v>
      </c>
      <c r="P285" s="11">
        <v>0</v>
      </c>
      <c r="Q285" s="12">
        <v>0</v>
      </c>
      <c r="R285" s="12">
        <v>0</v>
      </c>
      <c r="S285" s="12">
        <f>$G$285*$G$8+$H$285*$H$8+$I$285*$I$8+$J$285*$J$8+$K$285*$K$8+$L$285*$L$8+$M$285*$M$8+$N$285*$N$8+$O$285*$O$8+$P$285*$P$8</f>
        <v>0</v>
      </c>
      <c r="T285" s="12">
        <f>SUM($Q$285:$R$285)</f>
        <v>0</v>
      </c>
      <c r="U285" s="12">
        <f>$S$285+$T$285</f>
        <v>0</v>
      </c>
    </row>
    <row r="286" spans="1:21" x14ac:dyDescent="0.3">
      <c r="A286" s="13" t="s">
        <v>1051</v>
      </c>
      <c r="B286" s="14" t="s">
        <v>1052</v>
      </c>
      <c r="C286" s="14" t="s">
        <v>34</v>
      </c>
      <c r="D286" s="14" t="s">
        <v>1053</v>
      </c>
      <c r="E286" s="14">
        <f xml:space="preserve"> IF($U$286,1,0)</f>
        <v>0</v>
      </c>
      <c r="F286" s="14" t="s">
        <v>1054</v>
      </c>
      <c r="G286" s="14">
        <v>0</v>
      </c>
      <c r="H286" s="14">
        <v>0</v>
      </c>
      <c r="I286" s="14">
        <v>0</v>
      </c>
      <c r="J286" s="14">
        <v>0</v>
      </c>
      <c r="K286" s="14">
        <v>0</v>
      </c>
      <c r="L286" s="14">
        <v>0</v>
      </c>
      <c r="M286" s="14">
        <v>0</v>
      </c>
      <c r="N286" s="14">
        <v>0</v>
      </c>
      <c r="O286" s="14">
        <v>0</v>
      </c>
      <c r="P286" s="14">
        <v>0</v>
      </c>
      <c r="Q286" s="15">
        <v>0</v>
      </c>
      <c r="R286" s="15">
        <v>0</v>
      </c>
      <c r="S286" s="15">
        <f>$G$286*$G$8+$H$286*$H$8+$I$286*$I$8+$J$286*$J$8+$K$286*$K$8+$L$286*$L$8+$M$286*$M$8+$N$286*$N$8+$O$286*$O$8+$P$286*$P$8</f>
        <v>0</v>
      </c>
      <c r="T286" s="15">
        <f>SUM($Q$286:$R$286)</f>
        <v>0</v>
      </c>
      <c r="U286" s="15">
        <f>$S$286+$T$286</f>
        <v>0</v>
      </c>
    </row>
    <row r="287" spans="1:21" x14ac:dyDescent="0.3">
      <c r="A287" s="10" t="s">
        <v>1055</v>
      </c>
      <c r="B287" s="11" t="s">
        <v>1056</v>
      </c>
      <c r="C287" s="11" t="s">
        <v>243</v>
      </c>
      <c r="D287" s="11" t="s">
        <v>1057</v>
      </c>
      <c r="E287" s="11">
        <f xml:space="preserve"> IF($U$287,1,0)</f>
        <v>0</v>
      </c>
      <c r="F287" s="11" t="s">
        <v>1058</v>
      </c>
      <c r="G287" s="11">
        <v>0</v>
      </c>
      <c r="H287" s="11">
        <v>0</v>
      </c>
      <c r="I287" s="11">
        <v>0</v>
      </c>
      <c r="J287" s="11">
        <v>0</v>
      </c>
      <c r="K287" s="11">
        <v>0</v>
      </c>
      <c r="L287" s="11">
        <v>0</v>
      </c>
      <c r="M287" s="11">
        <v>0</v>
      </c>
      <c r="N287" s="11">
        <v>0</v>
      </c>
      <c r="O287" s="11">
        <v>0</v>
      </c>
      <c r="P287" s="11">
        <v>0</v>
      </c>
      <c r="Q287" s="12">
        <v>0</v>
      </c>
      <c r="R287" s="12">
        <v>0</v>
      </c>
      <c r="S287" s="12">
        <f>$G$287*$G$8+$H$287*$H$8+$I$287*$I$8+$J$287*$J$8+$K$287*$K$8+$L$287*$L$8+$M$287*$M$8+$N$287*$N$8+$O$287*$O$8+$P$287*$P$8</f>
        <v>0</v>
      </c>
      <c r="T287" s="12">
        <f>SUM($Q$287:$R$287)</f>
        <v>0</v>
      </c>
      <c r="U287" s="12">
        <f>$S$287+$T$287</f>
        <v>0</v>
      </c>
    </row>
    <row r="288" spans="1:21" x14ac:dyDescent="0.3">
      <c r="A288" s="13" t="s">
        <v>1059</v>
      </c>
      <c r="B288" s="14" t="s">
        <v>1056</v>
      </c>
      <c r="C288" s="14" t="s">
        <v>278</v>
      </c>
      <c r="D288" s="14" t="s">
        <v>1060</v>
      </c>
      <c r="E288" s="14">
        <f xml:space="preserve"> IF($U$288,1,0)</f>
        <v>0</v>
      </c>
      <c r="F288" s="14" t="s">
        <v>1061</v>
      </c>
      <c r="G288" s="14">
        <v>0</v>
      </c>
      <c r="H288" s="14">
        <v>0</v>
      </c>
      <c r="I288" s="14">
        <v>0</v>
      </c>
      <c r="J288" s="14">
        <v>0</v>
      </c>
      <c r="K288" s="14">
        <v>0</v>
      </c>
      <c r="L288" s="14">
        <v>0</v>
      </c>
      <c r="M288" s="14">
        <v>0</v>
      </c>
      <c r="N288" s="14">
        <v>0</v>
      </c>
      <c r="O288" s="14">
        <v>0</v>
      </c>
      <c r="P288" s="14">
        <v>0</v>
      </c>
      <c r="Q288" s="15">
        <v>0</v>
      </c>
      <c r="R288" s="15">
        <v>0</v>
      </c>
      <c r="S288" s="15">
        <f>$G$288*$G$8+$H$288*$H$8+$I$288*$I$8+$J$288*$J$8+$K$288*$K$8+$L$288*$L$8+$M$288*$M$8+$N$288*$N$8+$O$288*$O$8+$P$288*$P$8</f>
        <v>0</v>
      </c>
      <c r="T288" s="15">
        <f>SUM($Q$288:$R$288)</f>
        <v>0</v>
      </c>
      <c r="U288" s="15">
        <f>$S$288+$T$288</f>
        <v>0</v>
      </c>
    </row>
    <row r="289" spans="1:21" x14ac:dyDescent="0.3">
      <c r="A289" s="10" t="s">
        <v>1062</v>
      </c>
      <c r="B289" s="11" t="s">
        <v>1063</v>
      </c>
      <c r="C289" s="11"/>
      <c r="D289" s="11" t="s">
        <v>1064</v>
      </c>
      <c r="E289" s="11">
        <f xml:space="preserve"> IF($U$289,1,0)</f>
        <v>0</v>
      </c>
      <c r="F289" s="11" t="s">
        <v>1065</v>
      </c>
      <c r="G289" s="11">
        <v>0</v>
      </c>
      <c r="H289" s="11">
        <v>0</v>
      </c>
      <c r="I289" s="11">
        <v>0</v>
      </c>
      <c r="J289" s="11">
        <v>0</v>
      </c>
      <c r="K289" s="11">
        <v>0</v>
      </c>
      <c r="L289" s="11">
        <v>0</v>
      </c>
      <c r="M289" s="11">
        <v>0</v>
      </c>
      <c r="N289" s="11">
        <v>0</v>
      </c>
      <c r="O289" s="11">
        <v>0</v>
      </c>
      <c r="P289" s="11">
        <v>0</v>
      </c>
      <c r="Q289" s="12">
        <v>0</v>
      </c>
      <c r="R289" s="12">
        <v>0</v>
      </c>
      <c r="S289" s="12">
        <f>$G$289*$G$8+$H$289*$H$8+$I$289*$I$8+$J$289*$J$8+$K$289*$K$8+$L$289*$L$8+$M$289*$M$8+$N$289*$N$8+$O$289*$O$8+$P$289*$P$8</f>
        <v>0</v>
      </c>
      <c r="T289" s="12">
        <f>SUM($Q$289:$R$289)</f>
        <v>0</v>
      </c>
      <c r="U289" s="12">
        <f>$S$289+$T$289</f>
        <v>0</v>
      </c>
    </row>
    <row r="290" spans="1:21" x14ac:dyDescent="0.3">
      <c r="A290" s="13" t="s">
        <v>1066</v>
      </c>
      <c r="B290" s="14" t="s">
        <v>1067</v>
      </c>
      <c r="C290" s="14" t="s">
        <v>202</v>
      </c>
      <c r="D290" s="14" t="s">
        <v>1068</v>
      </c>
      <c r="E290" s="14">
        <f xml:space="preserve"> IF($U$290,1,0)</f>
        <v>0</v>
      </c>
      <c r="F290" s="14" t="s">
        <v>1069</v>
      </c>
      <c r="G290" s="14">
        <v>0</v>
      </c>
      <c r="H290" s="14">
        <v>0</v>
      </c>
      <c r="I290" s="14">
        <v>0</v>
      </c>
      <c r="J290" s="14">
        <v>0</v>
      </c>
      <c r="K290" s="14">
        <v>0</v>
      </c>
      <c r="L290" s="14">
        <v>0</v>
      </c>
      <c r="M290" s="14">
        <v>0</v>
      </c>
      <c r="N290" s="14">
        <v>0</v>
      </c>
      <c r="O290" s="14">
        <v>0</v>
      </c>
      <c r="P290" s="14">
        <v>0</v>
      </c>
      <c r="Q290" s="15">
        <v>0</v>
      </c>
      <c r="R290" s="15">
        <v>0</v>
      </c>
      <c r="S290" s="15">
        <f>$G$290*$G$8+$H$290*$H$8+$I$290*$I$8+$J$290*$J$8+$K$290*$K$8+$L$290*$L$8+$M$290*$M$8+$N$290*$N$8+$O$290*$O$8+$P$290*$P$8</f>
        <v>0</v>
      </c>
      <c r="T290" s="15">
        <f>SUM($Q$290:$R$290)</f>
        <v>0</v>
      </c>
      <c r="U290" s="15">
        <f>$S$290+$T$290</f>
        <v>0</v>
      </c>
    </row>
    <row r="291" spans="1:21" x14ac:dyDescent="0.3">
      <c r="A291" s="10" t="s">
        <v>1070</v>
      </c>
      <c r="B291" s="11" t="s">
        <v>1071</v>
      </c>
      <c r="C291" s="11"/>
      <c r="D291" s="11" t="s">
        <v>1072</v>
      </c>
      <c r="E291" s="11">
        <f xml:space="preserve"> IF($U$291,1,0)</f>
        <v>0</v>
      </c>
      <c r="F291" s="11" t="s">
        <v>1073</v>
      </c>
      <c r="G291" s="11">
        <v>0</v>
      </c>
      <c r="H291" s="11">
        <v>0</v>
      </c>
      <c r="I291" s="11">
        <v>0</v>
      </c>
      <c r="J291" s="11">
        <v>0</v>
      </c>
      <c r="K291" s="11">
        <v>0</v>
      </c>
      <c r="L291" s="11">
        <v>0</v>
      </c>
      <c r="M291" s="11">
        <v>0</v>
      </c>
      <c r="N291" s="11">
        <v>0</v>
      </c>
      <c r="O291" s="11">
        <v>0</v>
      </c>
      <c r="P291" s="11">
        <v>0</v>
      </c>
      <c r="Q291" s="12">
        <v>0</v>
      </c>
      <c r="R291" s="12">
        <v>0</v>
      </c>
      <c r="S291" s="12">
        <f>$G$291*$G$8+$H$291*$H$8+$I$291*$I$8+$J$291*$J$8+$K$291*$K$8+$L$291*$L$8+$M$291*$M$8+$N$291*$N$8+$O$291*$O$8+$P$291*$P$8</f>
        <v>0</v>
      </c>
      <c r="T291" s="12">
        <f>SUM($Q$291:$R$291)</f>
        <v>0</v>
      </c>
      <c r="U291" s="12">
        <f>$S$291+$T$291</f>
        <v>0</v>
      </c>
    </row>
    <row r="292" spans="1:21" x14ac:dyDescent="0.3">
      <c r="A292" s="13" t="s">
        <v>1074</v>
      </c>
      <c r="B292" s="14" t="s">
        <v>1071</v>
      </c>
      <c r="C292" s="14"/>
      <c r="D292" s="14" t="s">
        <v>1075</v>
      </c>
      <c r="E292" s="14">
        <f xml:space="preserve"> IF($U$292,1,0)</f>
        <v>0</v>
      </c>
      <c r="F292" s="14" t="s">
        <v>1076</v>
      </c>
      <c r="G292" s="14">
        <v>0</v>
      </c>
      <c r="H292" s="14">
        <v>0</v>
      </c>
      <c r="I292" s="14">
        <v>0</v>
      </c>
      <c r="J292" s="14">
        <v>0</v>
      </c>
      <c r="K292" s="14">
        <v>0</v>
      </c>
      <c r="L292" s="14">
        <v>0</v>
      </c>
      <c r="M292" s="14">
        <v>0</v>
      </c>
      <c r="N292" s="14">
        <v>0</v>
      </c>
      <c r="O292" s="14">
        <v>0</v>
      </c>
      <c r="P292" s="14">
        <v>0</v>
      </c>
      <c r="Q292" s="15">
        <v>0</v>
      </c>
      <c r="R292" s="15">
        <v>0</v>
      </c>
      <c r="S292" s="15">
        <f>$G$292*$G$8+$H$292*$H$8+$I$292*$I$8+$J$292*$J$8+$K$292*$K$8+$L$292*$L$8+$M$292*$M$8+$N$292*$N$8+$O$292*$O$8+$P$292*$P$8</f>
        <v>0</v>
      </c>
      <c r="T292" s="15">
        <f>SUM($Q$292:$R$292)</f>
        <v>0</v>
      </c>
      <c r="U292" s="15">
        <f>$S$292+$T$292</f>
        <v>0</v>
      </c>
    </row>
    <row r="293" spans="1:21" x14ac:dyDescent="0.3">
      <c r="A293" s="10" t="s">
        <v>1077</v>
      </c>
      <c r="B293" s="11" t="s">
        <v>1078</v>
      </c>
      <c r="C293" s="11"/>
      <c r="D293" s="11" t="s">
        <v>1079</v>
      </c>
      <c r="E293" s="11">
        <f xml:space="preserve"> IF($U$293,1,0)</f>
        <v>0</v>
      </c>
      <c r="F293" s="11" t="s">
        <v>1080</v>
      </c>
      <c r="G293" s="11">
        <v>0</v>
      </c>
      <c r="H293" s="11">
        <v>0</v>
      </c>
      <c r="I293" s="11">
        <v>0</v>
      </c>
      <c r="J293" s="11">
        <v>0</v>
      </c>
      <c r="K293" s="11">
        <v>0</v>
      </c>
      <c r="L293" s="11">
        <v>0</v>
      </c>
      <c r="M293" s="11">
        <v>0</v>
      </c>
      <c r="N293" s="11">
        <v>0</v>
      </c>
      <c r="O293" s="11">
        <v>0</v>
      </c>
      <c r="P293" s="11">
        <v>0</v>
      </c>
      <c r="Q293" s="12">
        <v>0</v>
      </c>
      <c r="R293" s="12">
        <v>0</v>
      </c>
      <c r="S293" s="12">
        <f>$G$293*$G$8+$H$293*$H$8+$I$293*$I$8+$J$293*$J$8+$K$293*$K$8+$L$293*$L$8+$M$293*$M$8+$N$293*$N$8+$O$293*$O$8+$P$293*$P$8</f>
        <v>0</v>
      </c>
      <c r="T293" s="12">
        <f>SUM($Q$293:$R$293)</f>
        <v>0</v>
      </c>
      <c r="U293" s="12">
        <f>$S$293+$T$293</f>
        <v>0</v>
      </c>
    </row>
    <row r="294" spans="1:21" x14ac:dyDescent="0.3">
      <c r="A294" s="13" t="s">
        <v>1081</v>
      </c>
      <c r="B294" s="14" t="s">
        <v>1082</v>
      </c>
      <c r="C294" s="14"/>
      <c r="D294" s="14" t="s">
        <v>1083</v>
      </c>
      <c r="E294" s="14">
        <f xml:space="preserve"> IF($U$294,1,0)</f>
        <v>0</v>
      </c>
      <c r="F294" s="14" t="s">
        <v>1084</v>
      </c>
      <c r="G294" s="14">
        <v>0</v>
      </c>
      <c r="H294" s="14">
        <v>0</v>
      </c>
      <c r="I294" s="14">
        <v>0</v>
      </c>
      <c r="J294" s="14">
        <v>0</v>
      </c>
      <c r="K294" s="14">
        <v>0</v>
      </c>
      <c r="L294" s="14">
        <v>0</v>
      </c>
      <c r="M294" s="14">
        <v>0</v>
      </c>
      <c r="N294" s="14">
        <v>0</v>
      </c>
      <c r="O294" s="14">
        <v>0</v>
      </c>
      <c r="P294" s="14">
        <v>0</v>
      </c>
      <c r="Q294" s="15">
        <v>0</v>
      </c>
      <c r="R294" s="15">
        <v>0</v>
      </c>
      <c r="S294" s="15">
        <f>$G$294*$G$8+$H$294*$H$8+$I$294*$I$8+$J$294*$J$8+$K$294*$K$8+$L$294*$L$8+$M$294*$M$8+$N$294*$N$8+$O$294*$O$8+$P$294*$P$8</f>
        <v>0</v>
      </c>
      <c r="T294" s="15">
        <f>SUM($Q$294:$R$294)</f>
        <v>0</v>
      </c>
      <c r="U294" s="15">
        <f>$S$294+$T$294</f>
        <v>0</v>
      </c>
    </row>
    <row r="295" spans="1:21" x14ac:dyDescent="0.3">
      <c r="A295" s="10" t="s">
        <v>1085</v>
      </c>
      <c r="B295" s="11" t="s">
        <v>1082</v>
      </c>
      <c r="C295" s="11"/>
      <c r="D295" s="11" t="s">
        <v>1086</v>
      </c>
      <c r="E295" s="11">
        <f xml:space="preserve"> IF($U$295,1,0)</f>
        <v>0</v>
      </c>
      <c r="F295" s="11" t="s">
        <v>1087</v>
      </c>
      <c r="G295" s="11">
        <v>0</v>
      </c>
      <c r="H295" s="11">
        <v>0</v>
      </c>
      <c r="I295" s="11">
        <v>0</v>
      </c>
      <c r="J295" s="11">
        <v>0</v>
      </c>
      <c r="K295" s="11">
        <v>0</v>
      </c>
      <c r="L295" s="11">
        <v>0</v>
      </c>
      <c r="M295" s="11">
        <v>0</v>
      </c>
      <c r="N295" s="11">
        <v>0</v>
      </c>
      <c r="O295" s="11">
        <v>0</v>
      </c>
      <c r="P295" s="11">
        <v>0</v>
      </c>
      <c r="Q295" s="12">
        <v>0</v>
      </c>
      <c r="R295" s="12">
        <v>0</v>
      </c>
      <c r="S295" s="12">
        <f>$G$295*$G$8+$H$295*$H$8+$I$295*$I$8+$J$295*$J$8+$K$295*$K$8+$L$295*$L$8+$M$295*$M$8+$N$295*$N$8+$O$295*$O$8+$P$295*$P$8</f>
        <v>0</v>
      </c>
      <c r="T295" s="12">
        <f>SUM($Q$295:$R$295)</f>
        <v>0</v>
      </c>
      <c r="U295" s="12">
        <f>$S$295+$T$295</f>
        <v>0</v>
      </c>
    </row>
    <row r="296" spans="1:21" x14ac:dyDescent="0.3">
      <c r="A296" s="13" t="s">
        <v>1088</v>
      </c>
      <c r="B296" s="14" t="s">
        <v>1082</v>
      </c>
      <c r="C296" s="14" t="s">
        <v>65</v>
      </c>
      <c r="D296" s="14" t="s">
        <v>1089</v>
      </c>
      <c r="E296" s="14">
        <f xml:space="preserve"> IF($U$296,1,0)</f>
        <v>0</v>
      </c>
      <c r="F296" s="14" t="s">
        <v>1090</v>
      </c>
      <c r="G296" s="14">
        <v>0</v>
      </c>
      <c r="H296" s="14">
        <v>0</v>
      </c>
      <c r="I296" s="14">
        <v>0</v>
      </c>
      <c r="J296" s="14">
        <v>0</v>
      </c>
      <c r="K296" s="14">
        <v>0</v>
      </c>
      <c r="L296" s="14">
        <v>0</v>
      </c>
      <c r="M296" s="14">
        <v>0</v>
      </c>
      <c r="N296" s="14">
        <v>0</v>
      </c>
      <c r="O296" s="14">
        <v>0</v>
      </c>
      <c r="P296" s="14">
        <v>0</v>
      </c>
      <c r="Q296" s="15">
        <v>0</v>
      </c>
      <c r="R296" s="15">
        <v>0</v>
      </c>
      <c r="S296" s="15">
        <f>$G$296*$G$8+$H$296*$H$8+$I$296*$I$8+$J$296*$J$8+$K$296*$K$8+$L$296*$L$8+$M$296*$M$8+$N$296*$N$8+$O$296*$O$8+$P$296*$P$8</f>
        <v>0</v>
      </c>
      <c r="T296" s="15">
        <f>SUM($Q$296:$R$296)</f>
        <v>0</v>
      </c>
      <c r="U296" s="15">
        <f>$S$296+$T$296</f>
        <v>0</v>
      </c>
    </row>
    <row r="297" spans="1:21" x14ac:dyDescent="0.3">
      <c r="A297" s="10" t="s">
        <v>1091</v>
      </c>
      <c r="B297" s="11" t="s">
        <v>1082</v>
      </c>
      <c r="C297" s="11"/>
      <c r="D297" s="11" t="s">
        <v>1092</v>
      </c>
      <c r="E297" s="11">
        <f xml:space="preserve"> IF($U$297,1,0)</f>
        <v>0</v>
      </c>
      <c r="F297" s="11" t="s">
        <v>1093</v>
      </c>
      <c r="G297" s="11">
        <v>0</v>
      </c>
      <c r="H297" s="11">
        <v>0</v>
      </c>
      <c r="I297" s="11">
        <v>0</v>
      </c>
      <c r="J297" s="11">
        <v>0</v>
      </c>
      <c r="K297" s="11">
        <v>0</v>
      </c>
      <c r="L297" s="11">
        <v>0</v>
      </c>
      <c r="M297" s="11">
        <v>0</v>
      </c>
      <c r="N297" s="11">
        <v>0</v>
      </c>
      <c r="O297" s="11">
        <v>0</v>
      </c>
      <c r="P297" s="11">
        <v>0</v>
      </c>
      <c r="Q297" s="12">
        <v>0</v>
      </c>
      <c r="R297" s="12">
        <v>0</v>
      </c>
      <c r="S297" s="12">
        <f>$G$297*$G$8+$H$297*$H$8+$I$297*$I$8+$J$297*$J$8+$K$297*$K$8+$L$297*$L$8+$M$297*$M$8+$N$297*$N$8+$O$297*$O$8+$P$297*$P$8</f>
        <v>0</v>
      </c>
      <c r="T297" s="12">
        <f>SUM($Q$297:$R$297)</f>
        <v>0</v>
      </c>
      <c r="U297" s="12">
        <f>$S$297+$T$297</f>
        <v>0</v>
      </c>
    </row>
    <row r="298" spans="1:21" x14ac:dyDescent="0.3">
      <c r="A298" s="13" t="s">
        <v>1094</v>
      </c>
      <c r="B298" s="14" t="s">
        <v>1095</v>
      </c>
      <c r="C298" s="14" t="s">
        <v>34</v>
      </c>
      <c r="D298" s="14" t="s">
        <v>1096</v>
      </c>
      <c r="E298" s="14">
        <f xml:space="preserve"> IF($U$298,1,0)</f>
        <v>0</v>
      </c>
      <c r="F298" s="14" t="s">
        <v>1097</v>
      </c>
      <c r="G298" s="14">
        <v>0</v>
      </c>
      <c r="H298" s="14">
        <v>0</v>
      </c>
      <c r="I298" s="14">
        <v>0</v>
      </c>
      <c r="J298" s="14">
        <v>0</v>
      </c>
      <c r="K298" s="14">
        <v>0</v>
      </c>
      <c r="L298" s="14">
        <v>0</v>
      </c>
      <c r="M298" s="14">
        <v>0</v>
      </c>
      <c r="N298" s="14">
        <v>0</v>
      </c>
      <c r="O298" s="14">
        <v>0</v>
      </c>
      <c r="P298" s="14">
        <v>0</v>
      </c>
      <c r="Q298" s="15">
        <v>0</v>
      </c>
      <c r="R298" s="15">
        <v>0</v>
      </c>
      <c r="S298" s="15">
        <f>$G$298*$G$8+$H$298*$H$8+$I$298*$I$8+$J$298*$J$8+$K$298*$K$8+$L$298*$L$8+$M$298*$M$8+$N$298*$N$8+$O$298*$O$8+$P$298*$P$8</f>
        <v>0</v>
      </c>
      <c r="T298" s="15">
        <f>SUM($Q$298:$R$298)</f>
        <v>0</v>
      </c>
      <c r="U298" s="15">
        <f>$S$298+$T$298</f>
        <v>0</v>
      </c>
    </row>
    <row r="299" spans="1:21" x14ac:dyDescent="0.3">
      <c r="A299" s="10" t="s">
        <v>1098</v>
      </c>
      <c r="B299" s="11" t="s">
        <v>1099</v>
      </c>
      <c r="C299" s="11"/>
      <c r="D299" s="11" t="s">
        <v>1100</v>
      </c>
      <c r="E299" s="11">
        <f xml:space="preserve"> IF($U$299,1,0)</f>
        <v>0</v>
      </c>
      <c r="F299" s="11" t="s">
        <v>1101</v>
      </c>
      <c r="G299" s="11">
        <v>0</v>
      </c>
      <c r="H299" s="11">
        <v>0</v>
      </c>
      <c r="I299" s="11">
        <v>0</v>
      </c>
      <c r="J299" s="11">
        <v>0</v>
      </c>
      <c r="K299" s="11">
        <v>0</v>
      </c>
      <c r="L299" s="11">
        <v>0</v>
      </c>
      <c r="M299" s="11">
        <v>0</v>
      </c>
      <c r="N299" s="11">
        <v>0</v>
      </c>
      <c r="O299" s="11">
        <v>0</v>
      </c>
      <c r="P299" s="11">
        <v>0</v>
      </c>
      <c r="Q299" s="12">
        <v>0</v>
      </c>
      <c r="R299" s="12">
        <v>0</v>
      </c>
      <c r="S299" s="12">
        <f>$G$299*$G$8+$H$299*$H$8+$I$299*$I$8+$J$299*$J$8+$K$299*$K$8+$L$299*$L$8+$M$299*$M$8+$N$299*$N$8+$O$299*$O$8+$P$299*$P$8</f>
        <v>0</v>
      </c>
      <c r="T299" s="12">
        <f>SUM($Q$299:$R$299)</f>
        <v>0</v>
      </c>
      <c r="U299" s="12">
        <f>$S$299+$T$299</f>
        <v>0</v>
      </c>
    </row>
    <row r="300" spans="1:21" x14ac:dyDescent="0.3">
      <c r="A300" s="13" t="s">
        <v>1102</v>
      </c>
      <c r="B300" s="14" t="s">
        <v>1103</v>
      </c>
      <c r="C300" s="14"/>
      <c r="D300" s="14" t="s">
        <v>1104</v>
      </c>
      <c r="E300" s="14">
        <f xml:space="preserve"> IF($U$300,1,0)</f>
        <v>0</v>
      </c>
      <c r="F300" s="14" t="s">
        <v>1105</v>
      </c>
      <c r="G300" s="14">
        <v>0</v>
      </c>
      <c r="H300" s="14">
        <v>0</v>
      </c>
      <c r="I300" s="14">
        <v>0</v>
      </c>
      <c r="J300" s="14">
        <v>0</v>
      </c>
      <c r="K300" s="14">
        <v>0</v>
      </c>
      <c r="L300" s="14">
        <v>0</v>
      </c>
      <c r="M300" s="14">
        <v>0</v>
      </c>
      <c r="N300" s="14">
        <v>0</v>
      </c>
      <c r="O300" s="14">
        <v>0</v>
      </c>
      <c r="P300" s="14">
        <v>0</v>
      </c>
      <c r="Q300" s="15">
        <v>0</v>
      </c>
      <c r="R300" s="15">
        <v>0</v>
      </c>
      <c r="S300" s="15">
        <f>$G$300*$G$8+$H$300*$H$8+$I$300*$I$8+$J$300*$J$8+$K$300*$K$8+$L$300*$L$8+$M$300*$M$8+$N$300*$N$8+$O$300*$O$8+$P$300*$P$8</f>
        <v>0</v>
      </c>
      <c r="T300" s="15">
        <f>SUM($Q$300:$R$300)</f>
        <v>0</v>
      </c>
      <c r="U300" s="15">
        <f>$S$300+$T$300</f>
        <v>0</v>
      </c>
    </row>
    <row r="301" spans="1:21" x14ac:dyDescent="0.3">
      <c r="A301" s="10" t="s">
        <v>1106</v>
      </c>
      <c r="B301" s="11" t="s">
        <v>1107</v>
      </c>
      <c r="C301" s="11"/>
      <c r="D301" s="11" t="s">
        <v>1107</v>
      </c>
      <c r="E301" s="11">
        <f xml:space="preserve"> IF($U$301,1,0)</f>
        <v>0</v>
      </c>
      <c r="F301" s="11" t="s">
        <v>1108</v>
      </c>
      <c r="G301" s="11">
        <v>0</v>
      </c>
      <c r="H301" s="11">
        <v>0</v>
      </c>
      <c r="I301" s="11">
        <v>0</v>
      </c>
      <c r="J301" s="11">
        <v>0</v>
      </c>
      <c r="K301" s="11">
        <v>0</v>
      </c>
      <c r="L301" s="11">
        <v>0</v>
      </c>
      <c r="M301" s="11">
        <v>0</v>
      </c>
      <c r="N301" s="11">
        <v>0</v>
      </c>
      <c r="O301" s="11">
        <v>0</v>
      </c>
      <c r="P301" s="11">
        <v>0</v>
      </c>
      <c r="Q301" s="12">
        <v>0</v>
      </c>
      <c r="R301" s="12">
        <v>0</v>
      </c>
      <c r="S301" s="12">
        <f>$G$301*$G$8+$H$301*$H$8+$I$301*$I$8+$J$301*$J$8+$K$301*$K$8+$L$301*$L$8+$M$301*$M$8+$N$301*$N$8+$O$301*$O$8+$P$301*$P$8</f>
        <v>0</v>
      </c>
      <c r="T301" s="12">
        <f>SUM($Q$301:$R$301)</f>
        <v>0</v>
      </c>
      <c r="U301" s="12">
        <f>$S$301+$T$301</f>
        <v>0</v>
      </c>
    </row>
    <row r="302" spans="1:21" x14ac:dyDescent="0.3">
      <c r="A302" s="13" t="s">
        <v>1109</v>
      </c>
      <c r="B302" s="14" t="s">
        <v>1110</v>
      </c>
      <c r="C302" s="14" t="s">
        <v>34</v>
      </c>
      <c r="D302" s="14" t="s">
        <v>1111</v>
      </c>
      <c r="E302" s="14">
        <f xml:space="preserve"> IF($U$302,1,0)</f>
        <v>0</v>
      </c>
      <c r="F302" s="14" t="s">
        <v>1112</v>
      </c>
      <c r="G302" s="14">
        <v>0</v>
      </c>
      <c r="H302" s="14">
        <v>0</v>
      </c>
      <c r="I302" s="14">
        <v>0</v>
      </c>
      <c r="J302" s="14">
        <v>0</v>
      </c>
      <c r="K302" s="14">
        <v>0</v>
      </c>
      <c r="L302" s="14">
        <v>0</v>
      </c>
      <c r="M302" s="14">
        <v>0</v>
      </c>
      <c r="N302" s="14">
        <v>0</v>
      </c>
      <c r="O302" s="14">
        <v>0</v>
      </c>
      <c r="P302" s="14">
        <v>0</v>
      </c>
      <c r="Q302" s="15">
        <v>0</v>
      </c>
      <c r="R302" s="15">
        <v>0</v>
      </c>
      <c r="S302" s="15">
        <f>$G$302*$G$8+$H$302*$H$8+$I$302*$I$8+$J$302*$J$8+$K$302*$K$8+$L$302*$L$8+$M$302*$M$8+$N$302*$N$8+$O$302*$O$8+$P$302*$P$8</f>
        <v>0</v>
      </c>
      <c r="T302" s="15">
        <f>SUM($Q$302:$R$302)</f>
        <v>0</v>
      </c>
      <c r="U302" s="15">
        <f>$S$302+$T$302</f>
        <v>0</v>
      </c>
    </row>
    <row r="303" spans="1:21" x14ac:dyDescent="0.3">
      <c r="A303" s="10" t="s">
        <v>1113</v>
      </c>
      <c r="B303" s="11" t="s">
        <v>1114</v>
      </c>
      <c r="C303" s="11" t="s">
        <v>34</v>
      </c>
      <c r="D303" s="11" t="s">
        <v>239</v>
      </c>
      <c r="E303" s="11">
        <f xml:space="preserve"> IF($U$303,1,0)</f>
        <v>0</v>
      </c>
      <c r="F303" s="11" t="s">
        <v>1115</v>
      </c>
      <c r="G303" s="11">
        <v>0</v>
      </c>
      <c r="H303" s="11">
        <v>0</v>
      </c>
      <c r="I303" s="11">
        <v>0</v>
      </c>
      <c r="J303" s="11">
        <v>0</v>
      </c>
      <c r="K303" s="11">
        <v>0</v>
      </c>
      <c r="L303" s="11">
        <v>0</v>
      </c>
      <c r="M303" s="11">
        <v>0</v>
      </c>
      <c r="N303" s="11">
        <v>0</v>
      </c>
      <c r="O303" s="11">
        <v>0</v>
      </c>
      <c r="P303" s="11">
        <v>0</v>
      </c>
      <c r="Q303" s="12">
        <v>0</v>
      </c>
      <c r="R303" s="12">
        <v>0</v>
      </c>
      <c r="S303" s="12">
        <f>$G$303*$G$8+$H$303*$H$8+$I$303*$I$8+$J$303*$J$8+$K$303*$K$8+$L$303*$L$8+$M$303*$M$8+$N$303*$N$8+$O$303*$O$8+$P$303*$P$8</f>
        <v>0</v>
      </c>
      <c r="T303" s="12">
        <f>SUM($Q$303:$R$303)</f>
        <v>0</v>
      </c>
      <c r="U303" s="12">
        <f>$S$303+$T$303</f>
        <v>0</v>
      </c>
    </row>
    <row r="304" spans="1:21" x14ac:dyDescent="0.3">
      <c r="A304" s="13" t="s">
        <v>1257</v>
      </c>
      <c r="B304" s="14" t="s">
        <v>1117</v>
      </c>
      <c r="C304" s="14" t="s">
        <v>202</v>
      </c>
      <c r="D304" s="14" t="s">
        <v>442</v>
      </c>
      <c r="E304" s="14">
        <f xml:space="preserve"> IF($U$304,1,0)</f>
        <v>0</v>
      </c>
      <c r="F304" s="14" t="s">
        <v>1258</v>
      </c>
      <c r="G304" s="14">
        <v>0</v>
      </c>
      <c r="H304" s="14">
        <v>0</v>
      </c>
      <c r="I304" s="14">
        <v>0</v>
      </c>
      <c r="J304" s="14">
        <v>0</v>
      </c>
      <c r="K304" s="14">
        <v>0</v>
      </c>
      <c r="L304" s="14">
        <v>0</v>
      </c>
      <c r="M304" s="14">
        <v>0</v>
      </c>
      <c r="N304" s="14">
        <v>0</v>
      </c>
      <c r="O304" s="14">
        <v>0</v>
      </c>
      <c r="P304" s="14">
        <v>0</v>
      </c>
      <c r="Q304" s="15">
        <v>0</v>
      </c>
      <c r="R304" s="15">
        <v>0</v>
      </c>
      <c r="S304" s="15">
        <f>$G$304*$G$8+$H$304*$H$8+$I$304*$I$8+$J$304*$J$8+$K$304*$K$8+$L$304*$L$8+$M$304*$M$8+$N$304*$N$8+$O$304*$O$8+$P$304*$P$8</f>
        <v>0</v>
      </c>
      <c r="T304" s="15">
        <f>SUM($Q$304:$R$304)</f>
        <v>0</v>
      </c>
      <c r="U304" s="15">
        <f>$S$304+$T$304</f>
        <v>0</v>
      </c>
    </row>
    <row r="305" spans="1:21" x14ac:dyDescent="0.3">
      <c r="A305" s="10" t="s">
        <v>1116</v>
      </c>
      <c r="B305" s="11" t="s">
        <v>1117</v>
      </c>
      <c r="C305" s="11"/>
      <c r="D305" s="11" t="s">
        <v>1118</v>
      </c>
      <c r="E305" s="11">
        <f xml:space="preserve"> IF($U$305,1,0)</f>
        <v>0</v>
      </c>
      <c r="F305" s="11" t="s">
        <v>1119</v>
      </c>
      <c r="G305" s="11">
        <v>0</v>
      </c>
      <c r="H305" s="11">
        <v>0</v>
      </c>
      <c r="I305" s="11">
        <v>0</v>
      </c>
      <c r="J305" s="11">
        <v>0</v>
      </c>
      <c r="K305" s="11">
        <v>0</v>
      </c>
      <c r="L305" s="11">
        <v>0</v>
      </c>
      <c r="M305" s="11">
        <v>0</v>
      </c>
      <c r="N305" s="11">
        <v>0</v>
      </c>
      <c r="O305" s="11">
        <v>0</v>
      </c>
      <c r="P305" s="11">
        <v>0</v>
      </c>
      <c r="Q305" s="12">
        <v>0</v>
      </c>
      <c r="R305" s="12">
        <v>0</v>
      </c>
      <c r="S305" s="12">
        <f>$G$305*$G$8+$H$305*$H$8+$I$305*$I$8+$J$305*$J$8+$K$305*$K$8+$L$305*$L$8+$M$305*$M$8+$N$305*$N$8+$O$305*$O$8+$P$305*$P$8</f>
        <v>0</v>
      </c>
      <c r="T305" s="12">
        <f>SUM($Q$305:$R$305)</f>
        <v>0</v>
      </c>
      <c r="U305" s="12">
        <f>$S$305+$T$305</f>
        <v>0</v>
      </c>
    </row>
    <row r="306" spans="1:21" x14ac:dyDescent="0.3">
      <c r="A306" s="13" t="s">
        <v>1120</v>
      </c>
      <c r="B306" s="14" t="s">
        <v>1117</v>
      </c>
      <c r="C306" s="14"/>
      <c r="D306" s="14" t="s">
        <v>1121</v>
      </c>
      <c r="E306" s="14">
        <f xml:space="preserve"> IF($U$306,1,0)</f>
        <v>0</v>
      </c>
      <c r="F306" s="14" t="s">
        <v>1122</v>
      </c>
      <c r="G306" s="14">
        <v>0</v>
      </c>
      <c r="H306" s="14">
        <v>0</v>
      </c>
      <c r="I306" s="14">
        <v>0</v>
      </c>
      <c r="J306" s="14">
        <v>0</v>
      </c>
      <c r="K306" s="14">
        <v>0</v>
      </c>
      <c r="L306" s="14">
        <v>0</v>
      </c>
      <c r="M306" s="14">
        <v>0</v>
      </c>
      <c r="N306" s="14">
        <v>0</v>
      </c>
      <c r="O306" s="14">
        <v>0</v>
      </c>
      <c r="P306" s="14">
        <v>0</v>
      </c>
      <c r="Q306" s="15">
        <v>0</v>
      </c>
      <c r="R306" s="15">
        <v>0</v>
      </c>
      <c r="S306" s="15">
        <f>$G$306*$G$8+$H$306*$H$8+$I$306*$I$8+$J$306*$J$8+$K$306*$K$8+$L$306*$L$8+$M$306*$M$8+$N$306*$N$8+$O$306*$O$8+$P$306*$P$8</f>
        <v>0</v>
      </c>
      <c r="T306" s="15">
        <f>SUM($Q$306:$R$306)</f>
        <v>0</v>
      </c>
      <c r="U306" s="15">
        <f>$S$306+$T$306</f>
        <v>0</v>
      </c>
    </row>
    <row r="307" spans="1:21" x14ac:dyDescent="0.3">
      <c r="A307" s="10" t="s">
        <v>1123</v>
      </c>
      <c r="B307" s="11" t="s">
        <v>1117</v>
      </c>
      <c r="C307" s="11"/>
      <c r="D307" s="11" t="s">
        <v>1124</v>
      </c>
      <c r="E307" s="11">
        <f xml:space="preserve"> IF($U$307,1,0)</f>
        <v>0</v>
      </c>
      <c r="F307" s="11" t="s">
        <v>1125</v>
      </c>
      <c r="G307" s="11">
        <v>0</v>
      </c>
      <c r="H307" s="11">
        <v>0</v>
      </c>
      <c r="I307" s="11">
        <v>0</v>
      </c>
      <c r="J307" s="11">
        <v>0</v>
      </c>
      <c r="K307" s="11">
        <v>0</v>
      </c>
      <c r="L307" s="11">
        <v>0</v>
      </c>
      <c r="M307" s="11">
        <v>0</v>
      </c>
      <c r="N307" s="11">
        <v>0</v>
      </c>
      <c r="O307" s="11">
        <v>0</v>
      </c>
      <c r="P307" s="11">
        <v>0</v>
      </c>
      <c r="Q307" s="12">
        <v>0</v>
      </c>
      <c r="R307" s="12">
        <v>0</v>
      </c>
      <c r="S307" s="12">
        <f>$G$307*$G$8+$H$307*$H$8+$I$307*$I$8+$J$307*$J$8+$K$307*$K$8+$L$307*$L$8+$M$307*$M$8+$N$307*$N$8+$O$307*$O$8+$P$307*$P$8</f>
        <v>0</v>
      </c>
      <c r="T307" s="12">
        <f>SUM($Q$307:$R$307)</f>
        <v>0</v>
      </c>
      <c r="U307" s="12">
        <f>$S$307+$T$307</f>
        <v>0</v>
      </c>
    </row>
    <row r="308" spans="1:21" x14ac:dyDescent="0.3">
      <c r="A308" s="13" t="s">
        <v>1126</v>
      </c>
      <c r="B308" s="14" t="s">
        <v>1117</v>
      </c>
      <c r="C308" s="14"/>
      <c r="D308" s="14" t="s">
        <v>1127</v>
      </c>
      <c r="E308" s="14">
        <f xml:space="preserve"> IF($U$308,1,0)</f>
        <v>0</v>
      </c>
      <c r="F308" s="14" t="s">
        <v>1128</v>
      </c>
      <c r="G308" s="14">
        <v>0</v>
      </c>
      <c r="H308" s="14">
        <v>0</v>
      </c>
      <c r="I308" s="14">
        <v>0</v>
      </c>
      <c r="J308" s="14">
        <v>0</v>
      </c>
      <c r="K308" s="14">
        <v>0</v>
      </c>
      <c r="L308" s="14">
        <v>0</v>
      </c>
      <c r="M308" s="14">
        <v>0</v>
      </c>
      <c r="N308" s="14">
        <v>0</v>
      </c>
      <c r="O308" s="14">
        <v>0</v>
      </c>
      <c r="P308" s="14">
        <v>0</v>
      </c>
      <c r="Q308" s="15">
        <v>0</v>
      </c>
      <c r="R308" s="15">
        <v>0</v>
      </c>
      <c r="S308" s="15">
        <f>$G$308*$G$8+$H$308*$H$8+$I$308*$I$8+$J$308*$J$8+$K$308*$K$8+$L$308*$L$8+$M$308*$M$8+$N$308*$N$8+$O$308*$O$8+$P$308*$P$8</f>
        <v>0</v>
      </c>
      <c r="T308" s="15">
        <f>SUM($Q$308:$R$308)</f>
        <v>0</v>
      </c>
      <c r="U308" s="15">
        <f>$S$308+$T$308</f>
        <v>0</v>
      </c>
    </row>
    <row r="309" spans="1:21" x14ac:dyDescent="0.3">
      <c r="A309" s="10" t="s">
        <v>1129</v>
      </c>
      <c r="B309" s="11" t="s">
        <v>1130</v>
      </c>
      <c r="C309" s="11" t="s">
        <v>34</v>
      </c>
      <c r="D309" s="11" t="s">
        <v>1131</v>
      </c>
      <c r="E309" s="11">
        <f xml:space="preserve"> IF($U$309,1,0)</f>
        <v>0</v>
      </c>
      <c r="F309" s="11" t="s">
        <v>1132</v>
      </c>
      <c r="G309" s="11">
        <v>0</v>
      </c>
      <c r="H309" s="11">
        <v>0</v>
      </c>
      <c r="I309" s="11">
        <v>0</v>
      </c>
      <c r="J309" s="11">
        <v>0</v>
      </c>
      <c r="K309" s="11">
        <v>0</v>
      </c>
      <c r="L309" s="11">
        <v>0</v>
      </c>
      <c r="M309" s="11">
        <v>0</v>
      </c>
      <c r="N309" s="11">
        <v>0</v>
      </c>
      <c r="O309" s="11">
        <v>0</v>
      </c>
      <c r="P309" s="11">
        <v>0</v>
      </c>
      <c r="Q309" s="12">
        <v>0</v>
      </c>
      <c r="R309" s="12">
        <v>0</v>
      </c>
      <c r="S309" s="12">
        <f>$G$309*$G$8+$H$309*$H$8+$I$309*$I$8+$J$309*$J$8+$K$309*$K$8+$L$309*$L$8+$M$309*$M$8+$N$309*$N$8+$O$309*$O$8+$P$309*$P$8</f>
        <v>0</v>
      </c>
      <c r="T309" s="12">
        <f>SUM($Q$309:$R$309)</f>
        <v>0</v>
      </c>
      <c r="U309" s="12">
        <f>$S$309+$T$309</f>
        <v>0</v>
      </c>
    </row>
    <row r="310" spans="1:21" x14ac:dyDescent="0.3">
      <c r="A310" s="13" t="s">
        <v>1133</v>
      </c>
      <c r="B310" s="14" t="s">
        <v>1134</v>
      </c>
      <c r="C310" s="14"/>
      <c r="D310" s="14" t="s">
        <v>1135</v>
      </c>
      <c r="E310" s="14">
        <f xml:space="preserve"> IF($U$310,1,0)</f>
        <v>0</v>
      </c>
      <c r="F310" s="14" t="s">
        <v>1136</v>
      </c>
      <c r="G310" s="14">
        <v>0</v>
      </c>
      <c r="H310" s="14">
        <v>0</v>
      </c>
      <c r="I310" s="14">
        <v>0</v>
      </c>
      <c r="J310" s="14">
        <v>0</v>
      </c>
      <c r="K310" s="14">
        <v>0</v>
      </c>
      <c r="L310" s="14">
        <v>0</v>
      </c>
      <c r="M310" s="14">
        <v>0</v>
      </c>
      <c r="N310" s="14">
        <v>0</v>
      </c>
      <c r="O310" s="14">
        <v>0</v>
      </c>
      <c r="P310" s="14">
        <v>0</v>
      </c>
      <c r="Q310" s="15">
        <v>0</v>
      </c>
      <c r="R310" s="15">
        <v>0</v>
      </c>
      <c r="S310" s="15">
        <f>$G$310*$G$8+$H$310*$H$8+$I$310*$I$8+$J$310*$J$8+$K$310*$K$8+$L$310*$L$8+$M$310*$M$8+$N$310*$N$8+$O$310*$O$8+$P$310*$P$8</f>
        <v>0</v>
      </c>
      <c r="T310" s="15">
        <f>SUM($Q$310:$R$310)</f>
        <v>0</v>
      </c>
      <c r="U310" s="15">
        <f>$S$310+$T$310</f>
        <v>0</v>
      </c>
    </row>
    <row r="311" spans="1:21" x14ac:dyDescent="0.3">
      <c r="A311" s="10" t="s">
        <v>1137</v>
      </c>
      <c r="B311" s="11" t="s">
        <v>1138</v>
      </c>
      <c r="C311" s="11" t="s">
        <v>1296</v>
      </c>
      <c r="D311" s="11" t="s">
        <v>1139</v>
      </c>
      <c r="E311" s="11">
        <f xml:space="preserve"> IF($U$311,1,0)</f>
        <v>0</v>
      </c>
      <c r="F311" s="11" t="s">
        <v>1297</v>
      </c>
      <c r="G311" s="11">
        <v>0</v>
      </c>
      <c r="H311" s="11">
        <v>0</v>
      </c>
      <c r="I311" s="11">
        <v>0</v>
      </c>
      <c r="J311" s="11">
        <v>0</v>
      </c>
      <c r="K311" s="11">
        <v>0</v>
      </c>
      <c r="L311" s="11">
        <v>0</v>
      </c>
      <c r="M311" s="11">
        <v>0</v>
      </c>
      <c r="N311" s="11">
        <v>0</v>
      </c>
      <c r="O311" s="11">
        <v>0</v>
      </c>
      <c r="P311" s="11">
        <v>0</v>
      </c>
      <c r="Q311" s="12">
        <v>0</v>
      </c>
      <c r="R311" s="12">
        <v>0</v>
      </c>
      <c r="S311" s="12">
        <f>$G$311*$G$8+$H$311*$H$8+$I$311*$I$8+$J$311*$J$8+$K$311*$K$8+$L$311*$L$8+$M$311*$M$8+$N$311*$N$8+$O$311*$O$8+$P$311*$P$8</f>
        <v>0</v>
      </c>
      <c r="T311" s="12">
        <f>SUM($Q$311:$R$311)</f>
        <v>0</v>
      </c>
      <c r="U311" s="12">
        <f>$S$311+$T$311</f>
        <v>0</v>
      </c>
    </row>
    <row r="312" spans="1:21" x14ac:dyDescent="0.3">
      <c r="A312" s="13" t="s">
        <v>1141</v>
      </c>
      <c r="B312" s="14" t="s">
        <v>1142</v>
      </c>
      <c r="C312" s="14" t="s">
        <v>202</v>
      </c>
      <c r="D312" s="14" t="s">
        <v>442</v>
      </c>
      <c r="E312" s="14">
        <f xml:space="preserve"> IF($U$312,1,0)</f>
        <v>0</v>
      </c>
      <c r="F312" s="14" t="s">
        <v>1143</v>
      </c>
      <c r="G312" s="14">
        <v>0</v>
      </c>
      <c r="H312" s="14">
        <v>0</v>
      </c>
      <c r="I312" s="14">
        <v>0</v>
      </c>
      <c r="J312" s="14">
        <v>0</v>
      </c>
      <c r="K312" s="14">
        <v>0</v>
      </c>
      <c r="L312" s="14">
        <v>0</v>
      </c>
      <c r="M312" s="14">
        <v>0</v>
      </c>
      <c r="N312" s="14">
        <v>0</v>
      </c>
      <c r="O312" s="14">
        <v>0</v>
      </c>
      <c r="P312" s="14">
        <v>0</v>
      </c>
      <c r="Q312" s="15">
        <v>0</v>
      </c>
      <c r="R312" s="15">
        <v>0</v>
      </c>
      <c r="S312" s="15">
        <f>$G$312*$G$8+$H$312*$H$8+$I$312*$I$8+$J$312*$J$8+$K$312*$K$8+$L$312*$L$8+$M$312*$M$8+$N$312*$N$8+$O$312*$O$8+$P$312*$P$8</f>
        <v>0</v>
      </c>
      <c r="T312" s="15">
        <f>SUM($Q$312:$R$312)</f>
        <v>0</v>
      </c>
      <c r="U312" s="15">
        <f>$S$312+$T$312</f>
        <v>0</v>
      </c>
    </row>
    <row r="313" spans="1:21" x14ac:dyDescent="0.3">
      <c r="A313" s="10" t="s">
        <v>1144</v>
      </c>
      <c r="B313" s="11" t="s">
        <v>1142</v>
      </c>
      <c r="C313" s="11"/>
      <c r="D313" s="11" t="s">
        <v>1145</v>
      </c>
      <c r="E313" s="11">
        <f xml:space="preserve"> IF($U$313,1,0)</f>
        <v>0</v>
      </c>
      <c r="F313" s="11" t="s">
        <v>1146</v>
      </c>
      <c r="G313" s="11">
        <v>0</v>
      </c>
      <c r="H313" s="11">
        <v>0</v>
      </c>
      <c r="I313" s="11">
        <v>0</v>
      </c>
      <c r="J313" s="11">
        <v>0</v>
      </c>
      <c r="K313" s="11">
        <v>0</v>
      </c>
      <c r="L313" s="11">
        <v>0</v>
      </c>
      <c r="M313" s="11">
        <v>0</v>
      </c>
      <c r="N313" s="11">
        <v>0</v>
      </c>
      <c r="O313" s="11">
        <v>0</v>
      </c>
      <c r="P313" s="11">
        <v>0</v>
      </c>
      <c r="Q313" s="12">
        <v>0</v>
      </c>
      <c r="R313" s="12">
        <v>0</v>
      </c>
      <c r="S313" s="12">
        <f>$G$313*$G$8+$H$313*$H$8+$I$313*$I$8+$J$313*$J$8+$K$313*$K$8+$L$313*$L$8+$M$313*$M$8+$N$313*$N$8+$O$313*$O$8+$P$313*$P$8</f>
        <v>0</v>
      </c>
      <c r="T313" s="12">
        <f>SUM($Q$313:$R$313)</f>
        <v>0</v>
      </c>
      <c r="U313" s="12">
        <f>$S$313+$T$313</f>
        <v>0</v>
      </c>
    </row>
    <row r="314" spans="1:21" x14ac:dyDescent="0.3">
      <c r="A314" s="13" t="s">
        <v>1147</v>
      </c>
      <c r="B314" s="14" t="s">
        <v>1142</v>
      </c>
      <c r="C314" s="14"/>
      <c r="D314" s="14" t="s">
        <v>138</v>
      </c>
      <c r="E314" s="14">
        <f xml:space="preserve"> IF($U$314,1,0)</f>
        <v>0</v>
      </c>
      <c r="F314" s="14" t="s">
        <v>1148</v>
      </c>
      <c r="G314" s="14">
        <v>0</v>
      </c>
      <c r="H314" s="14">
        <v>0</v>
      </c>
      <c r="I314" s="14">
        <v>0</v>
      </c>
      <c r="J314" s="14">
        <v>0</v>
      </c>
      <c r="K314" s="14">
        <v>0</v>
      </c>
      <c r="L314" s="14">
        <v>0</v>
      </c>
      <c r="M314" s="14">
        <v>0</v>
      </c>
      <c r="N314" s="14">
        <v>0</v>
      </c>
      <c r="O314" s="14">
        <v>0</v>
      </c>
      <c r="P314" s="14">
        <v>0</v>
      </c>
      <c r="Q314" s="15">
        <v>0</v>
      </c>
      <c r="R314" s="15">
        <v>0</v>
      </c>
      <c r="S314" s="15">
        <f>$G$314*$G$8+$H$314*$H$8+$I$314*$I$8+$J$314*$J$8+$K$314*$K$8+$L$314*$L$8+$M$314*$M$8+$N$314*$N$8+$O$314*$O$8+$P$314*$P$8</f>
        <v>0</v>
      </c>
      <c r="T314" s="15">
        <f>SUM($Q$314:$R$314)</f>
        <v>0</v>
      </c>
      <c r="U314" s="15">
        <f>$S$314+$T$314</f>
        <v>0</v>
      </c>
    </row>
    <row r="315" spans="1:21" x14ac:dyDescent="0.3">
      <c r="A315" s="10" t="s">
        <v>1149</v>
      </c>
      <c r="B315" s="11" t="s">
        <v>1142</v>
      </c>
      <c r="C315" s="11"/>
      <c r="D315" s="11" t="s">
        <v>1150</v>
      </c>
      <c r="E315" s="11">
        <f xml:space="preserve"> IF($U$315,1,0)</f>
        <v>0</v>
      </c>
      <c r="F315" s="11" t="s">
        <v>1151</v>
      </c>
      <c r="G315" s="11">
        <v>0</v>
      </c>
      <c r="H315" s="11">
        <v>0</v>
      </c>
      <c r="I315" s="11">
        <v>0</v>
      </c>
      <c r="J315" s="11">
        <v>0</v>
      </c>
      <c r="K315" s="11">
        <v>0</v>
      </c>
      <c r="L315" s="11">
        <v>0</v>
      </c>
      <c r="M315" s="11">
        <v>0</v>
      </c>
      <c r="N315" s="11">
        <v>0</v>
      </c>
      <c r="O315" s="11">
        <v>0</v>
      </c>
      <c r="P315" s="11">
        <v>0</v>
      </c>
      <c r="Q315" s="12">
        <v>0</v>
      </c>
      <c r="R315" s="12">
        <v>0</v>
      </c>
      <c r="S315" s="12">
        <f>$G$315*$G$8+$H$315*$H$8+$I$315*$I$8+$J$315*$J$8+$K$315*$K$8+$L$315*$L$8+$M$315*$M$8+$N$315*$N$8+$O$315*$O$8+$P$315*$P$8</f>
        <v>0</v>
      </c>
      <c r="T315" s="12">
        <f>SUM($Q$315:$R$315)</f>
        <v>0</v>
      </c>
      <c r="U315" s="12">
        <f>$S$315+$T$315</f>
        <v>0</v>
      </c>
    </row>
    <row r="316" spans="1:21" x14ac:dyDescent="0.3">
      <c r="A316" s="13" t="s">
        <v>1152</v>
      </c>
      <c r="B316" s="14" t="s">
        <v>1142</v>
      </c>
      <c r="C316" s="14"/>
      <c r="D316" s="14" t="s">
        <v>1153</v>
      </c>
      <c r="E316" s="14">
        <f xml:space="preserve"> IF($U$316,1,0)</f>
        <v>0</v>
      </c>
      <c r="F316" s="14" t="s">
        <v>1154</v>
      </c>
      <c r="G316" s="14">
        <v>0</v>
      </c>
      <c r="H316" s="14">
        <v>0</v>
      </c>
      <c r="I316" s="14">
        <v>0</v>
      </c>
      <c r="J316" s="14">
        <v>0</v>
      </c>
      <c r="K316" s="14">
        <v>0</v>
      </c>
      <c r="L316" s="14">
        <v>0</v>
      </c>
      <c r="M316" s="14">
        <v>0</v>
      </c>
      <c r="N316" s="14">
        <v>0</v>
      </c>
      <c r="O316" s="14">
        <v>0</v>
      </c>
      <c r="P316" s="14">
        <v>0</v>
      </c>
      <c r="Q316" s="15">
        <v>0</v>
      </c>
      <c r="R316" s="15">
        <v>0</v>
      </c>
      <c r="S316" s="15">
        <f>$G$316*$G$8+$H$316*$H$8+$I$316*$I$8+$J$316*$J$8+$K$316*$K$8+$L$316*$L$8+$M$316*$M$8+$N$316*$N$8+$O$316*$O$8+$P$316*$P$8</f>
        <v>0</v>
      </c>
      <c r="T316" s="15">
        <f>SUM($Q$316:$R$316)</f>
        <v>0</v>
      </c>
      <c r="U316" s="15">
        <f>$S$316+$T$316</f>
        <v>0</v>
      </c>
    </row>
    <row r="317" spans="1:21" x14ac:dyDescent="0.3">
      <c r="A317" s="10" t="s">
        <v>1155</v>
      </c>
      <c r="B317" s="11" t="s">
        <v>1156</v>
      </c>
      <c r="C317" s="11"/>
      <c r="D317" s="11" t="s">
        <v>1157</v>
      </c>
      <c r="E317" s="11">
        <f xml:space="preserve"> IF($U$317,1,0)</f>
        <v>0</v>
      </c>
      <c r="F317" s="11" t="s">
        <v>1158</v>
      </c>
      <c r="G317" s="11">
        <v>0</v>
      </c>
      <c r="H317" s="11">
        <v>0</v>
      </c>
      <c r="I317" s="11">
        <v>0</v>
      </c>
      <c r="J317" s="11">
        <v>0</v>
      </c>
      <c r="K317" s="11">
        <v>0</v>
      </c>
      <c r="L317" s="11">
        <v>0</v>
      </c>
      <c r="M317" s="11">
        <v>0</v>
      </c>
      <c r="N317" s="11">
        <v>0</v>
      </c>
      <c r="O317" s="11">
        <v>0</v>
      </c>
      <c r="P317" s="11">
        <v>0</v>
      </c>
      <c r="Q317" s="12">
        <v>0</v>
      </c>
      <c r="R317" s="12">
        <v>0</v>
      </c>
      <c r="S317" s="12">
        <f>$G$317*$G$8+$H$317*$H$8+$I$317*$I$8+$J$317*$J$8+$K$317*$K$8+$L$317*$L$8+$M$317*$M$8+$N$317*$N$8+$O$317*$O$8+$P$317*$P$8</f>
        <v>0</v>
      </c>
      <c r="T317" s="12">
        <f>SUM($Q$317:$R$317)</f>
        <v>0</v>
      </c>
      <c r="U317" s="12">
        <f>$S$317+$T$317</f>
        <v>0</v>
      </c>
    </row>
    <row r="318" spans="1:21" x14ac:dyDescent="0.3">
      <c r="A318" s="13" t="s">
        <v>1159</v>
      </c>
      <c r="B318" s="14" t="s">
        <v>1160</v>
      </c>
      <c r="C318" s="14"/>
      <c r="D318" s="14" t="s">
        <v>1161</v>
      </c>
      <c r="E318" s="14">
        <f xml:space="preserve"> IF($U$318,1,0)</f>
        <v>0</v>
      </c>
      <c r="F318" s="14" t="s">
        <v>1162</v>
      </c>
      <c r="G318" s="14">
        <v>0</v>
      </c>
      <c r="H318" s="14">
        <v>0</v>
      </c>
      <c r="I318" s="14">
        <v>0</v>
      </c>
      <c r="J318" s="14">
        <v>0</v>
      </c>
      <c r="K318" s="14">
        <v>0</v>
      </c>
      <c r="L318" s="14">
        <v>0</v>
      </c>
      <c r="M318" s="14">
        <v>0</v>
      </c>
      <c r="N318" s="14">
        <v>0</v>
      </c>
      <c r="O318" s="14">
        <v>0</v>
      </c>
      <c r="P318" s="14">
        <v>0</v>
      </c>
      <c r="Q318" s="15">
        <v>0</v>
      </c>
      <c r="R318" s="15">
        <v>0</v>
      </c>
      <c r="S318" s="15">
        <f>$G$318*$G$8+$H$318*$H$8+$I$318*$I$8+$J$318*$J$8+$K$318*$K$8+$L$318*$L$8+$M$318*$M$8+$N$318*$N$8+$O$318*$O$8+$P$318*$P$8</f>
        <v>0</v>
      </c>
      <c r="T318" s="15">
        <f>SUM($Q$318:$R$318)</f>
        <v>0</v>
      </c>
      <c r="U318" s="15">
        <f>$S$318+$T$318</f>
        <v>0</v>
      </c>
    </row>
    <row r="319" spans="1:21" x14ac:dyDescent="0.3">
      <c r="A319" s="10" t="s">
        <v>1163</v>
      </c>
      <c r="B319" s="11" t="s">
        <v>1160</v>
      </c>
      <c r="C319" s="11"/>
      <c r="D319" s="11" t="s">
        <v>1164</v>
      </c>
      <c r="E319" s="11">
        <f xml:space="preserve"> IF($U$319,1,0)</f>
        <v>0</v>
      </c>
      <c r="F319" s="11" t="s">
        <v>1165</v>
      </c>
      <c r="G319" s="11">
        <v>0</v>
      </c>
      <c r="H319" s="11">
        <v>0</v>
      </c>
      <c r="I319" s="11">
        <v>0</v>
      </c>
      <c r="J319" s="11">
        <v>0</v>
      </c>
      <c r="K319" s="11">
        <v>0</v>
      </c>
      <c r="L319" s="11">
        <v>0</v>
      </c>
      <c r="M319" s="11">
        <v>0</v>
      </c>
      <c r="N319" s="11">
        <v>0</v>
      </c>
      <c r="O319" s="11">
        <v>0</v>
      </c>
      <c r="P319" s="11">
        <v>0</v>
      </c>
      <c r="Q319" s="12">
        <v>0</v>
      </c>
      <c r="R319" s="12">
        <v>0</v>
      </c>
      <c r="S319" s="12">
        <f>$G$319*$G$8+$H$319*$H$8+$I$319*$I$8+$J$319*$J$8+$K$319*$K$8+$L$319*$L$8+$M$319*$M$8+$N$319*$N$8+$O$319*$O$8+$P$319*$P$8</f>
        <v>0</v>
      </c>
      <c r="T319" s="12">
        <f>SUM($Q$319:$R$319)</f>
        <v>0</v>
      </c>
      <c r="U319" s="12">
        <f>$S$319+$T$319</f>
        <v>0</v>
      </c>
    </row>
    <row r="320" spans="1:21" x14ac:dyDescent="0.3">
      <c r="A320" s="13" t="s">
        <v>1166</v>
      </c>
      <c r="B320" s="14" t="s">
        <v>1160</v>
      </c>
      <c r="C320" s="14" t="s">
        <v>243</v>
      </c>
      <c r="D320" s="14" t="s">
        <v>1167</v>
      </c>
      <c r="E320" s="14">
        <f xml:space="preserve"> IF($U$320,1,0)</f>
        <v>0</v>
      </c>
      <c r="F320" s="14" t="s">
        <v>1168</v>
      </c>
      <c r="G320" s="14">
        <v>0</v>
      </c>
      <c r="H320" s="14">
        <v>0</v>
      </c>
      <c r="I320" s="14">
        <v>0</v>
      </c>
      <c r="J320" s="14">
        <v>0</v>
      </c>
      <c r="K320" s="14">
        <v>0</v>
      </c>
      <c r="L320" s="14">
        <v>0</v>
      </c>
      <c r="M320" s="14">
        <v>0</v>
      </c>
      <c r="N320" s="14">
        <v>0</v>
      </c>
      <c r="O320" s="14">
        <v>0</v>
      </c>
      <c r="P320" s="14">
        <v>0</v>
      </c>
      <c r="Q320" s="15">
        <v>0</v>
      </c>
      <c r="R320" s="15">
        <v>0</v>
      </c>
      <c r="S320" s="15">
        <f>$G$320*$G$8+$H$320*$H$8+$I$320*$I$8+$J$320*$J$8+$K$320*$K$8+$L$320*$L$8+$M$320*$M$8+$N$320*$N$8+$O$320*$O$8+$P$320*$P$8</f>
        <v>0</v>
      </c>
      <c r="T320" s="15">
        <f>SUM($Q$320:$R$320)</f>
        <v>0</v>
      </c>
      <c r="U320" s="15">
        <f>$S$320+$T$320</f>
        <v>0</v>
      </c>
    </row>
    <row r="321" spans="1:21" x14ac:dyDescent="0.3">
      <c r="A321" s="10" t="s">
        <v>1169</v>
      </c>
      <c r="B321" s="11" t="s">
        <v>1170</v>
      </c>
      <c r="C321" s="11"/>
      <c r="D321" s="11" t="s">
        <v>1171</v>
      </c>
      <c r="E321" s="11">
        <f xml:space="preserve"> IF($U$321,1,0)</f>
        <v>0</v>
      </c>
      <c r="F321" s="11" t="s">
        <v>1172</v>
      </c>
      <c r="G321" s="11">
        <v>0</v>
      </c>
      <c r="H321" s="11">
        <v>0</v>
      </c>
      <c r="I321" s="11">
        <v>0</v>
      </c>
      <c r="J321" s="11">
        <v>0</v>
      </c>
      <c r="K321" s="11">
        <v>0</v>
      </c>
      <c r="L321" s="11">
        <v>0</v>
      </c>
      <c r="M321" s="11">
        <v>0</v>
      </c>
      <c r="N321" s="11">
        <v>0</v>
      </c>
      <c r="O321" s="11">
        <v>0</v>
      </c>
      <c r="P321" s="11">
        <v>0</v>
      </c>
      <c r="Q321" s="12">
        <v>0</v>
      </c>
      <c r="R321" s="12">
        <v>0</v>
      </c>
      <c r="S321" s="12">
        <f>$G$321*$G$8+$H$321*$H$8+$I$321*$I$8+$J$321*$J$8+$K$321*$K$8+$L$321*$L$8+$M$321*$M$8+$N$321*$N$8+$O$321*$O$8+$P$321*$P$8</f>
        <v>0</v>
      </c>
      <c r="T321" s="12">
        <f>SUM($Q$321:$R$321)</f>
        <v>0</v>
      </c>
      <c r="U321" s="12">
        <f>$S$321+$T$321</f>
        <v>0</v>
      </c>
    </row>
    <row r="322" spans="1:21" x14ac:dyDescent="0.3">
      <c r="A322" s="13" t="s">
        <v>1173</v>
      </c>
      <c r="B322" s="14" t="s">
        <v>1174</v>
      </c>
      <c r="C322" s="14"/>
      <c r="D322" s="14" t="s">
        <v>1175</v>
      </c>
      <c r="E322" s="14">
        <f xml:space="preserve"> IF($U$322,1,0)</f>
        <v>0</v>
      </c>
      <c r="F322" s="14" t="s">
        <v>1176</v>
      </c>
      <c r="G322" s="14">
        <v>0</v>
      </c>
      <c r="H322" s="14">
        <v>0</v>
      </c>
      <c r="I322" s="14">
        <v>0</v>
      </c>
      <c r="J322" s="14">
        <v>0</v>
      </c>
      <c r="K322" s="14">
        <v>0</v>
      </c>
      <c r="L322" s="14">
        <v>0</v>
      </c>
      <c r="M322" s="14">
        <v>0</v>
      </c>
      <c r="N322" s="14">
        <v>0</v>
      </c>
      <c r="O322" s="14">
        <v>0</v>
      </c>
      <c r="P322" s="14">
        <v>0</v>
      </c>
      <c r="Q322" s="15">
        <v>0</v>
      </c>
      <c r="R322" s="15">
        <v>0</v>
      </c>
      <c r="S322" s="15">
        <f>$G$322*$G$8+$H$322*$H$8+$I$322*$I$8+$J$322*$J$8+$K$322*$K$8+$L$322*$L$8+$M$322*$M$8+$N$322*$N$8+$O$322*$O$8+$P$322*$P$8</f>
        <v>0</v>
      </c>
      <c r="T322" s="15">
        <f>SUM($Q$322:$R$322)</f>
        <v>0</v>
      </c>
      <c r="U322" s="15">
        <f>$S$322+$T$322</f>
        <v>0</v>
      </c>
    </row>
    <row r="323" spans="1:21" x14ac:dyDescent="0.3">
      <c r="A323" s="10" t="s">
        <v>1177</v>
      </c>
      <c r="B323" s="11" t="s">
        <v>1174</v>
      </c>
      <c r="C323" s="11" t="s">
        <v>65</v>
      </c>
      <c r="D323" s="11" t="s">
        <v>1178</v>
      </c>
      <c r="E323" s="11">
        <f xml:space="preserve"> IF($U$323,1,0)</f>
        <v>0</v>
      </c>
      <c r="F323" s="11" t="s">
        <v>1179</v>
      </c>
      <c r="G323" s="11">
        <v>0</v>
      </c>
      <c r="H323" s="11">
        <v>0</v>
      </c>
      <c r="I323" s="11">
        <v>0</v>
      </c>
      <c r="J323" s="11">
        <v>0</v>
      </c>
      <c r="K323" s="11">
        <v>0</v>
      </c>
      <c r="L323" s="11">
        <v>0</v>
      </c>
      <c r="M323" s="11">
        <v>0</v>
      </c>
      <c r="N323" s="11">
        <v>0</v>
      </c>
      <c r="O323" s="11">
        <v>0</v>
      </c>
      <c r="P323" s="11">
        <v>0</v>
      </c>
      <c r="Q323" s="12">
        <v>0</v>
      </c>
      <c r="R323" s="12">
        <v>0</v>
      </c>
      <c r="S323" s="12">
        <f>$G$323*$G$8+$H$323*$H$8+$I$323*$I$8+$J$323*$J$8+$K$323*$K$8+$L$323*$L$8+$M$323*$M$8+$N$323*$N$8+$O$323*$O$8+$P$323*$P$8</f>
        <v>0</v>
      </c>
      <c r="T323" s="12">
        <f>SUM($Q$323:$R$323)</f>
        <v>0</v>
      </c>
      <c r="U323" s="12">
        <f>$S$323+$T$323</f>
        <v>0</v>
      </c>
    </row>
    <row r="324" spans="1:21" x14ac:dyDescent="0.3">
      <c r="A324" s="13" t="s">
        <v>1180</v>
      </c>
      <c r="B324" s="14" t="s">
        <v>1181</v>
      </c>
      <c r="C324" s="14"/>
      <c r="D324" s="14" t="s">
        <v>1182</v>
      </c>
      <c r="E324" s="14">
        <f xml:space="preserve"> IF($U$324,1,0)</f>
        <v>0</v>
      </c>
      <c r="F324" s="14" t="s">
        <v>1183</v>
      </c>
      <c r="G324" s="14">
        <v>0</v>
      </c>
      <c r="H324" s="14">
        <v>0</v>
      </c>
      <c r="I324" s="14">
        <v>0</v>
      </c>
      <c r="J324" s="14">
        <v>0</v>
      </c>
      <c r="K324" s="14">
        <v>0</v>
      </c>
      <c r="L324" s="14">
        <v>0</v>
      </c>
      <c r="M324" s="14">
        <v>0</v>
      </c>
      <c r="N324" s="14">
        <v>0</v>
      </c>
      <c r="O324" s="14">
        <v>0</v>
      </c>
      <c r="P324" s="14">
        <v>0</v>
      </c>
      <c r="Q324" s="15">
        <v>0</v>
      </c>
      <c r="R324" s="15">
        <v>0</v>
      </c>
      <c r="S324" s="15">
        <f>$G$324*$G$8+$H$324*$H$8+$I$324*$I$8+$J$324*$J$8+$K$324*$K$8+$L$324*$L$8+$M$324*$M$8+$N$324*$N$8+$O$324*$O$8+$P$324*$P$8</f>
        <v>0</v>
      </c>
      <c r="T324" s="15">
        <f>SUM($Q$324:$R$324)</f>
        <v>0</v>
      </c>
      <c r="U324" s="15">
        <f>$S$324+$T$324</f>
        <v>0</v>
      </c>
    </row>
    <row r="325" spans="1:21" x14ac:dyDescent="0.3">
      <c r="A325" s="10" t="s">
        <v>1184</v>
      </c>
      <c r="B325" s="11" t="s">
        <v>1185</v>
      </c>
      <c r="C325" s="11" t="s">
        <v>65</v>
      </c>
      <c r="D325" s="11" t="s">
        <v>1186</v>
      </c>
      <c r="E325" s="11">
        <f xml:space="preserve"> IF($U$325,1,0)</f>
        <v>0</v>
      </c>
      <c r="F325" s="11" t="s">
        <v>1187</v>
      </c>
      <c r="G325" s="11">
        <v>0</v>
      </c>
      <c r="H325" s="11">
        <v>0</v>
      </c>
      <c r="I325" s="11">
        <v>0</v>
      </c>
      <c r="J325" s="11">
        <v>0</v>
      </c>
      <c r="K325" s="11">
        <v>0</v>
      </c>
      <c r="L325" s="11">
        <v>0</v>
      </c>
      <c r="M325" s="11">
        <v>0</v>
      </c>
      <c r="N325" s="11">
        <v>0</v>
      </c>
      <c r="O325" s="11">
        <v>0</v>
      </c>
      <c r="P325" s="11">
        <v>0</v>
      </c>
      <c r="Q325" s="12">
        <v>0</v>
      </c>
      <c r="R325" s="12">
        <v>0</v>
      </c>
      <c r="S325" s="12">
        <f>$G$325*$G$8+$H$325*$H$8+$I$325*$I$8+$J$325*$J$8+$K$325*$K$8+$L$325*$L$8+$M$325*$M$8+$N$325*$N$8+$O$325*$O$8+$P$325*$P$8</f>
        <v>0</v>
      </c>
      <c r="T325" s="12">
        <f>SUM($Q$325:$R$325)</f>
        <v>0</v>
      </c>
      <c r="U325" s="12">
        <f>$S$325+$T$325</f>
        <v>0</v>
      </c>
    </row>
    <row r="326" spans="1:21" x14ac:dyDescent="0.3">
      <c r="A326" s="13" t="s">
        <v>1188</v>
      </c>
      <c r="B326" s="14" t="s">
        <v>1189</v>
      </c>
      <c r="C326" s="14"/>
      <c r="D326" s="14" t="s">
        <v>1190</v>
      </c>
      <c r="E326" s="14">
        <f xml:space="preserve"> IF($U$326,1,0)</f>
        <v>0</v>
      </c>
      <c r="F326" s="14" t="s">
        <v>1191</v>
      </c>
      <c r="G326" s="14">
        <v>0</v>
      </c>
      <c r="H326" s="14">
        <v>0</v>
      </c>
      <c r="I326" s="14">
        <v>0</v>
      </c>
      <c r="J326" s="14">
        <v>0</v>
      </c>
      <c r="K326" s="14">
        <v>0</v>
      </c>
      <c r="L326" s="14">
        <v>0</v>
      </c>
      <c r="M326" s="14">
        <v>0</v>
      </c>
      <c r="N326" s="14">
        <v>0</v>
      </c>
      <c r="O326" s="14">
        <v>0</v>
      </c>
      <c r="P326" s="14">
        <v>0</v>
      </c>
      <c r="Q326" s="15">
        <v>0</v>
      </c>
      <c r="R326" s="15">
        <v>0</v>
      </c>
      <c r="S326" s="15">
        <f>$G$326*$G$8+$H$326*$H$8+$I$326*$I$8+$J$326*$J$8+$K$326*$K$8+$L$326*$L$8+$M$326*$M$8+$N$326*$N$8+$O$326*$O$8+$P$326*$P$8</f>
        <v>0</v>
      </c>
      <c r="T326" s="15">
        <f>SUM($Q$326:$R$326)</f>
        <v>0</v>
      </c>
      <c r="U326" s="15">
        <f>$S$326+$T$326</f>
        <v>0</v>
      </c>
    </row>
    <row r="327" spans="1:21" x14ac:dyDescent="0.3">
      <c r="A327" s="10" t="s">
        <v>1192</v>
      </c>
      <c r="B327" s="11" t="s">
        <v>1193</v>
      </c>
      <c r="C327" s="11"/>
      <c r="D327" s="11" t="s">
        <v>1194</v>
      </c>
      <c r="E327" s="11">
        <f xml:space="preserve"> IF($U$327,1,0)</f>
        <v>0</v>
      </c>
      <c r="F327" s="11" t="s">
        <v>1195</v>
      </c>
      <c r="G327" s="11">
        <v>0</v>
      </c>
      <c r="H327" s="11">
        <v>0</v>
      </c>
      <c r="I327" s="11">
        <v>0</v>
      </c>
      <c r="J327" s="11">
        <v>0</v>
      </c>
      <c r="K327" s="11">
        <v>0</v>
      </c>
      <c r="L327" s="11">
        <v>0</v>
      </c>
      <c r="M327" s="11">
        <v>0</v>
      </c>
      <c r="N327" s="11">
        <v>0</v>
      </c>
      <c r="O327" s="11">
        <v>0</v>
      </c>
      <c r="P327" s="11">
        <v>0</v>
      </c>
      <c r="Q327" s="12">
        <v>0</v>
      </c>
      <c r="R327" s="12">
        <v>0</v>
      </c>
      <c r="S327" s="12">
        <f>$G$327*$G$8+$H$327*$H$8+$I$327*$I$8+$J$327*$J$8+$K$327*$K$8+$L$327*$L$8+$M$327*$M$8+$N$327*$N$8+$O$327*$O$8+$P$327*$P$8</f>
        <v>0</v>
      </c>
      <c r="T327" s="12">
        <f>SUM($Q$327:$R$327)</f>
        <v>0</v>
      </c>
      <c r="U327" s="12">
        <f>$S$327+$T$327</f>
        <v>0</v>
      </c>
    </row>
    <row r="328" spans="1:21" x14ac:dyDescent="0.3">
      <c r="A328" s="13" t="s">
        <v>1196</v>
      </c>
      <c r="B328" s="14" t="s">
        <v>1197</v>
      </c>
      <c r="C328" s="14"/>
      <c r="D328" s="14" t="s">
        <v>1198</v>
      </c>
      <c r="E328" s="14">
        <f xml:space="preserve"> IF($U$328,1,0)</f>
        <v>0</v>
      </c>
      <c r="F328" s="14" t="s">
        <v>1199</v>
      </c>
      <c r="G328" s="14">
        <v>0</v>
      </c>
      <c r="H328" s="14">
        <v>0</v>
      </c>
      <c r="I328" s="14">
        <v>0</v>
      </c>
      <c r="J328" s="14">
        <v>0</v>
      </c>
      <c r="K328" s="14">
        <v>0</v>
      </c>
      <c r="L328" s="14">
        <v>0</v>
      </c>
      <c r="M328" s="14">
        <v>0</v>
      </c>
      <c r="N328" s="14">
        <v>0</v>
      </c>
      <c r="O328" s="14">
        <v>0</v>
      </c>
      <c r="P328" s="14">
        <v>0</v>
      </c>
      <c r="Q328" s="15">
        <v>0</v>
      </c>
      <c r="R328" s="15">
        <v>0</v>
      </c>
      <c r="S328" s="15">
        <f>$G$328*$G$8+$H$328*$H$8+$I$328*$I$8+$J$328*$J$8+$K$328*$K$8+$L$328*$L$8+$M$328*$M$8+$N$328*$N$8+$O$328*$O$8+$P$328*$P$8</f>
        <v>0</v>
      </c>
      <c r="T328" s="15">
        <f>SUM($Q$328:$R$328)</f>
        <v>0</v>
      </c>
      <c r="U328" s="15">
        <f>$S$328+$T$328</f>
        <v>0</v>
      </c>
    </row>
    <row r="329" spans="1:21" x14ac:dyDescent="0.3">
      <c r="A329" s="10" t="s">
        <v>1200</v>
      </c>
      <c r="B329" s="11" t="s">
        <v>1201</v>
      </c>
      <c r="C329" s="11"/>
      <c r="D329" s="11" t="s">
        <v>1202</v>
      </c>
      <c r="E329" s="11">
        <f xml:space="preserve"> IF($U$329,1,0)</f>
        <v>0</v>
      </c>
      <c r="F329" s="11" t="s">
        <v>1203</v>
      </c>
      <c r="G329" s="11">
        <v>0</v>
      </c>
      <c r="H329" s="11">
        <v>0</v>
      </c>
      <c r="I329" s="11">
        <v>0</v>
      </c>
      <c r="J329" s="11">
        <v>0</v>
      </c>
      <c r="K329" s="11">
        <v>0</v>
      </c>
      <c r="L329" s="11">
        <v>0</v>
      </c>
      <c r="M329" s="11">
        <v>0</v>
      </c>
      <c r="N329" s="11">
        <v>0</v>
      </c>
      <c r="O329" s="11">
        <v>0</v>
      </c>
      <c r="P329" s="11">
        <v>0</v>
      </c>
      <c r="Q329" s="12">
        <v>0</v>
      </c>
      <c r="R329" s="12">
        <v>0</v>
      </c>
      <c r="S329" s="12">
        <f>$G$329*$G$8+$H$329*$H$8+$I$329*$I$8+$J$329*$J$8+$K$329*$K$8+$L$329*$L$8+$M$329*$M$8+$N$329*$N$8+$O$329*$O$8+$P$329*$P$8</f>
        <v>0</v>
      </c>
      <c r="T329" s="12">
        <f>SUM($Q$329:$R$329)</f>
        <v>0</v>
      </c>
      <c r="U329" s="12">
        <f>$S$329+$T$329</f>
        <v>0</v>
      </c>
    </row>
    <row r="330" spans="1:21" x14ac:dyDescent="0.3">
      <c r="A330" s="13" t="s">
        <v>1204</v>
      </c>
      <c r="B330" s="14" t="s">
        <v>1205</v>
      </c>
      <c r="C330" s="14"/>
      <c r="D330" s="14" t="s">
        <v>1206</v>
      </c>
      <c r="E330" s="14">
        <f xml:space="preserve"> IF($U$330,1,0)</f>
        <v>0</v>
      </c>
      <c r="F330" s="14" t="s">
        <v>1207</v>
      </c>
      <c r="G330" s="14">
        <v>0</v>
      </c>
      <c r="H330" s="14">
        <v>0</v>
      </c>
      <c r="I330" s="14">
        <v>0</v>
      </c>
      <c r="J330" s="14">
        <v>0</v>
      </c>
      <c r="K330" s="14">
        <v>0</v>
      </c>
      <c r="L330" s="14">
        <v>0</v>
      </c>
      <c r="M330" s="14">
        <v>0</v>
      </c>
      <c r="N330" s="14">
        <v>0</v>
      </c>
      <c r="O330" s="14">
        <v>0</v>
      </c>
      <c r="P330" s="14">
        <v>0</v>
      </c>
      <c r="Q330" s="15">
        <v>0</v>
      </c>
      <c r="R330" s="15">
        <v>0</v>
      </c>
      <c r="S330" s="15">
        <f>$G$330*$G$8+$H$330*$H$8+$I$330*$I$8+$J$330*$J$8+$K$330*$K$8+$L$330*$L$8+$M$330*$M$8+$N$330*$N$8+$O$330*$O$8+$P$330*$P$8</f>
        <v>0</v>
      </c>
      <c r="T330" s="15">
        <f>SUM($Q$330:$R$330)</f>
        <v>0</v>
      </c>
      <c r="U330" s="15">
        <f>$S$330+$T$330</f>
        <v>0</v>
      </c>
    </row>
    <row r="331" spans="1:21" x14ac:dyDescent="0.3">
      <c r="A331" s="10" t="s">
        <v>1208</v>
      </c>
      <c r="B331" s="11" t="s">
        <v>1205</v>
      </c>
      <c r="C331" s="11"/>
      <c r="D331" s="11" t="s">
        <v>1209</v>
      </c>
      <c r="E331" s="11">
        <f xml:space="preserve"> IF($U$331,1,0)</f>
        <v>0</v>
      </c>
      <c r="F331" s="11" t="s">
        <v>1210</v>
      </c>
      <c r="G331" s="11">
        <v>0</v>
      </c>
      <c r="H331" s="11">
        <v>0</v>
      </c>
      <c r="I331" s="11">
        <v>0</v>
      </c>
      <c r="J331" s="11">
        <v>0</v>
      </c>
      <c r="K331" s="11">
        <v>0</v>
      </c>
      <c r="L331" s="11">
        <v>0</v>
      </c>
      <c r="M331" s="11">
        <v>0</v>
      </c>
      <c r="N331" s="11">
        <v>0</v>
      </c>
      <c r="O331" s="11">
        <v>0</v>
      </c>
      <c r="P331" s="11">
        <v>0</v>
      </c>
      <c r="Q331" s="12">
        <v>0</v>
      </c>
      <c r="R331" s="12">
        <v>0</v>
      </c>
      <c r="S331" s="12">
        <f>$G$331*$G$8+$H$331*$H$8+$I$331*$I$8+$J$331*$J$8+$K$331*$K$8+$L$331*$L$8+$M$331*$M$8+$N$331*$N$8+$O$331*$O$8+$P$331*$P$8</f>
        <v>0</v>
      </c>
      <c r="T331" s="12">
        <f>SUM($Q$331:$R$331)</f>
        <v>0</v>
      </c>
      <c r="U331" s="12">
        <f>$S$331+$T$331</f>
        <v>0</v>
      </c>
    </row>
    <row r="332" spans="1:21" x14ac:dyDescent="0.3">
      <c r="A332" s="13" t="s">
        <v>1211</v>
      </c>
      <c r="B332" s="14" t="s">
        <v>1212</v>
      </c>
      <c r="C332" s="14"/>
      <c r="D332" s="14" t="s">
        <v>670</v>
      </c>
      <c r="E332" s="14">
        <f xml:space="preserve"> IF($U$332,1,0)</f>
        <v>0</v>
      </c>
      <c r="F332" s="14" t="s">
        <v>1213</v>
      </c>
      <c r="G332" s="14">
        <v>0</v>
      </c>
      <c r="H332" s="14">
        <v>0</v>
      </c>
      <c r="I332" s="14">
        <v>0</v>
      </c>
      <c r="J332" s="14">
        <v>0</v>
      </c>
      <c r="K332" s="14">
        <v>0</v>
      </c>
      <c r="L332" s="14">
        <v>0</v>
      </c>
      <c r="M332" s="14">
        <v>0</v>
      </c>
      <c r="N332" s="14">
        <v>0</v>
      </c>
      <c r="O332" s="14">
        <v>0</v>
      </c>
      <c r="P332" s="14">
        <v>0</v>
      </c>
      <c r="Q332" s="15">
        <v>0</v>
      </c>
      <c r="R332" s="15">
        <v>0</v>
      </c>
      <c r="S332" s="15">
        <f>$G$332*$G$8+$H$332*$H$8+$I$332*$I$8+$J$332*$J$8+$K$332*$K$8+$L$332*$L$8+$M$332*$M$8+$N$332*$N$8+$O$332*$O$8+$P$332*$P$8</f>
        <v>0</v>
      </c>
      <c r="T332" s="15">
        <f>SUM($Q$332:$R$332)</f>
        <v>0</v>
      </c>
      <c r="U332" s="15">
        <f>$S$332+$T$332</f>
        <v>0</v>
      </c>
    </row>
    <row r="333" spans="1:21" x14ac:dyDescent="0.3">
      <c r="A333" s="10" t="s">
        <v>1214</v>
      </c>
      <c r="B333" s="11" t="s">
        <v>1215</v>
      </c>
      <c r="C333" s="11"/>
      <c r="D333" s="11" t="s">
        <v>1216</v>
      </c>
      <c r="E333" s="11">
        <f xml:space="preserve"> IF($U$333,1,0)</f>
        <v>0</v>
      </c>
      <c r="F333" s="11" t="s">
        <v>1217</v>
      </c>
      <c r="G333" s="11">
        <v>0</v>
      </c>
      <c r="H333" s="11">
        <v>0</v>
      </c>
      <c r="I333" s="11">
        <v>0</v>
      </c>
      <c r="J333" s="11">
        <v>0</v>
      </c>
      <c r="K333" s="11">
        <v>0</v>
      </c>
      <c r="L333" s="11">
        <v>0</v>
      </c>
      <c r="M333" s="11">
        <v>0</v>
      </c>
      <c r="N333" s="11">
        <v>0</v>
      </c>
      <c r="O333" s="11">
        <v>0</v>
      </c>
      <c r="P333" s="11">
        <v>0</v>
      </c>
      <c r="Q333" s="12">
        <v>0</v>
      </c>
      <c r="R333" s="12">
        <v>0</v>
      </c>
      <c r="S333" s="12">
        <f>$G$333*$G$8+$H$333*$H$8+$I$333*$I$8+$J$333*$J$8+$K$333*$K$8+$L$333*$L$8+$M$333*$M$8+$N$333*$N$8+$O$333*$O$8+$P$333*$P$8</f>
        <v>0</v>
      </c>
      <c r="T333" s="12">
        <f>SUM($Q$333:$R$333)</f>
        <v>0</v>
      </c>
      <c r="U333" s="12">
        <f>$S$333+$T$333</f>
        <v>0</v>
      </c>
    </row>
    <row r="334" spans="1:21" x14ac:dyDescent="0.3">
      <c r="A334" s="13" t="s">
        <v>1218</v>
      </c>
      <c r="B334" s="14" t="s">
        <v>1219</v>
      </c>
      <c r="C334" s="14" t="s">
        <v>202</v>
      </c>
      <c r="D334" s="14" t="s">
        <v>1068</v>
      </c>
      <c r="E334" s="14">
        <f xml:space="preserve"> IF($U$334,1,0)</f>
        <v>0</v>
      </c>
      <c r="F334" s="14" t="s">
        <v>1220</v>
      </c>
      <c r="G334" s="14">
        <v>0</v>
      </c>
      <c r="H334" s="14">
        <v>0</v>
      </c>
      <c r="I334" s="14">
        <v>0</v>
      </c>
      <c r="J334" s="14">
        <v>0</v>
      </c>
      <c r="K334" s="14">
        <v>0</v>
      </c>
      <c r="L334" s="14">
        <v>0</v>
      </c>
      <c r="M334" s="14">
        <v>0</v>
      </c>
      <c r="N334" s="14">
        <v>0</v>
      </c>
      <c r="O334" s="14">
        <v>0</v>
      </c>
      <c r="P334" s="14">
        <v>0</v>
      </c>
      <c r="Q334" s="15">
        <v>0</v>
      </c>
      <c r="R334" s="15">
        <v>0</v>
      </c>
      <c r="S334" s="15">
        <f>$G$334*$G$8+$H$334*$H$8+$I$334*$I$8+$J$334*$J$8+$K$334*$K$8+$L$334*$L$8+$M$334*$M$8+$N$334*$N$8+$O$334*$O$8+$P$334*$P$8</f>
        <v>0</v>
      </c>
      <c r="T334" s="15">
        <f>SUM($Q$334:$R$334)</f>
        <v>0</v>
      </c>
      <c r="U334" s="15">
        <f>$S$334+$T$334</f>
        <v>0</v>
      </c>
    </row>
    <row r="335" spans="1:21" x14ac:dyDescent="0.3">
      <c r="A335" s="10" t="s">
        <v>1221</v>
      </c>
      <c r="B335" s="11" t="s">
        <v>1222</v>
      </c>
      <c r="C335" s="11"/>
      <c r="D335" s="11" t="s">
        <v>1223</v>
      </c>
      <c r="E335" s="11">
        <f xml:space="preserve"> IF($U$335,1,0)</f>
        <v>0</v>
      </c>
      <c r="F335" s="11" t="s">
        <v>1224</v>
      </c>
      <c r="G335" s="11">
        <v>0</v>
      </c>
      <c r="H335" s="11">
        <v>0</v>
      </c>
      <c r="I335" s="11">
        <v>0</v>
      </c>
      <c r="J335" s="11">
        <v>0</v>
      </c>
      <c r="K335" s="11">
        <v>0</v>
      </c>
      <c r="L335" s="11">
        <v>0</v>
      </c>
      <c r="M335" s="11">
        <v>0</v>
      </c>
      <c r="N335" s="11">
        <v>0</v>
      </c>
      <c r="O335" s="11">
        <v>0</v>
      </c>
      <c r="P335" s="11">
        <v>0</v>
      </c>
      <c r="Q335" s="12">
        <v>0</v>
      </c>
      <c r="R335" s="12">
        <v>0</v>
      </c>
      <c r="S335" s="12">
        <f>$G$335*$G$8+$H$335*$H$8+$I$335*$I$8+$J$335*$J$8+$K$335*$K$8+$L$335*$L$8+$M$335*$M$8+$N$335*$N$8+$O$335*$O$8+$P$335*$P$8</f>
        <v>0</v>
      </c>
      <c r="T335" s="12">
        <f>SUM($Q$335:$R$335)</f>
        <v>0</v>
      </c>
      <c r="U335" s="12">
        <f>$S$335+$T$335</f>
        <v>0</v>
      </c>
    </row>
    <row r="336" spans="1:21" x14ac:dyDescent="0.3">
      <c r="A336" s="13" t="s">
        <v>1225</v>
      </c>
      <c r="B336" s="14" t="s">
        <v>1226</v>
      </c>
      <c r="C336" s="14" t="s">
        <v>34</v>
      </c>
      <c r="D336" s="14" t="s">
        <v>1227</v>
      </c>
      <c r="E336" s="14">
        <f xml:space="preserve"> IF($U$336,1,0)</f>
        <v>0</v>
      </c>
      <c r="F336" s="14" t="s">
        <v>1228</v>
      </c>
      <c r="G336" s="14">
        <v>0</v>
      </c>
      <c r="H336" s="14">
        <v>0</v>
      </c>
      <c r="I336" s="14">
        <v>0</v>
      </c>
      <c r="J336" s="14">
        <v>0</v>
      </c>
      <c r="K336" s="14">
        <v>0</v>
      </c>
      <c r="L336" s="14">
        <v>0</v>
      </c>
      <c r="M336" s="14">
        <v>0</v>
      </c>
      <c r="N336" s="14">
        <v>0</v>
      </c>
      <c r="O336" s="14">
        <v>0</v>
      </c>
      <c r="P336" s="14">
        <v>0</v>
      </c>
      <c r="Q336" s="15">
        <v>0</v>
      </c>
      <c r="R336" s="15">
        <v>0</v>
      </c>
      <c r="S336" s="15">
        <f>$G$336*$G$8+$H$336*$H$8+$I$336*$I$8+$J$336*$J$8+$K$336*$K$8+$L$336*$L$8+$M$336*$M$8+$N$336*$N$8+$O$336*$O$8+$P$336*$P$8</f>
        <v>0</v>
      </c>
      <c r="T336" s="15">
        <f>SUM($Q$336:$R$336)</f>
        <v>0</v>
      </c>
      <c r="U336" s="15">
        <f>$S$336+$T$336</f>
        <v>0</v>
      </c>
    </row>
    <row r="337" spans="1:21" x14ac:dyDescent="0.3">
      <c r="A337" s="10" t="s">
        <v>1229</v>
      </c>
      <c r="B337" s="11" t="s">
        <v>1230</v>
      </c>
      <c r="C337" s="11"/>
      <c r="D337" s="11" t="s">
        <v>1231</v>
      </c>
      <c r="E337" s="11">
        <f xml:space="preserve"> IF($U$337,1,0)</f>
        <v>0</v>
      </c>
      <c r="F337" s="11" t="s">
        <v>1232</v>
      </c>
      <c r="G337" s="11">
        <v>0</v>
      </c>
      <c r="H337" s="11">
        <v>0</v>
      </c>
      <c r="I337" s="11">
        <v>0</v>
      </c>
      <c r="J337" s="11">
        <v>0</v>
      </c>
      <c r="K337" s="11">
        <v>0</v>
      </c>
      <c r="L337" s="11">
        <v>0</v>
      </c>
      <c r="M337" s="11">
        <v>0</v>
      </c>
      <c r="N337" s="11">
        <v>0</v>
      </c>
      <c r="O337" s="11">
        <v>0</v>
      </c>
      <c r="P337" s="11">
        <v>0</v>
      </c>
      <c r="Q337" s="12">
        <v>0</v>
      </c>
      <c r="R337" s="12">
        <v>0</v>
      </c>
      <c r="S337" s="12">
        <f>$G$337*$G$8+$H$337*$H$8+$I$337*$I$8+$J$337*$J$8+$K$337*$K$8+$L$337*$L$8+$M$337*$M$8+$N$337*$N$8+$O$337*$O$8+$P$337*$P$8</f>
        <v>0</v>
      </c>
      <c r="T337" s="12">
        <f>SUM($Q$337:$R$337)</f>
        <v>0</v>
      </c>
      <c r="U337" s="12">
        <f>$S$337+$T$337</f>
        <v>0</v>
      </c>
    </row>
    <row r="338" spans="1:21" x14ac:dyDescent="0.3">
      <c r="A338" s="13" t="s">
        <v>1233</v>
      </c>
      <c r="B338" s="14" t="s">
        <v>1230</v>
      </c>
      <c r="C338" s="14"/>
      <c r="D338" s="14" t="s">
        <v>1234</v>
      </c>
      <c r="E338" s="14">
        <f xml:space="preserve"> IF($U$338,1,0)</f>
        <v>0</v>
      </c>
      <c r="F338" s="14" t="s">
        <v>1235</v>
      </c>
      <c r="G338" s="14">
        <v>0</v>
      </c>
      <c r="H338" s="14">
        <v>0</v>
      </c>
      <c r="I338" s="14">
        <v>0</v>
      </c>
      <c r="J338" s="14">
        <v>0</v>
      </c>
      <c r="K338" s="14">
        <v>0</v>
      </c>
      <c r="L338" s="14">
        <v>0</v>
      </c>
      <c r="M338" s="14">
        <v>0</v>
      </c>
      <c r="N338" s="14">
        <v>0</v>
      </c>
      <c r="O338" s="14">
        <v>0</v>
      </c>
      <c r="P338" s="14">
        <v>0</v>
      </c>
      <c r="Q338" s="15">
        <v>0</v>
      </c>
      <c r="R338" s="15">
        <v>0</v>
      </c>
      <c r="S338" s="15">
        <f>$G$338*$G$8+$H$338*$H$8+$I$338*$I$8+$J$338*$J$8+$K$338*$K$8+$L$338*$L$8+$M$338*$M$8+$N$338*$N$8+$O$338*$O$8+$P$338*$P$8</f>
        <v>0</v>
      </c>
      <c r="T338" s="15">
        <f>SUM($Q$338:$R$338)</f>
        <v>0</v>
      </c>
      <c r="U338" s="15">
        <f>$S$338+$T$338</f>
        <v>0</v>
      </c>
    </row>
    <row r="339" spans="1:21" x14ac:dyDescent="0.3">
      <c r="A339" s="10" t="s">
        <v>1236</v>
      </c>
      <c r="B339" s="11" t="s">
        <v>1237</v>
      </c>
      <c r="C339" s="11"/>
      <c r="D339" s="11" t="s">
        <v>1237</v>
      </c>
      <c r="E339" s="11">
        <f xml:space="preserve"> IF($U$339,1,0)</f>
        <v>0</v>
      </c>
      <c r="F339" s="11" t="s">
        <v>1238</v>
      </c>
      <c r="G339" s="11">
        <v>0</v>
      </c>
      <c r="H339" s="11">
        <v>0</v>
      </c>
      <c r="I339" s="11">
        <v>0</v>
      </c>
      <c r="J339" s="11">
        <v>0</v>
      </c>
      <c r="K339" s="11">
        <v>0</v>
      </c>
      <c r="L339" s="11">
        <v>0</v>
      </c>
      <c r="M339" s="11">
        <v>0</v>
      </c>
      <c r="N339" s="11">
        <v>0</v>
      </c>
      <c r="O339" s="11">
        <v>0</v>
      </c>
      <c r="P339" s="11">
        <v>0</v>
      </c>
      <c r="Q339" s="12">
        <v>0</v>
      </c>
      <c r="R339" s="12">
        <v>0</v>
      </c>
      <c r="S339" s="12">
        <f>$G$339*$G$8+$H$339*$H$8+$I$339*$I$8+$J$339*$J$8+$K$339*$K$8+$L$339*$L$8+$M$339*$M$8+$N$339*$N$8+$O$339*$O$8+$P$339*$P$8</f>
        <v>0</v>
      </c>
      <c r="T339" s="12">
        <f>SUM($Q$339:$R$339)</f>
        <v>0</v>
      </c>
      <c r="U339" s="12">
        <f>$S$339+$T$339</f>
        <v>0</v>
      </c>
    </row>
    <row r="341" spans="1:21" ht="15" thickBot="1" x14ac:dyDescent="0.35">
      <c r="E341" s="5" t="s">
        <v>18</v>
      </c>
      <c r="F341" s="6" t="s">
        <v>19</v>
      </c>
      <c r="G341" s="6" t="s">
        <v>4</v>
      </c>
      <c r="H341" s="6" t="s">
        <v>1245</v>
      </c>
      <c r="I341" s="6" t="s">
        <v>7</v>
      </c>
      <c r="J341" s="6" t="s">
        <v>6</v>
      </c>
      <c r="K341" s="6" t="s">
        <v>8</v>
      </c>
      <c r="L341" s="6" t="s">
        <v>9</v>
      </c>
      <c r="M341" s="6" t="s">
        <v>10</v>
      </c>
      <c r="N341" s="6" t="s">
        <v>11</v>
      </c>
      <c r="O341" s="6" t="s">
        <v>12</v>
      </c>
      <c r="P341" s="6" t="s">
        <v>1277</v>
      </c>
      <c r="Q341" s="6" t="s">
        <v>1259</v>
      </c>
      <c r="R341" s="6" t="s">
        <v>1260</v>
      </c>
      <c r="S341" s="6" t="s">
        <v>23</v>
      </c>
      <c r="T341" s="6" t="s">
        <v>26</v>
      </c>
      <c r="U341" s="6" t="s">
        <v>25</v>
      </c>
    </row>
    <row r="342" spans="1:21" ht="15" thickTop="1" x14ac:dyDescent="0.3">
      <c r="E342" s="7">
        <f xml:space="preserve"> IF($U$342,1,0)</f>
        <v>0</v>
      </c>
      <c r="F342" s="8" t="s">
        <v>1247</v>
      </c>
      <c r="G342" s="8">
        <v>0</v>
      </c>
      <c r="H342" s="8">
        <v>0</v>
      </c>
      <c r="I342" s="8">
        <v>0</v>
      </c>
      <c r="J342" s="8">
        <v>0</v>
      </c>
      <c r="K342" s="8">
        <v>0</v>
      </c>
      <c r="L342" s="8">
        <v>0</v>
      </c>
      <c r="M342" s="8">
        <v>0</v>
      </c>
      <c r="N342" s="8">
        <v>0</v>
      </c>
      <c r="O342" s="8">
        <v>0</v>
      </c>
      <c r="P342" s="8">
        <v>0</v>
      </c>
      <c r="Q342" s="8"/>
      <c r="R342" s="8"/>
      <c r="S342" s="9">
        <f>$G$342*$G$8+$H$342*$H$8+$I$342*$I$8+$J$342*$J$8+$K$342*$K$8+$L$342*$L$8+$M$342*$M$8+$N$342*$N$8+$O$342*$O$8+$P$342*$P$8</f>
        <v>0</v>
      </c>
      <c r="T342" s="9">
        <f>$U$342/2</f>
        <v>0</v>
      </c>
      <c r="U342" s="9">
        <f>$G$342*$G$8+$H$342*$H$8+$I$342*$I$8+$J$342*$J$8+$K$342*$K$8+$L$342*$L$8+$M$342*$M$8+$N$342*$N$8+$O$342*$O$8+$P$342*$P$8</f>
        <v>0</v>
      </c>
    </row>
    <row r="343" spans="1:21" x14ac:dyDescent="0.3">
      <c r="E343" s="10">
        <f xml:space="preserve"> IF($U$343,1,0)</f>
        <v>1</v>
      </c>
      <c r="F343" s="11" t="s">
        <v>1278</v>
      </c>
      <c r="G343" s="11">
        <v>0</v>
      </c>
      <c r="H343" s="11">
        <v>0</v>
      </c>
      <c r="I343" s="11">
        <v>0</v>
      </c>
      <c r="J343" s="11">
        <v>0</v>
      </c>
      <c r="K343" s="11">
        <v>2</v>
      </c>
      <c r="L343" s="11">
        <v>2</v>
      </c>
      <c r="M343" s="11">
        <v>0</v>
      </c>
      <c r="N343" s="11">
        <v>0</v>
      </c>
      <c r="O343" s="11">
        <v>0</v>
      </c>
      <c r="P343" s="11">
        <v>0</v>
      </c>
      <c r="Q343" s="11"/>
      <c r="R343" s="11"/>
      <c r="S343" s="12">
        <f>$G$343*$G$8+$H$343*$H$8+$I$343*$I$8+$J$343*$J$8+$K$343*$K$8+$L$343*$L$8+$M$343*$M$8+$N$343*$N$8+$O$343*$O$8+$P$343*$P$8</f>
        <v>10</v>
      </c>
      <c r="T343" s="12">
        <f>$U$343/4</f>
        <v>2.5</v>
      </c>
      <c r="U343" s="12">
        <f>$G$343*$G$8+$H$343*$H$8+$I$343*$I$8+$J$343*$J$8+$K$343*$K$8+$L$343*$L$8+$M$343*$M$8+$N$343*$N$8+$O$343*$O$8+$P$343*$P$8</f>
        <v>10</v>
      </c>
    </row>
    <row r="344" spans="1:21" x14ac:dyDescent="0.3">
      <c r="E344" s="13">
        <f xml:space="preserve"> IF($U$344,1,0)</f>
        <v>1</v>
      </c>
      <c r="F344" s="14" t="s">
        <v>1279</v>
      </c>
      <c r="G344" s="14">
        <v>10</v>
      </c>
      <c r="H344" s="14">
        <v>0</v>
      </c>
      <c r="I344" s="14">
        <v>0</v>
      </c>
      <c r="J344" s="14">
        <v>0</v>
      </c>
      <c r="K344" s="14">
        <v>1</v>
      </c>
      <c r="L344" s="14">
        <v>1</v>
      </c>
      <c r="M344" s="14">
        <v>1</v>
      </c>
      <c r="N344" s="14">
        <v>1</v>
      </c>
      <c r="O344" s="14">
        <v>0</v>
      </c>
      <c r="P344" s="14">
        <v>0</v>
      </c>
      <c r="Q344" s="14"/>
      <c r="R344" s="14"/>
      <c r="S344" s="15">
        <f>$G$344*$G$8+$H$344*$H$8+$I$344*$I$8+$J$344*$J$8+$K$344*$K$8+$L$344*$L$8+$M$344*$M$8+$N$344*$N$8+$O$344*$O$8+$P$344*$P$8</f>
        <v>25</v>
      </c>
      <c r="T344" s="15">
        <f>$U$344/14</f>
        <v>1.7857142857142858</v>
      </c>
      <c r="U344" s="15">
        <f>$G$344*$G$8+$H$344*$H$8+$I$344*$I$8+$J$344*$J$8+$K$344*$K$8+$L$344*$L$8+$M$344*$M$8+$N$344*$N$8+$O$344*$O$8+$P$344*$P$8</f>
        <v>25</v>
      </c>
    </row>
    <row r="345" spans="1:21" x14ac:dyDescent="0.3">
      <c r="E345" s="10">
        <f xml:space="preserve"> IF($U$345,1,0)</f>
        <v>0</v>
      </c>
      <c r="F345" s="11" t="s">
        <v>27</v>
      </c>
      <c r="G345" s="11">
        <v>0</v>
      </c>
      <c r="H345" s="11">
        <v>0</v>
      </c>
      <c r="I345" s="11">
        <v>0</v>
      </c>
      <c r="J345" s="11">
        <v>0</v>
      </c>
      <c r="K345" s="11">
        <v>0</v>
      </c>
      <c r="L345" s="11">
        <v>0</v>
      </c>
      <c r="M345" s="11">
        <v>0</v>
      </c>
      <c r="N345" s="11">
        <v>0</v>
      </c>
      <c r="O345" s="11">
        <v>0</v>
      </c>
      <c r="P345" s="11">
        <v>0</v>
      </c>
      <c r="Q345" s="11"/>
      <c r="R345" s="11"/>
      <c r="S345" s="12">
        <f>$G$345*$G$8+$H$345*$H$8+$I$345*$I$8+$J$345*$J$8+$K$345*$K$8+$L$345*$L$8+$M$345*$M$8+$N$345*$N$8+$O$345*$O$8+$P$345*$P$8</f>
        <v>0</v>
      </c>
      <c r="T345" s="12">
        <f>$U$345/2</f>
        <v>0</v>
      </c>
      <c r="U345" s="12">
        <f>$G$345*$G$8+$H$345*$H$8+$I$345*$I$8+$J$345*$J$8+$K$345*$K$8+$L$345*$L$8+$M$345*$M$8+$N$345*$N$8+$O$345*$O$8+$P$345*$P$8</f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08866-2865-40D8-9818-24B909F4BFC9}">
  <sheetPr codeName="Blad14"/>
  <dimension ref="A2:U345"/>
  <sheetViews>
    <sheetView topLeftCell="F1" workbookViewId="0">
      <selection activeCell="E341" sqref="E341:U345"/>
    </sheetView>
  </sheetViews>
  <sheetFormatPr defaultRowHeight="14.4" x14ac:dyDescent="0.3"/>
  <cols>
    <col min="2" max="2" width="14.77734375" customWidth="1"/>
    <col min="3" max="3" width="18.77734375" customWidth="1"/>
    <col min="4" max="4" width="20.77734375" customWidth="1"/>
    <col min="5" max="5" width="14.77734375" customWidth="1"/>
    <col min="6" max="6" width="25.77734375" customWidth="1"/>
    <col min="8" max="8" width="11.109375" customWidth="1"/>
    <col min="11" max="14" width="11.44140625" customWidth="1"/>
    <col min="16" max="16" width="11.88671875" customWidth="1"/>
    <col min="17" max="17" width="9.6640625" customWidth="1"/>
    <col min="18" max="18" width="15.88671875" customWidth="1"/>
    <col min="19" max="19" width="22.109375" customWidth="1"/>
    <col min="20" max="20" width="18.6640625" customWidth="1"/>
  </cols>
  <sheetData>
    <row r="2" spans="1:21" x14ac:dyDescent="0.3">
      <c r="A2" t="s">
        <v>1239</v>
      </c>
      <c r="F2" t="s">
        <v>20</v>
      </c>
      <c r="G2">
        <f>SUM($G$10:$G$339)+ SUM($G$342:$G$345)</f>
        <v>10</v>
      </c>
      <c r="H2">
        <f>SUM($H$10:$H$339)+ SUM($H$342:$H$345)</f>
        <v>0</v>
      </c>
      <c r="I2">
        <f>SUM($I$10:$I$339)+ SUM($I$342:$I$345)</f>
        <v>2</v>
      </c>
      <c r="J2">
        <f>SUM($J$10:$J$339)+ SUM($J$342:$J$345)</f>
        <v>5</v>
      </c>
      <c r="K2">
        <f>SUM($K$10:$K$339)+ SUM($K$342:$K$345)</f>
        <v>5</v>
      </c>
      <c r="L2">
        <f>SUM($L$10:$L$339)+ SUM($L$342:$L$345)</f>
        <v>4</v>
      </c>
      <c r="M2">
        <f>SUM($M$10:$M$339)+ SUM($M$342:$M$345)</f>
        <v>2</v>
      </c>
      <c r="N2">
        <f>SUM($N$10:$N$339)+ SUM($N$342:$N$345)</f>
        <v>6</v>
      </c>
      <c r="O2">
        <f>SUM($O$10:$O$339)+ SUM($O$342:$O$345)</f>
        <v>2</v>
      </c>
      <c r="P2">
        <f>SUM($P$10:$P$339)+ SUM($P$342:$P$345)</f>
        <v>2</v>
      </c>
    </row>
    <row r="3" spans="1:21" x14ac:dyDescent="0.3">
      <c r="A3">
        <f>SUM($E$10:$E$339)</f>
        <v>20</v>
      </c>
      <c r="F3" t="s">
        <v>21</v>
      </c>
      <c r="G3" s="3">
        <f>$G$8*G2</f>
        <v>11</v>
      </c>
      <c r="H3" s="3">
        <f>$H$8*H2</f>
        <v>0</v>
      </c>
      <c r="I3" s="3">
        <f>$I$8*I2</f>
        <v>9.5</v>
      </c>
      <c r="J3" s="3">
        <f>$J$8*J2</f>
        <v>5</v>
      </c>
      <c r="K3" s="3">
        <f>$K$8*K2</f>
        <v>10</v>
      </c>
      <c r="L3" s="3">
        <f>$L$8*L2</f>
        <v>12</v>
      </c>
      <c r="M3" s="3">
        <f>$M$8*M2</f>
        <v>8</v>
      </c>
      <c r="N3" s="3">
        <f>$N$8*N2</f>
        <v>30</v>
      </c>
      <c r="O3" s="3">
        <f>$O$8*O2</f>
        <v>1</v>
      </c>
      <c r="P3" s="3">
        <f>$P$8*P2</f>
        <v>0.8</v>
      </c>
    </row>
    <row r="8" spans="1:21" x14ac:dyDescent="0.3">
      <c r="F8" t="s">
        <v>22</v>
      </c>
      <c r="G8" s="4">
        <v>1.1000000000000001</v>
      </c>
      <c r="H8" s="4">
        <v>1.8</v>
      </c>
      <c r="I8" s="4">
        <v>4.75</v>
      </c>
      <c r="J8" s="4">
        <v>1</v>
      </c>
      <c r="K8" s="4">
        <v>2</v>
      </c>
      <c r="L8" s="4">
        <v>3</v>
      </c>
      <c r="M8" s="4">
        <v>4</v>
      </c>
      <c r="N8" s="4">
        <v>5</v>
      </c>
      <c r="O8" s="4">
        <v>0.5</v>
      </c>
      <c r="P8" s="4">
        <v>0.4</v>
      </c>
      <c r="S8" s="3">
        <f>SUM($S$10:$S$339)</f>
        <v>52.3</v>
      </c>
      <c r="T8" s="3">
        <f>SUM($T$10:$T$339)</f>
        <v>35</v>
      </c>
      <c r="U8" s="3">
        <f>SUM($U$10:$U$339)</f>
        <v>87.299999999999983</v>
      </c>
    </row>
    <row r="9" spans="1:21" ht="15" thickBot="1" x14ac:dyDescent="0.35">
      <c r="A9" s="5" t="s">
        <v>14</v>
      </c>
      <c r="B9" s="6" t="s">
        <v>15</v>
      </c>
      <c r="C9" s="6" t="s">
        <v>16</v>
      </c>
      <c r="D9" s="6" t="s">
        <v>17</v>
      </c>
      <c r="E9" s="6" t="s">
        <v>18</v>
      </c>
      <c r="F9" s="6" t="s">
        <v>19</v>
      </c>
      <c r="G9" s="6" t="s">
        <v>4</v>
      </c>
      <c r="H9" s="6" t="s">
        <v>1245</v>
      </c>
      <c r="I9" s="6" t="s">
        <v>7</v>
      </c>
      <c r="J9" s="6" t="s">
        <v>6</v>
      </c>
      <c r="K9" s="6" t="s">
        <v>8</v>
      </c>
      <c r="L9" s="6" t="s">
        <v>9</v>
      </c>
      <c r="M9" s="6" t="s">
        <v>10</v>
      </c>
      <c r="N9" s="6" t="s">
        <v>11</v>
      </c>
      <c r="O9" s="6" t="s">
        <v>12</v>
      </c>
      <c r="P9" s="6" t="s">
        <v>1277</v>
      </c>
      <c r="Q9" s="6" t="s">
        <v>1278</v>
      </c>
      <c r="R9" s="6" t="s">
        <v>1279</v>
      </c>
      <c r="S9" s="6" t="s">
        <v>23</v>
      </c>
      <c r="T9" s="6" t="s">
        <v>24</v>
      </c>
      <c r="U9" s="6" t="s">
        <v>25</v>
      </c>
    </row>
    <row r="10" spans="1:21" ht="15" thickTop="1" x14ac:dyDescent="0.3">
      <c r="A10" s="7" t="s">
        <v>28</v>
      </c>
      <c r="B10" s="8" t="s">
        <v>29</v>
      </c>
      <c r="C10" s="8"/>
      <c r="D10" s="8" t="s">
        <v>30</v>
      </c>
      <c r="E10" s="8">
        <f xml:space="preserve"> IF($U$10,1,0)</f>
        <v>0</v>
      </c>
      <c r="F10" s="8" t="s">
        <v>31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9"/>
      <c r="R10" s="9"/>
      <c r="S10" s="9">
        <f>$G$10*$G$8+$H$10*$H$8+$I$10*$I$8+$J$10*$J$8+$K$10*$K$8+$L$10*$L$8+$M$10*$M$8+$N$10*$N$8+$O$10*$O$8+$P$10*$P$8</f>
        <v>0</v>
      </c>
      <c r="T10" s="9">
        <f>SUM($Q$10:$R$10)</f>
        <v>0</v>
      </c>
      <c r="U10" s="9">
        <f>$S$10+$T$10</f>
        <v>0</v>
      </c>
    </row>
    <row r="11" spans="1:21" x14ac:dyDescent="0.3">
      <c r="A11" s="10" t="s">
        <v>32</v>
      </c>
      <c r="B11" s="11" t="s">
        <v>33</v>
      </c>
      <c r="C11" s="11" t="s">
        <v>34</v>
      </c>
      <c r="D11" s="11" t="s">
        <v>35</v>
      </c>
      <c r="E11" s="11">
        <f xml:space="preserve"> IF($U$11,1,0)</f>
        <v>0</v>
      </c>
      <c r="F11" s="11" t="s">
        <v>36</v>
      </c>
      <c r="G11" s="11">
        <v>0</v>
      </c>
      <c r="H11" s="11">
        <v>0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2"/>
      <c r="R11" s="12"/>
      <c r="S11" s="12">
        <f>$G$11*$G$8+$H$11*$H$8+$I$11*$I$8+$J$11*$J$8+$K$11*$K$8+$L$11*$L$8+$M$11*$M$8+$N$11*$N$8+$O$11*$O$8+$P$11*$P$8</f>
        <v>0</v>
      </c>
      <c r="T11" s="12">
        <f>SUM($Q$11:$R$11)</f>
        <v>0</v>
      </c>
      <c r="U11" s="12">
        <f>$S$11+$T$11</f>
        <v>0</v>
      </c>
    </row>
    <row r="12" spans="1:21" x14ac:dyDescent="0.3">
      <c r="A12" s="13" t="s">
        <v>37</v>
      </c>
      <c r="B12" s="14" t="s">
        <v>38</v>
      </c>
      <c r="C12" s="14"/>
      <c r="D12" s="14" t="s">
        <v>39</v>
      </c>
      <c r="E12" s="14">
        <f xml:space="preserve"> IF($U$12,1,0)</f>
        <v>0</v>
      </c>
      <c r="F12" s="14" t="s">
        <v>40</v>
      </c>
      <c r="G12" s="14">
        <v>0</v>
      </c>
      <c r="H12" s="14">
        <v>0</v>
      </c>
      <c r="I12" s="14">
        <v>0</v>
      </c>
      <c r="J12" s="14">
        <v>0</v>
      </c>
      <c r="K12" s="14">
        <v>0</v>
      </c>
      <c r="L12" s="14">
        <v>0</v>
      </c>
      <c r="M12" s="14">
        <v>0</v>
      </c>
      <c r="N12" s="14">
        <v>0</v>
      </c>
      <c r="O12" s="14">
        <v>0</v>
      </c>
      <c r="P12" s="14">
        <v>0</v>
      </c>
      <c r="Q12" s="15"/>
      <c r="R12" s="15"/>
      <c r="S12" s="15">
        <f>$G$12*$G$8+$H$12*$H$8+$I$12*$I$8+$J$12*$J$8+$K$12*$K$8+$L$12*$L$8+$M$12*$M$8+$N$12*$N$8+$O$12*$O$8+$P$12*$P$8</f>
        <v>0</v>
      </c>
      <c r="T12" s="15">
        <f>SUM($Q$12:$R$12)</f>
        <v>0</v>
      </c>
      <c r="U12" s="15">
        <f>$S$12+$T$12</f>
        <v>0</v>
      </c>
    </row>
    <row r="13" spans="1:21" x14ac:dyDescent="0.3">
      <c r="A13" s="10" t="s">
        <v>41</v>
      </c>
      <c r="B13" s="11" t="s">
        <v>38</v>
      </c>
      <c r="C13" s="11"/>
      <c r="D13" s="11" t="s">
        <v>42</v>
      </c>
      <c r="E13" s="11">
        <f xml:space="preserve"> IF($U$13,1,0)</f>
        <v>0</v>
      </c>
      <c r="F13" s="11" t="s">
        <v>43</v>
      </c>
      <c r="G13" s="11">
        <v>0</v>
      </c>
      <c r="H13" s="11">
        <v>0</v>
      </c>
      <c r="I13" s="11">
        <v>0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2"/>
      <c r="R13" s="12"/>
      <c r="S13" s="12">
        <f>$G$13*$G$8+$H$13*$H$8+$I$13*$I$8+$J$13*$J$8+$K$13*$K$8+$L$13*$L$8+$M$13*$M$8+$N$13*$N$8+$O$13*$O$8+$P$13*$P$8</f>
        <v>0</v>
      </c>
      <c r="T13" s="12">
        <f>SUM($Q$13:$R$13)</f>
        <v>0</v>
      </c>
      <c r="U13" s="12">
        <f>$S$13+$T$13</f>
        <v>0</v>
      </c>
    </row>
    <row r="14" spans="1:21" x14ac:dyDescent="0.3">
      <c r="A14" s="13" t="s">
        <v>44</v>
      </c>
      <c r="B14" s="14" t="s">
        <v>45</v>
      </c>
      <c r="C14" s="14"/>
      <c r="D14" s="14" t="s">
        <v>46</v>
      </c>
      <c r="E14" s="14">
        <f xml:space="preserve"> IF($U$14,1,0)</f>
        <v>1</v>
      </c>
      <c r="F14" s="14" t="s">
        <v>47</v>
      </c>
      <c r="G14" s="14">
        <v>0</v>
      </c>
      <c r="H14" s="14">
        <v>0</v>
      </c>
      <c r="I14" s="14">
        <v>1</v>
      </c>
      <c r="J14" s="14">
        <v>2</v>
      </c>
      <c r="K14" s="14">
        <v>1</v>
      </c>
      <c r="L14" s="14">
        <v>0</v>
      </c>
      <c r="M14" s="14">
        <v>1</v>
      </c>
      <c r="N14" s="14">
        <v>1</v>
      </c>
      <c r="O14" s="14">
        <v>1</v>
      </c>
      <c r="P14" s="14">
        <v>0</v>
      </c>
      <c r="Q14" s="15"/>
      <c r="R14" s="15"/>
      <c r="S14" s="15">
        <f>$G$14*$G$8+$H$14*$H$8+$I$14*$I$8+$J$14*$J$8+$K$14*$K$8+$L$14*$L$8+$M$14*$M$8+$N$14*$N$8+$O$14*$O$8+$P$14*$P$8</f>
        <v>18.25</v>
      </c>
      <c r="T14" s="15">
        <f>SUM($Q$14:$R$14)</f>
        <v>0</v>
      </c>
      <c r="U14" s="15">
        <f>$S$14+$T$14</f>
        <v>18.25</v>
      </c>
    </row>
    <row r="15" spans="1:21" x14ac:dyDescent="0.3">
      <c r="A15" s="10" t="s">
        <v>48</v>
      </c>
      <c r="B15" s="11" t="s">
        <v>45</v>
      </c>
      <c r="C15" s="11"/>
      <c r="D15" s="11" t="s">
        <v>49</v>
      </c>
      <c r="E15" s="11">
        <f xml:space="preserve"> IF($U$15,1,0)</f>
        <v>1</v>
      </c>
      <c r="F15" s="11" t="s">
        <v>50</v>
      </c>
      <c r="G15" s="11">
        <v>0</v>
      </c>
      <c r="H15" s="11">
        <v>0</v>
      </c>
      <c r="I15" s="11">
        <v>0</v>
      </c>
      <c r="J15" s="11">
        <v>0</v>
      </c>
      <c r="K15" s="11">
        <v>0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2"/>
      <c r="R15" s="12">
        <f>$T$344</f>
        <v>1.7857142857142858</v>
      </c>
      <c r="S15" s="12">
        <f>$G$15*$G$8+$H$15*$H$8+$I$15*$I$8+$J$15*$J$8+$K$15*$K$8+$L$15*$L$8+$M$15*$M$8+$N$15*$N$8+$O$15*$O$8+$P$15*$P$8</f>
        <v>0</v>
      </c>
      <c r="T15" s="12">
        <f>SUM($Q$15:$R$15)</f>
        <v>1.7857142857142858</v>
      </c>
      <c r="U15" s="12">
        <f>$S$15+$T$15</f>
        <v>1.7857142857142858</v>
      </c>
    </row>
    <row r="16" spans="1:21" x14ac:dyDescent="0.3">
      <c r="A16" s="13" t="s">
        <v>51</v>
      </c>
      <c r="B16" s="14" t="s">
        <v>52</v>
      </c>
      <c r="C16" s="14"/>
      <c r="D16" s="14" t="s">
        <v>53</v>
      </c>
      <c r="E16" s="14">
        <f xml:space="preserve"> IF($U$16,1,0)</f>
        <v>0</v>
      </c>
      <c r="F16" s="14" t="s">
        <v>54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4">
        <v>0</v>
      </c>
      <c r="O16" s="14">
        <v>0</v>
      </c>
      <c r="P16" s="14">
        <v>0</v>
      </c>
      <c r="Q16" s="15"/>
      <c r="R16" s="15"/>
      <c r="S16" s="15">
        <f>$G$16*$G$8+$H$16*$H$8+$I$16*$I$8+$J$16*$J$8+$K$16*$K$8+$L$16*$L$8+$M$16*$M$8+$N$16*$N$8+$O$16*$O$8+$P$16*$P$8</f>
        <v>0</v>
      </c>
      <c r="T16" s="15">
        <f>SUM($Q$16:$R$16)</f>
        <v>0</v>
      </c>
      <c r="U16" s="15">
        <f>$S$16+$T$16</f>
        <v>0</v>
      </c>
    </row>
    <row r="17" spans="1:21" x14ac:dyDescent="0.3">
      <c r="A17" s="10" t="s">
        <v>55</v>
      </c>
      <c r="B17" s="11" t="s">
        <v>56</v>
      </c>
      <c r="C17" s="11"/>
      <c r="D17" s="11" t="s">
        <v>57</v>
      </c>
      <c r="E17" s="11">
        <f xml:space="preserve"> IF($U$17,1,0)</f>
        <v>1</v>
      </c>
      <c r="F17" s="11" t="s">
        <v>58</v>
      </c>
      <c r="G17" s="11">
        <v>0</v>
      </c>
      <c r="H17" s="11">
        <v>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2"/>
      <c r="R17" s="12">
        <f>$T$344</f>
        <v>1.7857142857142858</v>
      </c>
      <c r="S17" s="12">
        <f>$G$17*$G$8+$H$17*$H$8+$I$17*$I$8+$J$17*$J$8+$K$17*$K$8+$L$17*$L$8+$M$17*$M$8+$N$17*$N$8+$O$17*$O$8+$P$17*$P$8</f>
        <v>0</v>
      </c>
      <c r="T17" s="12">
        <f>SUM($Q$17:$R$17)</f>
        <v>1.7857142857142858</v>
      </c>
      <c r="U17" s="12">
        <f>$S$17+$T$17</f>
        <v>1.7857142857142858</v>
      </c>
    </row>
    <row r="18" spans="1:21" x14ac:dyDescent="0.3">
      <c r="A18" s="13" t="s">
        <v>59</v>
      </c>
      <c r="B18" s="14" t="s">
        <v>60</v>
      </c>
      <c r="C18" s="14"/>
      <c r="D18" s="14" t="s">
        <v>61</v>
      </c>
      <c r="E18" s="14">
        <f xml:space="preserve"> IF($U$18,1,0)</f>
        <v>1</v>
      </c>
      <c r="F18" s="14" t="s">
        <v>62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5"/>
      <c r="R18" s="15">
        <f>$T$344</f>
        <v>1.7857142857142858</v>
      </c>
      <c r="S18" s="15">
        <f>$G$18*$G$8+$H$18*$H$8+$I$18*$I$8+$J$18*$J$8+$K$18*$K$8+$L$18*$L$8+$M$18*$M$8+$N$18*$N$8+$O$18*$O$8+$P$18*$P$8</f>
        <v>0</v>
      </c>
      <c r="T18" s="15">
        <f>SUM($Q$18:$R$18)</f>
        <v>1.7857142857142858</v>
      </c>
      <c r="U18" s="15">
        <f>$S$18+$T$18</f>
        <v>1.7857142857142858</v>
      </c>
    </row>
    <row r="19" spans="1:21" x14ac:dyDescent="0.3">
      <c r="A19" s="10" t="s">
        <v>63</v>
      </c>
      <c r="B19" s="11" t="s">
        <v>64</v>
      </c>
      <c r="C19" s="11" t="s">
        <v>65</v>
      </c>
      <c r="D19" s="11" t="s">
        <v>66</v>
      </c>
      <c r="E19" s="11">
        <f xml:space="preserve"> IF($U$19,1,0)</f>
        <v>1</v>
      </c>
      <c r="F19" s="11" t="s">
        <v>67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2"/>
      <c r="R19" s="12">
        <f>$T$344</f>
        <v>1.7857142857142858</v>
      </c>
      <c r="S19" s="12">
        <f>$G$19*$G$8+$H$19*$H$8+$I$19*$I$8+$J$19*$J$8+$K$19*$K$8+$L$19*$L$8+$M$19*$M$8+$N$19*$N$8+$O$19*$O$8+$P$19*$P$8</f>
        <v>0</v>
      </c>
      <c r="T19" s="12">
        <f>SUM($Q$19:$R$19)</f>
        <v>1.7857142857142858</v>
      </c>
      <c r="U19" s="12">
        <f>$S$19+$T$19</f>
        <v>1.7857142857142858</v>
      </c>
    </row>
    <row r="20" spans="1:21" x14ac:dyDescent="0.3">
      <c r="A20" s="13" t="s">
        <v>68</v>
      </c>
      <c r="B20" s="14" t="s">
        <v>69</v>
      </c>
      <c r="C20" s="14"/>
      <c r="D20" s="14" t="s">
        <v>70</v>
      </c>
      <c r="E20" s="14">
        <f xml:space="preserve"> IF($U$20,1,0)</f>
        <v>1</v>
      </c>
      <c r="F20" s="14" t="s">
        <v>71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4">
        <v>0</v>
      </c>
      <c r="N20" s="14">
        <v>0</v>
      </c>
      <c r="O20" s="14">
        <v>0</v>
      </c>
      <c r="P20" s="14">
        <v>0</v>
      </c>
      <c r="Q20" s="15"/>
      <c r="R20" s="15">
        <f>$T$344</f>
        <v>1.7857142857142858</v>
      </c>
      <c r="S20" s="15">
        <f>$G$20*$G$8+$H$20*$H$8+$I$20*$I$8+$J$20*$J$8+$K$20*$K$8+$L$20*$L$8+$M$20*$M$8+$N$20*$N$8+$O$20*$O$8+$P$20*$P$8</f>
        <v>0</v>
      </c>
      <c r="T20" s="15">
        <f>SUM($Q$20:$R$20)</f>
        <v>1.7857142857142858</v>
      </c>
      <c r="U20" s="15">
        <f>$S$20+$T$20</f>
        <v>1.7857142857142858</v>
      </c>
    </row>
    <row r="21" spans="1:21" x14ac:dyDescent="0.3">
      <c r="A21" s="10" t="s">
        <v>72</v>
      </c>
      <c r="B21" s="11" t="s">
        <v>73</v>
      </c>
      <c r="C21" s="11"/>
      <c r="D21" s="11" t="s">
        <v>74</v>
      </c>
      <c r="E21" s="11">
        <f xml:space="preserve"> IF($U$21,1,0)</f>
        <v>0</v>
      </c>
      <c r="F21" s="11" t="s">
        <v>75</v>
      </c>
      <c r="G21" s="11">
        <v>0</v>
      </c>
      <c r="H21" s="11">
        <v>0</v>
      </c>
      <c r="I21" s="11">
        <v>0</v>
      </c>
      <c r="J21" s="11">
        <v>0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2"/>
      <c r="R21" s="12"/>
      <c r="S21" s="12">
        <f>$G$21*$G$8+$H$21*$H$8+$I$21*$I$8+$J$21*$J$8+$K$21*$K$8+$L$21*$L$8+$M$21*$M$8+$N$21*$N$8+$O$21*$O$8+$P$21*$P$8</f>
        <v>0</v>
      </c>
      <c r="T21" s="12">
        <f>SUM($Q$21:$R$21)</f>
        <v>0</v>
      </c>
      <c r="U21" s="12">
        <f>$S$21+$T$21</f>
        <v>0</v>
      </c>
    </row>
    <row r="22" spans="1:21" x14ac:dyDescent="0.3">
      <c r="A22" s="13" t="s">
        <v>76</v>
      </c>
      <c r="B22" s="14" t="s">
        <v>77</v>
      </c>
      <c r="C22" s="14"/>
      <c r="D22" s="14" t="s">
        <v>78</v>
      </c>
      <c r="E22" s="14">
        <f xml:space="preserve"> IF($U$22,1,0)</f>
        <v>1</v>
      </c>
      <c r="F22" s="14" t="s">
        <v>79</v>
      </c>
      <c r="G22" s="14">
        <v>0</v>
      </c>
      <c r="H22" s="14">
        <v>0</v>
      </c>
      <c r="I22" s="14">
        <v>0</v>
      </c>
      <c r="J22" s="14">
        <v>2</v>
      </c>
      <c r="K22" s="14">
        <v>0</v>
      </c>
      <c r="L22" s="14">
        <v>0</v>
      </c>
      <c r="M22" s="14">
        <v>0</v>
      </c>
      <c r="N22" s="14">
        <v>0</v>
      </c>
      <c r="O22" s="14">
        <v>0</v>
      </c>
      <c r="P22" s="14">
        <v>0</v>
      </c>
      <c r="Q22" s="15">
        <f>$T$343</f>
        <v>2.5</v>
      </c>
      <c r="R22" s="15"/>
      <c r="S22" s="15">
        <f>$G$22*$G$8+$H$22*$H$8+$I$22*$I$8+$J$22*$J$8+$K$22*$K$8+$L$22*$L$8+$M$22*$M$8+$N$22*$N$8+$O$22*$O$8+$P$22*$P$8</f>
        <v>2</v>
      </c>
      <c r="T22" s="15">
        <f>SUM($Q$22:$R$22)</f>
        <v>2.5</v>
      </c>
      <c r="U22" s="15">
        <f>$S$22+$T$22</f>
        <v>4.5</v>
      </c>
    </row>
    <row r="23" spans="1:21" x14ac:dyDescent="0.3">
      <c r="A23" s="10" t="s">
        <v>80</v>
      </c>
      <c r="B23" s="11" t="s">
        <v>77</v>
      </c>
      <c r="C23" s="11" t="s">
        <v>65</v>
      </c>
      <c r="D23" s="11" t="s">
        <v>81</v>
      </c>
      <c r="E23" s="11">
        <f xml:space="preserve"> IF($U$23,1,0)</f>
        <v>0</v>
      </c>
      <c r="F23" s="11" t="s">
        <v>82</v>
      </c>
      <c r="G23" s="11">
        <v>0</v>
      </c>
      <c r="H23" s="11">
        <v>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2"/>
      <c r="R23" s="12"/>
      <c r="S23" s="12">
        <f>$G$23*$G$8+$H$23*$H$8+$I$23*$I$8+$J$23*$J$8+$K$23*$K$8+$L$23*$L$8+$M$23*$M$8+$N$23*$N$8+$O$23*$O$8+$P$23*$P$8</f>
        <v>0</v>
      </c>
      <c r="T23" s="12">
        <f>SUM($Q$23:$R$23)</f>
        <v>0</v>
      </c>
      <c r="U23" s="12">
        <f>$S$23+$T$23</f>
        <v>0</v>
      </c>
    </row>
    <row r="24" spans="1:21" x14ac:dyDescent="0.3">
      <c r="A24" s="13" t="s">
        <v>83</v>
      </c>
      <c r="B24" s="14" t="s">
        <v>84</v>
      </c>
      <c r="C24" s="14"/>
      <c r="D24" s="14" t="s">
        <v>81</v>
      </c>
      <c r="E24" s="14">
        <f xml:space="preserve"> IF($U$24,1,0)</f>
        <v>0</v>
      </c>
      <c r="F24" s="14" t="s">
        <v>85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5"/>
      <c r="R24" s="15"/>
      <c r="S24" s="15">
        <f>$G$24*$G$8+$H$24*$H$8+$I$24*$I$8+$J$24*$J$8+$K$24*$K$8+$L$24*$L$8+$M$24*$M$8+$N$24*$N$8+$O$24*$O$8+$P$24*$P$8</f>
        <v>0</v>
      </c>
      <c r="T24" s="15">
        <f>SUM($Q$24:$R$24)</f>
        <v>0</v>
      </c>
      <c r="U24" s="15">
        <f>$S$24+$T$24</f>
        <v>0</v>
      </c>
    </row>
    <row r="25" spans="1:21" x14ac:dyDescent="0.3">
      <c r="A25" s="10" t="s">
        <v>86</v>
      </c>
      <c r="B25" s="11" t="s">
        <v>87</v>
      </c>
      <c r="C25" s="11"/>
      <c r="D25" s="11" t="s">
        <v>88</v>
      </c>
      <c r="E25" s="11">
        <f xml:space="preserve"> IF($U$25,1,0)</f>
        <v>1</v>
      </c>
      <c r="F25" s="11" t="s">
        <v>89</v>
      </c>
      <c r="G25" s="11">
        <v>0</v>
      </c>
      <c r="H25" s="11">
        <v>0</v>
      </c>
      <c r="I25" s="11">
        <v>0</v>
      </c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2"/>
      <c r="R25" s="12">
        <f>$T$344</f>
        <v>1.7857142857142858</v>
      </c>
      <c r="S25" s="12">
        <f>$G$25*$G$8+$H$25*$H$8+$I$25*$I$8+$J$25*$J$8+$K$25*$K$8+$L$25*$L$8+$M$25*$M$8+$N$25*$N$8+$O$25*$O$8+$P$25*$P$8</f>
        <v>0</v>
      </c>
      <c r="T25" s="12">
        <f>SUM($Q$25:$R$25)</f>
        <v>1.7857142857142858</v>
      </c>
      <c r="U25" s="12">
        <f>$S$25+$T$25</f>
        <v>1.7857142857142858</v>
      </c>
    </row>
    <row r="26" spans="1:21" x14ac:dyDescent="0.3">
      <c r="A26" s="13" t="s">
        <v>90</v>
      </c>
      <c r="B26" s="14" t="s">
        <v>91</v>
      </c>
      <c r="C26" s="14"/>
      <c r="D26" s="14" t="s">
        <v>92</v>
      </c>
      <c r="E26" s="14">
        <f xml:space="preserve"> IF($U$26,1,0)</f>
        <v>0</v>
      </c>
      <c r="F26" s="14" t="s">
        <v>93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5"/>
      <c r="R26" s="15"/>
      <c r="S26" s="15">
        <f>$G$26*$G$8+$H$26*$H$8+$I$26*$I$8+$J$26*$J$8+$K$26*$K$8+$L$26*$L$8+$M$26*$M$8+$N$26*$N$8+$O$26*$O$8+$P$26*$P$8</f>
        <v>0</v>
      </c>
      <c r="T26" s="15">
        <f>SUM($Q$26:$R$26)</f>
        <v>0</v>
      </c>
      <c r="U26" s="15">
        <f>$S$26+$T$26</f>
        <v>0</v>
      </c>
    </row>
    <row r="27" spans="1:21" x14ac:dyDescent="0.3">
      <c r="A27" s="10" t="s">
        <v>94</v>
      </c>
      <c r="B27" s="11" t="s">
        <v>95</v>
      </c>
      <c r="C27" s="11"/>
      <c r="D27" s="11" t="s">
        <v>96</v>
      </c>
      <c r="E27" s="11">
        <f xml:space="preserve"> IF($U$27,1,0)</f>
        <v>0</v>
      </c>
      <c r="F27" s="11" t="s">
        <v>97</v>
      </c>
      <c r="G27" s="11">
        <v>0</v>
      </c>
      <c r="H27" s="11">
        <v>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2"/>
      <c r="R27" s="12"/>
      <c r="S27" s="12">
        <f>$G$27*$G$8+$H$27*$H$8+$I$27*$I$8+$J$27*$J$8+$K$27*$K$8+$L$27*$L$8+$M$27*$M$8+$N$27*$N$8+$O$27*$O$8+$P$27*$P$8</f>
        <v>0</v>
      </c>
      <c r="T27" s="12">
        <f>SUM($Q$27:$R$27)</f>
        <v>0</v>
      </c>
      <c r="U27" s="12">
        <f>$S$27+$T$27</f>
        <v>0</v>
      </c>
    </row>
    <row r="28" spans="1:21" x14ac:dyDescent="0.3">
      <c r="A28" s="13" t="s">
        <v>98</v>
      </c>
      <c r="B28" s="14" t="s">
        <v>99</v>
      </c>
      <c r="C28" s="14"/>
      <c r="D28" s="14" t="s">
        <v>100</v>
      </c>
      <c r="E28" s="14">
        <f xml:space="preserve"> IF($U$28,1,0)</f>
        <v>1</v>
      </c>
      <c r="F28" s="14" t="s">
        <v>101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5"/>
      <c r="R28" s="15">
        <f>$T$344</f>
        <v>1.7857142857142858</v>
      </c>
      <c r="S28" s="15">
        <f>$G$28*$G$8+$H$28*$H$8+$I$28*$I$8+$J$28*$J$8+$K$28*$K$8+$L$28*$L$8+$M$28*$M$8+$N$28*$N$8+$O$28*$O$8+$P$28*$P$8</f>
        <v>0</v>
      </c>
      <c r="T28" s="15">
        <f>SUM($Q$28:$R$28)</f>
        <v>1.7857142857142858</v>
      </c>
      <c r="U28" s="15">
        <f>$S$28+$T$28</f>
        <v>1.7857142857142858</v>
      </c>
    </row>
    <row r="29" spans="1:21" x14ac:dyDescent="0.3">
      <c r="A29" s="10" t="s">
        <v>102</v>
      </c>
      <c r="B29" s="11" t="s">
        <v>103</v>
      </c>
      <c r="C29" s="11"/>
      <c r="D29" s="11" t="s">
        <v>104</v>
      </c>
      <c r="E29" s="11">
        <f xml:space="preserve"> IF($U$29,1,0)</f>
        <v>1</v>
      </c>
      <c r="F29" s="11" t="s">
        <v>105</v>
      </c>
      <c r="G29" s="11">
        <v>0</v>
      </c>
      <c r="H29" s="11">
        <v>0</v>
      </c>
      <c r="I29" s="11">
        <v>0</v>
      </c>
      <c r="J29" s="11">
        <v>0</v>
      </c>
      <c r="K29" s="11">
        <v>0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2"/>
      <c r="R29" s="12">
        <f>$T$344</f>
        <v>1.7857142857142858</v>
      </c>
      <c r="S29" s="12">
        <f>$G$29*$G$8+$H$29*$H$8+$I$29*$I$8+$J$29*$J$8+$K$29*$K$8+$L$29*$L$8+$M$29*$M$8+$N$29*$N$8+$O$29*$O$8+$P$29*$P$8</f>
        <v>0</v>
      </c>
      <c r="T29" s="12">
        <f>SUM($Q$29:$R$29)</f>
        <v>1.7857142857142858</v>
      </c>
      <c r="U29" s="12">
        <f>$S$29+$T$29</f>
        <v>1.7857142857142858</v>
      </c>
    </row>
    <row r="30" spans="1:21" x14ac:dyDescent="0.3">
      <c r="A30" s="13" t="s">
        <v>106</v>
      </c>
      <c r="B30" s="14" t="s">
        <v>103</v>
      </c>
      <c r="C30" s="14"/>
      <c r="D30" s="14" t="s">
        <v>107</v>
      </c>
      <c r="E30" s="14">
        <f xml:space="preserve"> IF($U$30,1,0)</f>
        <v>0</v>
      </c>
      <c r="F30" s="14" t="s">
        <v>108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5"/>
      <c r="R30" s="15"/>
      <c r="S30" s="15">
        <f>$G$30*$G$8+$H$30*$H$8+$I$30*$I$8+$J$30*$J$8+$K$30*$K$8+$L$30*$L$8+$M$30*$M$8+$N$30*$N$8+$O$30*$O$8+$P$30*$P$8</f>
        <v>0</v>
      </c>
      <c r="T30" s="15">
        <f>SUM($Q$30:$R$30)</f>
        <v>0</v>
      </c>
      <c r="U30" s="15">
        <f>$S$30+$T$30</f>
        <v>0</v>
      </c>
    </row>
    <row r="31" spans="1:21" x14ac:dyDescent="0.3">
      <c r="A31" s="10" t="s">
        <v>109</v>
      </c>
      <c r="B31" s="11" t="s">
        <v>103</v>
      </c>
      <c r="C31" s="11"/>
      <c r="D31" s="11" t="s">
        <v>110</v>
      </c>
      <c r="E31" s="11">
        <f xml:space="preserve"> IF($U$31,1,0)</f>
        <v>0</v>
      </c>
      <c r="F31" s="11" t="s">
        <v>111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2"/>
      <c r="R31" s="12"/>
      <c r="S31" s="12">
        <f>$G$31*$G$8+$H$31*$H$8+$I$31*$I$8+$J$31*$J$8+$K$31*$K$8+$L$31*$L$8+$M$31*$M$8+$N$31*$N$8+$O$31*$O$8+$P$31*$P$8</f>
        <v>0</v>
      </c>
      <c r="T31" s="12">
        <f>SUM($Q$31:$R$31)</f>
        <v>0</v>
      </c>
      <c r="U31" s="12">
        <f>$S$31+$T$31</f>
        <v>0</v>
      </c>
    </row>
    <row r="32" spans="1:21" x14ac:dyDescent="0.3">
      <c r="A32" s="13" t="s">
        <v>112</v>
      </c>
      <c r="B32" s="14" t="s">
        <v>113</v>
      </c>
      <c r="C32" s="14"/>
      <c r="D32" s="14" t="s">
        <v>114</v>
      </c>
      <c r="E32" s="14">
        <f xml:space="preserve"> IF($U$32,1,0)</f>
        <v>1</v>
      </c>
      <c r="F32" s="14" t="s">
        <v>115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5"/>
      <c r="R32" s="15">
        <f>$T$344</f>
        <v>1.7857142857142858</v>
      </c>
      <c r="S32" s="15">
        <f>$G$32*$G$8+$H$32*$H$8+$I$32*$I$8+$J$32*$J$8+$K$32*$K$8+$L$32*$L$8+$M$32*$M$8+$N$32*$N$8+$O$32*$O$8+$P$32*$P$8</f>
        <v>0</v>
      </c>
      <c r="T32" s="15">
        <f>SUM($Q$32:$R$32)</f>
        <v>1.7857142857142858</v>
      </c>
      <c r="U32" s="15">
        <f>$S$32+$T$32</f>
        <v>1.7857142857142858</v>
      </c>
    </row>
    <row r="33" spans="1:21" x14ac:dyDescent="0.3">
      <c r="A33" s="10" t="s">
        <v>116</v>
      </c>
      <c r="B33" s="11" t="s">
        <v>117</v>
      </c>
      <c r="C33" s="11" t="s">
        <v>34</v>
      </c>
      <c r="D33" s="11" t="s">
        <v>118</v>
      </c>
      <c r="E33" s="11">
        <f xml:space="preserve"> IF($U$33,1,0)</f>
        <v>1</v>
      </c>
      <c r="F33" s="11" t="s">
        <v>119</v>
      </c>
      <c r="G33" s="11">
        <v>0</v>
      </c>
      <c r="H33" s="11">
        <v>0</v>
      </c>
      <c r="I33" s="11">
        <v>0</v>
      </c>
      <c r="J33" s="11">
        <v>0</v>
      </c>
      <c r="K33" s="11">
        <v>0</v>
      </c>
      <c r="L33" s="11">
        <v>0</v>
      </c>
      <c r="M33" s="11">
        <v>0</v>
      </c>
      <c r="N33" s="11">
        <v>0</v>
      </c>
      <c r="O33" s="11">
        <v>0</v>
      </c>
      <c r="P33" s="11">
        <v>0</v>
      </c>
      <c r="Q33" s="12"/>
      <c r="R33" s="12">
        <f>$T$344</f>
        <v>1.7857142857142858</v>
      </c>
      <c r="S33" s="12">
        <f>$G$33*$G$8+$H$33*$H$8+$I$33*$I$8+$J$33*$J$8+$K$33*$K$8+$L$33*$L$8+$M$33*$M$8+$N$33*$N$8+$O$33*$O$8+$P$33*$P$8</f>
        <v>0</v>
      </c>
      <c r="T33" s="12">
        <f>SUM($Q$33:$R$33)</f>
        <v>1.7857142857142858</v>
      </c>
      <c r="U33" s="12">
        <f>$S$33+$T$33</f>
        <v>1.7857142857142858</v>
      </c>
    </row>
    <row r="34" spans="1:21" x14ac:dyDescent="0.3">
      <c r="A34" s="13" t="s">
        <v>120</v>
      </c>
      <c r="B34" s="14" t="s">
        <v>121</v>
      </c>
      <c r="C34" s="14"/>
      <c r="D34" s="14" t="s">
        <v>122</v>
      </c>
      <c r="E34" s="14">
        <f xml:space="preserve"> IF($U$34,1,0)</f>
        <v>1</v>
      </c>
      <c r="F34" s="14" t="s">
        <v>123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5"/>
      <c r="R34" s="15">
        <f>$T$344</f>
        <v>1.7857142857142858</v>
      </c>
      <c r="S34" s="15">
        <f>$G$34*$G$8+$H$34*$H$8+$I$34*$I$8+$J$34*$J$8+$K$34*$K$8+$L$34*$L$8+$M$34*$M$8+$N$34*$N$8+$O$34*$O$8+$P$34*$P$8</f>
        <v>0</v>
      </c>
      <c r="T34" s="15">
        <f>SUM($Q$34:$R$34)</f>
        <v>1.7857142857142858</v>
      </c>
      <c r="U34" s="15">
        <f>$S$34+$T$34</f>
        <v>1.7857142857142858</v>
      </c>
    </row>
    <row r="35" spans="1:21" x14ac:dyDescent="0.3">
      <c r="A35" s="10" t="s">
        <v>124</v>
      </c>
      <c r="B35" s="11" t="s">
        <v>125</v>
      </c>
      <c r="C35" s="11"/>
      <c r="D35" s="11" t="s">
        <v>126</v>
      </c>
      <c r="E35" s="11">
        <f xml:space="preserve"> IF($U$35,1,0)</f>
        <v>0</v>
      </c>
      <c r="F35" s="11" t="s">
        <v>127</v>
      </c>
      <c r="G35" s="11">
        <v>0</v>
      </c>
      <c r="H35" s="11">
        <v>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0</v>
      </c>
      <c r="Q35" s="12"/>
      <c r="R35" s="12"/>
      <c r="S35" s="12">
        <f>$G$35*$G$8+$H$35*$H$8+$I$35*$I$8+$J$35*$J$8+$K$35*$K$8+$L$35*$L$8+$M$35*$M$8+$N$35*$N$8+$O$35*$O$8+$P$35*$P$8</f>
        <v>0</v>
      </c>
      <c r="T35" s="12">
        <f>SUM($Q$35:$R$35)</f>
        <v>0</v>
      </c>
      <c r="U35" s="12">
        <f>$S$35+$T$35</f>
        <v>0</v>
      </c>
    </row>
    <row r="36" spans="1:21" x14ac:dyDescent="0.3">
      <c r="A36" s="13" t="s">
        <v>128</v>
      </c>
      <c r="B36" s="14" t="s">
        <v>129</v>
      </c>
      <c r="C36" s="14" t="s">
        <v>34</v>
      </c>
      <c r="D36" s="14" t="s">
        <v>130</v>
      </c>
      <c r="E36" s="14">
        <f xml:space="preserve"> IF($U$36,1,0)</f>
        <v>0</v>
      </c>
      <c r="F36" s="14" t="s">
        <v>131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5"/>
      <c r="R36" s="15"/>
      <c r="S36" s="15">
        <f>$G$36*$G$8+$H$36*$H$8+$I$36*$I$8+$J$36*$J$8+$K$36*$K$8+$L$36*$L$8+$M$36*$M$8+$N$36*$N$8+$O$36*$O$8+$P$36*$P$8</f>
        <v>0</v>
      </c>
      <c r="T36" s="15">
        <f>SUM($Q$36:$R$36)</f>
        <v>0</v>
      </c>
      <c r="U36" s="15">
        <f>$S$36+$T$36</f>
        <v>0</v>
      </c>
    </row>
    <row r="37" spans="1:21" x14ac:dyDescent="0.3">
      <c r="A37" s="10" t="s">
        <v>132</v>
      </c>
      <c r="B37" s="11" t="s">
        <v>133</v>
      </c>
      <c r="C37" s="11"/>
      <c r="D37" s="11" t="s">
        <v>134</v>
      </c>
      <c r="E37" s="11">
        <f xml:space="preserve"> IF($U$37,1,0)</f>
        <v>0</v>
      </c>
      <c r="F37" s="11" t="s">
        <v>135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2"/>
      <c r="R37" s="12"/>
      <c r="S37" s="12">
        <f>$G$37*$G$8+$H$37*$H$8+$I$37*$I$8+$J$37*$J$8+$K$37*$K$8+$L$37*$L$8+$M$37*$M$8+$N$37*$N$8+$O$37*$O$8+$P$37*$P$8</f>
        <v>0</v>
      </c>
      <c r="T37" s="12">
        <f>SUM($Q$37:$R$37)</f>
        <v>0</v>
      </c>
      <c r="U37" s="12">
        <f>$S$37+$T$37</f>
        <v>0</v>
      </c>
    </row>
    <row r="38" spans="1:21" x14ac:dyDescent="0.3">
      <c r="A38" s="13" t="s">
        <v>1280</v>
      </c>
      <c r="B38" s="14" t="s">
        <v>1281</v>
      </c>
      <c r="C38" s="14"/>
      <c r="D38" s="14" t="s">
        <v>1250</v>
      </c>
      <c r="E38" s="14">
        <f xml:space="preserve"> IF($U$38,1,0)</f>
        <v>1</v>
      </c>
      <c r="F38" s="14" t="s">
        <v>1282</v>
      </c>
      <c r="G38" s="14">
        <v>0</v>
      </c>
      <c r="H38" s="14">
        <v>0</v>
      </c>
      <c r="I38" s="14">
        <v>0</v>
      </c>
      <c r="J38" s="14">
        <v>0</v>
      </c>
      <c r="K38" s="14">
        <v>0</v>
      </c>
      <c r="L38" s="14">
        <v>0</v>
      </c>
      <c r="M38" s="14">
        <v>0</v>
      </c>
      <c r="N38" s="14">
        <v>0</v>
      </c>
      <c r="O38" s="14">
        <v>0</v>
      </c>
      <c r="P38" s="14">
        <v>0</v>
      </c>
      <c r="Q38" s="15"/>
      <c r="R38" s="15">
        <f>$T$344</f>
        <v>1.7857142857142858</v>
      </c>
      <c r="S38" s="15">
        <f>$G$38*$G$8+$H$38*$H$8+$I$38*$I$8+$J$38*$J$8+$K$38*$K$8+$L$38*$L$8+$M$38*$M$8+$N$38*$N$8+$O$38*$O$8+$P$38*$P$8</f>
        <v>0</v>
      </c>
      <c r="T38" s="15">
        <f>SUM($Q$38:$R$38)</f>
        <v>1.7857142857142858</v>
      </c>
      <c r="U38" s="15">
        <f>$S$38+$T$38</f>
        <v>1.7857142857142858</v>
      </c>
    </row>
    <row r="39" spans="1:21" x14ac:dyDescent="0.3">
      <c r="A39" s="10" t="s">
        <v>136</v>
      </c>
      <c r="B39" s="11" t="s">
        <v>137</v>
      </c>
      <c r="C39" s="11"/>
      <c r="D39" s="11" t="s">
        <v>138</v>
      </c>
      <c r="E39" s="11">
        <f xml:space="preserve"> IF($U$39,1,0)</f>
        <v>0</v>
      </c>
      <c r="F39" s="11" t="s">
        <v>139</v>
      </c>
      <c r="G39" s="11">
        <v>0</v>
      </c>
      <c r="H39" s="11">
        <v>0</v>
      </c>
      <c r="I39" s="11">
        <v>0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2"/>
      <c r="R39" s="12"/>
      <c r="S39" s="12">
        <f>$G$39*$G$8+$H$39*$H$8+$I$39*$I$8+$J$39*$J$8+$K$39*$K$8+$L$39*$L$8+$M$39*$M$8+$N$39*$N$8+$O$39*$O$8+$P$39*$P$8</f>
        <v>0</v>
      </c>
      <c r="T39" s="12">
        <f>SUM($Q$39:$R$39)</f>
        <v>0</v>
      </c>
      <c r="U39" s="12">
        <f>$S$39+$T$39</f>
        <v>0</v>
      </c>
    </row>
    <row r="40" spans="1:21" x14ac:dyDescent="0.3">
      <c r="A40" s="13" t="s">
        <v>140</v>
      </c>
      <c r="B40" s="14" t="s">
        <v>141</v>
      </c>
      <c r="C40" s="14"/>
      <c r="D40" s="14" t="s">
        <v>142</v>
      </c>
      <c r="E40" s="14">
        <f xml:space="preserve"> IF($U$40,1,0)</f>
        <v>0</v>
      </c>
      <c r="F40" s="14" t="s">
        <v>143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5"/>
      <c r="R40" s="15"/>
      <c r="S40" s="15">
        <f>$G$40*$G$8+$H$40*$H$8+$I$40*$I$8+$J$40*$J$8+$K$40*$K$8+$L$40*$L$8+$M$40*$M$8+$N$40*$N$8+$O$40*$O$8+$P$40*$P$8</f>
        <v>0</v>
      </c>
      <c r="T40" s="15">
        <f>SUM($Q$40:$R$40)</f>
        <v>0</v>
      </c>
      <c r="U40" s="15">
        <f>$S$40+$T$40</f>
        <v>0</v>
      </c>
    </row>
    <row r="41" spans="1:21" x14ac:dyDescent="0.3">
      <c r="A41" s="10" t="s">
        <v>144</v>
      </c>
      <c r="B41" s="11" t="s">
        <v>145</v>
      </c>
      <c r="C41" s="11"/>
      <c r="D41" s="11" t="s">
        <v>146</v>
      </c>
      <c r="E41" s="11">
        <f xml:space="preserve"> IF($U$41,1,0)</f>
        <v>1</v>
      </c>
      <c r="F41" s="11" t="s">
        <v>147</v>
      </c>
      <c r="G41" s="11">
        <v>0</v>
      </c>
      <c r="H41" s="11">
        <v>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2">
        <f>$T$343</f>
        <v>2.5</v>
      </c>
      <c r="R41" s="12"/>
      <c r="S41" s="12">
        <f>$G$41*$G$8+$H$41*$H$8+$I$41*$I$8+$J$41*$J$8+$K$41*$K$8+$L$41*$L$8+$M$41*$M$8+$N$41*$N$8+$O$41*$O$8+$P$41*$P$8</f>
        <v>0</v>
      </c>
      <c r="T41" s="12">
        <f>SUM($Q$41:$R$41)</f>
        <v>2.5</v>
      </c>
      <c r="U41" s="12">
        <f>$S$41+$T$41</f>
        <v>2.5</v>
      </c>
    </row>
    <row r="42" spans="1:21" x14ac:dyDescent="0.3">
      <c r="A42" s="13" t="s">
        <v>148</v>
      </c>
      <c r="B42" s="14" t="s">
        <v>149</v>
      </c>
      <c r="C42" s="14"/>
      <c r="D42" s="14" t="s">
        <v>150</v>
      </c>
      <c r="E42" s="14">
        <f xml:space="preserve"> IF($U$42,1,0)</f>
        <v>1</v>
      </c>
      <c r="F42" s="14" t="s">
        <v>151</v>
      </c>
      <c r="G42" s="14">
        <v>0</v>
      </c>
      <c r="H42" s="14">
        <v>0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0</v>
      </c>
      <c r="Q42" s="15"/>
      <c r="R42" s="15">
        <f>$T$344</f>
        <v>1.7857142857142858</v>
      </c>
      <c r="S42" s="15">
        <f>$G$42*$G$8+$H$42*$H$8+$I$42*$I$8+$J$42*$J$8+$K$42*$K$8+$L$42*$L$8+$M$42*$M$8+$N$42*$N$8+$O$42*$O$8+$P$42*$P$8</f>
        <v>0</v>
      </c>
      <c r="T42" s="15">
        <f>SUM($Q$42:$R$42)</f>
        <v>1.7857142857142858</v>
      </c>
      <c r="U42" s="15">
        <f>$S$42+$T$42</f>
        <v>1.7857142857142858</v>
      </c>
    </row>
    <row r="43" spans="1:21" x14ac:dyDescent="0.3">
      <c r="A43" s="10" t="s">
        <v>152</v>
      </c>
      <c r="B43" s="11" t="s">
        <v>153</v>
      </c>
      <c r="C43" s="11"/>
      <c r="D43" s="11" t="s">
        <v>154</v>
      </c>
      <c r="E43" s="11">
        <f xml:space="preserve"> IF($U$43,1,0)</f>
        <v>0</v>
      </c>
      <c r="F43" s="11" t="s">
        <v>155</v>
      </c>
      <c r="G43" s="11">
        <v>0</v>
      </c>
      <c r="H43" s="11">
        <v>0</v>
      </c>
      <c r="I43" s="11">
        <v>0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2"/>
      <c r="R43" s="12"/>
      <c r="S43" s="12">
        <f>$G$43*$G$8+$H$43*$H$8+$I$43*$I$8+$J$43*$J$8+$K$43*$K$8+$L$43*$L$8+$M$43*$M$8+$N$43*$N$8+$O$43*$O$8+$P$43*$P$8</f>
        <v>0</v>
      </c>
      <c r="T43" s="12">
        <f>SUM($Q$43:$R$43)</f>
        <v>0</v>
      </c>
      <c r="U43" s="12">
        <f>$S$43+$T$43</f>
        <v>0</v>
      </c>
    </row>
    <row r="44" spans="1:21" x14ac:dyDescent="0.3">
      <c r="A44" s="13" t="s">
        <v>156</v>
      </c>
      <c r="B44" s="14" t="s">
        <v>157</v>
      </c>
      <c r="C44" s="14" t="s">
        <v>65</v>
      </c>
      <c r="D44" s="14" t="s">
        <v>158</v>
      </c>
      <c r="E44" s="14">
        <f xml:space="preserve"> IF($U$44,1,0)</f>
        <v>0</v>
      </c>
      <c r="F44" s="14" t="s">
        <v>159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14">
        <v>0</v>
      </c>
      <c r="P44" s="14">
        <v>0</v>
      </c>
      <c r="Q44" s="15"/>
      <c r="R44" s="15"/>
      <c r="S44" s="15">
        <f>$G$44*$G$8+$H$44*$H$8+$I$44*$I$8+$J$44*$J$8+$K$44*$K$8+$L$44*$L$8+$M$44*$M$8+$N$44*$N$8+$O$44*$O$8+$P$44*$P$8</f>
        <v>0</v>
      </c>
      <c r="T44" s="15">
        <f>SUM($Q$44:$R$44)</f>
        <v>0</v>
      </c>
      <c r="U44" s="15">
        <f>$S$44+$T$44</f>
        <v>0</v>
      </c>
    </row>
    <row r="45" spans="1:21" x14ac:dyDescent="0.3">
      <c r="A45" s="10" t="s">
        <v>160</v>
      </c>
      <c r="B45" s="11" t="s">
        <v>161</v>
      </c>
      <c r="C45" s="11"/>
      <c r="D45" s="11" t="s">
        <v>162</v>
      </c>
      <c r="E45" s="11">
        <f xml:space="preserve"> IF($U$45,1,0)</f>
        <v>0</v>
      </c>
      <c r="F45" s="11" t="s">
        <v>163</v>
      </c>
      <c r="G45" s="11">
        <v>0</v>
      </c>
      <c r="H45" s="11">
        <v>0</v>
      </c>
      <c r="I45" s="11">
        <v>0</v>
      </c>
      <c r="J45" s="11">
        <v>0</v>
      </c>
      <c r="K45" s="11">
        <v>0</v>
      </c>
      <c r="L45" s="11">
        <v>0</v>
      </c>
      <c r="M45" s="11">
        <v>0</v>
      </c>
      <c r="N45" s="11">
        <v>0</v>
      </c>
      <c r="O45" s="11">
        <v>0</v>
      </c>
      <c r="P45" s="11">
        <v>0</v>
      </c>
      <c r="Q45" s="12"/>
      <c r="R45" s="12"/>
      <c r="S45" s="12">
        <f>$G$45*$G$8+$H$45*$H$8+$I$45*$I$8+$J$45*$J$8+$K$45*$K$8+$L$45*$L$8+$M$45*$M$8+$N$45*$N$8+$O$45*$O$8+$P$45*$P$8</f>
        <v>0</v>
      </c>
      <c r="T45" s="12">
        <f>SUM($Q$45:$R$45)</f>
        <v>0</v>
      </c>
      <c r="U45" s="12">
        <f>$S$45+$T$45</f>
        <v>0</v>
      </c>
    </row>
    <row r="46" spans="1:21" x14ac:dyDescent="0.3">
      <c r="A46" s="13" t="s">
        <v>164</v>
      </c>
      <c r="B46" s="14" t="s">
        <v>165</v>
      </c>
      <c r="C46" s="14"/>
      <c r="D46" s="14" t="s">
        <v>166</v>
      </c>
      <c r="E46" s="14">
        <f xml:space="preserve"> IF($U$46,1,0)</f>
        <v>0</v>
      </c>
      <c r="F46" s="14" t="s">
        <v>167</v>
      </c>
      <c r="G46" s="14">
        <v>0</v>
      </c>
      <c r="H46" s="14">
        <v>0</v>
      </c>
      <c r="I46" s="14">
        <v>0</v>
      </c>
      <c r="J46" s="14">
        <v>0</v>
      </c>
      <c r="K46" s="14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5"/>
      <c r="R46" s="15"/>
      <c r="S46" s="15">
        <f>$G$46*$G$8+$H$46*$H$8+$I$46*$I$8+$J$46*$J$8+$K$46*$K$8+$L$46*$L$8+$M$46*$M$8+$N$46*$N$8+$O$46*$O$8+$P$46*$P$8</f>
        <v>0</v>
      </c>
      <c r="T46" s="15">
        <f>SUM($Q$46:$R$46)</f>
        <v>0</v>
      </c>
      <c r="U46" s="15">
        <f>$S$46+$T$46</f>
        <v>0</v>
      </c>
    </row>
    <row r="47" spans="1:21" x14ac:dyDescent="0.3">
      <c r="A47" s="10" t="s">
        <v>168</v>
      </c>
      <c r="B47" s="11" t="s">
        <v>169</v>
      </c>
      <c r="C47" s="11" t="s">
        <v>65</v>
      </c>
      <c r="D47" s="11" t="s">
        <v>170</v>
      </c>
      <c r="E47" s="11">
        <f xml:space="preserve"> IF($U$47,1,0)</f>
        <v>0</v>
      </c>
      <c r="F47" s="11" t="s">
        <v>171</v>
      </c>
      <c r="G47" s="11">
        <v>0</v>
      </c>
      <c r="H47" s="11">
        <v>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2"/>
      <c r="R47" s="12"/>
      <c r="S47" s="12">
        <f>$G$47*$G$8+$H$47*$H$8+$I$47*$I$8+$J$47*$J$8+$K$47*$K$8+$L$47*$L$8+$M$47*$M$8+$N$47*$N$8+$O$47*$O$8+$P$47*$P$8</f>
        <v>0</v>
      </c>
      <c r="T47" s="12">
        <f>SUM($Q$47:$R$47)</f>
        <v>0</v>
      </c>
      <c r="U47" s="12">
        <f>$S$47+$T$47</f>
        <v>0</v>
      </c>
    </row>
    <row r="48" spans="1:21" x14ac:dyDescent="0.3">
      <c r="A48" s="13" t="s">
        <v>172</v>
      </c>
      <c r="B48" s="14" t="s">
        <v>173</v>
      </c>
      <c r="C48" s="14"/>
      <c r="D48" s="14" t="s">
        <v>174</v>
      </c>
      <c r="E48" s="14">
        <f xml:space="preserve"> IF($U$48,1,0)</f>
        <v>0</v>
      </c>
      <c r="F48" s="14" t="s">
        <v>175</v>
      </c>
      <c r="G48" s="14">
        <v>0</v>
      </c>
      <c r="H48" s="14">
        <v>0</v>
      </c>
      <c r="I48" s="14">
        <v>0</v>
      </c>
      <c r="J48" s="14">
        <v>0</v>
      </c>
      <c r="K48" s="14">
        <v>0</v>
      </c>
      <c r="L48" s="14">
        <v>0</v>
      </c>
      <c r="M48" s="14">
        <v>0</v>
      </c>
      <c r="N48" s="14">
        <v>0</v>
      </c>
      <c r="O48" s="14">
        <v>0</v>
      </c>
      <c r="P48" s="14">
        <v>0</v>
      </c>
      <c r="Q48" s="15"/>
      <c r="R48" s="15"/>
      <c r="S48" s="15">
        <f>$G$48*$G$8+$H$48*$H$8+$I$48*$I$8+$J$48*$J$8+$K$48*$K$8+$L$48*$L$8+$M$48*$M$8+$N$48*$N$8+$O$48*$O$8+$P$48*$P$8</f>
        <v>0</v>
      </c>
      <c r="T48" s="15">
        <f>SUM($Q$48:$R$48)</f>
        <v>0</v>
      </c>
      <c r="U48" s="15">
        <f>$S$48+$T$48</f>
        <v>0</v>
      </c>
    </row>
    <row r="49" spans="1:21" x14ac:dyDescent="0.3">
      <c r="A49" s="10" t="s">
        <v>176</v>
      </c>
      <c r="B49" s="11" t="s">
        <v>177</v>
      </c>
      <c r="C49" s="11"/>
      <c r="D49" s="11" t="s">
        <v>178</v>
      </c>
      <c r="E49" s="11">
        <f xml:space="preserve"> IF($U$49,1,0)</f>
        <v>1</v>
      </c>
      <c r="F49" s="11" t="s">
        <v>179</v>
      </c>
      <c r="G49" s="11">
        <v>0</v>
      </c>
      <c r="H49" s="11">
        <v>0</v>
      </c>
      <c r="I49" s="11">
        <v>0</v>
      </c>
      <c r="J49" s="11">
        <v>0</v>
      </c>
      <c r="K49" s="11">
        <v>0</v>
      </c>
      <c r="L49" s="11">
        <v>0</v>
      </c>
      <c r="M49" s="11">
        <v>0</v>
      </c>
      <c r="N49" s="11">
        <v>0</v>
      </c>
      <c r="O49" s="11">
        <v>0</v>
      </c>
      <c r="P49" s="11">
        <v>0</v>
      </c>
      <c r="Q49" s="12"/>
      <c r="R49" s="12">
        <f>$T$344</f>
        <v>1.7857142857142858</v>
      </c>
      <c r="S49" s="12">
        <f>$G$49*$G$8+$H$49*$H$8+$I$49*$I$8+$J$49*$J$8+$K$49*$K$8+$L$49*$L$8+$M$49*$M$8+$N$49*$N$8+$O$49*$O$8+$P$49*$P$8</f>
        <v>0</v>
      </c>
      <c r="T49" s="12">
        <f>SUM($Q$49:$R$49)</f>
        <v>1.7857142857142858</v>
      </c>
      <c r="U49" s="12">
        <f>$S$49+$T$49</f>
        <v>1.7857142857142858</v>
      </c>
    </row>
    <row r="50" spans="1:21" x14ac:dyDescent="0.3">
      <c r="A50" s="13" t="s">
        <v>180</v>
      </c>
      <c r="B50" s="14" t="s">
        <v>177</v>
      </c>
      <c r="C50" s="14"/>
      <c r="D50" s="14" t="s">
        <v>181</v>
      </c>
      <c r="E50" s="14">
        <f xml:space="preserve"> IF($U$50,1,0)</f>
        <v>1</v>
      </c>
      <c r="F50" s="14" t="s">
        <v>182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  <c r="M50" s="14">
        <v>0</v>
      </c>
      <c r="N50" s="14">
        <v>3</v>
      </c>
      <c r="O50" s="14">
        <v>0</v>
      </c>
      <c r="P50" s="14">
        <v>2</v>
      </c>
      <c r="Q50" s="15">
        <f>$T$343</f>
        <v>2.5</v>
      </c>
      <c r="R50" s="15"/>
      <c r="S50" s="15">
        <f>$G$50*$G$8+$H$50*$H$8+$I$50*$I$8+$J$50*$J$8+$K$50*$K$8+$L$50*$L$8+$M$50*$M$8+$N$50*$N$8+$O$50*$O$8+$P$50*$P$8</f>
        <v>15.8</v>
      </c>
      <c r="T50" s="15">
        <f>SUM($Q$50:$R$50)</f>
        <v>2.5</v>
      </c>
      <c r="U50" s="15">
        <f>$S$50+$T$50</f>
        <v>18.3</v>
      </c>
    </row>
    <row r="51" spans="1:21" x14ac:dyDescent="0.3">
      <c r="A51" s="10" t="s">
        <v>183</v>
      </c>
      <c r="B51" s="11" t="s">
        <v>177</v>
      </c>
      <c r="C51" s="11"/>
      <c r="D51" s="11" t="s">
        <v>184</v>
      </c>
      <c r="E51" s="11">
        <f xml:space="preserve"> IF($U$51,1,0)</f>
        <v>0</v>
      </c>
      <c r="F51" s="11" t="s">
        <v>185</v>
      </c>
      <c r="G51" s="11">
        <v>0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2"/>
      <c r="R51" s="12"/>
      <c r="S51" s="12">
        <f>$G$51*$G$8+$H$51*$H$8+$I$51*$I$8+$J$51*$J$8+$K$51*$K$8+$L$51*$L$8+$M$51*$M$8+$N$51*$N$8+$O$51*$O$8+$P$51*$P$8</f>
        <v>0</v>
      </c>
      <c r="T51" s="12">
        <f>SUM($Q$51:$R$51)</f>
        <v>0</v>
      </c>
      <c r="U51" s="12">
        <f>$S$51+$T$51</f>
        <v>0</v>
      </c>
    </row>
    <row r="52" spans="1:21" x14ac:dyDescent="0.3">
      <c r="A52" s="13" t="s">
        <v>186</v>
      </c>
      <c r="B52" s="14" t="s">
        <v>177</v>
      </c>
      <c r="C52" s="14"/>
      <c r="D52" s="14" t="s">
        <v>187</v>
      </c>
      <c r="E52" s="14">
        <f xml:space="preserve"> IF($U$52,1,0)</f>
        <v>0</v>
      </c>
      <c r="F52" s="14" t="s">
        <v>188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5"/>
      <c r="R52" s="15"/>
      <c r="S52" s="15">
        <f>$G$52*$G$8+$H$52*$H$8+$I$52*$I$8+$J$52*$J$8+$K$52*$K$8+$L$52*$L$8+$M$52*$M$8+$N$52*$N$8+$O$52*$O$8+$P$52*$P$8</f>
        <v>0</v>
      </c>
      <c r="T52" s="15">
        <f>SUM($Q$52:$R$52)</f>
        <v>0</v>
      </c>
      <c r="U52" s="15">
        <f>$S$52+$T$52</f>
        <v>0</v>
      </c>
    </row>
    <row r="53" spans="1:21" x14ac:dyDescent="0.3">
      <c r="A53" s="10" t="s">
        <v>189</v>
      </c>
      <c r="B53" s="11" t="s">
        <v>177</v>
      </c>
      <c r="C53" s="11"/>
      <c r="D53" s="11" t="s">
        <v>190</v>
      </c>
      <c r="E53" s="11">
        <f xml:space="preserve"> IF($U$53,1,0)</f>
        <v>0</v>
      </c>
      <c r="F53" s="11" t="s">
        <v>191</v>
      </c>
      <c r="G53" s="11">
        <v>0</v>
      </c>
      <c r="H53" s="11">
        <v>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2"/>
      <c r="R53" s="12"/>
      <c r="S53" s="12">
        <f>$G$53*$G$8+$H$53*$H$8+$I$53*$I$8+$J$53*$J$8+$K$53*$K$8+$L$53*$L$8+$M$53*$M$8+$N$53*$N$8+$O$53*$O$8+$P$53*$P$8</f>
        <v>0</v>
      </c>
      <c r="T53" s="12">
        <f>SUM($Q$53:$R$53)</f>
        <v>0</v>
      </c>
      <c r="U53" s="12">
        <f>$S$53+$T$53</f>
        <v>0</v>
      </c>
    </row>
    <row r="54" spans="1:21" x14ac:dyDescent="0.3">
      <c r="A54" s="13" t="s">
        <v>192</v>
      </c>
      <c r="B54" s="14" t="s">
        <v>177</v>
      </c>
      <c r="C54" s="14"/>
      <c r="D54" s="14" t="s">
        <v>193</v>
      </c>
      <c r="E54" s="14">
        <f xml:space="preserve"> IF($U$54,1,0)</f>
        <v>0</v>
      </c>
      <c r="F54" s="14" t="s">
        <v>194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5"/>
      <c r="R54" s="15"/>
      <c r="S54" s="15">
        <f>$G$54*$G$8+$H$54*$H$8+$I$54*$I$8+$J$54*$J$8+$K$54*$K$8+$L$54*$L$8+$M$54*$M$8+$N$54*$N$8+$O$54*$O$8+$P$54*$P$8</f>
        <v>0</v>
      </c>
      <c r="T54" s="15">
        <f>SUM($Q$54:$R$54)</f>
        <v>0</v>
      </c>
      <c r="U54" s="15">
        <f>$S$54+$T$54</f>
        <v>0</v>
      </c>
    </row>
    <row r="55" spans="1:21" x14ac:dyDescent="0.3">
      <c r="A55" s="10" t="s">
        <v>195</v>
      </c>
      <c r="B55" s="11" t="s">
        <v>177</v>
      </c>
      <c r="C55" s="11"/>
      <c r="D55" s="11" t="s">
        <v>196</v>
      </c>
      <c r="E55" s="11">
        <f xml:space="preserve"> IF($U$55,1,0)</f>
        <v>0</v>
      </c>
      <c r="F55" s="11" t="s">
        <v>197</v>
      </c>
      <c r="G55" s="11">
        <v>0</v>
      </c>
      <c r="H55" s="11">
        <v>0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2"/>
      <c r="R55" s="12"/>
      <c r="S55" s="12">
        <f>$G$55*$G$8+$H$55*$H$8+$I$55*$I$8+$J$55*$J$8+$K$55*$K$8+$L$55*$L$8+$M$55*$M$8+$N$55*$N$8+$O$55*$O$8+$P$55*$P$8</f>
        <v>0</v>
      </c>
      <c r="T55" s="12">
        <f>SUM($Q$55:$R$55)</f>
        <v>0</v>
      </c>
      <c r="U55" s="12">
        <f>$S$55+$T$55</f>
        <v>0</v>
      </c>
    </row>
    <row r="56" spans="1:21" x14ac:dyDescent="0.3">
      <c r="A56" s="13" t="s">
        <v>198</v>
      </c>
      <c r="B56" s="14" t="s">
        <v>177</v>
      </c>
      <c r="C56" s="14" t="s">
        <v>65</v>
      </c>
      <c r="D56" s="14" t="s">
        <v>199</v>
      </c>
      <c r="E56" s="14">
        <f xml:space="preserve"> IF($U$56,1,0)</f>
        <v>1</v>
      </c>
      <c r="F56" s="14" t="s">
        <v>200</v>
      </c>
      <c r="G56" s="14">
        <v>0</v>
      </c>
      <c r="H56" s="14">
        <v>0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5">
        <f>$T$343</f>
        <v>2.5</v>
      </c>
      <c r="R56" s="15"/>
      <c r="S56" s="15">
        <f>$G$56*$G$8+$H$56*$H$8+$I$56*$I$8+$J$56*$J$8+$K$56*$K$8+$L$56*$L$8+$M$56*$M$8+$N$56*$N$8+$O$56*$O$8+$P$56*$P$8</f>
        <v>0</v>
      </c>
      <c r="T56" s="15">
        <f>SUM($Q$56:$R$56)</f>
        <v>2.5</v>
      </c>
      <c r="U56" s="15">
        <f>$S$56+$T$56</f>
        <v>2.5</v>
      </c>
    </row>
    <row r="57" spans="1:21" x14ac:dyDescent="0.3">
      <c r="A57" s="10" t="s">
        <v>201</v>
      </c>
      <c r="B57" s="11" t="s">
        <v>177</v>
      </c>
      <c r="C57" s="11" t="s">
        <v>202</v>
      </c>
      <c r="D57" s="11" t="s">
        <v>203</v>
      </c>
      <c r="E57" s="11">
        <f xml:space="preserve"> IF($U$57,1,0)</f>
        <v>0</v>
      </c>
      <c r="F57" s="11" t="s">
        <v>204</v>
      </c>
      <c r="G57" s="11">
        <v>0</v>
      </c>
      <c r="H57" s="11">
        <v>0</v>
      </c>
      <c r="I57" s="11">
        <v>0</v>
      </c>
      <c r="J57" s="11">
        <v>0</v>
      </c>
      <c r="K57" s="11">
        <v>0</v>
      </c>
      <c r="L57" s="11">
        <v>0</v>
      </c>
      <c r="M57" s="11">
        <v>0</v>
      </c>
      <c r="N57" s="11">
        <v>0</v>
      </c>
      <c r="O57" s="11">
        <v>0</v>
      </c>
      <c r="P57" s="11">
        <v>0</v>
      </c>
      <c r="Q57" s="12"/>
      <c r="R57" s="12"/>
      <c r="S57" s="12">
        <f>$G$57*$G$8+$H$57*$H$8+$I$57*$I$8+$J$57*$J$8+$K$57*$K$8+$L$57*$L$8+$M$57*$M$8+$N$57*$N$8+$O$57*$O$8+$P$57*$P$8</f>
        <v>0</v>
      </c>
      <c r="T57" s="12">
        <f>SUM($Q$57:$R$57)</f>
        <v>0</v>
      </c>
      <c r="U57" s="12">
        <f>$S$57+$T$57</f>
        <v>0</v>
      </c>
    </row>
    <row r="58" spans="1:21" x14ac:dyDescent="0.3">
      <c r="A58" s="13" t="s">
        <v>205</v>
      </c>
      <c r="B58" s="14" t="s">
        <v>206</v>
      </c>
      <c r="C58" s="14"/>
      <c r="D58" s="14" t="s">
        <v>207</v>
      </c>
      <c r="E58" s="14">
        <f xml:space="preserve"> IF($U$58,1,0)</f>
        <v>0</v>
      </c>
      <c r="F58" s="14" t="s">
        <v>208</v>
      </c>
      <c r="G58" s="14">
        <v>0</v>
      </c>
      <c r="H58" s="14">
        <v>0</v>
      </c>
      <c r="I58" s="14">
        <v>0</v>
      </c>
      <c r="J58" s="14">
        <v>0</v>
      </c>
      <c r="K58" s="14">
        <v>0</v>
      </c>
      <c r="L58" s="14">
        <v>0</v>
      </c>
      <c r="M58" s="14">
        <v>0</v>
      </c>
      <c r="N58" s="14">
        <v>0</v>
      </c>
      <c r="O58" s="14">
        <v>0</v>
      </c>
      <c r="P58" s="14">
        <v>0</v>
      </c>
      <c r="Q58" s="15"/>
      <c r="R58" s="15"/>
      <c r="S58" s="15">
        <f>$G$58*$G$8+$H$58*$H$8+$I$58*$I$8+$J$58*$J$8+$K$58*$K$8+$L$58*$L$8+$M$58*$M$8+$N$58*$N$8+$O$58*$O$8+$P$58*$P$8</f>
        <v>0</v>
      </c>
      <c r="T58" s="15">
        <f>SUM($Q$58:$R$58)</f>
        <v>0</v>
      </c>
      <c r="U58" s="15">
        <f>$S$58+$T$58</f>
        <v>0</v>
      </c>
    </row>
    <row r="59" spans="1:21" x14ac:dyDescent="0.3">
      <c r="A59" s="10" t="s">
        <v>209</v>
      </c>
      <c r="B59" s="11" t="s">
        <v>210</v>
      </c>
      <c r="C59" s="11"/>
      <c r="D59" s="11" t="s">
        <v>211</v>
      </c>
      <c r="E59" s="11">
        <f xml:space="preserve"> IF($U$59,1,0)</f>
        <v>0</v>
      </c>
      <c r="F59" s="11" t="s">
        <v>212</v>
      </c>
      <c r="G59" s="11">
        <v>0</v>
      </c>
      <c r="H59" s="11">
        <v>0</v>
      </c>
      <c r="I59" s="11">
        <v>0</v>
      </c>
      <c r="J59" s="11">
        <v>0</v>
      </c>
      <c r="K59" s="11">
        <v>0</v>
      </c>
      <c r="L59" s="11">
        <v>0</v>
      </c>
      <c r="M59" s="11">
        <v>0</v>
      </c>
      <c r="N59" s="11">
        <v>0</v>
      </c>
      <c r="O59" s="11">
        <v>0</v>
      </c>
      <c r="P59" s="11">
        <v>0</v>
      </c>
      <c r="Q59" s="12"/>
      <c r="R59" s="12"/>
      <c r="S59" s="12">
        <f>$G$59*$G$8+$H$59*$H$8+$I$59*$I$8+$J$59*$J$8+$K$59*$K$8+$L$59*$L$8+$M$59*$M$8+$N$59*$N$8+$O$59*$O$8+$P$59*$P$8</f>
        <v>0</v>
      </c>
      <c r="T59" s="12">
        <f>SUM($Q$59:$R$59)</f>
        <v>0</v>
      </c>
      <c r="U59" s="12">
        <f>$S$59+$T$59</f>
        <v>0</v>
      </c>
    </row>
    <row r="60" spans="1:21" x14ac:dyDescent="0.3">
      <c r="A60" s="13" t="s">
        <v>213</v>
      </c>
      <c r="B60" s="14" t="s">
        <v>210</v>
      </c>
      <c r="C60" s="14"/>
      <c r="D60" s="14" t="s">
        <v>214</v>
      </c>
      <c r="E60" s="14">
        <f xml:space="preserve"> IF($U$60,1,0)</f>
        <v>0</v>
      </c>
      <c r="F60" s="14" t="s">
        <v>215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0</v>
      </c>
      <c r="M60" s="14">
        <v>0</v>
      </c>
      <c r="N60" s="14">
        <v>0</v>
      </c>
      <c r="O60" s="14">
        <v>0</v>
      </c>
      <c r="P60" s="14">
        <v>0</v>
      </c>
      <c r="Q60" s="15"/>
      <c r="R60" s="15"/>
      <c r="S60" s="15">
        <f>$G$60*$G$8+$H$60*$H$8+$I$60*$I$8+$J$60*$J$8+$K$60*$K$8+$L$60*$L$8+$M$60*$M$8+$N$60*$N$8+$O$60*$O$8+$P$60*$P$8</f>
        <v>0</v>
      </c>
      <c r="T60" s="15">
        <f>SUM($Q$60:$R$60)</f>
        <v>0</v>
      </c>
      <c r="U60" s="15">
        <f>$S$60+$T$60</f>
        <v>0</v>
      </c>
    </row>
    <row r="61" spans="1:21" x14ac:dyDescent="0.3">
      <c r="A61" s="10" t="s">
        <v>216</v>
      </c>
      <c r="B61" s="11" t="s">
        <v>217</v>
      </c>
      <c r="C61" s="11"/>
      <c r="D61" s="11" t="s">
        <v>218</v>
      </c>
      <c r="E61" s="11">
        <f xml:space="preserve"> IF($U$61,1,0)</f>
        <v>0</v>
      </c>
      <c r="F61" s="11" t="s">
        <v>219</v>
      </c>
      <c r="G61" s="11">
        <v>0</v>
      </c>
      <c r="H61" s="11">
        <v>0</v>
      </c>
      <c r="I61" s="11">
        <v>0</v>
      </c>
      <c r="J61" s="11">
        <v>0</v>
      </c>
      <c r="K61" s="11">
        <v>0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2"/>
      <c r="R61" s="12"/>
      <c r="S61" s="12">
        <f>$G$61*$G$8+$H$61*$H$8+$I$61*$I$8+$J$61*$J$8+$K$61*$K$8+$L$61*$L$8+$M$61*$M$8+$N$61*$N$8+$O$61*$O$8+$P$61*$P$8</f>
        <v>0</v>
      </c>
      <c r="T61" s="12">
        <f>SUM($Q$61:$R$61)</f>
        <v>0</v>
      </c>
      <c r="U61" s="12">
        <f>$S$61+$T$61</f>
        <v>0</v>
      </c>
    </row>
    <row r="62" spans="1:21" x14ac:dyDescent="0.3">
      <c r="A62" s="13" t="s">
        <v>220</v>
      </c>
      <c r="B62" s="14" t="s">
        <v>221</v>
      </c>
      <c r="C62" s="14" t="s">
        <v>34</v>
      </c>
      <c r="D62" s="14" t="s">
        <v>222</v>
      </c>
      <c r="E62" s="14">
        <f xml:space="preserve"> IF($U$62,1,0)</f>
        <v>0</v>
      </c>
      <c r="F62" s="14" t="s">
        <v>223</v>
      </c>
      <c r="G62" s="14">
        <v>0</v>
      </c>
      <c r="H62" s="14">
        <v>0</v>
      </c>
      <c r="I62" s="14">
        <v>0</v>
      </c>
      <c r="J62" s="14">
        <v>0</v>
      </c>
      <c r="K62" s="14">
        <v>0</v>
      </c>
      <c r="L62" s="14">
        <v>0</v>
      </c>
      <c r="M62" s="14">
        <v>0</v>
      </c>
      <c r="N62" s="14">
        <v>0</v>
      </c>
      <c r="O62" s="14">
        <v>0</v>
      </c>
      <c r="P62" s="14">
        <v>0</v>
      </c>
      <c r="Q62" s="15"/>
      <c r="R62" s="15"/>
      <c r="S62" s="15">
        <f>$G$62*$G$8+$H$62*$H$8+$I$62*$I$8+$J$62*$J$8+$K$62*$K$8+$L$62*$L$8+$M$62*$M$8+$N$62*$N$8+$O$62*$O$8+$P$62*$P$8</f>
        <v>0</v>
      </c>
      <c r="T62" s="15">
        <f>SUM($Q$62:$R$62)</f>
        <v>0</v>
      </c>
      <c r="U62" s="15">
        <f>$S$62+$T$62</f>
        <v>0</v>
      </c>
    </row>
    <row r="63" spans="1:21" x14ac:dyDescent="0.3">
      <c r="A63" s="10" t="s">
        <v>224</v>
      </c>
      <c r="B63" s="11" t="s">
        <v>225</v>
      </c>
      <c r="C63" s="11"/>
      <c r="D63" s="11" t="s">
        <v>226</v>
      </c>
      <c r="E63" s="11">
        <f xml:space="preserve"> IF($U$63,1,0)</f>
        <v>0</v>
      </c>
      <c r="F63" s="11" t="s">
        <v>227</v>
      </c>
      <c r="G63" s="11">
        <v>0</v>
      </c>
      <c r="H63" s="11">
        <v>0</v>
      </c>
      <c r="I63" s="11">
        <v>0</v>
      </c>
      <c r="J63" s="11">
        <v>0</v>
      </c>
      <c r="K63" s="11">
        <v>0</v>
      </c>
      <c r="L63" s="11">
        <v>0</v>
      </c>
      <c r="M63" s="11">
        <v>0</v>
      </c>
      <c r="N63" s="11">
        <v>0</v>
      </c>
      <c r="O63" s="11">
        <v>0</v>
      </c>
      <c r="P63" s="11">
        <v>0</v>
      </c>
      <c r="Q63" s="12"/>
      <c r="R63" s="12"/>
      <c r="S63" s="12">
        <f>$G$63*$G$8+$H$63*$H$8+$I$63*$I$8+$J$63*$J$8+$K$63*$K$8+$L$63*$L$8+$M$63*$M$8+$N$63*$N$8+$O$63*$O$8+$P$63*$P$8</f>
        <v>0</v>
      </c>
      <c r="T63" s="12">
        <f>SUM($Q$63:$R$63)</f>
        <v>0</v>
      </c>
      <c r="U63" s="12">
        <f>$S$63+$T$63</f>
        <v>0</v>
      </c>
    </row>
    <row r="64" spans="1:21" x14ac:dyDescent="0.3">
      <c r="A64" s="13" t="s">
        <v>228</v>
      </c>
      <c r="B64" s="14" t="s">
        <v>225</v>
      </c>
      <c r="C64" s="14"/>
      <c r="D64" s="14" t="s">
        <v>229</v>
      </c>
      <c r="E64" s="14">
        <f xml:space="preserve"> IF($U$64,1,0)</f>
        <v>0</v>
      </c>
      <c r="F64" s="14" t="s">
        <v>230</v>
      </c>
      <c r="G64" s="14">
        <v>0</v>
      </c>
      <c r="H64" s="14">
        <v>0</v>
      </c>
      <c r="I64" s="14">
        <v>0</v>
      </c>
      <c r="J64" s="14">
        <v>0</v>
      </c>
      <c r="K64" s="14">
        <v>0</v>
      </c>
      <c r="L64" s="14">
        <v>0</v>
      </c>
      <c r="M64" s="14">
        <v>0</v>
      </c>
      <c r="N64" s="14">
        <v>0</v>
      </c>
      <c r="O64" s="14">
        <v>0</v>
      </c>
      <c r="P64" s="14">
        <v>0</v>
      </c>
      <c r="Q64" s="15"/>
      <c r="R64" s="15"/>
      <c r="S64" s="15">
        <f>$G$64*$G$8+$H$64*$H$8+$I$64*$I$8+$J$64*$J$8+$K$64*$K$8+$L$64*$L$8+$M$64*$M$8+$N$64*$N$8+$O$64*$O$8+$P$64*$P$8</f>
        <v>0</v>
      </c>
      <c r="T64" s="15">
        <f>SUM($Q$64:$R$64)</f>
        <v>0</v>
      </c>
      <c r="U64" s="15">
        <f>$S$64+$T$64</f>
        <v>0</v>
      </c>
    </row>
    <row r="65" spans="1:21" x14ac:dyDescent="0.3">
      <c r="A65" s="10" t="s">
        <v>231</v>
      </c>
      <c r="B65" s="11" t="s">
        <v>225</v>
      </c>
      <c r="C65" s="11"/>
      <c r="D65" s="11" t="s">
        <v>232</v>
      </c>
      <c r="E65" s="11">
        <f xml:space="preserve"> IF($U$65,1,0)</f>
        <v>0</v>
      </c>
      <c r="F65" s="11" t="s">
        <v>233</v>
      </c>
      <c r="G65" s="11">
        <v>0</v>
      </c>
      <c r="H65" s="11">
        <v>0</v>
      </c>
      <c r="I65" s="11">
        <v>0</v>
      </c>
      <c r="J65" s="11">
        <v>0</v>
      </c>
      <c r="K65" s="11">
        <v>0</v>
      </c>
      <c r="L65" s="11">
        <v>0</v>
      </c>
      <c r="M65" s="11">
        <v>0</v>
      </c>
      <c r="N65" s="11">
        <v>0</v>
      </c>
      <c r="O65" s="11">
        <v>0</v>
      </c>
      <c r="P65" s="11">
        <v>0</v>
      </c>
      <c r="Q65" s="12"/>
      <c r="R65" s="12"/>
      <c r="S65" s="12">
        <f>$G$65*$G$8+$H$65*$H$8+$I$65*$I$8+$J$65*$J$8+$K$65*$K$8+$L$65*$L$8+$M$65*$M$8+$N$65*$N$8+$O$65*$O$8+$P$65*$P$8</f>
        <v>0</v>
      </c>
      <c r="T65" s="12">
        <f>SUM($Q$65:$R$65)</f>
        <v>0</v>
      </c>
      <c r="U65" s="12">
        <f>$S$65+$T$65</f>
        <v>0</v>
      </c>
    </row>
    <row r="66" spans="1:21" x14ac:dyDescent="0.3">
      <c r="A66" s="13" t="s">
        <v>234</v>
      </c>
      <c r="B66" s="14" t="s">
        <v>235</v>
      </c>
      <c r="C66" s="14"/>
      <c r="D66" s="14" t="s">
        <v>236</v>
      </c>
      <c r="E66" s="14">
        <f xml:space="preserve"> IF($U$66,1,0)</f>
        <v>0</v>
      </c>
      <c r="F66" s="14" t="s">
        <v>237</v>
      </c>
      <c r="G66" s="14">
        <v>0</v>
      </c>
      <c r="H66" s="14">
        <v>0</v>
      </c>
      <c r="I66" s="14">
        <v>0</v>
      </c>
      <c r="J66" s="14">
        <v>0</v>
      </c>
      <c r="K66" s="14">
        <v>0</v>
      </c>
      <c r="L66" s="14">
        <v>0</v>
      </c>
      <c r="M66" s="14">
        <v>0</v>
      </c>
      <c r="N66" s="14">
        <v>0</v>
      </c>
      <c r="O66" s="14">
        <v>0</v>
      </c>
      <c r="P66" s="14">
        <v>0</v>
      </c>
      <c r="Q66" s="15"/>
      <c r="R66" s="15"/>
      <c r="S66" s="15">
        <f>$G$66*$G$8+$H$66*$H$8+$I$66*$I$8+$J$66*$J$8+$K$66*$K$8+$L$66*$L$8+$M$66*$M$8+$N$66*$N$8+$O$66*$O$8+$P$66*$P$8</f>
        <v>0</v>
      </c>
      <c r="T66" s="15">
        <f>SUM($Q$66:$R$66)</f>
        <v>0</v>
      </c>
      <c r="U66" s="15">
        <f>$S$66+$T$66</f>
        <v>0</v>
      </c>
    </row>
    <row r="67" spans="1:21" x14ac:dyDescent="0.3">
      <c r="A67" s="10" t="s">
        <v>238</v>
      </c>
      <c r="B67" s="11" t="s">
        <v>235</v>
      </c>
      <c r="C67" s="11" t="s">
        <v>34</v>
      </c>
      <c r="D67" s="11" t="s">
        <v>239</v>
      </c>
      <c r="E67" s="11">
        <f xml:space="preserve"> IF($U$67,1,0)</f>
        <v>0</v>
      </c>
      <c r="F67" s="11" t="s">
        <v>240</v>
      </c>
      <c r="G67" s="11">
        <v>0</v>
      </c>
      <c r="H67" s="11">
        <v>0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2"/>
      <c r="R67" s="12"/>
      <c r="S67" s="12">
        <f>$G$67*$G$8+$H$67*$H$8+$I$67*$I$8+$J$67*$J$8+$K$67*$K$8+$L$67*$L$8+$M$67*$M$8+$N$67*$N$8+$O$67*$O$8+$P$67*$P$8</f>
        <v>0</v>
      </c>
      <c r="T67" s="12">
        <f>SUM($Q$67:$R$67)</f>
        <v>0</v>
      </c>
      <c r="U67" s="12">
        <f>$S$67+$T$67</f>
        <v>0</v>
      </c>
    </row>
    <row r="68" spans="1:21" x14ac:dyDescent="0.3">
      <c r="A68" s="13" t="s">
        <v>241</v>
      </c>
      <c r="B68" s="14" t="s">
        <v>242</v>
      </c>
      <c r="C68" s="14" t="s">
        <v>243</v>
      </c>
      <c r="D68" s="14" t="s">
        <v>244</v>
      </c>
      <c r="E68" s="14">
        <f xml:space="preserve"> IF($U$68,1,0)</f>
        <v>0</v>
      </c>
      <c r="F68" s="14" t="s">
        <v>245</v>
      </c>
      <c r="G68" s="14">
        <v>0</v>
      </c>
      <c r="H68" s="14">
        <v>0</v>
      </c>
      <c r="I68" s="14">
        <v>0</v>
      </c>
      <c r="J68" s="14">
        <v>0</v>
      </c>
      <c r="K68" s="14">
        <v>0</v>
      </c>
      <c r="L68" s="14">
        <v>0</v>
      </c>
      <c r="M68" s="14">
        <v>0</v>
      </c>
      <c r="N68" s="14">
        <v>0</v>
      </c>
      <c r="O68" s="14">
        <v>0</v>
      </c>
      <c r="P68" s="14">
        <v>0</v>
      </c>
      <c r="Q68" s="15"/>
      <c r="R68" s="15"/>
      <c r="S68" s="15">
        <f>$G$68*$G$8+$H$68*$H$8+$I$68*$I$8+$J$68*$J$8+$K$68*$K$8+$L$68*$L$8+$M$68*$M$8+$N$68*$N$8+$O$68*$O$8+$P$68*$P$8</f>
        <v>0</v>
      </c>
      <c r="T68" s="15">
        <f>SUM($Q$68:$R$68)</f>
        <v>0</v>
      </c>
      <c r="U68" s="15">
        <f>$S$68+$T$68</f>
        <v>0</v>
      </c>
    </row>
    <row r="69" spans="1:21" x14ac:dyDescent="0.3">
      <c r="A69" s="10" t="s">
        <v>246</v>
      </c>
      <c r="B69" s="11" t="s">
        <v>242</v>
      </c>
      <c r="C69" s="11"/>
      <c r="D69" s="11" t="s">
        <v>247</v>
      </c>
      <c r="E69" s="11">
        <f xml:space="preserve"> IF($U$69,1,0)</f>
        <v>0</v>
      </c>
      <c r="F69" s="11" t="s">
        <v>248</v>
      </c>
      <c r="G69" s="11">
        <v>0</v>
      </c>
      <c r="H69" s="11">
        <v>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2"/>
      <c r="R69" s="12"/>
      <c r="S69" s="12">
        <f>$G$69*$G$8+$H$69*$H$8+$I$69*$I$8+$J$69*$J$8+$K$69*$K$8+$L$69*$L$8+$M$69*$M$8+$N$69*$N$8+$O$69*$O$8+$P$69*$P$8</f>
        <v>0</v>
      </c>
      <c r="T69" s="12">
        <f>SUM($Q$69:$R$69)</f>
        <v>0</v>
      </c>
      <c r="U69" s="12">
        <f>$S$69+$T$69</f>
        <v>0</v>
      </c>
    </row>
    <row r="70" spans="1:21" x14ac:dyDescent="0.3">
      <c r="A70" s="13" t="s">
        <v>249</v>
      </c>
      <c r="B70" s="14" t="s">
        <v>242</v>
      </c>
      <c r="C70" s="14" t="s">
        <v>34</v>
      </c>
      <c r="D70" s="14" t="s">
        <v>250</v>
      </c>
      <c r="E70" s="14">
        <f xml:space="preserve"> IF($U$70,1,0)</f>
        <v>0</v>
      </c>
      <c r="F70" s="14" t="s">
        <v>251</v>
      </c>
      <c r="G70" s="14">
        <v>0</v>
      </c>
      <c r="H70" s="14">
        <v>0</v>
      </c>
      <c r="I70" s="14">
        <v>0</v>
      </c>
      <c r="J70" s="14">
        <v>0</v>
      </c>
      <c r="K70" s="14">
        <v>0</v>
      </c>
      <c r="L70" s="14">
        <v>0</v>
      </c>
      <c r="M70" s="14">
        <v>0</v>
      </c>
      <c r="N70" s="14">
        <v>0</v>
      </c>
      <c r="O70" s="14">
        <v>0</v>
      </c>
      <c r="P70" s="14">
        <v>0</v>
      </c>
      <c r="Q70" s="15"/>
      <c r="R70" s="15"/>
      <c r="S70" s="15">
        <f>$G$70*$G$8+$H$70*$H$8+$I$70*$I$8+$J$70*$J$8+$K$70*$K$8+$L$70*$L$8+$M$70*$M$8+$N$70*$N$8+$O$70*$O$8+$P$70*$P$8</f>
        <v>0</v>
      </c>
      <c r="T70" s="15">
        <f>SUM($Q$70:$R$70)</f>
        <v>0</v>
      </c>
      <c r="U70" s="15">
        <f>$S$70+$T$70</f>
        <v>0</v>
      </c>
    </row>
    <row r="71" spans="1:21" x14ac:dyDescent="0.3">
      <c r="A71" s="10" t="s">
        <v>252</v>
      </c>
      <c r="B71" s="11" t="s">
        <v>253</v>
      </c>
      <c r="C71" s="11"/>
      <c r="D71" s="11" t="s">
        <v>254</v>
      </c>
      <c r="E71" s="11">
        <f xml:space="preserve"> IF($U$71,1,0)</f>
        <v>0</v>
      </c>
      <c r="F71" s="11" t="s">
        <v>255</v>
      </c>
      <c r="G71" s="11">
        <v>0</v>
      </c>
      <c r="H71" s="11">
        <v>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0</v>
      </c>
      <c r="O71" s="11">
        <v>0</v>
      </c>
      <c r="P71" s="11">
        <v>0</v>
      </c>
      <c r="Q71" s="12"/>
      <c r="R71" s="12"/>
      <c r="S71" s="12">
        <f>$G$71*$G$8+$H$71*$H$8+$I$71*$I$8+$J$71*$J$8+$K$71*$K$8+$L$71*$L$8+$M$71*$M$8+$N$71*$N$8+$O$71*$O$8+$P$71*$P$8</f>
        <v>0</v>
      </c>
      <c r="T71" s="12">
        <f>SUM($Q$71:$R$71)</f>
        <v>0</v>
      </c>
      <c r="U71" s="12">
        <f>$S$71+$T$71</f>
        <v>0</v>
      </c>
    </row>
    <row r="72" spans="1:21" x14ac:dyDescent="0.3">
      <c r="A72" s="13" t="s">
        <v>1283</v>
      </c>
      <c r="B72" s="14" t="s">
        <v>1284</v>
      </c>
      <c r="C72" s="14"/>
      <c r="D72" s="14" t="s">
        <v>1285</v>
      </c>
      <c r="E72" s="14">
        <f xml:space="preserve"> IF($U$72,1,0)</f>
        <v>0</v>
      </c>
      <c r="F72" s="14" t="s">
        <v>1286</v>
      </c>
      <c r="G72" s="14">
        <v>0</v>
      </c>
      <c r="H72" s="14">
        <v>0</v>
      </c>
      <c r="I72" s="14">
        <v>0</v>
      </c>
      <c r="J72" s="14">
        <v>0</v>
      </c>
      <c r="K72" s="14">
        <v>0</v>
      </c>
      <c r="L72" s="14">
        <v>0</v>
      </c>
      <c r="M72" s="14">
        <v>0</v>
      </c>
      <c r="N72" s="14">
        <v>0</v>
      </c>
      <c r="O72" s="14">
        <v>0</v>
      </c>
      <c r="P72" s="14">
        <v>0</v>
      </c>
      <c r="Q72" s="15"/>
      <c r="R72" s="15"/>
      <c r="S72" s="15">
        <f>$G$72*$G$8+$H$72*$H$8+$I$72*$I$8+$J$72*$J$8+$K$72*$K$8+$L$72*$L$8+$M$72*$M$8+$N$72*$N$8+$O$72*$O$8+$P$72*$P$8</f>
        <v>0</v>
      </c>
      <c r="T72" s="15">
        <f>SUM($Q$72:$R$72)</f>
        <v>0</v>
      </c>
      <c r="U72" s="15">
        <f>$S$72+$T$72</f>
        <v>0</v>
      </c>
    </row>
    <row r="73" spans="1:21" x14ac:dyDescent="0.3">
      <c r="A73" s="10" t="s">
        <v>256</v>
      </c>
      <c r="B73" s="11" t="s">
        <v>257</v>
      </c>
      <c r="C73" s="11"/>
      <c r="D73" s="11" t="s">
        <v>258</v>
      </c>
      <c r="E73" s="11">
        <f xml:space="preserve"> IF($U$73,1,0)</f>
        <v>0</v>
      </c>
      <c r="F73" s="11" t="s">
        <v>259</v>
      </c>
      <c r="G73" s="11">
        <v>0</v>
      </c>
      <c r="H73" s="11">
        <v>0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2"/>
      <c r="R73" s="12"/>
      <c r="S73" s="12">
        <f>$G$73*$G$8+$H$73*$H$8+$I$73*$I$8+$J$73*$J$8+$K$73*$K$8+$L$73*$L$8+$M$73*$M$8+$N$73*$N$8+$O$73*$O$8+$P$73*$P$8</f>
        <v>0</v>
      </c>
      <c r="T73" s="12">
        <f>SUM($Q$73:$R$73)</f>
        <v>0</v>
      </c>
      <c r="U73" s="12">
        <f>$S$73+$T$73</f>
        <v>0</v>
      </c>
    </row>
    <row r="74" spans="1:21" x14ac:dyDescent="0.3">
      <c r="A74" s="13" t="s">
        <v>1248</v>
      </c>
      <c r="B74" s="14" t="s">
        <v>1249</v>
      </c>
      <c r="C74" s="14"/>
      <c r="D74" s="14" t="s">
        <v>1250</v>
      </c>
      <c r="E74" s="14">
        <f xml:space="preserve"> IF($U$74,1,0)</f>
        <v>0</v>
      </c>
      <c r="F74" s="14" t="s">
        <v>1251</v>
      </c>
      <c r="G74" s="14">
        <v>0</v>
      </c>
      <c r="H74" s="14">
        <v>0</v>
      </c>
      <c r="I74" s="14">
        <v>0</v>
      </c>
      <c r="J74" s="14">
        <v>0</v>
      </c>
      <c r="K74" s="14">
        <v>0</v>
      </c>
      <c r="L74" s="14">
        <v>0</v>
      </c>
      <c r="M74" s="14">
        <v>0</v>
      </c>
      <c r="N74" s="14">
        <v>0</v>
      </c>
      <c r="O74" s="14">
        <v>0</v>
      </c>
      <c r="P74" s="14">
        <v>0</v>
      </c>
      <c r="Q74" s="15"/>
      <c r="R74" s="15"/>
      <c r="S74" s="15">
        <f>$G$74*$G$8+$H$74*$H$8+$I$74*$I$8+$J$74*$J$8+$K$74*$K$8+$L$74*$L$8+$M$74*$M$8+$N$74*$N$8+$O$74*$O$8+$P$74*$P$8</f>
        <v>0</v>
      </c>
      <c r="T74" s="15">
        <f>SUM($Q$74:$R$74)</f>
        <v>0</v>
      </c>
      <c r="U74" s="15">
        <f>$S$74+$T$74</f>
        <v>0</v>
      </c>
    </row>
    <row r="75" spans="1:21" x14ac:dyDescent="0.3">
      <c r="A75" s="10" t="s">
        <v>260</v>
      </c>
      <c r="B75" s="11" t="s">
        <v>261</v>
      </c>
      <c r="C75" s="11"/>
      <c r="D75" s="11" t="s">
        <v>262</v>
      </c>
      <c r="E75" s="11">
        <f xml:space="preserve"> IF($U$75,1,0)</f>
        <v>0</v>
      </c>
      <c r="F75" s="11" t="s">
        <v>263</v>
      </c>
      <c r="G75" s="11">
        <v>0</v>
      </c>
      <c r="H75" s="11">
        <v>0</v>
      </c>
      <c r="I75" s="11">
        <v>0</v>
      </c>
      <c r="J75" s="11">
        <v>0</v>
      </c>
      <c r="K75" s="11">
        <v>0</v>
      </c>
      <c r="L75" s="11">
        <v>0</v>
      </c>
      <c r="M75" s="11">
        <v>0</v>
      </c>
      <c r="N75" s="11">
        <v>0</v>
      </c>
      <c r="O75" s="11">
        <v>0</v>
      </c>
      <c r="P75" s="11">
        <v>0</v>
      </c>
      <c r="Q75" s="12"/>
      <c r="R75" s="12"/>
      <c r="S75" s="12">
        <f>$G$75*$G$8+$H$75*$H$8+$I$75*$I$8+$J$75*$J$8+$K$75*$K$8+$L$75*$L$8+$M$75*$M$8+$N$75*$N$8+$O$75*$O$8+$P$75*$P$8</f>
        <v>0</v>
      </c>
      <c r="T75" s="12">
        <f>SUM($Q$75:$R$75)</f>
        <v>0</v>
      </c>
      <c r="U75" s="12">
        <f>$S$75+$T$75</f>
        <v>0</v>
      </c>
    </row>
    <row r="76" spans="1:21" x14ac:dyDescent="0.3">
      <c r="A76" s="13" t="s">
        <v>264</v>
      </c>
      <c r="B76" s="14" t="s">
        <v>265</v>
      </c>
      <c r="C76" s="14"/>
      <c r="D76" s="14" t="s">
        <v>266</v>
      </c>
      <c r="E76" s="14">
        <f xml:space="preserve"> IF($U$76,1,0)</f>
        <v>0</v>
      </c>
      <c r="F76" s="14" t="s">
        <v>267</v>
      </c>
      <c r="G76" s="14">
        <v>0</v>
      </c>
      <c r="H76" s="14">
        <v>0</v>
      </c>
      <c r="I76" s="14">
        <v>0</v>
      </c>
      <c r="J76" s="14">
        <v>0</v>
      </c>
      <c r="K76" s="14">
        <v>0</v>
      </c>
      <c r="L76" s="14">
        <v>0</v>
      </c>
      <c r="M76" s="14">
        <v>0</v>
      </c>
      <c r="N76" s="14">
        <v>0</v>
      </c>
      <c r="O76" s="14">
        <v>0</v>
      </c>
      <c r="P76" s="14">
        <v>0</v>
      </c>
      <c r="Q76" s="15"/>
      <c r="R76" s="15"/>
      <c r="S76" s="15">
        <f>$G$76*$G$8+$H$76*$H$8+$I$76*$I$8+$J$76*$J$8+$K$76*$K$8+$L$76*$L$8+$M$76*$M$8+$N$76*$N$8+$O$76*$O$8+$P$76*$P$8</f>
        <v>0</v>
      </c>
      <c r="T76" s="15">
        <f>SUM($Q$76:$R$76)</f>
        <v>0</v>
      </c>
      <c r="U76" s="15">
        <f>$S$76+$T$76</f>
        <v>0</v>
      </c>
    </row>
    <row r="77" spans="1:21" x14ac:dyDescent="0.3">
      <c r="A77" s="10" t="s">
        <v>268</v>
      </c>
      <c r="B77" s="11" t="s">
        <v>269</v>
      </c>
      <c r="C77" s="11"/>
      <c r="D77" s="11" t="s">
        <v>270</v>
      </c>
      <c r="E77" s="11">
        <f xml:space="preserve"> IF($U$77,1,0)</f>
        <v>0</v>
      </c>
      <c r="F77" s="11" t="s">
        <v>271</v>
      </c>
      <c r="G77" s="11">
        <v>0</v>
      </c>
      <c r="H77" s="11">
        <v>0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2"/>
      <c r="R77" s="12"/>
      <c r="S77" s="12">
        <f>$G$77*$G$8+$H$77*$H$8+$I$77*$I$8+$J$77*$J$8+$K$77*$K$8+$L$77*$L$8+$M$77*$M$8+$N$77*$N$8+$O$77*$O$8+$P$77*$P$8</f>
        <v>0</v>
      </c>
      <c r="T77" s="12">
        <f>SUM($Q$77:$R$77)</f>
        <v>0</v>
      </c>
      <c r="U77" s="12">
        <f>$S$77+$T$77</f>
        <v>0</v>
      </c>
    </row>
    <row r="78" spans="1:21" x14ac:dyDescent="0.3">
      <c r="A78" s="13" t="s">
        <v>272</v>
      </c>
      <c r="B78" s="14" t="s">
        <v>273</v>
      </c>
      <c r="C78" s="14"/>
      <c r="D78" s="14" t="s">
        <v>274</v>
      </c>
      <c r="E78" s="14">
        <f xml:space="preserve"> IF($U$78,1,0)</f>
        <v>0</v>
      </c>
      <c r="F78" s="14" t="s">
        <v>275</v>
      </c>
      <c r="G78" s="14">
        <v>0</v>
      </c>
      <c r="H78" s="14">
        <v>0</v>
      </c>
      <c r="I78" s="14">
        <v>0</v>
      </c>
      <c r="J78" s="14">
        <v>0</v>
      </c>
      <c r="K78" s="14">
        <v>0</v>
      </c>
      <c r="L78" s="14">
        <v>0</v>
      </c>
      <c r="M78" s="14">
        <v>0</v>
      </c>
      <c r="N78" s="14">
        <v>0</v>
      </c>
      <c r="O78" s="14">
        <v>0</v>
      </c>
      <c r="P78" s="14">
        <v>0</v>
      </c>
      <c r="Q78" s="15"/>
      <c r="R78" s="15"/>
      <c r="S78" s="15">
        <f>$G$78*$G$8+$H$78*$H$8+$I$78*$I$8+$J$78*$J$8+$K$78*$K$8+$L$78*$L$8+$M$78*$M$8+$N$78*$N$8+$O$78*$O$8+$P$78*$P$8</f>
        <v>0</v>
      </c>
      <c r="T78" s="15">
        <f>SUM($Q$78:$R$78)</f>
        <v>0</v>
      </c>
      <c r="U78" s="15">
        <f>$S$78+$T$78</f>
        <v>0</v>
      </c>
    </row>
    <row r="79" spans="1:21" x14ac:dyDescent="0.3">
      <c r="A79" s="10" t="s">
        <v>276</v>
      </c>
      <c r="B79" s="11" t="s">
        <v>277</v>
      </c>
      <c r="C79" s="11" t="s">
        <v>278</v>
      </c>
      <c r="D79" s="11" t="s">
        <v>279</v>
      </c>
      <c r="E79" s="11">
        <f xml:space="preserve"> IF($U$79,1,0)</f>
        <v>0</v>
      </c>
      <c r="F79" s="11" t="s">
        <v>280</v>
      </c>
      <c r="G79" s="11">
        <v>0</v>
      </c>
      <c r="H79" s="11">
        <v>0</v>
      </c>
      <c r="I79" s="11">
        <v>0</v>
      </c>
      <c r="J79" s="11">
        <v>0</v>
      </c>
      <c r="K79" s="11">
        <v>0</v>
      </c>
      <c r="L79" s="11">
        <v>0</v>
      </c>
      <c r="M79" s="11">
        <v>0</v>
      </c>
      <c r="N79" s="11">
        <v>0</v>
      </c>
      <c r="O79" s="11">
        <v>0</v>
      </c>
      <c r="P79" s="11">
        <v>0</v>
      </c>
      <c r="Q79" s="12"/>
      <c r="R79" s="12"/>
      <c r="S79" s="12">
        <f>$G$79*$G$8+$H$79*$H$8+$I$79*$I$8+$J$79*$J$8+$K$79*$K$8+$L$79*$L$8+$M$79*$M$8+$N$79*$N$8+$O$79*$O$8+$P$79*$P$8</f>
        <v>0</v>
      </c>
      <c r="T79" s="12">
        <f>SUM($Q$79:$R$79)</f>
        <v>0</v>
      </c>
      <c r="U79" s="12">
        <f>$S$79+$T$79</f>
        <v>0</v>
      </c>
    </row>
    <row r="80" spans="1:21" x14ac:dyDescent="0.3">
      <c r="A80" s="13" t="s">
        <v>281</v>
      </c>
      <c r="B80" s="14" t="s">
        <v>282</v>
      </c>
      <c r="C80" s="14" t="s">
        <v>283</v>
      </c>
      <c r="D80" s="14" t="s">
        <v>284</v>
      </c>
      <c r="E80" s="14">
        <f xml:space="preserve"> IF($U$80,1,0)</f>
        <v>0</v>
      </c>
      <c r="F80" s="14" t="s">
        <v>285</v>
      </c>
      <c r="G80" s="14">
        <v>0</v>
      </c>
      <c r="H80" s="14">
        <v>0</v>
      </c>
      <c r="I80" s="14">
        <v>0</v>
      </c>
      <c r="J80" s="14">
        <v>0</v>
      </c>
      <c r="K80" s="14">
        <v>0</v>
      </c>
      <c r="L80" s="14">
        <v>0</v>
      </c>
      <c r="M80" s="14">
        <v>0</v>
      </c>
      <c r="N80" s="14">
        <v>0</v>
      </c>
      <c r="O80" s="14">
        <v>0</v>
      </c>
      <c r="P80" s="14">
        <v>0</v>
      </c>
      <c r="Q80" s="15"/>
      <c r="R80" s="15"/>
      <c r="S80" s="15">
        <f>$G$80*$G$8+$H$80*$H$8+$I$80*$I$8+$J$80*$J$8+$K$80*$K$8+$L$80*$L$8+$M$80*$M$8+$N$80*$N$8+$O$80*$O$8+$P$80*$P$8</f>
        <v>0</v>
      </c>
      <c r="T80" s="15">
        <f>SUM($Q$80:$R$80)</f>
        <v>0</v>
      </c>
      <c r="U80" s="15">
        <f>$S$80+$T$80</f>
        <v>0</v>
      </c>
    </row>
    <row r="81" spans="1:21" x14ac:dyDescent="0.3">
      <c r="A81" s="10" t="s">
        <v>286</v>
      </c>
      <c r="B81" s="11" t="s">
        <v>287</v>
      </c>
      <c r="C81" s="11" t="s">
        <v>278</v>
      </c>
      <c r="D81" s="11" t="s">
        <v>288</v>
      </c>
      <c r="E81" s="11">
        <f xml:space="preserve"> IF($U$81,1,0)</f>
        <v>0</v>
      </c>
      <c r="F81" s="11" t="s">
        <v>289</v>
      </c>
      <c r="G81" s="11">
        <v>0</v>
      </c>
      <c r="H81" s="11">
        <v>0</v>
      </c>
      <c r="I81" s="11">
        <v>0</v>
      </c>
      <c r="J81" s="11">
        <v>0</v>
      </c>
      <c r="K81" s="11">
        <v>0</v>
      </c>
      <c r="L81" s="11">
        <v>0</v>
      </c>
      <c r="M81" s="11">
        <v>0</v>
      </c>
      <c r="N81" s="11">
        <v>0</v>
      </c>
      <c r="O81" s="11">
        <v>0</v>
      </c>
      <c r="P81" s="11">
        <v>0</v>
      </c>
      <c r="Q81" s="12"/>
      <c r="R81" s="12"/>
      <c r="S81" s="12">
        <f>$G$81*$G$8+$H$81*$H$8+$I$81*$I$8+$J$81*$J$8+$K$81*$K$8+$L$81*$L$8+$M$81*$M$8+$N$81*$N$8+$O$81*$O$8+$P$81*$P$8</f>
        <v>0</v>
      </c>
      <c r="T81" s="12">
        <f>SUM($Q$81:$R$81)</f>
        <v>0</v>
      </c>
      <c r="U81" s="12">
        <f>$S$81+$T$81</f>
        <v>0</v>
      </c>
    </row>
    <row r="82" spans="1:21" x14ac:dyDescent="0.3">
      <c r="A82" s="13" t="s">
        <v>290</v>
      </c>
      <c r="B82" s="14" t="s">
        <v>291</v>
      </c>
      <c r="C82" s="14"/>
      <c r="D82" s="14" t="s">
        <v>292</v>
      </c>
      <c r="E82" s="14">
        <f xml:space="preserve"> IF($U$82,1,0)</f>
        <v>0</v>
      </c>
      <c r="F82" s="14" t="s">
        <v>293</v>
      </c>
      <c r="G82" s="14">
        <v>0</v>
      </c>
      <c r="H82" s="14">
        <v>0</v>
      </c>
      <c r="I82" s="14">
        <v>0</v>
      </c>
      <c r="J82" s="14">
        <v>0</v>
      </c>
      <c r="K82" s="14">
        <v>0</v>
      </c>
      <c r="L82" s="14">
        <v>0</v>
      </c>
      <c r="M82" s="14">
        <v>0</v>
      </c>
      <c r="N82" s="14">
        <v>0</v>
      </c>
      <c r="O82" s="14">
        <v>0</v>
      </c>
      <c r="P82" s="14">
        <v>0</v>
      </c>
      <c r="Q82" s="15"/>
      <c r="R82" s="15"/>
      <c r="S82" s="15">
        <f>$G$82*$G$8+$H$82*$H$8+$I$82*$I$8+$J$82*$J$8+$K$82*$K$8+$L$82*$L$8+$M$82*$M$8+$N$82*$N$8+$O$82*$O$8+$P$82*$P$8</f>
        <v>0</v>
      </c>
      <c r="T82" s="15">
        <f>SUM($Q$82:$R$82)</f>
        <v>0</v>
      </c>
      <c r="U82" s="15">
        <f>$S$82+$T$82</f>
        <v>0</v>
      </c>
    </row>
    <row r="83" spans="1:21" x14ac:dyDescent="0.3">
      <c r="A83" s="10" t="s">
        <v>294</v>
      </c>
      <c r="B83" s="11" t="s">
        <v>295</v>
      </c>
      <c r="C83" s="11"/>
      <c r="D83" s="11" t="s">
        <v>296</v>
      </c>
      <c r="E83" s="11">
        <f xml:space="preserve"> IF($U$83,1,0)</f>
        <v>0</v>
      </c>
      <c r="F83" s="11" t="s">
        <v>297</v>
      </c>
      <c r="G83" s="11">
        <v>0</v>
      </c>
      <c r="H83" s="11">
        <v>0</v>
      </c>
      <c r="I83" s="11">
        <v>0</v>
      </c>
      <c r="J83" s="11">
        <v>0</v>
      </c>
      <c r="K83" s="11">
        <v>0</v>
      </c>
      <c r="L83" s="11">
        <v>0</v>
      </c>
      <c r="M83" s="11">
        <v>0</v>
      </c>
      <c r="N83" s="11">
        <v>0</v>
      </c>
      <c r="O83" s="11">
        <v>0</v>
      </c>
      <c r="P83" s="11">
        <v>0</v>
      </c>
      <c r="Q83" s="12"/>
      <c r="R83" s="12"/>
      <c r="S83" s="12">
        <f>$G$83*$G$8+$H$83*$H$8+$I$83*$I$8+$J$83*$J$8+$K$83*$K$8+$L$83*$L$8+$M$83*$M$8+$N$83*$N$8+$O$83*$O$8+$P$83*$P$8</f>
        <v>0</v>
      </c>
      <c r="T83" s="12">
        <f>SUM($Q$83:$R$83)</f>
        <v>0</v>
      </c>
      <c r="U83" s="12">
        <f>$S$83+$T$83</f>
        <v>0</v>
      </c>
    </row>
    <row r="84" spans="1:21" x14ac:dyDescent="0.3">
      <c r="A84" s="13" t="s">
        <v>298</v>
      </c>
      <c r="B84" s="14" t="s">
        <v>295</v>
      </c>
      <c r="C84" s="14"/>
      <c r="D84" s="14" t="s">
        <v>299</v>
      </c>
      <c r="E84" s="14">
        <f xml:space="preserve"> IF($U$84,1,0)</f>
        <v>0</v>
      </c>
      <c r="F84" s="14" t="s">
        <v>300</v>
      </c>
      <c r="G84" s="14">
        <v>0</v>
      </c>
      <c r="H84" s="14">
        <v>0</v>
      </c>
      <c r="I84" s="14">
        <v>0</v>
      </c>
      <c r="J84" s="14">
        <v>0</v>
      </c>
      <c r="K84" s="14">
        <v>0</v>
      </c>
      <c r="L84" s="14">
        <v>0</v>
      </c>
      <c r="M84" s="14">
        <v>0</v>
      </c>
      <c r="N84" s="14">
        <v>0</v>
      </c>
      <c r="O84" s="14">
        <v>0</v>
      </c>
      <c r="P84" s="14">
        <v>0</v>
      </c>
      <c r="Q84" s="15"/>
      <c r="R84" s="15"/>
      <c r="S84" s="15">
        <f>$G$84*$G$8+$H$84*$H$8+$I$84*$I$8+$J$84*$J$8+$K$84*$K$8+$L$84*$L$8+$M$84*$M$8+$N$84*$N$8+$O$84*$O$8+$P$84*$P$8</f>
        <v>0</v>
      </c>
      <c r="T84" s="15">
        <f>SUM($Q$84:$R$84)</f>
        <v>0</v>
      </c>
      <c r="U84" s="15">
        <f>$S$84+$T$84</f>
        <v>0</v>
      </c>
    </row>
    <row r="85" spans="1:21" x14ac:dyDescent="0.3">
      <c r="A85" s="10" t="s">
        <v>301</v>
      </c>
      <c r="B85" s="11" t="s">
        <v>302</v>
      </c>
      <c r="C85" s="11"/>
      <c r="D85" s="11" t="s">
        <v>303</v>
      </c>
      <c r="E85" s="11">
        <f xml:space="preserve"> IF($U$85,1,0)</f>
        <v>0</v>
      </c>
      <c r="F85" s="11" t="s">
        <v>304</v>
      </c>
      <c r="G85" s="11">
        <v>0</v>
      </c>
      <c r="H85" s="11">
        <v>0</v>
      </c>
      <c r="I85" s="11">
        <v>0</v>
      </c>
      <c r="J85" s="11">
        <v>0</v>
      </c>
      <c r="K85" s="11">
        <v>0</v>
      </c>
      <c r="L85" s="11">
        <v>0</v>
      </c>
      <c r="M85" s="11">
        <v>0</v>
      </c>
      <c r="N85" s="11">
        <v>0</v>
      </c>
      <c r="O85" s="11">
        <v>0</v>
      </c>
      <c r="P85" s="11">
        <v>0</v>
      </c>
      <c r="Q85" s="12"/>
      <c r="R85" s="12"/>
      <c r="S85" s="12">
        <f>$G$85*$G$8+$H$85*$H$8+$I$85*$I$8+$J$85*$J$8+$K$85*$K$8+$L$85*$L$8+$M$85*$M$8+$N$85*$N$8+$O$85*$O$8+$P$85*$P$8</f>
        <v>0</v>
      </c>
      <c r="T85" s="12">
        <f>SUM($Q$85:$R$85)</f>
        <v>0</v>
      </c>
      <c r="U85" s="12">
        <f>$S$85+$T$85</f>
        <v>0</v>
      </c>
    </row>
    <row r="86" spans="1:21" x14ac:dyDescent="0.3">
      <c r="A86" s="13" t="s">
        <v>305</v>
      </c>
      <c r="B86" s="14" t="s">
        <v>306</v>
      </c>
      <c r="C86" s="14"/>
      <c r="D86" s="14" t="s">
        <v>307</v>
      </c>
      <c r="E86" s="14">
        <f xml:space="preserve"> IF($U$86,1,0)</f>
        <v>0</v>
      </c>
      <c r="F86" s="14" t="s">
        <v>308</v>
      </c>
      <c r="G86" s="14">
        <v>0</v>
      </c>
      <c r="H86" s="14">
        <v>0</v>
      </c>
      <c r="I86" s="14">
        <v>0</v>
      </c>
      <c r="J86" s="14">
        <v>0</v>
      </c>
      <c r="K86" s="14">
        <v>0</v>
      </c>
      <c r="L86" s="14">
        <v>0</v>
      </c>
      <c r="M86" s="14">
        <v>0</v>
      </c>
      <c r="N86" s="14">
        <v>0</v>
      </c>
      <c r="O86" s="14">
        <v>0</v>
      </c>
      <c r="P86" s="14">
        <v>0</v>
      </c>
      <c r="Q86" s="15"/>
      <c r="R86" s="15"/>
      <c r="S86" s="15">
        <f>$G$86*$G$8+$H$86*$H$8+$I$86*$I$8+$J$86*$J$8+$K$86*$K$8+$L$86*$L$8+$M$86*$M$8+$N$86*$N$8+$O$86*$O$8+$P$86*$P$8</f>
        <v>0</v>
      </c>
      <c r="T86" s="15">
        <f>SUM($Q$86:$R$86)</f>
        <v>0</v>
      </c>
      <c r="U86" s="15">
        <f>$S$86+$T$86</f>
        <v>0</v>
      </c>
    </row>
    <row r="87" spans="1:21" x14ac:dyDescent="0.3">
      <c r="A87" s="10" t="s">
        <v>309</v>
      </c>
      <c r="B87" s="11" t="s">
        <v>310</v>
      </c>
      <c r="C87" s="11"/>
      <c r="D87" s="11" t="s">
        <v>311</v>
      </c>
      <c r="E87" s="11">
        <f xml:space="preserve"> IF($U$87,1,0)</f>
        <v>0</v>
      </c>
      <c r="F87" s="11" t="s">
        <v>312</v>
      </c>
      <c r="G87" s="11">
        <v>0</v>
      </c>
      <c r="H87" s="11">
        <v>0</v>
      </c>
      <c r="I87" s="11">
        <v>0</v>
      </c>
      <c r="J87" s="11">
        <v>0</v>
      </c>
      <c r="K87" s="11">
        <v>0</v>
      </c>
      <c r="L87" s="11">
        <v>0</v>
      </c>
      <c r="M87" s="11">
        <v>0</v>
      </c>
      <c r="N87" s="11">
        <v>0</v>
      </c>
      <c r="O87" s="11">
        <v>0</v>
      </c>
      <c r="P87" s="11">
        <v>0</v>
      </c>
      <c r="Q87" s="12"/>
      <c r="R87" s="12"/>
      <c r="S87" s="12">
        <f>$G$87*$G$8+$H$87*$H$8+$I$87*$I$8+$J$87*$J$8+$K$87*$K$8+$L$87*$L$8+$M$87*$M$8+$N$87*$N$8+$O$87*$O$8+$P$87*$P$8</f>
        <v>0</v>
      </c>
      <c r="T87" s="12">
        <f>SUM($Q$87:$R$87)</f>
        <v>0</v>
      </c>
      <c r="U87" s="12">
        <f>$S$87+$T$87</f>
        <v>0</v>
      </c>
    </row>
    <row r="88" spans="1:21" x14ac:dyDescent="0.3">
      <c r="A88" s="13" t="s">
        <v>313</v>
      </c>
      <c r="B88" s="14" t="s">
        <v>314</v>
      </c>
      <c r="C88" s="14"/>
      <c r="D88" s="14" t="s">
        <v>315</v>
      </c>
      <c r="E88" s="14">
        <f xml:space="preserve"> IF($U$88,1,0)</f>
        <v>0</v>
      </c>
      <c r="F88" s="14" t="s">
        <v>316</v>
      </c>
      <c r="G88" s="14">
        <v>0</v>
      </c>
      <c r="H88" s="14">
        <v>0</v>
      </c>
      <c r="I88" s="14">
        <v>0</v>
      </c>
      <c r="J88" s="14">
        <v>0</v>
      </c>
      <c r="K88" s="14">
        <v>0</v>
      </c>
      <c r="L88" s="14">
        <v>0</v>
      </c>
      <c r="M88" s="14">
        <v>0</v>
      </c>
      <c r="N88" s="14">
        <v>0</v>
      </c>
      <c r="O88" s="14">
        <v>0</v>
      </c>
      <c r="P88" s="14">
        <v>0</v>
      </c>
      <c r="Q88" s="15"/>
      <c r="R88" s="15"/>
      <c r="S88" s="15">
        <f>$G$88*$G$8+$H$88*$H$8+$I$88*$I$8+$J$88*$J$8+$K$88*$K$8+$L$88*$L$8+$M$88*$M$8+$N$88*$N$8+$O$88*$O$8+$P$88*$P$8</f>
        <v>0</v>
      </c>
      <c r="T88" s="15">
        <f>SUM($Q$88:$R$88)</f>
        <v>0</v>
      </c>
      <c r="U88" s="15">
        <f>$S$88+$T$88</f>
        <v>0</v>
      </c>
    </row>
    <row r="89" spans="1:21" x14ac:dyDescent="0.3">
      <c r="A89" s="10" t="s">
        <v>317</v>
      </c>
      <c r="B89" s="11" t="s">
        <v>318</v>
      </c>
      <c r="C89" s="11"/>
      <c r="D89" s="11" t="s">
        <v>319</v>
      </c>
      <c r="E89" s="11">
        <f xml:space="preserve"> IF($U$89,1,0)</f>
        <v>0</v>
      </c>
      <c r="F89" s="11" t="s">
        <v>320</v>
      </c>
      <c r="G89" s="11">
        <v>0</v>
      </c>
      <c r="H89" s="11">
        <v>0</v>
      </c>
      <c r="I89" s="11">
        <v>0</v>
      </c>
      <c r="J89" s="11">
        <v>0</v>
      </c>
      <c r="K89" s="11">
        <v>0</v>
      </c>
      <c r="L89" s="11">
        <v>0</v>
      </c>
      <c r="M89" s="11">
        <v>0</v>
      </c>
      <c r="N89" s="11">
        <v>0</v>
      </c>
      <c r="O89" s="11">
        <v>0</v>
      </c>
      <c r="P89" s="11">
        <v>0</v>
      </c>
      <c r="Q89" s="12"/>
      <c r="R89" s="12"/>
      <c r="S89" s="12">
        <f>$G$89*$G$8+$H$89*$H$8+$I$89*$I$8+$J$89*$J$8+$K$89*$K$8+$L$89*$L$8+$M$89*$M$8+$N$89*$N$8+$O$89*$O$8+$P$89*$P$8</f>
        <v>0</v>
      </c>
      <c r="T89" s="12">
        <f>SUM($Q$89:$R$89)</f>
        <v>0</v>
      </c>
      <c r="U89" s="12">
        <f>$S$89+$T$89</f>
        <v>0</v>
      </c>
    </row>
    <row r="90" spans="1:21" x14ac:dyDescent="0.3">
      <c r="A90" s="13" t="s">
        <v>321</v>
      </c>
      <c r="B90" s="14" t="s">
        <v>322</v>
      </c>
      <c r="C90" s="14"/>
      <c r="D90" s="14" t="s">
        <v>323</v>
      </c>
      <c r="E90" s="14">
        <f xml:space="preserve"> IF($U$90,1,0)</f>
        <v>0</v>
      </c>
      <c r="F90" s="14" t="s">
        <v>324</v>
      </c>
      <c r="G90" s="14">
        <v>0</v>
      </c>
      <c r="H90" s="14">
        <v>0</v>
      </c>
      <c r="I90" s="14">
        <v>0</v>
      </c>
      <c r="J90" s="14">
        <v>0</v>
      </c>
      <c r="K90" s="14">
        <v>0</v>
      </c>
      <c r="L90" s="14">
        <v>0</v>
      </c>
      <c r="M90" s="14">
        <v>0</v>
      </c>
      <c r="N90" s="14">
        <v>0</v>
      </c>
      <c r="O90" s="14">
        <v>0</v>
      </c>
      <c r="P90" s="14">
        <v>0</v>
      </c>
      <c r="Q90" s="15"/>
      <c r="R90" s="15"/>
      <c r="S90" s="15">
        <f>$G$90*$G$8+$H$90*$H$8+$I$90*$I$8+$J$90*$J$8+$K$90*$K$8+$L$90*$L$8+$M$90*$M$8+$N$90*$N$8+$O$90*$O$8+$P$90*$P$8</f>
        <v>0</v>
      </c>
      <c r="T90" s="15">
        <f>SUM($Q$90:$R$90)</f>
        <v>0</v>
      </c>
      <c r="U90" s="15">
        <f>$S$90+$T$90</f>
        <v>0</v>
      </c>
    </row>
    <row r="91" spans="1:21" x14ac:dyDescent="0.3">
      <c r="A91" s="10" t="s">
        <v>325</v>
      </c>
      <c r="B91" s="11" t="s">
        <v>326</v>
      </c>
      <c r="C91" s="11" t="s">
        <v>243</v>
      </c>
      <c r="D91" s="11" t="s">
        <v>327</v>
      </c>
      <c r="E91" s="11">
        <f xml:space="preserve"> IF($U$91,1,0)</f>
        <v>0</v>
      </c>
      <c r="F91" s="11" t="s">
        <v>328</v>
      </c>
      <c r="G91" s="11">
        <v>0</v>
      </c>
      <c r="H91" s="11">
        <v>0</v>
      </c>
      <c r="I91" s="11">
        <v>0</v>
      </c>
      <c r="J91" s="11">
        <v>0</v>
      </c>
      <c r="K91" s="11">
        <v>0</v>
      </c>
      <c r="L91" s="11">
        <v>0</v>
      </c>
      <c r="M91" s="11">
        <v>0</v>
      </c>
      <c r="N91" s="11">
        <v>0</v>
      </c>
      <c r="O91" s="11">
        <v>0</v>
      </c>
      <c r="P91" s="11">
        <v>0</v>
      </c>
      <c r="Q91" s="12"/>
      <c r="R91" s="12"/>
      <c r="S91" s="12">
        <f>$G$91*$G$8+$H$91*$H$8+$I$91*$I$8+$J$91*$J$8+$K$91*$K$8+$L$91*$L$8+$M$91*$M$8+$N$91*$N$8+$O$91*$O$8+$P$91*$P$8</f>
        <v>0</v>
      </c>
      <c r="T91" s="12">
        <f>SUM($Q$91:$R$91)</f>
        <v>0</v>
      </c>
      <c r="U91" s="12">
        <f>$S$91+$T$91</f>
        <v>0</v>
      </c>
    </row>
    <row r="92" spans="1:21" x14ac:dyDescent="0.3">
      <c r="A92" s="13" t="s">
        <v>329</v>
      </c>
      <c r="B92" s="14" t="s">
        <v>330</v>
      </c>
      <c r="C92" s="14"/>
      <c r="D92" s="14" t="s">
        <v>331</v>
      </c>
      <c r="E92" s="14">
        <f xml:space="preserve"> IF($U$92,1,0)</f>
        <v>0</v>
      </c>
      <c r="F92" s="14" t="s">
        <v>332</v>
      </c>
      <c r="G92" s="14">
        <v>0</v>
      </c>
      <c r="H92" s="14">
        <v>0</v>
      </c>
      <c r="I92" s="14">
        <v>0</v>
      </c>
      <c r="J92" s="14">
        <v>0</v>
      </c>
      <c r="K92" s="14">
        <v>0</v>
      </c>
      <c r="L92" s="14">
        <v>0</v>
      </c>
      <c r="M92" s="14">
        <v>0</v>
      </c>
      <c r="N92" s="14">
        <v>0</v>
      </c>
      <c r="O92" s="14">
        <v>0</v>
      </c>
      <c r="P92" s="14">
        <v>0</v>
      </c>
      <c r="Q92" s="15"/>
      <c r="R92" s="15"/>
      <c r="S92" s="15">
        <f>$G$92*$G$8+$H$92*$H$8+$I$92*$I$8+$J$92*$J$8+$K$92*$K$8+$L$92*$L$8+$M$92*$M$8+$N$92*$N$8+$O$92*$O$8+$P$92*$P$8</f>
        <v>0</v>
      </c>
      <c r="T92" s="15">
        <f>SUM($Q$92:$R$92)</f>
        <v>0</v>
      </c>
      <c r="U92" s="15">
        <f>$S$92+$T$92</f>
        <v>0</v>
      </c>
    </row>
    <row r="93" spans="1:21" x14ac:dyDescent="0.3">
      <c r="A93" s="10" t="s">
        <v>333</v>
      </c>
      <c r="B93" s="11" t="s">
        <v>334</v>
      </c>
      <c r="C93" s="11"/>
      <c r="D93" s="11" t="s">
        <v>335</v>
      </c>
      <c r="E93" s="11">
        <f xml:space="preserve"> IF($U$93,1,0)</f>
        <v>0</v>
      </c>
      <c r="F93" s="11" t="s">
        <v>336</v>
      </c>
      <c r="G93" s="11">
        <v>0</v>
      </c>
      <c r="H93" s="11">
        <v>0</v>
      </c>
      <c r="I93" s="11">
        <v>0</v>
      </c>
      <c r="J93" s="11">
        <v>0</v>
      </c>
      <c r="K93" s="11">
        <v>0</v>
      </c>
      <c r="L93" s="11">
        <v>0</v>
      </c>
      <c r="M93" s="11">
        <v>0</v>
      </c>
      <c r="N93" s="11">
        <v>0</v>
      </c>
      <c r="O93" s="11">
        <v>0</v>
      </c>
      <c r="P93" s="11">
        <v>0</v>
      </c>
      <c r="Q93" s="12"/>
      <c r="R93" s="12"/>
      <c r="S93" s="12">
        <f>$G$93*$G$8+$H$93*$H$8+$I$93*$I$8+$J$93*$J$8+$K$93*$K$8+$L$93*$L$8+$M$93*$M$8+$N$93*$N$8+$O$93*$O$8+$P$93*$P$8</f>
        <v>0</v>
      </c>
      <c r="T93" s="12">
        <f>SUM($Q$93:$R$93)</f>
        <v>0</v>
      </c>
      <c r="U93" s="12">
        <f>$S$93+$T$93</f>
        <v>0</v>
      </c>
    </row>
    <row r="94" spans="1:21" x14ac:dyDescent="0.3">
      <c r="A94" s="13" t="s">
        <v>337</v>
      </c>
      <c r="B94" s="14" t="s">
        <v>334</v>
      </c>
      <c r="C94" s="14"/>
      <c r="D94" s="14" t="s">
        <v>338</v>
      </c>
      <c r="E94" s="14">
        <f xml:space="preserve"> IF($U$94,1,0)</f>
        <v>0</v>
      </c>
      <c r="F94" s="14" t="s">
        <v>339</v>
      </c>
      <c r="G94" s="14">
        <v>0</v>
      </c>
      <c r="H94" s="14">
        <v>0</v>
      </c>
      <c r="I94" s="14">
        <v>0</v>
      </c>
      <c r="J94" s="14">
        <v>0</v>
      </c>
      <c r="K94" s="14">
        <v>0</v>
      </c>
      <c r="L94" s="14">
        <v>0</v>
      </c>
      <c r="M94" s="14">
        <v>0</v>
      </c>
      <c r="N94" s="14">
        <v>0</v>
      </c>
      <c r="O94" s="14">
        <v>0</v>
      </c>
      <c r="P94" s="14">
        <v>0</v>
      </c>
      <c r="Q94" s="15"/>
      <c r="R94" s="15"/>
      <c r="S94" s="15">
        <f>$G$94*$G$8+$H$94*$H$8+$I$94*$I$8+$J$94*$J$8+$K$94*$K$8+$L$94*$L$8+$M$94*$M$8+$N$94*$N$8+$O$94*$O$8+$P$94*$P$8</f>
        <v>0</v>
      </c>
      <c r="T94" s="15">
        <f>SUM($Q$94:$R$94)</f>
        <v>0</v>
      </c>
      <c r="U94" s="15">
        <f>$S$94+$T$94</f>
        <v>0</v>
      </c>
    </row>
    <row r="95" spans="1:21" x14ac:dyDescent="0.3">
      <c r="A95" s="10" t="s">
        <v>340</v>
      </c>
      <c r="B95" s="11" t="s">
        <v>341</v>
      </c>
      <c r="C95" s="11" t="s">
        <v>342</v>
      </c>
      <c r="D95" s="11" t="s">
        <v>343</v>
      </c>
      <c r="E95" s="11">
        <f xml:space="preserve"> IF($U$95,1,0)</f>
        <v>0</v>
      </c>
      <c r="F95" s="11" t="s">
        <v>344</v>
      </c>
      <c r="G95" s="11">
        <v>0</v>
      </c>
      <c r="H95" s="11">
        <v>0</v>
      </c>
      <c r="I95" s="11">
        <v>0</v>
      </c>
      <c r="J95" s="11">
        <v>0</v>
      </c>
      <c r="K95" s="11">
        <v>0</v>
      </c>
      <c r="L95" s="11">
        <v>0</v>
      </c>
      <c r="M95" s="11">
        <v>0</v>
      </c>
      <c r="N95" s="11">
        <v>0</v>
      </c>
      <c r="O95" s="11">
        <v>0</v>
      </c>
      <c r="P95" s="11">
        <v>0</v>
      </c>
      <c r="Q95" s="12"/>
      <c r="R95" s="12"/>
      <c r="S95" s="12">
        <f>$G$95*$G$8+$H$95*$H$8+$I$95*$I$8+$J$95*$J$8+$K$95*$K$8+$L$95*$L$8+$M$95*$M$8+$N$95*$N$8+$O$95*$O$8+$P$95*$P$8</f>
        <v>0</v>
      </c>
      <c r="T95" s="12">
        <f>SUM($Q$95:$R$95)</f>
        <v>0</v>
      </c>
      <c r="U95" s="12">
        <f>$S$95+$T$95</f>
        <v>0</v>
      </c>
    </row>
    <row r="96" spans="1:21" x14ac:dyDescent="0.3">
      <c r="A96" s="13" t="s">
        <v>345</v>
      </c>
      <c r="B96" s="14" t="s">
        <v>346</v>
      </c>
      <c r="C96" s="14"/>
      <c r="D96" s="14" t="s">
        <v>347</v>
      </c>
      <c r="E96" s="14">
        <f xml:space="preserve"> IF($U$96,1,0)</f>
        <v>0</v>
      </c>
      <c r="F96" s="14" t="s">
        <v>348</v>
      </c>
      <c r="G96" s="14">
        <v>0</v>
      </c>
      <c r="H96" s="14">
        <v>0</v>
      </c>
      <c r="I96" s="14">
        <v>0</v>
      </c>
      <c r="J96" s="14">
        <v>0</v>
      </c>
      <c r="K96" s="14">
        <v>0</v>
      </c>
      <c r="L96" s="14">
        <v>0</v>
      </c>
      <c r="M96" s="14">
        <v>0</v>
      </c>
      <c r="N96" s="14">
        <v>0</v>
      </c>
      <c r="O96" s="14">
        <v>0</v>
      </c>
      <c r="P96" s="14">
        <v>0</v>
      </c>
      <c r="Q96" s="15"/>
      <c r="R96" s="15"/>
      <c r="S96" s="15">
        <f>$G$96*$G$8+$H$96*$H$8+$I$96*$I$8+$J$96*$J$8+$K$96*$K$8+$L$96*$L$8+$M$96*$M$8+$N$96*$N$8+$O$96*$O$8+$P$96*$P$8</f>
        <v>0</v>
      </c>
      <c r="T96" s="15">
        <f>SUM($Q$96:$R$96)</f>
        <v>0</v>
      </c>
      <c r="U96" s="15">
        <f>$S$96+$T$96</f>
        <v>0</v>
      </c>
    </row>
    <row r="97" spans="1:21" x14ac:dyDescent="0.3">
      <c r="A97" s="10" t="s">
        <v>349</v>
      </c>
      <c r="B97" s="11" t="s">
        <v>350</v>
      </c>
      <c r="C97" s="11"/>
      <c r="D97" s="11" t="s">
        <v>351</v>
      </c>
      <c r="E97" s="11">
        <f xml:space="preserve"> IF($U$97,1,0)</f>
        <v>0</v>
      </c>
      <c r="F97" s="11" t="s">
        <v>352</v>
      </c>
      <c r="G97" s="11">
        <v>0</v>
      </c>
      <c r="H97" s="11">
        <v>0</v>
      </c>
      <c r="I97" s="11">
        <v>0</v>
      </c>
      <c r="J97" s="11">
        <v>0</v>
      </c>
      <c r="K97" s="11">
        <v>0</v>
      </c>
      <c r="L97" s="11">
        <v>0</v>
      </c>
      <c r="M97" s="11">
        <v>0</v>
      </c>
      <c r="N97" s="11">
        <v>0</v>
      </c>
      <c r="O97" s="11">
        <v>0</v>
      </c>
      <c r="P97" s="11">
        <v>0</v>
      </c>
      <c r="Q97" s="12"/>
      <c r="R97" s="12"/>
      <c r="S97" s="12">
        <f>$G$97*$G$8+$H$97*$H$8+$I$97*$I$8+$J$97*$J$8+$K$97*$K$8+$L$97*$L$8+$M$97*$M$8+$N$97*$N$8+$O$97*$O$8+$P$97*$P$8</f>
        <v>0</v>
      </c>
      <c r="T97" s="12">
        <f>SUM($Q$97:$R$97)</f>
        <v>0</v>
      </c>
      <c r="U97" s="12">
        <f>$S$97+$T$97</f>
        <v>0</v>
      </c>
    </row>
    <row r="98" spans="1:21" x14ac:dyDescent="0.3">
      <c r="A98" s="13" t="s">
        <v>353</v>
      </c>
      <c r="B98" s="14" t="s">
        <v>354</v>
      </c>
      <c r="C98" s="14"/>
      <c r="D98" s="14" t="s">
        <v>355</v>
      </c>
      <c r="E98" s="14">
        <f xml:space="preserve"> IF($U$98,1,0)</f>
        <v>0</v>
      </c>
      <c r="F98" s="14" t="s">
        <v>356</v>
      </c>
      <c r="G98" s="14">
        <v>0</v>
      </c>
      <c r="H98" s="14">
        <v>0</v>
      </c>
      <c r="I98" s="14">
        <v>0</v>
      </c>
      <c r="J98" s="14">
        <v>0</v>
      </c>
      <c r="K98" s="14">
        <v>0</v>
      </c>
      <c r="L98" s="14">
        <v>0</v>
      </c>
      <c r="M98" s="14">
        <v>0</v>
      </c>
      <c r="N98" s="14">
        <v>0</v>
      </c>
      <c r="O98" s="14">
        <v>0</v>
      </c>
      <c r="P98" s="14">
        <v>0</v>
      </c>
      <c r="Q98" s="15"/>
      <c r="R98" s="15"/>
      <c r="S98" s="15">
        <f>$G$98*$G$8+$H$98*$H$8+$I$98*$I$8+$J$98*$J$8+$K$98*$K$8+$L$98*$L$8+$M$98*$M$8+$N$98*$N$8+$O$98*$O$8+$P$98*$P$8</f>
        <v>0</v>
      </c>
      <c r="T98" s="15">
        <f>SUM($Q$98:$R$98)</f>
        <v>0</v>
      </c>
      <c r="U98" s="15">
        <f>$S$98+$T$98</f>
        <v>0</v>
      </c>
    </row>
    <row r="99" spans="1:21" x14ac:dyDescent="0.3">
      <c r="A99" s="10" t="s">
        <v>357</v>
      </c>
      <c r="B99" s="11" t="s">
        <v>358</v>
      </c>
      <c r="C99" s="11" t="s">
        <v>34</v>
      </c>
      <c r="D99" s="11" t="s">
        <v>359</v>
      </c>
      <c r="E99" s="11">
        <f xml:space="preserve"> IF($U$99,1,0)</f>
        <v>0</v>
      </c>
      <c r="F99" s="11" t="s">
        <v>360</v>
      </c>
      <c r="G99" s="11">
        <v>0</v>
      </c>
      <c r="H99" s="11">
        <v>0</v>
      </c>
      <c r="I99" s="11">
        <v>0</v>
      </c>
      <c r="J99" s="11">
        <v>0</v>
      </c>
      <c r="K99" s="11">
        <v>0</v>
      </c>
      <c r="L99" s="11">
        <v>0</v>
      </c>
      <c r="M99" s="11">
        <v>0</v>
      </c>
      <c r="N99" s="11">
        <v>0</v>
      </c>
      <c r="O99" s="11">
        <v>0</v>
      </c>
      <c r="P99" s="11">
        <v>0</v>
      </c>
      <c r="Q99" s="12"/>
      <c r="R99" s="12"/>
      <c r="S99" s="12">
        <f>$G$99*$G$8+$H$99*$H$8+$I$99*$I$8+$J$99*$J$8+$K$99*$K$8+$L$99*$L$8+$M$99*$M$8+$N$99*$N$8+$O$99*$O$8+$P$99*$P$8</f>
        <v>0</v>
      </c>
      <c r="T99" s="12">
        <f>SUM($Q$99:$R$99)</f>
        <v>0</v>
      </c>
      <c r="U99" s="12">
        <f>$S$99+$T$99</f>
        <v>0</v>
      </c>
    </row>
    <row r="100" spans="1:21" x14ac:dyDescent="0.3">
      <c r="A100" s="13" t="s">
        <v>361</v>
      </c>
      <c r="B100" s="14" t="s">
        <v>358</v>
      </c>
      <c r="C100" s="14" t="s">
        <v>34</v>
      </c>
      <c r="D100" s="14" t="s">
        <v>362</v>
      </c>
      <c r="E100" s="14">
        <f xml:space="preserve"> IF($U$100,1,0)</f>
        <v>0</v>
      </c>
      <c r="F100" s="14" t="s">
        <v>363</v>
      </c>
      <c r="G100" s="14">
        <v>0</v>
      </c>
      <c r="H100" s="14">
        <v>0</v>
      </c>
      <c r="I100" s="14">
        <v>0</v>
      </c>
      <c r="J100" s="14">
        <v>0</v>
      </c>
      <c r="K100" s="14">
        <v>0</v>
      </c>
      <c r="L100" s="14">
        <v>0</v>
      </c>
      <c r="M100" s="14">
        <v>0</v>
      </c>
      <c r="N100" s="14">
        <v>0</v>
      </c>
      <c r="O100" s="14">
        <v>0</v>
      </c>
      <c r="P100" s="14">
        <v>0</v>
      </c>
      <c r="Q100" s="15"/>
      <c r="R100" s="15"/>
      <c r="S100" s="15">
        <f>$G$100*$G$8+$H$100*$H$8+$I$100*$I$8+$J$100*$J$8+$K$100*$K$8+$L$100*$L$8+$M$100*$M$8+$N$100*$N$8+$O$100*$O$8+$P$100*$P$8</f>
        <v>0</v>
      </c>
      <c r="T100" s="15">
        <f>SUM($Q$100:$R$100)</f>
        <v>0</v>
      </c>
      <c r="U100" s="15">
        <f>$S$100+$T$100</f>
        <v>0</v>
      </c>
    </row>
    <row r="101" spans="1:21" x14ac:dyDescent="0.3">
      <c r="A101" s="10" t="s">
        <v>364</v>
      </c>
      <c r="B101" s="11" t="s">
        <v>358</v>
      </c>
      <c r="C101" s="11"/>
      <c r="D101" s="11" t="s">
        <v>365</v>
      </c>
      <c r="E101" s="11">
        <f xml:space="preserve"> IF($U$101,1,0)</f>
        <v>0</v>
      </c>
      <c r="F101" s="11" t="s">
        <v>366</v>
      </c>
      <c r="G101" s="11">
        <v>0</v>
      </c>
      <c r="H101" s="11">
        <v>0</v>
      </c>
      <c r="I101" s="11">
        <v>0</v>
      </c>
      <c r="J101" s="11">
        <v>0</v>
      </c>
      <c r="K101" s="11">
        <v>0</v>
      </c>
      <c r="L101" s="11">
        <v>0</v>
      </c>
      <c r="M101" s="11">
        <v>0</v>
      </c>
      <c r="N101" s="11">
        <v>0</v>
      </c>
      <c r="O101" s="11">
        <v>0</v>
      </c>
      <c r="P101" s="11">
        <v>0</v>
      </c>
      <c r="Q101" s="12"/>
      <c r="R101" s="12"/>
      <c r="S101" s="12">
        <f>$G$101*$G$8+$H$101*$H$8+$I$101*$I$8+$J$101*$J$8+$K$101*$K$8+$L$101*$L$8+$M$101*$M$8+$N$101*$N$8+$O$101*$O$8+$P$101*$P$8</f>
        <v>0</v>
      </c>
      <c r="T101" s="12">
        <f>SUM($Q$101:$R$101)</f>
        <v>0</v>
      </c>
      <c r="U101" s="12">
        <f>$S$101+$T$101</f>
        <v>0</v>
      </c>
    </row>
    <row r="102" spans="1:21" x14ac:dyDescent="0.3">
      <c r="A102" s="13" t="s">
        <v>1287</v>
      </c>
      <c r="B102" s="14" t="s">
        <v>1288</v>
      </c>
      <c r="C102" s="14"/>
      <c r="D102" s="14" t="s">
        <v>1285</v>
      </c>
      <c r="E102" s="14">
        <f xml:space="preserve"> IF($U$102,1,0)</f>
        <v>0</v>
      </c>
      <c r="F102" s="14" t="s">
        <v>1289</v>
      </c>
      <c r="G102" s="14">
        <v>0</v>
      </c>
      <c r="H102" s="14">
        <v>0</v>
      </c>
      <c r="I102" s="14">
        <v>0</v>
      </c>
      <c r="J102" s="14">
        <v>0</v>
      </c>
      <c r="K102" s="14">
        <v>0</v>
      </c>
      <c r="L102" s="14">
        <v>0</v>
      </c>
      <c r="M102" s="14">
        <v>0</v>
      </c>
      <c r="N102" s="14">
        <v>0</v>
      </c>
      <c r="O102" s="14">
        <v>0</v>
      </c>
      <c r="P102" s="14">
        <v>0</v>
      </c>
      <c r="Q102" s="15"/>
      <c r="R102" s="15"/>
      <c r="S102" s="15">
        <f>$G$102*$G$8+$H$102*$H$8+$I$102*$I$8+$J$102*$J$8+$K$102*$K$8+$L$102*$L$8+$M$102*$M$8+$N$102*$N$8+$O$102*$O$8+$P$102*$P$8</f>
        <v>0</v>
      </c>
      <c r="T102" s="15">
        <f>SUM($Q$102:$R$102)</f>
        <v>0</v>
      </c>
      <c r="U102" s="15">
        <f>$S$102+$T$102</f>
        <v>0</v>
      </c>
    </row>
    <row r="103" spans="1:21" x14ac:dyDescent="0.3">
      <c r="A103" s="10" t="s">
        <v>367</v>
      </c>
      <c r="B103" s="11" t="s">
        <v>368</v>
      </c>
      <c r="C103" s="11" t="s">
        <v>34</v>
      </c>
      <c r="D103" s="11" t="s">
        <v>118</v>
      </c>
      <c r="E103" s="11">
        <f xml:space="preserve"> IF($U$103,1,0)</f>
        <v>0</v>
      </c>
      <c r="F103" s="11" t="s">
        <v>369</v>
      </c>
      <c r="G103" s="11">
        <v>0</v>
      </c>
      <c r="H103" s="11">
        <v>0</v>
      </c>
      <c r="I103" s="11">
        <v>0</v>
      </c>
      <c r="J103" s="11">
        <v>0</v>
      </c>
      <c r="K103" s="11">
        <v>0</v>
      </c>
      <c r="L103" s="11">
        <v>0</v>
      </c>
      <c r="M103" s="11">
        <v>0</v>
      </c>
      <c r="N103" s="11">
        <v>0</v>
      </c>
      <c r="O103" s="11">
        <v>0</v>
      </c>
      <c r="P103" s="11">
        <v>0</v>
      </c>
      <c r="Q103" s="12"/>
      <c r="R103" s="12"/>
      <c r="S103" s="12">
        <f>$G$103*$G$8+$H$103*$H$8+$I$103*$I$8+$J$103*$J$8+$K$103*$K$8+$L$103*$L$8+$M$103*$M$8+$N$103*$N$8+$O$103*$O$8+$P$103*$P$8</f>
        <v>0</v>
      </c>
      <c r="T103" s="12">
        <f>SUM($Q$103:$R$103)</f>
        <v>0</v>
      </c>
      <c r="U103" s="12">
        <f>$S$103+$T$103</f>
        <v>0</v>
      </c>
    </row>
    <row r="104" spans="1:21" x14ac:dyDescent="0.3">
      <c r="A104" s="13" t="s">
        <v>370</v>
      </c>
      <c r="B104" s="14" t="s">
        <v>371</v>
      </c>
      <c r="C104" s="14"/>
      <c r="D104" s="14" t="s">
        <v>372</v>
      </c>
      <c r="E104" s="14">
        <f xml:space="preserve"> IF($U$104,1,0)</f>
        <v>0</v>
      </c>
      <c r="F104" s="14" t="s">
        <v>373</v>
      </c>
      <c r="G104" s="14">
        <v>0</v>
      </c>
      <c r="H104" s="14">
        <v>0</v>
      </c>
      <c r="I104" s="14">
        <v>0</v>
      </c>
      <c r="J104" s="14">
        <v>0</v>
      </c>
      <c r="K104" s="14">
        <v>0</v>
      </c>
      <c r="L104" s="14">
        <v>0</v>
      </c>
      <c r="M104" s="14">
        <v>0</v>
      </c>
      <c r="N104" s="14">
        <v>0</v>
      </c>
      <c r="O104" s="14">
        <v>0</v>
      </c>
      <c r="P104" s="14">
        <v>0</v>
      </c>
      <c r="Q104" s="15"/>
      <c r="R104" s="15"/>
      <c r="S104" s="15">
        <f>$G$104*$G$8+$H$104*$H$8+$I$104*$I$8+$J$104*$J$8+$K$104*$K$8+$L$104*$L$8+$M$104*$M$8+$N$104*$N$8+$O$104*$O$8+$P$104*$P$8</f>
        <v>0</v>
      </c>
      <c r="T104" s="15">
        <f>SUM($Q$104:$R$104)</f>
        <v>0</v>
      </c>
      <c r="U104" s="15">
        <f>$S$104+$T$104</f>
        <v>0</v>
      </c>
    </row>
    <row r="105" spans="1:21" x14ac:dyDescent="0.3">
      <c r="A105" s="10" t="s">
        <v>374</v>
      </c>
      <c r="B105" s="11" t="s">
        <v>375</v>
      </c>
      <c r="C105" s="11"/>
      <c r="D105" s="11" t="s">
        <v>376</v>
      </c>
      <c r="E105" s="11">
        <f xml:space="preserve"> IF($U$105,1,0)</f>
        <v>0</v>
      </c>
      <c r="F105" s="11" t="s">
        <v>377</v>
      </c>
      <c r="G105" s="11">
        <v>0</v>
      </c>
      <c r="H105" s="11">
        <v>0</v>
      </c>
      <c r="I105" s="11">
        <v>0</v>
      </c>
      <c r="J105" s="11">
        <v>0</v>
      </c>
      <c r="K105" s="11">
        <v>0</v>
      </c>
      <c r="L105" s="11">
        <v>0</v>
      </c>
      <c r="M105" s="11">
        <v>0</v>
      </c>
      <c r="N105" s="11">
        <v>0</v>
      </c>
      <c r="O105" s="11">
        <v>0</v>
      </c>
      <c r="P105" s="11">
        <v>0</v>
      </c>
      <c r="Q105" s="12"/>
      <c r="R105" s="12"/>
      <c r="S105" s="12">
        <f>$G$105*$G$8+$H$105*$H$8+$I$105*$I$8+$J$105*$J$8+$K$105*$K$8+$L$105*$L$8+$M$105*$M$8+$N$105*$N$8+$O$105*$O$8+$P$105*$P$8</f>
        <v>0</v>
      </c>
      <c r="T105" s="12">
        <f>SUM($Q$105:$R$105)</f>
        <v>0</v>
      </c>
      <c r="U105" s="12">
        <f>$S$105+$T$105</f>
        <v>0</v>
      </c>
    </row>
    <row r="106" spans="1:21" x14ac:dyDescent="0.3">
      <c r="A106" s="13" t="s">
        <v>378</v>
      </c>
      <c r="B106" s="14" t="s">
        <v>379</v>
      </c>
      <c r="C106" s="14"/>
      <c r="D106" s="14" t="s">
        <v>380</v>
      </c>
      <c r="E106" s="14">
        <f xml:space="preserve"> IF($U$106,1,0)</f>
        <v>0</v>
      </c>
      <c r="F106" s="14" t="s">
        <v>381</v>
      </c>
      <c r="G106" s="14">
        <v>0</v>
      </c>
      <c r="H106" s="14">
        <v>0</v>
      </c>
      <c r="I106" s="14">
        <v>0</v>
      </c>
      <c r="J106" s="14">
        <v>0</v>
      </c>
      <c r="K106" s="14">
        <v>0</v>
      </c>
      <c r="L106" s="14">
        <v>0</v>
      </c>
      <c r="M106" s="14">
        <v>0</v>
      </c>
      <c r="N106" s="14">
        <v>0</v>
      </c>
      <c r="O106" s="14">
        <v>0</v>
      </c>
      <c r="P106" s="14">
        <v>0</v>
      </c>
      <c r="Q106" s="15"/>
      <c r="R106" s="15"/>
      <c r="S106" s="15">
        <f>$G$106*$G$8+$H$106*$H$8+$I$106*$I$8+$J$106*$J$8+$K$106*$K$8+$L$106*$L$8+$M$106*$M$8+$N$106*$N$8+$O$106*$O$8+$P$106*$P$8</f>
        <v>0</v>
      </c>
      <c r="T106" s="15">
        <f>SUM($Q$106:$R$106)</f>
        <v>0</v>
      </c>
      <c r="U106" s="15">
        <f>$S$106+$T$106</f>
        <v>0</v>
      </c>
    </row>
    <row r="107" spans="1:21" x14ac:dyDescent="0.3">
      <c r="A107" s="10" t="s">
        <v>382</v>
      </c>
      <c r="B107" s="11" t="s">
        <v>383</v>
      </c>
      <c r="C107" s="11"/>
      <c r="D107" s="11" t="s">
        <v>384</v>
      </c>
      <c r="E107" s="11">
        <f xml:space="preserve"> IF($U$107,1,0)</f>
        <v>0</v>
      </c>
      <c r="F107" s="11" t="s">
        <v>385</v>
      </c>
      <c r="G107" s="11">
        <v>0</v>
      </c>
      <c r="H107" s="11">
        <v>0</v>
      </c>
      <c r="I107" s="11">
        <v>0</v>
      </c>
      <c r="J107" s="11">
        <v>0</v>
      </c>
      <c r="K107" s="11">
        <v>0</v>
      </c>
      <c r="L107" s="11">
        <v>0</v>
      </c>
      <c r="M107" s="11">
        <v>0</v>
      </c>
      <c r="N107" s="11">
        <v>0</v>
      </c>
      <c r="O107" s="11">
        <v>0</v>
      </c>
      <c r="P107" s="11">
        <v>0</v>
      </c>
      <c r="Q107" s="12"/>
      <c r="R107" s="12"/>
      <c r="S107" s="12">
        <f>$G$107*$G$8+$H$107*$H$8+$I$107*$I$8+$J$107*$J$8+$K$107*$K$8+$L$107*$L$8+$M$107*$M$8+$N$107*$N$8+$O$107*$O$8+$P$107*$P$8</f>
        <v>0</v>
      </c>
      <c r="T107" s="12">
        <f>SUM($Q$107:$R$107)</f>
        <v>0</v>
      </c>
      <c r="U107" s="12">
        <f>$S$107+$T$107</f>
        <v>0</v>
      </c>
    </row>
    <row r="108" spans="1:21" x14ac:dyDescent="0.3">
      <c r="A108" s="13" t="s">
        <v>386</v>
      </c>
      <c r="B108" s="14" t="s">
        <v>387</v>
      </c>
      <c r="C108" s="14" t="s">
        <v>278</v>
      </c>
      <c r="D108" s="14" t="s">
        <v>388</v>
      </c>
      <c r="E108" s="14">
        <f xml:space="preserve"> IF($U$108,1,0)</f>
        <v>0</v>
      </c>
      <c r="F108" s="14" t="s">
        <v>389</v>
      </c>
      <c r="G108" s="14">
        <v>0</v>
      </c>
      <c r="H108" s="14">
        <v>0</v>
      </c>
      <c r="I108" s="14">
        <v>0</v>
      </c>
      <c r="J108" s="14">
        <v>0</v>
      </c>
      <c r="K108" s="14">
        <v>0</v>
      </c>
      <c r="L108" s="14">
        <v>0</v>
      </c>
      <c r="M108" s="14">
        <v>0</v>
      </c>
      <c r="N108" s="14">
        <v>0</v>
      </c>
      <c r="O108" s="14">
        <v>0</v>
      </c>
      <c r="P108" s="14">
        <v>0</v>
      </c>
      <c r="Q108" s="15"/>
      <c r="R108" s="15"/>
      <c r="S108" s="15">
        <f>$G$108*$G$8+$H$108*$H$8+$I$108*$I$8+$J$108*$J$8+$K$108*$K$8+$L$108*$L$8+$M$108*$M$8+$N$108*$N$8+$O$108*$O$8+$P$108*$P$8</f>
        <v>0</v>
      </c>
      <c r="T108" s="15">
        <f>SUM($Q$108:$R$108)</f>
        <v>0</v>
      </c>
      <c r="U108" s="15">
        <f>$S$108+$T$108</f>
        <v>0</v>
      </c>
    </row>
    <row r="109" spans="1:21" x14ac:dyDescent="0.3">
      <c r="A109" s="10" t="s">
        <v>390</v>
      </c>
      <c r="B109" s="11" t="s">
        <v>387</v>
      </c>
      <c r="C109" s="11" t="s">
        <v>34</v>
      </c>
      <c r="D109" s="11" t="s">
        <v>391</v>
      </c>
      <c r="E109" s="11">
        <f xml:space="preserve"> IF($U$109,1,0)</f>
        <v>0</v>
      </c>
      <c r="F109" s="11" t="s">
        <v>392</v>
      </c>
      <c r="G109" s="11">
        <v>0</v>
      </c>
      <c r="H109" s="11">
        <v>0</v>
      </c>
      <c r="I109" s="11">
        <v>0</v>
      </c>
      <c r="J109" s="11">
        <v>0</v>
      </c>
      <c r="K109" s="11">
        <v>0</v>
      </c>
      <c r="L109" s="11">
        <v>0</v>
      </c>
      <c r="M109" s="11">
        <v>0</v>
      </c>
      <c r="N109" s="11">
        <v>0</v>
      </c>
      <c r="O109" s="11">
        <v>0</v>
      </c>
      <c r="P109" s="11">
        <v>0</v>
      </c>
      <c r="Q109" s="12"/>
      <c r="R109" s="12"/>
      <c r="S109" s="12">
        <f>$G$109*$G$8+$H$109*$H$8+$I$109*$I$8+$J$109*$J$8+$K$109*$K$8+$L$109*$L$8+$M$109*$M$8+$N$109*$N$8+$O$109*$O$8+$P$109*$P$8</f>
        <v>0</v>
      </c>
      <c r="T109" s="12">
        <f>SUM($Q$109:$R$109)</f>
        <v>0</v>
      </c>
      <c r="U109" s="12">
        <f>$S$109+$T$109</f>
        <v>0</v>
      </c>
    </row>
    <row r="110" spans="1:21" x14ac:dyDescent="0.3">
      <c r="A110" s="13" t="s">
        <v>393</v>
      </c>
      <c r="B110" s="14" t="s">
        <v>394</v>
      </c>
      <c r="C110" s="14"/>
      <c r="D110" s="14" t="s">
        <v>395</v>
      </c>
      <c r="E110" s="14">
        <f xml:space="preserve"> IF($U$110,1,0)</f>
        <v>0</v>
      </c>
      <c r="F110" s="14" t="s">
        <v>396</v>
      </c>
      <c r="G110" s="14">
        <v>0</v>
      </c>
      <c r="H110" s="14">
        <v>0</v>
      </c>
      <c r="I110" s="14">
        <v>0</v>
      </c>
      <c r="J110" s="14">
        <v>0</v>
      </c>
      <c r="K110" s="14">
        <v>0</v>
      </c>
      <c r="L110" s="14">
        <v>0</v>
      </c>
      <c r="M110" s="14">
        <v>0</v>
      </c>
      <c r="N110" s="14">
        <v>0</v>
      </c>
      <c r="O110" s="14">
        <v>0</v>
      </c>
      <c r="P110" s="14">
        <v>0</v>
      </c>
      <c r="Q110" s="15"/>
      <c r="R110" s="15"/>
      <c r="S110" s="15">
        <f>$G$110*$G$8+$H$110*$H$8+$I$110*$I$8+$J$110*$J$8+$K$110*$K$8+$L$110*$L$8+$M$110*$M$8+$N$110*$N$8+$O$110*$O$8+$P$110*$P$8</f>
        <v>0</v>
      </c>
      <c r="T110" s="15">
        <f>SUM($Q$110:$R$110)</f>
        <v>0</v>
      </c>
      <c r="U110" s="15">
        <f>$S$110+$T$110</f>
        <v>0</v>
      </c>
    </row>
    <row r="111" spans="1:21" x14ac:dyDescent="0.3">
      <c r="A111" s="10" t="s">
        <v>397</v>
      </c>
      <c r="B111" s="11" t="s">
        <v>398</v>
      </c>
      <c r="C111" s="11" t="s">
        <v>243</v>
      </c>
      <c r="D111" s="11" t="s">
        <v>399</v>
      </c>
      <c r="E111" s="11">
        <f xml:space="preserve"> IF($U$111,1,0)</f>
        <v>0</v>
      </c>
      <c r="F111" s="11" t="s">
        <v>400</v>
      </c>
      <c r="G111" s="11">
        <v>0</v>
      </c>
      <c r="H111" s="11">
        <v>0</v>
      </c>
      <c r="I111" s="11">
        <v>0</v>
      </c>
      <c r="J111" s="11">
        <v>0</v>
      </c>
      <c r="K111" s="11">
        <v>0</v>
      </c>
      <c r="L111" s="11">
        <v>0</v>
      </c>
      <c r="M111" s="11">
        <v>0</v>
      </c>
      <c r="N111" s="11">
        <v>0</v>
      </c>
      <c r="O111" s="11">
        <v>0</v>
      </c>
      <c r="P111" s="11">
        <v>0</v>
      </c>
      <c r="Q111" s="12"/>
      <c r="R111" s="12"/>
      <c r="S111" s="12">
        <f>$G$111*$G$8+$H$111*$H$8+$I$111*$I$8+$J$111*$J$8+$K$111*$K$8+$L$111*$L$8+$M$111*$M$8+$N$111*$N$8+$O$111*$O$8+$P$111*$P$8</f>
        <v>0</v>
      </c>
      <c r="T111" s="12">
        <f>SUM($Q$111:$R$111)</f>
        <v>0</v>
      </c>
      <c r="U111" s="12">
        <f>$S$111+$T$111</f>
        <v>0</v>
      </c>
    </row>
    <row r="112" spans="1:21" x14ac:dyDescent="0.3">
      <c r="A112" s="13" t="s">
        <v>401</v>
      </c>
      <c r="B112" s="14" t="s">
        <v>402</v>
      </c>
      <c r="C112" s="14"/>
      <c r="D112" s="14" t="s">
        <v>403</v>
      </c>
      <c r="E112" s="14">
        <f xml:space="preserve"> IF($U$112,1,0)</f>
        <v>0</v>
      </c>
      <c r="F112" s="14" t="s">
        <v>404</v>
      </c>
      <c r="G112" s="14">
        <v>0</v>
      </c>
      <c r="H112" s="14">
        <v>0</v>
      </c>
      <c r="I112" s="14">
        <v>0</v>
      </c>
      <c r="J112" s="14">
        <v>0</v>
      </c>
      <c r="K112" s="14">
        <v>0</v>
      </c>
      <c r="L112" s="14">
        <v>0</v>
      </c>
      <c r="M112" s="14">
        <v>0</v>
      </c>
      <c r="N112" s="14">
        <v>0</v>
      </c>
      <c r="O112" s="14">
        <v>0</v>
      </c>
      <c r="P112" s="14">
        <v>0</v>
      </c>
      <c r="Q112" s="15"/>
      <c r="R112" s="15"/>
      <c r="S112" s="15">
        <f>$G$112*$G$8+$H$112*$H$8+$I$112*$I$8+$J$112*$J$8+$K$112*$K$8+$L$112*$L$8+$M$112*$M$8+$N$112*$N$8+$O$112*$O$8+$P$112*$P$8</f>
        <v>0</v>
      </c>
      <c r="T112" s="15">
        <f>SUM($Q$112:$R$112)</f>
        <v>0</v>
      </c>
      <c r="U112" s="15">
        <f>$S$112+$T$112</f>
        <v>0</v>
      </c>
    </row>
    <row r="113" spans="1:21" x14ac:dyDescent="0.3">
      <c r="A113" s="10" t="s">
        <v>405</v>
      </c>
      <c r="B113" s="11" t="s">
        <v>406</v>
      </c>
      <c r="C113" s="11"/>
      <c r="D113" s="11" t="s">
        <v>407</v>
      </c>
      <c r="E113" s="11">
        <f xml:space="preserve"> IF($U$113,1,0)</f>
        <v>0</v>
      </c>
      <c r="F113" s="11" t="s">
        <v>408</v>
      </c>
      <c r="G113" s="11">
        <v>0</v>
      </c>
      <c r="H113" s="11">
        <v>0</v>
      </c>
      <c r="I113" s="11">
        <v>0</v>
      </c>
      <c r="J113" s="11">
        <v>0</v>
      </c>
      <c r="K113" s="11">
        <v>0</v>
      </c>
      <c r="L113" s="11">
        <v>0</v>
      </c>
      <c r="M113" s="11">
        <v>0</v>
      </c>
      <c r="N113" s="11">
        <v>0</v>
      </c>
      <c r="O113" s="11">
        <v>0</v>
      </c>
      <c r="P113" s="11">
        <v>0</v>
      </c>
      <c r="Q113" s="12"/>
      <c r="R113" s="12"/>
      <c r="S113" s="12">
        <f>$G$113*$G$8+$H$113*$H$8+$I$113*$I$8+$J$113*$J$8+$K$113*$K$8+$L$113*$L$8+$M$113*$M$8+$N$113*$N$8+$O$113*$O$8+$P$113*$P$8</f>
        <v>0</v>
      </c>
      <c r="T113" s="12">
        <f>SUM($Q$113:$R$113)</f>
        <v>0</v>
      </c>
      <c r="U113" s="12">
        <f>$S$113+$T$113</f>
        <v>0</v>
      </c>
    </row>
    <row r="114" spans="1:21" x14ac:dyDescent="0.3">
      <c r="A114" s="13" t="s">
        <v>409</v>
      </c>
      <c r="B114" s="14" t="s">
        <v>410</v>
      </c>
      <c r="C114" s="14"/>
      <c r="D114" s="14" t="s">
        <v>411</v>
      </c>
      <c r="E114" s="14">
        <f xml:space="preserve"> IF($U$114,1,0)</f>
        <v>0</v>
      </c>
      <c r="F114" s="14" t="s">
        <v>412</v>
      </c>
      <c r="G114" s="14">
        <v>0</v>
      </c>
      <c r="H114" s="14">
        <v>0</v>
      </c>
      <c r="I114" s="14">
        <v>0</v>
      </c>
      <c r="J114" s="14">
        <v>0</v>
      </c>
      <c r="K114" s="14">
        <v>0</v>
      </c>
      <c r="L114" s="14">
        <v>0</v>
      </c>
      <c r="M114" s="14">
        <v>0</v>
      </c>
      <c r="N114" s="14">
        <v>0</v>
      </c>
      <c r="O114" s="14">
        <v>0</v>
      </c>
      <c r="P114" s="14">
        <v>0</v>
      </c>
      <c r="Q114" s="15"/>
      <c r="R114" s="15"/>
      <c r="S114" s="15">
        <f>$G$114*$G$8+$H$114*$H$8+$I$114*$I$8+$J$114*$J$8+$K$114*$K$8+$L$114*$L$8+$M$114*$M$8+$N$114*$N$8+$O$114*$O$8+$P$114*$P$8</f>
        <v>0</v>
      </c>
      <c r="T114" s="15">
        <f>SUM($Q$114:$R$114)</f>
        <v>0</v>
      </c>
      <c r="U114" s="15">
        <f>$S$114+$T$114</f>
        <v>0</v>
      </c>
    </row>
    <row r="115" spans="1:21" x14ac:dyDescent="0.3">
      <c r="A115" s="10" t="s">
        <v>413</v>
      </c>
      <c r="B115" s="11" t="s">
        <v>414</v>
      </c>
      <c r="C115" s="11"/>
      <c r="D115" s="11" t="s">
        <v>415</v>
      </c>
      <c r="E115" s="11">
        <f xml:space="preserve"> IF($U$115,1,0)</f>
        <v>0</v>
      </c>
      <c r="F115" s="11" t="s">
        <v>416</v>
      </c>
      <c r="G115" s="11">
        <v>0</v>
      </c>
      <c r="H115" s="11">
        <v>0</v>
      </c>
      <c r="I115" s="11">
        <v>0</v>
      </c>
      <c r="J115" s="11">
        <v>0</v>
      </c>
      <c r="K115" s="11">
        <v>0</v>
      </c>
      <c r="L115" s="11">
        <v>0</v>
      </c>
      <c r="M115" s="11">
        <v>0</v>
      </c>
      <c r="N115" s="11">
        <v>0</v>
      </c>
      <c r="O115" s="11">
        <v>0</v>
      </c>
      <c r="P115" s="11">
        <v>0</v>
      </c>
      <c r="Q115" s="12"/>
      <c r="R115" s="12"/>
      <c r="S115" s="12">
        <f>$G$115*$G$8+$H$115*$H$8+$I$115*$I$8+$J$115*$J$8+$K$115*$K$8+$L$115*$L$8+$M$115*$M$8+$N$115*$N$8+$O$115*$O$8+$P$115*$P$8</f>
        <v>0</v>
      </c>
      <c r="T115" s="12">
        <f>SUM($Q$115:$R$115)</f>
        <v>0</v>
      </c>
      <c r="U115" s="12">
        <f>$S$115+$T$115</f>
        <v>0</v>
      </c>
    </row>
    <row r="116" spans="1:21" x14ac:dyDescent="0.3">
      <c r="A116" s="13" t="s">
        <v>417</v>
      </c>
      <c r="B116" s="14" t="s">
        <v>418</v>
      </c>
      <c r="C116" s="14"/>
      <c r="D116" s="14" t="s">
        <v>419</v>
      </c>
      <c r="E116" s="14">
        <f xml:space="preserve"> IF($U$116,1,0)</f>
        <v>0</v>
      </c>
      <c r="F116" s="14" t="s">
        <v>420</v>
      </c>
      <c r="G116" s="14">
        <v>0</v>
      </c>
      <c r="H116" s="14">
        <v>0</v>
      </c>
      <c r="I116" s="14">
        <v>0</v>
      </c>
      <c r="J116" s="14">
        <v>0</v>
      </c>
      <c r="K116" s="14">
        <v>0</v>
      </c>
      <c r="L116" s="14">
        <v>0</v>
      </c>
      <c r="M116" s="14">
        <v>0</v>
      </c>
      <c r="N116" s="14">
        <v>0</v>
      </c>
      <c r="O116" s="14">
        <v>0</v>
      </c>
      <c r="P116" s="14">
        <v>0</v>
      </c>
      <c r="Q116" s="15"/>
      <c r="R116" s="15"/>
      <c r="S116" s="15">
        <f>$G$116*$G$8+$H$116*$H$8+$I$116*$I$8+$J$116*$J$8+$K$116*$K$8+$L$116*$L$8+$M$116*$M$8+$N$116*$N$8+$O$116*$O$8+$P$116*$P$8</f>
        <v>0</v>
      </c>
      <c r="T116" s="15">
        <f>SUM($Q$116:$R$116)</f>
        <v>0</v>
      </c>
      <c r="U116" s="15">
        <f>$S$116+$T$116</f>
        <v>0</v>
      </c>
    </row>
    <row r="117" spans="1:21" x14ac:dyDescent="0.3">
      <c r="A117" s="10" t="s">
        <v>421</v>
      </c>
      <c r="B117" s="11" t="s">
        <v>422</v>
      </c>
      <c r="C117" s="11"/>
      <c r="D117" s="11" t="s">
        <v>423</v>
      </c>
      <c r="E117" s="11">
        <f xml:space="preserve"> IF($U$117,1,0)</f>
        <v>0</v>
      </c>
      <c r="F117" s="11" t="s">
        <v>424</v>
      </c>
      <c r="G117" s="11">
        <v>0</v>
      </c>
      <c r="H117" s="11">
        <v>0</v>
      </c>
      <c r="I117" s="11">
        <v>0</v>
      </c>
      <c r="J117" s="11">
        <v>0</v>
      </c>
      <c r="K117" s="11">
        <v>0</v>
      </c>
      <c r="L117" s="11">
        <v>0</v>
      </c>
      <c r="M117" s="11">
        <v>0</v>
      </c>
      <c r="N117" s="11">
        <v>0</v>
      </c>
      <c r="O117" s="11">
        <v>0</v>
      </c>
      <c r="P117" s="11">
        <v>0</v>
      </c>
      <c r="Q117" s="12"/>
      <c r="R117" s="12"/>
      <c r="S117" s="12">
        <f>$G$117*$G$8+$H$117*$H$8+$I$117*$I$8+$J$117*$J$8+$K$117*$K$8+$L$117*$L$8+$M$117*$M$8+$N$117*$N$8+$O$117*$O$8+$P$117*$P$8</f>
        <v>0</v>
      </c>
      <c r="T117" s="12">
        <f>SUM($Q$117:$R$117)</f>
        <v>0</v>
      </c>
      <c r="U117" s="12">
        <f>$S$117+$T$117</f>
        <v>0</v>
      </c>
    </row>
    <row r="118" spans="1:21" x14ac:dyDescent="0.3">
      <c r="A118" s="13" t="s">
        <v>425</v>
      </c>
      <c r="B118" s="14" t="s">
        <v>426</v>
      </c>
      <c r="C118" s="14" t="s">
        <v>34</v>
      </c>
      <c r="D118" s="14" t="s">
        <v>427</v>
      </c>
      <c r="E118" s="14">
        <f xml:space="preserve"> IF($U$118,1,0)</f>
        <v>0</v>
      </c>
      <c r="F118" s="14" t="s">
        <v>428</v>
      </c>
      <c r="G118" s="14">
        <v>0</v>
      </c>
      <c r="H118" s="14">
        <v>0</v>
      </c>
      <c r="I118" s="14">
        <v>0</v>
      </c>
      <c r="J118" s="14">
        <v>0</v>
      </c>
      <c r="K118" s="14">
        <v>0</v>
      </c>
      <c r="L118" s="14">
        <v>0</v>
      </c>
      <c r="M118" s="14">
        <v>0</v>
      </c>
      <c r="N118" s="14">
        <v>0</v>
      </c>
      <c r="O118" s="14">
        <v>0</v>
      </c>
      <c r="P118" s="14">
        <v>0</v>
      </c>
      <c r="Q118" s="15"/>
      <c r="R118" s="15"/>
      <c r="S118" s="15">
        <f>$G$118*$G$8+$H$118*$H$8+$I$118*$I$8+$J$118*$J$8+$K$118*$K$8+$L$118*$L$8+$M$118*$M$8+$N$118*$N$8+$O$118*$O$8+$P$118*$P$8</f>
        <v>0</v>
      </c>
      <c r="T118" s="15">
        <f>SUM($Q$118:$R$118)</f>
        <v>0</v>
      </c>
      <c r="U118" s="15">
        <f>$S$118+$T$118</f>
        <v>0</v>
      </c>
    </row>
    <row r="119" spans="1:21" x14ac:dyDescent="0.3">
      <c r="A119" s="10" t="s">
        <v>429</v>
      </c>
      <c r="B119" s="11" t="s">
        <v>430</v>
      </c>
      <c r="C119" s="11"/>
      <c r="D119" s="11" t="s">
        <v>431</v>
      </c>
      <c r="E119" s="11">
        <f xml:space="preserve"> IF($U$119,1,0)</f>
        <v>0</v>
      </c>
      <c r="F119" s="11" t="s">
        <v>432</v>
      </c>
      <c r="G119" s="11">
        <v>0</v>
      </c>
      <c r="H119" s="11">
        <v>0</v>
      </c>
      <c r="I119" s="11">
        <v>0</v>
      </c>
      <c r="J119" s="11">
        <v>0</v>
      </c>
      <c r="K119" s="11">
        <v>0</v>
      </c>
      <c r="L119" s="11">
        <v>0</v>
      </c>
      <c r="M119" s="11">
        <v>0</v>
      </c>
      <c r="N119" s="11">
        <v>0</v>
      </c>
      <c r="O119" s="11">
        <v>0</v>
      </c>
      <c r="P119" s="11">
        <v>0</v>
      </c>
      <c r="Q119" s="12"/>
      <c r="R119" s="12"/>
      <c r="S119" s="12">
        <f>$G$119*$G$8+$H$119*$H$8+$I$119*$I$8+$J$119*$J$8+$K$119*$K$8+$L$119*$L$8+$M$119*$M$8+$N$119*$N$8+$O$119*$O$8+$P$119*$P$8</f>
        <v>0</v>
      </c>
      <c r="T119" s="12">
        <f>SUM($Q$119:$R$119)</f>
        <v>0</v>
      </c>
      <c r="U119" s="12">
        <f>$S$119+$T$119</f>
        <v>0</v>
      </c>
    </row>
    <row r="120" spans="1:21" x14ac:dyDescent="0.3">
      <c r="A120" s="13" t="s">
        <v>1252</v>
      </c>
      <c r="B120" s="14" t="s">
        <v>1253</v>
      </c>
      <c r="C120" s="14"/>
      <c r="D120" s="14" t="s">
        <v>1254</v>
      </c>
      <c r="E120" s="14">
        <f xml:space="preserve"> IF($U$120,1,0)</f>
        <v>0</v>
      </c>
      <c r="F120" s="14" t="s">
        <v>1255</v>
      </c>
      <c r="G120" s="14">
        <v>0</v>
      </c>
      <c r="H120" s="14">
        <v>0</v>
      </c>
      <c r="I120" s="14">
        <v>0</v>
      </c>
      <c r="J120" s="14">
        <v>0</v>
      </c>
      <c r="K120" s="14">
        <v>0</v>
      </c>
      <c r="L120" s="14">
        <v>0</v>
      </c>
      <c r="M120" s="14">
        <v>0</v>
      </c>
      <c r="N120" s="14">
        <v>0</v>
      </c>
      <c r="O120" s="14">
        <v>0</v>
      </c>
      <c r="P120" s="14">
        <v>0</v>
      </c>
      <c r="Q120" s="15"/>
      <c r="R120" s="15"/>
      <c r="S120" s="15">
        <f>$G$120*$G$8+$H$120*$H$8+$I$120*$I$8+$J$120*$J$8+$K$120*$K$8+$L$120*$L$8+$M$120*$M$8+$N$120*$N$8+$O$120*$O$8+$P$120*$P$8</f>
        <v>0</v>
      </c>
      <c r="T120" s="15">
        <f>SUM($Q$120:$R$120)</f>
        <v>0</v>
      </c>
      <c r="U120" s="15">
        <f>$S$120+$T$120</f>
        <v>0</v>
      </c>
    </row>
    <row r="121" spans="1:21" x14ac:dyDescent="0.3">
      <c r="A121" s="10" t="s">
        <v>433</v>
      </c>
      <c r="B121" s="11" t="s">
        <v>434</v>
      </c>
      <c r="C121" s="11" t="s">
        <v>202</v>
      </c>
      <c r="D121" s="11" t="s">
        <v>435</v>
      </c>
      <c r="E121" s="11">
        <f xml:space="preserve"> IF($U$121,1,0)</f>
        <v>0</v>
      </c>
      <c r="F121" s="11" t="s">
        <v>436</v>
      </c>
      <c r="G121" s="11">
        <v>0</v>
      </c>
      <c r="H121" s="11">
        <v>0</v>
      </c>
      <c r="I121" s="11">
        <v>0</v>
      </c>
      <c r="J121" s="11">
        <v>0</v>
      </c>
      <c r="K121" s="11">
        <v>0</v>
      </c>
      <c r="L121" s="11">
        <v>0</v>
      </c>
      <c r="M121" s="11">
        <v>0</v>
      </c>
      <c r="N121" s="11">
        <v>0</v>
      </c>
      <c r="O121" s="11">
        <v>0</v>
      </c>
      <c r="P121" s="11">
        <v>0</v>
      </c>
      <c r="Q121" s="12"/>
      <c r="R121" s="12"/>
      <c r="S121" s="12">
        <f>$G$121*$G$8+$H$121*$H$8+$I$121*$I$8+$J$121*$J$8+$K$121*$K$8+$L$121*$L$8+$M$121*$M$8+$N$121*$N$8+$O$121*$O$8+$P$121*$P$8</f>
        <v>0</v>
      </c>
      <c r="T121" s="12">
        <f>SUM($Q$121:$R$121)</f>
        <v>0</v>
      </c>
      <c r="U121" s="12">
        <f>$S$121+$T$121</f>
        <v>0</v>
      </c>
    </row>
    <row r="122" spans="1:21" x14ac:dyDescent="0.3">
      <c r="A122" s="13" t="s">
        <v>437</v>
      </c>
      <c r="B122" s="14" t="s">
        <v>434</v>
      </c>
      <c r="C122" s="14"/>
      <c r="D122" s="14" t="s">
        <v>438</v>
      </c>
      <c r="E122" s="14">
        <f xml:space="preserve"> IF($U$122,1,0)</f>
        <v>0</v>
      </c>
      <c r="F122" s="14" t="s">
        <v>439</v>
      </c>
      <c r="G122" s="14">
        <v>0</v>
      </c>
      <c r="H122" s="14">
        <v>0</v>
      </c>
      <c r="I122" s="14">
        <v>0</v>
      </c>
      <c r="J122" s="14">
        <v>0</v>
      </c>
      <c r="K122" s="14">
        <v>0</v>
      </c>
      <c r="L122" s="14">
        <v>0</v>
      </c>
      <c r="M122" s="14">
        <v>0</v>
      </c>
      <c r="N122" s="14">
        <v>0</v>
      </c>
      <c r="O122" s="14">
        <v>0</v>
      </c>
      <c r="P122" s="14">
        <v>0</v>
      </c>
      <c r="Q122" s="15"/>
      <c r="R122" s="15"/>
      <c r="S122" s="15">
        <f>$G$122*$G$8+$H$122*$H$8+$I$122*$I$8+$J$122*$J$8+$K$122*$K$8+$L$122*$L$8+$M$122*$M$8+$N$122*$N$8+$O$122*$O$8+$P$122*$P$8</f>
        <v>0</v>
      </c>
      <c r="T122" s="15">
        <f>SUM($Q$122:$R$122)</f>
        <v>0</v>
      </c>
      <c r="U122" s="15">
        <f>$S$122+$T$122</f>
        <v>0</v>
      </c>
    </row>
    <row r="123" spans="1:21" x14ac:dyDescent="0.3">
      <c r="A123" s="10" t="s">
        <v>440</v>
      </c>
      <c r="B123" s="11" t="s">
        <v>441</v>
      </c>
      <c r="C123" s="11" t="s">
        <v>202</v>
      </c>
      <c r="D123" s="11" t="s">
        <v>442</v>
      </c>
      <c r="E123" s="11">
        <f xml:space="preserve"> IF($U$123,1,0)</f>
        <v>0</v>
      </c>
      <c r="F123" s="11" t="s">
        <v>443</v>
      </c>
      <c r="G123" s="11">
        <v>0</v>
      </c>
      <c r="H123" s="11">
        <v>0</v>
      </c>
      <c r="I123" s="11">
        <v>0</v>
      </c>
      <c r="J123" s="11">
        <v>0</v>
      </c>
      <c r="K123" s="11">
        <v>0</v>
      </c>
      <c r="L123" s="11">
        <v>0</v>
      </c>
      <c r="M123" s="11">
        <v>0</v>
      </c>
      <c r="N123" s="11">
        <v>0</v>
      </c>
      <c r="O123" s="11">
        <v>0</v>
      </c>
      <c r="P123" s="11">
        <v>0</v>
      </c>
      <c r="Q123" s="12"/>
      <c r="R123" s="12"/>
      <c r="S123" s="12">
        <f>$G$123*$G$8+$H$123*$H$8+$I$123*$I$8+$J$123*$J$8+$K$123*$K$8+$L$123*$L$8+$M$123*$M$8+$N$123*$N$8+$O$123*$O$8+$P$123*$P$8</f>
        <v>0</v>
      </c>
      <c r="T123" s="12">
        <f>SUM($Q$123:$R$123)</f>
        <v>0</v>
      </c>
      <c r="U123" s="12">
        <f>$S$123+$T$123</f>
        <v>0</v>
      </c>
    </row>
    <row r="124" spans="1:21" x14ac:dyDescent="0.3">
      <c r="A124" s="13" t="s">
        <v>444</v>
      </c>
      <c r="B124" s="14" t="s">
        <v>445</v>
      </c>
      <c r="C124" s="14"/>
      <c r="D124" s="14" t="s">
        <v>446</v>
      </c>
      <c r="E124" s="14">
        <f xml:space="preserve"> IF($U$124,1,0)</f>
        <v>0</v>
      </c>
      <c r="F124" s="14" t="s">
        <v>447</v>
      </c>
      <c r="G124" s="14">
        <v>0</v>
      </c>
      <c r="H124" s="14">
        <v>0</v>
      </c>
      <c r="I124" s="14">
        <v>0</v>
      </c>
      <c r="J124" s="14">
        <v>0</v>
      </c>
      <c r="K124" s="14">
        <v>0</v>
      </c>
      <c r="L124" s="14">
        <v>0</v>
      </c>
      <c r="M124" s="14">
        <v>0</v>
      </c>
      <c r="N124" s="14">
        <v>0</v>
      </c>
      <c r="O124" s="14">
        <v>0</v>
      </c>
      <c r="P124" s="14">
        <v>0</v>
      </c>
      <c r="Q124" s="15"/>
      <c r="R124" s="15"/>
      <c r="S124" s="15">
        <f>$G$124*$G$8+$H$124*$H$8+$I$124*$I$8+$J$124*$J$8+$K$124*$K$8+$L$124*$L$8+$M$124*$M$8+$N$124*$N$8+$O$124*$O$8+$P$124*$P$8</f>
        <v>0</v>
      </c>
      <c r="T124" s="15">
        <f>SUM($Q$124:$R$124)</f>
        <v>0</v>
      </c>
      <c r="U124" s="15">
        <f>$S$124+$T$124</f>
        <v>0</v>
      </c>
    </row>
    <row r="125" spans="1:21" x14ac:dyDescent="0.3">
      <c r="A125" s="10" t="s">
        <v>448</v>
      </c>
      <c r="B125" s="11" t="s">
        <v>449</v>
      </c>
      <c r="C125" s="11"/>
      <c r="D125" s="11" t="s">
        <v>450</v>
      </c>
      <c r="E125" s="11">
        <f xml:space="preserve"> IF($U$125,1,0)</f>
        <v>0</v>
      </c>
      <c r="F125" s="11" t="s">
        <v>451</v>
      </c>
      <c r="G125" s="11">
        <v>0</v>
      </c>
      <c r="H125" s="11">
        <v>0</v>
      </c>
      <c r="I125" s="11">
        <v>0</v>
      </c>
      <c r="J125" s="11">
        <v>0</v>
      </c>
      <c r="K125" s="11">
        <v>0</v>
      </c>
      <c r="L125" s="11">
        <v>0</v>
      </c>
      <c r="M125" s="11">
        <v>0</v>
      </c>
      <c r="N125" s="11">
        <v>0</v>
      </c>
      <c r="O125" s="11">
        <v>0</v>
      </c>
      <c r="P125" s="11">
        <v>0</v>
      </c>
      <c r="Q125" s="12"/>
      <c r="R125" s="12"/>
      <c r="S125" s="12">
        <f>$G$125*$G$8+$H$125*$H$8+$I$125*$I$8+$J$125*$J$8+$K$125*$K$8+$L$125*$L$8+$M$125*$M$8+$N$125*$N$8+$O$125*$O$8+$P$125*$P$8</f>
        <v>0</v>
      </c>
      <c r="T125" s="12">
        <f>SUM($Q$125:$R$125)</f>
        <v>0</v>
      </c>
      <c r="U125" s="12">
        <f>$S$125+$T$125</f>
        <v>0</v>
      </c>
    </row>
    <row r="126" spans="1:21" x14ac:dyDescent="0.3">
      <c r="A126" s="13" t="s">
        <v>452</v>
      </c>
      <c r="B126" s="14" t="s">
        <v>453</v>
      </c>
      <c r="C126" s="14"/>
      <c r="D126" s="14" t="s">
        <v>454</v>
      </c>
      <c r="E126" s="14">
        <f xml:space="preserve"> IF($U$126,1,0)</f>
        <v>0</v>
      </c>
      <c r="F126" s="14" t="s">
        <v>455</v>
      </c>
      <c r="G126" s="14">
        <v>0</v>
      </c>
      <c r="H126" s="14">
        <v>0</v>
      </c>
      <c r="I126" s="14">
        <v>0</v>
      </c>
      <c r="J126" s="14">
        <v>0</v>
      </c>
      <c r="K126" s="14">
        <v>0</v>
      </c>
      <c r="L126" s="14">
        <v>0</v>
      </c>
      <c r="M126" s="14">
        <v>0</v>
      </c>
      <c r="N126" s="14">
        <v>0</v>
      </c>
      <c r="O126" s="14">
        <v>0</v>
      </c>
      <c r="P126" s="14">
        <v>0</v>
      </c>
      <c r="Q126" s="15"/>
      <c r="R126" s="15"/>
      <c r="S126" s="15">
        <f>$G$126*$G$8+$H$126*$H$8+$I$126*$I$8+$J$126*$J$8+$K$126*$K$8+$L$126*$L$8+$M$126*$M$8+$N$126*$N$8+$O$126*$O$8+$P$126*$P$8</f>
        <v>0</v>
      </c>
      <c r="T126" s="15">
        <f>SUM($Q$126:$R$126)</f>
        <v>0</v>
      </c>
      <c r="U126" s="15">
        <f>$S$126+$T$126</f>
        <v>0</v>
      </c>
    </row>
    <row r="127" spans="1:21" x14ac:dyDescent="0.3">
      <c r="A127" s="10" t="s">
        <v>456</v>
      </c>
      <c r="B127" s="11" t="s">
        <v>457</v>
      </c>
      <c r="C127" s="11"/>
      <c r="D127" s="11" t="s">
        <v>458</v>
      </c>
      <c r="E127" s="11">
        <f xml:space="preserve"> IF($U$127,1,0)</f>
        <v>0</v>
      </c>
      <c r="F127" s="11" t="s">
        <v>459</v>
      </c>
      <c r="G127" s="11">
        <v>0</v>
      </c>
      <c r="H127" s="11">
        <v>0</v>
      </c>
      <c r="I127" s="11">
        <v>0</v>
      </c>
      <c r="J127" s="11">
        <v>0</v>
      </c>
      <c r="K127" s="11">
        <v>0</v>
      </c>
      <c r="L127" s="11">
        <v>0</v>
      </c>
      <c r="M127" s="11">
        <v>0</v>
      </c>
      <c r="N127" s="11">
        <v>0</v>
      </c>
      <c r="O127" s="11">
        <v>0</v>
      </c>
      <c r="P127" s="11">
        <v>0</v>
      </c>
      <c r="Q127" s="12"/>
      <c r="R127" s="12"/>
      <c r="S127" s="12">
        <f>$G$127*$G$8+$H$127*$H$8+$I$127*$I$8+$J$127*$J$8+$K$127*$K$8+$L$127*$L$8+$M$127*$M$8+$N$127*$N$8+$O$127*$O$8+$P$127*$P$8</f>
        <v>0</v>
      </c>
      <c r="T127" s="12">
        <f>SUM($Q$127:$R$127)</f>
        <v>0</v>
      </c>
      <c r="U127" s="12">
        <f>$S$127+$T$127</f>
        <v>0</v>
      </c>
    </row>
    <row r="128" spans="1:21" x14ac:dyDescent="0.3">
      <c r="A128" s="13" t="s">
        <v>460</v>
      </c>
      <c r="B128" s="14" t="s">
        <v>457</v>
      </c>
      <c r="C128" s="14"/>
      <c r="D128" s="14" t="s">
        <v>461</v>
      </c>
      <c r="E128" s="14">
        <f xml:space="preserve"> IF($U$128,1,0)</f>
        <v>0</v>
      </c>
      <c r="F128" s="14" t="s">
        <v>462</v>
      </c>
      <c r="G128" s="14">
        <v>0</v>
      </c>
      <c r="H128" s="14">
        <v>0</v>
      </c>
      <c r="I128" s="14">
        <v>0</v>
      </c>
      <c r="J128" s="14">
        <v>0</v>
      </c>
      <c r="K128" s="14">
        <v>0</v>
      </c>
      <c r="L128" s="14">
        <v>0</v>
      </c>
      <c r="M128" s="14">
        <v>0</v>
      </c>
      <c r="N128" s="14">
        <v>0</v>
      </c>
      <c r="O128" s="14">
        <v>0</v>
      </c>
      <c r="P128" s="14">
        <v>0</v>
      </c>
      <c r="Q128" s="15"/>
      <c r="R128" s="15"/>
      <c r="S128" s="15">
        <f>$G$128*$G$8+$H$128*$H$8+$I$128*$I$8+$J$128*$J$8+$K$128*$K$8+$L$128*$L$8+$M$128*$M$8+$N$128*$N$8+$O$128*$O$8+$P$128*$P$8</f>
        <v>0</v>
      </c>
      <c r="T128" s="15">
        <f>SUM($Q$128:$R$128)</f>
        <v>0</v>
      </c>
      <c r="U128" s="15">
        <f>$S$128+$T$128</f>
        <v>0</v>
      </c>
    </row>
    <row r="129" spans="1:21" x14ac:dyDescent="0.3">
      <c r="A129" s="10" t="s">
        <v>463</v>
      </c>
      <c r="B129" s="11" t="s">
        <v>457</v>
      </c>
      <c r="C129" s="11" t="s">
        <v>34</v>
      </c>
      <c r="D129" s="11" t="s">
        <v>464</v>
      </c>
      <c r="E129" s="11">
        <f xml:space="preserve"> IF($U$129,1,0)</f>
        <v>0</v>
      </c>
      <c r="F129" s="11" t="s">
        <v>465</v>
      </c>
      <c r="G129" s="11">
        <v>0</v>
      </c>
      <c r="H129" s="11">
        <v>0</v>
      </c>
      <c r="I129" s="11">
        <v>0</v>
      </c>
      <c r="J129" s="11">
        <v>0</v>
      </c>
      <c r="K129" s="11">
        <v>0</v>
      </c>
      <c r="L129" s="11">
        <v>0</v>
      </c>
      <c r="M129" s="11">
        <v>0</v>
      </c>
      <c r="N129" s="11">
        <v>0</v>
      </c>
      <c r="O129" s="11">
        <v>0</v>
      </c>
      <c r="P129" s="11">
        <v>0</v>
      </c>
      <c r="Q129" s="12"/>
      <c r="R129" s="12"/>
      <c r="S129" s="12">
        <f>$G$129*$G$8+$H$129*$H$8+$I$129*$I$8+$J$129*$J$8+$K$129*$K$8+$L$129*$L$8+$M$129*$M$8+$N$129*$N$8+$O$129*$O$8+$P$129*$P$8</f>
        <v>0</v>
      </c>
      <c r="T129" s="12">
        <f>SUM($Q$129:$R$129)</f>
        <v>0</v>
      </c>
      <c r="U129" s="12">
        <f>$S$129+$T$129</f>
        <v>0</v>
      </c>
    </row>
    <row r="130" spans="1:21" x14ac:dyDescent="0.3">
      <c r="A130" s="13" t="s">
        <v>466</v>
      </c>
      <c r="B130" s="14" t="s">
        <v>457</v>
      </c>
      <c r="C130" s="14"/>
      <c r="D130" s="14" t="s">
        <v>467</v>
      </c>
      <c r="E130" s="14">
        <f xml:space="preserve"> IF($U$130,1,0)</f>
        <v>0</v>
      </c>
      <c r="F130" s="14" t="s">
        <v>468</v>
      </c>
      <c r="G130" s="14">
        <v>0</v>
      </c>
      <c r="H130" s="14">
        <v>0</v>
      </c>
      <c r="I130" s="14">
        <v>0</v>
      </c>
      <c r="J130" s="14">
        <v>0</v>
      </c>
      <c r="K130" s="14">
        <v>0</v>
      </c>
      <c r="L130" s="14">
        <v>0</v>
      </c>
      <c r="M130" s="14">
        <v>0</v>
      </c>
      <c r="N130" s="14">
        <v>0</v>
      </c>
      <c r="O130" s="14">
        <v>0</v>
      </c>
      <c r="P130" s="14">
        <v>0</v>
      </c>
      <c r="Q130" s="15"/>
      <c r="R130" s="15"/>
      <c r="S130" s="15">
        <f>$G$130*$G$8+$H$130*$H$8+$I$130*$I$8+$J$130*$J$8+$K$130*$K$8+$L$130*$L$8+$M$130*$M$8+$N$130*$N$8+$O$130*$O$8+$P$130*$P$8</f>
        <v>0</v>
      </c>
      <c r="T130" s="15">
        <f>SUM($Q$130:$R$130)</f>
        <v>0</v>
      </c>
      <c r="U130" s="15">
        <f>$S$130+$T$130</f>
        <v>0</v>
      </c>
    </row>
    <row r="131" spans="1:21" x14ac:dyDescent="0.3">
      <c r="A131" s="10" t="s">
        <v>469</v>
      </c>
      <c r="B131" s="11" t="s">
        <v>470</v>
      </c>
      <c r="C131" s="11"/>
      <c r="D131" s="11" t="s">
        <v>471</v>
      </c>
      <c r="E131" s="11">
        <f xml:space="preserve"> IF($U$131,1,0)</f>
        <v>0</v>
      </c>
      <c r="F131" s="11" t="s">
        <v>472</v>
      </c>
      <c r="G131" s="11">
        <v>0</v>
      </c>
      <c r="H131" s="11">
        <v>0</v>
      </c>
      <c r="I131" s="11">
        <v>0</v>
      </c>
      <c r="J131" s="11">
        <v>0</v>
      </c>
      <c r="K131" s="11">
        <v>0</v>
      </c>
      <c r="L131" s="11">
        <v>0</v>
      </c>
      <c r="M131" s="11">
        <v>0</v>
      </c>
      <c r="N131" s="11">
        <v>0</v>
      </c>
      <c r="O131" s="11">
        <v>0</v>
      </c>
      <c r="P131" s="11">
        <v>0</v>
      </c>
      <c r="Q131" s="12"/>
      <c r="R131" s="12"/>
      <c r="S131" s="12">
        <f>$G$131*$G$8+$H$131*$H$8+$I$131*$I$8+$J$131*$J$8+$K$131*$K$8+$L$131*$L$8+$M$131*$M$8+$N$131*$N$8+$O$131*$O$8+$P$131*$P$8</f>
        <v>0</v>
      </c>
      <c r="T131" s="12">
        <f>SUM($Q$131:$R$131)</f>
        <v>0</v>
      </c>
      <c r="U131" s="12">
        <f>$S$131+$T$131</f>
        <v>0</v>
      </c>
    </row>
    <row r="132" spans="1:21" x14ac:dyDescent="0.3">
      <c r="A132" s="13" t="s">
        <v>473</v>
      </c>
      <c r="B132" s="14" t="s">
        <v>474</v>
      </c>
      <c r="C132" s="14"/>
      <c r="D132" s="14" t="s">
        <v>475</v>
      </c>
      <c r="E132" s="14">
        <f xml:space="preserve"> IF($U$132,1,0)</f>
        <v>0</v>
      </c>
      <c r="F132" s="14" t="s">
        <v>476</v>
      </c>
      <c r="G132" s="14">
        <v>0</v>
      </c>
      <c r="H132" s="14">
        <v>0</v>
      </c>
      <c r="I132" s="14">
        <v>0</v>
      </c>
      <c r="J132" s="14">
        <v>0</v>
      </c>
      <c r="K132" s="14">
        <v>0</v>
      </c>
      <c r="L132" s="14">
        <v>0</v>
      </c>
      <c r="M132" s="14">
        <v>0</v>
      </c>
      <c r="N132" s="14">
        <v>0</v>
      </c>
      <c r="O132" s="14">
        <v>0</v>
      </c>
      <c r="P132" s="14">
        <v>0</v>
      </c>
      <c r="Q132" s="15"/>
      <c r="R132" s="15"/>
      <c r="S132" s="15">
        <f>$G$132*$G$8+$H$132*$H$8+$I$132*$I$8+$J$132*$J$8+$K$132*$K$8+$L$132*$L$8+$M$132*$M$8+$N$132*$N$8+$O$132*$O$8+$P$132*$P$8</f>
        <v>0</v>
      </c>
      <c r="T132" s="15">
        <f>SUM($Q$132:$R$132)</f>
        <v>0</v>
      </c>
      <c r="U132" s="15">
        <f>$S$132+$T$132</f>
        <v>0</v>
      </c>
    </row>
    <row r="133" spans="1:21" x14ac:dyDescent="0.3">
      <c r="A133" s="10" t="s">
        <v>477</v>
      </c>
      <c r="B133" s="11" t="s">
        <v>478</v>
      </c>
      <c r="C133" s="11"/>
      <c r="D133" s="11" t="s">
        <v>479</v>
      </c>
      <c r="E133" s="11">
        <f xml:space="preserve"> IF($U$133,1,0)</f>
        <v>0</v>
      </c>
      <c r="F133" s="11" t="s">
        <v>480</v>
      </c>
      <c r="G133" s="11">
        <v>0</v>
      </c>
      <c r="H133" s="11">
        <v>0</v>
      </c>
      <c r="I133" s="11">
        <v>0</v>
      </c>
      <c r="J133" s="11">
        <v>0</v>
      </c>
      <c r="K133" s="11">
        <v>0</v>
      </c>
      <c r="L133" s="11">
        <v>0</v>
      </c>
      <c r="M133" s="11">
        <v>0</v>
      </c>
      <c r="N133" s="11">
        <v>0</v>
      </c>
      <c r="O133" s="11">
        <v>0</v>
      </c>
      <c r="P133" s="11">
        <v>0</v>
      </c>
      <c r="Q133" s="12"/>
      <c r="R133" s="12"/>
      <c r="S133" s="12">
        <f>$G$133*$G$8+$H$133*$H$8+$I$133*$I$8+$J$133*$J$8+$K$133*$K$8+$L$133*$L$8+$M$133*$M$8+$N$133*$N$8+$O$133*$O$8+$P$133*$P$8</f>
        <v>0</v>
      </c>
      <c r="T133" s="12">
        <f>SUM($Q$133:$R$133)</f>
        <v>0</v>
      </c>
      <c r="U133" s="12">
        <f>$S$133+$T$133</f>
        <v>0</v>
      </c>
    </row>
    <row r="134" spans="1:21" x14ac:dyDescent="0.3">
      <c r="A134" s="13" t="s">
        <v>481</v>
      </c>
      <c r="B134" s="14" t="s">
        <v>482</v>
      </c>
      <c r="C134" s="14"/>
      <c r="D134" s="14" t="s">
        <v>483</v>
      </c>
      <c r="E134" s="14">
        <f xml:space="preserve"> IF($U$134,1,0)</f>
        <v>1</v>
      </c>
      <c r="F134" s="14" t="s">
        <v>484</v>
      </c>
      <c r="G134" s="14">
        <v>0</v>
      </c>
      <c r="H134" s="14">
        <v>0</v>
      </c>
      <c r="I134" s="14">
        <v>1</v>
      </c>
      <c r="J134" s="14">
        <v>1</v>
      </c>
      <c r="K134" s="14">
        <v>1</v>
      </c>
      <c r="L134" s="14">
        <v>1</v>
      </c>
      <c r="M134" s="14">
        <v>0</v>
      </c>
      <c r="N134" s="14">
        <v>1</v>
      </c>
      <c r="O134" s="14">
        <v>1</v>
      </c>
      <c r="P134" s="14">
        <v>0</v>
      </c>
      <c r="Q134" s="15"/>
      <c r="R134" s="15"/>
      <c r="S134" s="15">
        <f>$G$134*$G$8+$H$134*$H$8+$I$134*$I$8+$J$134*$J$8+$K$134*$K$8+$L$134*$L$8+$M$134*$M$8+$N$134*$N$8+$O$134*$O$8+$P$134*$P$8</f>
        <v>16.25</v>
      </c>
      <c r="T134" s="15">
        <f>SUM($Q$134:$R$134)</f>
        <v>0</v>
      </c>
      <c r="U134" s="15">
        <f>$S$134+$T$134</f>
        <v>16.25</v>
      </c>
    </row>
    <row r="135" spans="1:21" x14ac:dyDescent="0.3">
      <c r="A135" s="10" t="s">
        <v>485</v>
      </c>
      <c r="B135" s="11" t="s">
        <v>486</v>
      </c>
      <c r="C135" s="11"/>
      <c r="D135" s="11" t="s">
        <v>487</v>
      </c>
      <c r="E135" s="11">
        <f xml:space="preserve"> IF($U$135,1,0)</f>
        <v>0</v>
      </c>
      <c r="F135" s="11" t="s">
        <v>488</v>
      </c>
      <c r="G135" s="11">
        <v>0</v>
      </c>
      <c r="H135" s="11">
        <v>0</v>
      </c>
      <c r="I135" s="11">
        <v>0</v>
      </c>
      <c r="J135" s="11">
        <v>0</v>
      </c>
      <c r="K135" s="11">
        <v>0</v>
      </c>
      <c r="L135" s="11">
        <v>0</v>
      </c>
      <c r="M135" s="11">
        <v>0</v>
      </c>
      <c r="N135" s="11">
        <v>0</v>
      </c>
      <c r="O135" s="11">
        <v>0</v>
      </c>
      <c r="P135" s="11">
        <v>0</v>
      </c>
      <c r="Q135" s="12"/>
      <c r="R135" s="12"/>
      <c r="S135" s="12">
        <f>$G$135*$G$8+$H$135*$H$8+$I$135*$I$8+$J$135*$J$8+$K$135*$K$8+$L$135*$L$8+$M$135*$M$8+$N$135*$N$8+$O$135*$O$8+$P$135*$P$8</f>
        <v>0</v>
      </c>
      <c r="T135" s="12">
        <f>SUM($Q$135:$R$135)</f>
        <v>0</v>
      </c>
      <c r="U135" s="12">
        <f>$S$135+$T$135</f>
        <v>0</v>
      </c>
    </row>
    <row r="136" spans="1:21" x14ac:dyDescent="0.3">
      <c r="A136" s="13" t="s">
        <v>489</v>
      </c>
      <c r="B136" s="14" t="s">
        <v>490</v>
      </c>
      <c r="C136" s="14"/>
      <c r="D136" s="14" t="s">
        <v>491</v>
      </c>
      <c r="E136" s="14">
        <f xml:space="preserve"> IF($U$136,1,0)</f>
        <v>0</v>
      </c>
      <c r="F136" s="14" t="s">
        <v>492</v>
      </c>
      <c r="G136" s="14">
        <v>0</v>
      </c>
      <c r="H136" s="14">
        <v>0</v>
      </c>
      <c r="I136" s="14">
        <v>0</v>
      </c>
      <c r="J136" s="14">
        <v>0</v>
      </c>
      <c r="K136" s="14">
        <v>0</v>
      </c>
      <c r="L136" s="14">
        <v>0</v>
      </c>
      <c r="M136" s="14">
        <v>0</v>
      </c>
      <c r="N136" s="14">
        <v>0</v>
      </c>
      <c r="O136" s="14">
        <v>0</v>
      </c>
      <c r="P136" s="14">
        <v>0</v>
      </c>
      <c r="Q136" s="15"/>
      <c r="R136" s="15"/>
      <c r="S136" s="15">
        <f>$G$136*$G$8+$H$136*$H$8+$I$136*$I$8+$J$136*$J$8+$K$136*$K$8+$L$136*$L$8+$M$136*$M$8+$N$136*$N$8+$O$136*$O$8+$P$136*$P$8</f>
        <v>0</v>
      </c>
      <c r="T136" s="15">
        <f>SUM($Q$136:$R$136)</f>
        <v>0</v>
      </c>
      <c r="U136" s="15">
        <f>$S$136+$T$136</f>
        <v>0</v>
      </c>
    </row>
    <row r="137" spans="1:21" x14ac:dyDescent="0.3">
      <c r="A137" s="10" t="s">
        <v>493</v>
      </c>
      <c r="B137" s="11" t="s">
        <v>494</v>
      </c>
      <c r="C137" s="11" t="s">
        <v>34</v>
      </c>
      <c r="D137" s="11" t="s">
        <v>495</v>
      </c>
      <c r="E137" s="11">
        <f xml:space="preserve"> IF($U$137,1,0)</f>
        <v>0</v>
      </c>
      <c r="F137" s="11" t="s">
        <v>496</v>
      </c>
      <c r="G137" s="11">
        <v>0</v>
      </c>
      <c r="H137" s="11">
        <v>0</v>
      </c>
      <c r="I137" s="11">
        <v>0</v>
      </c>
      <c r="J137" s="11">
        <v>0</v>
      </c>
      <c r="K137" s="11">
        <v>0</v>
      </c>
      <c r="L137" s="11">
        <v>0</v>
      </c>
      <c r="M137" s="11">
        <v>0</v>
      </c>
      <c r="N137" s="11">
        <v>0</v>
      </c>
      <c r="O137" s="11">
        <v>0</v>
      </c>
      <c r="P137" s="11">
        <v>0</v>
      </c>
      <c r="Q137" s="12"/>
      <c r="R137" s="12"/>
      <c r="S137" s="12">
        <f>$G$137*$G$8+$H$137*$H$8+$I$137*$I$8+$J$137*$J$8+$K$137*$K$8+$L$137*$L$8+$M$137*$M$8+$N$137*$N$8+$O$137*$O$8+$P$137*$P$8</f>
        <v>0</v>
      </c>
      <c r="T137" s="12">
        <f>SUM($Q$137:$R$137)</f>
        <v>0</v>
      </c>
      <c r="U137" s="12">
        <f>$S$137+$T$137</f>
        <v>0</v>
      </c>
    </row>
    <row r="138" spans="1:21" x14ac:dyDescent="0.3">
      <c r="A138" s="13" t="s">
        <v>497</v>
      </c>
      <c r="B138" s="14" t="s">
        <v>498</v>
      </c>
      <c r="C138" s="14"/>
      <c r="D138" s="14" t="s">
        <v>499</v>
      </c>
      <c r="E138" s="14">
        <f xml:space="preserve"> IF($U$138,1,0)</f>
        <v>0</v>
      </c>
      <c r="F138" s="14" t="s">
        <v>500</v>
      </c>
      <c r="G138" s="14">
        <v>0</v>
      </c>
      <c r="H138" s="14">
        <v>0</v>
      </c>
      <c r="I138" s="14">
        <v>0</v>
      </c>
      <c r="J138" s="14">
        <v>0</v>
      </c>
      <c r="K138" s="14">
        <v>0</v>
      </c>
      <c r="L138" s="14">
        <v>0</v>
      </c>
      <c r="M138" s="14">
        <v>0</v>
      </c>
      <c r="N138" s="14">
        <v>0</v>
      </c>
      <c r="O138" s="14">
        <v>0</v>
      </c>
      <c r="P138" s="14">
        <v>0</v>
      </c>
      <c r="Q138" s="15"/>
      <c r="R138" s="15"/>
      <c r="S138" s="15">
        <f>$G$138*$G$8+$H$138*$H$8+$I$138*$I$8+$J$138*$J$8+$K$138*$K$8+$L$138*$L$8+$M$138*$M$8+$N$138*$N$8+$O$138*$O$8+$P$138*$P$8</f>
        <v>0</v>
      </c>
      <c r="T138" s="15">
        <f>SUM($Q$138:$R$138)</f>
        <v>0</v>
      </c>
      <c r="U138" s="15">
        <f>$S$138+$T$138</f>
        <v>0</v>
      </c>
    </row>
    <row r="139" spans="1:21" x14ac:dyDescent="0.3">
      <c r="A139" s="10" t="s">
        <v>501</v>
      </c>
      <c r="B139" s="11" t="s">
        <v>502</v>
      </c>
      <c r="C139" s="11" t="s">
        <v>34</v>
      </c>
      <c r="D139" s="11" t="s">
        <v>503</v>
      </c>
      <c r="E139" s="11">
        <f xml:space="preserve"> IF($U$139,1,0)</f>
        <v>0</v>
      </c>
      <c r="F139" s="11" t="s">
        <v>504</v>
      </c>
      <c r="G139" s="11">
        <v>0</v>
      </c>
      <c r="H139" s="11">
        <v>0</v>
      </c>
      <c r="I139" s="11">
        <v>0</v>
      </c>
      <c r="J139" s="11">
        <v>0</v>
      </c>
      <c r="K139" s="11">
        <v>0</v>
      </c>
      <c r="L139" s="11">
        <v>0</v>
      </c>
      <c r="M139" s="11">
        <v>0</v>
      </c>
      <c r="N139" s="11">
        <v>0</v>
      </c>
      <c r="O139" s="11">
        <v>0</v>
      </c>
      <c r="P139" s="11">
        <v>0</v>
      </c>
      <c r="Q139" s="12"/>
      <c r="R139" s="12"/>
      <c r="S139" s="12">
        <f>$G$139*$G$8+$H$139*$H$8+$I$139*$I$8+$J$139*$J$8+$K$139*$K$8+$L$139*$L$8+$M$139*$M$8+$N$139*$N$8+$O$139*$O$8+$P$139*$P$8</f>
        <v>0</v>
      </c>
      <c r="T139" s="12">
        <f>SUM($Q$139:$R$139)</f>
        <v>0</v>
      </c>
      <c r="U139" s="12">
        <f>$S$139+$T$139</f>
        <v>0</v>
      </c>
    </row>
    <row r="140" spans="1:21" x14ac:dyDescent="0.3">
      <c r="A140" s="13" t="s">
        <v>505</v>
      </c>
      <c r="B140" s="14" t="s">
        <v>502</v>
      </c>
      <c r="C140" s="14"/>
      <c r="D140" s="14" t="s">
        <v>232</v>
      </c>
      <c r="E140" s="14">
        <f xml:space="preserve"> IF($U$140,1,0)</f>
        <v>0</v>
      </c>
      <c r="F140" s="14" t="s">
        <v>506</v>
      </c>
      <c r="G140" s="14">
        <v>0</v>
      </c>
      <c r="H140" s="14">
        <v>0</v>
      </c>
      <c r="I140" s="14">
        <v>0</v>
      </c>
      <c r="J140" s="14">
        <v>0</v>
      </c>
      <c r="K140" s="14">
        <v>0</v>
      </c>
      <c r="L140" s="14">
        <v>0</v>
      </c>
      <c r="M140" s="14">
        <v>0</v>
      </c>
      <c r="N140" s="14">
        <v>0</v>
      </c>
      <c r="O140" s="14">
        <v>0</v>
      </c>
      <c r="P140" s="14">
        <v>0</v>
      </c>
      <c r="Q140" s="15"/>
      <c r="R140" s="15"/>
      <c r="S140" s="15">
        <f>$G$140*$G$8+$H$140*$H$8+$I$140*$I$8+$J$140*$J$8+$K$140*$K$8+$L$140*$L$8+$M$140*$M$8+$N$140*$N$8+$O$140*$O$8+$P$140*$P$8</f>
        <v>0</v>
      </c>
      <c r="T140" s="15">
        <f>SUM($Q$140:$R$140)</f>
        <v>0</v>
      </c>
      <c r="U140" s="15">
        <f>$S$140+$T$140</f>
        <v>0</v>
      </c>
    </row>
    <row r="141" spans="1:21" x14ac:dyDescent="0.3">
      <c r="A141" s="10" t="s">
        <v>507</v>
      </c>
      <c r="B141" s="11" t="s">
        <v>508</v>
      </c>
      <c r="C141" s="11" t="s">
        <v>65</v>
      </c>
      <c r="D141" s="11" t="s">
        <v>509</v>
      </c>
      <c r="E141" s="11">
        <f xml:space="preserve"> IF($U$141,1,0)</f>
        <v>0</v>
      </c>
      <c r="F141" s="11" t="s">
        <v>510</v>
      </c>
      <c r="G141" s="11">
        <v>0</v>
      </c>
      <c r="H141" s="11">
        <v>0</v>
      </c>
      <c r="I141" s="11">
        <v>0</v>
      </c>
      <c r="J141" s="11">
        <v>0</v>
      </c>
      <c r="K141" s="11">
        <v>0</v>
      </c>
      <c r="L141" s="11">
        <v>0</v>
      </c>
      <c r="M141" s="11">
        <v>0</v>
      </c>
      <c r="N141" s="11">
        <v>0</v>
      </c>
      <c r="O141" s="11">
        <v>0</v>
      </c>
      <c r="P141" s="11">
        <v>0</v>
      </c>
      <c r="Q141" s="12"/>
      <c r="R141" s="12"/>
      <c r="S141" s="12">
        <f>$G$141*$G$8+$H$141*$H$8+$I$141*$I$8+$J$141*$J$8+$K$141*$K$8+$L$141*$L$8+$M$141*$M$8+$N$141*$N$8+$O$141*$O$8+$P$141*$P$8</f>
        <v>0</v>
      </c>
      <c r="T141" s="12">
        <f>SUM($Q$141:$R$141)</f>
        <v>0</v>
      </c>
      <c r="U141" s="12">
        <f>$S$141+$T$141</f>
        <v>0</v>
      </c>
    </row>
    <row r="142" spans="1:21" x14ac:dyDescent="0.3">
      <c r="A142" s="13" t="s">
        <v>511</v>
      </c>
      <c r="B142" s="14" t="s">
        <v>512</v>
      </c>
      <c r="C142" s="14" t="s">
        <v>513</v>
      </c>
      <c r="D142" s="14" t="s">
        <v>514</v>
      </c>
      <c r="E142" s="14">
        <f xml:space="preserve"> IF($U$142,1,0)</f>
        <v>0</v>
      </c>
      <c r="F142" s="14" t="s">
        <v>515</v>
      </c>
      <c r="G142" s="14">
        <v>0</v>
      </c>
      <c r="H142" s="14">
        <v>0</v>
      </c>
      <c r="I142" s="14">
        <v>0</v>
      </c>
      <c r="J142" s="14">
        <v>0</v>
      </c>
      <c r="K142" s="14">
        <v>0</v>
      </c>
      <c r="L142" s="14">
        <v>0</v>
      </c>
      <c r="M142" s="14">
        <v>0</v>
      </c>
      <c r="N142" s="14">
        <v>0</v>
      </c>
      <c r="O142" s="14">
        <v>0</v>
      </c>
      <c r="P142" s="14">
        <v>0</v>
      </c>
      <c r="Q142" s="15"/>
      <c r="R142" s="15"/>
      <c r="S142" s="15">
        <f>$G$142*$G$8+$H$142*$H$8+$I$142*$I$8+$J$142*$J$8+$K$142*$K$8+$L$142*$L$8+$M$142*$M$8+$N$142*$N$8+$O$142*$O$8+$P$142*$P$8</f>
        <v>0</v>
      </c>
      <c r="T142" s="15">
        <f>SUM($Q$142:$R$142)</f>
        <v>0</v>
      </c>
      <c r="U142" s="15">
        <f>$S$142+$T$142</f>
        <v>0</v>
      </c>
    </row>
    <row r="143" spans="1:21" x14ac:dyDescent="0.3">
      <c r="A143" s="10" t="s">
        <v>516</v>
      </c>
      <c r="B143" s="11" t="s">
        <v>517</v>
      </c>
      <c r="C143" s="11" t="s">
        <v>65</v>
      </c>
      <c r="D143" s="11" t="s">
        <v>518</v>
      </c>
      <c r="E143" s="11">
        <f xml:space="preserve"> IF($U$143,1,0)</f>
        <v>0</v>
      </c>
      <c r="F143" s="11" t="s">
        <v>519</v>
      </c>
      <c r="G143" s="11">
        <v>0</v>
      </c>
      <c r="H143" s="11">
        <v>0</v>
      </c>
      <c r="I143" s="11">
        <v>0</v>
      </c>
      <c r="J143" s="11">
        <v>0</v>
      </c>
      <c r="K143" s="11">
        <v>0</v>
      </c>
      <c r="L143" s="11">
        <v>0</v>
      </c>
      <c r="M143" s="11">
        <v>0</v>
      </c>
      <c r="N143" s="11">
        <v>0</v>
      </c>
      <c r="O143" s="11">
        <v>0</v>
      </c>
      <c r="P143" s="11">
        <v>0</v>
      </c>
      <c r="Q143" s="12"/>
      <c r="R143" s="12"/>
      <c r="S143" s="12">
        <f>$G$143*$G$8+$H$143*$H$8+$I$143*$I$8+$J$143*$J$8+$K$143*$K$8+$L$143*$L$8+$M$143*$M$8+$N$143*$N$8+$O$143*$O$8+$P$143*$P$8</f>
        <v>0</v>
      </c>
      <c r="T143" s="12">
        <f>SUM($Q$143:$R$143)</f>
        <v>0</v>
      </c>
      <c r="U143" s="12">
        <f>$S$143+$T$143</f>
        <v>0</v>
      </c>
    </row>
    <row r="144" spans="1:21" x14ac:dyDescent="0.3">
      <c r="A144" s="13" t="s">
        <v>520</v>
      </c>
      <c r="B144" s="14" t="s">
        <v>517</v>
      </c>
      <c r="C144" s="14"/>
      <c r="D144" s="14" t="s">
        <v>521</v>
      </c>
      <c r="E144" s="14">
        <f xml:space="preserve"> IF($U$144,1,0)</f>
        <v>0</v>
      </c>
      <c r="F144" s="14" t="s">
        <v>522</v>
      </c>
      <c r="G144" s="14">
        <v>0</v>
      </c>
      <c r="H144" s="14">
        <v>0</v>
      </c>
      <c r="I144" s="14">
        <v>0</v>
      </c>
      <c r="J144" s="14">
        <v>0</v>
      </c>
      <c r="K144" s="14">
        <v>0</v>
      </c>
      <c r="L144" s="14">
        <v>0</v>
      </c>
      <c r="M144" s="14">
        <v>0</v>
      </c>
      <c r="N144" s="14">
        <v>0</v>
      </c>
      <c r="O144" s="14">
        <v>0</v>
      </c>
      <c r="P144" s="14">
        <v>0</v>
      </c>
      <c r="Q144" s="15"/>
      <c r="R144" s="15"/>
      <c r="S144" s="15">
        <f>$G$144*$G$8+$H$144*$H$8+$I$144*$I$8+$J$144*$J$8+$K$144*$K$8+$L$144*$L$8+$M$144*$M$8+$N$144*$N$8+$O$144*$O$8+$P$144*$P$8</f>
        <v>0</v>
      </c>
      <c r="T144" s="15">
        <f>SUM($Q$144:$R$144)</f>
        <v>0</v>
      </c>
      <c r="U144" s="15">
        <f>$S$144+$T$144</f>
        <v>0</v>
      </c>
    </row>
    <row r="145" spans="1:21" x14ac:dyDescent="0.3">
      <c r="A145" s="10" t="s">
        <v>523</v>
      </c>
      <c r="B145" s="11" t="s">
        <v>524</v>
      </c>
      <c r="C145" s="11" t="s">
        <v>65</v>
      </c>
      <c r="D145" s="11" t="s">
        <v>327</v>
      </c>
      <c r="E145" s="11">
        <f xml:space="preserve"> IF($U$145,1,0)</f>
        <v>0</v>
      </c>
      <c r="F145" s="11" t="s">
        <v>525</v>
      </c>
      <c r="G145" s="11">
        <v>0</v>
      </c>
      <c r="H145" s="11">
        <v>0</v>
      </c>
      <c r="I145" s="11">
        <v>0</v>
      </c>
      <c r="J145" s="11">
        <v>0</v>
      </c>
      <c r="K145" s="11">
        <v>0</v>
      </c>
      <c r="L145" s="11">
        <v>0</v>
      </c>
      <c r="M145" s="11">
        <v>0</v>
      </c>
      <c r="N145" s="11">
        <v>0</v>
      </c>
      <c r="O145" s="11">
        <v>0</v>
      </c>
      <c r="P145" s="11">
        <v>0</v>
      </c>
      <c r="Q145" s="12"/>
      <c r="R145" s="12"/>
      <c r="S145" s="12">
        <f>$G$145*$G$8+$H$145*$H$8+$I$145*$I$8+$J$145*$J$8+$K$145*$K$8+$L$145*$L$8+$M$145*$M$8+$N$145*$N$8+$O$145*$O$8+$P$145*$P$8</f>
        <v>0</v>
      </c>
      <c r="T145" s="12">
        <f>SUM($Q$145:$R$145)</f>
        <v>0</v>
      </c>
      <c r="U145" s="12">
        <f>$S$145+$T$145</f>
        <v>0</v>
      </c>
    </row>
    <row r="146" spans="1:21" x14ac:dyDescent="0.3">
      <c r="A146" s="13" t="s">
        <v>526</v>
      </c>
      <c r="B146" s="14" t="s">
        <v>527</v>
      </c>
      <c r="C146" s="14"/>
      <c r="D146" s="14" t="s">
        <v>528</v>
      </c>
      <c r="E146" s="14">
        <f xml:space="preserve"> IF($U$146,1,0)</f>
        <v>0</v>
      </c>
      <c r="F146" s="14" t="s">
        <v>529</v>
      </c>
      <c r="G146" s="14">
        <v>0</v>
      </c>
      <c r="H146" s="14">
        <v>0</v>
      </c>
      <c r="I146" s="14">
        <v>0</v>
      </c>
      <c r="J146" s="14">
        <v>0</v>
      </c>
      <c r="K146" s="14">
        <v>0</v>
      </c>
      <c r="L146" s="14">
        <v>0</v>
      </c>
      <c r="M146" s="14">
        <v>0</v>
      </c>
      <c r="N146" s="14">
        <v>0</v>
      </c>
      <c r="O146" s="14">
        <v>0</v>
      </c>
      <c r="P146" s="14">
        <v>0</v>
      </c>
      <c r="Q146" s="15"/>
      <c r="R146" s="15"/>
      <c r="S146" s="15">
        <f>$G$146*$G$8+$H$146*$H$8+$I$146*$I$8+$J$146*$J$8+$K$146*$K$8+$L$146*$L$8+$M$146*$M$8+$N$146*$N$8+$O$146*$O$8+$P$146*$P$8</f>
        <v>0</v>
      </c>
      <c r="T146" s="15">
        <f>SUM($Q$146:$R$146)</f>
        <v>0</v>
      </c>
      <c r="U146" s="15">
        <f>$S$146+$T$146</f>
        <v>0</v>
      </c>
    </row>
    <row r="147" spans="1:21" x14ac:dyDescent="0.3">
      <c r="A147" s="10" t="s">
        <v>530</v>
      </c>
      <c r="B147" s="11" t="s">
        <v>531</v>
      </c>
      <c r="C147" s="11"/>
      <c r="D147" s="11" t="s">
        <v>532</v>
      </c>
      <c r="E147" s="11">
        <f xml:space="preserve"> IF($U$147,1,0)</f>
        <v>0</v>
      </c>
      <c r="F147" s="11" t="s">
        <v>533</v>
      </c>
      <c r="G147" s="11">
        <v>0</v>
      </c>
      <c r="H147" s="11">
        <v>0</v>
      </c>
      <c r="I147" s="11">
        <v>0</v>
      </c>
      <c r="J147" s="11">
        <v>0</v>
      </c>
      <c r="K147" s="11">
        <v>0</v>
      </c>
      <c r="L147" s="11">
        <v>0</v>
      </c>
      <c r="M147" s="11">
        <v>0</v>
      </c>
      <c r="N147" s="11">
        <v>0</v>
      </c>
      <c r="O147" s="11">
        <v>0</v>
      </c>
      <c r="P147" s="11">
        <v>0</v>
      </c>
      <c r="Q147" s="12"/>
      <c r="R147" s="12"/>
      <c r="S147" s="12">
        <f>$G$147*$G$8+$H$147*$H$8+$I$147*$I$8+$J$147*$J$8+$K$147*$K$8+$L$147*$L$8+$M$147*$M$8+$N$147*$N$8+$O$147*$O$8+$P$147*$P$8</f>
        <v>0</v>
      </c>
      <c r="T147" s="12">
        <f>SUM($Q$147:$R$147)</f>
        <v>0</v>
      </c>
      <c r="U147" s="12">
        <f>$S$147+$T$147</f>
        <v>0</v>
      </c>
    </row>
    <row r="148" spans="1:21" x14ac:dyDescent="0.3">
      <c r="A148" s="13" t="s">
        <v>534</v>
      </c>
      <c r="B148" s="14" t="s">
        <v>535</v>
      </c>
      <c r="C148" s="14"/>
      <c r="D148" s="14" t="s">
        <v>536</v>
      </c>
      <c r="E148" s="14">
        <f xml:space="preserve"> IF($U$148,1,0)</f>
        <v>0</v>
      </c>
      <c r="F148" s="14" t="s">
        <v>537</v>
      </c>
      <c r="G148" s="14">
        <v>0</v>
      </c>
      <c r="H148" s="14">
        <v>0</v>
      </c>
      <c r="I148" s="14">
        <v>0</v>
      </c>
      <c r="J148" s="14">
        <v>0</v>
      </c>
      <c r="K148" s="14">
        <v>0</v>
      </c>
      <c r="L148" s="14">
        <v>0</v>
      </c>
      <c r="M148" s="14">
        <v>0</v>
      </c>
      <c r="N148" s="14">
        <v>0</v>
      </c>
      <c r="O148" s="14">
        <v>0</v>
      </c>
      <c r="P148" s="14">
        <v>0</v>
      </c>
      <c r="Q148" s="15"/>
      <c r="R148" s="15"/>
      <c r="S148" s="15">
        <f>$G$148*$G$8+$H$148*$H$8+$I$148*$I$8+$J$148*$J$8+$K$148*$K$8+$L$148*$L$8+$M$148*$M$8+$N$148*$N$8+$O$148*$O$8+$P$148*$P$8</f>
        <v>0</v>
      </c>
      <c r="T148" s="15">
        <f>SUM($Q$148:$R$148)</f>
        <v>0</v>
      </c>
      <c r="U148" s="15">
        <f>$S$148+$T$148</f>
        <v>0</v>
      </c>
    </row>
    <row r="149" spans="1:21" x14ac:dyDescent="0.3">
      <c r="A149" s="10" t="s">
        <v>538</v>
      </c>
      <c r="B149" s="11" t="s">
        <v>535</v>
      </c>
      <c r="C149" s="11"/>
      <c r="D149" s="11" t="s">
        <v>539</v>
      </c>
      <c r="E149" s="11">
        <f xml:space="preserve"> IF($U$149,1,0)</f>
        <v>0</v>
      </c>
      <c r="F149" s="11" t="s">
        <v>540</v>
      </c>
      <c r="G149" s="11">
        <v>0</v>
      </c>
      <c r="H149" s="11">
        <v>0</v>
      </c>
      <c r="I149" s="11">
        <v>0</v>
      </c>
      <c r="J149" s="11">
        <v>0</v>
      </c>
      <c r="K149" s="11">
        <v>0</v>
      </c>
      <c r="L149" s="11">
        <v>0</v>
      </c>
      <c r="M149" s="11">
        <v>0</v>
      </c>
      <c r="N149" s="11">
        <v>0</v>
      </c>
      <c r="O149" s="11">
        <v>0</v>
      </c>
      <c r="P149" s="11">
        <v>0</v>
      </c>
      <c r="Q149" s="12"/>
      <c r="R149" s="12"/>
      <c r="S149" s="12">
        <f>$G$149*$G$8+$H$149*$H$8+$I$149*$I$8+$J$149*$J$8+$K$149*$K$8+$L$149*$L$8+$M$149*$M$8+$N$149*$N$8+$O$149*$O$8+$P$149*$P$8</f>
        <v>0</v>
      </c>
      <c r="T149" s="12">
        <f>SUM($Q$149:$R$149)</f>
        <v>0</v>
      </c>
      <c r="U149" s="12">
        <f>$S$149+$T$149</f>
        <v>0</v>
      </c>
    </row>
    <row r="150" spans="1:21" x14ac:dyDescent="0.3">
      <c r="A150" s="13" t="s">
        <v>541</v>
      </c>
      <c r="B150" s="14" t="s">
        <v>542</v>
      </c>
      <c r="C150" s="14"/>
      <c r="D150" s="14" t="s">
        <v>543</v>
      </c>
      <c r="E150" s="14">
        <f xml:space="preserve"> IF($U$150,1,0)</f>
        <v>0</v>
      </c>
      <c r="F150" s="14" t="s">
        <v>544</v>
      </c>
      <c r="G150" s="14">
        <v>0</v>
      </c>
      <c r="H150" s="14">
        <v>0</v>
      </c>
      <c r="I150" s="14">
        <v>0</v>
      </c>
      <c r="J150" s="14">
        <v>0</v>
      </c>
      <c r="K150" s="14">
        <v>0</v>
      </c>
      <c r="L150" s="14">
        <v>0</v>
      </c>
      <c r="M150" s="14">
        <v>0</v>
      </c>
      <c r="N150" s="14">
        <v>0</v>
      </c>
      <c r="O150" s="14">
        <v>0</v>
      </c>
      <c r="P150" s="14">
        <v>0</v>
      </c>
      <c r="Q150" s="15"/>
      <c r="R150" s="15"/>
      <c r="S150" s="15">
        <f>$G$150*$G$8+$H$150*$H$8+$I$150*$I$8+$J$150*$J$8+$K$150*$K$8+$L$150*$L$8+$M$150*$M$8+$N$150*$N$8+$O$150*$O$8+$P$150*$P$8</f>
        <v>0</v>
      </c>
      <c r="T150" s="15">
        <f>SUM($Q$150:$R$150)</f>
        <v>0</v>
      </c>
      <c r="U150" s="15">
        <f>$S$150+$T$150</f>
        <v>0</v>
      </c>
    </row>
    <row r="151" spans="1:21" x14ac:dyDescent="0.3">
      <c r="A151" s="10" t="s">
        <v>545</v>
      </c>
      <c r="B151" s="11" t="s">
        <v>546</v>
      </c>
      <c r="C151" s="11"/>
      <c r="D151" s="11" t="s">
        <v>547</v>
      </c>
      <c r="E151" s="11">
        <f xml:space="preserve"> IF($U$151,1,0)</f>
        <v>0</v>
      </c>
      <c r="F151" s="11" t="s">
        <v>548</v>
      </c>
      <c r="G151" s="11">
        <v>0</v>
      </c>
      <c r="H151" s="11">
        <v>0</v>
      </c>
      <c r="I151" s="11">
        <v>0</v>
      </c>
      <c r="J151" s="11">
        <v>0</v>
      </c>
      <c r="K151" s="11">
        <v>0</v>
      </c>
      <c r="L151" s="11">
        <v>0</v>
      </c>
      <c r="M151" s="11">
        <v>0</v>
      </c>
      <c r="N151" s="11">
        <v>0</v>
      </c>
      <c r="O151" s="11">
        <v>0</v>
      </c>
      <c r="P151" s="11">
        <v>0</v>
      </c>
      <c r="Q151" s="12"/>
      <c r="R151" s="12"/>
      <c r="S151" s="12">
        <f>$G$151*$G$8+$H$151*$H$8+$I$151*$I$8+$J$151*$J$8+$K$151*$K$8+$L$151*$L$8+$M$151*$M$8+$N$151*$N$8+$O$151*$O$8+$P$151*$P$8</f>
        <v>0</v>
      </c>
      <c r="T151" s="12">
        <f>SUM($Q$151:$R$151)</f>
        <v>0</v>
      </c>
      <c r="U151" s="12">
        <f>$S$151+$T$151</f>
        <v>0</v>
      </c>
    </row>
    <row r="152" spans="1:21" x14ac:dyDescent="0.3">
      <c r="A152" s="13" t="s">
        <v>549</v>
      </c>
      <c r="B152" s="14" t="s">
        <v>550</v>
      </c>
      <c r="C152" s="14" t="s">
        <v>34</v>
      </c>
      <c r="D152" s="14" t="s">
        <v>551</v>
      </c>
      <c r="E152" s="14">
        <f xml:space="preserve"> IF($U$152,1,0)</f>
        <v>0</v>
      </c>
      <c r="F152" s="14" t="s">
        <v>552</v>
      </c>
      <c r="G152" s="14">
        <v>0</v>
      </c>
      <c r="H152" s="14">
        <v>0</v>
      </c>
      <c r="I152" s="14">
        <v>0</v>
      </c>
      <c r="J152" s="14">
        <v>0</v>
      </c>
      <c r="K152" s="14">
        <v>0</v>
      </c>
      <c r="L152" s="14">
        <v>0</v>
      </c>
      <c r="M152" s="14">
        <v>0</v>
      </c>
      <c r="N152" s="14">
        <v>0</v>
      </c>
      <c r="O152" s="14">
        <v>0</v>
      </c>
      <c r="P152" s="14">
        <v>0</v>
      </c>
      <c r="Q152" s="15"/>
      <c r="R152" s="15"/>
      <c r="S152" s="15">
        <f>$G$152*$G$8+$H$152*$H$8+$I$152*$I$8+$J$152*$J$8+$K$152*$K$8+$L$152*$L$8+$M$152*$M$8+$N$152*$N$8+$O$152*$O$8+$P$152*$P$8</f>
        <v>0</v>
      </c>
      <c r="T152" s="15">
        <f>SUM($Q$152:$R$152)</f>
        <v>0</v>
      </c>
      <c r="U152" s="15">
        <f>$S$152+$T$152</f>
        <v>0</v>
      </c>
    </row>
    <row r="153" spans="1:21" x14ac:dyDescent="0.3">
      <c r="A153" s="10" t="s">
        <v>553</v>
      </c>
      <c r="B153" s="11" t="s">
        <v>554</v>
      </c>
      <c r="C153" s="11"/>
      <c r="D153" s="11" t="s">
        <v>555</v>
      </c>
      <c r="E153" s="11">
        <f xml:space="preserve"> IF($U$153,1,0)</f>
        <v>0</v>
      </c>
      <c r="F153" s="11" t="s">
        <v>556</v>
      </c>
      <c r="G153" s="11">
        <v>0</v>
      </c>
      <c r="H153" s="11">
        <v>0</v>
      </c>
      <c r="I153" s="11">
        <v>0</v>
      </c>
      <c r="J153" s="11">
        <v>0</v>
      </c>
      <c r="K153" s="11">
        <v>0</v>
      </c>
      <c r="L153" s="11">
        <v>0</v>
      </c>
      <c r="M153" s="11">
        <v>0</v>
      </c>
      <c r="N153" s="11">
        <v>0</v>
      </c>
      <c r="O153" s="11">
        <v>0</v>
      </c>
      <c r="P153" s="11">
        <v>0</v>
      </c>
      <c r="Q153" s="12"/>
      <c r="R153" s="12"/>
      <c r="S153" s="12">
        <f>$G$153*$G$8+$H$153*$H$8+$I$153*$I$8+$J$153*$J$8+$K$153*$K$8+$L$153*$L$8+$M$153*$M$8+$N$153*$N$8+$O$153*$O$8+$P$153*$P$8</f>
        <v>0</v>
      </c>
      <c r="T153" s="12">
        <f>SUM($Q$153:$R$153)</f>
        <v>0</v>
      </c>
      <c r="U153" s="12">
        <f>$S$153+$T$153</f>
        <v>0</v>
      </c>
    </row>
    <row r="154" spans="1:21" x14ac:dyDescent="0.3">
      <c r="A154" s="13" t="s">
        <v>557</v>
      </c>
      <c r="B154" s="14" t="s">
        <v>554</v>
      </c>
      <c r="C154" s="14"/>
      <c r="D154" s="14" t="s">
        <v>558</v>
      </c>
      <c r="E154" s="14">
        <f xml:space="preserve"> IF($U$154,1,0)</f>
        <v>0</v>
      </c>
      <c r="F154" s="14" t="s">
        <v>559</v>
      </c>
      <c r="G154" s="14">
        <v>0</v>
      </c>
      <c r="H154" s="14">
        <v>0</v>
      </c>
      <c r="I154" s="14">
        <v>0</v>
      </c>
      <c r="J154" s="14">
        <v>0</v>
      </c>
      <c r="K154" s="14">
        <v>0</v>
      </c>
      <c r="L154" s="14">
        <v>0</v>
      </c>
      <c r="M154" s="14">
        <v>0</v>
      </c>
      <c r="N154" s="14">
        <v>0</v>
      </c>
      <c r="O154" s="14">
        <v>0</v>
      </c>
      <c r="P154" s="14">
        <v>0</v>
      </c>
      <c r="Q154" s="15"/>
      <c r="R154" s="15"/>
      <c r="S154" s="15">
        <f>$G$154*$G$8+$H$154*$H$8+$I$154*$I$8+$J$154*$J$8+$K$154*$K$8+$L$154*$L$8+$M$154*$M$8+$N$154*$N$8+$O$154*$O$8+$P$154*$P$8</f>
        <v>0</v>
      </c>
      <c r="T154" s="15">
        <f>SUM($Q$154:$R$154)</f>
        <v>0</v>
      </c>
      <c r="U154" s="15">
        <f>$S$154+$T$154</f>
        <v>0</v>
      </c>
    </row>
    <row r="155" spans="1:21" x14ac:dyDescent="0.3">
      <c r="A155" s="10" t="s">
        <v>560</v>
      </c>
      <c r="B155" s="11" t="s">
        <v>561</v>
      </c>
      <c r="C155" s="11"/>
      <c r="D155" s="11" t="s">
        <v>562</v>
      </c>
      <c r="E155" s="11">
        <f xml:space="preserve"> IF($U$155,1,0)</f>
        <v>0</v>
      </c>
      <c r="F155" s="11" t="s">
        <v>563</v>
      </c>
      <c r="G155" s="11">
        <v>0</v>
      </c>
      <c r="H155" s="11">
        <v>0</v>
      </c>
      <c r="I155" s="11">
        <v>0</v>
      </c>
      <c r="J155" s="11">
        <v>0</v>
      </c>
      <c r="K155" s="11">
        <v>0</v>
      </c>
      <c r="L155" s="11">
        <v>0</v>
      </c>
      <c r="M155" s="11">
        <v>0</v>
      </c>
      <c r="N155" s="11">
        <v>0</v>
      </c>
      <c r="O155" s="11">
        <v>0</v>
      </c>
      <c r="P155" s="11">
        <v>0</v>
      </c>
      <c r="Q155" s="12"/>
      <c r="R155" s="12"/>
      <c r="S155" s="12">
        <f>$G$155*$G$8+$H$155*$H$8+$I$155*$I$8+$J$155*$J$8+$K$155*$K$8+$L$155*$L$8+$M$155*$M$8+$N$155*$N$8+$O$155*$O$8+$P$155*$P$8</f>
        <v>0</v>
      </c>
      <c r="T155" s="12">
        <f>SUM($Q$155:$R$155)</f>
        <v>0</v>
      </c>
      <c r="U155" s="12">
        <f>$S$155+$T$155</f>
        <v>0</v>
      </c>
    </row>
    <row r="156" spans="1:21" x14ac:dyDescent="0.3">
      <c r="A156" s="13" t="s">
        <v>564</v>
      </c>
      <c r="B156" s="14" t="s">
        <v>565</v>
      </c>
      <c r="C156" s="14"/>
      <c r="D156" s="14" t="s">
        <v>566</v>
      </c>
      <c r="E156" s="14">
        <f xml:space="preserve"> IF($U$156,1,0)</f>
        <v>0</v>
      </c>
      <c r="F156" s="14" t="s">
        <v>567</v>
      </c>
      <c r="G156" s="14">
        <v>0</v>
      </c>
      <c r="H156" s="14">
        <v>0</v>
      </c>
      <c r="I156" s="14">
        <v>0</v>
      </c>
      <c r="J156" s="14">
        <v>0</v>
      </c>
      <c r="K156" s="14">
        <v>0</v>
      </c>
      <c r="L156" s="14">
        <v>0</v>
      </c>
      <c r="M156" s="14">
        <v>0</v>
      </c>
      <c r="N156" s="14">
        <v>0</v>
      </c>
      <c r="O156" s="14">
        <v>0</v>
      </c>
      <c r="P156" s="14">
        <v>0</v>
      </c>
      <c r="Q156" s="15"/>
      <c r="R156" s="15"/>
      <c r="S156" s="15">
        <f>$G$156*$G$8+$H$156*$H$8+$I$156*$I$8+$J$156*$J$8+$K$156*$K$8+$L$156*$L$8+$M$156*$M$8+$N$156*$N$8+$O$156*$O$8+$P$156*$P$8</f>
        <v>0</v>
      </c>
      <c r="T156" s="15">
        <f>SUM($Q$156:$R$156)</f>
        <v>0</v>
      </c>
      <c r="U156" s="15">
        <f>$S$156+$T$156</f>
        <v>0</v>
      </c>
    </row>
    <row r="157" spans="1:21" x14ac:dyDescent="0.3">
      <c r="A157" s="10" t="s">
        <v>568</v>
      </c>
      <c r="B157" s="11" t="s">
        <v>569</v>
      </c>
      <c r="C157" s="11"/>
      <c r="D157" s="11" t="s">
        <v>570</v>
      </c>
      <c r="E157" s="11">
        <f xml:space="preserve"> IF($U$157,1,0)</f>
        <v>0</v>
      </c>
      <c r="F157" s="11" t="s">
        <v>571</v>
      </c>
      <c r="G157" s="11">
        <v>0</v>
      </c>
      <c r="H157" s="11">
        <v>0</v>
      </c>
      <c r="I157" s="11">
        <v>0</v>
      </c>
      <c r="J157" s="11">
        <v>0</v>
      </c>
      <c r="K157" s="11">
        <v>0</v>
      </c>
      <c r="L157" s="11">
        <v>0</v>
      </c>
      <c r="M157" s="11">
        <v>0</v>
      </c>
      <c r="N157" s="11">
        <v>0</v>
      </c>
      <c r="O157" s="11">
        <v>0</v>
      </c>
      <c r="P157" s="11">
        <v>0</v>
      </c>
      <c r="Q157" s="12"/>
      <c r="R157" s="12"/>
      <c r="S157" s="12">
        <f>$G$157*$G$8+$H$157*$H$8+$I$157*$I$8+$J$157*$J$8+$K$157*$K$8+$L$157*$L$8+$M$157*$M$8+$N$157*$N$8+$O$157*$O$8+$P$157*$P$8</f>
        <v>0</v>
      </c>
      <c r="T157" s="12">
        <f>SUM($Q$157:$R$157)</f>
        <v>0</v>
      </c>
      <c r="U157" s="12">
        <f>$S$157+$T$157</f>
        <v>0</v>
      </c>
    </row>
    <row r="158" spans="1:21" x14ac:dyDescent="0.3">
      <c r="A158" s="13" t="s">
        <v>572</v>
      </c>
      <c r="B158" s="14" t="s">
        <v>573</v>
      </c>
      <c r="C158" s="14" t="s">
        <v>34</v>
      </c>
      <c r="D158" s="14" t="s">
        <v>574</v>
      </c>
      <c r="E158" s="14">
        <f xml:space="preserve"> IF($U$158,1,0)</f>
        <v>0</v>
      </c>
      <c r="F158" s="14" t="s">
        <v>575</v>
      </c>
      <c r="G158" s="14">
        <v>0</v>
      </c>
      <c r="H158" s="14">
        <v>0</v>
      </c>
      <c r="I158" s="14">
        <v>0</v>
      </c>
      <c r="J158" s="14">
        <v>0</v>
      </c>
      <c r="K158" s="14">
        <v>0</v>
      </c>
      <c r="L158" s="14">
        <v>0</v>
      </c>
      <c r="M158" s="14">
        <v>0</v>
      </c>
      <c r="N158" s="14">
        <v>0</v>
      </c>
      <c r="O158" s="14">
        <v>0</v>
      </c>
      <c r="P158" s="14">
        <v>0</v>
      </c>
      <c r="Q158" s="15"/>
      <c r="R158" s="15"/>
      <c r="S158" s="15">
        <f>$G$158*$G$8+$H$158*$H$8+$I$158*$I$8+$J$158*$J$8+$K$158*$K$8+$L$158*$L$8+$M$158*$M$8+$N$158*$N$8+$O$158*$O$8+$P$158*$P$8</f>
        <v>0</v>
      </c>
      <c r="T158" s="15">
        <f>SUM($Q$158:$R$158)</f>
        <v>0</v>
      </c>
      <c r="U158" s="15">
        <f>$S$158+$T$158</f>
        <v>0</v>
      </c>
    </row>
    <row r="159" spans="1:21" x14ac:dyDescent="0.3">
      <c r="A159" s="10" t="s">
        <v>576</v>
      </c>
      <c r="B159" s="11" t="s">
        <v>577</v>
      </c>
      <c r="C159" s="11"/>
      <c r="D159" s="11" t="s">
        <v>578</v>
      </c>
      <c r="E159" s="11">
        <f xml:space="preserve"> IF($U$159,1,0)</f>
        <v>0</v>
      </c>
      <c r="F159" s="11" t="s">
        <v>579</v>
      </c>
      <c r="G159" s="11">
        <v>0</v>
      </c>
      <c r="H159" s="11">
        <v>0</v>
      </c>
      <c r="I159" s="11">
        <v>0</v>
      </c>
      <c r="J159" s="11">
        <v>0</v>
      </c>
      <c r="K159" s="11">
        <v>0</v>
      </c>
      <c r="L159" s="11">
        <v>0</v>
      </c>
      <c r="M159" s="11">
        <v>0</v>
      </c>
      <c r="N159" s="11">
        <v>0</v>
      </c>
      <c r="O159" s="11">
        <v>0</v>
      </c>
      <c r="P159" s="11">
        <v>0</v>
      </c>
      <c r="Q159" s="12"/>
      <c r="R159" s="12"/>
      <c r="S159" s="12">
        <f>$G$159*$G$8+$H$159*$H$8+$I$159*$I$8+$J$159*$J$8+$K$159*$K$8+$L$159*$L$8+$M$159*$M$8+$N$159*$N$8+$O$159*$O$8+$P$159*$P$8</f>
        <v>0</v>
      </c>
      <c r="T159" s="12">
        <f>SUM($Q$159:$R$159)</f>
        <v>0</v>
      </c>
      <c r="U159" s="12">
        <f>$S$159+$T$159</f>
        <v>0</v>
      </c>
    </row>
    <row r="160" spans="1:21" x14ac:dyDescent="0.3">
      <c r="A160" s="13" t="s">
        <v>580</v>
      </c>
      <c r="B160" s="14" t="s">
        <v>581</v>
      </c>
      <c r="C160" s="14"/>
      <c r="D160" s="14" t="s">
        <v>582</v>
      </c>
      <c r="E160" s="14">
        <f xml:space="preserve"> IF($U$160,1,0)</f>
        <v>0</v>
      </c>
      <c r="F160" s="14" t="s">
        <v>583</v>
      </c>
      <c r="G160" s="14">
        <v>0</v>
      </c>
      <c r="H160" s="14">
        <v>0</v>
      </c>
      <c r="I160" s="14">
        <v>0</v>
      </c>
      <c r="J160" s="14">
        <v>0</v>
      </c>
      <c r="K160" s="14">
        <v>0</v>
      </c>
      <c r="L160" s="14">
        <v>0</v>
      </c>
      <c r="M160" s="14">
        <v>0</v>
      </c>
      <c r="N160" s="14">
        <v>0</v>
      </c>
      <c r="O160" s="14">
        <v>0</v>
      </c>
      <c r="P160" s="14">
        <v>0</v>
      </c>
      <c r="Q160" s="15"/>
      <c r="R160" s="15"/>
      <c r="S160" s="15">
        <f>$G$160*$G$8+$H$160*$H$8+$I$160*$I$8+$J$160*$J$8+$K$160*$K$8+$L$160*$L$8+$M$160*$M$8+$N$160*$N$8+$O$160*$O$8+$P$160*$P$8</f>
        <v>0</v>
      </c>
      <c r="T160" s="15">
        <f>SUM($Q$160:$R$160)</f>
        <v>0</v>
      </c>
      <c r="U160" s="15">
        <f>$S$160+$T$160</f>
        <v>0</v>
      </c>
    </row>
    <row r="161" spans="1:21" x14ac:dyDescent="0.3">
      <c r="A161" s="10" t="s">
        <v>584</v>
      </c>
      <c r="B161" s="11" t="s">
        <v>585</v>
      </c>
      <c r="C161" s="11"/>
      <c r="D161" s="11" t="s">
        <v>586</v>
      </c>
      <c r="E161" s="11">
        <f xml:space="preserve"> IF($U$161,1,0)</f>
        <v>0</v>
      </c>
      <c r="F161" s="11" t="s">
        <v>587</v>
      </c>
      <c r="G161" s="11">
        <v>0</v>
      </c>
      <c r="H161" s="11">
        <v>0</v>
      </c>
      <c r="I161" s="11">
        <v>0</v>
      </c>
      <c r="J161" s="11">
        <v>0</v>
      </c>
      <c r="K161" s="11">
        <v>0</v>
      </c>
      <c r="L161" s="11">
        <v>0</v>
      </c>
      <c r="M161" s="11">
        <v>0</v>
      </c>
      <c r="N161" s="11">
        <v>0</v>
      </c>
      <c r="O161" s="11">
        <v>0</v>
      </c>
      <c r="P161" s="11">
        <v>0</v>
      </c>
      <c r="Q161" s="12"/>
      <c r="R161" s="12"/>
      <c r="S161" s="12">
        <f>$G$161*$G$8+$H$161*$H$8+$I$161*$I$8+$J$161*$J$8+$K$161*$K$8+$L$161*$L$8+$M$161*$M$8+$N$161*$N$8+$O$161*$O$8+$P$161*$P$8</f>
        <v>0</v>
      </c>
      <c r="T161" s="12">
        <f>SUM($Q$161:$R$161)</f>
        <v>0</v>
      </c>
      <c r="U161" s="12">
        <f>$S$161+$T$161</f>
        <v>0</v>
      </c>
    </row>
    <row r="162" spans="1:21" x14ac:dyDescent="0.3">
      <c r="A162" s="13" t="s">
        <v>588</v>
      </c>
      <c r="B162" s="14" t="s">
        <v>589</v>
      </c>
      <c r="C162" s="14"/>
      <c r="D162" s="14" t="s">
        <v>590</v>
      </c>
      <c r="E162" s="14">
        <f xml:space="preserve"> IF($U$162,1,0)</f>
        <v>0</v>
      </c>
      <c r="F162" s="14" t="s">
        <v>591</v>
      </c>
      <c r="G162" s="14">
        <v>0</v>
      </c>
      <c r="H162" s="14">
        <v>0</v>
      </c>
      <c r="I162" s="14">
        <v>0</v>
      </c>
      <c r="J162" s="14">
        <v>0</v>
      </c>
      <c r="K162" s="14">
        <v>0</v>
      </c>
      <c r="L162" s="14">
        <v>0</v>
      </c>
      <c r="M162" s="14">
        <v>0</v>
      </c>
      <c r="N162" s="14">
        <v>0</v>
      </c>
      <c r="O162" s="14">
        <v>0</v>
      </c>
      <c r="P162" s="14">
        <v>0</v>
      </c>
      <c r="Q162" s="15"/>
      <c r="R162" s="15"/>
      <c r="S162" s="15">
        <f>$G$162*$G$8+$H$162*$H$8+$I$162*$I$8+$J$162*$J$8+$K$162*$K$8+$L$162*$L$8+$M$162*$M$8+$N$162*$N$8+$O$162*$O$8+$P$162*$P$8</f>
        <v>0</v>
      </c>
      <c r="T162" s="15">
        <f>SUM($Q$162:$R$162)</f>
        <v>0</v>
      </c>
      <c r="U162" s="15">
        <f>$S$162+$T$162</f>
        <v>0</v>
      </c>
    </row>
    <row r="163" spans="1:21" x14ac:dyDescent="0.3">
      <c r="A163" s="10" t="s">
        <v>592</v>
      </c>
      <c r="B163" s="11" t="s">
        <v>593</v>
      </c>
      <c r="C163" s="11"/>
      <c r="D163" s="11" t="s">
        <v>594</v>
      </c>
      <c r="E163" s="11">
        <f xml:space="preserve"> IF($U$163,1,0)</f>
        <v>0</v>
      </c>
      <c r="F163" s="11" t="s">
        <v>595</v>
      </c>
      <c r="G163" s="11">
        <v>0</v>
      </c>
      <c r="H163" s="11">
        <v>0</v>
      </c>
      <c r="I163" s="11">
        <v>0</v>
      </c>
      <c r="J163" s="11">
        <v>0</v>
      </c>
      <c r="K163" s="11">
        <v>0</v>
      </c>
      <c r="L163" s="11">
        <v>0</v>
      </c>
      <c r="M163" s="11">
        <v>0</v>
      </c>
      <c r="N163" s="11">
        <v>0</v>
      </c>
      <c r="O163" s="11">
        <v>0</v>
      </c>
      <c r="P163" s="11">
        <v>0</v>
      </c>
      <c r="Q163" s="12"/>
      <c r="R163" s="12"/>
      <c r="S163" s="12">
        <f>$G$163*$G$8+$H$163*$H$8+$I$163*$I$8+$J$163*$J$8+$K$163*$K$8+$L$163*$L$8+$M$163*$M$8+$N$163*$N$8+$O$163*$O$8+$P$163*$P$8</f>
        <v>0</v>
      </c>
      <c r="T163" s="12">
        <f>SUM($Q$163:$R$163)</f>
        <v>0</v>
      </c>
      <c r="U163" s="12">
        <f>$S$163+$T$163</f>
        <v>0</v>
      </c>
    </row>
    <row r="164" spans="1:21" x14ac:dyDescent="0.3">
      <c r="A164" s="13" t="s">
        <v>596</v>
      </c>
      <c r="B164" s="14" t="s">
        <v>597</v>
      </c>
      <c r="C164" s="14"/>
      <c r="D164" s="14" t="s">
        <v>598</v>
      </c>
      <c r="E164" s="14">
        <f xml:space="preserve"> IF($U$164,1,0)</f>
        <v>0</v>
      </c>
      <c r="F164" s="14" t="s">
        <v>599</v>
      </c>
      <c r="G164" s="14">
        <v>0</v>
      </c>
      <c r="H164" s="14">
        <v>0</v>
      </c>
      <c r="I164" s="14">
        <v>0</v>
      </c>
      <c r="J164" s="14">
        <v>0</v>
      </c>
      <c r="K164" s="14">
        <v>0</v>
      </c>
      <c r="L164" s="14">
        <v>0</v>
      </c>
      <c r="M164" s="14">
        <v>0</v>
      </c>
      <c r="N164" s="14">
        <v>0</v>
      </c>
      <c r="O164" s="14">
        <v>0</v>
      </c>
      <c r="P164" s="14">
        <v>0</v>
      </c>
      <c r="Q164" s="15"/>
      <c r="R164" s="15"/>
      <c r="S164" s="15">
        <f>$G$164*$G$8+$H$164*$H$8+$I$164*$I$8+$J$164*$J$8+$K$164*$K$8+$L$164*$L$8+$M$164*$M$8+$N$164*$N$8+$O$164*$O$8+$P$164*$P$8</f>
        <v>0</v>
      </c>
      <c r="T164" s="15">
        <f>SUM($Q$164:$R$164)</f>
        <v>0</v>
      </c>
      <c r="U164" s="15">
        <f>$S$164+$T$164</f>
        <v>0</v>
      </c>
    </row>
    <row r="165" spans="1:21" x14ac:dyDescent="0.3">
      <c r="A165" s="10" t="s">
        <v>600</v>
      </c>
      <c r="B165" s="11" t="s">
        <v>601</v>
      </c>
      <c r="C165" s="11"/>
      <c r="D165" s="11" t="s">
        <v>70</v>
      </c>
      <c r="E165" s="11">
        <f xml:space="preserve"> IF($U$165,1,0)</f>
        <v>0</v>
      </c>
      <c r="F165" s="11" t="s">
        <v>602</v>
      </c>
      <c r="G165" s="11">
        <v>0</v>
      </c>
      <c r="H165" s="11">
        <v>0</v>
      </c>
      <c r="I165" s="11">
        <v>0</v>
      </c>
      <c r="J165" s="11">
        <v>0</v>
      </c>
      <c r="K165" s="11">
        <v>0</v>
      </c>
      <c r="L165" s="11">
        <v>0</v>
      </c>
      <c r="M165" s="11">
        <v>0</v>
      </c>
      <c r="N165" s="11">
        <v>0</v>
      </c>
      <c r="O165" s="11">
        <v>0</v>
      </c>
      <c r="P165" s="11">
        <v>0</v>
      </c>
      <c r="Q165" s="12"/>
      <c r="R165" s="12"/>
      <c r="S165" s="12">
        <f>$G$165*$G$8+$H$165*$H$8+$I$165*$I$8+$J$165*$J$8+$K$165*$K$8+$L$165*$L$8+$M$165*$M$8+$N$165*$N$8+$O$165*$O$8+$P$165*$P$8</f>
        <v>0</v>
      </c>
      <c r="T165" s="12">
        <f>SUM($Q$165:$R$165)</f>
        <v>0</v>
      </c>
      <c r="U165" s="12">
        <f>$S$165+$T$165</f>
        <v>0</v>
      </c>
    </row>
    <row r="166" spans="1:21" x14ac:dyDescent="0.3">
      <c r="A166" s="13" t="s">
        <v>603</v>
      </c>
      <c r="B166" s="14" t="s">
        <v>604</v>
      </c>
      <c r="C166" s="14"/>
      <c r="D166" s="14" t="s">
        <v>605</v>
      </c>
      <c r="E166" s="14">
        <f xml:space="preserve"> IF($U$166,1,0)</f>
        <v>0</v>
      </c>
      <c r="F166" s="14" t="s">
        <v>606</v>
      </c>
      <c r="G166" s="14">
        <v>0</v>
      </c>
      <c r="H166" s="14">
        <v>0</v>
      </c>
      <c r="I166" s="14">
        <v>0</v>
      </c>
      <c r="J166" s="14">
        <v>0</v>
      </c>
      <c r="K166" s="14">
        <v>0</v>
      </c>
      <c r="L166" s="14">
        <v>0</v>
      </c>
      <c r="M166" s="14">
        <v>0</v>
      </c>
      <c r="N166" s="14">
        <v>0</v>
      </c>
      <c r="O166" s="14">
        <v>0</v>
      </c>
      <c r="P166" s="14">
        <v>0</v>
      </c>
      <c r="Q166" s="15"/>
      <c r="R166" s="15"/>
      <c r="S166" s="15">
        <f>$G$166*$G$8+$H$166*$H$8+$I$166*$I$8+$J$166*$J$8+$K$166*$K$8+$L$166*$L$8+$M$166*$M$8+$N$166*$N$8+$O$166*$O$8+$P$166*$P$8</f>
        <v>0</v>
      </c>
      <c r="T166" s="15">
        <f>SUM($Q$166:$R$166)</f>
        <v>0</v>
      </c>
      <c r="U166" s="15">
        <f>$S$166+$T$166</f>
        <v>0</v>
      </c>
    </row>
    <row r="167" spans="1:21" x14ac:dyDescent="0.3">
      <c r="A167" s="10" t="s">
        <v>607</v>
      </c>
      <c r="B167" s="11" t="s">
        <v>608</v>
      </c>
      <c r="C167" s="11"/>
      <c r="D167" s="11" t="s">
        <v>609</v>
      </c>
      <c r="E167" s="11">
        <f xml:space="preserve"> IF($U$167,1,0)</f>
        <v>0</v>
      </c>
      <c r="F167" s="11" t="s">
        <v>610</v>
      </c>
      <c r="G167" s="11">
        <v>0</v>
      </c>
      <c r="H167" s="11">
        <v>0</v>
      </c>
      <c r="I167" s="11">
        <v>0</v>
      </c>
      <c r="J167" s="11">
        <v>0</v>
      </c>
      <c r="K167" s="11">
        <v>0</v>
      </c>
      <c r="L167" s="11">
        <v>0</v>
      </c>
      <c r="M167" s="11">
        <v>0</v>
      </c>
      <c r="N167" s="11">
        <v>0</v>
      </c>
      <c r="O167" s="11">
        <v>0</v>
      </c>
      <c r="P167" s="11">
        <v>0</v>
      </c>
      <c r="Q167" s="12"/>
      <c r="R167" s="12"/>
      <c r="S167" s="12">
        <f>$G$167*$G$8+$H$167*$H$8+$I$167*$I$8+$J$167*$J$8+$K$167*$K$8+$L$167*$L$8+$M$167*$M$8+$N$167*$N$8+$O$167*$O$8+$P$167*$P$8</f>
        <v>0</v>
      </c>
      <c r="T167" s="12">
        <f>SUM($Q$167:$R$167)</f>
        <v>0</v>
      </c>
      <c r="U167" s="12">
        <f>$S$167+$T$167</f>
        <v>0</v>
      </c>
    </row>
    <row r="168" spans="1:21" x14ac:dyDescent="0.3">
      <c r="A168" s="13" t="s">
        <v>611</v>
      </c>
      <c r="B168" s="14" t="s">
        <v>612</v>
      </c>
      <c r="C168" s="14"/>
      <c r="D168" s="14" t="s">
        <v>613</v>
      </c>
      <c r="E168" s="14">
        <f xml:space="preserve"> IF($U$168,1,0)</f>
        <v>0</v>
      </c>
      <c r="F168" s="14" t="s">
        <v>614</v>
      </c>
      <c r="G168" s="14">
        <v>0</v>
      </c>
      <c r="H168" s="14">
        <v>0</v>
      </c>
      <c r="I168" s="14">
        <v>0</v>
      </c>
      <c r="J168" s="14">
        <v>0</v>
      </c>
      <c r="K168" s="14">
        <v>0</v>
      </c>
      <c r="L168" s="14">
        <v>0</v>
      </c>
      <c r="M168" s="14">
        <v>0</v>
      </c>
      <c r="N168" s="14">
        <v>0</v>
      </c>
      <c r="O168" s="14">
        <v>0</v>
      </c>
      <c r="P168" s="14">
        <v>0</v>
      </c>
      <c r="Q168" s="15"/>
      <c r="R168" s="15"/>
      <c r="S168" s="15">
        <f>$G$168*$G$8+$H$168*$H$8+$I$168*$I$8+$J$168*$J$8+$K$168*$K$8+$L$168*$L$8+$M$168*$M$8+$N$168*$N$8+$O$168*$O$8+$P$168*$P$8</f>
        <v>0</v>
      </c>
      <c r="T168" s="15">
        <f>SUM($Q$168:$R$168)</f>
        <v>0</v>
      </c>
      <c r="U168" s="15">
        <f>$S$168+$T$168</f>
        <v>0</v>
      </c>
    </row>
    <row r="169" spans="1:21" x14ac:dyDescent="0.3">
      <c r="A169" s="10" t="s">
        <v>615</v>
      </c>
      <c r="B169" s="11" t="s">
        <v>616</v>
      </c>
      <c r="C169" s="11"/>
      <c r="D169" s="11" t="s">
        <v>617</v>
      </c>
      <c r="E169" s="11">
        <f xml:space="preserve"> IF($U$169,1,0)</f>
        <v>0</v>
      </c>
      <c r="F169" s="11" t="s">
        <v>618</v>
      </c>
      <c r="G169" s="11">
        <v>0</v>
      </c>
      <c r="H169" s="11">
        <v>0</v>
      </c>
      <c r="I169" s="11">
        <v>0</v>
      </c>
      <c r="J169" s="11">
        <v>0</v>
      </c>
      <c r="K169" s="11">
        <v>0</v>
      </c>
      <c r="L169" s="11">
        <v>0</v>
      </c>
      <c r="M169" s="11">
        <v>0</v>
      </c>
      <c r="N169" s="11">
        <v>0</v>
      </c>
      <c r="O169" s="11">
        <v>0</v>
      </c>
      <c r="P169" s="11">
        <v>0</v>
      </c>
      <c r="Q169" s="12"/>
      <c r="R169" s="12"/>
      <c r="S169" s="12">
        <f>$G$169*$G$8+$H$169*$H$8+$I$169*$I$8+$J$169*$J$8+$K$169*$K$8+$L$169*$L$8+$M$169*$M$8+$N$169*$N$8+$O$169*$O$8+$P$169*$P$8</f>
        <v>0</v>
      </c>
      <c r="T169" s="12">
        <f>SUM($Q$169:$R$169)</f>
        <v>0</v>
      </c>
      <c r="U169" s="12">
        <f>$S$169+$T$169</f>
        <v>0</v>
      </c>
    </row>
    <row r="170" spans="1:21" x14ac:dyDescent="0.3">
      <c r="A170" s="13" t="s">
        <v>619</v>
      </c>
      <c r="B170" s="14" t="s">
        <v>620</v>
      </c>
      <c r="C170" s="14" t="s">
        <v>34</v>
      </c>
      <c r="D170" s="14" t="s">
        <v>621</v>
      </c>
      <c r="E170" s="14">
        <f xml:space="preserve"> IF($U$170,1,0)</f>
        <v>0</v>
      </c>
      <c r="F170" s="14" t="s">
        <v>622</v>
      </c>
      <c r="G170" s="14">
        <v>0</v>
      </c>
      <c r="H170" s="14">
        <v>0</v>
      </c>
      <c r="I170" s="14">
        <v>0</v>
      </c>
      <c r="J170" s="14">
        <v>0</v>
      </c>
      <c r="K170" s="14">
        <v>0</v>
      </c>
      <c r="L170" s="14">
        <v>0</v>
      </c>
      <c r="M170" s="14">
        <v>0</v>
      </c>
      <c r="N170" s="14">
        <v>0</v>
      </c>
      <c r="O170" s="14">
        <v>0</v>
      </c>
      <c r="P170" s="14">
        <v>0</v>
      </c>
      <c r="Q170" s="15"/>
      <c r="R170" s="15"/>
      <c r="S170" s="15">
        <f>$G$170*$G$8+$H$170*$H$8+$I$170*$I$8+$J$170*$J$8+$K$170*$K$8+$L$170*$L$8+$M$170*$M$8+$N$170*$N$8+$O$170*$O$8+$P$170*$P$8</f>
        <v>0</v>
      </c>
      <c r="T170" s="15">
        <f>SUM($Q$170:$R$170)</f>
        <v>0</v>
      </c>
      <c r="U170" s="15">
        <f>$S$170+$T$170</f>
        <v>0</v>
      </c>
    </row>
    <row r="171" spans="1:21" x14ac:dyDescent="0.3">
      <c r="A171" s="10" t="s">
        <v>623</v>
      </c>
      <c r="B171" s="11" t="s">
        <v>624</v>
      </c>
      <c r="C171" s="11"/>
      <c r="D171" s="11" t="s">
        <v>625</v>
      </c>
      <c r="E171" s="11">
        <f xml:space="preserve"> IF($U$171,1,0)</f>
        <v>0</v>
      </c>
      <c r="F171" s="11" t="s">
        <v>626</v>
      </c>
      <c r="G171" s="11">
        <v>0</v>
      </c>
      <c r="H171" s="11">
        <v>0</v>
      </c>
      <c r="I171" s="11">
        <v>0</v>
      </c>
      <c r="J171" s="11">
        <v>0</v>
      </c>
      <c r="K171" s="11">
        <v>0</v>
      </c>
      <c r="L171" s="11">
        <v>0</v>
      </c>
      <c r="M171" s="11">
        <v>0</v>
      </c>
      <c r="N171" s="11">
        <v>0</v>
      </c>
      <c r="O171" s="11">
        <v>0</v>
      </c>
      <c r="P171" s="11">
        <v>0</v>
      </c>
      <c r="Q171" s="12"/>
      <c r="R171" s="12"/>
      <c r="S171" s="12">
        <f>$G$171*$G$8+$H$171*$H$8+$I$171*$I$8+$J$171*$J$8+$K$171*$K$8+$L$171*$L$8+$M$171*$M$8+$N$171*$N$8+$O$171*$O$8+$P$171*$P$8</f>
        <v>0</v>
      </c>
      <c r="T171" s="12">
        <f>SUM($Q$171:$R$171)</f>
        <v>0</v>
      </c>
      <c r="U171" s="12">
        <f>$S$171+$T$171</f>
        <v>0</v>
      </c>
    </row>
    <row r="172" spans="1:21" x14ac:dyDescent="0.3">
      <c r="A172" s="13" t="s">
        <v>627</v>
      </c>
      <c r="B172" s="14" t="s">
        <v>624</v>
      </c>
      <c r="C172" s="14"/>
      <c r="D172" s="14" t="s">
        <v>628</v>
      </c>
      <c r="E172" s="14">
        <f xml:space="preserve"> IF($U$172,1,0)</f>
        <v>0</v>
      </c>
      <c r="F172" s="14" t="s">
        <v>629</v>
      </c>
      <c r="G172" s="14">
        <v>0</v>
      </c>
      <c r="H172" s="14">
        <v>0</v>
      </c>
      <c r="I172" s="14">
        <v>0</v>
      </c>
      <c r="J172" s="14">
        <v>0</v>
      </c>
      <c r="K172" s="14">
        <v>0</v>
      </c>
      <c r="L172" s="14">
        <v>0</v>
      </c>
      <c r="M172" s="14">
        <v>0</v>
      </c>
      <c r="N172" s="14">
        <v>0</v>
      </c>
      <c r="O172" s="14">
        <v>0</v>
      </c>
      <c r="P172" s="14">
        <v>0</v>
      </c>
      <c r="Q172" s="15"/>
      <c r="R172" s="15"/>
      <c r="S172" s="15">
        <f>$G$172*$G$8+$H$172*$H$8+$I$172*$I$8+$J$172*$J$8+$K$172*$K$8+$L$172*$L$8+$M$172*$M$8+$N$172*$N$8+$O$172*$O$8+$P$172*$P$8</f>
        <v>0</v>
      </c>
      <c r="T172" s="15">
        <f>SUM($Q$172:$R$172)</f>
        <v>0</v>
      </c>
      <c r="U172" s="15">
        <f>$S$172+$T$172</f>
        <v>0</v>
      </c>
    </row>
    <row r="173" spans="1:21" x14ac:dyDescent="0.3">
      <c r="A173" s="10" t="s">
        <v>630</v>
      </c>
      <c r="B173" s="11" t="s">
        <v>631</v>
      </c>
      <c r="C173" s="11"/>
      <c r="D173" s="11" t="s">
        <v>632</v>
      </c>
      <c r="E173" s="11">
        <f xml:space="preserve"> IF($U$173,1,0)</f>
        <v>0</v>
      </c>
      <c r="F173" s="11" t="s">
        <v>633</v>
      </c>
      <c r="G173" s="11">
        <v>0</v>
      </c>
      <c r="H173" s="11">
        <v>0</v>
      </c>
      <c r="I173" s="11">
        <v>0</v>
      </c>
      <c r="J173" s="11">
        <v>0</v>
      </c>
      <c r="K173" s="11">
        <v>0</v>
      </c>
      <c r="L173" s="11">
        <v>0</v>
      </c>
      <c r="M173" s="11">
        <v>0</v>
      </c>
      <c r="N173" s="11">
        <v>0</v>
      </c>
      <c r="O173" s="11">
        <v>0</v>
      </c>
      <c r="P173" s="11">
        <v>0</v>
      </c>
      <c r="Q173" s="12"/>
      <c r="R173" s="12"/>
      <c r="S173" s="12">
        <f>$G$173*$G$8+$H$173*$H$8+$I$173*$I$8+$J$173*$J$8+$K$173*$K$8+$L$173*$L$8+$M$173*$M$8+$N$173*$N$8+$O$173*$O$8+$P$173*$P$8</f>
        <v>0</v>
      </c>
      <c r="T173" s="12">
        <f>SUM($Q$173:$R$173)</f>
        <v>0</v>
      </c>
      <c r="U173" s="12">
        <f>$S$173+$T$173</f>
        <v>0</v>
      </c>
    </row>
    <row r="174" spans="1:21" x14ac:dyDescent="0.3">
      <c r="A174" s="13" t="s">
        <v>634</v>
      </c>
      <c r="B174" s="14" t="s">
        <v>635</v>
      </c>
      <c r="C174" s="14"/>
      <c r="D174" s="14" t="s">
        <v>636</v>
      </c>
      <c r="E174" s="14">
        <f xml:space="preserve"> IF($U$174,1,0)</f>
        <v>0</v>
      </c>
      <c r="F174" s="14" t="s">
        <v>637</v>
      </c>
      <c r="G174" s="14">
        <v>0</v>
      </c>
      <c r="H174" s="14">
        <v>0</v>
      </c>
      <c r="I174" s="14">
        <v>0</v>
      </c>
      <c r="J174" s="14">
        <v>0</v>
      </c>
      <c r="K174" s="14">
        <v>0</v>
      </c>
      <c r="L174" s="14">
        <v>0</v>
      </c>
      <c r="M174" s="14">
        <v>0</v>
      </c>
      <c r="N174" s="14">
        <v>0</v>
      </c>
      <c r="O174" s="14">
        <v>0</v>
      </c>
      <c r="P174" s="14">
        <v>0</v>
      </c>
      <c r="Q174" s="15"/>
      <c r="R174" s="15"/>
      <c r="S174" s="15">
        <f>$G$174*$G$8+$H$174*$H$8+$I$174*$I$8+$J$174*$J$8+$K$174*$K$8+$L$174*$L$8+$M$174*$M$8+$N$174*$N$8+$O$174*$O$8+$P$174*$P$8</f>
        <v>0</v>
      </c>
      <c r="T174" s="15">
        <f>SUM($Q$174:$R$174)</f>
        <v>0</v>
      </c>
      <c r="U174" s="15">
        <f>$S$174+$T$174</f>
        <v>0</v>
      </c>
    </row>
    <row r="175" spans="1:21" x14ac:dyDescent="0.3">
      <c r="A175" s="10" t="s">
        <v>638</v>
      </c>
      <c r="B175" s="11" t="s">
        <v>639</v>
      </c>
      <c r="C175" s="11"/>
      <c r="D175" s="11" t="s">
        <v>274</v>
      </c>
      <c r="E175" s="11">
        <f xml:space="preserve"> IF($U$175,1,0)</f>
        <v>0</v>
      </c>
      <c r="F175" s="11" t="s">
        <v>640</v>
      </c>
      <c r="G175" s="11">
        <v>0</v>
      </c>
      <c r="H175" s="11">
        <v>0</v>
      </c>
      <c r="I175" s="11">
        <v>0</v>
      </c>
      <c r="J175" s="11">
        <v>0</v>
      </c>
      <c r="K175" s="11">
        <v>0</v>
      </c>
      <c r="L175" s="11">
        <v>0</v>
      </c>
      <c r="M175" s="11">
        <v>0</v>
      </c>
      <c r="N175" s="11">
        <v>0</v>
      </c>
      <c r="O175" s="11">
        <v>0</v>
      </c>
      <c r="P175" s="11">
        <v>0</v>
      </c>
      <c r="Q175" s="12"/>
      <c r="R175" s="12"/>
      <c r="S175" s="12">
        <f>$G$175*$G$8+$H$175*$H$8+$I$175*$I$8+$J$175*$J$8+$K$175*$K$8+$L$175*$L$8+$M$175*$M$8+$N$175*$N$8+$O$175*$O$8+$P$175*$P$8</f>
        <v>0</v>
      </c>
      <c r="T175" s="12">
        <f>SUM($Q$175:$R$175)</f>
        <v>0</v>
      </c>
      <c r="U175" s="12">
        <f>$S$175+$T$175</f>
        <v>0</v>
      </c>
    </row>
    <row r="176" spans="1:21" x14ac:dyDescent="0.3">
      <c r="A176" s="13" t="s">
        <v>641</v>
      </c>
      <c r="B176" s="14" t="s">
        <v>642</v>
      </c>
      <c r="C176" s="14"/>
      <c r="D176" s="14" t="s">
        <v>643</v>
      </c>
      <c r="E176" s="14">
        <f xml:space="preserve"> IF($U$176,1,0)</f>
        <v>0</v>
      </c>
      <c r="F176" s="14" t="s">
        <v>644</v>
      </c>
      <c r="G176" s="14">
        <v>0</v>
      </c>
      <c r="H176" s="14">
        <v>0</v>
      </c>
      <c r="I176" s="14">
        <v>0</v>
      </c>
      <c r="J176" s="14">
        <v>0</v>
      </c>
      <c r="K176" s="14">
        <v>0</v>
      </c>
      <c r="L176" s="14">
        <v>0</v>
      </c>
      <c r="M176" s="14">
        <v>0</v>
      </c>
      <c r="N176" s="14">
        <v>0</v>
      </c>
      <c r="O176" s="14">
        <v>0</v>
      </c>
      <c r="P176" s="14">
        <v>0</v>
      </c>
      <c r="Q176" s="15"/>
      <c r="R176" s="15"/>
      <c r="S176" s="15">
        <f>$G$176*$G$8+$H$176*$H$8+$I$176*$I$8+$J$176*$J$8+$K$176*$K$8+$L$176*$L$8+$M$176*$M$8+$N$176*$N$8+$O$176*$O$8+$P$176*$P$8</f>
        <v>0</v>
      </c>
      <c r="T176" s="15">
        <f>SUM($Q$176:$R$176)</f>
        <v>0</v>
      </c>
      <c r="U176" s="15">
        <f>$S$176+$T$176</f>
        <v>0</v>
      </c>
    </row>
    <row r="177" spans="1:21" x14ac:dyDescent="0.3">
      <c r="A177" s="10" t="s">
        <v>645</v>
      </c>
      <c r="B177" s="11" t="s">
        <v>646</v>
      </c>
      <c r="C177" s="11"/>
      <c r="D177" s="11" t="s">
        <v>647</v>
      </c>
      <c r="E177" s="11">
        <f xml:space="preserve"> IF($U$177,1,0)</f>
        <v>0</v>
      </c>
      <c r="F177" s="11" t="s">
        <v>648</v>
      </c>
      <c r="G177" s="11">
        <v>0</v>
      </c>
      <c r="H177" s="11">
        <v>0</v>
      </c>
      <c r="I177" s="11">
        <v>0</v>
      </c>
      <c r="J177" s="11">
        <v>0</v>
      </c>
      <c r="K177" s="11">
        <v>0</v>
      </c>
      <c r="L177" s="11">
        <v>0</v>
      </c>
      <c r="M177" s="11">
        <v>0</v>
      </c>
      <c r="N177" s="11">
        <v>0</v>
      </c>
      <c r="O177" s="11">
        <v>0</v>
      </c>
      <c r="P177" s="11">
        <v>0</v>
      </c>
      <c r="Q177" s="12"/>
      <c r="R177" s="12"/>
      <c r="S177" s="12">
        <f>$G$177*$G$8+$H$177*$H$8+$I$177*$I$8+$J$177*$J$8+$K$177*$K$8+$L$177*$L$8+$M$177*$M$8+$N$177*$N$8+$O$177*$O$8+$P$177*$P$8</f>
        <v>0</v>
      </c>
      <c r="T177" s="12">
        <f>SUM($Q$177:$R$177)</f>
        <v>0</v>
      </c>
      <c r="U177" s="12">
        <f>$S$177+$T$177</f>
        <v>0</v>
      </c>
    </row>
    <row r="178" spans="1:21" x14ac:dyDescent="0.3">
      <c r="A178" s="13" t="s">
        <v>649</v>
      </c>
      <c r="B178" s="14" t="s">
        <v>650</v>
      </c>
      <c r="C178" s="14"/>
      <c r="D178" s="14" t="s">
        <v>651</v>
      </c>
      <c r="E178" s="14">
        <f xml:space="preserve"> IF($U$178,1,0)</f>
        <v>0</v>
      </c>
      <c r="F178" s="14" t="s">
        <v>652</v>
      </c>
      <c r="G178" s="14">
        <v>0</v>
      </c>
      <c r="H178" s="14">
        <v>0</v>
      </c>
      <c r="I178" s="14">
        <v>0</v>
      </c>
      <c r="J178" s="14">
        <v>0</v>
      </c>
      <c r="K178" s="14">
        <v>0</v>
      </c>
      <c r="L178" s="14">
        <v>0</v>
      </c>
      <c r="M178" s="14">
        <v>0</v>
      </c>
      <c r="N178" s="14">
        <v>0</v>
      </c>
      <c r="O178" s="14">
        <v>0</v>
      </c>
      <c r="P178" s="14">
        <v>0</v>
      </c>
      <c r="Q178" s="15"/>
      <c r="R178" s="15"/>
      <c r="S178" s="15">
        <f>$G$178*$G$8+$H$178*$H$8+$I$178*$I$8+$J$178*$J$8+$K$178*$K$8+$L$178*$L$8+$M$178*$M$8+$N$178*$N$8+$O$178*$O$8+$P$178*$P$8</f>
        <v>0</v>
      </c>
      <c r="T178" s="15">
        <f>SUM($Q$178:$R$178)</f>
        <v>0</v>
      </c>
      <c r="U178" s="15">
        <f>$S$178+$T$178</f>
        <v>0</v>
      </c>
    </row>
    <row r="179" spans="1:21" x14ac:dyDescent="0.3">
      <c r="A179" s="10" t="s">
        <v>653</v>
      </c>
      <c r="B179" s="11" t="s">
        <v>654</v>
      </c>
      <c r="C179" s="11"/>
      <c r="D179" s="11" t="s">
        <v>655</v>
      </c>
      <c r="E179" s="11">
        <f xml:space="preserve"> IF($U$179,1,0)</f>
        <v>0</v>
      </c>
      <c r="F179" s="11" t="s">
        <v>656</v>
      </c>
      <c r="G179" s="11">
        <v>0</v>
      </c>
      <c r="H179" s="11">
        <v>0</v>
      </c>
      <c r="I179" s="11">
        <v>0</v>
      </c>
      <c r="J179" s="11">
        <v>0</v>
      </c>
      <c r="K179" s="11">
        <v>0</v>
      </c>
      <c r="L179" s="11">
        <v>0</v>
      </c>
      <c r="M179" s="11">
        <v>0</v>
      </c>
      <c r="N179" s="11">
        <v>0</v>
      </c>
      <c r="O179" s="11">
        <v>0</v>
      </c>
      <c r="P179" s="11">
        <v>0</v>
      </c>
      <c r="Q179" s="12"/>
      <c r="R179" s="12"/>
      <c r="S179" s="12">
        <f>$G$179*$G$8+$H$179*$H$8+$I$179*$I$8+$J$179*$J$8+$K$179*$K$8+$L$179*$L$8+$M$179*$M$8+$N$179*$N$8+$O$179*$O$8+$P$179*$P$8</f>
        <v>0</v>
      </c>
      <c r="T179" s="12">
        <f>SUM($Q$179:$R$179)</f>
        <v>0</v>
      </c>
      <c r="U179" s="12">
        <f>$S$179+$T$179</f>
        <v>0</v>
      </c>
    </row>
    <row r="180" spans="1:21" x14ac:dyDescent="0.3">
      <c r="A180" s="13" t="s">
        <v>657</v>
      </c>
      <c r="B180" s="14" t="s">
        <v>658</v>
      </c>
      <c r="C180" s="14"/>
      <c r="D180" s="14" t="s">
        <v>659</v>
      </c>
      <c r="E180" s="14">
        <f xml:space="preserve"> IF($U$180,1,0)</f>
        <v>0</v>
      </c>
      <c r="F180" s="14" t="s">
        <v>660</v>
      </c>
      <c r="G180" s="14">
        <v>0</v>
      </c>
      <c r="H180" s="14">
        <v>0</v>
      </c>
      <c r="I180" s="14">
        <v>0</v>
      </c>
      <c r="J180" s="14">
        <v>0</v>
      </c>
      <c r="K180" s="14">
        <v>0</v>
      </c>
      <c r="L180" s="14">
        <v>0</v>
      </c>
      <c r="M180" s="14">
        <v>0</v>
      </c>
      <c r="N180" s="14">
        <v>0</v>
      </c>
      <c r="O180" s="14">
        <v>0</v>
      </c>
      <c r="P180" s="14">
        <v>0</v>
      </c>
      <c r="Q180" s="15"/>
      <c r="R180" s="15"/>
      <c r="S180" s="15">
        <f>$G$180*$G$8+$H$180*$H$8+$I$180*$I$8+$J$180*$J$8+$K$180*$K$8+$L$180*$L$8+$M$180*$M$8+$N$180*$N$8+$O$180*$O$8+$P$180*$P$8</f>
        <v>0</v>
      </c>
      <c r="T180" s="15">
        <f>SUM($Q$180:$R$180)</f>
        <v>0</v>
      </c>
      <c r="U180" s="15">
        <f>$S$180+$T$180</f>
        <v>0</v>
      </c>
    </row>
    <row r="181" spans="1:21" x14ac:dyDescent="0.3">
      <c r="A181" s="10" t="s">
        <v>661</v>
      </c>
      <c r="B181" s="11" t="s">
        <v>658</v>
      </c>
      <c r="C181" s="11" t="s">
        <v>202</v>
      </c>
      <c r="D181" s="11" t="s">
        <v>662</v>
      </c>
      <c r="E181" s="11">
        <f xml:space="preserve"> IF($U$181,1,0)</f>
        <v>0</v>
      </c>
      <c r="F181" s="11" t="s">
        <v>663</v>
      </c>
      <c r="G181" s="11">
        <v>0</v>
      </c>
      <c r="H181" s="11">
        <v>0</v>
      </c>
      <c r="I181" s="11">
        <v>0</v>
      </c>
      <c r="J181" s="11">
        <v>0</v>
      </c>
      <c r="K181" s="11">
        <v>0</v>
      </c>
      <c r="L181" s="11">
        <v>0</v>
      </c>
      <c r="M181" s="11">
        <v>0</v>
      </c>
      <c r="N181" s="11">
        <v>0</v>
      </c>
      <c r="O181" s="11">
        <v>0</v>
      </c>
      <c r="P181" s="11">
        <v>0</v>
      </c>
      <c r="Q181" s="12"/>
      <c r="R181" s="12"/>
      <c r="S181" s="12">
        <f>$G$181*$G$8+$H$181*$H$8+$I$181*$I$8+$J$181*$J$8+$K$181*$K$8+$L$181*$L$8+$M$181*$M$8+$N$181*$N$8+$O$181*$O$8+$P$181*$P$8</f>
        <v>0</v>
      </c>
      <c r="T181" s="12">
        <f>SUM($Q$181:$R$181)</f>
        <v>0</v>
      </c>
      <c r="U181" s="12">
        <f>$S$181+$T$181</f>
        <v>0</v>
      </c>
    </row>
    <row r="182" spans="1:21" x14ac:dyDescent="0.3">
      <c r="A182" s="13" t="s">
        <v>664</v>
      </c>
      <c r="B182" s="14" t="s">
        <v>665</v>
      </c>
      <c r="C182" s="14"/>
      <c r="D182" s="14" t="s">
        <v>666</v>
      </c>
      <c r="E182" s="14">
        <f xml:space="preserve"> IF($U$182,1,0)</f>
        <v>0</v>
      </c>
      <c r="F182" s="14" t="s">
        <v>667</v>
      </c>
      <c r="G182" s="14">
        <v>0</v>
      </c>
      <c r="H182" s="14">
        <v>0</v>
      </c>
      <c r="I182" s="14">
        <v>0</v>
      </c>
      <c r="J182" s="14">
        <v>0</v>
      </c>
      <c r="K182" s="14">
        <v>0</v>
      </c>
      <c r="L182" s="14">
        <v>0</v>
      </c>
      <c r="M182" s="14">
        <v>0</v>
      </c>
      <c r="N182" s="14">
        <v>0</v>
      </c>
      <c r="O182" s="14">
        <v>0</v>
      </c>
      <c r="P182" s="14">
        <v>0</v>
      </c>
      <c r="Q182" s="15"/>
      <c r="R182" s="15"/>
      <c r="S182" s="15">
        <f>$G$182*$G$8+$H$182*$H$8+$I$182*$I$8+$J$182*$J$8+$K$182*$K$8+$L$182*$L$8+$M$182*$M$8+$N$182*$N$8+$O$182*$O$8+$P$182*$P$8</f>
        <v>0</v>
      </c>
      <c r="T182" s="15">
        <f>SUM($Q$182:$R$182)</f>
        <v>0</v>
      </c>
      <c r="U182" s="15">
        <f>$S$182+$T$182</f>
        <v>0</v>
      </c>
    </row>
    <row r="183" spans="1:21" x14ac:dyDescent="0.3">
      <c r="A183" s="10" t="s">
        <v>668</v>
      </c>
      <c r="B183" s="11" t="s">
        <v>669</v>
      </c>
      <c r="C183" s="11"/>
      <c r="D183" s="11" t="s">
        <v>670</v>
      </c>
      <c r="E183" s="11">
        <f xml:space="preserve"> IF($U$183,1,0)</f>
        <v>0</v>
      </c>
      <c r="F183" s="11" t="s">
        <v>671</v>
      </c>
      <c r="G183" s="11">
        <v>0</v>
      </c>
      <c r="H183" s="11">
        <v>0</v>
      </c>
      <c r="I183" s="11">
        <v>0</v>
      </c>
      <c r="J183" s="11">
        <v>0</v>
      </c>
      <c r="K183" s="11">
        <v>0</v>
      </c>
      <c r="L183" s="11">
        <v>0</v>
      </c>
      <c r="M183" s="11">
        <v>0</v>
      </c>
      <c r="N183" s="11">
        <v>0</v>
      </c>
      <c r="O183" s="11">
        <v>0</v>
      </c>
      <c r="P183" s="11">
        <v>0</v>
      </c>
      <c r="Q183" s="12"/>
      <c r="R183" s="12"/>
      <c r="S183" s="12">
        <f>$G$183*$G$8+$H$183*$H$8+$I$183*$I$8+$J$183*$J$8+$K$183*$K$8+$L$183*$L$8+$M$183*$M$8+$N$183*$N$8+$O$183*$O$8+$P$183*$P$8</f>
        <v>0</v>
      </c>
      <c r="T183" s="12">
        <f>SUM($Q$183:$R$183)</f>
        <v>0</v>
      </c>
      <c r="U183" s="12">
        <f>$S$183+$T$183</f>
        <v>0</v>
      </c>
    </row>
    <row r="184" spans="1:21" x14ac:dyDescent="0.3">
      <c r="A184" s="13" t="s">
        <v>672</v>
      </c>
      <c r="B184" s="14" t="s">
        <v>673</v>
      </c>
      <c r="C184" s="14"/>
      <c r="D184" s="14" t="s">
        <v>674</v>
      </c>
      <c r="E184" s="14">
        <f xml:space="preserve"> IF($U$184,1,0)</f>
        <v>0</v>
      </c>
      <c r="F184" s="14" t="s">
        <v>675</v>
      </c>
      <c r="G184" s="14">
        <v>0</v>
      </c>
      <c r="H184" s="14">
        <v>0</v>
      </c>
      <c r="I184" s="14">
        <v>0</v>
      </c>
      <c r="J184" s="14">
        <v>0</v>
      </c>
      <c r="K184" s="14">
        <v>0</v>
      </c>
      <c r="L184" s="14">
        <v>0</v>
      </c>
      <c r="M184" s="14">
        <v>0</v>
      </c>
      <c r="N184" s="14">
        <v>0</v>
      </c>
      <c r="O184" s="14">
        <v>0</v>
      </c>
      <c r="P184" s="14">
        <v>0</v>
      </c>
      <c r="Q184" s="15"/>
      <c r="R184" s="15"/>
      <c r="S184" s="15">
        <f>$G$184*$G$8+$H$184*$H$8+$I$184*$I$8+$J$184*$J$8+$K$184*$K$8+$L$184*$L$8+$M$184*$M$8+$N$184*$N$8+$O$184*$O$8+$P$184*$P$8</f>
        <v>0</v>
      </c>
      <c r="T184" s="15">
        <f>SUM($Q$184:$R$184)</f>
        <v>0</v>
      </c>
      <c r="U184" s="15">
        <f>$S$184+$T$184</f>
        <v>0</v>
      </c>
    </row>
    <row r="185" spans="1:21" x14ac:dyDescent="0.3">
      <c r="A185" s="10" t="s">
        <v>676</v>
      </c>
      <c r="B185" s="11" t="s">
        <v>677</v>
      </c>
      <c r="C185" s="11"/>
      <c r="D185" s="11" t="s">
        <v>678</v>
      </c>
      <c r="E185" s="11">
        <f xml:space="preserve"> IF($U$185,1,0)</f>
        <v>0</v>
      </c>
      <c r="F185" s="11" t="s">
        <v>679</v>
      </c>
      <c r="G185" s="11">
        <v>0</v>
      </c>
      <c r="H185" s="11">
        <v>0</v>
      </c>
      <c r="I185" s="11">
        <v>0</v>
      </c>
      <c r="J185" s="11">
        <v>0</v>
      </c>
      <c r="K185" s="11">
        <v>0</v>
      </c>
      <c r="L185" s="11">
        <v>0</v>
      </c>
      <c r="M185" s="11">
        <v>0</v>
      </c>
      <c r="N185" s="11">
        <v>0</v>
      </c>
      <c r="O185" s="11">
        <v>0</v>
      </c>
      <c r="P185" s="11">
        <v>0</v>
      </c>
      <c r="Q185" s="12"/>
      <c r="R185" s="12"/>
      <c r="S185" s="12">
        <f>$G$185*$G$8+$H$185*$H$8+$I$185*$I$8+$J$185*$J$8+$K$185*$K$8+$L$185*$L$8+$M$185*$M$8+$N$185*$N$8+$O$185*$O$8+$P$185*$P$8</f>
        <v>0</v>
      </c>
      <c r="T185" s="12">
        <f>SUM($Q$185:$R$185)</f>
        <v>0</v>
      </c>
      <c r="U185" s="12">
        <f>$S$185+$T$185</f>
        <v>0</v>
      </c>
    </row>
    <row r="186" spans="1:21" x14ac:dyDescent="0.3">
      <c r="A186" s="13" t="s">
        <v>680</v>
      </c>
      <c r="B186" s="14" t="s">
        <v>681</v>
      </c>
      <c r="C186" s="14"/>
      <c r="D186" s="14" t="s">
        <v>682</v>
      </c>
      <c r="E186" s="14">
        <f xml:space="preserve"> IF($U$186,1,0)</f>
        <v>0</v>
      </c>
      <c r="F186" s="14" t="s">
        <v>683</v>
      </c>
      <c r="G186" s="14">
        <v>0</v>
      </c>
      <c r="H186" s="14">
        <v>0</v>
      </c>
      <c r="I186" s="14">
        <v>0</v>
      </c>
      <c r="J186" s="14">
        <v>0</v>
      </c>
      <c r="K186" s="14">
        <v>0</v>
      </c>
      <c r="L186" s="14">
        <v>0</v>
      </c>
      <c r="M186" s="14">
        <v>0</v>
      </c>
      <c r="N186" s="14">
        <v>0</v>
      </c>
      <c r="O186" s="14">
        <v>0</v>
      </c>
      <c r="P186" s="14">
        <v>0</v>
      </c>
      <c r="Q186" s="15"/>
      <c r="R186" s="15"/>
      <c r="S186" s="15">
        <f>$G$186*$G$8+$H$186*$H$8+$I$186*$I$8+$J$186*$J$8+$K$186*$K$8+$L$186*$L$8+$M$186*$M$8+$N$186*$N$8+$O$186*$O$8+$P$186*$P$8</f>
        <v>0</v>
      </c>
      <c r="T186" s="15">
        <f>SUM($Q$186:$R$186)</f>
        <v>0</v>
      </c>
      <c r="U186" s="15">
        <f>$S$186+$T$186</f>
        <v>0</v>
      </c>
    </row>
    <row r="187" spans="1:21" x14ac:dyDescent="0.3">
      <c r="A187" s="10" t="s">
        <v>684</v>
      </c>
      <c r="B187" s="11" t="s">
        <v>685</v>
      </c>
      <c r="C187" s="11"/>
      <c r="D187" s="11" t="s">
        <v>686</v>
      </c>
      <c r="E187" s="11">
        <f xml:space="preserve"> IF($U$187,1,0)</f>
        <v>0</v>
      </c>
      <c r="F187" s="11" t="s">
        <v>687</v>
      </c>
      <c r="G187" s="11">
        <v>0</v>
      </c>
      <c r="H187" s="11">
        <v>0</v>
      </c>
      <c r="I187" s="11">
        <v>0</v>
      </c>
      <c r="J187" s="11">
        <v>0</v>
      </c>
      <c r="K187" s="11">
        <v>0</v>
      </c>
      <c r="L187" s="11">
        <v>0</v>
      </c>
      <c r="M187" s="11">
        <v>0</v>
      </c>
      <c r="N187" s="11">
        <v>0</v>
      </c>
      <c r="O187" s="11">
        <v>0</v>
      </c>
      <c r="P187" s="11">
        <v>0</v>
      </c>
      <c r="Q187" s="12"/>
      <c r="R187" s="12"/>
      <c r="S187" s="12">
        <f>$G$187*$G$8+$H$187*$H$8+$I$187*$I$8+$J$187*$J$8+$K$187*$K$8+$L$187*$L$8+$M$187*$M$8+$N$187*$N$8+$O$187*$O$8+$P$187*$P$8</f>
        <v>0</v>
      </c>
      <c r="T187" s="12">
        <f>SUM($Q$187:$R$187)</f>
        <v>0</v>
      </c>
      <c r="U187" s="12">
        <f>$S$187+$T$187</f>
        <v>0</v>
      </c>
    </row>
    <row r="188" spans="1:21" x14ac:dyDescent="0.3">
      <c r="A188" s="13" t="s">
        <v>688</v>
      </c>
      <c r="B188" s="14" t="s">
        <v>689</v>
      </c>
      <c r="C188" s="14"/>
      <c r="D188" s="14" t="s">
        <v>690</v>
      </c>
      <c r="E188" s="14">
        <f xml:space="preserve"> IF($U$188,1,0)</f>
        <v>0</v>
      </c>
      <c r="F188" s="14" t="s">
        <v>691</v>
      </c>
      <c r="G188" s="14">
        <v>0</v>
      </c>
      <c r="H188" s="14">
        <v>0</v>
      </c>
      <c r="I188" s="14">
        <v>0</v>
      </c>
      <c r="J188" s="14">
        <v>0</v>
      </c>
      <c r="K188" s="14">
        <v>0</v>
      </c>
      <c r="L188" s="14">
        <v>0</v>
      </c>
      <c r="M188" s="14">
        <v>0</v>
      </c>
      <c r="N188" s="14">
        <v>0</v>
      </c>
      <c r="O188" s="14">
        <v>0</v>
      </c>
      <c r="P188" s="14">
        <v>0</v>
      </c>
      <c r="Q188" s="15"/>
      <c r="R188" s="15"/>
      <c r="S188" s="15">
        <f>$G$188*$G$8+$H$188*$H$8+$I$188*$I$8+$J$188*$J$8+$K$188*$K$8+$L$188*$L$8+$M$188*$M$8+$N$188*$N$8+$O$188*$O$8+$P$188*$P$8</f>
        <v>0</v>
      </c>
      <c r="T188" s="15">
        <f>SUM($Q$188:$R$188)</f>
        <v>0</v>
      </c>
      <c r="U188" s="15">
        <f>$S$188+$T$188</f>
        <v>0</v>
      </c>
    </row>
    <row r="189" spans="1:21" x14ac:dyDescent="0.3">
      <c r="A189" s="10" t="s">
        <v>692</v>
      </c>
      <c r="B189" s="11" t="s">
        <v>693</v>
      </c>
      <c r="C189" s="11" t="s">
        <v>65</v>
      </c>
      <c r="D189" s="11" t="s">
        <v>694</v>
      </c>
      <c r="E189" s="11">
        <f xml:space="preserve"> IF($U$189,1,0)</f>
        <v>0</v>
      </c>
      <c r="F189" s="11" t="s">
        <v>695</v>
      </c>
      <c r="G189" s="11">
        <v>0</v>
      </c>
      <c r="H189" s="11">
        <v>0</v>
      </c>
      <c r="I189" s="11">
        <v>0</v>
      </c>
      <c r="J189" s="11">
        <v>0</v>
      </c>
      <c r="K189" s="11">
        <v>0</v>
      </c>
      <c r="L189" s="11">
        <v>0</v>
      </c>
      <c r="M189" s="11">
        <v>0</v>
      </c>
      <c r="N189" s="11">
        <v>0</v>
      </c>
      <c r="O189" s="11">
        <v>0</v>
      </c>
      <c r="P189" s="11">
        <v>0</v>
      </c>
      <c r="Q189" s="12"/>
      <c r="R189" s="12"/>
      <c r="S189" s="12">
        <f>$G$189*$G$8+$H$189*$H$8+$I$189*$I$8+$J$189*$J$8+$K$189*$K$8+$L$189*$L$8+$M$189*$M$8+$N$189*$N$8+$O$189*$O$8+$P$189*$P$8</f>
        <v>0</v>
      </c>
      <c r="T189" s="12">
        <f>SUM($Q$189:$R$189)</f>
        <v>0</v>
      </c>
      <c r="U189" s="12">
        <f>$S$189+$T$189</f>
        <v>0</v>
      </c>
    </row>
    <row r="190" spans="1:21" x14ac:dyDescent="0.3">
      <c r="A190" s="13" t="s">
        <v>696</v>
      </c>
      <c r="B190" s="14" t="s">
        <v>697</v>
      </c>
      <c r="C190" s="14"/>
      <c r="D190" s="14" t="s">
        <v>698</v>
      </c>
      <c r="E190" s="14">
        <f xml:space="preserve"> IF($U$190,1,0)</f>
        <v>0</v>
      </c>
      <c r="F190" s="14" t="s">
        <v>699</v>
      </c>
      <c r="G190" s="14">
        <v>0</v>
      </c>
      <c r="H190" s="14">
        <v>0</v>
      </c>
      <c r="I190" s="14">
        <v>0</v>
      </c>
      <c r="J190" s="14">
        <v>0</v>
      </c>
      <c r="K190" s="14">
        <v>0</v>
      </c>
      <c r="L190" s="14">
        <v>0</v>
      </c>
      <c r="M190" s="14">
        <v>0</v>
      </c>
      <c r="N190" s="14">
        <v>0</v>
      </c>
      <c r="O190" s="14">
        <v>0</v>
      </c>
      <c r="P190" s="14">
        <v>0</v>
      </c>
      <c r="Q190" s="15"/>
      <c r="R190" s="15"/>
      <c r="S190" s="15">
        <f>$G$190*$G$8+$H$190*$H$8+$I$190*$I$8+$J$190*$J$8+$K$190*$K$8+$L$190*$L$8+$M$190*$M$8+$N$190*$N$8+$O$190*$O$8+$P$190*$P$8</f>
        <v>0</v>
      </c>
      <c r="T190" s="15">
        <f>SUM($Q$190:$R$190)</f>
        <v>0</v>
      </c>
      <c r="U190" s="15">
        <f>$S$190+$T$190</f>
        <v>0</v>
      </c>
    </row>
    <row r="191" spans="1:21" x14ac:dyDescent="0.3">
      <c r="A191" s="10" t="s">
        <v>700</v>
      </c>
      <c r="B191" s="11" t="s">
        <v>697</v>
      </c>
      <c r="C191" s="11"/>
      <c r="D191" s="11" t="s">
        <v>701</v>
      </c>
      <c r="E191" s="11">
        <f xml:space="preserve"> IF($U$191,1,0)</f>
        <v>0</v>
      </c>
      <c r="F191" s="11" t="s">
        <v>702</v>
      </c>
      <c r="G191" s="11">
        <v>0</v>
      </c>
      <c r="H191" s="11">
        <v>0</v>
      </c>
      <c r="I191" s="11">
        <v>0</v>
      </c>
      <c r="J191" s="11">
        <v>0</v>
      </c>
      <c r="K191" s="11">
        <v>0</v>
      </c>
      <c r="L191" s="11">
        <v>0</v>
      </c>
      <c r="M191" s="11">
        <v>0</v>
      </c>
      <c r="N191" s="11">
        <v>0</v>
      </c>
      <c r="O191" s="11">
        <v>0</v>
      </c>
      <c r="P191" s="11">
        <v>0</v>
      </c>
      <c r="Q191" s="12"/>
      <c r="R191" s="12"/>
      <c r="S191" s="12">
        <f>$G$191*$G$8+$H$191*$H$8+$I$191*$I$8+$J$191*$J$8+$K$191*$K$8+$L$191*$L$8+$M$191*$M$8+$N$191*$N$8+$O$191*$O$8+$P$191*$P$8</f>
        <v>0</v>
      </c>
      <c r="T191" s="12">
        <f>SUM($Q$191:$R$191)</f>
        <v>0</v>
      </c>
      <c r="U191" s="12">
        <f>$S$191+$T$191</f>
        <v>0</v>
      </c>
    </row>
    <row r="192" spans="1:21" x14ac:dyDescent="0.3">
      <c r="A192" s="13" t="s">
        <v>703</v>
      </c>
      <c r="B192" s="14" t="s">
        <v>704</v>
      </c>
      <c r="C192" s="14"/>
      <c r="D192" s="14" t="s">
        <v>705</v>
      </c>
      <c r="E192" s="14">
        <f xml:space="preserve"> IF($U$192,1,0)</f>
        <v>0</v>
      </c>
      <c r="F192" s="14" t="s">
        <v>706</v>
      </c>
      <c r="G192" s="14">
        <v>0</v>
      </c>
      <c r="H192" s="14">
        <v>0</v>
      </c>
      <c r="I192" s="14">
        <v>0</v>
      </c>
      <c r="J192" s="14">
        <v>0</v>
      </c>
      <c r="K192" s="14">
        <v>0</v>
      </c>
      <c r="L192" s="14">
        <v>0</v>
      </c>
      <c r="M192" s="14">
        <v>0</v>
      </c>
      <c r="N192" s="14">
        <v>0</v>
      </c>
      <c r="O192" s="14">
        <v>0</v>
      </c>
      <c r="P192" s="14">
        <v>0</v>
      </c>
      <c r="Q192" s="15"/>
      <c r="R192" s="15"/>
      <c r="S192" s="15">
        <f>$G$192*$G$8+$H$192*$H$8+$I$192*$I$8+$J$192*$J$8+$K$192*$K$8+$L$192*$L$8+$M$192*$M$8+$N$192*$N$8+$O$192*$O$8+$P$192*$P$8</f>
        <v>0</v>
      </c>
      <c r="T192" s="15">
        <f>SUM($Q$192:$R$192)</f>
        <v>0</v>
      </c>
      <c r="U192" s="15">
        <f>$S$192+$T$192</f>
        <v>0</v>
      </c>
    </row>
    <row r="193" spans="1:21" x14ac:dyDescent="0.3">
      <c r="A193" s="10" t="s">
        <v>707</v>
      </c>
      <c r="B193" s="11" t="s">
        <v>708</v>
      </c>
      <c r="C193" s="11"/>
      <c r="D193" s="11" t="s">
        <v>222</v>
      </c>
      <c r="E193" s="11">
        <f xml:space="preserve"> IF($U$193,1,0)</f>
        <v>0</v>
      </c>
      <c r="F193" s="11" t="s">
        <v>709</v>
      </c>
      <c r="G193" s="11">
        <v>0</v>
      </c>
      <c r="H193" s="11">
        <v>0</v>
      </c>
      <c r="I193" s="11">
        <v>0</v>
      </c>
      <c r="J193" s="11">
        <v>0</v>
      </c>
      <c r="K193" s="11">
        <v>0</v>
      </c>
      <c r="L193" s="11">
        <v>0</v>
      </c>
      <c r="M193" s="11">
        <v>0</v>
      </c>
      <c r="N193" s="11">
        <v>0</v>
      </c>
      <c r="O193" s="11">
        <v>0</v>
      </c>
      <c r="P193" s="11">
        <v>0</v>
      </c>
      <c r="Q193" s="12"/>
      <c r="R193" s="12"/>
      <c r="S193" s="12">
        <f>$G$193*$G$8+$H$193*$H$8+$I$193*$I$8+$J$193*$J$8+$K$193*$K$8+$L$193*$L$8+$M$193*$M$8+$N$193*$N$8+$O$193*$O$8+$P$193*$P$8</f>
        <v>0</v>
      </c>
      <c r="T193" s="12">
        <f>SUM($Q$193:$R$193)</f>
        <v>0</v>
      </c>
      <c r="U193" s="12">
        <f>$S$193+$T$193</f>
        <v>0</v>
      </c>
    </row>
    <row r="194" spans="1:21" x14ac:dyDescent="0.3">
      <c r="A194" s="13" t="s">
        <v>710</v>
      </c>
      <c r="B194" s="14" t="s">
        <v>708</v>
      </c>
      <c r="C194" s="14"/>
      <c r="D194" s="14" t="s">
        <v>711</v>
      </c>
      <c r="E194" s="14">
        <f xml:space="preserve"> IF($U$194,1,0)</f>
        <v>0</v>
      </c>
      <c r="F194" s="14" t="s">
        <v>712</v>
      </c>
      <c r="G194" s="14">
        <v>0</v>
      </c>
      <c r="H194" s="14">
        <v>0</v>
      </c>
      <c r="I194" s="14">
        <v>0</v>
      </c>
      <c r="J194" s="14">
        <v>0</v>
      </c>
      <c r="K194" s="14">
        <v>0</v>
      </c>
      <c r="L194" s="14">
        <v>0</v>
      </c>
      <c r="M194" s="14">
        <v>0</v>
      </c>
      <c r="N194" s="14">
        <v>0</v>
      </c>
      <c r="O194" s="14">
        <v>0</v>
      </c>
      <c r="P194" s="14">
        <v>0</v>
      </c>
      <c r="Q194" s="15"/>
      <c r="R194" s="15"/>
      <c r="S194" s="15">
        <f>$G$194*$G$8+$H$194*$H$8+$I$194*$I$8+$J$194*$J$8+$K$194*$K$8+$L$194*$L$8+$M$194*$M$8+$N$194*$N$8+$O$194*$O$8+$P$194*$P$8</f>
        <v>0</v>
      </c>
      <c r="T194" s="15">
        <f>SUM($Q$194:$R$194)</f>
        <v>0</v>
      </c>
      <c r="U194" s="15">
        <f>$S$194+$T$194</f>
        <v>0</v>
      </c>
    </row>
    <row r="195" spans="1:21" x14ac:dyDescent="0.3">
      <c r="A195" s="10" t="s">
        <v>713</v>
      </c>
      <c r="B195" s="11" t="s">
        <v>708</v>
      </c>
      <c r="C195" s="11"/>
      <c r="D195" s="11" t="s">
        <v>714</v>
      </c>
      <c r="E195" s="11">
        <f xml:space="preserve"> IF($U$195,1,0)</f>
        <v>0</v>
      </c>
      <c r="F195" s="11" t="s">
        <v>715</v>
      </c>
      <c r="G195" s="11">
        <v>0</v>
      </c>
      <c r="H195" s="11">
        <v>0</v>
      </c>
      <c r="I195" s="11">
        <v>0</v>
      </c>
      <c r="J195" s="11">
        <v>0</v>
      </c>
      <c r="K195" s="11">
        <v>0</v>
      </c>
      <c r="L195" s="11">
        <v>0</v>
      </c>
      <c r="M195" s="11">
        <v>0</v>
      </c>
      <c r="N195" s="11">
        <v>0</v>
      </c>
      <c r="O195" s="11">
        <v>0</v>
      </c>
      <c r="P195" s="11">
        <v>0</v>
      </c>
      <c r="Q195" s="12"/>
      <c r="R195" s="12"/>
      <c r="S195" s="12">
        <f>$G$195*$G$8+$H$195*$H$8+$I$195*$I$8+$J$195*$J$8+$K$195*$K$8+$L$195*$L$8+$M$195*$M$8+$N$195*$N$8+$O$195*$O$8+$P$195*$P$8</f>
        <v>0</v>
      </c>
      <c r="T195" s="12">
        <f>SUM($Q$195:$R$195)</f>
        <v>0</v>
      </c>
      <c r="U195" s="12">
        <f>$S$195+$T$195</f>
        <v>0</v>
      </c>
    </row>
    <row r="196" spans="1:21" x14ac:dyDescent="0.3">
      <c r="A196" s="13" t="s">
        <v>716</v>
      </c>
      <c r="B196" s="14" t="s">
        <v>717</v>
      </c>
      <c r="C196" s="14"/>
      <c r="D196" s="14" t="s">
        <v>718</v>
      </c>
      <c r="E196" s="14">
        <f xml:space="preserve"> IF($U$196,1,0)</f>
        <v>0</v>
      </c>
      <c r="F196" s="14" t="s">
        <v>719</v>
      </c>
      <c r="G196" s="14">
        <v>0</v>
      </c>
      <c r="H196" s="14">
        <v>0</v>
      </c>
      <c r="I196" s="14">
        <v>0</v>
      </c>
      <c r="J196" s="14">
        <v>0</v>
      </c>
      <c r="K196" s="14">
        <v>0</v>
      </c>
      <c r="L196" s="14">
        <v>0</v>
      </c>
      <c r="M196" s="14">
        <v>0</v>
      </c>
      <c r="N196" s="14">
        <v>0</v>
      </c>
      <c r="O196" s="14">
        <v>0</v>
      </c>
      <c r="P196" s="14">
        <v>0</v>
      </c>
      <c r="Q196" s="15"/>
      <c r="R196" s="15"/>
      <c r="S196" s="15">
        <f>$G$196*$G$8+$H$196*$H$8+$I$196*$I$8+$J$196*$J$8+$K$196*$K$8+$L$196*$L$8+$M$196*$M$8+$N$196*$N$8+$O$196*$O$8+$P$196*$P$8</f>
        <v>0</v>
      </c>
      <c r="T196" s="15">
        <f>SUM($Q$196:$R$196)</f>
        <v>0</v>
      </c>
      <c r="U196" s="15">
        <f>$S$196+$T$196</f>
        <v>0</v>
      </c>
    </row>
    <row r="197" spans="1:21" x14ac:dyDescent="0.3">
      <c r="A197" s="10" t="s">
        <v>720</v>
      </c>
      <c r="B197" s="11" t="s">
        <v>721</v>
      </c>
      <c r="C197" s="11"/>
      <c r="D197" s="11" t="s">
        <v>722</v>
      </c>
      <c r="E197" s="11">
        <f xml:space="preserve"> IF($U$197,1,0)</f>
        <v>0</v>
      </c>
      <c r="F197" s="11" t="s">
        <v>723</v>
      </c>
      <c r="G197" s="11">
        <v>0</v>
      </c>
      <c r="H197" s="11">
        <v>0</v>
      </c>
      <c r="I197" s="11">
        <v>0</v>
      </c>
      <c r="J197" s="11">
        <v>0</v>
      </c>
      <c r="K197" s="11">
        <v>0</v>
      </c>
      <c r="L197" s="11">
        <v>0</v>
      </c>
      <c r="M197" s="11">
        <v>0</v>
      </c>
      <c r="N197" s="11">
        <v>0</v>
      </c>
      <c r="O197" s="11">
        <v>0</v>
      </c>
      <c r="P197" s="11">
        <v>0</v>
      </c>
      <c r="Q197" s="12"/>
      <c r="R197" s="12"/>
      <c r="S197" s="12">
        <f>$G$197*$G$8+$H$197*$H$8+$I$197*$I$8+$J$197*$J$8+$K$197*$K$8+$L$197*$L$8+$M$197*$M$8+$N$197*$N$8+$O$197*$O$8+$P$197*$P$8</f>
        <v>0</v>
      </c>
      <c r="T197" s="12">
        <f>SUM($Q$197:$R$197)</f>
        <v>0</v>
      </c>
      <c r="U197" s="12">
        <f>$S$197+$T$197</f>
        <v>0</v>
      </c>
    </row>
    <row r="198" spans="1:21" x14ac:dyDescent="0.3">
      <c r="A198" s="13" t="s">
        <v>724</v>
      </c>
      <c r="B198" s="14" t="s">
        <v>721</v>
      </c>
      <c r="C198" s="14"/>
      <c r="D198" s="14" t="s">
        <v>725</v>
      </c>
      <c r="E198" s="14">
        <f xml:space="preserve"> IF($U$198,1,0)</f>
        <v>0</v>
      </c>
      <c r="F198" s="14" t="s">
        <v>726</v>
      </c>
      <c r="G198" s="14">
        <v>0</v>
      </c>
      <c r="H198" s="14">
        <v>0</v>
      </c>
      <c r="I198" s="14">
        <v>0</v>
      </c>
      <c r="J198" s="14">
        <v>0</v>
      </c>
      <c r="K198" s="14">
        <v>0</v>
      </c>
      <c r="L198" s="14">
        <v>0</v>
      </c>
      <c r="M198" s="14">
        <v>0</v>
      </c>
      <c r="N198" s="14">
        <v>0</v>
      </c>
      <c r="O198" s="14">
        <v>0</v>
      </c>
      <c r="P198" s="14">
        <v>0</v>
      </c>
      <c r="Q198" s="15"/>
      <c r="R198" s="15"/>
      <c r="S198" s="15">
        <f>$G$198*$G$8+$H$198*$H$8+$I$198*$I$8+$J$198*$J$8+$K$198*$K$8+$L$198*$L$8+$M$198*$M$8+$N$198*$N$8+$O$198*$O$8+$P$198*$P$8</f>
        <v>0</v>
      </c>
      <c r="T198" s="15">
        <f>SUM($Q$198:$R$198)</f>
        <v>0</v>
      </c>
      <c r="U198" s="15">
        <f>$S$198+$T$198</f>
        <v>0</v>
      </c>
    </row>
    <row r="199" spans="1:21" x14ac:dyDescent="0.3">
      <c r="A199" s="10" t="s">
        <v>727</v>
      </c>
      <c r="B199" s="11" t="s">
        <v>728</v>
      </c>
      <c r="C199" s="11"/>
      <c r="D199" s="11" t="s">
        <v>729</v>
      </c>
      <c r="E199" s="11">
        <f xml:space="preserve"> IF($U$199,1,0)</f>
        <v>0</v>
      </c>
      <c r="F199" s="11" t="s">
        <v>730</v>
      </c>
      <c r="G199" s="11">
        <v>0</v>
      </c>
      <c r="H199" s="11">
        <v>0</v>
      </c>
      <c r="I199" s="11">
        <v>0</v>
      </c>
      <c r="J199" s="11">
        <v>0</v>
      </c>
      <c r="K199" s="11">
        <v>0</v>
      </c>
      <c r="L199" s="11">
        <v>0</v>
      </c>
      <c r="M199" s="11">
        <v>0</v>
      </c>
      <c r="N199" s="11">
        <v>0</v>
      </c>
      <c r="O199" s="11">
        <v>0</v>
      </c>
      <c r="P199" s="11">
        <v>0</v>
      </c>
      <c r="Q199" s="12"/>
      <c r="R199" s="12"/>
      <c r="S199" s="12">
        <f>$G$199*$G$8+$H$199*$H$8+$I$199*$I$8+$J$199*$J$8+$K$199*$K$8+$L$199*$L$8+$M$199*$M$8+$N$199*$N$8+$O$199*$O$8+$P$199*$P$8</f>
        <v>0</v>
      </c>
      <c r="T199" s="12">
        <f>SUM($Q$199:$R$199)</f>
        <v>0</v>
      </c>
      <c r="U199" s="12">
        <f>$S$199+$T$199</f>
        <v>0</v>
      </c>
    </row>
    <row r="200" spans="1:21" x14ac:dyDescent="0.3">
      <c r="A200" s="13" t="s">
        <v>731</v>
      </c>
      <c r="B200" s="14" t="s">
        <v>732</v>
      </c>
      <c r="C200" s="14"/>
      <c r="D200" s="14" t="s">
        <v>733</v>
      </c>
      <c r="E200" s="14">
        <f xml:space="preserve"> IF($U$200,1,0)</f>
        <v>0</v>
      </c>
      <c r="F200" s="14" t="s">
        <v>734</v>
      </c>
      <c r="G200" s="14">
        <v>0</v>
      </c>
      <c r="H200" s="14">
        <v>0</v>
      </c>
      <c r="I200" s="14">
        <v>0</v>
      </c>
      <c r="J200" s="14">
        <v>0</v>
      </c>
      <c r="K200" s="14">
        <v>0</v>
      </c>
      <c r="L200" s="14">
        <v>0</v>
      </c>
      <c r="M200" s="14">
        <v>0</v>
      </c>
      <c r="N200" s="14">
        <v>0</v>
      </c>
      <c r="O200" s="14">
        <v>0</v>
      </c>
      <c r="P200" s="14">
        <v>0</v>
      </c>
      <c r="Q200" s="15"/>
      <c r="R200" s="15"/>
      <c r="S200" s="15">
        <f>$G$200*$G$8+$H$200*$H$8+$I$200*$I$8+$J$200*$J$8+$K$200*$K$8+$L$200*$L$8+$M$200*$M$8+$N$200*$N$8+$O$200*$O$8+$P$200*$P$8</f>
        <v>0</v>
      </c>
      <c r="T200" s="15">
        <f>SUM($Q$200:$R$200)</f>
        <v>0</v>
      </c>
      <c r="U200" s="15">
        <f>$S$200+$T$200</f>
        <v>0</v>
      </c>
    </row>
    <row r="201" spans="1:21" x14ac:dyDescent="0.3">
      <c r="A201" s="10" t="s">
        <v>735</v>
      </c>
      <c r="B201" s="11" t="s">
        <v>736</v>
      </c>
      <c r="C201" s="11"/>
      <c r="D201" s="11" t="s">
        <v>737</v>
      </c>
      <c r="E201" s="11">
        <f xml:space="preserve"> IF($U$201,1,0)</f>
        <v>0</v>
      </c>
      <c r="F201" s="11" t="s">
        <v>738</v>
      </c>
      <c r="G201" s="11">
        <v>0</v>
      </c>
      <c r="H201" s="11">
        <v>0</v>
      </c>
      <c r="I201" s="11">
        <v>0</v>
      </c>
      <c r="J201" s="11">
        <v>0</v>
      </c>
      <c r="K201" s="11">
        <v>0</v>
      </c>
      <c r="L201" s="11">
        <v>0</v>
      </c>
      <c r="M201" s="11">
        <v>0</v>
      </c>
      <c r="N201" s="11">
        <v>0</v>
      </c>
      <c r="O201" s="11">
        <v>0</v>
      </c>
      <c r="P201" s="11">
        <v>0</v>
      </c>
      <c r="Q201" s="12"/>
      <c r="R201" s="12"/>
      <c r="S201" s="12">
        <f>$G$201*$G$8+$H$201*$H$8+$I$201*$I$8+$J$201*$J$8+$K$201*$K$8+$L$201*$L$8+$M$201*$M$8+$N$201*$N$8+$O$201*$O$8+$P$201*$P$8</f>
        <v>0</v>
      </c>
      <c r="T201" s="12">
        <f>SUM($Q$201:$R$201)</f>
        <v>0</v>
      </c>
      <c r="U201" s="12">
        <f>$S$201+$T$201</f>
        <v>0</v>
      </c>
    </row>
    <row r="202" spans="1:21" x14ac:dyDescent="0.3">
      <c r="A202" s="13" t="s">
        <v>739</v>
      </c>
      <c r="B202" s="14" t="s">
        <v>740</v>
      </c>
      <c r="C202" s="14" t="s">
        <v>65</v>
      </c>
      <c r="D202" s="14" t="s">
        <v>239</v>
      </c>
      <c r="E202" s="14">
        <f xml:space="preserve"> IF($U$202,1,0)</f>
        <v>0</v>
      </c>
      <c r="F202" s="14" t="s">
        <v>741</v>
      </c>
      <c r="G202" s="14">
        <v>0</v>
      </c>
      <c r="H202" s="14">
        <v>0</v>
      </c>
      <c r="I202" s="14">
        <v>0</v>
      </c>
      <c r="J202" s="14">
        <v>0</v>
      </c>
      <c r="K202" s="14">
        <v>0</v>
      </c>
      <c r="L202" s="14">
        <v>0</v>
      </c>
      <c r="M202" s="14">
        <v>0</v>
      </c>
      <c r="N202" s="14">
        <v>0</v>
      </c>
      <c r="O202" s="14">
        <v>0</v>
      </c>
      <c r="P202" s="14">
        <v>0</v>
      </c>
      <c r="Q202" s="15"/>
      <c r="R202" s="15"/>
      <c r="S202" s="15">
        <f>$G$202*$G$8+$H$202*$H$8+$I$202*$I$8+$J$202*$J$8+$K$202*$K$8+$L$202*$L$8+$M$202*$M$8+$N$202*$N$8+$O$202*$O$8+$P$202*$P$8</f>
        <v>0</v>
      </c>
      <c r="T202" s="15">
        <f>SUM($Q$202:$R$202)</f>
        <v>0</v>
      </c>
      <c r="U202" s="15">
        <f>$S$202+$T$202</f>
        <v>0</v>
      </c>
    </row>
    <row r="203" spans="1:21" x14ac:dyDescent="0.3">
      <c r="A203" s="10" t="s">
        <v>742</v>
      </c>
      <c r="B203" s="11" t="s">
        <v>743</v>
      </c>
      <c r="C203" s="11"/>
      <c r="D203" s="11" t="s">
        <v>744</v>
      </c>
      <c r="E203" s="11">
        <f xml:space="preserve"> IF($U$203,1,0)</f>
        <v>0</v>
      </c>
      <c r="F203" s="11" t="s">
        <v>745</v>
      </c>
      <c r="G203" s="11">
        <v>0</v>
      </c>
      <c r="H203" s="11">
        <v>0</v>
      </c>
      <c r="I203" s="11">
        <v>0</v>
      </c>
      <c r="J203" s="11">
        <v>0</v>
      </c>
      <c r="K203" s="11">
        <v>0</v>
      </c>
      <c r="L203" s="11">
        <v>0</v>
      </c>
      <c r="M203" s="11">
        <v>0</v>
      </c>
      <c r="N203" s="11">
        <v>0</v>
      </c>
      <c r="O203" s="11">
        <v>0</v>
      </c>
      <c r="P203" s="11">
        <v>0</v>
      </c>
      <c r="Q203" s="12"/>
      <c r="R203" s="12"/>
      <c r="S203" s="12">
        <f>$G$203*$G$8+$H$203*$H$8+$I$203*$I$8+$J$203*$J$8+$K$203*$K$8+$L$203*$L$8+$M$203*$M$8+$N$203*$N$8+$O$203*$O$8+$P$203*$P$8</f>
        <v>0</v>
      </c>
      <c r="T203" s="12">
        <f>SUM($Q$203:$R$203)</f>
        <v>0</v>
      </c>
      <c r="U203" s="12">
        <f>$S$203+$T$203</f>
        <v>0</v>
      </c>
    </row>
    <row r="204" spans="1:21" x14ac:dyDescent="0.3">
      <c r="A204" s="13" t="s">
        <v>746</v>
      </c>
      <c r="B204" s="14" t="s">
        <v>747</v>
      </c>
      <c r="C204" s="14"/>
      <c r="D204" s="14" t="s">
        <v>748</v>
      </c>
      <c r="E204" s="14">
        <f xml:space="preserve"> IF($U$204,1,0)</f>
        <v>0</v>
      </c>
      <c r="F204" s="14" t="s">
        <v>749</v>
      </c>
      <c r="G204" s="14">
        <v>0</v>
      </c>
      <c r="H204" s="14">
        <v>0</v>
      </c>
      <c r="I204" s="14">
        <v>0</v>
      </c>
      <c r="J204" s="14">
        <v>0</v>
      </c>
      <c r="K204" s="14">
        <v>0</v>
      </c>
      <c r="L204" s="14">
        <v>0</v>
      </c>
      <c r="M204" s="14">
        <v>0</v>
      </c>
      <c r="N204" s="14">
        <v>0</v>
      </c>
      <c r="O204" s="14">
        <v>0</v>
      </c>
      <c r="P204" s="14">
        <v>0</v>
      </c>
      <c r="Q204" s="15"/>
      <c r="R204" s="15"/>
      <c r="S204" s="15">
        <f>$G$204*$G$8+$H$204*$H$8+$I$204*$I$8+$J$204*$J$8+$K$204*$K$8+$L$204*$L$8+$M$204*$M$8+$N$204*$N$8+$O$204*$O$8+$P$204*$P$8</f>
        <v>0</v>
      </c>
      <c r="T204" s="15">
        <f>SUM($Q$204:$R$204)</f>
        <v>0</v>
      </c>
      <c r="U204" s="15">
        <f>$S$204+$T$204</f>
        <v>0</v>
      </c>
    </row>
    <row r="205" spans="1:21" x14ac:dyDescent="0.3">
      <c r="A205" s="10" t="s">
        <v>750</v>
      </c>
      <c r="B205" s="11" t="s">
        <v>751</v>
      </c>
      <c r="C205" s="11"/>
      <c r="D205" s="11" t="s">
        <v>752</v>
      </c>
      <c r="E205" s="11">
        <f xml:space="preserve"> IF($U$205,1,0)</f>
        <v>0</v>
      </c>
      <c r="F205" s="11" t="s">
        <v>753</v>
      </c>
      <c r="G205" s="11">
        <v>0</v>
      </c>
      <c r="H205" s="11">
        <v>0</v>
      </c>
      <c r="I205" s="11">
        <v>0</v>
      </c>
      <c r="J205" s="11">
        <v>0</v>
      </c>
      <c r="K205" s="11">
        <v>0</v>
      </c>
      <c r="L205" s="11">
        <v>0</v>
      </c>
      <c r="M205" s="11">
        <v>0</v>
      </c>
      <c r="N205" s="11">
        <v>0</v>
      </c>
      <c r="O205" s="11">
        <v>0</v>
      </c>
      <c r="P205" s="11">
        <v>0</v>
      </c>
      <c r="Q205" s="12"/>
      <c r="R205" s="12"/>
      <c r="S205" s="12">
        <f>$G$205*$G$8+$H$205*$H$8+$I$205*$I$8+$J$205*$J$8+$K$205*$K$8+$L$205*$L$8+$M$205*$M$8+$N$205*$N$8+$O$205*$O$8+$P$205*$P$8</f>
        <v>0</v>
      </c>
      <c r="T205" s="12">
        <f>SUM($Q$205:$R$205)</f>
        <v>0</v>
      </c>
      <c r="U205" s="12">
        <f>$S$205+$T$205</f>
        <v>0</v>
      </c>
    </row>
    <row r="206" spans="1:21" x14ac:dyDescent="0.3">
      <c r="A206" s="13" t="s">
        <v>754</v>
      </c>
      <c r="B206" s="14" t="s">
        <v>755</v>
      </c>
      <c r="C206" s="14"/>
      <c r="D206" s="14" t="s">
        <v>756</v>
      </c>
      <c r="E206" s="14">
        <f xml:space="preserve"> IF($U$206,1,0)</f>
        <v>0</v>
      </c>
      <c r="F206" s="14" t="s">
        <v>757</v>
      </c>
      <c r="G206" s="14">
        <v>0</v>
      </c>
      <c r="H206" s="14">
        <v>0</v>
      </c>
      <c r="I206" s="14">
        <v>0</v>
      </c>
      <c r="J206" s="14">
        <v>0</v>
      </c>
      <c r="K206" s="14">
        <v>0</v>
      </c>
      <c r="L206" s="14">
        <v>0</v>
      </c>
      <c r="M206" s="14">
        <v>0</v>
      </c>
      <c r="N206" s="14">
        <v>0</v>
      </c>
      <c r="O206" s="14">
        <v>0</v>
      </c>
      <c r="P206" s="14">
        <v>0</v>
      </c>
      <c r="Q206" s="15"/>
      <c r="R206" s="15"/>
      <c r="S206" s="15">
        <f>$G$206*$G$8+$H$206*$H$8+$I$206*$I$8+$J$206*$J$8+$K$206*$K$8+$L$206*$L$8+$M$206*$M$8+$N$206*$N$8+$O$206*$O$8+$P$206*$P$8</f>
        <v>0</v>
      </c>
      <c r="T206" s="15">
        <f>SUM($Q$206:$R$206)</f>
        <v>0</v>
      </c>
      <c r="U206" s="15">
        <f>$S$206+$T$206</f>
        <v>0</v>
      </c>
    </row>
    <row r="207" spans="1:21" x14ac:dyDescent="0.3">
      <c r="A207" s="10" t="s">
        <v>758</v>
      </c>
      <c r="B207" s="11" t="s">
        <v>759</v>
      </c>
      <c r="C207" s="11"/>
      <c r="D207" s="11" t="s">
        <v>760</v>
      </c>
      <c r="E207" s="11">
        <f xml:space="preserve"> IF($U$207,1,0)</f>
        <v>0</v>
      </c>
      <c r="F207" s="11" t="s">
        <v>761</v>
      </c>
      <c r="G207" s="11">
        <v>0</v>
      </c>
      <c r="H207" s="11">
        <v>0</v>
      </c>
      <c r="I207" s="11">
        <v>0</v>
      </c>
      <c r="J207" s="11">
        <v>0</v>
      </c>
      <c r="K207" s="11">
        <v>0</v>
      </c>
      <c r="L207" s="11">
        <v>0</v>
      </c>
      <c r="M207" s="11">
        <v>0</v>
      </c>
      <c r="N207" s="11">
        <v>0</v>
      </c>
      <c r="O207" s="11">
        <v>0</v>
      </c>
      <c r="P207" s="11">
        <v>0</v>
      </c>
      <c r="Q207" s="12"/>
      <c r="R207" s="12"/>
      <c r="S207" s="12">
        <f>$G$207*$G$8+$H$207*$H$8+$I$207*$I$8+$J$207*$J$8+$K$207*$K$8+$L$207*$L$8+$M$207*$M$8+$N$207*$N$8+$O$207*$O$8+$P$207*$P$8</f>
        <v>0</v>
      </c>
      <c r="T207" s="12">
        <f>SUM($Q$207:$R$207)</f>
        <v>0</v>
      </c>
      <c r="U207" s="12">
        <f>$S$207+$T$207</f>
        <v>0</v>
      </c>
    </row>
    <row r="208" spans="1:21" x14ac:dyDescent="0.3">
      <c r="A208" s="13" t="s">
        <v>762</v>
      </c>
      <c r="B208" s="14" t="s">
        <v>763</v>
      </c>
      <c r="C208" s="14"/>
      <c r="D208" s="14" t="s">
        <v>764</v>
      </c>
      <c r="E208" s="14">
        <f xml:space="preserve"> IF($U$208,1,0)</f>
        <v>0</v>
      </c>
      <c r="F208" s="14" t="s">
        <v>765</v>
      </c>
      <c r="G208" s="14">
        <v>0</v>
      </c>
      <c r="H208" s="14">
        <v>0</v>
      </c>
      <c r="I208" s="14">
        <v>0</v>
      </c>
      <c r="J208" s="14">
        <v>0</v>
      </c>
      <c r="K208" s="14">
        <v>0</v>
      </c>
      <c r="L208" s="14">
        <v>0</v>
      </c>
      <c r="M208" s="14">
        <v>0</v>
      </c>
      <c r="N208" s="14">
        <v>0</v>
      </c>
      <c r="O208" s="14">
        <v>0</v>
      </c>
      <c r="P208" s="14">
        <v>0</v>
      </c>
      <c r="Q208" s="15"/>
      <c r="R208" s="15"/>
      <c r="S208" s="15">
        <f>$G$208*$G$8+$H$208*$H$8+$I$208*$I$8+$J$208*$J$8+$K$208*$K$8+$L$208*$L$8+$M$208*$M$8+$N$208*$N$8+$O$208*$O$8+$P$208*$P$8</f>
        <v>0</v>
      </c>
      <c r="T208" s="15">
        <f>SUM($Q$208:$R$208)</f>
        <v>0</v>
      </c>
      <c r="U208" s="15">
        <f>$S$208+$T$208</f>
        <v>0</v>
      </c>
    </row>
    <row r="209" spans="1:21" x14ac:dyDescent="0.3">
      <c r="A209" s="10" t="s">
        <v>766</v>
      </c>
      <c r="B209" s="11" t="s">
        <v>767</v>
      </c>
      <c r="C209" s="11"/>
      <c r="D209" s="11" t="s">
        <v>768</v>
      </c>
      <c r="E209" s="11">
        <f xml:space="preserve"> IF($U$209,1,0)</f>
        <v>0</v>
      </c>
      <c r="F209" s="11" t="s">
        <v>769</v>
      </c>
      <c r="G209" s="11">
        <v>0</v>
      </c>
      <c r="H209" s="11">
        <v>0</v>
      </c>
      <c r="I209" s="11">
        <v>0</v>
      </c>
      <c r="J209" s="11">
        <v>0</v>
      </c>
      <c r="K209" s="11">
        <v>0</v>
      </c>
      <c r="L209" s="11">
        <v>0</v>
      </c>
      <c r="M209" s="11">
        <v>0</v>
      </c>
      <c r="N209" s="11">
        <v>0</v>
      </c>
      <c r="O209" s="11">
        <v>0</v>
      </c>
      <c r="P209" s="11">
        <v>0</v>
      </c>
      <c r="Q209" s="12"/>
      <c r="R209" s="12"/>
      <c r="S209" s="12">
        <f>$G$209*$G$8+$H$209*$H$8+$I$209*$I$8+$J$209*$J$8+$K$209*$K$8+$L$209*$L$8+$M$209*$M$8+$N$209*$N$8+$O$209*$O$8+$P$209*$P$8</f>
        <v>0</v>
      </c>
      <c r="T209" s="12">
        <f>SUM($Q$209:$R$209)</f>
        <v>0</v>
      </c>
      <c r="U209" s="12">
        <f>$S$209+$T$209</f>
        <v>0</v>
      </c>
    </row>
    <row r="210" spans="1:21" x14ac:dyDescent="0.3">
      <c r="A210" s="13" t="s">
        <v>770</v>
      </c>
      <c r="B210" s="14" t="s">
        <v>771</v>
      </c>
      <c r="C210" s="14"/>
      <c r="D210" s="14" t="s">
        <v>772</v>
      </c>
      <c r="E210" s="14">
        <f xml:space="preserve"> IF($U$210,1,0)</f>
        <v>0</v>
      </c>
      <c r="F210" s="14" t="s">
        <v>773</v>
      </c>
      <c r="G210" s="14">
        <v>0</v>
      </c>
      <c r="H210" s="14">
        <v>0</v>
      </c>
      <c r="I210" s="14">
        <v>0</v>
      </c>
      <c r="J210" s="14">
        <v>0</v>
      </c>
      <c r="K210" s="14">
        <v>0</v>
      </c>
      <c r="L210" s="14">
        <v>0</v>
      </c>
      <c r="M210" s="14">
        <v>0</v>
      </c>
      <c r="N210" s="14">
        <v>0</v>
      </c>
      <c r="O210" s="14">
        <v>0</v>
      </c>
      <c r="P210" s="14">
        <v>0</v>
      </c>
      <c r="Q210" s="15"/>
      <c r="R210" s="15"/>
      <c r="S210" s="15">
        <f>$G$210*$G$8+$H$210*$H$8+$I$210*$I$8+$J$210*$J$8+$K$210*$K$8+$L$210*$L$8+$M$210*$M$8+$N$210*$N$8+$O$210*$O$8+$P$210*$P$8</f>
        <v>0</v>
      </c>
      <c r="T210" s="15">
        <f>SUM($Q$210:$R$210)</f>
        <v>0</v>
      </c>
      <c r="U210" s="15">
        <f>$S$210+$T$210</f>
        <v>0</v>
      </c>
    </row>
    <row r="211" spans="1:21" x14ac:dyDescent="0.3">
      <c r="A211" s="10" t="s">
        <v>774</v>
      </c>
      <c r="B211" s="11" t="s">
        <v>775</v>
      </c>
      <c r="C211" s="11"/>
      <c r="D211" s="11" t="s">
        <v>776</v>
      </c>
      <c r="E211" s="11">
        <f xml:space="preserve"> IF($U$211,1,0)</f>
        <v>0</v>
      </c>
      <c r="F211" s="11" t="s">
        <v>777</v>
      </c>
      <c r="G211" s="11">
        <v>0</v>
      </c>
      <c r="H211" s="11">
        <v>0</v>
      </c>
      <c r="I211" s="11">
        <v>0</v>
      </c>
      <c r="J211" s="11">
        <v>0</v>
      </c>
      <c r="K211" s="11">
        <v>0</v>
      </c>
      <c r="L211" s="11">
        <v>0</v>
      </c>
      <c r="M211" s="11">
        <v>0</v>
      </c>
      <c r="N211" s="11">
        <v>0</v>
      </c>
      <c r="O211" s="11">
        <v>0</v>
      </c>
      <c r="P211" s="11">
        <v>0</v>
      </c>
      <c r="Q211" s="12"/>
      <c r="R211" s="12"/>
      <c r="S211" s="12">
        <f>$G$211*$G$8+$H$211*$H$8+$I$211*$I$8+$J$211*$J$8+$K$211*$K$8+$L$211*$L$8+$M$211*$M$8+$N$211*$N$8+$O$211*$O$8+$P$211*$P$8</f>
        <v>0</v>
      </c>
      <c r="T211" s="12">
        <f>SUM($Q$211:$R$211)</f>
        <v>0</v>
      </c>
      <c r="U211" s="12">
        <f>$S$211+$T$211</f>
        <v>0</v>
      </c>
    </row>
    <row r="212" spans="1:21" x14ac:dyDescent="0.3">
      <c r="A212" s="13" t="s">
        <v>778</v>
      </c>
      <c r="B212" s="14" t="s">
        <v>779</v>
      </c>
      <c r="C212" s="14"/>
      <c r="D212" s="14" t="s">
        <v>780</v>
      </c>
      <c r="E212" s="14">
        <f xml:space="preserve"> IF($U$212,1,0)</f>
        <v>0</v>
      </c>
      <c r="F212" s="14" t="s">
        <v>781</v>
      </c>
      <c r="G212" s="14">
        <v>0</v>
      </c>
      <c r="H212" s="14">
        <v>0</v>
      </c>
      <c r="I212" s="14">
        <v>0</v>
      </c>
      <c r="J212" s="14">
        <v>0</v>
      </c>
      <c r="K212" s="14">
        <v>0</v>
      </c>
      <c r="L212" s="14">
        <v>0</v>
      </c>
      <c r="M212" s="14">
        <v>0</v>
      </c>
      <c r="N212" s="14">
        <v>0</v>
      </c>
      <c r="O212" s="14">
        <v>0</v>
      </c>
      <c r="P212" s="14">
        <v>0</v>
      </c>
      <c r="Q212" s="15"/>
      <c r="R212" s="15"/>
      <c r="S212" s="15">
        <f>$G$212*$G$8+$H$212*$H$8+$I$212*$I$8+$J$212*$J$8+$K$212*$K$8+$L$212*$L$8+$M$212*$M$8+$N$212*$N$8+$O$212*$O$8+$P$212*$P$8</f>
        <v>0</v>
      </c>
      <c r="T212" s="15">
        <f>SUM($Q$212:$R$212)</f>
        <v>0</v>
      </c>
      <c r="U212" s="15">
        <f>$S$212+$T$212</f>
        <v>0</v>
      </c>
    </row>
    <row r="213" spans="1:21" x14ac:dyDescent="0.3">
      <c r="A213" s="10" t="s">
        <v>782</v>
      </c>
      <c r="B213" s="11" t="s">
        <v>779</v>
      </c>
      <c r="C213" s="11"/>
      <c r="D213" s="11" t="s">
        <v>783</v>
      </c>
      <c r="E213" s="11">
        <f xml:space="preserve"> IF($U$213,1,0)</f>
        <v>0</v>
      </c>
      <c r="F213" s="11" t="s">
        <v>784</v>
      </c>
      <c r="G213" s="11">
        <v>0</v>
      </c>
      <c r="H213" s="11">
        <v>0</v>
      </c>
      <c r="I213" s="11">
        <v>0</v>
      </c>
      <c r="J213" s="11">
        <v>0</v>
      </c>
      <c r="K213" s="11">
        <v>0</v>
      </c>
      <c r="L213" s="11">
        <v>0</v>
      </c>
      <c r="M213" s="11">
        <v>0</v>
      </c>
      <c r="N213" s="11">
        <v>0</v>
      </c>
      <c r="O213" s="11">
        <v>0</v>
      </c>
      <c r="P213" s="11">
        <v>0</v>
      </c>
      <c r="Q213" s="12"/>
      <c r="R213" s="12"/>
      <c r="S213" s="12">
        <f>$G$213*$G$8+$H$213*$H$8+$I$213*$I$8+$J$213*$J$8+$K$213*$K$8+$L$213*$L$8+$M$213*$M$8+$N$213*$N$8+$O$213*$O$8+$P$213*$P$8</f>
        <v>0</v>
      </c>
      <c r="T213" s="12">
        <f>SUM($Q$213:$R$213)</f>
        <v>0</v>
      </c>
      <c r="U213" s="12">
        <f>$S$213+$T$213</f>
        <v>0</v>
      </c>
    </row>
    <row r="214" spans="1:21" x14ac:dyDescent="0.3">
      <c r="A214" s="13" t="s">
        <v>785</v>
      </c>
      <c r="B214" s="14" t="s">
        <v>779</v>
      </c>
      <c r="C214" s="14"/>
      <c r="D214" s="14" t="s">
        <v>786</v>
      </c>
      <c r="E214" s="14">
        <f xml:space="preserve"> IF($U$214,1,0)</f>
        <v>0</v>
      </c>
      <c r="F214" s="14" t="s">
        <v>787</v>
      </c>
      <c r="G214" s="14">
        <v>0</v>
      </c>
      <c r="H214" s="14">
        <v>0</v>
      </c>
      <c r="I214" s="14">
        <v>0</v>
      </c>
      <c r="J214" s="14">
        <v>0</v>
      </c>
      <c r="K214" s="14">
        <v>0</v>
      </c>
      <c r="L214" s="14">
        <v>0</v>
      </c>
      <c r="M214" s="14">
        <v>0</v>
      </c>
      <c r="N214" s="14">
        <v>0</v>
      </c>
      <c r="O214" s="14">
        <v>0</v>
      </c>
      <c r="P214" s="14">
        <v>0</v>
      </c>
      <c r="Q214" s="15"/>
      <c r="R214" s="15"/>
      <c r="S214" s="15">
        <f>$G$214*$G$8+$H$214*$H$8+$I$214*$I$8+$J$214*$J$8+$K$214*$K$8+$L$214*$L$8+$M$214*$M$8+$N$214*$N$8+$O$214*$O$8+$P$214*$P$8</f>
        <v>0</v>
      </c>
      <c r="T214" s="15">
        <f>SUM($Q$214:$R$214)</f>
        <v>0</v>
      </c>
      <c r="U214" s="15">
        <f>$S$214+$T$214</f>
        <v>0</v>
      </c>
    </row>
    <row r="215" spans="1:21" x14ac:dyDescent="0.3">
      <c r="A215" s="10" t="s">
        <v>788</v>
      </c>
      <c r="B215" s="11" t="s">
        <v>789</v>
      </c>
      <c r="C215" s="11"/>
      <c r="D215" s="11" t="s">
        <v>790</v>
      </c>
      <c r="E215" s="11">
        <f xml:space="preserve"> IF($U$215,1,0)</f>
        <v>0</v>
      </c>
      <c r="F215" s="11" t="s">
        <v>791</v>
      </c>
      <c r="G215" s="11">
        <v>0</v>
      </c>
      <c r="H215" s="11">
        <v>0</v>
      </c>
      <c r="I215" s="11">
        <v>0</v>
      </c>
      <c r="J215" s="11">
        <v>0</v>
      </c>
      <c r="K215" s="11">
        <v>0</v>
      </c>
      <c r="L215" s="11">
        <v>0</v>
      </c>
      <c r="M215" s="11">
        <v>0</v>
      </c>
      <c r="N215" s="11">
        <v>0</v>
      </c>
      <c r="O215" s="11">
        <v>0</v>
      </c>
      <c r="P215" s="11">
        <v>0</v>
      </c>
      <c r="Q215" s="12"/>
      <c r="R215" s="12"/>
      <c r="S215" s="12">
        <f>$G$215*$G$8+$H$215*$H$8+$I$215*$I$8+$J$215*$J$8+$K$215*$K$8+$L$215*$L$8+$M$215*$M$8+$N$215*$N$8+$O$215*$O$8+$P$215*$P$8</f>
        <v>0</v>
      </c>
      <c r="T215" s="12">
        <f>SUM($Q$215:$R$215)</f>
        <v>0</v>
      </c>
      <c r="U215" s="12">
        <f>$S$215+$T$215</f>
        <v>0</v>
      </c>
    </row>
    <row r="216" spans="1:21" x14ac:dyDescent="0.3">
      <c r="A216" s="13" t="s">
        <v>792</v>
      </c>
      <c r="B216" s="14" t="s">
        <v>793</v>
      </c>
      <c r="C216" s="14"/>
      <c r="D216" s="14" t="s">
        <v>794</v>
      </c>
      <c r="E216" s="14">
        <f xml:space="preserve"> IF($U$216,1,0)</f>
        <v>0</v>
      </c>
      <c r="F216" s="14" t="s">
        <v>795</v>
      </c>
      <c r="G216" s="14">
        <v>0</v>
      </c>
      <c r="H216" s="14">
        <v>0</v>
      </c>
      <c r="I216" s="14">
        <v>0</v>
      </c>
      <c r="J216" s="14">
        <v>0</v>
      </c>
      <c r="K216" s="14">
        <v>0</v>
      </c>
      <c r="L216" s="14">
        <v>0</v>
      </c>
      <c r="M216" s="14">
        <v>0</v>
      </c>
      <c r="N216" s="14">
        <v>0</v>
      </c>
      <c r="O216" s="14">
        <v>0</v>
      </c>
      <c r="P216" s="14">
        <v>0</v>
      </c>
      <c r="Q216" s="15"/>
      <c r="R216" s="15"/>
      <c r="S216" s="15">
        <f>$G$216*$G$8+$H$216*$H$8+$I$216*$I$8+$J$216*$J$8+$K$216*$K$8+$L$216*$L$8+$M$216*$M$8+$N$216*$N$8+$O$216*$O$8+$P$216*$P$8</f>
        <v>0</v>
      </c>
      <c r="T216" s="15">
        <f>SUM($Q$216:$R$216)</f>
        <v>0</v>
      </c>
      <c r="U216" s="15">
        <f>$S$216+$T$216</f>
        <v>0</v>
      </c>
    </row>
    <row r="217" spans="1:21" x14ac:dyDescent="0.3">
      <c r="A217" s="10" t="s">
        <v>796</v>
      </c>
      <c r="B217" s="11" t="s">
        <v>797</v>
      </c>
      <c r="C217" s="11"/>
      <c r="D217" s="11" t="s">
        <v>798</v>
      </c>
      <c r="E217" s="11">
        <f xml:space="preserve"> IF($U$217,1,0)</f>
        <v>0</v>
      </c>
      <c r="F217" s="11" t="s">
        <v>799</v>
      </c>
      <c r="G217" s="11">
        <v>0</v>
      </c>
      <c r="H217" s="11">
        <v>0</v>
      </c>
      <c r="I217" s="11">
        <v>0</v>
      </c>
      <c r="J217" s="11">
        <v>0</v>
      </c>
      <c r="K217" s="11">
        <v>0</v>
      </c>
      <c r="L217" s="11">
        <v>0</v>
      </c>
      <c r="M217" s="11">
        <v>0</v>
      </c>
      <c r="N217" s="11">
        <v>0</v>
      </c>
      <c r="O217" s="11">
        <v>0</v>
      </c>
      <c r="P217" s="11">
        <v>0</v>
      </c>
      <c r="Q217" s="12"/>
      <c r="R217" s="12"/>
      <c r="S217" s="12">
        <f>$G$217*$G$8+$H$217*$H$8+$I$217*$I$8+$J$217*$J$8+$K$217*$K$8+$L$217*$L$8+$M$217*$M$8+$N$217*$N$8+$O$217*$O$8+$P$217*$P$8</f>
        <v>0</v>
      </c>
      <c r="T217" s="12">
        <f>SUM($Q$217:$R$217)</f>
        <v>0</v>
      </c>
      <c r="U217" s="12">
        <f>$S$217+$T$217</f>
        <v>0</v>
      </c>
    </row>
    <row r="218" spans="1:21" x14ac:dyDescent="0.3">
      <c r="A218" s="13" t="s">
        <v>800</v>
      </c>
      <c r="B218" s="14" t="s">
        <v>797</v>
      </c>
      <c r="C218" s="14" t="s">
        <v>34</v>
      </c>
      <c r="D218" s="14" t="s">
        <v>801</v>
      </c>
      <c r="E218" s="14">
        <f xml:space="preserve"> IF($U$218,1,0)</f>
        <v>0</v>
      </c>
      <c r="F218" s="14" t="s">
        <v>802</v>
      </c>
      <c r="G218" s="14">
        <v>0</v>
      </c>
      <c r="H218" s="14">
        <v>0</v>
      </c>
      <c r="I218" s="14">
        <v>0</v>
      </c>
      <c r="J218" s="14">
        <v>0</v>
      </c>
      <c r="K218" s="14">
        <v>0</v>
      </c>
      <c r="L218" s="14">
        <v>0</v>
      </c>
      <c r="M218" s="14">
        <v>0</v>
      </c>
      <c r="N218" s="14">
        <v>0</v>
      </c>
      <c r="O218" s="14">
        <v>0</v>
      </c>
      <c r="P218" s="14">
        <v>0</v>
      </c>
      <c r="Q218" s="15"/>
      <c r="R218" s="15"/>
      <c r="S218" s="15">
        <f>$G$218*$G$8+$H$218*$H$8+$I$218*$I$8+$J$218*$J$8+$K$218*$K$8+$L$218*$L$8+$M$218*$M$8+$N$218*$N$8+$O$218*$O$8+$P$218*$P$8</f>
        <v>0</v>
      </c>
      <c r="T218" s="15">
        <f>SUM($Q$218:$R$218)</f>
        <v>0</v>
      </c>
      <c r="U218" s="15">
        <f>$S$218+$T$218</f>
        <v>0</v>
      </c>
    </row>
    <row r="219" spans="1:21" x14ac:dyDescent="0.3">
      <c r="A219" s="10" t="s">
        <v>803</v>
      </c>
      <c r="B219" s="11" t="s">
        <v>804</v>
      </c>
      <c r="C219" s="11" t="s">
        <v>34</v>
      </c>
      <c r="D219" s="11" t="s">
        <v>805</v>
      </c>
      <c r="E219" s="11">
        <f xml:space="preserve"> IF($U$219,1,0)</f>
        <v>0</v>
      </c>
      <c r="F219" s="11" t="s">
        <v>806</v>
      </c>
      <c r="G219" s="11">
        <v>0</v>
      </c>
      <c r="H219" s="11">
        <v>0</v>
      </c>
      <c r="I219" s="11">
        <v>0</v>
      </c>
      <c r="J219" s="11">
        <v>0</v>
      </c>
      <c r="K219" s="11">
        <v>0</v>
      </c>
      <c r="L219" s="11">
        <v>0</v>
      </c>
      <c r="M219" s="11">
        <v>0</v>
      </c>
      <c r="N219" s="11">
        <v>0</v>
      </c>
      <c r="O219" s="11">
        <v>0</v>
      </c>
      <c r="P219" s="11">
        <v>0</v>
      </c>
      <c r="Q219" s="12"/>
      <c r="R219" s="12"/>
      <c r="S219" s="12">
        <f>$G$219*$G$8+$H$219*$H$8+$I$219*$I$8+$J$219*$J$8+$K$219*$K$8+$L$219*$L$8+$M$219*$M$8+$N$219*$N$8+$O$219*$O$8+$P$219*$P$8</f>
        <v>0</v>
      </c>
      <c r="T219" s="12">
        <f>SUM($Q$219:$R$219)</f>
        <v>0</v>
      </c>
      <c r="U219" s="12">
        <f>$S$219+$T$219</f>
        <v>0</v>
      </c>
    </row>
    <row r="220" spans="1:21" x14ac:dyDescent="0.3">
      <c r="A220" s="13" t="s">
        <v>807</v>
      </c>
      <c r="B220" s="14" t="s">
        <v>808</v>
      </c>
      <c r="C220" s="14"/>
      <c r="D220" s="14" t="s">
        <v>809</v>
      </c>
      <c r="E220" s="14">
        <f xml:space="preserve"> IF($U$220,1,0)</f>
        <v>0</v>
      </c>
      <c r="F220" s="14" t="s">
        <v>810</v>
      </c>
      <c r="G220" s="14">
        <v>0</v>
      </c>
      <c r="H220" s="14">
        <v>0</v>
      </c>
      <c r="I220" s="14">
        <v>0</v>
      </c>
      <c r="J220" s="14">
        <v>0</v>
      </c>
      <c r="K220" s="14">
        <v>0</v>
      </c>
      <c r="L220" s="14">
        <v>0</v>
      </c>
      <c r="M220" s="14">
        <v>0</v>
      </c>
      <c r="N220" s="14">
        <v>0</v>
      </c>
      <c r="O220" s="14">
        <v>0</v>
      </c>
      <c r="P220" s="14">
        <v>0</v>
      </c>
      <c r="Q220" s="15"/>
      <c r="R220" s="15"/>
      <c r="S220" s="15">
        <f>$G$220*$G$8+$H$220*$H$8+$I$220*$I$8+$J$220*$J$8+$K$220*$K$8+$L$220*$L$8+$M$220*$M$8+$N$220*$N$8+$O$220*$O$8+$P$220*$P$8</f>
        <v>0</v>
      </c>
      <c r="T220" s="15">
        <f>SUM($Q$220:$R$220)</f>
        <v>0</v>
      </c>
      <c r="U220" s="15">
        <f>$S$220+$T$220</f>
        <v>0</v>
      </c>
    </row>
    <row r="221" spans="1:21" x14ac:dyDescent="0.3">
      <c r="A221" s="10" t="s">
        <v>811</v>
      </c>
      <c r="B221" s="11" t="s">
        <v>812</v>
      </c>
      <c r="C221" s="11"/>
      <c r="D221" s="11" t="s">
        <v>813</v>
      </c>
      <c r="E221" s="11">
        <f xml:space="preserve"> IF($U$221,1,0)</f>
        <v>0</v>
      </c>
      <c r="F221" s="11" t="s">
        <v>814</v>
      </c>
      <c r="G221" s="11">
        <v>0</v>
      </c>
      <c r="H221" s="11">
        <v>0</v>
      </c>
      <c r="I221" s="11">
        <v>0</v>
      </c>
      <c r="J221" s="11">
        <v>0</v>
      </c>
      <c r="K221" s="11">
        <v>0</v>
      </c>
      <c r="L221" s="11">
        <v>0</v>
      </c>
      <c r="M221" s="11">
        <v>0</v>
      </c>
      <c r="N221" s="11">
        <v>0</v>
      </c>
      <c r="O221" s="11">
        <v>0</v>
      </c>
      <c r="P221" s="11">
        <v>0</v>
      </c>
      <c r="Q221" s="12"/>
      <c r="R221" s="12"/>
      <c r="S221" s="12">
        <f>$G$221*$G$8+$H$221*$H$8+$I$221*$I$8+$J$221*$J$8+$K$221*$K$8+$L$221*$L$8+$M$221*$M$8+$N$221*$N$8+$O$221*$O$8+$P$221*$P$8</f>
        <v>0</v>
      </c>
      <c r="T221" s="12">
        <f>SUM($Q$221:$R$221)</f>
        <v>0</v>
      </c>
      <c r="U221" s="12">
        <f>$S$221+$T$221</f>
        <v>0</v>
      </c>
    </row>
    <row r="222" spans="1:21" x14ac:dyDescent="0.3">
      <c r="A222" s="13" t="s">
        <v>815</v>
      </c>
      <c r="B222" s="14" t="s">
        <v>816</v>
      </c>
      <c r="C222" s="14"/>
      <c r="D222" s="14" t="s">
        <v>817</v>
      </c>
      <c r="E222" s="14">
        <f xml:space="preserve"> IF($U$222,1,0)</f>
        <v>0</v>
      </c>
      <c r="F222" s="14" t="s">
        <v>818</v>
      </c>
      <c r="G222" s="14">
        <v>0</v>
      </c>
      <c r="H222" s="14">
        <v>0</v>
      </c>
      <c r="I222" s="14">
        <v>0</v>
      </c>
      <c r="J222" s="14">
        <v>0</v>
      </c>
      <c r="K222" s="14">
        <v>0</v>
      </c>
      <c r="L222" s="14">
        <v>0</v>
      </c>
      <c r="M222" s="14">
        <v>0</v>
      </c>
      <c r="N222" s="14">
        <v>0</v>
      </c>
      <c r="O222" s="14">
        <v>0</v>
      </c>
      <c r="P222" s="14">
        <v>0</v>
      </c>
      <c r="Q222" s="15"/>
      <c r="R222" s="15"/>
      <c r="S222" s="15">
        <f>$G$222*$G$8+$H$222*$H$8+$I$222*$I$8+$J$222*$J$8+$K$222*$K$8+$L$222*$L$8+$M$222*$M$8+$N$222*$N$8+$O$222*$O$8+$P$222*$P$8</f>
        <v>0</v>
      </c>
      <c r="T222" s="15">
        <f>SUM($Q$222:$R$222)</f>
        <v>0</v>
      </c>
      <c r="U222" s="15">
        <f>$S$222+$T$222</f>
        <v>0</v>
      </c>
    </row>
    <row r="223" spans="1:21" x14ac:dyDescent="0.3">
      <c r="A223" s="10" t="s">
        <v>819</v>
      </c>
      <c r="B223" s="11" t="s">
        <v>820</v>
      </c>
      <c r="C223" s="11"/>
      <c r="D223" s="11" t="s">
        <v>821</v>
      </c>
      <c r="E223" s="11">
        <f xml:space="preserve"> IF($U$223,1,0)</f>
        <v>0</v>
      </c>
      <c r="F223" s="11" t="s">
        <v>822</v>
      </c>
      <c r="G223" s="11">
        <v>0</v>
      </c>
      <c r="H223" s="11">
        <v>0</v>
      </c>
      <c r="I223" s="11">
        <v>0</v>
      </c>
      <c r="J223" s="11">
        <v>0</v>
      </c>
      <c r="K223" s="11">
        <v>0</v>
      </c>
      <c r="L223" s="11">
        <v>0</v>
      </c>
      <c r="M223" s="11">
        <v>0</v>
      </c>
      <c r="N223" s="11">
        <v>0</v>
      </c>
      <c r="O223" s="11">
        <v>0</v>
      </c>
      <c r="P223" s="11">
        <v>0</v>
      </c>
      <c r="Q223" s="12"/>
      <c r="R223" s="12"/>
      <c r="S223" s="12">
        <f>$G$223*$G$8+$H$223*$H$8+$I$223*$I$8+$J$223*$J$8+$K$223*$K$8+$L$223*$L$8+$M$223*$M$8+$N$223*$N$8+$O$223*$O$8+$P$223*$P$8</f>
        <v>0</v>
      </c>
      <c r="T223" s="12">
        <f>SUM($Q$223:$R$223)</f>
        <v>0</v>
      </c>
      <c r="U223" s="12">
        <f>$S$223+$T$223</f>
        <v>0</v>
      </c>
    </row>
    <row r="224" spans="1:21" x14ac:dyDescent="0.3">
      <c r="A224" s="13" t="s">
        <v>823</v>
      </c>
      <c r="B224" s="14" t="s">
        <v>824</v>
      </c>
      <c r="C224" s="14"/>
      <c r="D224" s="14" t="s">
        <v>825</v>
      </c>
      <c r="E224" s="14">
        <f xml:space="preserve"> IF($U$224,1,0)</f>
        <v>0</v>
      </c>
      <c r="F224" s="14" t="s">
        <v>826</v>
      </c>
      <c r="G224" s="14">
        <v>0</v>
      </c>
      <c r="H224" s="14">
        <v>0</v>
      </c>
      <c r="I224" s="14">
        <v>0</v>
      </c>
      <c r="J224" s="14">
        <v>0</v>
      </c>
      <c r="K224" s="14">
        <v>0</v>
      </c>
      <c r="L224" s="14">
        <v>0</v>
      </c>
      <c r="M224" s="14">
        <v>0</v>
      </c>
      <c r="N224" s="14">
        <v>0</v>
      </c>
      <c r="O224" s="14">
        <v>0</v>
      </c>
      <c r="P224" s="14">
        <v>0</v>
      </c>
      <c r="Q224" s="15"/>
      <c r="R224" s="15"/>
      <c r="S224" s="15">
        <f>$G$224*$G$8+$H$224*$H$8+$I$224*$I$8+$J$224*$J$8+$K$224*$K$8+$L$224*$L$8+$M$224*$M$8+$N$224*$N$8+$O$224*$O$8+$P$224*$P$8</f>
        <v>0</v>
      </c>
      <c r="T224" s="15">
        <f>SUM($Q$224:$R$224)</f>
        <v>0</v>
      </c>
      <c r="U224" s="15">
        <f>$S$224+$T$224</f>
        <v>0</v>
      </c>
    </row>
    <row r="225" spans="1:21" x14ac:dyDescent="0.3">
      <c r="A225" s="10" t="s">
        <v>827</v>
      </c>
      <c r="B225" s="11" t="s">
        <v>828</v>
      </c>
      <c r="C225" s="11"/>
      <c r="D225" s="11" t="s">
        <v>829</v>
      </c>
      <c r="E225" s="11">
        <f xml:space="preserve"> IF($U$225,1,0)</f>
        <v>0</v>
      </c>
      <c r="F225" s="11" t="s">
        <v>830</v>
      </c>
      <c r="G225" s="11">
        <v>0</v>
      </c>
      <c r="H225" s="11">
        <v>0</v>
      </c>
      <c r="I225" s="11">
        <v>0</v>
      </c>
      <c r="J225" s="11">
        <v>0</v>
      </c>
      <c r="K225" s="11">
        <v>0</v>
      </c>
      <c r="L225" s="11">
        <v>0</v>
      </c>
      <c r="M225" s="11">
        <v>0</v>
      </c>
      <c r="N225" s="11">
        <v>0</v>
      </c>
      <c r="O225" s="11">
        <v>0</v>
      </c>
      <c r="P225" s="11">
        <v>0</v>
      </c>
      <c r="Q225" s="12"/>
      <c r="R225" s="12"/>
      <c r="S225" s="12">
        <f>$G$225*$G$8+$H$225*$H$8+$I$225*$I$8+$J$225*$J$8+$K$225*$K$8+$L$225*$L$8+$M$225*$M$8+$N$225*$N$8+$O$225*$O$8+$P$225*$P$8</f>
        <v>0</v>
      </c>
      <c r="T225" s="12">
        <f>SUM($Q$225:$R$225)</f>
        <v>0</v>
      </c>
      <c r="U225" s="12">
        <f>$S$225+$T$225</f>
        <v>0</v>
      </c>
    </row>
    <row r="226" spans="1:21" x14ac:dyDescent="0.3">
      <c r="A226" s="13" t="s">
        <v>831</v>
      </c>
      <c r="B226" s="14" t="s">
        <v>832</v>
      </c>
      <c r="C226" s="14"/>
      <c r="D226" s="14" t="s">
        <v>833</v>
      </c>
      <c r="E226" s="14">
        <f xml:space="preserve"> IF($U$226,1,0)</f>
        <v>0</v>
      </c>
      <c r="F226" s="14" t="s">
        <v>834</v>
      </c>
      <c r="G226" s="14">
        <v>0</v>
      </c>
      <c r="H226" s="14">
        <v>0</v>
      </c>
      <c r="I226" s="14">
        <v>0</v>
      </c>
      <c r="J226" s="14">
        <v>0</v>
      </c>
      <c r="K226" s="14">
        <v>0</v>
      </c>
      <c r="L226" s="14">
        <v>0</v>
      </c>
      <c r="M226" s="14">
        <v>0</v>
      </c>
      <c r="N226" s="14">
        <v>0</v>
      </c>
      <c r="O226" s="14">
        <v>0</v>
      </c>
      <c r="P226" s="14">
        <v>0</v>
      </c>
      <c r="Q226" s="15"/>
      <c r="R226" s="15"/>
      <c r="S226" s="15">
        <f>$G$226*$G$8+$H$226*$H$8+$I$226*$I$8+$J$226*$J$8+$K$226*$K$8+$L$226*$L$8+$M$226*$M$8+$N$226*$N$8+$O$226*$O$8+$P$226*$P$8</f>
        <v>0</v>
      </c>
      <c r="T226" s="15">
        <f>SUM($Q$226:$R$226)</f>
        <v>0</v>
      </c>
      <c r="U226" s="15">
        <f>$S$226+$T$226</f>
        <v>0</v>
      </c>
    </row>
    <row r="227" spans="1:21" x14ac:dyDescent="0.3">
      <c r="A227" s="10" t="s">
        <v>835</v>
      </c>
      <c r="B227" s="11" t="s">
        <v>836</v>
      </c>
      <c r="C227" s="11"/>
      <c r="D227" s="11" t="s">
        <v>837</v>
      </c>
      <c r="E227" s="11">
        <f xml:space="preserve"> IF($U$227,1,0)</f>
        <v>0</v>
      </c>
      <c r="F227" s="11" t="s">
        <v>838</v>
      </c>
      <c r="G227" s="11">
        <v>0</v>
      </c>
      <c r="H227" s="11">
        <v>0</v>
      </c>
      <c r="I227" s="11">
        <v>0</v>
      </c>
      <c r="J227" s="11">
        <v>0</v>
      </c>
      <c r="K227" s="11">
        <v>0</v>
      </c>
      <c r="L227" s="11">
        <v>0</v>
      </c>
      <c r="M227" s="11">
        <v>0</v>
      </c>
      <c r="N227" s="11">
        <v>0</v>
      </c>
      <c r="O227" s="11">
        <v>0</v>
      </c>
      <c r="P227" s="11">
        <v>0</v>
      </c>
      <c r="Q227" s="12"/>
      <c r="R227" s="12"/>
      <c r="S227" s="12">
        <f>$G$227*$G$8+$H$227*$H$8+$I$227*$I$8+$J$227*$J$8+$K$227*$K$8+$L$227*$L$8+$M$227*$M$8+$N$227*$N$8+$O$227*$O$8+$P$227*$P$8</f>
        <v>0</v>
      </c>
      <c r="T227" s="12">
        <f>SUM($Q$227:$R$227)</f>
        <v>0</v>
      </c>
      <c r="U227" s="12">
        <f>$S$227+$T$227</f>
        <v>0</v>
      </c>
    </row>
    <row r="228" spans="1:21" x14ac:dyDescent="0.3">
      <c r="A228" s="13" t="s">
        <v>839</v>
      </c>
      <c r="B228" s="14" t="s">
        <v>840</v>
      </c>
      <c r="C228" s="14"/>
      <c r="D228" s="14" t="s">
        <v>841</v>
      </c>
      <c r="E228" s="14">
        <f xml:space="preserve"> IF($U$228,1,0)</f>
        <v>0</v>
      </c>
      <c r="F228" s="14" t="s">
        <v>842</v>
      </c>
      <c r="G228" s="14">
        <v>0</v>
      </c>
      <c r="H228" s="14">
        <v>0</v>
      </c>
      <c r="I228" s="14">
        <v>0</v>
      </c>
      <c r="J228" s="14">
        <v>0</v>
      </c>
      <c r="K228" s="14">
        <v>0</v>
      </c>
      <c r="L228" s="14">
        <v>0</v>
      </c>
      <c r="M228" s="14">
        <v>0</v>
      </c>
      <c r="N228" s="14">
        <v>0</v>
      </c>
      <c r="O228" s="14">
        <v>0</v>
      </c>
      <c r="P228" s="14">
        <v>0</v>
      </c>
      <c r="Q228" s="15"/>
      <c r="R228" s="15"/>
      <c r="S228" s="15">
        <f>$G$228*$G$8+$H$228*$H$8+$I$228*$I$8+$J$228*$J$8+$K$228*$K$8+$L$228*$L$8+$M$228*$M$8+$N$228*$N$8+$O$228*$O$8+$P$228*$P$8</f>
        <v>0</v>
      </c>
      <c r="T228" s="15">
        <f>SUM($Q$228:$R$228)</f>
        <v>0</v>
      </c>
      <c r="U228" s="15">
        <f>$S$228+$T$228</f>
        <v>0</v>
      </c>
    </row>
    <row r="229" spans="1:21" x14ac:dyDescent="0.3">
      <c r="A229" s="10" t="s">
        <v>843</v>
      </c>
      <c r="B229" s="11" t="s">
        <v>844</v>
      </c>
      <c r="C229" s="11"/>
      <c r="D229" s="11" t="s">
        <v>845</v>
      </c>
      <c r="E229" s="11">
        <f xml:space="preserve"> IF($U$229,1,0)</f>
        <v>0</v>
      </c>
      <c r="F229" s="11" t="s">
        <v>846</v>
      </c>
      <c r="G229" s="11">
        <v>0</v>
      </c>
      <c r="H229" s="11">
        <v>0</v>
      </c>
      <c r="I229" s="11">
        <v>0</v>
      </c>
      <c r="J229" s="11">
        <v>0</v>
      </c>
      <c r="K229" s="11">
        <v>0</v>
      </c>
      <c r="L229" s="11">
        <v>0</v>
      </c>
      <c r="M229" s="11">
        <v>0</v>
      </c>
      <c r="N229" s="11">
        <v>0</v>
      </c>
      <c r="O229" s="11">
        <v>0</v>
      </c>
      <c r="P229" s="11">
        <v>0</v>
      </c>
      <c r="Q229" s="12"/>
      <c r="R229" s="12"/>
      <c r="S229" s="12">
        <f>$G$229*$G$8+$H$229*$H$8+$I$229*$I$8+$J$229*$J$8+$K$229*$K$8+$L$229*$L$8+$M$229*$M$8+$N$229*$N$8+$O$229*$O$8+$P$229*$P$8</f>
        <v>0</v>
      </c>
      <c r="T229" s="12">
        <f>SUM($Q$229:$R$229)</f>
        <v>0</v>
      </c>
      <c r="U229" s="12">
        <f>$S$229+$T$229</f>
        <v>0</v>
      </c>
    </row>
    <row r="230" spans="1:21" x14ac:dyDescent="0.3">
      <c r="A230" s="13" t="s">
        <v>847</v>
      </c>
      <c r="B230" s="14" t="s">
        <v>848</v>
      </c>
      <c r="C230" s="14" t="s">
        <v>202</v>
      </c>
      <c r="D230" s="14" t="s">
        <v>849</v>
      </c>
      <c r="E230" s="14">
        <f xml:space="preserve"> IF($U$230,1,0)</f>
        <v>0</v>
      </c>
      <c r="F230" s="14" t="s">
        <v>850</v>
      </c>
      <c r="G230" s="14">
        <v>0</v>
      </c>
      <c r="H230" s="14">
        <v>0</v>
      </c>
      <c r="I230" s="14">
        <v>0</v>
      </c>
      <c r="J230" s="14">
        <v>0</v>
      </c>
      <c r="K230" s="14">
        <v>0</v>
      </c>
      <c r="L230" s="14">
        <v>0</v>
      </c>
      <c r="M230" s="14">
        <v>0</v>
      </c>
      <c r="N230" s="14">
        <v>0</v>
      </c>
      <c r="O230" s="14">
        <v>0</v>
      </c>
      <c r="P230" s="14">
        <v>0</v>
      </c>
      <c r="Q230" s="15"/>
      <c r="R230" s="15"/>
      <c r="S230" s="15">
        <f>$G$230*$G$8+$H$230*$H$8+$I$230*$I$8+$J$230*$J$8+$K$230*$K$8+$L$230*$L$8+$M$230*$M$8+$N$230*$N$8+$O$230*$O$8+$P$230*$P$8</f>
        <v>0</v>
      </c>
      <c r="T230" s="15">
        <f>SUM($Q$230:$R$230)</f>
        <v>0</v>
      </c>
      <c r="U230" s="15">
        <f>$S$230+$T$230</f>
        <v>0</v>
      </c>
    </row>
    <row r="231" spans="1:21" x14ac:dyDescent="0.3">
      <c r="A231" s="10" t="s">
        <v>851</v>
      </c>
      <c r="B231" s="11" t="s">
        <v>852</v>
      </c>
      <c r="C231" s="11"/>
      <c r="D231" s="11" t="s">
        <v>853</v>
      </c>
      <c r="E231" s="11">
        <f xml:space="preserve"> IF($U$231,1,0)</f>
        <v>0</v>
      </c>
      <c r="F231" s="11" t="s">
        <v>854</v>
      </c>
      <c r="G231" s="11">
        <v>0</v>
      </c>
      <c r="H231" s="11">
        <v>0</v>
      </c>
      <c r="I231" s="11">
        <v>0</v>
      </c>
      <c r="J231" s="11">
        <v>0</v>
      </c>
      <c r="K231" s="11">
        <v>0</v>
      </c>
      <c r="L231" s="11">
        <v>0</v>
      </c>
      <c r="M231" s="11">
        <v>0</v>
      </c>
      <c r="N231" s="11">
        <v>0</v>
      </c>
      <c r="O231" s="11">
        <v>0</v>
      </c>
      <c r="P231" s="11">
        <v>0</v>
      </c>
      <c r="Q231" s="12"/>
      <c r="R231" s="12"/>
      <c r="S231" s="12">
        <f>$G$231*$G$8+$H$231*$H$8+$I$231*$I$8+$J$231*$J$8+$K$231*$K$8+$L$231*$L$8+$M$231*$M$8+$N$231*$N$8+$O$231*$O$8+$P$231*$P$8</f>
        <v>0</v>
      </c>
      <c r="T231" s="12">
        <f>SUM($Q$231:$R$231)</f>
        <v>0</v>
      </c>
      <c r="U231" s="12">
        <f>$S$231+$T$231</f>
        <v>0</v>
      </c>
    </row>
    <row r="232" spans="1:21" x14ac:dyDescent="0.3">
      <c r="A232" s="13" t="s">
        <v>855</v>
      </c>
      <c r="B232" s="14" t="s">
        <v>856</v>
      </c>
      <c r="C232" s="14"/>
      <c r="D232" s="14" t="s">
        <v>790</v>
      </c>
      <c r="E232" s="14">
        <f xml:space="preserve"> IF($U$232,1,0)</f>
        <v>0</v>
      </c>
      <c r="F232" s="14" t="s">
        <v>857</v>
      </c>
      <c r="G232" s="14">
        <v>0</v>
      </c>
      <c r="H232" s="14">
        <v>0</v>
      </c>
      <c r="I232" s="14">
        <v>0</v>
      </c>
      <c r="J232" s="14">
        <v>0</v>
      </c>
      <c r="K232" s="14">
        <v>0</v>
      </c>
      <c r="L232" s="14">
        <v>0</v>
      </c>
      <c r="M232" s="14">
        <v>0</v>
      </c>
      <c r="N232" s="14">
        <v>0</v>
      </c>
      <c r="O232" s="14">
        <v>0</v>
      </c>
      <c r="P232" s="14">
        <v>0</v>
      </c>
      <c r="Q232" s="15"/>
      <c r="R232" s="15"/>
      <c r="S232" s="15">
        <f>$G$232*$G$8+$H$232*$H$8+$I$232*$I$8+$J$232*$J$8+$K$232*$K$8+$L$232*$L$8+$M$232*$M$8+$N$232*$N$8+$O$232*$O$8+$P$232*$P$8</f>
        <v>0</v>
      </c>
      <c r="T232" s="15">
        <f>SUM($Q$232:$R$232)</f>
        <v>0</v>
      </c>
      <c r="U232" s="15">
        <f>$S$232+$T$232</f>
        <v>0</v>
      </c>
    </row>
    <row r="233" spans="1:21" x14ac:dyDescent="0.3">
      <c r="A233" s="10" t="s">
        <v>858</v>
      </c>
      <c r="B233" s="11" t="s">
        <v>859</v>
      </c>
      <c r="C233" s="11"/>
      <c r="D233" s="11" t="s">
        <v>860</v>
      </c>
      <c r="E233" s="11">
        <f xml:space="preserve"> IF($U$233,1,0)</f>
        <v>0</v>
      </c>
      <c r="F233" s="11" t="s">
        <v>861</v>
      </c>
      <c r="G233" s="11">
        <v>0</v>
      </c>
      <c r="H233" s="11">
        <v>0</v>
      </c>
      <c r="I233" s="11">
        <v>0</v>
      </c>
      <c r="J233" s="11">
        <v>0</v>
      </c>
      <c r="K233" s="11">
        <v>0</v>
      </c>
      <c r="L233" s="11">
        <v>0</v>
      </c>
      <c r="M233" s="11">
        <v>0</v>
      </c>
      <c r="N233" s="11">
        <v>0</v>
      </c>
      <c r="O233" s="11">
        <v>0</v>
      </c>
      <c r="P233" s="11">
        <v>0</v>
      </c>
      <c r="Q233" s="12"/>
      <c r="R233" s="12"/>
      <c r="S233" s="12">
        <f>$G$233*$G$8+$H$233*$H$8+$I$233*$I$8+$J$233*$J$8+$K$233*$K$8+$L$233*$L$8+$M$233*$M$8+$N$233*$N$8+$O$233*$O$8+$P$233*$P$8</f>
        <v>0</v>
      </c>
      <c r="T233" s="12">
        <f>SUM($Q$233:$R$233)</f>
        <v>0</v>
      </c>
      <c r="U233" s="12">
        <f>$S$233+$T$233</f>
        <v>0</v>
      </c>
    </row>
    <row r="234" spans="1:21" x14ac:dyDescent="0.3">
      <c r="A234" s="13" t="s">
        <v>862</v>
      </c>
      <c r="B234" s="14" t="s">
        <v>863</v>
      </c>
      <c r="C234" s="14"/>
      <c r="D234" s="14" t="s">
        <v>864</v>
      </c>
      <c r="E234" s="14">
        <f xml:space="preserve"> IF($U$234,1,0)</f>
        <v>0</v>
      </c>
      <c r="F234" s="14" t="s">
        <v>865</v>
      </c>
      <c r="G234" s="14">
        <v>0</v>
      </c>
      <c r="H234" s="14">
        <v>0</v>
      </c>
      <c r="I234" s="14">
        <v>0</v>
      </c>
      <c r="J234" s="14">
        <v>0</v>
      </c>
      <c r="K234" s="14">
        <v>0</v>
      </c>
      <c r="L234" s="14">
        <v>0</v>
      </c>
      <c r="M234" s="14">
        <v>0</v>
      </c>
      <c r="N234" s="14">
        <v>0</v>
      </c>
      <c r="O234" s="14">
        <v>0</v>
      </c>
      <c r="P234" s="14">
        <v>0</v>
      </c>
      <c r="Q234" s="15"/>
      <c r="R234" s="15"/>
      <c r="S234" s="15">
        <f>$G$234*$G$8+$H$234*$H$8+$I$234*$I$8+$J$234*$J$8+$K$234*$K$8+$L$234*$L$8+$M$234*$M$8+$N$234*$N$8+$O$234*$O$8+$P$234*$P$8</f>
        <v>0</v>
      </c>
      <c r="T234" s="15">
        <f>SUM($Q$234:$R$234)</f>
        <v>0</v>
      </c>
      <c r="U234" s="15">
        <f>$S$234+$T$234</f>
        <v>0</v>
      </c>
    </row>
    <row r="235" spans="1:21" x14ac:dyDescent="0.3">
      <c r="A235" s="10" t="s">
        <v>866</v>
      </c>
      <c r="B235" s="11" t="s">
        <v>867</v>
      </c>
      <c r="C235" s="11"/>
      <c r="D235" s="11" t="s">
        <v>868</v>
      </c>
      <c r="E235" s="11">
        <f xml:space="preserve"> IF($U$235,1,0)</f>
        <v>0</v>
      </c>
      <c r="F235" s="11" t="s">
        <v>869</v>
      </c>
      <c r="G235" s="11">
        <v>0</v>
      </c>
      <c r="H235" s="11">
        <v>0</v>
      </c>
      <c r="I235" s="11">
        <v>0</v>
      </c>
      <c r="J235" s="11">
        <v>0</v>
      </c>
      <c r="K235" s="11">
        <v>0</v>
      </c>
      <c r="L235" s="11">
        <v>0</v>
      </c>
      <c r="M235" s="11">
        <v>0</v>
      </c>
      <c r="N235" s="11">
        <v>0</v>
      </c>
      <c r="O235" s="11">
        <v>0</v>
      </c>
      <c r="P235" s="11">
        <v>0</v>
      </c>
      <c r="Q235" s="12"/>
      <c r="R235" s="12"/>
      <c r="S235" s="12">
        <f>$G$235*$G$8+$H$235*$H$8+$I$235*$I$8+$J$235*$J$8+$K$235*$K$8+$L$235*$L$8+$M$235*$M$8+$N$235*$N$8+$O$235*$O$8+$P$235*$P$8</f>
        <v>0</v>
      </c>
      <c r="T235" s="12">
        <f>SUM($Q$235:$R$235)</f>
        <v>0</v>
      </c>
      <c r="U235" s="12">
        <f>$S$235+$T$235</f>
        <v>0</v>
      </c>
    </row>
    <row r="236" spans="1:21" x14ac:dyDescent="0.3">
      <c r="A236" s="13" t="s">
        <v>870</v>
      </c>
      <c r="B236" s="14" t="s">
        <v>871</v>
      </c>
      <c r="C236" s="14" t="s">
        <v>243</v>
      </c>
      <c r="D236" s="14" t="s">
        <v>399</v>
      </c>
      <c r="E236" s="14">
        <f xml:space="preserve"> IF($U$236,1,0)</f>
        <v>0</v>
      </c>
      <c r="F236" s="14" t="s">
        <v>872</v>
      </c>
      <c r="G236" s="14">
        <v>0</v>
      </c>
      <c r="H236" s="14">
        <v>0</v>
      </c>
      <c r="I236" s="14">
        <v>0</v>
      </c>
      <c r="J236" s="14">
        <v>0</v>
      </c>
      <c r="K236" s="14">
        <v>0</v>
      </c>
      <c r="L236" s="14">
        <v>0</v>
      </c>
      <c r="M236" s="14">
        <v>0</v>
      </c>
      <c r="N236" s="14">
        <v>0</v>
      </c>
      <c r="O236" s="14">
        <v>0</v>
      </c>
      <c r="P236" s="14">
        <v>0</v>
      </c>
      <c r="Q236" s="15"/>
      <c r="R236" s="15"/>
      <c r="S236" s="15">
        <f>$G$236*$G$8+$H$236*$H$8+$I$236*$I$8+$J$236*$J$8+$K$236*$K$8+$L$236*$L$8+$M$236*$M$8+$N$236*$N$8+$O$236*$O$8+$P$236*$P$8</f>
        <v>0</v>
      </c>
      <c r="T236" s="15">
        <f>SUM($Q$236:$R$236)</f>
        <v>0</v>
      </c>
      <c r="U236" s="15">
        <f>$S$236+$T$236</f>
        <v>0</v>
      </c>
    </row>
    <row r="237" spans="1:21" x14ac:dyDescent="0.3">
      <c r="A237" s="10" t="s">
        <v>873</v>
      </c>
      <c r="B237" s="11" t="s">
        <v>874</v>
      </c>
      <c r="C237" s="11"/>
      <c r="D237" s="11" t="s">
        <v>875</v>
      </c>
      <c r="E237" s="11">
        <f xml:space="preserve"> IF($U$237,1,0)</f>
        <v>0</v>
      </c>
      <c r="F237" s="11" t="s">
        <v>876</v>
      </c>
      <c r="G237" s="11">
        <v>0</v>
      </c>
      <c r="H237" s="11">
        <v>0</v>
      </c>
      <c r="I237" s="11">
        <v>0</v>
      </c>
      <c r="J237" s="11">
        <v>0</v>
      </c>
      <c r="K237" s="11">
        <v>0</v>
      </c>
      <c r="L237" s="11">
        <v>0</v>
      </c>
      <c r="M237" s="11">
        <v>0</v>
      </c>
      <c r="N237" s="11">
        <v>0</v>
      </c>
      <c r="O237" s="11">
        <v>0</v>
      </c>
      <c r="P237" s="11">
        <v>0</v>
      </c>
      <c r="Q237" s="12"/>
      <c r="R237" s="12"/>
      <c r="S237" s="12">
        <f>$G$237*$G$8+$H$237*$H$8+$I$237*$I$8+$J$237*$J$8+$K$237*$K$8+$L$237*$L$8+$M$237*$M$8+$N$237*$N$8+$O$237*$O$8+$P$237*$P$8</f>
        <v>0</v>
      </c>
      <c r="T237" s="12">
        <f>SUM($Q$237:$R$237)</f>
        <v>0</v>
      </c>
      <c r="U237" s="12">
        <f>$S$237+$T$237</f>
        <v>0</v>
      </c>
    </row>
    <row r="238" spans="1:21" x14ac:dyDescent="0.3">
      <c r="A238" s="13" t="s">
        <v>877</v>
      </c>
      <c r="B238" s="14" t="s">
        <v>878</v>
      </c>
      <c r="C238" s="14"/>
      <c r="D238" s="14" t="s">
        <v>879</v>
      </c>
      <c r="E238" s="14">
        <f xml:space="preserve"> IF($U$238,1,0)</f>
        <v>0</v>
      </c>
      <c r="F238" s="14" t="s">
        <v>880</v>
      </c>
      <c r="G238" s="14">
        <v>0</v>
      </c>
      <c r="H238" s="14">
        <v>0</v>
      </c>
      <c r="I238" s="14">
        <v>0</v>
      </c>
      <c r="J238" s="14">
        <v>0</v>
      </c>
      <c r="K238" s="14">
        <v>0</v>
      </c>
      <c r="L238" s="14">
        <v>0</v>
      </c>
      <c r="M238" s="14">
        <v>0</v>
      </c>
      <c r="N238" s="14">
        <v>0</v>
      </c>
      <c r="O238" s="14">
        <v>0</v>
      </c>
      <c r="P238" s="14">
        <v>0</v>
      </c>
      <c r="Q238" s="15"/>
      <c r="R238" s="15"/>
      <c r="S238" s="15">
        <f>$G$238*$G$8+$H$238*$H$8+$I$238*$I$8+$J$238*$J$8+$K$238*$K$8+$L$238*$L$8+$M$238*$M$8+$N$238*$N$8+$O$238*$O$8+$P$238*$P$8</f>
        <v>0</v>
      </c>
      <c r="T238" s="15">
        <f>SUM($Q$238:$R$238)</f>
        <v>0</v>
      </c>
      <c r="U238" s="15">
        <f>$S$238+$T$238</f>
        <v>0</v>
      </c>
    </row>
    <row r="239" spans="1:21" x14ac:dyDescent="0.3">
      <c r="A239" s="10" t="s">
        <v>881</v>
      </c>
      <c r="B239" s="11" t="s">
        <v>882</v>
      </c>
      <c r="C239" s="11"/>
      <c r="D239" s="11" t="s">
        <v>883</v>
      </c>
      <c r="E239" s="11">
        <f xml:space="preserve"> IF($U$239,1,0)</f>
        <v>0</v>
      </c>
      <c r="F239" s="11" t="s">
        <v>884</v>
      </c>
      <c r="G239" s="11">
        <v>0</v>
      </c>
      <c r="H239" s="11">
        <v>0</v>
      </c>
      <c r="I239" s="11">
        <v>0</v>
      </c>
      <c r="J239" s="11">
        <v>0</v>
      </c>
      <c r="K239" s="11">
        <v>0</v>
      </c>
      <c r="L239" s="11">
        <v>0</v>
      </c>
      <c r="M239" s="11">
        <v>0</v>
      </c>
      <c r="N239" s="11">
        <v>0</v>
      </c>
      <c r="O239" s="11">
        <v>0</v>
      </c>
      <c r="P239" s="11">
        <v>0</v>
      </c>
      <c r="Q239" s="12"/>
      <c r="R239" s="12"/>
      <c r="S239" s="12">
        <f>$G$239*$G$8+$H$239*$H$8+$I$239*$I$8+$J$239*$J$8+$K$239*$K$8+$L$239*$L$8+$M$239*$M$8+$N$239*$N$8+$O$239*$O$8+$P$239*$P$8</f>
        <v>0</v>
      </c>
      <c r="T239" s="12">
        <f>SUM($Q$239:$R$239)</f>
        <v>0</v>
      </c>
      <c r="U239" s="12">
        <f>$S$239+$T$239</f>
        <v>0</v>
      </c>
    </row>
    <row r="240" spans="1:21" x14ac:dyDescent="0.3">
      <c r="A240" s="13" t="s">
        <v>885</v>
      </c>
      <c r="B240" s="14" t="s">
        <v>886</v>
      </c>
      <c r="C240" s="14" t="s">
        <v>887</v>
      </c>
      <c r="D240" s="14" t="s">
        <v>888</v>
      </c>
      <c r="E240" s="14">
        <f xml:space="preserve"> IF($U$240,1,0)</f>
        <v>0</v>
      </c>
      <c r="F240" s="14" t="s">
        <v>889</v>
      </c>
      <c r="G240" s="14">
        <v>0</v>
      </c>
      <c r="H240" s="14">
        <v>0</v>
      </c>
      <c r="I240" s="14">
        <v>0</v>
      </c>
      <c r="J240" s="14">
        <v>0</v>
      </c>
      <c r="K240" s="14">
        <v>0</v>
      </c>
      <c r="L240" s="14">
        <v>0</v>
      </c>
      <c r="M240" s="14">
        <v>0</v>
      </c>
      <c r="N240" s="14">
        <v>0</v>
      </c>
      <c r="O240" s="14">
        <v>0</v>
      </c>
      <c r="P240" s="14">
        <v>0</v>
      </c>
      <c r="Q240" s="15"/>
      <c r="R240" s="15"/>
      <c r="S240" s="15">
        <f>$G$240*$G$8+$H$240*$H$8+$I$240*$I$8+$J$240*$J$8+$K$240*$K$8+$L$240*$L$8+$M$240*$M$8+$N$240*$N$8+$O$240*$O$8+$P$240*$P$8</f>
        <v>0</v>
      </c>
      <c r="T240" s="15">
        <f>SUM($Q$240:$R$240)</f>
        <v>0</v>
      </c>
      <c r="U240" s="15">
        <f>$S$240+$T$240</f>
        <v>0</v>
      </c>
    </row>
    <row r="241" spans="1:21" x14ac:dyDescent="0.3">
      <c r="A241" s="10" t="s">
        <v>890</v>
      </c>
      <c r="B241" s="11" t="s">
        <v>886</v>
      </c>
      <c r="C241" s="11"/>
      <c r="D241" s="11" t="s">
        <v>891</v>
      </c>
      <c r="E241" s="11">
        <f xml:space="preserve"> IF($U$241,1,0)</f>
        <v>0</v>
      </c>
      <c r="F241" s="11" t="s">
        <v>892</v>
      </c>
      <c r="G241" s="11">
        <v>0</v>
      </c>
      <c r="H241" s="11">
        <v>0</v>
      </c>
      <c r="I241" s="11">
        <v>0</v>
      </c>
      <c r="J241" s="11">
        <v>0</v>
      </c>
      <c r="K241" s="11">
        <v>0</v>
      </c>
      <c r="L241" s="11">
        <v>0</v>
      </c>
      <c r="M241" s="11">
        <v>0</v>
      </c>
      <c r="N241" s="11">
        <v>0</v>
      </c>
      <c r="O241" s="11">
        <v>0</v>
      </c>
      <c r="P241" s="11">
        <v>0</v>
      </c>
      <c r="Q241" s="12"/>
      <c r="R241" s="12"/>
      <c r="S241" s="12">
        <f>$G$241*$G$8+$H$241*$H$8+$I$241*$I$8+$J$241*$J$8+$K$241*$K$8+$L$241*$L$8+$M$241*$M$8+$N$241*$N$8+$O$241*$O$8+$P$241*$P$8</f>
        <v>0</v>
      </c>
      <c r="T241" s="12">
        <f>SUM($Q$241:$R$241)</f>
        <v>0</v>
      </c>
      <c r="U241" s="12">
        <f>$S$241+$T$241</f>
        <v>0</v>
      </c>
    </row>
    <row r="242" spans="1:21" x14ac:dyDescent="0.3">
      <c r="A242" s="13" t="s">
        <v>893</v>
      </c>
      <c r="B242" s="14" t="s">
        <v>894</v>
      </c>
      <c r="C242" s="14"/>
      <c r="D242" s="14" t="s">
        <v>895</v>
      </c>
      <c r="E242" s="14">
        <f xml:space="preserve"> IF($U$242,1,0)</f>
        <v>0</v>
      </c>
      <c r="F242" s="14" t="s">
        <v>896</v>
      </c>
      <c r="G242" s="14">
        <v>0</v>
      </c>
      <c r="H242" s="14">
        <v>0</v>
      </c>
      <c r="I242" s="14">
        <v>0</v>
      </c>
      <c r="J242" s="14">
        <v>0</v>
      </c>
      <c r="K242" s="14">
        <v>0</v>
      </c>
      <c r="L242" s="14">
        <v>0</v>
      </c>
      <c r="M242" s="14">
        <v>0</v>
      </c>
      <c r="N242" s="14">
        <v>0</v>
      </c>
      <c r="O242" s="14">
        <v>0</v>
      </c>
      <c r="P242" s="14">
        <v>0</v>
      </c>
      <c r="Q242" s="15"/>
      <c r="R242" s="15"/>
      <c r="S242" s="15">
        <f>$G$242*$G$8+$H$242*$H$8+$I$242*$I$8+$J$242*$J$8+$K$242*$K$8+$L$242*$L$8+$M$242*$M$8+$N$242*$N$8+$O$242*$O$8+$P$242*$P$8</f>
        <v>0</v>
      </c>
      <c r="T242" s="15">
        <f>SUM($Q$242:$R$242)</f>
        <v>0</v>
      </c>
      <c r="U242" s="15">
        <f>$S$242+$T$242</f>
        <v>0</v>
      </c>
    </row>
    <row r="243" spans="1:21" x14ac:dyDescent="0.3">
      <c r="A243" s="10" t="s">
        <v>1290</v>
      </c>
      <c r="B243" s="11" t="s">
        <v>1291</v>
      </c>
      <c r="C243" s="11"/>
      <c r="D243" s="11" t="s">
        <v>1292</v>
      </c>
      <c r="E243" s="11">
        <f xml:space="preserve"> IF($U$243,1,0)</f>
        <v>0</v>
      </c>
      <c r="F243" s="11" t="s">
        <v>1293</v>
      </c>
      <c r="G243" s="11">
        <v>0</v>
      </c>
      <c r="H243" s="11">
        <v>0</v>
      </c>
      <c r="I243" s="11">
        <v>0</v>
      </c>
      <c r="J243" s="11">
        <v>0</v>
      </c>
      <c r="K243" s="11">
        <v>0</v>
      </c>
      <c r="L243" s="11">
        <v>0</v>
      </c>
      <c r="M243" s="11">
        <v>0</v>
      </c>
      <c r="N243" s="11">
        <v>0</v>
      </c>
      <c r="O243" s="11">
        <v>0</v>
      </c>
      <c r="P243" s="11">
        <v>0</v>
      </c>
      <c r="Q243" s="12"/>
      <c r="R243" s="12"/>
      <c r="S243" s="12">
        <f>$G$243*$G$8+$H$243*$H$8+$I$243*$I$8+$J$243*$J$8+$K$243*$K$8+$L$243*$L$8+$M$243*$M$8+$N$243*$N$8+$O$243*$O$8+$P$243*$P$8</f>
        <v>0</v>
      </c>
      <c r="T243" s="12">
        <f>SUM($Q$243:$R$243)</f>
        <v>0</v>
      </c>
      <c r="U243" s="12">
        <f>$S$243+$T$243</f>
        <v>0</v>
      </c>
    </row>
    <row r="244" spans="1:21" x14ac:dyDescent="0.3">
      <c r="A244" s="13" t="s">
        <v>897</v>
      </c>
      <c r="B244" s="14" t="s">
        <v>898</v>
      </c>
      <c r="C244" s="14"/>
      <c r="D244" s="14" t="s">
        <v>899</v>
      </c>
      <c r="E244" s="14">
        <f xml:space="preserve"> IF($U$244,1,0)</f>
        <v>0</v>
      </c>
      <c r="F244" s="14" t="s">
        <v>900</v>
      </c>
      <c r="G244" s="14">
        <v>0</v>
      </c>
      <c r="H244" s="14">
        <v>0</v>
      </c>
      <c r="I244" s="14">
        <v>0</v>
      </c>
      <c r="J244" s="14">
        <v>0</v>
      </c>
      <c r="K244" s="14">
        <v>0</v>
      </c>
      <c r="L244" s="14">
        <v>0</v>
      </c>
      <c r="M244" s="14">
        <v>0</v>
      </c>
      <c r="N244" s="14">
        <v>0</v>
      </c>
      <c r="O244" s="14">
        <v>0</v>
      </c>
      <c r="P244" s="14">
        <v>0</v>
      </c>
      <c r="Q244" s="15"/>
      <c r="R244" s="15"/>
      <c r="S244" s="15">
        <f>$G$244*$G$8+$H$244*$H$8+$I$244*$I$8+$J$244*$J$8+$K$244*$K$8+$L$244*$L$8+$M$244*$M$8+$N$244*$N$8+$O$244*$O$8+$P$244*$P$8</f>
        <v>0</v>
      </c>
      <c r="T244" s="15">
        <f>SUM($Q$244:$R$244)</f>
        <v>0</v>
      </c>
      <c r="U244" s="15">
        <f>$S$244+$T$244</f>
        <v>0</v>
      </c>
    </row>
    <row r="245" spans="1:21" x14ac:dyDescent="0.3">
      <c r="A245" s="10" t="s">
        <v>901</v>
      </c>
      <c r="B245" s="11" t="s">
        <v>902</v>
      </c>
      <c r="C245" s="11"/>
      <c r="D245" s="11" t="s">
        <v>903</v>
      </c>
      <c r="E245" s="11">
        <f xml:space="preserve"> IF($U$245,1,0)</f>
        <v>0</v>
      </c>
      <c r="F245" s="11" t="s">
        <v>904</v>
      </c>
      <c r="G245" s="11">
        <v>0</v>
      </c>
      <c r="H245" s="11">
        <v>0</v>
      </c>
      <c r="I245" s="11">
        <v>0</v>
      </c>
      <c r="J245" s="11">
        <v>0</v>
      </c>
      <c r="K245" s="11">
        <v>0</v>
      </c>
      <c r="L245" s="11">
        <v>0</v>
      </c>
      <c r="M245" s="11">
        <v>0</v>
      </c>
      <c r="N245" s="11">
        <v>0</v>
      </c>
      <c r="O245" s="11">
        <v>0</v>
      </c>
      <c r="P245" s="11">
        <v>0</v>
      </c>
      <c r="Q245" s="12"/>
      <c r="R245" s="12"/>
      <c r="S245" s="12">
        <f>$G$245*$G$8+$H$245*$H$8+$I$245*$I$8+$J$245*$J$8+$K$245*$K$8+$L$245*$L$8+$M$245*$M$8+$N$245*$N$8+$O$245*$O$8+$P$245*$P$8</f>
        <v>0</v>
      </c>
      <c r="T245" s="12">
        <f>SUM($Q$245:$R$245)</f>
        <v>0</v>
      </c>
      <c r="U245" s="12">
        <f>$S$245+$T$245</f>
        <v>0</v>
      </c>
    </row>
    <row r="246" spans="1:21" x14ac:dyDescent="0.3">
      <c r="A246" s="13" t="s">
        <v>905</v>
      </c>
      <c r="B246" s="14" t="s">
        <v>906</v>
      </c>
      <c r="C246" s="14" t="s">
        <v>283</v>
      </c>
      <c r="D246" s="14" t="s">
        <v>296</v>
      </c>
      <c r="E246" s="14">
        <f xml:space="preserve"> IF($U$246,1,0)</f>
        <v>0</v>
      </c>
      <c r="F246" s="14" t="s">
        <v>907</v>
      </c>
      <c r="G246" s="14">
        <v>0</v>
      </c>
      <c r="H246" s="14">
        <v>0</v>
      </c>
      <c r="I246" s="14">
        <v>0</v>
      </c>
      <c r="J246" s="14">
        <v>0</v>
      </c>
      <c r="K246" s="14">
        <v>0</v>
      </c>
      <c r="L246" s="14">
        <v>0</v>
      </c>
      <c r="M246" s="14">
        <v>0</v>
      </c>
      <c r="N246" s="14">
        <v>0</v>
      </c>
      <c r="O246" s="14">
        <v>0</v>
      </c>
      <c r="P246" s="14">
        <v>0</v>
      </c>
      <c r="Q246" s="15"/>
      <c r="R246" s="15"/>
      <c r="S246" s="15">
        <f>$G$246*$G$8+$H$246*$H$8+$I$246*$I$8+$J$246*$J$8+$K$246*$K$8+$L$246*$L$8+$M$246*$M$8+$N$246*$N$8+$O$246*$O$8+$P$246*$P$8</f>
        <v>0</v>
      </c>
      <c r="T246" s="15">
        <f>SUM($Q$246:$R$246)</f>
        <v>0</v>
      </c>
      <c r="U246" s="15">
        <f>$S$246+$T$246</f>
        <v>0</v>
      </c>
    </row>
    <row r="247" spans="1:21" x14ac:dyDescent="0.3">
      <c r="A247" s="10" t="s">
        <v>908</v>
      </c>
      <c r="B247" s="11" t="s">
        <v>909</v>
      </c>
      <c r="C247" s="11"/>
      <c r="D247" s="11" t="s">
        <v>910</v>
      </c>
      <c r="E247" s="11">
        <f xml:space="preserve"> IF($U$247,1,0)</f>
        <v>0</v>
      </c>
      <c r="F247" s="11" t="s">
        <v>911</v>
      </c>
      <c r="G247" s="11">
        <v>0</v>
      </c>
      <c r="H247" s="11">
        <v>0</v>
      </c>
      <c r="I247" s="11">
        <v>0</v>
      </c>
      <c r="J247" s="11">
        <v>0</v>
      </c>
      <c r="K247" s="11">
        <v>0</v>
      </c>
      <c r="L247" s="11">
        <v>0</v>
      </c>
      <c r="M247" s="11">
        <v>0</v>
      </c>
      <c r="N247" s="11">
        <v>0</v>
      </c>
      <c r="O247" s="11">
        <v>0</v>
      </c>
      <c r="P247" s="11">
        <v>0</v>
      </c>
      <c r="Q247" s="12"/>
      <c r="R247" s="12"/>
      <c r="S247" s="12">
        <f>$G$247*$G$8+$H$247*$H$8+$I$247*$I$8+$J$247*$J$8+$K$247*$K$8+$L$247*$L$8+$M$247*$M$8+$N$247*$N$8+$O$247*$O$8+$P$247*$P$8</f>
        <v>0</v>
      </c>
      <c r="T247" s="12">
        <f>SUM($Q$247:$R$247)</f>
        <v>0</v>
      </c>
      <c r="U247" s="12">
        <f>$S$247+$T$247</f>
        <v>0</v>
      </c>
    </row>
    <row r="248" spans="1:21" x14ac:dyDescent="0.3">
      <c r="A248" s="13" t="s">
        <v>912</v>
      </c>
      <c r="B248" s="14" t="s">
        <v>913</v>
      </c>
      <c r="C248" s="14" t="s">
        <v>65</v>
      </c>
      <c r="D248" s="14" t="s">
        <v>914</v>
      </c>
      <c r="E248" s="14">
        <f xml:space="preserve"> IF($U$248,1,0)</f>
        <v>0</v>
      </c>
      <c r="F248" s="14" t="s">
        <v>915</v>
      </c>
      <c r="G248" s="14">
        <v>0</v>
      </c>
      <c r="H248" s="14">
        <v>0</v>
      </c>
      <c r="I248" s="14">
        <v>0</v>
      </c>
      <c r="J248" s="14">
        <v>0</v>
      </c>
      <c r="K248" s="14">
        <v>0</v>
      </c>
      <c r="L248" s="14">
        <v>0</v>
      </c>
      <c r="M248" s="14">
        <v>0</v>
      </c>
      <c r="N248" s="14">
        <v>0</v>
      </c>
      <c r="O248" s="14">
        <v>0</v>
      </c>
      <c r="P248" s="14">
        <v>0</v>
      </c>
      <c r="Q248" s="15"/>
      <c r="R248" s="15"/>
      <c r="S248" s="15">
        <f>$G$248*$G$8+$H$248*$H$8+$I$248*$I$8+$J$248*$J$8+$K$248*$K$8+$L$248*$L$8+$M$248*$M$8+$N$248*$N$8+$O$248*$O$8+$P$248*$P$8</f>
        <v>0</v>
      </c>
      <c r="T248" s="15">
        <f>SUM($Q$248:$R$248)</f>
        <v>0</v>
      </c>
      <c r="U248" s="15">
        <f>$S$248+$T$248</f>
        <v>0</v>
      </c>
    </row>
    <row r="249" spans="1:21" x14ac:dyDescent="0.3">
      <c r="A249" s="10" t="s">
        <v>916</v>
      </c>
      <c r="B249" s="11" t="s">
        <v>917</v>
      </c>
      <c r="C249" s="11"/>
      <c r="D249" s="11" t="s">
        <v>918</v>
      </c>
      <c r="E249" s="11">
        <f xml:space="preserve"> IF($U$249,1,0)</f>
        <v>0</v>
      </c>
      <c r="F249" s="11" t="s">
        <v>919</v>
      </c>
      <c r="G249" s="11">
        <v>0</v>
      </c>
      <c r="H249" s="11">
        <v>0</v>
      </c>
      <c r="I249" s="11">
        <v>0</v>
      </c>
      <c r="J249" s="11">
        <v>0</v>
      </c>
      <c r="K249" s="11">
        <v>0</v>
      </c>
      <c r="L249" s="11">
        <v>0</v>
      </c>
      <c r="M249" s="11">
        <v>0</v>
      </c>
      <c r="N249" s="11">
        <v>0</v>
      </c>
      <c r="O249" s="11">
        <v>0</v>
      </c>
      <c r="P249" s="11">
        <v>0</v>
      </c>
      <c r="Q249" s="12"/>
      <c r="R249" s="12"/>
      <c r="S249" s="12">
        <f>$G$249*$G$8+$H$249*$H$8+$I$249*$I$8+$J$249*$J$8+$K$249*$K$8+$L$249*$L$8+$M$249*$M$8+$N$249*$N$8+$O$249*$O$8+$P$249*$P$8</f>
        <v>0</v>
      </c>
      <c r="T249" s="12">
        <f>SUM($Q$249:$R$249)</f>
        <v>0</v>
      </c>
      <c r="U249" s="12">
        <f>$S$249+$T$249</f>
        <v>0</v>
      </c>
    </row>
    <row r="250" spans="1:21" x14ac:dyDescent="0.3">
      <c r="A250" s="13" t="s">
        <v>920</v>
      </c>
      <c r="B250" s="14" t="s">
        <v>917</v>
      </c>
      <c r="C250" s="14"/>
      <c r="D250" s="14" t="s">
        <v>921</v>
      </c>
      <c r="E250" s="14">
        <f xml:space="preserve"> IF($U$250,1,0)</f>
        <v>0</v>
      </c>
      <c r="F250" s="14" t="s">
        <v>922</v>
      </c>
      <c r="G250" s="14">
        <v>0</v>
      </c>
      <c r="H250" s="14">
        <v>0</v>
      </c>
      <c r="I250" s="14">
        <v>0</v>
      </c>
      <c r="J250" s="14">
        <v>0</v>
      </c>
      <c r="K250" s="14">
        <v>0</v>
      </c>
      <c r="L250" s="14">
        <v>0</v>
      </c>
      <c r="M250" s="14">
        <v>0</v>
      </c>
      <c r="N250" s="14">
        <v>0</v>
      </c>
      <c r="O250" s="14">
        <v>0</v>
      </c>
      <c r="P250" s="14">
        <v>0</v>
      </c>
      <c r="Q250" s="15"/>
      <c r="R250" s="15"/>
      <c r="S250" s="15">
        <f>$G$250*$G$8+$H$250*$H$8+$I$250*$I$8+$J$250*$J$8+$K$250*$K$8+$L$250*$L$8+$M$250*$M$8+$N$250*$N$8+$O$250*$O$8+$P$250*$P$8</f>
        <v>0</v>
      </c>
      <c r="T250" s="15">
        <f>SUM($Q$250:$R$250)</f>
        <v>0</v>
      </c>
      <c r="U250" s="15">
        <f>$S$250+$T$250</f>
        <v>0</v>
      </c>
    </row>
    <row r="251" spans="1:21" x14ac:dyDescent="0.3">
      <c r="A251" s="10" t="s">
        <v>923</v>
      </c>
      <c r="B251" s="11" t="s">
        <v>917</v>
      </c>
      <c r="C251" s="11" t="s">
        <v>34</v>
      </c>
      <c r="D251" s="11" t="s">
        <v>924</v>
      </c>
      <c r="E251" s="11">
        <f xml:space="preserve"> IF($U$251,1,0)</f>
        <v>0</v>
      </c>
      <c r="F251" s="11" t="s">
        <v>925</v>
      </c>
      <c r="G251" s="11">
        <v>0</v>
      </c>
      <c r="H251" s="11">
        <v>0</v>
      </c>
      <c r="I251" s="11">
        <v>0</v>
      </c>
      <c r="J251" s="11">
        <v>0</v>
      </c>
      <c r="K251" s="11">
        <v>0</v>
      </c>
      <c r="L251" s="11">
        <v>0</v>
      </c>
      <c r="M251" s="11">
        <v>0</v>
      </c>
      <c r="N251" s="11">
        <v>0</v>
      </c>
      <c r="O251" s="11">
        <v>0</v>
      </c>
      <c r="P251" s="11">
        <v>0</v>
      </c>
      <c r="Q251" s="12"/>
      <c r="R251" s="12"/>
      <c r="S251" s="12">
        <f>$G$251*$G$8+$H$251*$H$8+$I$251*$I$8+$J$251*$J$8+$K$251*$K$8+$L$251*$L$8+$M$251*$M$8+$N$251*$N$8+$O$251*$O$8+$P$251*$P$8</f>
        <v>0</v>
      </c>
      <c r="T251" s="12">
        <f>SUM($Q$251:$R$251)</f>
        <v>0</v>
      </c>
      <c r="U251" s="12">
        <f>$S$251+$T$251</f>
        <v>0</v>
      </c>
    </row>
    <row r="252" spans="1:21" x14ac:dyDescent="0.3">
      <c r="A252" s="13" t="s">
        <v>926</v>
      </c>
      <c r="B252" s="14" t="s">
        <v>927</v>
      </c>
      <c r="C252" s="14"/>
      <c r="D252" s="14" t="s">
        <v>928</v>
      </c>
      <c r="E252" s="14">
        <f xml:space="preserve"> IF($U$252,1,0)</f>
        <v>0</v>
      </c>
      <c r="F252" s="14" t="s">
        <v>929</v>
      </c>
      <c r="G252" s="14">
        <v>0</v>
      </c>
      <c r="H252" s="14">
        <v>0</v>
      </c>
      <c r="I252" s="14">
        <v>0</v>
      </c>
      <c r="J252" s="14">
        <v>0</v>
      </c>
      <c r="K252" s="14">
        <v>0</v>
      </c>
      <c r="L252" s="14">
        <v>0</v>
      </c>
      <c r="M252" s="14">
        <v>0</v>
      </c>
      <c r="N252" s="14">
        <v>0</v>
      </c>
      <c r="O252" s="14">
        <v>0</v>
      </c>
      <c r="P252" s="14">
        <v>0</v>
      </c>
      <c r="Q252" s="15"/>
      <c r="R252" s="15"/>
      <c r="S252" s="15">
        <f>$G$252*$G$8+$H$252*$H$8+$I$252*$I$8+$J$252*$J$8+$K$252*$K$8+$L$252*$L$8+$M$252*$M$8+$N$252*$N$8+$O$252*$O$8+$P$252*$P$8</f>
        <v>0</v>
      </c>
      <c r="T252" s="15">
        <f>SUM($Q$252:$R$252)</f>
        <v>0</v>
      </c>
      <c r="U252" s="15">
        <f>$S$252+$T$252</f>
        <v>0</v>
      </c>
    </row>
    <row r="253" spans="1:21" x14ac:dyDescent="0.3">
      <c r="A253" s="10" t="s">
        <v>930</v>
      </c>
      <c r="B253" s="11" t="s">
        <v>931</v>
      </c>
      <c r="C253" s="11"/>
      <c r="D253" s="11" t="s">
        <v>932</v>
      </c>
      <c r="E253" s="11">
        <f xml:space="preserve"> IF($U$253,1,0)</f>
        <v>0</v>
      </c>
      <c r="F253" s="11" t="s">
        <v>933</v>
      </c>
      <c r="G253" s="11">
        <v>0</v>
      </c>
      <c r="H253" s="11">
        <v>0</v>
      </c>
      <c r="I253" s="11">
        <v>0</v>
      </c>
      <c r="J253" s="11">
        <v>0</v>
      </c>
      <c r="K253" s="11">
        <v>0</v>
      </c>
      <c r="L253" s="11">
        <v>0</v>
      </c>
      <c r="M253" s="11">
        <v>0</v>
      </c>
      <c r="N253" s="11">
        <v>0</v>
      </c>
      <c r="O253" s="11">
        <v>0</v>
      </c>
      <c r="P253" s="11">
        <v>0</v>
      </c>
      <c r="Q253" s="12"/>
      <c r="R253" s="12"/>
      <c r="S253" s="12">
        <f>$G$253*$G$8+$H$253*$H$8+$I$253*$I$8+$J$253*$J$8+$K$253*$K$8+$L$253*$L$8+$M$253*$M$8+$N$253*$N$8+$O$253*$O$8+$P$253*$P$8</f>
        <v>0</v>
      </c>
      <c r="T253" s="12">
        <f>SUM($Q$253:$R$253)</f>
        <v>0</v>
      </c>
      <c r="U253" s="12">
        <f>$S$253+$T$253</f>
        <v>0</v>
      </c>
    </row>
    <row r="254" spans="1:21" x14ac:dyDescent="0.3">
      <c r="A254" s="13" t="s">
        <v>934</v>
      </c>
      <c r="B254" s="14" t="s">
        <v>935</v>
      </c>
      <c r="C254" s="14"/>
      <c r="D254" s="14" t="s">
        <v>936</v>
      </c>
      <c r="E254" s="14">
        <f xml:space="preserve"> IF($U$254,1,0)</f>
        <v>0</v>
      </c>
      <c r="F254" s="14" t="s">
        <v>937</v>
      </c>
      <c r="G254" s="14">
        <v>0</v>
      </c>
      <c r="H254" s="14">
        <v>0</v>
      </c>
      <c r="I254" s="14">
        <v>0</v>
      </c>
      <c r="J254" s="14">
        <v>0</v>
      </c>
      <c r="K254" s="14">
        <v>0</v>
      </c>
      <c r="L254" s="14">
        <v>0</v>
      </c>
      <c r="M254" s="14">
        <v>0</v>
      </c>
      <c r="N254" s="14">
        <v>0</v>
      </c>
      <c r="O254" s="14">
        <v>0</v>
      </c>
      <c r="P254" s="14">
        <v>0</v>
      </c>
      <c r="Q254" s="15"/>
      <c r="R254" s="15"/>
      <c r="S254" s="15">
        <f>$G$254*$G$8+$H$254*$H$8+$I$254*$I$8+$J$254*$J$8+$K$254*$K$8+$L$254*$L$8+$M$254*$M$8+$N$254*$N$8+$O$254*$O$8+$P$254*$P$8</f>
        <v>0</v>
      </c>
      <c r="T254" s="15">
        <f>SUM($Q$254:$R$254)</f>
        <v>0</v>
      </c>
      <c r="U254" s="15">
        <f>$S$254+$T$254</f>
        <v>0</v>
      </c>
    </row>
    <row r="255" spans="1:21" x14ac:dyDescent="0.3">
      <c r="A255" s="10" t="s">
        <v>938</v>
      </c>
      <c r="B255" s="11" t="s">
        <v>939</v>
      </c>
      <c r="C255" s="11"/>
      <c r="D255" s="11" t="s">
        <v>940</v>
      </c>
      <c r="E255" s="11">
        <f xml:space="preserve"> IF($U$255,1,0)</f>
        <v>0</v>
      </c>
      <c r="F255" s="11" t="s">
        <v>941</v>
      </c>
      <c r="G255" s="11">
        <v>0</v>
      </c>
      <c r="H255" s="11">
        <v>0</v>
      </c>
      <c r="I255" s="11">
        <v>0</v>
      </c>
      <c r="J255" s="11">
        <v>0</v>
      </c>
      <c r="K255" s="11">
        <v>0</v>
      </c>
      <c r="L255" s="11">
        <v>0</v>
      </c>
      <c r="M255" s="11">
        <v>0</v>
      </c>
      <c r="N255" s="11">
        <v>0</v>
      </c>
      <c r="O255" s="11">
        <v>0</v>
      </c>
      <c r="P255" s="11">
        <v>0</v>
      </c>
      <c r="Q255" s="12"/>
      <c r="R255" s="12"/>
      <c r="S255" s="12">
        <f>$G$255*$G$8+$H$255*$H$8+$I$255*$I$8+$J$255*$J$8+$K$255*$K$8+$L$255*$L$8+$M$255*$M$8+$N$255*$N$8+$O$255*$O$8+$P$255*$P$8</f>
        <v>0</v>
      </c>
      <c r="T255" s="12">
        <f>SUM($Q$255:$R$255)</f>
        <v>0</v>
      </c>
      <c r="U255" s="12">
        <f>$S$255+$T$255</f>
        <v>0</v>
      </c>
    </row>
    <row r="256" spans="1:21" x14ac:dyDescent="0.3">
      <c r="A256" s="13" t="s">
        <v>942</v>
      </c>
      <c r="B256" s="14" t="s">
        <v>943</v>
      </c>
      <c r="C256" s="14"/>
      <c r="D256" s="14" t="s">
        <v>944</v>
      </c>
      <c r="E256" s="14">
        <f xml:space="preserve"> IF($U$256,1,0)</f>
        <v>0</v>
      </c>
      <c r="F256" s="14" t="s">
        <v>945</v>
      </c>
      <c r="G256" s="14">
        <v>0</v>
      </c>
      <c r="H256" s="14">
        <v>0</v>
      </c>
      <c r="I256" s="14">
        <v>0</v>
      </c>
      <c r="J256" s="14">
        <v>0</v>
      </c>
      <c r="K256" s="14">
        <v>0</v>
      </c>
      <c r="L256" s="14">
        <v>0</v>
      </c>
      <c r="M256" s="14">
        <v>0</v>
      </c>
      <c r="N256" s="14">
        <v>0</v>
      </c>
      <c r="O256" s="14">
        <v>0</v>
      </c>
      <c r="P256" s="14">
        <v>0</v>
      </c>
      <c r="Q256" s="15"/>
      <c r="R256" s="15"/>
      <c r="S256" s="15">
        <f>$G$256*$G$8+$H$256*$H$8+$I$256*$I$8+$J$256*$J$8+$K$256*$K$8+$L$256*$L$8+$M$256*$M$8+$N$256*$N$8+$O$256*$O$8+$P$256*$P$8</f>
        <v>0</v>
      </c>
      <c r="T256" s="15">
        <f>SUM($Q$256:$R$256)</f>
        <v>0</v>
      </c>
      <c r="U256" s="15">
        <f>$S$256+$T$256</f>
        <v>0</v>
      </c>
    </row>
    <row r="257" spans="1:21" x14ac:dyDescent="0.3">
      <c r="A257" s="10" t="s">
        <v>946</v>
      </c>
      <c r="B257" s="11" t="s">
        <v>947</v>
      </c>
      <c r="C257" s="11"/>
      <c r="D257" s="11" t="s">
        <v>948</v>
      </c>
      <c r="E257" s="11">
        <f xml:space="preserve"> IF($U$257,1,0)</f>
        <v>0</v>
      </c>
      <c r="F257" s="11" t="s">
        <v>949</v>
      </c>
      <c r="G257" s="11">
        <v>0</v>
      </c>
      <c r="H257" s="11">
        <v>0</v>
      </c>
      <c r="I257" s="11">
        <v>0</v>
      </c>
      <c r="J257" s="11">
        <v>0</v>
      </c>
      <c r="K257" s="11">
        <v>0</v>
      </c>
      <c r="L257" s="11">
        <v>0</v>
      </c>
      <c r="M257" s="11">
        <v>0</v>
      </c>
      <c r="N257" s="11">
        <v>0</v>
      </c>
      <c r="O257" s="11">
        <v>0</v>
      </c>
      <c r="P257" s="11">
        <v>0</v>
      </c>
      <c r="Q257" s="12"/>
      <c r="R257" s="12"/>
      <c r="S257" s="12">
        <f>$G$257*$G$8+$H$257*$H$8+$I$257*$I$8+$J$257*$J$8+$K$257*$K$8+$L$257*$L$8+$M$257*$M$8+$N$257*$N$8+$O$257*$O$8+$P$257*$P$8</f>
        <v>0</v>
      </c>
      <c r="T257" s="12">
        <f>SUM($Q$257:$R$257)</f>
        <v>0</v>
      </c>
      <c r="U257" s="12">
        <f>$S$257+$T$257</f>
        <v>0</v>
      </c>
    </row>
    <row r="258" spans="1:21" x14ac:dyDescent="0.3">
      <c r="A258" s="13" t="s">
        <v>950</v>
      </c>
      <c r="B258" s="14" t="s">
        <v>951</v>
      </c>
      <c r="C258" s="14" t="s">
        <v>34</v>
      </c>
      <c r="D258" s="14" t="s">
        <v>118</v>
      </c>
      <c r="E258" s="14">
        <f xml:space="preserve"> IF($U$258,1,0)</f>
        <v>0</v>
      </c>
      <c r="F258" s="14" t="s">
        <v>952</v>
      </c>
      <c r="G258" s="14">
        <v>0</v>
      </c>
      <c r="H258" s="14">
        <v>0</v>
      </c>
      <c r="I258" s="14">
        <v>0</v>
      </c>
      <c r="J258" s="14">
        <v>0</v>
      </c>
      <c r="K258" s="14">
        <v>0</v>
      </c>
      <c r="L258" s="14">
        <v>0</v>
      </c>
      <c r="M258" s="14">
        <v>0</v>
      </c>
      <c r="N258" s="14">
        <v>0</v>
      </c>
      <c r="O258" s="14">
        <v>0</v>
      </c>
      <c r="P258" s="14">
        <v>0</v>
      </c>
      <c r="Q258" s="15"/>
      <c r="R258" s="15"/>
      <c r="S258" s="15">
        <f>$G$258*$G$8+$H$258*$H$8+$I$258*$I$8+$J$258*$J$8+$K$258*$K$8+$L$258*$L$8+$M$258*$M$8+$N$258*$N$8+$O$258*$O$8+$P$258*$P$8</f>
        <v>0</v>
      </c>
      <c r="T258" s="15">
        <f>SUM($Q$258:$R$258)</f>
        <v>0</v>
      </c>
      <c r="U258" s="15">
        <f>$S$258+$T$258</f>
        <v>0</v>
      </c>
    </row>
    <row r="259" spans="1:21" x14ac:dyDescent="0.3">
      <c r="A259" s="10" t="s">
        <v>953</v>
      </c>
      <c r="B259" s="11" t="s">
        <v>954</v>
      </c>
      <c r="C259" s="11"/>
      <c r="D259" s="11" t="s">
        <v>955</v>
      </c>
      <c r="E259" s="11">
        <f xml:space="preserve"> IF($U$259,1,0)</f>
        <v>0</v>
      </c>
      <c r="F259" s="11" t="s">
        <v>956</v>
      </c>
      <c r="G259" s="11">
        <v>0</v>
      </c>
      <c r="H259" s="11">
        <v>0</v>
      </c>
      <c r="I259" s="11">
        <v>0</v>
      </c>
      <c r="J259" s="11">
        <v>0</v>
      </c>
      <c r="K259" s="11">
        <v>0</v>
      </c>
      <c r="L259" s="11">
        <v>0</v>
      </c>
      <c r="M259" s="11">
        <v>0</v>
      </c>
      <c r="N259" s="11">
        <v>0</v>
      </c>
      <c r="O259" s="11">
        <v>0</v>
      </c>
      <c r="P259" s="11">
        <v>0</v>
      </c>
      <c r="Q259" s="12"/>
      <c r="R259" s="12"/>
      <c r="S259" s="12">
        <f>$G$259*$G$8+$H$259*$H$8+$I$259*$I$8+$J$259*$J$8+$K$259*$K$8+$L$259*$L$8+$M$259*$M$8+$N$259*$N$8+$O$259*$O$8+$P$259*$P$8</f>
        <v>0</v>
      </c>
      <c r="T259" s="12">
        <f>SUM($Q$259:$R$259)</f>
        <v>0</v>
      </c>
      <c r="U259" s="12">
        <f>$S$259+$T$259</f>
        <v>0</v>
      </c>
    </row>
    <row r="260" spans="1:21" x14ac:dyDescent="0.3">
      <c r="A260" s="13" t="s">
        <v>957</v>
      </c>
      <c r="B260" s="14" t="s">
        <v>958</v>
      </c>
      <c r="C260" s="14" t="s">
        <v>65</v>
      </c>
      <c r="D260" s="14" t="s">
        <v>959</v>
      </c>
      <c r="E260" s="14">
        <f xml:space="preserve"> IF($U$260,1,0)</f>
        <v>0</v>
      </c>
      <c r="F260" s="14" t="s">
        <v>960</v>
      </c>
      <c r="G260" s="14">
        <v>0</v>
      </c>
      <c r="H260" s="14">
        <v>0</v>
      </c>
      <c r="I260" s="14">
        <v>0</v>
      </c>
      <c r="J260" s="14">
        <v>0</v>
      </c>
      <c r="K260" s="14">
        <v>0</v>
      </c>
      <c r="L260" s="14">
        <v>0</v>
      </c>
      <c r="M260" s="14">
        <v>0</v>
      </c>
      <c r="N260" s="14">
        <v>0</v>
      </c>
      <c r="O260" s="14">
        <v>0</v>
      </c>
      <c r="P260" s="14">
        <v>0</v>
      </c>
      <c r="Q260" s="15"/>
      <c r="R260" s="15"/>
      <c r="S260" s="15">
        <f>$G$260*$G$8+$H$260*$H$8+$I$260*$I$8+$J$260*$J$8+$K$260*$K$8+$L$260*$L$8+$M$260*$M$8+$N$260*$N$8+$O$260*$O$8+$P$260*$P$8</f>
        <v>0</v>
      </c>
      <c r="T260" s="15">
        <f>SUM($Q$260:$R$260)</f>
        <v>0</v>
      </c>
      <c r="U260" s="15">
        <f>$S$260+$T$260</f>
        <v>0</v>
      </c>
    </row>
    <row r="261" spans="1:21" x14ac:dyDescent="0.3">
      <c r="A261" s="10" t="s">
        <v>961</v>
      </c>
      <c r="B261" s="11" t="s">
        <v>962</v>
      </c>
      <c r="C261" s="11" t="s">
        <v>202</v>
      </c>
      <c r="D261" s="11" t="s">
        <v>963</v>
      </c>
      <c r="E261" s="11">
        <f xml:space="preserve"> IF($U$261,1,0)</f>
        <v>0</v>
      </c>
      <c r="F261" s="11" t="s">
        <v>964</v>
      </c>
      <c r="G261" s="11">
        <v>0</v>
      </c>
      <c r="H261" s="11">
        <v>0</v>
      </c>
      <c r="I261" s="11">
        <v>0</v>
      </c>
      <c r="J261" s="11">
        <v>0</v>
      </c>
      <c r="K261" s="11">
        <v>0</v>
      </c>
      <c r="L261" s="11">
        <v>0</v>
      </c>
      <c r="M261" s="11">
        <v>0</v>
      </c>
      <c r="N261" s="11">
        <v>0</v>
      </c>
      <c r="O261" s="11">
        <v>0</v>
      </c>
      <c r="P261" s="11">
        <v>0</v>
      </c>
      <c r="Q261" s="12"/>
      <c r="R261" s="12"/>
      <c r="S261" s="12">
        <f>$G$261*$G$8+$H$261*$H$8+$I$261*$I$8+$J$261*$J$8+$K$261*$K$8+$L$261*$L$8+$M$261*$M$8+$N$261*$N$8+$O$261*$O$8+$P$261*$P$8</f>
        <v>0</v>
      </c>
      <c r="T261" s="12">
        <f>SUM($Q$261:$R$261)</f>
        <v>0</v>
      </c>
      <c r="U261" s="12">
        <f>$S$261+$T$261</f>
        <v>0</v>
      </c>
    </row>
    <row r="262" spans="1:21" x14ac:dyDescent="0.3">
      <c r="A262" s="13" t="s">
        <v>965</v>
      </c>
      <c r="B262" s="14" t="s">
        <v>966</v>
      </c>
      <c r="C262" s="14"/>
      <c r="D262" s="14" t="s">
        <v>609</v>
      </c>
      <c r="E262" s="14">
        <f xml:space="preserve"> IF($U$262,1,0)</f>
        <v>0</v>
      </c>
      <c r="F262" s="14" t="s">
        <v>967</v>
      </c>
      <c r="G262" s="14">
        <v>0</v>
      </c>
      <c r="H262" s="14">
        <v>0</v>
      </c>
      <c r="I262" s="14">
        <v>0</v>
      </c>
      <c r="J262" s="14">
        <v>0</v>
      </c>
      <c r="K262" s="14">
        <v>0</v>
      </c>
      <c r="L262" s="14">
        <v>0</v>
      </c>
      <c r="M262" s="14">
        <v>0</v>
      </c>
      <c r="N262" s="14">
        <v>0</v>
      </c>
      <c r="O262" s="14">
        <v>0</v>
      </c>
      <c r="P262" s="14">
        <v>0</v>
      </c>
      <c r="Q262" s="15"/>
      <c r="R262" s="15"/>
      <c r="S262" s="15">
        <f>$G$262*$G$8+$H$262*$H$8+$I$262*$I$8+$J$262*$J$8+$K$262*$K$8+$L$262*$L$8+$M$262*$M$8+$N$262*$N$8+$O$262*$O$8+$P$262*$P$8</f>
        <v>0</v>
      </c>
      <c r="T262" s="15">
        <f>SUM($Q$262:$R$262)</f>
        <v>0</v>
      </c>
      <c r="U262" s="15">
        <f>$S$262+$T$262</f>
        <v>0</v>
      </c>
    </row>
    <row r="263" spans="1:21" x14ac:dyDescent="0.3">
      <c r="A263" s="10" t="s">
        <v>968</v>
      </c>
      <c r="B263" s="11" t="s">
        <v>969</v>
      </c>
      <c r="C263" s="11"/>
      <c r="D263" s="11" t="s">
        <v>970</v>
      </c>
      <c r="E263" s="11">
        <f xml:space="preserve"> IF($U$263,1,0)</f>
        <v>0</v>
      </c>
      <c r="F263" s="11" t="s">
        <v>971</v>
      </c>
      <c r="G263" s="11">
        <v>0</v>
      </c>
      <c r="H263" s="11">
        <v>0</v>
      </c>
      <c r="I263" s="11">
        <v>0</v>
      </c>
      <c r="J263" s="11">
        <v>0</v>
      </c>
      <c r="K263" s="11">
        <v>0</v>
      </c>
      <c r="L263" s="11">
        <v>0</v>
      </c>
      <c r="M263" s="11">
        <v>0</v>
      </c>
      <c r="N263" s="11">
        <v>0</v>
      </c>
      <c r="O263" s="11">
        <v>0</v>
      </c>
      <c r="P263" s="11">
        <v>0</v>
      </c>
      <c r="Q263" s="12"/>
      <c r="R263" s="12"/>
      <c r="S263" s="12">
        <f>$G$263*$G$8+$H$263*$H$8+$I$263*$I$8+$J$263*$J$8+$K$263*$K$8+$L$263*$L$8+$M$263*$M$8+$N$263*$N$8+$O$263*$O$8+$P$263*$P$8</f>
        <v>0</v>
      </c>
      <c r="T263" s="12">
        <f>SUM($Q$263:$R$263)</f>
        <v>0</v>
      </c>
      <c r="U263" s="12">
        <f>$S$263+$T$263</f>
        <v>0</v>
      </c>
    </row>
    <row r="264" spans="1:21" x14ac:dyDescent="0.3">
      <c r="A264" s="13" t="s">
        <v>972</v>
      </c>
      <c r="B264" s="14" t="s">
        <v>973</v>
      </c>
      <c r="C264" s="14"/>
      <c r="D264" s="14" t="s">
        <v>974</v>
      </c>
      <c r="E264" s="14">
        <f xml:space="preserve"> IF($U$264,1,0)</f>
        <v>0</v>
      </c>
      <c r="F264" s="14" t="s">
        <v>975</v>
      </c>
      <c r="G264" s="14">
        <v>0</v>
      </c>
      <c r="H264" s="14">
        <v>0</v>
      </c>
      <c r="I264" s="14">
        <v>0</v>
      </c>
      <c r="J264" s="14">
        <v>0</v>
      </c>
      <c r="K264" s="14">
        <v>0</v>
      </c>
      <c r="L264" s="14">
        <v>0</v>
      </c>
      <c r="M264" s="14">
        <v>0</v>
      </c>
      <c r="N264" s="14">
        <v>0</v>
      </c>
      <c r="O264" s="14">
        <v>0</v>
      </c>
      <c r="P264" s="14">
        <v>0</v>
      </c>
      <c r="Q264" s="15"/>
      <c r="R264" s="15"/>
      <c r="S264" s="15">
        <f>$G$264*$G$8+$H$264*$H$8+$I$264*$I$8+$J$264*$J$8+$K$264*$K$8+$L$264*$L$8+$M$264*$M$8+$N$264*$N$8+$O$264*$O$8+$P$264*$P$8</f>
        <v>0</v>
      </c>
      <c r="T264" s="15">
        <f>SUM($Q$264:$R$264)</f>
        <v>0</v>
      </c>
      <c r="U264" s="15">
        <f>$S$264+$T$264</f>
        <v>0</v>
      </c>
    </row>
    <row r="265" spans="1:21" x14ac:dyDescent="0.3">
      <c r="A265" s="10" t="s">
        <v>976</v>
      </c>
      <c r="B265" s="11" t="s">
        <v>977</v>
      </c>
      <c r="C265" s="11"/>
      <c r="D265" s="11" t="s">
        <v>978</v>
      </c>
      <c r="E265" s="11">
        <f xml:space="preserve"> IF($U$265,1,0)</f>
        <v>0</v>
      </c>
      <c r="F265" s="11" t="s">
        <v>979</v>
      </c>
      <c r="G265" s="11">
        <v>0</v>
      </c>
      <c r="H265" s="11">
        <v>0</v>
      </c>
      <c r="I265" s="11">
        <v>0</v>
      </c>
      <c r="J265" s="11">
        <v>0</v>
      </c>
      <c r="K265" s="11">
        <v>0</v>
      </c>
      <c r="L265" s="11">
        <v>0</v>
      </c>
      <c r="M265" s="11">
        <v>0</v>
      </c>
      <c r="N265" s="11">
        <v>0</v>
      </c>
      <c r="O265" s="11">
        <v>0</v>
      </c>
      <c r="P265" s="11">
        <v>0</v>
      </c>
      <c r="Q265" s="12"/>
      <c r="R265" s="12"/>
      <c r="S265" s="12">
        <f>$G$265*$G$8+$H$265*$H$8+$I$265*$I$8+$J$265*$J$8+$K$265*$K$8+$L$265*$L$8+$M$265*$M$8+$N$265*$N$8+$O$265*$O$8+$P$265*$P$8</f>
        <v>0</v>
      </c>
      <c r="T265" s="12">
        <f>SUM($Q$265:$R$265)</f>
        <v>0</v>
      </c>
      <c r="U265" s="12">
        <f>$S$265+$T$265</f>
        <v>0</v>
      </c>
    </row>
    <row r="266" spans="1:21" x14ac:dyDescent="0.3">
      <c r="A266" s="13" t="s">
        <v>980</v>
      </c>
      <c r="B266" s="14" t="s">
        <v>981</v>
      </c>
      <c r="C266" s="14" t="s">
        <v>34</v>
      </c>
      <c r="D266" s="14" t="s">
        <v>982</v>
      </c>
      <c r="E266" s="14">
        <f xml:space="preserve"> IF($U$266,1,0)</f>
        <v>0</v>
      </c>
      <c r="F266" s="14" t="s">
        <v>983</v>
      </c>
      <c r="G266" s="14">
        <v>0</v>
      </c>
      <c r="H266" s="14">
        <v>0</v>
      </c>
      <c r="I266" s="14">
        <v>0</v>
      </c>
      <c r="J266" s="14">
        <v>0</v>
      </c>
      <c r="K266" s="14">
        <v>0</v>
      </c>
      <c r="L266" s="14">
        <v>0</v>
      </c>
      <c r="M266" s="14">
        <v>0</v>
      </c>
      <c r="N266" s="14">
        <v>0</v>
      </c>
      <c r="O266" s="14">
        <v>0</v>
      </c>
      <c r="P266" s="14">
        <v>0</v>
      </c>
      <c r="Q266" s="15"/>
      <c r="R266" s="15"/>
      <c r="S266" s="15">
        <f>$G$266*$G$8+$H$266*$H$8+$I$266*$I$8+$J$266*$J$8+$K$266*$K$8+$L$266*$L$8+$M$266*$M$8+$N$266*$N$8+$O$266*$O$8+$P$266*$P$8</f>
        <v>0</v>
      </c>
      <c r="T266" s="15">
        <f>SUM($Q$266:$R$266)</f>
        <v>0</v>
      </c>
      <c r="U266" s="15">
        <f>$S$266+$T$266</f>
        <v>0</v>
      </c>
    </row>
    <row r="267" spans="1:21" x14ac:dyDescent="0.3">
      <c r="A267" s="10" t="s">
        <v>984</v>
      </c>
      <c r="B267" s="11" t="s">
        <v>985</v>
      </c>
      <c r="C267" s="11" t="s">
        <v>202</v>
      </c>
      <c r="D267" s="11" t="s">
        <v>986</v>
      </c>
      <c r="E267" s="11">
        <f xml:space="preserve"> IF($U$267,1,0)</f>
        <v>0</v>
      </c>
      <c r="F267" s="11" t="s">
        <v>987</v>
      </c>
      <c r="G267" s="11">
        <v>0</v>
      </c>
      <c r="H267" s="11">
        <v>0</v>
      </c>
      <c r="I267" s="11">
        <v>0</v>
      </c>
      <c r="J267" s="11">
        <v>0</v>
      </c>
      <c r="K267" s="11">
        <v>0</v>
      </c>
      <c r="L267" s="11">
        <v>0</v>
      </c>
      <c r="M267" s="11">
        <v>0</v>
      </c>
      <c r="N267" s="11">
        <v>0</v>
      </c>
      <c r="O267" s="11">
        <v>0</v>
      </c>
      <c r="P267" s="11">
        <v>0</v>
      </c>
      <c r="Q267" s="12"/>
      <c r="R267" s="12"/>
      <c r="S267" s="12">
        <f>$G$267*$G$8+$H$267*$H$8+$I$267*$I$8+$J$267*$J$8+$K$267*$K$8+$L$267*$L$8+$M$267*$M$8+$N$267*$N$8+$O$267*$O$8+$P$267*$P$8</f>
        <v>0</v>
      </c>
      <c r="T267" s="12">
        <f>SUM($Q$267:$R$267)</f>
        <v>0</v>
      </c>
      <c r="U267" s="12">
        <f>$S$267+$T$267</f>
        <v>0</v>
      </c>
    </row>
    <row r="268" spans="1:21" x14ac:dyDescent="0.3">
      <c r="A268" s="13" t="s">
        <v>1261</v>
      </c>
      <c r="B268" s="14" t="s">
        <v>1262</v>
      </c>
      <c r="C268" s="14"/>
      <c r="D268" s="14" t="s">
        <v>1263</v>
      </c>
      <c r="E268" s="14">
        <f xml:space="preserve"> IF($U$268,1,0)</f>
        <v>0</v>
      </c>
      <c r="F268" s="14" t="s">
        <v>1264</v>
      </c>
      <c r="G268" s="14">
        <v>0</v>
      </c>
      <c r="H268" s="14">
        <v>0</v>
      </c>
      <c r="I268" s="14">
        <v>0</v>
      </c>
      <c r="J268" s="14">
        <v>0</v>
      </c>
      <c r="K268" s="14">
        <v>0</v>
      </c>
      <c r="L268" s="14">
        <v>0</v>
      </c>
      <c r="M268" s="14">
        <v>0</v>
      </c>
      <c r="N268" s="14">
        <v>0</v>
      </c>
      <c r="O268" s="14">
        <v>0</v>
      </c>
      <c r="P268" s="14">
        <v>0</v>
      </c>
      <c r="Q268" s="15"/>
      <c r="R268" s="15"/>
      <c r="S268" s="15">
        <f>$G$268*$G$8+$H$268*$H$8+$I$268*$I$8+$J$268*$J$8+$K$268*$K$8+$L$268*$L$8+$M$268*$M$8+$N$268*$N$8+$O$268*$O$8+$P$268*$P$8</f>
        <v>0</v>
      </c>
      <c r="T268" s="15">
        <f>SUM($Q$268:$R$268)</f>
        <v>0</v>
      </c>
      <c r="U268" s="15">
        <f>$S$268+$T$268</f>
        <v>0</v>
      </c>
    </row>
    <row r="269" spans="1:21" x14ac:dyDescent="0.3">
      <c r="A269" s="10" t="s">
        <v>988</v>
      </c>
      <c r="B269" s="11" t="s">
        <v>989</v>
      </c>
      <c r="C269" s="11" t="s">
        <v>887</v>
      </c>
      <c r="D269" s="11" t="s">
        <v>1060</v>
      </c>
      <c r="E269" s="11">
        <f xml:space="preserve"> IF($U$269,1,0)</f>
        <v>0</v>
      </c>
      <c r="F269" s="11" t="s">
        <v>1256</v>
      </c>
      <c r="G269" s="11">
        <v>0</v>
      </c>
      <c r="H269" s="11">
        <v>0</v>
      </c>
      <c r="I269" s="11">
        <v>0</v>
      </c>
      <c r="J269" s="11">
        <v>0</v>
      </c>
      <c r="K269" s="11">
        <v>0</v>
      </c>
      <c r="L269" s="11">
        <v>0</v>
      </c>
      <c r="M269" s="11">
        <v>0</v>
      </c>
      <c r="N269" s="11">
        <v>0</v>
      </c>
      <c r="O269" s="11">
        <v>0</v>
      </c>
      <c r="P269" s="11">
        <v>0</v>
      </c>
      <c r="Q269" s="12"/>
      <c r="R269" s="12"/>
      <c r="S269" s="12">
        <f>$G$269*$G$8+$H$269*$H$8+$I$269*$I$8+$J$269*$J$8+$K$269*$K$8+$L$269*$L$8+$M$269*$M$8+$N$269*$N$8+$O$269*$O$8+$P$269*$P$8</f>
        <v>0</v>
      </c>
      <c r="T269" s="12">
        <f>SUM($Q$269:$R$269)</f>
        <v>0</v>
      </c>
      <c r="U269" s="12">
        <f>$S$269+$T$269</f>
        <v>0</v>
      </c>
    </row>
    <row r="270" spans="1:21" x14ac:dyDescent="0.3">
      <c r="A270" s="13" t="s">
        <v>992</v>
      </c>
      <c r="B270" s="14" t="s">
        <v>343</v>
      </c>
      <c r="C270" s="14"/>
      <c r="D270" s="14" t="s">
        <v>1294</v>
      </c>
      <c r="E270" s="14">
        <f xml:space="preserve"> IF($U$270,1,0)</f>
        <v>0</v>
      </c>
      <c r="F270" s="14" t="s">
        <v>1295</v>
      </c>
      <c r="G270" s="14">
        <v>0</v>
      </c>
      <c r="H270" s="14">
        <v>0</v>
      </c>
      <c r="I270" s="14">
        <v>0</v>
      </c>
      <c r="J270" s="14">
        <v>0</v>
      </c>
      <c r="K270" s="14">
        <v>0</v>
      </c>
      <c r="L270" s="14">
        <v>0</v>
      </c>
      <c r="M270" s="14">
        <v>0</v>
      </c>
      <c r="N270" s="14">
        <v>0</v>
      </c>
      <c r="O270" s="14">
        <v>0</v>
      </c>
      <c r="P270" s="14">
        <v>0</v>
      </c>
      <c r="Q270" s="15"/>
      <c r="R270" s="15"/>
      <c r="S270" s="15">
        <f>$G$270*$G$8+$H$270*$H$8+$I$270*$I$8+$J$270*$J$8+$K$270*$K$8+$L$270*$L$8+$M$270*$M$8+$N$270*$N$8+$O$270*$O$8+$P$270*$P$8</f>
        <v>0</v>
      </c>
      <c r="T270" s="15">
        <f>SUM($Q$270:$R$270)</f>
        <v>0</v>
      </c>
      <c r="U270" s="15">
        <f>$S$270+$T$270</f>
        <v>0</v>
      </c>
    </row>
    <row r="271" spans="1:21" x14ac:dyDescent="0.3">
      <c r="A271" s="10" t="s">
        <v>995</v>
      </c>
      <c r="B271" s="11" t="s">
        <v>996</v>
      </c>
      <c r="C271" s="11"/>
      <c r="D271" s="11" t="s">
        <v>997</v>
      </c>
      <c r="E271" s="11">
        <f xml:space="preserve"> IF($U$271,1,0)</f>
        <v>0</v>
      </c>
      <c r="F271" s="11" t="s">
        <v>998</v>
      </c>
      <c r="G271" s="11">
        <v>0</v>
      </c>
      <c r="H271" s="11">
        <v>0</v>
      </c>
      <c r="I271" s="11">
        <v>0</v>
      </c>
      <c r="J271" s="11">
        <v>0</v>
      </c>
      <c r="K271" s="11">
        <v>0</v>
      </c>
      <c r="L271" s="11">
        <v>0</v>
      </c>
      <c r="M271" s="11">
        <v>0</v>
      </c>
      <c r="N271" s="11">
        <v>0</v>
      </c>
      <c r="O271" s="11">
        <v>0</v>
      </c>
      <c r="P271" s="11">
        <v>0</v>
      </c>
      <c r="Q271" s="12"/>
      <c r="R271" s="12"/>
      <c r="S271" s="12">
        <f>$G$271*$G$8+$H$271*$H$8+$I$271*$I$8+$J$271*$J$8+$K$271*$K$8+$L$271*$L$8+$M$271*$M$8+$N$271*$N$8+$O$271*$O$8+$P$271*$P$8</f>
        <v>0</v>
      </c>
      <c r="T271" s="12">
        <f>SUM($Q$271:$R$271)</f>
        <v>0</v>
      </c>
      <c r="U271" s="12">
        <f>$S$271+$T$271</f>
        <v>0</v>
      </c>
    </row>
    <row r="272" spans="1:21" x14ac:dyDescent="0.3">
      <c r="A272" s="13" t="s">
        <v>999</v>
      </c>
      <c r="B272" s="14" t="s">
        <v>1000</v>
      </c>
      <c r="C272" s="14" t="s">
        <v>202</v>
      </c>
      <c r="D272" s="14" t="s">
        <v>1001</v>
      </c>
      <c r="E272" s="14">
        <f xml:space="preserve"> IF($U$272,1,0)</f>
        <v>0</v>
      </c>
      <c r="F272" s="14" t="s">
        <v>1002</v>
      </c>
      <c r="G272" s="14">
        <v>0</v>
      </c>
      <c r="H272" s="14">
        <v>0</v>
      </c>
      <c r="I272" s="14">
        <v>0</v>
      </c>
      <c r="J272" s="14">
        <v>0</v>
      </c>
      <c r="K272" s="14">
        <v>0</v>
      </c>
      <c r="L272" s="14">
        <v>0</v>
      </c>
      <c r="M272" s="14">
        <v>0</v>
      </c>
      <c r="N272" s="14">
        <v>0</v>
      </c>
      <c r="O272" s="14">
        <v>0</v>
      </c>
      <c r="P272" s="14">
        <v>0</v>
      </c>
      <c r="Q272" s="15"/>
      <c r="R272" s="15"/>
      <c r="S272" s="15">
        <f>$G$272*$G$8+$H$272*$H$8+$I$272*$I$8+$J$272*$J$8+$K$272*$K$8+$L$272*$L$8+$M$272*$M$8+$N$272*$N$8+$O$272*$O$8+$P$272*$P$8</f>
        <v>0</v>
      </c>
      <c r="T272" s="15">
        <f>SUM($Q$272:$R$272)</f>
        <v>0</v>
      </c>
      <c r="U272" s="15">
        <f>$S$272+$T$272</f>
        <v>0</v>
      </c>
    </row>
    <row r="273" spans="1:21" x14ac:dyDescent="0.3">
      <c r="A273" s="10" t="s">
        <v>1003</v>
      </c>
      <c r="B273" s="11" t="s">
        <v>1004</v>
      </c>
      <c r="C273" s="11"/>
      <c r="D273" s="11" t="s">
        <v>1005</v>
      </c>
      <c r="E273" s="11">
        <f xml:space="preserve"> IF($U$273,1,0)</f>
        <v>0</v>
      </c>
      <c r="F273" s="11" t="s">
        <v>1006</v>
      </c>
      <c r="G273" s="11">
        <v>0</v>
      </c>
      <c r="H273" s="11">
        <v>0</v>
      </c>
      <c r="I273" s="11">
        <v>0</v>
      </c>
      <c r="J273" s="11">
        <v>0</v>
      </c>
      <c r="K273" s="11">
        <v>0</v>
      </c>
      <c r="L273" s="11">
        <v>0</v>
      </c>
      <c r="M273" s="11">
        <v>0</v>
      </c>
      <c r="N273" s="11">
        <v>0</v>
      </c>
      <c r="O273" s="11">
        <v>0</v>
      </c>
      <c r="P273" s="11">
        <v>0</v>
      </c>
      <c r="Q273" s="12"/>
      <c r="R273" s="12"/>
      <c r="S273" s="12">
        <f>$G$273*$G$8+$H$273*$H$8+$I$273*$I$8+$J$273*$J$8+$K$273*$K$8+$L$273*$L$8+$M$273*$M$8+$N$273*$N$8+$O$273*$O$8+$P$273*$P$8</f>
        <v>0</v>
      </c>
      <c r="T273" s="12">
        <f>SUM($Q$273:$R$273)</f>
        <v>0</v>
      </c>
      <c r="U273" s="12">
        <f>$S$273+$T$273</f>
        <v>0</v>
      </c>
    </row>
    <row r="274" spans="1:21" x14ac:dyDescent="0.3">
      <c r="A274" s="13" t="s">
        <v>1007</v>
      </c>
      <c r="B274" s="14" t="s">
        <v>1004</v>
      </c>
      <c r="C274" s="14"/>
      <c r="D274" s="14" t="s">
        <v>1008</v>
      </c>
      <c r="E274" s="14">
        <f xml:space="preserve"> IF($U$274,1,0)</f>
        <v>0</v>
      </c>
      <c r="F274" s="14" t="s">
        <v>1009</v>
      </c>
      <c r="G274" s="14">
        <v>0</v>
      </c>
      <c r="H274" s="14">
        <v>0</v>
      </c>
      <c r="I274" s="14">
        <v>0</v>
      </c>
      <c r="J274" s="14">
        <v>0</v>
      </c>
      <c r="K274" s="14">
        <v>0</v>
      </c>
      <c r="L274" s="14">
        <v>0</v>
      </c>
      <c r="M274" s="14">
        <v>0</v>
      </c>
      <c r="N274" s="14">
        <v>0</v>
      </c>
      <c r="O274" s="14">
        <v>0</v>
      </c>
      <c r="P274" s="14">
        <v>0</v>
      </c>
      <c r="Q274" s="15"/>
      <c r="R274" s="15"/>
      <c r="S274" s="15">
        <f>$G$274*$G$8+$H$274*$H$8+$I$274*$I$8+$J$274*$J$8+$K$274*$K$8+$L$274*$L$8+$M$274*$M$8+$N$274*$N$8+$O$274*$O$8+$P$274*$P$8</f>
        <v>0</v>
      </c>
      <c r="T274" s="15">
        <f>SUM($Q$274:$R$274)</f>
        <v>0</v>
      </c>
      <c r="U274" s="15">
        <f>$S$274+$T$274</f>
        <v>0</v>
      </c>
    </row>
    <row r="275" spans="1:21" x14ac:dyDescent="0.3">
      <c r="A275" s="10" t="s">
        <v>1010</v>
      </c>
      <c r="B275" s="11" t="s">
        <v>1011</v>
      </c>
      <c r="C275" s="11"/>
      <c r="D275" s="11" t="s">
        <v>1012</v>
      </c>
      <c r="E275" s="11">
        <f xml:space="preserve"> IF($U$275,1,0)</f>
        <v>0</v>
      </c>
      <c r="F275" s="11" t="s">
        <v>1013</v>
      </c>
      <c r="G275" s="11">
        <v>0</v>
      </c>
      <c r="H275" s="11">
        <v>0</v>
      </c>
      <c r="I275" s="11">
        <v>0</v>
      </c>
      <c r="J275" s="11">
        <v>0</v>
      </c>
      <c r="K275" s="11">
        <v>0</v>
      </c>
      <c r="L275" s="11">
        <v>0</v>
      </c>
      <c r="M275" s="11">
        <v>0</v>
      </c>
      <c r="N275" s="11">
        <v>0</v>
      </c>
      <c r="O275" s="11">
        <v>0</v>
      </c>
      <c r="P275" s="11">
        <v>0</v>
      </c>
      <c r="Q275" s="12"/>
      <c r="R275" s="12"/>
      <c r="S275" s="12">
        <f>$G$275*$G$8+$H$275*$H$8+$I$275*$I$8+$J$275*$J$8+$K$275*$K$8+$L$275*$L$8+$M$275*$M$8+$N$275*$N$8+$O$275*$O$8+$P$275*$P$8</f>
        <v>0</v>
      </c>
      <c r="T275" s="12">
        <f>SUM($Q$275:$R$275)</f>
        <v>0</v>
      </c>
      <c r="U275" s="12">
        <f>$S$275+$T$275</f>
        <v>0</v>
      </c>
    </row>
    <row r="276" spans="1:21" x14ac:dyDescent="0.3">
      <c r="A276" s="13" t="s">
        <v>1014</v>
      </c>
      <c r="B276" s="14" t="s">
        <v>1015</v>
      </c>
      <c r="C276" s="14"/>
      <c r="D276" s="14" t="s">
        <v>1016</v>
      </c>
      <c r="E276" s="14">
        <f xml:space="preserve"> IF($U$276,1,0)</f>
        <v>0</v>
      </c>
      <c r="F276" s="14" t="s">
        <v>1017</v>
      </c>
      <c r="G276" s="14">
        <v>0</v>
      </c>
      <c r="H276" s="14">
        <v>0</v>
      </c>
      <c r="I276" s="14">
        <v>0</v>
      </c>
      <c r="J276" s="14">
        <v>0</v>
      </c>
      <c r="K276" s="14">
        <v>0</v>
      </c>
      <c r="L276" s="14">
        <v>0</v>
      </c>
      <c r="M276" s="14">
        <v>0</v>
      </c>
      <c r="N276" s="14">
        <v>0</v>
      </c>
      <c r="O276" s="14">
        <v>0</v>
      </c>
      <c r="P276" s="14">
        <v>0</v>
      </c>
      <c r="Q276" s="15"/>
      <c r="R276" s="15"/>
      <c r="S276" s="15">
        <f>$G$276*$G$8+$H$276*$H$8+$I$276*$I$8+$J$276*$J$8+$K$276*$K$8+$L$276*$L$8+$M$276*$M$8+$N$276*$N$8+$O$276*$O$8+$P$276*$P$8</f>
        <v>0</v>
      </c>
      <c r="T276" s="15">
        <f>SUM($Q$276:$R$276)</f>
        <v>0</v>
      </c>
      <c r="U276" s="15">
        <f>$S$276+$T$276</f>
        <v>0</v>
      </c>
    </row>
    <row r="277" spans="1:21" x14ac:dyDescent="0.3">
      <c r="A277" s="10" t="s">
        <v>1018</v>
      </c>
      <c r="B277" s="11" t="s">
        <v>1015</v>
      </c>
      <c r="C277" s="11"/>
      <c r="D277" s="11" t="s">
        <v>1019</v>
      </c>
      <c r="E277" s="11">
        <f xml:space="preserve"> IF($U$277,1,0)</f>
        <v>0</v>
      </c>
      <c r="F277" s="11" t="s">
        <v>1020</v>
      </c>
      <c r="G277" s="11">
        <v>0</v>
      </c>
      <c r="H277" s="11">
        <v>0</v>
      </c>
      <c r="I277" s="11">
        <v>0</v>
      </c>
      <c r="J277" s="11">
        <v>0</v>
      </c>
      <c r="K277" s="11">
        <v>0</v>
      </c>
      <c r="L277" s="11">
        <v>0</v>
      </c>
      <c r="M277" s="11">
        <v>0</v>
      </c>
      <c r="N277" s="11">
        <v>0</v>
      </c>
      <c r="O277" s="11">
        <v>0</v>
      </c>
      <c r="P277" s="11">
        <v>0</v>
      </c>
      <c r="Q277" s="12"/>
      <c r="R277" s="12"/>
      <c r="S277" s="12">
        <f>$G$277*$G$8+$H$277*$H$8+$I$277*$I$8+$J$277*$J$8+$K$277*$K$8+$L$277*$L$8+$M$277*$M$8+$N$277*$N$8+$O$277*$O$8+$P$277*$P$8</f>
        <v>0</v>
      </c>
      <c r="T277" s="12">
        <f>SUM($Q$277:$R$277)</f>
        <v>0</v>
      </c>
      <c r="U277" s="12">
        <f>$S$277+$T$277</f>
        <v>0</v>
      </c>
    </row>
    <row r="278" spans="1:21" x14ac:dyDescent="0.3">
      <c r="A278" s="13" t="s">
        <v>1021</v>
      </c>
      <c r="B278" s="14" t="s">
        <v>1022</v>
      </c>
      <c r="C278" s="14" t="s">
        <v>283</v>
      </c>
      <c r="D278" s="14" t="s">
        <v>1023</v>
      </c>
      <c r="E278" s="14">
        <f xml:space="preserve"> IF($U$278,1,0)</f>
        <v>0</v>
      </c>
      <c r="F278" s="14" t="s">
        <v>1024</v>
      </c>
      <c r="G278" s="14">
        <v>0</v>
      </c>
      <c r="H278" s="14">
        <v>0</v>
      </c>
      <c r="I278" s="14">
        <v>0</v>
      </c>
      <c r="J278" s="14">
        <v>0</v>
      </c>
      <c r="K278" s="14">
        <v>0</v>
      </c>
      <c r="L278" s="14">
        <v>0</v>
      </c>
      <c r="M278" s="14">
        <v>0</v>
      </c>
      <c r="N278" s="14">
        <v>0</v>
      </c>
      <c r="O278" s="14">
        <v>0</v>
      </c>
      <c r="P278" s="14">
        <v>0</v>
      </c>
      <c r="Q278" s="15"/>
      <c r="R278" s="15"/>
      <c r="S278" s="15">
        <f>$G$278*$G$8+$H$278*$H$8+$I$278*$I$8+$J$278*$J$8+$K$278*$K$8+$L$278*$L$8+$M$278*$M$8+$N$278*$N$8+$O$278*$O$8+$P$278*$P$8</f>
        <v>0</v>
      </c>
      <c r="T278" s="15">
        <f>SUM($Q$278:$R$278)</f>
        <v>0</v>
      </c>
      <c r="U278" s="15">
        <f>$S$278+$T$278</f>
        <v>0</v>
      </c>
    </row>
    <row r="279" spans="1:21" x14ac:dyDescent="0.3">
      <c r="A279" s="10" t="s">
        <v>1025</v>
      </c>
      <c r="B279" s="11" t="s">
        <v>1026</v>
      </c>
      <c r="C279" s="11"/>
      <c r="D279" s="11" t="s">
        <v>1027</v>
      </c>
      <c r="E279" s="11">
        <f xml:space="preserve"> IF($U$279,1,0)</f>
        <v>0</v>
      </c>
      <c r="F279" s="11" t="s">
        <v>1028</v>
      </c>
      <c r="G279" s="11">
        <v>0</v>
      </c>
      <c r="H279" s="11">
        <v>0</v>
      </c>
      <c r="I279" s="11">
        <v>0</v>
      </c>
      <c r="J279" s="11">
        <v>0</v>
      </c>
      <c r="K279" s="11">
        <v>0</v>
      </c>
      <c r="L279" s="11">
        <v>0</v>
      </c>
      <c r="M279" s="11">
        <v>0</v>
      </c>
      <c r="N279" s="11">
        <v>0</v>
      </c>
      <c r="O279" s="11">
        <v>0</v>
      </c>
      <c r="P279" s="11">
        <v>0</v>
      </c>
      <c r="Q279" s="12"/>
      <c r="R279" s="12"/>
      <c r="S279" s="12">
        <f>$G$279*$G$8+$H$279*$H$8+$I$279*$I$8+$J$279*$J$8+$K$279*$K$8+$L$279*$L$8+$M$279*$M$8+$N$279*$N$8+$O$279*$O$8+$P$279*$P$8</f>
        <v>0</v>
      </c>
      <c r="T279" s="12">
        <f>SUM($Q$279:$R$279)</f>
        <v>0</v>
      </c>
      <c r="U279" s="12">
        <f>$S$279+$T$279</f>
        <v>0</v>
      </c>
    </row>
    <row r="280" spans="1:21" x14ac:dyDescent="0.3">
      <c r="A280" s="13" t="s">
        <v>1029</v>
      </c>
      <c r="B280" s="14" t="s">
        <v>1030</v>
      </c>
      <c r="C280" s="14" t="s">
        <v>34</v>
      </c>
      <c r="D280" s="14" t="s">
        <v>1031</v>
      </c>
      <c r="E280" s="14">
        <f xml:space="preserve"> IF($U$280,1,0)</f>
        <v>0</v>
      </c>
      <c r="F280" s="14" t="s">
        <v>1032</v>
      </c>
      <c r="G280" s="14">
        <v>0</v>
      </c>
      <c r="H280" s="14">
        <v>0</v>
      </c>
      <c r="I280" s="14">
        <v>0</v>
      </c>
      <c r="J280" s="14">
        <v>0</v>
      </c>
      <c r="K280" s="14">
        <v>0</v>
      </c>
      <c r="L280" s="14">
        <v>0</v>
      </c>
      <c r="M280" s="14">
        <v>0</v>
      </c>
      <c r="N280" s="14">
        <v>0</v>
      </c>
      <c r="O280" s="14">
        <v>0</v>
      </c>
      <c r="P280" s="14">
        <v>0</v>
      </c>
      <c r="Q280" s="15"/>
      <c r="R280" s="15"/>
      <c r="S280" s="15">
        <f>$G$280*$G$8+$H$280*$H$8+$I$280*$I$8+$J$280*$J$8+$K$280*$K$8+$L$280*$L$8+$M$280*$M$8+$N$280*$N$8+$O$280*$O$8+$P$280*$P$8</f>
        <v>0</v>
      </c>
      <c r="T280" s="15">
        <f>SUM($Q$280:$R$280)</f>
        <v>0</v>
      </c>
      <c r="U280" s="15">
        <f>$S$280+$T$280</f>
        <v>0</v>
      </c>
    </row>
    <row r="281" spans="1:21" x14ac:dyDescent="0.3">
      <c r="A281" s="10" t="s">
        <v>1033</v>
      </c>
      <c r="B281" s="11" t="s">
        <v>1030</v>
      </c>
      <c r="C281" s="11"/>
      <c r="D281" s="11" t="s">
        <v>1034</v>
      </c>
      <c r="E281" s="11">
        <f xml:space="preserve"> IF($U$281,1,0)</f>
        <v>0</v>
      </c>
      <c r="F281" s="11" t="s">
        <v>1035</v>
      </c>
      <c r="G281" s="11">
        <v>0</v>
      </c>
      <c r="H281" s="11">
        <v>0</v>
      </c>
      <c r="I281" s="11">
        <v>0</v>
      </c>
      <c r="J281" s="11">
        <v>0</v>
      </c>
      <c r="K281" s="11">
        <v>0</v>
      </c>
      <c r="L281" s="11">
        <v>0</v>
      </c>
      <c r="M281" s="11">
        <v>0</v>
      </c>
      <c r="N281" s="11">
        <v>0</v>
      </c>
      <c r="O281" s="11">
        <v>0</v>
      </c>
      <c r="P281" s="11">
        <v>0</v>
      </c>
      <c r="Q281" s="12"/>
      <c r="R281" s="12"/>
      <c r="S281" s="12">
        <f>$G$281*$G$8+$H$281*$H$8+$I$281*$I$8+$J$281*$J$8+$K$281*$K$8+$L$281*$L$8+$M$281*$M$8+$N$281*$N$8+$O$281*$O$8+$P$281*$P$8</f>
        <v>0</v>
      </c>
      <c r="T281" s="12">
        <f>SUM($Q$281:$R$281)</f>
        <v>0</v>
      </c>
      <c r="U281" s="12">
        <f>$S$281+$T$281</f>
        <v>0</v>
      </c>
    </row>
    <row r="282" spans="1:21" x14ac:dyDescent="0.3">
      <c r="A282" s="13" t="s">
        <v>1036</v>
      </c>
      <c r="B282" s="14" t="s">
        <v>1037</v>
      </c>
      <c r="C282" s="14"/>
      <c r="D282" s="14" t="s">
        <v>1038</v>
      </c>
      <c r="E282" s="14">
        <f xml:space="preserve"> IF($U$282,1,0)</f>
        <v>0</v>
      </c>
      <c r="F282" s="14" t="s">
        <v>1039</v>
      </c>
      <c r="G282" s="14">
        <v>0</v>
      </c>
      <c r="H282" s="14">
        <v>0</v>
      </c>
      <c r="I282" s="14">
        <v>0</v>
      </c>
      <c r="J282" s="14">
        <v>0</v>
      </c>
      <c r="K282" s="14">
        <v>0</v>
      </c>
      <c r="L282" s="14">
        <v>0</v>
      </c>
      <c r="M282" s="14">
        <v>0</v>
      </c>
      <c r="N282" s="14">
        <v>0</v>
      </c>
      <c r="O282" s="14">
        <v>0</v>
      </c>
      <c r="P282" s="14">
        <v>0</v>
      </c>
      <c r="Q282" s="15"/>
      <c r="R282" s="15"/>
      <c r="S282" s="15">
        <f>$G$282*$G$8+$H$282*$H$8+$I$282*$I$8+$J$282*$J$8+$K$282*$K$8+$L$282*$L$8+$M$282*$M$8+$N$282*$N$8+$O$282*$O$8+$P$282*$P$8</f>
        <v>0</v>
      </c>
      <c r="T282" s="15">
        <f>SUM($Q$282:$R$282)</f>
        <v>0</v>
      </c>
      <c r="U282" s="15">
        <f>$S$282+$T$282</f>
        <v>0</v>
      </c>
    </row>
    <row r="283" spans="1:21" x14ac:dyDescent="0.3">
      <c r="A283" s="10" t="s">
        <v>1040</v>
      </c>
      <c r="B283" s="11" t="s">
        <v>1037</v>
      </c>
      <c r="C283" s="11" t="s">
        <v>202</v>
      </c>
      <c r="D283" s="11" t="s">
        <v>1041</v>
      </c>
      <c r="E283" s="11">
        <f xml:space="preserve"> IF($U$283,1,0)</f>
        <v>0</v>
      </c>
      <c r="F283" s="11" t="s">
        <v>1042</v>
      </c>
      <c r="G283" s="11">
        <v>0</v>
      </c>
      <c r="H283" s="11">
        <v>0</v>
      </c>
      <c r="I283" s="11">
        <v>0</v>
      </c>
      <c r="J283" s="11">
        <v>0</v>
      </c>
      <c r="K283" s="11">
        <v>0</v>
      </c>
      <c r="L283" s="11">
        <v>0</v>
      </c>
      <c r="M283" s="11">
        <v>0</v>
      </c>
      <c r="N283" s="11">
        <v>0</v>
      </c>
      <c r="O283" s="11">
        <v>0</v>
      </c>
      <c r="P283" s="11">
        <v>0</v>
      </c>
      <c r="Q283" s="12"/>
      <c r="R283" s="12"/>
      <c r="S283" s="12">
        <f>$G$283*$G$8+$H$283*$H$8+$I$283*$I$8+$J$283*$J$8+$K$283*$K$8+$L$283*$L$8+$M$283*$M$8+$N$283*$N$8+$O$283*$O$8+$P$283*$P$8</f>
        <v>0</v>
      </c>
      <c r="T283" s="12">
        <f>SUM($Q$283:$R$283)</f>
        <v>0</v>
      </c>
      <c r="U283" s="12">
        <f>$S$283+$T$283</f>
        <v>0</v>
      </c>
    </row>
    <row r="284" spans="1:21" x14ac:dyDescent="0.3">
      <c r="A284" s="13" t="s">
        <v>1043</v>
      </c>
      <c r="B284" s="14" t="s">
        <v>1044</v>
      </c>
      <c r="C284" s="14"/>
      <c r="D284" s="14" t="s">
        <v>1045</v>
      </c>
      <c r="E284" s="14">
        <f xml:space="preserve"> IF($U$284,1,0)</f>
        <v>0</v>
      </c>
      <c r="F284" s="14" t="s">
        <v>1046</v>
      </c>
      <c r="G284" s="14">
        <v>0</v>
      </c>
      <c r="H284" s="14">
        <v>0</v>
      </c>
      <c r="I284" s="14">
        <v>0</v>
      </c>
      <c r="J284" s="14">
        <v>0</v>
      </c>
      <c r="K284" s="14">
        <v>0</v>
      </c>
      <c r="L284" s="14">
        <v>0</v>
      </c>
      <c r="M284" s="14">
        <v>0</v>
      </c>
      <c r="N284" s="14">
        <v>0</v>
      </c>
      <c r="O284" s="14">
        <v>0</v>
      </c>
      <c r="P284" s="14">
        <v>0</v>
      </c>
      <c r="Q284" s="15"/>
      <c r="R284" s="15"/>
      <c r="S284" s="15">
        <f>$G$284*$G$8+$H$284*$H$8+$I$284*$I$8+$J$284*$J$8+$K$284*$K$8+$L$284*$L$8+$M$284*$M$8+$N$284*$N$8+$O$284*$O$8+$P$284*$P$8</f>
        <v>0</v>
      </c>
      <c r="T284" s="15">
        <f>SUM($Q$284:$R$284)</f>
        <v>0</v>
      </c>
      <c r="U284" s="15">
        <f>$S$284+$T$284</f>
        <v>0</v>
      </c>
    </row>
    <row r="285" spans="1:21" x14ac:dyDescent="0.3">
      <c r="A285" s="10" t="s">
        <v>1047</v>
      </c>
      <c r="B285" s="11" t="s">
        <v>1048</v>
      </c>
      <c r="C285" s="11"/>
      <c r="D285" s="11" t="s">
        <v>1049</v>
      </c>
      <c r="E285" s="11">
        <f xml:space="preserve"> IF($U$285,1,0)</f>
        <v>0</v>
      </c>
      <c r="F285" s="11" t="s">
        <v>1050</v>
      </c>
      <c r="G285" s="11">
        <v>0</v>
      </c>
      <c r="H285" s="11">
        <v>0</v>
      </c>
      <c r="I285" s="11">
        <v>0</v>
      </c>
      <c r="J285" s="11">
        <v>0</v>
      </c>
      <c r="K285" s="11">
        <v>0</v>
      </c>
      <c r="L285" s="11">
        <v>0</v>
      </c>
      <c r="M285" s="11">
        <v>0</v>
      </c>
      <c r="N285" s="11">
        <v>0</v>
      </c>
      <c r="O285" s="11">
        <v>0</v>
      </c>
      <c r="P285" s="11">
        <v>0</v>
      </c>
      <c r="Q285" s="12"/>
      <c r="R285" s="12"/>
      <c r="S285" s="12">
        <f>$G$285*$G$8+$H$285*$H$8+$I$285*$I$8+$J$285*$J$8+$K$285*$K$8+$L$285*$L$8+$M$285*$M$8+$N$285*$N$8+$O$285*$O$8+$P$285*$P$8</f>
        <v>0</v>
      </c>
      <c r="T285" s="12">
        <f>SUM($Q$285:$R$285)</f>
        <v>0</v>
      </c>
      <c r="U285" s="12">
        <f>$S$285+$T$285</f>
        <v>0</v>
      </c>
    </row>
    <row r="286" spans="1:21" x14ac:dyDescent="0.3">
      <c r="A286" s="13" t="s">
        <v>1051</v>
      </c>
      <c r="B286" s="14" t="s">
        <v>1052</v>
      </c>
      <c r="C286" s="14" t="s">
        <v>34</v>
      </c>
      <c r="D286" s="14" t="s">
        <v>1053</v>
      </c>
      <c r="E286" s="14">
        <f xml:space="preserve"> IF($U$286,1,0)</f>
        <v>0</v>
      </c>
      <c r="F286" s="14" t="s">
        <v>1054</v>
      </c>
      <c r="G286" s="14">
        <v>0</v>
      </c>
      <c r="H286" s="14">
        <v>0</v>
      </c>
      <c r="I286" s="14">
        <v>0</v>
      </c>
      <c r="J286" s="14">
        <v>0</v>
      </c>
      <c r="K286" s="14">
        <v>0</v>
      </c>
      <c r="L286" s="14">
        <v>0</v>
      </c>
      <c r="M286" s="14">
        <v>0</v>
      </c>
      <c r="N286" s="14">
        <v>0</v>
      </c>
      <c r="O286" s="14">
        <v>0</v>
      </c>
      <c r="P286" s="14">
        <v>0</v>
      </c>
      <c r="Q286" s="15"/>
      <c r="R286" s="15"/>
      <c r="S286" s="15">
        <f>$G$286*$G$8+$H$286*$H$8+$I$286*$I$8+$J$286*$J$8+$K$286*$K$8+$L$286*$L$8+$M$286*$M$8+$N$286*$N$8+$O$286*$O$8+$P$286*$P$8</f>
        <v>0</v>
      </c>
      <c r="T286" s="15">
        <f>SUM($Q$286:$R$286)</f>
        <v>0</v>
      </c>
      <c r="U286" s="15">
        <f>$S$286+$T$286</f>
        <v>0</v>
      </c>
    </row>
    <row r="287" spans="1:21" x14ac:dyDescent="0.3">
      <c r="A287" s="10" t="s">
        <v>1055</v>
      </c>
      <c r="B287" s="11" t="s">
        <v>1056</v>
      </c>
      <c r="C287" s="11" t="s">
        <v>243</v>
      </c>
      <c r="D287" s="11" t="s">
        <v>1057</v>
      </c>
      <c r="E287" s="11">
        <f xml:space="preserve"> IF($U$287,1,0)</f>
        <v>0</v>
      </c>
      <c r="F287" s="11" t="s">
        <v>1058</v>
      </c>
      <c r="G287" s="11">
        <v>0</v>
      </c>
      <c r="H287" s="11">
        <v>0</v>
      </c>
      <c r="I287" s="11">
        <v>0</v>
      </c>
      <c r="J287" s="11">
        <v>0</v>
      </c>
      <c r="K287" s="11">
        <v>0</v>
      </c>
      <c r="L287" s="11">
        <v>0</v>
      </c>
      <c r="M287" s="11">
        <v>0</v>
      </c>
      <c r="N287" s="11">
        <v>0</v>
      </c>
      <c r="O287" s="11">
        <v>0</v>
      </c>
      <c r="P287" s="11">
        <v>0</v>
      </c>
      <c r="Q287" s="12"/>
      <c r="R287" s="12"/>
      <c r="S287" s="12">
        <f>$G$287*$G$8+$H$287*$H$8+$I$287*$I$8+$J$287*$J$8+$K$287*$K$8+$L$287*$L$8+$M$287*$M$8+$N$287*$N$8+$O$287*$O$8+$P$287*$P$8</f>
        <v>0</v>
      </c>
      <c r="T287" s="12">
        <f>SUM($Q$287:$R$287)</f>
        <v>0</v>
      </c>
      <c r="U287" s="12">
        <f>$S$287+$T$287</f>
        <v>0</v>
      </c>
    </row>
    <row r="288" spans="1:21" x14ac:dyDescent="0.3">
      <c r="A288" s="13" t="s">
        <v>1059</v>
      </c>
      <c r="B288" s="14" t="s">
        <v>1056</v>
      </c>
      <c r="C288" s="14" t="s">
        <v>278</v>
      </c>
      <c r="D288" s="14" t="s">
        <v>1060</v>
      </c>
      <c r="E288" s="14">
        <f xml:space="preserve"> IF($U$288,1,0)</f>
        <v>0</v>
      </c>
      <c r="F288" s="14" t="s">
        <v>1061</v>
      </c>
      <c r="G288" s="14">
        <v>0</v>
      </c>
      <c r="H288" s="14">
        <v>0</v>
      </c>
      <c r="I288" s="14">
        <v>0</v>
      </c>
      <c r="J288" s="14">
        <v>0</v>
      </c>
      <c r="K288" s="14">
        <v>0</v>
      </c>
      <c r="L288" s="14">
        <v>0</v>
      </c>
      <c r="M288" s="14">
        <v>0</v>
      </c>
      <c r="N288" s="14">
        <v>0</v>
      </c>
      <c r="O288" s="14">
        <v>0</v>
      </c>
      <c r="P288" s="14">
        <v>0</v>
      </c>
      <c r="Q288" s="15"/>
      <c r="R288" s="15"/>
      <c r="S288" s="15">
        <f>$G$288*$G$8+$H$288*$H$8+$I$288*$I$8+$J$288*$J$8+$K$288*$K$8+$L$288*$L$8+$M$288*$M$8+$N$288*$N$8+$O$288*$O$8+$P$288*$P$8</f>
        <v>0</v>
      </c>
      <c r="T288" s="15">
        <f>SUM($Q$288:$R$288)</f>
        <v>0</v>
      </c>
      <c r="U288" s="15">
        <f>$S$288+$T$288</f>
        <v>0</v>
      </c>
    </row>
    <row r="289" spans="1:21" x14ac:dyDescent="0.3">
      <c r="A289" s="10" t="s">
        <v>1062</v>
      </c>
      <c r="B289" s="11" t="s">
        <v>1063</v>
      </c>
      <c r="C289" s="11"/>
      <c r="D289" s="11" t="s">
        <v>1064</v>
      </c>
      <c r="E289" s="11">
        <f xml:space="preserve"> IF($U$289,1,0)</f>
        <v>0</v>
      </c>
      <c r="F289" s="11" t="s">
        <v>1065</v>
      </c>
      <c r="G289" s="11">
        <v>0</v>
      </c>
      <c r="H289" s="11">
        <v>0</v>
      </c>
      <c r="I289" s="11">
        <v>0</v>
      </c>
      <c r="J289" s="11">
        <v>0</v>
      </c>
      <c r="K289" s="11">
        <v>0</v>
      </c>
      <c r="L289" s="11">
        <v>0</v>
      </c>
      <c r="M289" s="11">
        <v>0</v>
      </c>
      <c r="N289" s="11">
        <v>0</v>
      </c>
      <c r="O289" s="11">
        <v>0</v>
      </c>
      <c r="P289" s="11">
        <v>0</v>
      </c>
      <c r="Q289" s="12"/>
      <c r="R289" s="12"/>
      <c r="S289" s="12">
        <f>$G$289*$G$8+$H$289*$H$8+$I$289*$I$8+$J$289*$J$8+$K$289*$K$8+$L$289*$L$8+$M$289*$M$8+$N$289*$N$8+$O$289*$O$8+$P$289*$P$8</f>
        <v>0</v>
      </c>
      <c r="T289" s="12">
        <f>SUM($Q$289:$R$289)</f>
        <v>0</v>
      </c>
      <c r="U289" s="12">
        <f>$S$289+$T$289</f>
        <v>0</v>
      </c>
    </row>
    <row r="290" spans="1:21" x14ac:dyDescent="0.3">
      <c r="A290" s="13" t="s">
        <v>1066</v>
      </c>
      <c r="B290" s="14" t="s">
        <v>1067</v>
      </c>
      <c r="C290" s="14" t="s">
        <v>202</v>
      </c>
      <c r="D290" s="14" t="s">
        <v>1068</v>
      </c>
      <c r="E290" s="14">
        <f xml:space="preserve"> IF($U$290,1,0)</f>
        <v>0</v>
      </c>
      <c r="F290" s="14" t="s">
        <v>1069</v>
      </c>
      <c r="G290" s="14">
        <v>0</v>
      </c>
      <c r="H290" s="14">
        <v>0</v>
      </c>
      <c r="I290" s="14">
        <v>0</v>
      </c>
      <c r="J290" s="14">
        <v>0</v>
      </c>
      <c r="K290" s="14">
        <v>0</v>
      </c>
      <c r="L290" s="14">
        <v>0</v>
      </c>
      <c r="M290" s="14">
        <v>0</v>
      </c>
      <c r="N290" s="14">
        <v>0</v>
      </c>
      <c r="O290" s="14">
        <v>0</v>
      </c>
      <c r="P290" s="14">
        <v>0</v>
      </c>
      <c r="Q290" s="15"/>
      <c r="R290" s="15"/>
      <c r="S290" s="15">
        <f>$G$290*$G$8+$H$290*$H$8+$I$290*$I$8+$J$290*$J$8+$K$290*$K$8+$L$290*$L$8+$M$290*$M$8+$N$290*$N$8+$O$290*$O$8+$P$290*$P$8</f>
        <v>0</v>
      </c>
      <c r="T290" s="15">
        <f>SUM($Q$290:$R$290)</f>
        <v>0</v>
      </c>
      <c r="U290" s="15">
        <f>$S$290+$T$290</f>
        <v>0</v>
      </c>
    </row>
    <row r="291" spans="1:21" x14ac:dyDescent="0.3">
      <c r="A291" s="10" t="s">
        <v>1070</v>
      </c>
      <c r="B291" s="11" t="s">
        <v>1071</v>
      </c>
      <c r="C291" s="11"/>
      <c r="D291" s="11" t="s">
        <v>1072</v>
      </c>
      <c r="E291" s="11">
        <f xml:space="preserve"> IF($U$291,1,0)</f>
        <v>0</v>
      </c>
      <c r="F291" s="11" t="s">
        <v>1073</v>
      </c>
      <c r="G291" s="11">
        <v>0</v>
      </c>
      <c r="H291" s="11">
        <v>0</v>
      </c>
      <c r="I291" s="11">
        <v>0</v>
      </c>
      <c r="J291" s="11">
        <v>0</v>
      </c>
      <c r="K291" s="11">
        <v>0</v>
      </c>
      <c r="L291" s="11">
        <v>0</v>
      </c>
      <c r="M291" s="11">
        <v>0</v>
      </c>
      <c r="N291" s="11">
        <v>0</v>
      </c>
      <c r="O291" s="11">
        <v>0</v>
      </c>
      <c r="P291" s="11">
        <v>0</v>
      </c>
      <c r="Q291" s="12"/>
      <c r="R291" s="12"/>
      <c r="S291" s="12">
        <f>$G$291*$G$8+$H$291*$H$8+$I$291*$I$8+$J$291*$J$8+$K$291*$K$8+$L$291*$L$8+$M$291*$M$8+$N$291*$N$8+$O$291*$O$8+$P$291*$P$8</f>
        <v>0</v>
      </c>
      <c r="T291" s="12">
        <f>SUM($Q$291:$R$291)</f>
        <v>0</v>
      </c>
      <c r="U291" s="12">
        <f>$S$291+$T$291</f>
        <v>0</v>
      </c>
    </row>
    <row r="292" spans="1:21" x14ac:dyDescent="0.3">
      <c r="A292" s="13" t="s">
        <v>1074</v>
      </c>
      <c r="B292" s="14" t="s">
        <v>1071</v>
      </c>
      <c r="C292" s="14"/>
      <c r="D292" s="14" t="s">
        <v>1075</v>
      </c>
      <c r="E292" s="14">
        <f xml:space="preserve"> IF($U$292,1,0)</f>
        <v>0</v>
      </c>
      <c r="F292" s="14" t="s">
        <v>1076</v>
      </c>
      <c r="G292" s="14">
        <v>0</v>
      </c>
      <c r="H292" s="14">
        <v>0</v>
      </c>
      <c r="I292" s="14">
        <v>0</v>
      </c>
      <c r="J292" s="14">
        <v>0</v>
      </c>
      <c r="K292" s="14">
        <v>0</v>
      </c>
      <c r="L292" s="14">
        <v>0</v>
      </c>
      <c r="M292" s="14">
        <v>0</v>
      </c>
      <c r="N292" s="14">
        <v>0</v>
      </c>
      <c r="O292" s="14">
        <v>0</v>
      </c>
      <c r="P292" s="14">
        <v>0</v>
      </c>
      <c r="Q292" s="15"/>
      <c r="R292" s="15"/>
      <c r="S292" s="15">
        <f>$G$292*$G$8+$H$292*$H$8+$I$292*$I$8+$J$292*$J$8+$K$292*$K$8+$L$292*$L$8+$M$292*$M$8+$N$292*$N$8+$O$292*$O$8+$P$292*$P$8</f>
        <v>0</v>
      </c>
      <c r="T292" s="15">
        <f>SUM($Q$292:$R$292)</f>
        <v>0</v>
      </c>
      <c r="U292" s="15">
        <f>$S$292+$T$292</f>
        <v>0</v>
      </c>
    </row>
    <row r="293" spans="1:21" x14ac:dyDescent="0.3">
      <c r="A293" s="10" t="s">
        <v>1077</v>
      </c>
      <c r="B293" s="11" t="s">
        <v>1078</v>
      </c>
      <c r="C293" s="11"/>
      <c r="D293" s="11" t="s">
        <v>1079</v>
      </c>
      <c r="E293" s="11">
        <f xml:space="preserve"> IF($U$293,1,0)</f>
        <v>0</v>
      </c>
      <c r="F293" s="11" t="s">
        <v>1080</v>
      </c>
      <c r="G293" s="11">
        <v>0</v>
      </c>
      <c r="H293" s="11">
        <v>0</v>
      </c>
      <c r="I293" s="11">
        <v>0</v>
      </c>
      <c r="J293" s="11">
        <v>0</v>
      </c>
      <c r="K293" s="11">
        <v>0</v>
      </c>
      <c r="L293" s="11">
        <v>0</v>
      </c>
      <c r="M293" s="11">
        <v>0</v>
      </c>
      <c r="N293" s="11">
        <v>0</v>
      </c>
      <c r="O293" s="11">
        <v>0</v>
      </c>
      <c r="P293" s="11">
        <v>0</v>
      </c>
      <c r="Q293" s="12"/>
      <c r="R293" s="12"/>
      <c r="S293" s="12">
        <f>$G$293*$G$8+$H$293*$H$8+$I$293*$I$8+$J$293*$J$8+$K$293*$K$8+$L$293*$L$8+$M$293*$M$8+$N$293*$N$8+$O$293*$O$8+$P$293*$P$8</f>
        <v>0</v>
      </c>
      <c r="T293" s="12">
        <f>SUM($Q$293:$R$293)</f>
        <v>0</v>
      </c>
      <c r="U293" s="12">
        <f>$S$293+$T$293</f>
        <v>0</v>
      </c>
    </row>
    <row r="294" spans="1:21" x14ac:dyDescent="0.3">
      <c r="A294" s="13" t="s">
        <v>1081</v>
      </c>
      <c r="B294" s="14" t="s">
        <v>1082</v>
      </c>
      <c r="C294" s="14"/>
      <c r="D294" s="14" t="s">
        <v>1083</v>
      </c>
      <c r="E294" s="14">
        <f xml:space="preserve"> IF($U$294,1,0)</f>
        <v>0</v>
      </c>
      <c r="F294" s="14" t="s">
        <v>1084</v>
      </c>
      <c r="G294" s="14">
        <v>0</v>
      </c>
      <c r="H294" s="14">
        <v>0</v>
      </c>
      <c r="I294" s="14">
        <v>0</v>
      </c>
      <c r="J294" s="14">
        <v>0</v>
      </c>
      <c r="K294" s="14">
        <v>0</v>
      </c>
      <c r="L294" s="14">
        <v>0</v>
      </c>
      <c r="M294" s="14">
        <v>0</v>
      </c>
      <c r="N294" s="14">
        <v>0</v>
      </c>
      <c r="O294" s="14">
        <v>0</v>
      </c>
      <c r="P294" s="14">
        <v>0</v>
      </c>
      <c r="Q294" s="15"/>
      <c r="R294" s="15"/>
      <c r="S294" s="15">
        <f>$G$294*$G$8+$H$294*$H$8+$I$294*$I$8+$J$294*$J$8+$K$294*$K$8+$L$294*$L$8+$M$294*$M$8+$N$294*$N$8+$O$294*$O$8+$P$294*$P$8</f>
        <v>0</v>
      </c>
      <c r="T294" s="15">
        <f>SUM($Q$294:$R$294)</f>
        <v>0</v>
      </c>
      <c r="U294" s="15">
        <f>$S$294+$T$294</f>
        <v>0</v>
      </c>
    </row>
    <row r="295" spans="1:21" x14ac:dyDescent="0.3">
      <c r="A295" s="10" t="s">
        <v>1085</v>
      </c>
      <c r="B295" s="11" t="s">
        <v>1082</v>
      </c>
      <c r="C295" s="11"/>
      <c r="D295" s="11" t="s">
        <v>1086</v>
      </c>
      <c r="E295" s="11">
        <f xml:space="preserve"> IF($U$295,1,0)</f>
        <v>0</v>
      </c>
      <c r="F295" s="11" t="s">
        <v>1087</v>
      </c>
      <c r="G295" s="11">
        <v>0</v>
      </c>
      <c r="H295" s="11">
        <v>0</v>
      </c>
      <c r="I295" s="11">
        <v>0</v>
      </c>
      <c r="J295" s="11">
        <v>0</v>
      </c>
      <c r="K295" s="11">
        <v>0</v>
      </c>
      <c r="L295" s="11">
        <v>0</v>
      </c>
      <c r="M295" s="11">
        <v>0</v>
      </c>
      <c r="N295" s="11">
        <v>0</v>
      </c>
      <c r="O295" s="11">
        <v>0</v>
      </c>
      <c r="P295" s="11">
        <v>0</v>
      </c>
      <c r="Q295" s="12"/>
      <c r="R295" s="12"/>
      <c r="S295" s="12">
        <f>$G$295*$G$8+$H$295*$H$8+$I$295*$I$8+$J$295*$J$8+$K$295*$K$8+$L$295*$L$8+$M$295*$M$8+$N$295*$N$8+$O$295*$O$8+$P$295*$P$8</f>
        <v>0</v>
      </c>
      <c r="T295" s="12">
        <f>SUM($Q$295:$R$295)</f>
        <v>0</v>
      </c>
      <c r="U295" s="12">
        <f>$S$295+$T$295</f>
        <v>0</v>
      </c>
    </row>
    <row r="296" spans="1:21" x14ac:dyDescent="0.3">
      <c r="A296" s="13" t="s">
        <v>1088</v>
      </c>
      <c r="B296" s="14" t="s">
        <v>1082</v>
      </c>
      <c r="C296" s="14" t="s">
        <v>65</v>
      </c>
      <c r="D296" s="14" t="s">
        <v>1089</v>
      </c>
      <c r="E296" s="14">
        <f xml:space="preserve"> IF($U$296,1,0)</f>
        <v>0</v>
      </c>
      <c r="F296" s="14" t="s">
        <v>1090</v>
      </c>
      <c r="G296" s="14">
        <v>0</v>
      </c>
      <c r="H296" s="14">
        <v>0</v>
      </c>
      <c r="I296" s="14">
        <v>0</v>
      </c>
      <c r="J296" s="14">
        <v>0</v>
      </c>
      <c r="K296" s="14">
        <v>0</v>
      </c>
      <c r="L296" s="14">
        <v>0</v>
      </c>
      <c r="M296" s="14">
        <v>0</v>
      </c>
      <c r="N296" s="14">
        <v>0</v>
      </c>
      <c r="O296" s="14">
        <v>0</v>
      </c>
      <c r="P296" s="14">
        <v>0</v>
      </c>
      <c r="Q296" s="15"/>
      <c r="R296" s="15"/>
      <c r="S296" s="15">
        <f>$G$296*$G$8+$H$296*$H$8+$I$296*$I$8+$J$296*$J$8+$K$296*$K$8+$L$296*$L$8+$M$296*$M$8+$N$296*$N$8+$O$296*$O$8+$P$296*$P$8</f>
        <v>0</v>
      </c>
      <c r="T296" s="15">
        <f>SUM($Q$296:$R$296)</f>
        <v>0</v>
      </c>
      <c r="U296" s="15">
        <f>$S$296+$T$296</f>
        <v>0</v>
      </c>
    </row>
    <row r="297" spans="1:21" x14ac:dyDescent="0.3">
      <c r="A297" s="10" t="s">
        <v>1091</v>
      </c>
      <c r="B297" s="11" t="s">
        <v>1082</v>
      </c>
      <c r="C297" s="11"/>
      <c r="D297" s="11" t="s">
        <v>1092</v>
      </c>
      <c r="E297" s="11">
        <f xml:space="preserve"> IF($U$297,1,0)</f>
        <v>0</v>
      </c>
      <c r="F297" s="11" t="s">
        <v>1093</v>
      </c>
      <c r="G297" s="11">
        <v>0</v>
      </c>
      <c r="H297" s="11">
        <v>0</v>
      </c>
      <c r="I297" s="11">
        <v>0</v>
      </c>
      <c r="J297" s="11">
        <v>0</v>
      </c>
      <c r="K297" s="11">
        <v>0</v>
      </c>
      <c r="L297" s="11">
        <v>0</v>
      </c>
      <c r="M297" s="11">
        <v>0</v>
      </c>
      <c r="N297" s="11">
        <v>0</v>
      </c>
      <c r="O297" s="11">
        <v>0</v>
      </c>
      <c r="P297" s="11">
        <v>0</v>
      </c>
      <c r="Q297" s="12"/>
      <c r="R297" s="12"/>
      <c r="S297" s="12">
        <f>$G$297*$G$8+$H$297*$H$8+$I$297*$I$8+$J$297*$J$8+$K$297*$K$8+$L$297*$L$8+$M$297*$M$8+$N$297*$N$8+$O$297*$O$8+$P$297*$P$8</f>
        <v>0</v>
      </c>
      <c r="T297" s="12">
        <f>SUM($Q$297:$R$297)</f>
        <v>0</v>
      </c>
      <c r="U297" s="12">
        <f>$S$297+$T$297</f>
        <v>0</v>
      </c>
    </row>
    <row r="298" spans="1:21" x14ac:dyDescent="0.3">
      <c r="A298" s="13" t="s">
        <v>1094</v>
      </c>
      <c r="B298" s="14" t="s">
        <v>1095</v>
      </c>
      <c r="C298" s="14" t="s">
        <v>34</v>
      </c>
      <c r="D298" s="14" t="s">
        <v>1096</v>
      </c>
      <c r="E298" s="14">
        <f xml:space="preserve"> IF($U$298,1,0)</f>
        <v>0</v>
      </c>
      <c r="F298" s="14" t="s">
        <v>1097</v>
      </c>
      <c r="G298" s="14">
        <v>0</v>
      </c>
      <c r="H298" s="14">
        <v>0</v>
      </c>
      <c r="I298" s="14">
        <v>0</v>
      </c>
      <c r="J298" s="14">
        <v>0</v>
      </c>
      <c r="K298" s="14">
        <v>0</v>
      </c>
      <c r="L298" s="14">
        <v>0</v>
      </c>
      <c r="M298" s="14">
        <v>0</v>
      </c>
      <c r="N298" s="14">
        <v>0</v>
      </c>
      <c r="O298" s="14">
        <v>0</v>
      </c>
      <c r="P298" s="14">
        <v>0</v>
      </c>
      <c r="Q298" s="15"/>
      <c r="R298" s="15"/>
      <c r="S298" s="15">
        <f>$G$298*$G$8+$H$298*$H$8+$I$298*$I$8+$J$298*$J$8+$K$298*$K$8+$L$298*$L$8+$M$298*$M$8+$N$298*$N$8+$O$298*$O$8+$P$298*$P$8</f>
        <v>0</v>
      </c>
      <c r="T298" s="15">
        <f>SUM($Q$298:$R$298)</f>
        <v>0</v>
      </c>
      <c r="U298" s="15">
        <f>$S$298+$T$298</f>
        <v>0</v>
      </c>
    </row>
    <row r="299" spans="1:21" x14ac:dyDescent="0.3">
      <c r="A299" s="10" t="s">
        <v>1098</v>
      </c>
      <c r="B299" s="11" t="s">
        <v>1099</v>
      </c>
      <c r="C299" s="11"/>
      <c r="D299" s="11" t="s">
        <v>1100</v>
      </c>
      <c r="E299" s="11">
        <f xml:space="preserve"> IF($U$299,1,0)</f>
        <v>0</v>
      </c>
      <c r="F299" s="11" t="s">
        <v>1101</v>
      </c>
      <c r="G299" s="11">
        <v>0</v>
      </c>
      <c r="H299" s="11">
        <v>0</v>
      </c>
      <c r="I299" s="11">
        <v>0</v>
      </c>
      <c r="J299" s="11">
        <v>0</v>
      </c>
      <c r="K299" s="11">
        <v>0</v>
      </c>
      <c r="L299" s="11">
        <v>0</v>
      </c>
      <c r="M299" s="11">
        <v>0</v>
      </c>
      <c r="N299" s="11">
        <v>0</v>
      </c>
      <c r="O299" s="11">
        <v>0</v>
      </c>
      <c r="P299" s="11">
        <v>0</v>
      </c>
      <c r="Q299" s="12"/>
      <c r="R299" s="12"/>
      <c r="S299" s="12">
        <f>$G$299*$G$8+$H$299*$H$8+$I$299*$I$8+$J$299*$J$8+$K$299*$K$8+$L$299*$L$8+$M$299*$M$8+$N$299*$N$8+$O$299*$O$8+$P$299*$P$8</f>
        <v>0</v>
      </c>
      <c r="T299" s="12">
        <f>SUM($Q$299:$R$299)</f>
        <v>0</v>
      </c>
      <c r="U299" s="12">
        <f>$S$299+$T$299</f>
        <v>0</v>
      </c>
    </row>
    <row r="300" spans="1:21" x14ac:dyDescent="0.3">
      <c r="A300" s="13" t="s">
        <v>1102</v>
      </c>
      <c r="B300" s="14" t="s">
        <v>1103</v>
      </c>
      <c r="C300" s="14"/>
      <c r="D300" s="14" t="s">
        <v>1104</v>
      </c>
      <c r="E300" s="14">
        <f xml:space="preserve"> IF($U$300,1,0)</f>
        <v>0</v>
      </c>
      <c r="F300" s="14" t="s">
        <v>1105</v>
      </c>
      <c r="G300" s="14">
        <v>0</v>
      </c>
      <c r="H300" s="14">
        <v>0</v>
      </c>
      <c r="I300" s="14">
        <v>0</v>
      </c>
      <c r="J300" s="14">
        <v>0</v>
      </c>
      <c r="K300" s="14">
        <v>0</v>
      </c>
      <c r="L300" s="14">
        <v>0</v>
      </c>
      <c r="M300" s="14">
        <v>0</v>
      </c>
      <c r="N300" s="14">
        <v>0</v>
      </c>
      <c r="O300" s="14">
        <v>0</v>
      </c>
      <c r="P300" s="14">
        <v>0</v>
      </c>
      <c r="Q300" s="15"/>
      <c r="R300" s="15"/>
      <c r="S300" s="15">
        <f>$G$300*$G$8+$H$300*$H$8+$I$300*$I$8+$J$300*$J$8+$K$300*$K$8+$L$300*$L$8+$M$300*$M$8+$N$300*$N$8+$O$300*$O$8+$P$300*$P$8</f>
        <v>0</v>
      </c>
      <c r="T300" s="15">
        <f>SUM($Q$300:$R$300)</f>
        <v>0</v>
      </c>
      <c r="U300" s="15">
        <f>$S$300+$T$300</f>
        <v>0</v>
      </c>
    </row>
    <row r="301" spans="1:21" x14ac:dyDescent="0.3">
      <c r="A301" s="10" t="s">
        <v>1106</v>
      </c>
      <c r="B301" s="11" t="s">
        <v>1107</v>
      </c>
      <c r="C301" s="11"/>
      <c r="D301" s="11" t="s">
        <v>1107</v>
      </c>
      <c r="E301" s="11">
        <f xml:space="preserve"> IF($U$301,1,0)</f>
        <v>0</v>
      </c>
      <c r="F301" s="11" t="s">
        <v>1108</v>
      </c>
      <c r="G301" s="11">
        <v>0</v>
      </c>
      <c r="H301" s="11">
        <v>0</v>
      </c>
      <c r="I301" s="11">
        <v>0</v>
      </c>
      <c r="J301" s="11">
        <v>0</v>
      </c>
      <c r="K301" s="11">
        <v>0</v>
      </c>
      <c r="L301" s="11">
        <v>0</v>
      </c>
      <c r="M301" s="11">
        <v>0</v>
      </c>
      <c r="N301" s="11">
        <v>0</v>
      </c>
      <c r="O301" s="11">
        <v>0</v>
      </c>
      <c r="P301" s="11">
        <v>0</v>
      </c>
      <c r="Q301" s="12"/>
      <c r="R301" s="12"/>
      <c r="S301" s="12">
        <f>$G$301*$G$8+$H$301*$H$8+$I$301*$I$8+$J$301*$J$8+$K$301*$K$8+$L$301*$L$8+$M$301*$M$8+$N$301*$N$8+$O$301*$O$8+$P$301*$P$8</f>
        <v>0</v>
      </c>
      <c r="T301" s="12">
        <f>SUM($Q$301:$R$301)</f>
        <v>0</v>
      </c>
      <c r="U301" s="12">
        <f>$S$301+$T$301</f>
        <v>0</v>
      </c>
    </row>
    <row r="302" spans="1:21" x14ac:dyDescent="0.3">
      <c r="A302" s="13" t="s">
        <v>1109</v>
      </c>
      <c r="B302" s="14" t="s">
        <v>1110</v>
      </c>
      <c r="C302" s="14" t="s">
        <v>34</v>
      </c>
      <c r="D302" s="14" t="s">
        <v>1111</v>
      </c>
      <c r="E302" s="14">
        <f xml:space="preserve"> IF($U$302,1,0)</f>
        <v>0</v>
      </c>
      <c r="F302" s="14" t="s">
        <v>1112</v>
      </c>
      <c r="G302" s="14">
        <v>0</v>
      </c>
      <c r="H302" s="14">
        <v>0</v>
      </c>
      <c r="I302" s="14">
        <v>0</v>
      </c>
      <c r="J302" s="14">
        <v>0</v>
      </c>
      <c r="K302" s="14">
        <v>0</v>
      </c>
      <c r="L302" s="14">
        <v>0</v>
      </c>
      <c r="M302" s="14">
        <v>0</v>
      </c>
      <c r="N302" s="14">
        <v>0</v>
      </c>
      <c r="O302" s="14">
        <v>0</v>
      </c>
      <c r="P302" s="14">
        <v>0</v>
      </c>
      <c r="Q302" s="15"/>
      <c r="R302" s="15"/>
      <c r="S302" s="15">
        <f>$G$302*$G$8+$H$302*$H$8+$I$302*$I$8+$J$302*$J$8+$K$302*$K$8+$L$302*$L$8+$M$302*$M$8+$N$302*$N$8+$O$302*$O$8+$P$302*$P$8</f>
        <v>0</v>
      </c>
      <c r="T302" s="15">
        <f>SUM($Q$302:$R$302)</f>
        <v>0</v>
      </c>
      <c r="U302" s="15">
        <f>$S$302+$T$302</f>
        <v>0</v>
      </c>
    </row>
    <row r="303" spans="1:21" x14ac:dyDescent="0.3">
      <c r="A303" s="10" t="s">
        <v>1113</v>
      </c>
      <c r="B303" s="11" t="s">
        <v>1114</v>
      </c>
      <c r="C303" s="11" t="s">
        <v>34</v>
      </c>
      <c r="D303" s="11" t="s">
        <v>239</v>
      </c>
      <c r="E303" s="11">
        <f xml:space="preserve"> IF($U$303,1,0)</f>
        <v>0</v>
      </c>
      <c r="F303" s="11" t="s">
        <v>1115</v>
      </c>
      <c r="G303" s="11">
        <v>0</v>
      </c>
      <c r="H303" s="11">
        <v>0</v>
      </c>
      <c r="I303" s="11">
        <v>0</v>
      </c>
      <c r="J303" s="11">
        <v>0</v>
      </c>
      <c r="K303" s="11">
        <v>0</v>
      </c>
      <c r="L303" s="11">
        <v>0</v>
      </c>
      <c r="M303" s="11">
        <v>0</v>
      </c>
      <c r="N303" s="11">
        <v>0</v>
      </c>
      <c r="O303" s="11">
        <v>0</v>
      </c>
      <c r="P303" s="11">
        <v>0</v>
      </c>
      <c r="Q303" s="12"/>
      <c r="R303" s="12"/>
      <c r="S303" s="12">
        <f>$G$303*$G$8+$H$303*$H$8+$I$303*$I$8+$J$303*$J$8+$K$303*$K$8+$L$303*$L$8+$M$303*$M$8+$N$303*$N$8+$O$303*$O$8+$P$303*$P$8</f>
        <v>0</v>
      </c>
      <c r="T303" s="12">
        <f>SUM($Q$303:$R$303)</f>
        <v>0</v>
      </c>
      <c r="U303" s="12">
        <f>$S$303+$T$303</f>
        <v>0</v>
      </c>
    </row>
    <row r="304" spans="1:21" x14ac:dyDescent="0.3">
      <c r="A304" s="13" t="s">
        <v>1257</v>
      </c>
      <c r="B304" s="14" t="s">
        <v>1117</v>
      </c>
      <c r="C304" s="14" t="s">
        <v>202</v>
      </c>
      <c r="D304" s="14" t="s">
        <v>442</v>
      </c>
      <c r="E304" s="14">
        <f xml:space="preserve"> IF($U$304,1,0)</f>
        <v>0</v>
      </c>
      <c r="F304" s="14" t="s">
        <v>1258</v>
      </c>
      <c r="G304" s="14">
        <v>0</v>
      </c>
      <c r="H304" s="14">
        <v>0</v>
      </c>
      <c r="I304" s="14">
        <v>0</v>
      </c>
      <c r="J304" s="14">
        <v>0</v>
      </c>
      <c r="K304" s="14">
        <v>0</v>
      </c>
      <c r="L304" s="14">
        <v>0</v>
      </c>
      <c r="M304" s="14">
        <v>0</v>
      </c>
      <c r="N304" s="14">
        <v>0</v>
      </c>
      <c r="O304" s="14">
        <v>0</v>
      </c>
      <c r="P304" s="14">
        <v>0</v>
      </c>
      <c r="Q304" s="15"/>
      <c r="R304" s="15"/>
      <c r="S304" s="15">
        <f>$G$304*$G$8+$H$304*$H$8+$I$304*$I$8+$J$304*$J$8+$K$304*$K$8+$L$304*$L$8+$M$304*$M$8+$N$304*$N$8+$O$304*$O$8+$P$304*$P$8</f>
        <v>0</v>
      </c>
      <c r="T304" s="15">
        <f>SUM($Q$304:$R$304)</f>
        <v>0</v>
      </c>
      <c r="U304" s="15">
        <f>$S$304+$T$304</f>
        <v>0</v>
      </c>
    </row>
    <row r="305" spans="1:21" x14ac:dyDescent="0.3">
      <c r="A305" s="10" t="s">
        <v>1116</v>
      </c>
      <c r="B305" s="11" t="s">
        <v>1117</v>
      </c>
      <c r="C305" s="11"/>
      <c r="D305" s="11" t="s">
        <v>1118</v>
      </c>
      <c r="E305" s="11">
        <f xml:space="preserve"> IF($U$305,1,0)</f>
        <v>0</v>
      </c>
      <c r="F305" s="11" t="s">
        <v>1119</v>
      </c>
      <c r="G305" s="11">
        <v>0</v>
      </c>
      <c r="H305" s="11">
        <v>0</v>
      </c>
      <c r="I305" s="11">
        <v>0</v>
      </c>
      <c r="J305" s="11">
        <v>0</v>
      </c>
      <c r="K305" s="11">
        <v>0</v>
      </c>
      <c r="L305" s="11">
        <v>0</v>
      </c>
      <c r="M305" s="11">
        <v>0</v>
      </c>
      <c r="N305" s="11">
        <v>0</v>
      </c>
      <c r="O305" s="11">
        <v>0</v>
      </c>
      <c r="P305" s="11">
        <v>0</v>
      </c>
      <c r="Q305" s="12"/>
      <c r="R305" s="12"/>
      <c r="S305" s="12">
        <f>$G$305*$G$8+$H$305*$H$8+$I$305*$I$8+$J$305*$J$8+$K$305*$K$8+$L$305*$L$8+$M$305*$M$8+$N$305*$N$8+$O$305*$O$8+$P$305*$P$8</f>
        <v>0</v>
      </c>
      <c r="T305" s="12">
        <f>SUM($Q$305:$R$305)</f>
        <v>0</v>
      </c>
      <c r="U305" s="12">
        <f>$S$305+$T$305</f>
        <v>0</v>
      </c>
    </row>
    <row r="306" spans="1:21" x14ac:dyDescent="0.3">
      <c r="A306" s="13" t="s">
        <v>1120</v>
      </c>
      <c r="B306" s="14" t="s">
        <v>1117</v>
      </c>
      <c r="C306" s="14"/>
      <c r="D306" s="14" t="s">
        <v>1121</v>
      </c>
      <c r="E306" s="14">
        <f xml:space="preserve"> IF($U$306,1,0)</f>
        <v>0</v>
      </c>
      <c r="F306" s="14" t="s">
        <v>1122</v>
      </c>
      <c r="G306" s="14">
        <v>0</v>
      </c>
      <c r="H306" s="14">
        <v>0</v>
      </c>
      <c r="I306" s="14">
        <v>0</v>
      </c>
      <c r="J306" s="14">
        <v>0</v>
      </c>
      <c r="K306" s="14">
        <v>0</v>
      </c>
      <c r="L306" s="14">
        <v>0</v>
      </c>
      <c r="M306" s="14">
        <v>0</v>
      </c>
      <c r="N306" s="14">
        <v>0</v>
      </c>
      <c r="O306" s="14">
        <v>0</v>
      </c>
      <c r="P306" s="14">
        <v>0</v>
      </c>
      <c r="Q306" s="15"/>
      <c r="R306" s="15"/>
      <c r="S306" s="15">
        <f>$G$306*$G$8+$H$306*$H$8+$I$306*$I$8+$J$306*$J$8+$K$306*$K$8+$L$306*$L$8+$M$306*$M$8+$N$306*$N$8+$O$306*$O$8+$P$306*$P$8</f>
        <v>0</v>
      </c>
      <c r="T306" s="15">
        <f>SUM($Q$306:$R$306)</f>
        <v>0</v>
      </c>
      <c r="U306" s="15">
        <f>$S$306+$T$306</f>
        <v>0</v>
      </c>
    </row>
    <row r="307" spans="1:21" x14ac:dyDescent="0.3">
      <c r="A307" s="10" t="s">
        <v>1123</v>
      </c>
      <c r="B307" s="11" t="s">
        <v>1117</v>
      </c>
      <c r="C307" s="11"/>
      <c r="D307" s="11" t="s">
        <v>1124</v>
      </c>
      <c r="E307" s="11">
        <f xml:space="preserve"> IF($U$307,1,0)</f>
        <v>0</v>
      </c>
      <c r="F307" s="11" t="s">
        <v>1125</v>
      </c>
      <c r="G307" s="11">
        <v>0</v>
      </c>
      <c r="H307" s="11">
        <v>0</v>
      </c>
      <c r="I307" s="11">
        <v>0</v>
      </c>
      <c r="J307" s="11">
        <v>0</v>
      </c>
      <c r="K307" s="11">
        <v>0</v>
      </c>
      <c r="L307" s="11">
        <v>0</v>
      </c>
      <c r="M307" s="11">
        <v>0</v>
      </c>
      <c r="N307" s="11">
        <v>0</v>
      </c>
      <c r="O307" s="11">
        <v>0</v>
      </c>
      <c r="P307" s="11">
        <v>0</v>
      </c>
      <c r="Q307" s="12"/>
      <c r="R307" s="12"/>
      <c r="S307" s="12">
        <f>$G$307*$G$8+$H$307*$H$8+$I$307*$I$8+$J$307*$J$8+$K$307*$K$8+$L$307*$L$8+$M$307*$M$8+$N$307*$N$8+$O$307*$O$8+$P$307*$P$8</f>
        <v>0</v>
      </c>
      <c r="T307" s="12">
        <f>SUM($Q$307:$R$307)</f>
        <v>0</v>
      </c>
      <c r="U307" s="12">
        <f>$S$307+$T$307</f>
        <v>0</v>
      </c>
    </row>
    <row r="308" spans="1:21" x14ac:dyDescent="0.3">
      <c r="A308" s="13" t="s">
        <v>1126</v>
      </c>
      <c r="B308" s="14" t="s">
        <v>1117</v>
      </c>
      <c r="C308" s="14"/>
      <c r="D308" s="14" t="s">
        <v>1127</v>
      </c>
      <c r="E308" s="14">
        <f xml:space="preserve"> IF($U$308,1,0)</f>
        <v>0</v>
      </c>
      <c r="F308" s="14" t="s">
        <v>1128</v>
      </c>
      <c r="G308" s="14">
        <v>0</v>
      </c>
      <c r="H308" s="14">
        <v>0</v>
      </c>
      <c r="I308" s="14">
        <v>0</v>
      </c>
      <c r="J308" s="14">
        <v>0</v>
      </c>
      <c r="K308" s="14">
        <v>0</v>
      </c>
      <c r="L308" s="14">
        <v>0</v>
      </c>
      <c r="M308" s="14">
        <v>0</v>
      </c>
      <c r="N308" s="14">
        <v>0</v>
      </c>
      <c r="O308" s="14">
        <v>0</v>
      </c>
      <c r="P308" s="14">
        <v>0</v>
      </c>
      <c r="Q308" s="15"/>
      <c r="R308" s="15"/>
      <c r="S308" s="15">
        <f>$G$308*$G$8+$H$308*$H$8+$I$308*$I$8+$J$308*$J$8+$K$308*$K$8+$L$308*$L$8+$M$308*$M$8+$N$308*$N$8+$O$308*$O$8+$P$308*$P$8</f>
        <v>0</v>
      </c>
      <c r="T308" s="15">
        <f>SUM($Q$308:$R$308)</f>
        <v>0</v>
      </c>
      <c r="U308" s="15">
        <f>$S$308+$T$308</f>
        <v>0</v>
      </c>
    </row>
    <row r="309" spans="1:21" x14ac:dyDescent="0.3">
      <c r="A309" s="10" t="s">
        <v>1129</v>
      </c>
      <c r="B309" s="11" t="s">
        <v>1130</v>
      </c>
      <c r="C309" s="11" t="s">
        <v>34</v>
      </c>
      <c r="D309" s="11" t="s">
        <v>1131</v>
      </c>
      <c r="E309" s="11">
        <f xml:space="preserve"> IF($U$309,1,0)</f>
        <v>0</v>
      </c>
      <c r="F309" s="11" t="s">
        <v>1132</v>
      </c>
      <c r="G309" s="11">
        <v>0</v>
      </c>
      <c r="H309" s="11">
        <v>0</v>
      </c>
      <c r="I309" s="11">
        <v>0</v>
      </c>
      <c r="J309" s="11">
        <v>0</v>
      </c>
      <c r="K309" s="11">
        <v>0</v>
      </c>
      <c r="L309" s="11">
        <v>0</v>
      </c>
      <c r="M309" s="11">
        <v>0</v>
      </c>
      <c r="N309" s="11">
        <v>0</v>
      </c>
      <c r="O309" s="11">
        <v>0</v>
      </c>
      <c r="P309" s="11">
        <v>0</v>
      </c>
      <c r="Q309" s="12"/>
      <c r="R309" s="12"/>
      <c r="S309" s="12">
        <f>$G$309*$G$8+$H$309*$H$8+$I$309*$I$8+$J$309*$J$8+$K$309*$K$8+$L$309*$L$8+$M$309*$M$8+$N$309*$N$8+$O$309*$O$8+$P$309*$P$8</f>
        <v>0</v>
      </c>
      <c r="T309" s="12">
        <f>SUM($Q$309:$R$309)</f>
        <v>0</v>
      </c>
      <c r="U309" s="12">
        <f>$S$309+$T$309</f>
        <v>0</v>
      </c>
    </row>
    <row r="310" spans="1:21" x14ac:dyDescent="0.3">
      <c r="A310" s="13" t="s">
        <v>1133</v>
      </c>
      <c r="B310" s="14" t="s">
        <v>1134</v>
      </c>
      <c r="C310" s="14"/>
      <c r="D310" s="14" t="s">
        <v>1135</v>
      </c>
      <c r="E310" s="14">
        <f xml:space="preserve"> IF($U$310,1,0)</f>
        <v>0</v>
      </c>
      <c r="F310" s="14" t="s">
        <v>1136</v>
      </c>
      <c r="G310" s="14">
        <v>0</v>
      </c>
      <c r="H310" s="14">
        <v>0</v>
      </c>
      <c r="I310" s="14">
        <v>0</v>
      </c>
      <c r="J310" s="14">
        <v>0</v>
      </c>
      <c r="K310" s="14">
        <v>0</v>
      </c>
      <c r="L310" s="14">
        <v>0</v>
      </c>
      <c r="M310" s="14">
        <v>0</v>
      </c>
      <c r="N310" s="14">
        <v>0</v>
      </c>
      <c r="O310" s="14">
        <v>0</v>
      </c>
      <c r="P310" s="14">
        <v>0</v>
      </c>
      <c r="Q310" s="15"/>
      <c r="R310" s="15"/>
      <c r="S310" s="15">
        <f>$G$310*$G$8+$H$310*$H$8+$I$310*$I$8+$J$310*$J$8+$K$310*$K$8+$L$310*$L$8+$M$310*$M$8+$N$310*$N$8+$O$310*$O$8+$P$310*$P$8</f>
        <v>0</v>
      </c>
      <c r="T310" s="15">
        <f>SUM($Q$310:$R$310)</f>
        <v>0</v>
      </c>
      <c r="U310" s="15">
        <f>$S$310+$T$310</f>
        <v>0</v>
      </c>
    </row>
    <row r="311" spans="1:21" x14ac:dyDescent="0.3">
      <c r="A311" s="10" t="s">
        <v>1137</v>
      </c>
      <c r="B311" s="11" t="s">
        <v>1138</v>
      </c>
      <c r="C311" s="11" t="s">
        <v>1296</v>
      </c>
      <c r="D311" s="11" t="s">
        <v>1139</v>
      </c>
      <c r="E311" s="11">
        <f xml:space="preserve"> IF($U$311,1,0)</f>
        <v>0</v>
      </c>
      <c r="F311" s="11" t="s">
        <v>1297</v>
      </c>
      <c r="G311" s="11">
        <v>0</v>
      </c>
      <c r="H311" s="11">
        <v>0</v>
      </c>
      <c r="I311" s="11">
        <v>0</v>
      </c>
      <c r="J311" s="11">
        <v>0</v>
      </c>
      <c r="K311" s="11">
        <v>0</v>
      </c>
      <c r="L311" s="11">
        <v>0</v>
      </c>
      <c r="M311" s="11">
        <v>0</v>
      </c>
      <c r="N311" s="11">
        <v>0</v>
      </c>
      <c r="O311" s="11">
        <v>0</v>
      </c>
      <c r="P311" s="11">
        <v>0</v>
      </c>
      <c r="Q311" s="12"/>
      <c r="R311" s="12"/>
      <c r="S311" s="12">
        <f>$G$311*$G$8+$H$311*$H$8+$I$311*$I$8+$J$311*$J$8+$K$311*$K$8+$L$311*$L$8+$M$311*$M$8+$N$311*$N$8+$O$311*$O$8+$P$311*$P$8</f>
        <v>0</v>
      </c>
      <c r="T311" s="12">
        <f>SUM($Q$311:$R$311)</f>
        <v>0</v>
      </c>
      <c r="U311" s="12">
        <f>$S$311+$T$311</f>
        <v>0</v>
      </c>
    </row>
    <row r="312" spans="1:21" x14ac:dyDescent="0.3">
      <c r="A312" s="13" t="s">
        <v>1141</v>
      </c>
      <c r="B312" s="14" t="s">
        <v>1142</v>
      </c>
      <c r="C312" s="14" t="s">
        <v>202</v>
      </c>
      <c r="D312" s="14" t="s">
        <v>442</v>
      </c>
      <c r="E312" s="14">
        <f xml:space="preserve"> IF($U$312,1,0)</f>
        <v>0</v>
      </c>
      <c r="F312" s="14" t="s">
        <v>1143</v>
      </c>
      <c r="G312" s="14">
        <v>0</v>
      </c>
      <c r="H312" s="14">
        <v>0</v>
      </c>
      <c r="I312" s="14">
        <v>0</v>
      </c>
      <c r="J312" s="14">
        <v>0</v>
      </c>
      <c r="K312" s="14">
        <v>0</v>
      </c>
      <c r="L312" s="14">
        <v>0</v>
      </c>
      <c r="M312" s="14">
        <v>0</v>
      </c>
      <c r="N312" s="14">
        <v>0</v>
      </c>
      <c r="O312" s="14">
        <v>0</v>
      </c>
      <c r="P312" s="14">
        <v>0</v>
      </c>
      <c r="Q312" s="15"/>
      <c r="R312" s="15"/>
      <c r="S312" s="15">
        <f>$G$312*$G$8+$H$312*$H$8+$I$312*$I$8+$J$312*$J$8+$K$312*$K$8+$L$312*$L$8+$M$312*$M$8+$N$312*$N$8+$O$312*$O$8+$P$312*$P$8</f>
        <v>0</v>
      </c>
      <c r="T312" s="15">
        <f>SUM($Q$312:$R$312)</f>
        <v>0</v>
      </c>
      <c r="U312" s="15">
        <f>$S$312+$T$312</f>
        <v>0</v>
      </c>
    </row>
    <row r="313" spans="1:21" x14ac:dyDescent="0.3">
      <c r="A313" s="10" t="s">
        <v>1144</v>
      </c>
      <c r="B313" s="11" t="s">
        <v>1142</v>
      </c>
      <c r="C313" s="11"/>
      <c r="D313" s="11" t="s">
        <v>1145</v>
      </c>
      <c r="E313" s="11">
        <f xml:space="preserve"> IF($U$313,1,0)</f>
        <v>0</v>
      </c>
      <c r="F313" s="11" t="s">
        <v>1146</v>
      </c>
      <c r="G313" s="11">
        <v>0</v>
      </c>
      <c r="H313" s="11">
        <v>0</v>
      </c>
      <c r="I313" s="11">
        <v>0</v>
      </c>
      <c r="J313" s="11">
        <v>0</v>
      </c>
      <c r="K313" s="11">
        <v>0</v>
      </c>
      <c r="L313" s="11">
        <v>0</v>
      </c>
      <c r="M313" s="11">
        <v>0</v>
      </c>
      <c r="N313" s="11">
        <v>0</v>
      </c>
      <c r="O313" s="11">
        <v>0</v>
      </c>
      <c r="P313" s="11">
        <v>0</v>
      </c>
      <c r="Q313" s="12"/>
      <c r="R313" s="12"/>
      <c r="S313" s="12">
        <f>$G$313*$G$8+$H$313*$H$8+$I$313*$I$8+$J$313*$J$8+$K$313*$K$8+$L$313*$L$8+$M$313*$M$8+$N$313*$N$8+$O$313*$O$8+$P$313*$P$8</f>
        <v>0</v>
      </c>
      <c r="T313" s="12">
        <f>SUM($Q$313:$R$313)</f>
        <v>0</v>
      </c>
      <c r="U313" s="12">
        <f>$S$313+$T$313</f>
        <v>0</v>
      </c>
    </row>
    <row r="314" spans="1:21" x14ac:dyDescent="0.3">
      <c r="A314" s="13" t="s">
        <v>1147</v>
      </c>
      <c r="B314" s="14" t="s">
        <v>1142</v>
      </c>
      <c r="C314" s="14"/>
      <c r="D314" s="14" t="s">
        <v>138</v>
      </c>
      <c r="E314" s="14">
        <f xml:space="preserve"> IF($U$314,1,0)</f>
        <v>0</v>
      </c>
      <c r="F314" s="14" t="s">
        <v>1148</v>
      </c>
      <c r="G314" s="14">
        <v>0</v>
      </c>
      <c r="H314" s="14">
        <v>0</v>
      </c>
      <c r="I314" s="14">
        <v>0</v>
      </c>
      <c r="J314" s="14">
        <v>0</v>
      </c>
      <c r="K314" s="14">
        <v>0</v>
      </c>
      <c r="L314" s="14">
        <v>0</v>
      </c>
      <c r="M314" s="14">
        <v>0</v>
      </c>
      <c r="N314" s="14">
        <v>0</v>
      </c>
      <c r="O314" s="14">
        <v>0</v>
      </c>
      <c r="P314" s="14">
        <v>0</v>
      </c>
      <c r="Q314" s="15"/>
      <c r="R314" s="15"/>
      <c r="S314" s="15">
        <f>$G$314*$G$8+$H$314*$H$8+$I$314*$I$8+$J$314*$J$8+$K$314*$K$8+$L$314*$L$8+$M$314*$M$8+$N$314*$N$8+$O$314*$O$8+$P$314*$P$8</f>
        <v>0</v>
      </c>
      <c r="T314" s="15">
        <f>SUM($Q$314:$R$314)</f>
        <v>0</v>
      </c>
      <c r="U314" s="15">
        <f>$S$314+$T$314</f>
        <v>0</v>
      </c>
    </row>
    <row r="315" spans="1:21" x14ac:dyDescent="0.3">
      <c r="A315" s="10" t="s">
        <v>1149</v>
      </c>
      <c r="B315" s="11" t="s">
        <v>1142</v>
      </c>
      <c r="C315" s="11"/>
      <c r="D315" s="11" t="s">
        <v>1150</v>
      </c>
      <c r="E315" s="11">
        <f xml:space="preserve"> IF($U$315,1,0)</f>
        <v>0</v>
      </c>
      <c r="F315" s="11" t="s">
        <v>1151</v>
      </c>
      <c r="G315" s="11">
        <v>0</v>
      </c>
      <c r="H315" s="11">
        <v>0</v>
      </c>
      <c r="I315" s="11">
        <v>0</v>
      </c>
      <c r="J315" s="11">
        <v>0</v>
      </c>
      <c r="K315" s="11">
        <v>0</v>
      </c>
      <c r="L315" s="11">
        <v>0</v>
      </c>
      <c r="M315" s="11">
        <v>0</v>
      </c>
      <c r="N315" s="11">
        <v>0</v>
      </c>
      <c r="O315" s="11">
        <v>0</v>
      </c>
      <c r="P315" s="11">
        <v>0</v>
      </c>
      <c r="Q315" s="12"/>
      <c r="R315" s="12"/>
      <c r="S315" s="12">
        <f>$G$315*$G$8+$H$315*$H$8+$I$315*$I$8+$J$315*$J$8+$K$315*$K$8+$L$315*$L$8+$M$315*$M$8+$N$315*$N$8+$O$315*$O$8+$P$315*$P$8</f>
        <v>0</v>
      </c>
      <c r="T315" s="12">
        <f>SUM($Q$315:$R$315)</f>
        <v>0</v>
      </c>
      <c r="U315" s="12">
        <f>$S$315+$T$315</f>
        <v>0</v>
      </c>
    </row>
    <row r="316" spans="1:21" x14ac:dyDescent="0.3">
      <c r="A316" s="13" t="s">
        <v>1152</v>
      </c>
      <c r="B316" s="14" t="s">
        <v>1142</v>
      </c>
      <c r="C316" s="14"/>
      <c r="D316" s="14" t="s">
        <v>1153</v>
      </c>
      <c r="E316" s="14">
        <f xml:space="preserve"> IF($U$316,1,0)</f>
        <v>0</v>
      </c>
      <c r="F316" s="14" t="s">
        <v>1154</v>
      </c>
      <c r="G316" s="14">
        <v>0</v>
      </c>
      <c r="H316" s="14">
        <v>0</v>
      </c>
      <c r="I316" s="14">
        <v>0</v>
      </c>
      <c r="J316" s="14">
        <v>0</v>
      </c>
      <c r="K316" s="14">
        <v>0</v>
      </c>
      <c r="L316" s="14">
        <v>0</v>
      </c>
      <c r="M316" s="14">
        <v>0</v>
      </c>
      <c r="N316" s="14">
        <v>0</v>
      </c>
      <c r="O316" s="14">
        <v>0</v>
      </c>
      <c r="P316" s="14">
        <v>0</v>
      </c>
      <c r="Q316" s="15"/>
      <c r="R316" s="15"/>
      <c r="S316" s="15">
        <f>$G$316*$G$8+$H$316*$H$8+$I$316*$I$8+$J$316*$J$8+$K$316*$K$8+$L$316*$L$8+$M$316*$M$8+$N$316*$N$8+$O$316*$O$8+$P$316*$P$8</f>
        <v>0</v>
      </c>
      <c r="T316" s="15">
        <f>SUM($Q$316:$R$316)</f>
        <v>0</v>
      </c>
      <c r="U316" s="15">
        <f>$S$316+$T$316</f>
        <v>0</v>
      </c>
    </row>
    <row r="317" spans="1:21" x14ac:dyDescent="0.3">
      <c r="A317" s="10" t="s">
        <v>1155</v>
      </c>
      <c r="B317" s="11" t="s">
        <v>1156</v>
      </c>
      <c r="C317" s="11"/>
      <c r="D317" s="11" t="s">
        <v>1157</v>
      </c>
      <c r="E317" s="11">
        <f xml:space="preserve"> IF($U$317,1,0)</f>
        <v>0</v>
      </c>
      <c r="F317" s="11" t="s">
        <v>1158</v>
      </c>
      <c r="G317" s="11">
        <v>0</v>
      </c>
      <c r="H317" s="11">
        <v>0</v>
      </c>
      <c r="I317" s="11">
        <v>0</v>
      </c>
      <c r="J317" s="11">
        <v>0</v>
      </c>
      <c r="K317" s="11">
        <v>0</v>
      </c>
      <c r="L317" s="11">
        <v>0</v>
      </c>
      <c r="M317" s="11">
        <v>0</v>
      </c>
      <c r="N317" s="11">
        <v>0</v>
      </c>
      <c r="O317" s="11">
        <v>0</v>
      </c>
      <c r="P317" s="11">
        <v>0</v>
      </c>
      <c r="Q317" s="12"/>
      <c r="R317" s="12"/>
      <c r="S317" s="12">
        <f>$G$317*$G$8+$H$317*$H$8+$I$317*$I$8+$J$317*$J$8+$K$317*$K$8+$L$317*$L$8+$M$317*$M$8+$N$317*$N$8+$O$317*$O$8+$P$317*$P$8</f>
        <v>0</v>
      </c>
      <c r="T317" s="12">
        <f>SUM($Q$317:$R$317)</f>
        <v>0</v>
      </c>
      <c r="U317" s="12">
        <f>$S$317+$T$317</f>
        <v>0</v>
      </c>
    </row>
    <row r="318" spans="1:21" x14ac:dyDescent="0.3">
      <c r="A318" s="13" t="s">
        <v>1159</v>
      </c>
      <c r="B318" s="14" t="s">
        <v>1160</v>
      </c>
      <c r="C318" s="14"/>
      <c r="D318" s="14" t="s">
        <v>1161</v>
      </c>
      <c r="E318" s="14">
        <f xml:space="preserve"> IF($U$318,1,0)</f>
        <v>0</v>
      </c>
      <c r="F318" s="14" t="s">
        <v>1162</v>
      </c>
      <c r="G318" s="14">
        <v>0</v>
      </c>
      <c r="H318" s="14">
        <v>0</v>
      </c>
      <c r="I318" s="14">
        <v>0</v>
      </c>
      <c r="J318" s="14">
        <v>0</v>
      </c>
      <c r="K318" s="14">
        <v>0</v>
      </c>
      <c r="L318" s="14">
        <v>0</v>
      </c>
      <c r="M318" s="14">
        <v>0</v>
      </c>
      <c r="N318" s="14">
        <v>0</v>
      </c>
      <c r="O318" s="14">
        <v>0</v>
      </c>
      <c r="P318" s="14">
        <v>0</v>
      </c>
      <c r="Q318" s="15"/>
      <c r="R318" s="15"/>
      <c r="S318" s="15">
        <f>$G$318*$G$8+$H$318*$H$8+$I$318*$I$8+$J$318*$J$8+$K$318*$K$8+$L$318*$L$8+$M$318*$M$8+$N$318*$N$8+$O$318*$O$8+$P$318*$P$8</f>
        <v>0</v>
      </c>
      <c r="T318" s="15">
        <f>SUM($Q$318:$R$318)</f>
        <v>0</v>
      </c>
      <c r="U318" s="15">
        <f>$S$318+$T$318</f>
        <v>0</v>
      </c>
    </row>
    <row r="319" spans="1:21" x14ac:dyDescent="0.3">
      <c r="A319" s="10" t="s">
        <v>1163</v>
      </c>
      <c r="B319" s="11" t="s">
        <v>1160</v>
      </c>
      <c r="C319" s="11"/>
      <c r="D319" s="11" t="s">
        <v>1164</v>
      </c>
      <c r="E319" s="11">
        <f xml:space="preserve"> IF($U$319,1,0)</f>
        <v>0</v>
      </c>
      <c r="F319" s="11" t="s">
        <v>1165</v>
      </c>
      <c r="G319" s="11">
        <v>0</v>
      </c>
      <c r="H319" s="11">
        <v>0</v>
      </c>
      <c r="I319" s="11">
        <v>0</v>
      </c>
      <c r="J319" s="11">
        <v>0</v>
      </c>
      <c r="K319" s="11">
        <v>0</v>
      </c>
      <c r="L319" s="11">
        <v>0</v>
      </c>
      <c r="M319" s="11">
        <v>0</v>
      </c>
      <c r="N319" s="11">
        <v>0</v>
      </c>
      <c r="O319" s="11">
        <v>0</v>
      </c>
      <c r="P319" s="11">
        <v>0</v>
      </c>
      <c r="Q319" s="12"/>
      <c r="R319" s="12"/>
      <c r="S319" s="12">
        <f>$G$319*$G$8+$H$319*$H$8+$I$319*$I$8+$J$319*$J$8+$K$319*$K$8+$L$319*$L$8+$M$319*$M$8+$N$319*$N$8+$O$319*$O$8+$P$319*$P$8</f>
        <v>0</v>
      </c>
      <c r="T319" s="12">
        <f>SUM($Q$319:$R$319)</f>
        <v>0</v>
      </c>
      <c r="U319" s="12">
        <f>$S$319+$T$319</f>
        <v>0</v>
      </c>
    </row>
    <row r="320" spans="1:21" x14ac:dyDescent="0.3">
      <c r="A320" s="13" t="s">
        <v>1166</v>
      </c>
      <c r="B320" s="14" t="s">
        <v>1160</v>
      </c>
      <c r="C320" s="14" t="s">
        <v>243</v>
      </c>
      <c r="D320" s="14" t="s">
        <v>1167</v>
      </c>
      <c r="E320" s="14">
        <f xml:space="preserve"> IF($U$320,1,0)</f>
        <v>0</v>
      </c>
      <c r="F320" s="14" t="s">
        <v>1168</v>
      </c>
      <c r="G320" s="14">
        <v>0</v>
      </c>
      <c r="H320" s="14">
        <v>0</v>
      </c>
      <c r="I320" s="14">
        <v>0</v>
      </c>
      <c r="J320" s="14">
        <v>0</v>
      </c>
      <c r="K320" s="14">
        <v>0</v>
      </c>
      <c r="L320" s="14">
        <v>0</v>
      </c>
      <c r="M320" s="14">
        <v>0</v>
      </c>
      <c r="N320" s="14">
        <v>0</v>
      </c>
      <c r="O320" s="14">
        <v>0</v>
      </c>
      <c r="P320" s="14">
        <v>0</v>
      </c>
      <c r="Q320" s="15"/>
      <c r="R320" s="15"/>
      <c r="S320" s="15">
        <f>$G$320*$G$8+$H$320*$H$8+$I$320*$I$8+$J$320*$J$8+$K$320*$K$8+$L$320*$L$8+$M$320*$M$8+$N$320*$N$8+$O$320*$O$8+$P$320*$P$8</f>
        <v>0</v>
      </c>
      <c r="T320" s="15">
        <f>SUM($Q$320:$R$320)</f>
        <v>0</v>
      </c>
      <c r="U320" s="15">
        <f>$S$320+$T$320</f>
        <v>0</v>
      </c>
    </row>
    <row r="321" spans="1:21" x14ac:dyDescent="0.3">
      <c r="A321" s="10" t="s">
        <v>1169</v>
      </c>
      <c r="B321" s="11" t="s">
        <v>1170</v>
      </c>
      <c r="C321" s="11"/>
      <c r="D321" s="11" t="s">
        <v>1171</v>
      </c>
      <c r="E321" s="11">
        <f xml:space="preserve"> IF($U$321,1,0)</f>
        <v>0</v>
      </c>
      <c r="F321" s="11" t="s">
        <v>1172</v>
      </c>
      <c r="G321" s="11">
        <v>0</v>
      </c>
      <c r="H321" s="11">
        <v>0</v>
      </c>
      <c r="I321" s="11">
        <v>0</v>
      </c>
      <c r="J321" s="11">
        <v>0</v>
      </c>
      <c r="K321" s="11">
        <v>0</v>
      </c>
      <c r="L321" s="11">
        <v>0</v>
      </c>
      <c r="M321" s="11">
        <v>0</v>
      </c>
      <c r="N321" s="11">
        <v>0</v>
      </c>
      <c r="O321" s="11">
        <v>0</v>
      </c>
      <c r="P321" s="11">
        <v>0</v>
      </c>
      <c r="Q321" s="12"/>
      <c r="R321" s="12"/>
      <c r="S321" s="12">
        <f>$G$321*$G$8+$H$321*$H$8+$I$321*$I$8+$J$321*$J$8+$K$321*$K$8+$L$321*$L$8+$M$321*$M$8+$N$321*$N$8+$O$321*$O$8+$P$321*$P$8</f>
        <v>0</v>
      </c>
      <c r="T321" s="12">
        <f>SUM($Q$321:$R$321)</f>
        <v>0</v>
      </c>
      <c r="U321" s="12">
        <f>$S$321+$T$321</f>
        <v>0</v>
      </c>
    </row>
    <row r="322" spans="1:21" x14ac:dyDescent="0.3">
      <c r="A322" s="13" t="s">
        <v>1173</v>
      </c>
      <c r="B322" s="14" t="s">
        <v>1174</v>
      </c>
      <c r="C322" s="14"/>
      <c r="D322" s="14" t="s">
        <v>1175</v>
      </c>
      <c r="E322" s="14">
        <f xml:space="preserve"> IF($U$322,1,0)</f>
        <v>0</v>
      </c>
      <c r="F322" s="14" t="s">
        <v>1176</v>
      </c>
      <c r="G322" s="14">
        <v>0</v>
      </c>
      <c r="H322" s="14">
        <v>0</v>
      </c>
      <c r="I322" s="14">
        <v>0</v>
      </c>
      <c r="J322" s="14">
        <v>0</v>
      </c>
      <c r="K322" s="14">
        <v>0</v>
      </c>
      <c r="L322" s="14">
        <v>0</v>
      </c>
      <c r="M322" s="14">
        <v>0</v>
      </c>
      <c r="N322" s="14">
        <v>0</v>
      </c>
      <c r="O322" s="14">
        <v>0</v>
      </c>
      <c r="P322" s="14">
        <v>0</v>
      </c>
      <c r="Q322" s="15"/>
      <c r="R322" s="15"/>
      <c r="S322" s="15">
        <f>$G$322*$G$8+$H$322*$H$8+$I$322*$I$8+$J$322*$J$8+$K$322*$K$8+$L$322*$L$8+$M$322*$M$8+$N$322*$N$8+$O$322*$O$8+$P$322*$P$8</f>
        <v>0</v>
      </c>
      <c r="T322" s="15">
        <f>SUM($Q$322:$R$322)</f>
        <v>0</v>
      </c>
      <c r="U322" s="15">
        <f>$S$322+$T$322</f>
        <v>0</v>
      </c>
    </row>
    <row r="323" spans="1:21" x14ac:dyDescent="0.3">
      <c r="A323" s="10" t="s">
        <v>1177</v>
      </c>
      <c r="B323" s="11" t="s">
        <v>1174</v>
      </c>
      <c r="C323" s="11" t="s">
        <v>65</v>
      </c>
      <c r="D323" s="11" t="s">
        <v>1178</v>
      </c>
      <c r="E323" s="11">
        <f xml:space="preserve"> IF($U$323,1,0)</f>
        <v>0</v>
      </c>
      <c r="F323" s="11" t="s">
        <v>1179</v>
      </c>
      <c r="G323" s="11">
        <v>0</v>
      </c>
      <c r="H323" s="11">
        <v>0</v>
      </c>
      <c r="I323" s="11">
        <v>0</v>
      </c>
      <c r="J323" s="11">
        <v>0</v>
      </c>
      <c r="K323" s="11">
        <v>0</v>
      </c>
      <c r="L323" s="11">
        <v>0</v>
      </c>
      <c r="M323" s="11">
        <v>0</v>
      </c>
      <c r="N323" s="11">
        <v>0</v>
      </c>
      <c r="O323" s="11">
        <v>0</v>
      </c>
      <c r="P323" s="11">
        <v>0</v>
      </c>
      <c r="Q323" s="12"/>
      <c r="R323" s="12"/>
      <c r="S323" s="12">
        <f>$G$323*$G$8+$H$323*$H$8+$I$323*$I$8+$J$323*$J$8+$K$323*$K$8+$L$323*$L$8+$M$323*$M$8+$N$323*$N$8+$O$323*$O$8+$P$323*$P$8</f>
        <v>0</v>
      </c>
      <c r="T323" s="12">
        <f>SUM($Q$323:$R$323)</f>
        <v>0</v>
      </c>
      <c r="U323" s="12">
        <f>$S$323+$T$323</f>
        <v>0</v>
      </c>
    </row>
    <row r="324" spans="1:21" x14ac:dyDescent="0.3">
      <c r="A324" s="13" t="s">
        <v>1180</v>
      </c>
      <c r="B324" s="14" t="s">
        <v>1181</v>
      </c>
      <c r="C324" s="14"/>
      <c r="D324" s="14" t="s">
        <v>1182</v>
      </c>
      <c r="E324" s="14">
        <f xml:space="preserve"> IF($U$324,1,0)</f>
        <v>0</v>
      </c>
      <c r="F324" s="14" t="s">
        <v>1183</v>
      </c>
      <c r="G324" s="14">
        <v>0</v>
      </c>
      <c r="H324" s="14">
        <v>0</v>
      </c>
      <c r="I324" s="14">
        <v>0</v>
      </c>
      <c r="J324" s="14">
        <v>0</v>
      </c>
      <c r="K324" s="14">
        <v>0</v>
      </c>
      <c r="L324" s="14">
        <v>0</v>
      </c>
      <c r="M324" s="14">
        <v>0</v>
      </c>
      <c r="N324" s="14">
        <v>0</v>
      </c>
      <c r="O324" s="14">
        <v>0</v>
      </c>
      <c r="P324" s="14">
        <v>0</v>
      </c>
      <c r="Q324" s="15"/>
      <c r="R324" s="15"/>
      <c r="S324" s="15">
        <f>$G$324*$G$8+$H$324*$H$8+$I$324*$I$8+$J$324*$J$8+$K$324*$K$8+$L$324*$L$8+$M$324*$M$8+$N$324*$N$8+$O$324*$O$8+$P$324*$P$8</f>
        <v>0</v>
      </c>
      <c r="T324" s="15">
        <f>SUM($Q$324:$R$324)</f>
        <v>0</v>
      </c>
      <c r="U324" s="15">
        <f>$S$324+$T$324</f>
        <v>0</v>
      </c>
    </row>
    <row r="325" spans="1:21" x14ac:dyDescent="0.3">
      <c r="A325" s="10" t="s">
        <v>1184</v>
      </c>
      <c r="B325" s="11" t="s">
        <v>1185</v>
      </c>
      <c r="C325" s="11" t="s">
        <v>65</v>
      </c>
      <c r="D325" s="11" t="s">
        <v>1186</v>
      </c>
      <c r="E325" s="11">
        <f xml:space="preserve"> IF($U$325,1,0)</f>
        <v>0</v>
      </c>
      <c r="F325" s="11" t="s">
        <v>1187</v>
      </c>
      <c r="G325" s="11">
        <v>0</v>
      </c>
      <c r="H325" s="11">
        <v>0</v>
      </c>
      <c r="I325" s="11">
        <v>0</v>
      </c>
      <c r="J325" s="11">
        <v>0</v>
      </c>
      <c r="K325" s="11">
        <v>0</v>
      </c>
      <c r="L325" s="11">
        <v>0</v>
      </c>
      <c r="M325" s="11">
        <v>0</v>
      </c>
      <c r="N325" s="11">
        <v>0</v>
      </c>
      <c r="O325" s="11">
        <v>0</v>
      </c>
      <c r="P325" s="11">
        <v>0</v>
      </c>
      <c r="Q325" s="12"/>
      <c r="R325" s="12"/>
      <c r="S325" s="12">
        <f>$G$325*$G$8+$H$325*$H$8+$I$325*$I$8+$J$325*$J$8+$K$325*$K$8+$L$325*$L$8+$M$325*$M$8+$N$325*$N$8+$O$325*$O$8+$P$325*$P$8</f>
        <v>0</v>
      </c>
      <c r="T325" s="12">
        <f>SUM($Q$325:$R$325)</f>
        <v>0</v>
      </c>
      <c r="U325" s="12">
        <f>$S$325+$T$325</f>
        <v>0</v>
      </c>
    </row>
    <row r="326" spans="1:21" x14ac:dyDescent="0.3">
      <c r="A326" s="13" t="s">
        <v>1188</v>
      </c>
      <c r="B326" s="14" t="s">
        <v>1189</v>
      </c>
      <c r="C326" s="14"/>
      <c r="D326" s="14" t="s">
        <v>1190</v>
      </c>
      <c r="E326" s="14">
        <f xml:space="preserve"> IF($U$326,1,0)</f>
        <v>0</v>
      </c>
      <c r="F326" s="14" t="s">
        <v>1191</v>
      </c>
      <c r="G326" s="14">
        <v>0</v>
      </c>
      <c r="H326" s="14">
        <v>0</v>
      </c>
      <c r="I326" s="14">
        <v>0</v>
      </c>
      <c r="J326" s="14">
        <v>0</v>
      </c>
      <c r="K326" s="14">
        <v>0</v>
      </c>
      <c r="L326" s="14">
        <v>0</v>
      </c>
      <c r="M326" s="14">
        <v>0</v>
      </c>
      <c r="N326" s="14">
        <v>0</v>
      </c>
      <c r="O326" s="14">
        <v>0</v>
      </c>
      <c r="P326" s="14">
        <v>0</v>
      </c>
      <c r="Q326" s="15"/>
      <c r="R326" s="15"/>
      <c r="S326" s="15">
        <f>$G$326*$G$8+$H$326*$H$8+$I$326*$I$8+$J$326*$J$8+$K$326*$K$8+$L$326*$L$8+$M$326*$M$8+$N$326*$N$8+$O$326*$O$8+$P$326*$P$8</f>
        <v>0</v>
      </c>
      <c r="T326" s="15">
        <f>SUM($Q$326:$R$326)</f>
        <v>0</v>
      </c>
      <c r="U326" s="15">
        <f>$S$326+$T$326</f>
        <v>0</v>
      </c>
    </row>
    <row r="327" spans="1:21" x14ac:dyDescent="0.3">
      <c r="A327" s="10" t="s">
        <v>1192</v>
      </c>
      <c r="B327" s="11" t="s">
        <v>1193</v>
      </c>
      <c r="C327" s="11"/>
      <c r="D327" s="11" t="s">
        <v>1194</v>
      </c>
      <c r="E327" s="11">
        <f xml:space="preserve"> IF($U$327,1,0)</f>
        <v>0</v>
      </c>
      <c r="F327" s="11" t="s">
        <v>1195</v>
      </c>
      <c r="G327" s="11">
        <v>0</v>
      </c>
      <c r="H327" s="11">
        <v>0</v>
      </c>
      <c r="I327" s="11">
        <v>0</v>
      </c>
      <c r="J327" s="11">
        <v>0</v>
      </c>
      <c r="K327" s="11">
        <v>0</v>
      </c>
      <c r="L327" s="11">
        <v>0</v>
      </c>
      <c r="M327" s="11">
        <v>0</v>
      </c>
      <c r="N327" s="11">
        <v>0</v>
      </c>
      <c r="O327" s="11">
        <v>0</v>
      </c>
      <c r="P327" s="11">
        <v>0</v>
      </c>
      <c r="Q327" s="12"/>
      <c r="R327" s="12"/>
      <c r="S327" s="12">
        <f>$G$327*$G$8+$H$327*$H$8+$I$327*$I$8+$J$327*$J$8+$K$327*$K$8+$L$327*$L$8+$M$327*$M$8+$N$327*$N$8+$O$327*$O$8+$P$327*$P$8</f>
        <v>0</v>
      </c>
      <c r="T327" s="12">
        <f>SUM($Q$327:$R$327)</f>
        <v>0</v>
      </c>
      <c r="U327" s="12">
        <f>$S$327+$T$327</f>
        <v>0</v>
      </c>
    </row>
    <row r="328" spans="1:21" x14ac:dyDescent="0.3">
      <c r="A328" s="13" t="s">
        <v>1196</v>
      </c>
      <c r="B328" s="14" t="s">
        <v>1197</v>
      </c>
      <c r="C328" s="14"/>
      <c r="D328" s="14" t="s">
        <v>1198</v>
      </c>
      <c r="E328" s="14">
        <f xml:space="preserve"> IF($U$328,1,0)</f>
        <v>0</v>
      </c>
      <c r="F328" s="14" t="s">
        <v>1199</v>
      </c>
      <c r="G328" s="14">
        <v>0</v>
      </c>
      <c r="H328" s="14">
        <v>0</v>
      </c>
      <c r="I328" s="14">
        <v>0</v>
      </c>
      <c r="J328" s="14">
        <v>0</v>
      </c>
      <c r="K328" s="14">
        <v>0</v>
      </c>
      <c r="L328" s="14">
        <v>0</v>
      </c>
      <c r="M328" s="14">
        <v>0</v>
      </c>
      <c r="N328" s="14">
        <v>0</v>
      </c>
      <c r="O328" s="14">
        <v>0</v>
      </c>
      <c r="P328" s="14">
        <v>0</v>
      </c>
      <c r="Q328" s="15"/>
      <c r="R328" s="15"/>
      <c r="S328" s="15">
        <f>$G$328*$G$8+$H$328*$H$8+$I$328*$I$8+$J$328*$J$8+$K$328*$K$8+$L$328*$L$8+$M$328*$M$8+$N$328*$N$8+$O$328*$O$8+$P$328*$P$8</f>
        <v>0</v>
      </c>
      <c r="T328" s="15">
        <f>SUM($Q$328:$R$328)</f>
        <v>0</v>
      </c>
      <c r="U328" s="15">
        <f>$S$328+$T$328</f>
        <v>0</v>
      </c>
    </row>
    <row r="329" spans="1:21" x14ac:dyDescent="0.3">
      <c r="A329" s="10" t="s">
        <v>1200</v>
      </c>
      <c r="B329" s="11" t="s">
        <v>1201</v>
      </c>
      <c r="C329" s="11"/>
      <c r="D329" s="11" t="s">
        <v>1202</v>
      </c>
      <c r="E329" s="11">
        <f xml:space="preserve"> IF($U$329,1,0)</f>
        <v>0</v>
      </c>
      <c r="F329" s="11" t="s">
        <v>1203</v>
      </c>
      <c r="G329" s="11">
        <v>0</v>
      </c>
      <c r="H329" s="11">
        <v>0</v>
      </c>
      <c r="I329" s="11">
        <v>0</v>
      </c>
      <c r="J329" s="11">
        <v>0</v>
      </c>
      <c r="K329" s="11">
        <v>0</v>
      </c>
      <c r="L329" s="11">
        <v>0</v>
      </c>
      <c r="M329" s="11">
        <v>0</v>
      </c>
      <c r="N329" s="11">
        <v>0</v>
      </c>
      <c r="O329" s="11">
        <v>0</v>
      </c>
      <c r="P329" s="11">
        <v>0</v>
      </c>
      <c r="Q329" s="12"/>
      <c r="R329" s="12"/>
      <c r="S329" s="12">
        <f>$G$329*$G$8+$H$329*$H$8+$I$329*$I$8+$J$329*$J$8+$K$329*$K$8+$L$329*$L$8+$M$329*$M$8+$N$329*$N$8+$O$329*$O$8+$P$329*$P$8</f>
        <v>0</v>
      </c>
      <c r="T329" s="12">
        <f>SUM($Q$329:$R$329)</f>
        <v>0</v>
      </c>
      <c r="U329" s="12">
        <f>$S$329+$T$329</f>
        <v>0</v>
      </c>
    </row>
    <row r="330" spans="1:21" x14ac:dyDescent="0.3">
      <c r="A330" s="13" t="s">
        <v>1204</v>
      </c>
      <c r="B330" s="14" t="s">
        <v>1205</v>
      </c>
      <c r="C330" s="14"/>
      <c r="D330" s="14" t="s">
        <v>1206</v>
      </c>
      <c r="E330" s="14">
        <f xml:space="preserve"> IF($U$330,1,0)</f>
        <v>0</v>
      </c>
      <c r="F330" s="14" t="s">
        <v>1207</v>
      </c>
      <c r="G330" s="14">
        <v>0</v>
      </c>
      <c r="H330" s="14">
        <v>0</v>
      </c>
      <c r="I330" s="14">
        <v>0</v>
      </c>
      <c r="J330" s="14">
        <v>0</v>
      </c>
      <c r="K330" s="14">
        <v>0</v>
      </c>
      <c r="L330" s="14">
        <v>0</v>
      </c>
      <c r="M330" s="14">
        <v>0</v>
      </c>
      <c r="N330" s="14">
        <v>0</v>
      </c>
      <c r="O330" s="14">
        <v>0</v>
      </c>
      <c r="P330" s="14">
        <v>0</v>
      </c>
      <c r="Q330" s="15"/>
      <c r="R330" s="15"/>
      <c r="S330" s="15">
        <f>$G$330*$G$8+$H$330*$H$8+$I$330*$I$8+$J$330*$J$8+$K$330*$K$8+$L$330*$L$8+$M$330*$M$8+$N$330*$N$8+$O$330*$O$8+$P$330*$P$8</f>
        <v>0</v>
      </c>
      <c r="T330" s="15">
        <f>SUM($Q$330:$R$330)</f>
        <v>0</v>
      </c>
      <c r="U330" s="15">
        <f>$S$330+$T$330</f>
        <v>0</v>
      </c>
    </row>
    <row r="331" spans="1:21" x14ac:dyDescent="0.3">
      <c r="A331" s="10" t="s">
        <v>1208</v>
      </c>
      <c r="B331" s="11" t="s">
        <v>1205</v>
      </c>
      <c r="C331" s="11"/>
      <c r="D331" s="11" t="s">
        <v>1209</v>
      </c>
      <c r="E331" s="11">
        <f xml:space="preserve"> IF($U$331,1,0)</f>
        <v>0</v>
      </c>
      <c r="F331" s="11" t="s">
        <v>1210</v>
      </c>
      <c r="G331" s="11">
        <v>0</v>
      </c>
      <c r="H331" s="11">
        <v>0</v>
      </c>
      <c r="I331" s="11">
        <v>0</v>
      </c>
      <c r="J331" s="11">
        <v>0</v>
      </c>
      <c r="K331" s="11">
        <v>0</v>
      </c>
      <c r="L331" s="11">
        <v>0</v>
      </c>
      <c r="M331" s="11">
        <v>0</v>
      </c>
      <c r="N331" s="11">
        <v>0</v>
      </c>
      <c r="O331" s="11">
        <v>0</v>
      </c>
      <c r="P331" s="11">
        <v>0</v>
      </c>
      <c r="Q331" s="12"/>
      <c r="R331" s="12"/>
      <c r="S331" s="12">
        <f>$G$331*$G$8+$H$331*$H$8+$I$331*$I$8+$J$331*$J$8+$K$331*$K$8+$L$331*$L$8+$M$331*$M$8+$N$331*$N$8+$O$331*$O$8+$P$331*$P$8</f>
        <v>0</v>
      </c>
      <c r="T331" s="12">
        <f>SUM($Q$331:$R$331)</f>
        <v>0</v>
      </c>
      <c r="U331" s="12">
        <f>$S$331+$T$331</f>
        <v>0</v>
      </c>
    </row>
    <row r="332" spans="1:21" x14ac:dyDescent="0.3">
      <c r="A332" s="13" t="s">
        <v>1211</v>
      </c>
      <c r="B332" s="14" t="s">
        <v>1212</v>
      </c>
      <c r="C332" s="14"/>
      <c r="D332" s="14" t="s">
        <v>670</v>
      </c>
      <c r="E332" s="14">
        <f xml:space="preserve"> IF($U$332,1,0)</f>
        <v>0</v>
      </c>
      <c r="F332" s="14" t="s">
        <v>1213</v>
      </c>
      <c r="G332" s="14">
        <v>0</v>
      </c>
      <c r="H332" s="14">
        <v>0</v>
      </c>
      <c r="I332" s="14">
        <v>0</v>
      </c>
      <c r="J332" s="14">
        <v>0</v>
      </c>
      <c r="K332" s="14">
        <v>0</v>
      </c>
      <c r="L332" s="14">
        <v>0</v>
      </c>
      <c r="M332" s="14">
        <v>0</v>
      </c>
      <c r="N332" s="14">
        <v>0</v>
      </c>
      <c r="O332" s="14">
        <v>0</v>
      </c>
      <c r="P332" s="14">
        <v>0</v>
      </c>
      <c r="Q332" s="15"/>
      <c r="R332" s="15"/>
      <c r="S332" s="15">
        <f>$G$332*$G$8+$H$332*$H$8+$I$332*$I$8+$J$332*$J$8+$K$332*$K$8+$L$332*$L$8+$M$332*$M$8+$N$332*$N$8+$O$332*$O$8+$P$332*$P$8</f>
        <v>0</v>
      </c>
      <c r="T332" s="15">
        <f>SUM($Q$332:$R$332)</f>
        <v>0</v>
      </c>
      <c r="U332" s="15">
        <f>$S$332+$T$332</f>
        <v>0</v>
      </c>
    </row>
    <row r="333" spans="1:21" x14ac:dyDescent="0.3">
      <c r="A333" s="10" t="s">
        <v>1214</v>
      </c>
      <c r="B333" s="11" t="s">
        <v>1215</v>
      </c>
      <c r="C333" s="11"/>
      <c r="D333" s="11" t="s">
        <v>1216</v>
      </c>
      <c r="E333" s="11">
        <f xml:space="preserve"> IF($U$333,1,0)</f>
        <v>0</v>
      </c>
      <c r="F333" s="11" t="s">
        <v>1217</v>
      </c>
      <c r="G333" s="11">
        <v>0</v>
      </c>
      <c r="H333" s="11">
        <v>0</v>
      </c>
      <c r="I333" s="11">
        <v>0</v>
      </c>
      <c r="J333" s="11">
        <v>0</v>
      </c>
      <c r="K333" s="11">
        <v>0</v>
      </c>
      <c r="L333" s="11">
        <v>0</v>
      </c>
      <c r="M333" s="11">
        <v>0</v>
      </c>
      <c r="N333" s="11">
        <v>0</v>
      </c>
      <c r="O333" s="11">
        <v>0</v>
      </c>
      <c r="P333" s="11">
        <v>0</v>
      </c>
      <c r="Q333" s="12"/>
      <c r="R333" s="12"/>
      <c r="S333" s="12">
        <f>$G$333*$G$8+$H$333*$H$8+$I$333*$I$8+$J$333*$J$8+$K$333*$K$8+$L$333*$L$8+$M$333*$M$8+$N$333*$N$8+$O$333*$O$8+$P$333*$P$8</f>
        <v>0</v>
      </c>
      <c r="T333" s="12">
        <f>SUM($Q$333:$R$333)</f>
        <v>0</v>
      </c>
      <c r="U333" s="12">
        <f>$S$333+$T$333</f>
        <v>0</v>
      </c>
    </row>
    <row r="334" spans="1:21" x14ac:dyDescent="0.3">
      <c r="A334" s="13" t="s">
        <v>1218</v>
      </c>
      <c r="B334" s="14" t="s">
        <v>1219</v>
      </c>
      <c r="C334" s="14" t="s">
        <v>202</v>
      </c>
      <c r="D334" s="14" t="s">
        <v>1068</v>
      </c>
      <c r="E334" s="14">
        <f xml:space="preserve"> IF($U$334,1,0)</f>
        <v>0</v>
      </c>
      <c r="F334" s="14" t="s">
        <v>1220</v>
      </c>
      <c r="G334" s="14">
        <v>0</v>
      </c>
      <c r="H334" s="14">
        <v>0</v>
      </c>
      <c r="I334" s="14">
        <v>0</v>
      </c>
      <c r="J334" s="14">
        <v>0</v>
      </c>
      <c r="K334" s="14">
        <v>0</v>
      </c>
      <c r="L334" s="14">
        <v>0</v>
      </c>
      <c r="M334" s="14">
        <v>0</v>
      </c>
      <c r="N334" s="14">
        <v>0</v>
      </c>
      <c r="O334" s="14">
        <v>0</v>
      </c>
      <c r="P334" s="14">
        <v>0</v>
      </c>
      <c r="Q334" s="15"/>
      <c r="R334" s="15"/>
      <c r="S334" s="15">
        <f>$G$334*$G$8+$H$334*$H$8+$I$334*$I$8+$J$334*$J$8+$K$334*$K$8+$L$334*$L$8+$M$334*$M$8+$N$334*$N$8+$O$334*$O$8+$P$334*$P$8</f>
        <v>0</v>
      </c>
      <c r="T334" s="15">
        <f>SUM($Q$334:$R$334)</f>
        <v>0</v>
      </c>
      <c r="U334" s="15">
        <f>$S$334+$T$334</f>
        <v>0</v>
      </c>
    </row>
    <row r="335" spans="1:21" x14ac:dyDescent="0.3">
      <c r="A335" s="10" t="s">
        <v>1221</v>
      </c>
      <c r="B335" s="11" t="s">
        <v>1222</v>
      </c>
      <c r="C335" s="11"/>
      <c r="D335" s="11" t="s">
        <v>1223</v>
      </c>
      <c r="E335" s="11">
        <f xml:space="preserve"> IF($U$335,1,0)</f>
        <v>0</v>
      </c>
      <c r="F335" s="11" t="s">
        <v>1224</v>
      </c>
      <c r="G335" s="11">
        <v>0</v>
      </c>
      <c r="H335" s="11">
        <v>0</v>
      </c>
      <c r="I335" s="11">
        <v>0</v>
      </c>
      <c r="J335" s="11">
        <v>0</v>
      </c>
      <c r="K335" s="11">
        <v>0</v>
      </c>
      <c r="L335" s="11">
        <v>0</v>
      </c>
      <c r="M335" s="11">
        <v>0</v>
      </c>
      <c r="N335" s="11">
        <v>0</v>
      </c>
      <c r="O335" s="11">
        <v>0</v>
      </c>
      <c r="P335" s="11">
        <v>0</v>
      </c>
      <c r="Q335" s="12"/>
      <c r="R335" s="12"/>
      <c r="S335" s="12">
        <f>$G$335*$G$8+$H$335*$H$8+$I$335*$I$8+$J$335*$J$8+$K$335*$K$8+$L$335*$L$8+$M$335*$M$8+$N$335*$N$8+$O$335*$O$8+$P$335*$P$8</f>
        <v>0</v>
      </c>
      <c r="T335" s="12">
        <f>SUM($Q$335:$R$335)</f>
        <v>0</v>
      </c>
      <c r="U335" s="12">
        <f>$S$335+$T$335</f>
        <v>0</v>
      </c>
    </row>
    <row r="336" spans="1:21" x14ac:dyDescent="0.3">
      <c r="A336" s="13" t="s">
        <v>1225</v>
      </c>
      <c r="B336" s="14" t="s">
        <v>1226</v>
      </c>
      <c r="C336" s="14" t="s">
        <v>34</v>
      </c>
      <c r="D336" s="14" t="s">
        <v>1227</v>
      </c>
      <c r="E336" s="14">
        <f xml:space="preserve"> IF($U$336,1,0)</f>
        <v>0</v>
      </c>
      <c r="F336" s="14" t="s">
        <v>1228</v>
      </c>
      <c r="G336" s="14">
        <v>0</v>
      </c>
      <c r="H336" s="14">
        <v>0</v>
      </c>
      <c r="I336" s="14">
        <v>0</v>
      </c>
      <c r="J336" s="14">
        <v>0</v>
      </c>
      <c r="K336" s="14">
        <v>0</v>
      </c>
      <c r="L336" s="14">
        <v>0</v>
      </c>
      <c r="M336" s="14">
        <v>0</v>
      </c>
      <c r="N336" s="14">
        <v>0</v>
      </c>
      <c r="O336" s="14">
        <v>0</v>
      </c>
      <c r="P336" s="14">
        <v>0</v>
      </c>
      <c r="Q336" s="15"/>
      <c r="R336" s="15"/>
      <c r="S336" s="15">
        <f>$G$336*$G$8+$H$336*$H$8+$I$336*$I$8+$J$336*$J$8+$K$336*$K$8+$L$336*$L$8+$M$336*$M$8+$N$336*$N$8+$O$336*$O$8+$P$336*$P$8</f>
        <v>0</v>
      </c>
      <c r="T336" s="15">
        <f>SUM($Q$336:$R$336)</f>
        <v>0</v>
      </c>
      <c r="U336" s="15">
        <f>$S$336+$T$336</f>
        <v>0</v>
      </c>
    </row>
    <row r="337" spans="1:21" x14ac:dyDescent="0.3">
      <c r="A337" s="10" t="s">
        <v>1229</v>
      </c>
      <c r="B337" s="11" t="s">
        <v>1230</v>
      </c>
      <c r="C337" s="11"/>
      <c r="D337" s="11" t="s">
        <v>1231</v>
      </c>
      <c r="E337" s="11">
        <f xml:space="preserve"> IF($U$337,1,0)</f>
        <v>0</v>
      </c>
      <c r="F337" s="11" t="s">
        <v>1232</v>
      </c>
      <c r="G337" s="11">
        <v>0</v>
      </c>
      <c r="H337" s="11">
        <v>0</v>
      </c>
      <c r="I337" s="11">
        <v>0</v>
      </c>
      <c r="J337" s="11">
        <v>0</v>
      </c>
      <c r="K337" s="11">
        <v>0</v>
      </c>
      <c r="L337" s="11">
        <v>0</v>
      </c>
      <c r="M337" s="11">
        <v>0</v>
      </c>
      <c r="N337" s="11">
        <v>0</v>
      </c>
      <c r="O337" s="11">
        <v>0</v>
      </c>
      <c r="P337" s="11">
        <v>0</v>
      </c>
      <c r="Q337" s="12"/>
      <c r="R337" s="12"/>
      <c r="S337" s="12">
        <f>$G$337*$G$8+$H$337*$H$8+$I$337*$I$8+$J$337*$J$8+$K$337*$K$8+$L$337*$L$8+$M$337*$M$8+$N$337*$N$8+$O$337*$O$8+$P$337*$P$8</f>
        <v>0</v>
      </c>
      <c r="T337" s="12">
        <f>SUM($Q$337:$R$337)</f>
        <v>0</v>
      </c>
      <c r="U337" s="12">
        <f>$S$337+$T$337</f>
        <v>0</v>
      </c>
    </row>
    <row r="338" spans="1:21" x14ac:dyDescent="0.3">
      <c r="A338" s="13" t="s">
        <v>1233</v>
      </c>
      <c r="B338" s="14" t="s">
        <v>1230</v>
      </c>
      <c r="C338" s="14"/>
      <c r="D338" s="14" t="s">
        <v>1234</v>
      </c>
      <c r="E338" s="14">
        <f xml:space="preserve"> IF($U$338,1,0)</f>
        <v>0</v>
      </c>
      <c r="F338" s="14" t="s">
        <v>1235</v>
      </c>
      <c r="G338" s="14">
        <v>0</v>
      </c>
      <c r="H338" s="14">
        <v>0</v>
      </c>
      <c r="I338" s="14">
        <v>0</v>
      </c>
      <c r="J338" s="14">
        <v>0</v>
      </c>
      <c r="K338" s="14">
        <v>0</v>
      </c>
      <c r="L338" s="14">
        <v>0</v>
      </c>
      <c r="M338" s="14">
        <v>0</v>
      </c>
      <c r="N338" s="14">
        <v>0</v>
      </c>
      <c r="O338" s="14">
        <v>0</v>
      </c>
      <c r="P338" s="14">
        <v>0</v>
      </c>
      <c r="Q338" s="15"/>
      <c r="R338" s="15"/>
      <c r="S338" s="15">
        <f>$G$338*$G$8+$H$338*$H$8+$I$338*$I$8+$J$338*$J$8+$K$338*$K$8+$L$338*$L$8+$M$338*$M$8+$N$338*$N$8+$O$338*$O$8+$P$338*$P$8</f>
        <v>0</v>
      </c>
      <c r="T338" s="15">
        <f>SUM($Q$338:$R$338)</f>
        <v>0</v>
      </c>
      <c r="U338" s="15">
        <f>$S$338+$T$338</f>
        <v>0</v>
      </c>
    </row>
    <row r="339" spans="1:21" x14ac:dyDescent="0.3">
      <c r="A339" s="10" t="s">
        <v>1236</v>
      </c>
      <c r="B339" s="11" t="s">
        <v>1237</v>
      </c>
      <c r="C339" s="11"/>
      <c r="D339" s="11" t="s">
        <v>1237</v>
      </c>
      <c r="E339" s="11">
        <f xml:space="preserve"> IF($U$339,1,0)</f>
        <v>0</v>
      </c>
      <c r="F339" s="11" t="s">
        <v>1238</v>
      </c>
      <c r="G339" s="11">
        <v>0</v>
      </c>
      <c r="H339" s="11">
        <v>0</v>
      </c>
      <c r="I339" s="11">
        <v>0</v>
      </c>
      <c r="J339" s="11">
        <v>0</v>
      </c>
      <c r="K339" s="11">
        <v>0</v>
      </c>
      <c r="L339" s="11">
        <v>0</v>
      </c>
      <c r="M339" s="11">
        <v>0</v>
      </c>
      <c r="N339" s="11">
        <v>0</v>
      </c>
      <c r="O339" s="11">
        <v>0</v>
      </c>
      <c r="P339" s="11">
        <v>0</v>
      </c>
      <c r="Q339" s="12"/>
      <c r="R339" s="12"/>
      <c r="S339" s="12">
        <f>$G$339*$G$8+$H$339*$H$8+$I$339*$I$8+$J$339*$J$8+$K$339*$K$8+$L$339*$L$8+$M$339*$M$8+$N$339*$N$8+$O$339*$O$8+$P$339*$P$8</f>
        <v>0</v>
      </c>
      <c r="T339" s="12">
        <f>SUM($Q$339:$R$339)</f>
        <v>0</v>
      </c>
      <c r="U339" s="12">
        <f>$S$339+$T$339</f>
        <v>0</v>
      </c>
    </row>
    <row r="341" spans="1:21" ht="15" thickBot="1" x14ac:dyDescent="0.35">
      <c r="E341" s="5" t="s">
        <v>18</v>
      </c>
      <c r="F341" s="6" t="s">
        <v>19</v>
      </c>
      <c r="G341" s="6" t="s">
        <v>4</v>
      </c>
      <c r="H341" s="6" t="s">
        <v>1245</v>
      </c>
      <c r="I341" s="6" t="s">
        <v>7</v>
      </c>
      <c r="J341" s="6" t="s">
        <v>6</v>
      </c>
      <c r="K341" s="6" t="s">
        <v>8</v>
      </c>
      <c r="L341" s="6" t="s">
        <v>9</v>
      </c>
      <c r="M341" s="6" t="s">
        <v>10</v>
      </c>
      <c r="N341" s="6" t="s">
        <v>11</v>
      </c>
      <c r="O341" s="6" t="s">
        <v>12</v>
      </c>
      <c r="P341" s="6" t="s">
        <v>1277</v>
      </c>
      <c r="Q341" s="6" t="s">
        <v>1259</v>
      </c>
      <c r="R341" s="6" t="s">
        <v>1260</v>
      </c>
      <c r="S341" s="6" t="s">
        <v>23</v>
      </c>
      <c r="T341" s="6" t="s">
        <v>26</v>
      </c>
      <c r="U341" s="6" t="s">
        <v>25</v>
      </c>
    </row>
    <row r="342" spans="1:21" ht="15" thickTop="1" x14ac:dyDescent="0.3">
      <c r="E342" s="7">
        <f xml:space="preserve"> IF($U$342,1,0)</f>
        <v>0</v>
      </c>
      <c r="F342" s="8" t="s">
        <v>1247</v>
      </c>
      <c r="G342" s="8">
        <v>0</v>
      </c>
      <c r="H342" s="8">
        <v>0</v>
      </c>
      <c r="I342" s="8">
        <v>0</v>
      </c>
      <c r="J342" s="8">
        <v>0</v>
      </c>
      <c r="K342" s="8">
        <v>0</v>
      </c>
      <c r="L342" s="8">
        <v>0</v>
      </c>
      <c r="M342" s="8">
        <v>0</v>
      </c>
      <c r="N342" s="8">
        <v>0</v>
      </c>
      <c r="O342" s="8">
        <v>0</v>
      </c>
      <c r="P342" s="8">
        <v>0</v>
      </c>
      <c r="Q342" s="8"/>
      <c r="R342" s="8"/>
      <c r="S342" s="9">
        <f>$G$342*$G$8+$H$342*$H$8+$I$342*$I$8+$J$342*$J$8+$K$342*$K$8+$L$342*$L$8+$M$342*$M$8+$N$342*$N$8+$O$342*$O$8+$P$342*$P$8</f>
        <v>0</v>
      </c>
      <c r="T342" s="9">
        <f>$U$342/2</f>
        <v>0</v>
      </c>
      <c r="U342" s="9">
        <f>$G$342*$G$8+$H$342*$H$8+$I$342*$I$8+$J$342*$J$8+$K$342*$K$8+$L$342*$L$8+$M$342*$M$8+$N$342*$N$8+$O$342*$O$8+$P$342*$P$8</f>
        <v>0</v>
      </c>
    </row>
    <row r="343" spans="1:21" x14ac:dyDescent="0.3">
      <c r="E343" s="10">
        <f xml:space="preserve"> IF($U$343,1,0)</f>
        <v>1</v>
      </c>
      <c r="F343" s="11" t="s">
        <v>1278</v>
      </c>
      <c r="G343" s="11">
        <v>0</v>
      </c>
      <c r="H343" s="11">
        <v>0</v>
      </c>
      <c r="I343" s="11">
        <v>0</v>
      </c>
      <c r="J343" s="11">
        <v>0</v>
      </c>
      <c r="K343" s="11">
        <v>2</v>
      </c>
      <c r="L343" s="11">
        <v>2</v>
      </c>
      <c r="M343" s="11">
        <v>0</v>
      </c>
      <c r="N343" s="11">
        <v>0</v>
      </c>
      <c r="O343" s="11">
        <v>0</v>
      </c>
      <c r="P343" s="11">
        <v>0</v>
      </c>
      <c r="Q343" s="11"/>
      <c r="R343" s="11"/>
      <c r="S343" s="12">
        <f>$G$343*$G$8+$H$343*$H$8+$I$343*$I$8+$J$343*$J$8+$K$343*$K$8+$L$343*$L$8+$M$343*$M$8+$N$343*$N$8+$O$343*$O$8+$P$343*$P$8</f>
        <v>10</v>
      </c>
      <c r="T343" s="12">
        <f>$U$343/4</f>
        <v>2.5</v>
      </c>
      <c r="U343" s="12">
        <f>$G$343*$G$8+$H$343*$H$8+$I$343*$I$8+$J$343*$J$8+$K$343*$K$8+$L$343*$L$8+$M$343*$M$8+$N$343*$N$8+$O$343*$O$8+$P$343*$P$8</f>
        <v>10</v>
      </c>
    </row>
    <row r="344" spans="1:21" x14ac:dyDescent="0.3">
      <c r="E344" s="13">
        <f xml:space="preserve"> IF($U$344,1,0)</f>
        <v>1</v>
      </c>
      <c r="F344" s="14" t="s">
        <v>1279</v>
      </c>
      <c r="G344" s="14">
        <v>10</v>
      </c>
      <c r="H344" s="14">
        <v>0</v>
      </c>
      <c r="I344" s="14">
        <v>0</v>
      </c>
      <c r="J344" s="14">
        <v>0</v>
      </c>
      <c r="K344" s="14">
        <v>1</v>
      </c>
      <c r="L344" s="14">
        <v>1</v>
      </c>
      <c r="M344" s="14">
        <v>1</v>
      </c>
      <c r="N344" s="14">
        <v>1</v>
      </c>
      <c r="O344" s="14">
        <v>0</v>
      </c>
      <c r="P344" s="14">
        <v>0</v>
      </c>
      <c r="Q344" s="14"/>
      <c r="R344" s="14"/>
      <c r="S344" s="15">
        <f>$G$344*$G$8+$H$344*$H$8+$I$344*$I$8+$J$344*$J$8+$K$344*$K$8+$L$344*$L$8+$M$344*$M$8+$N$344*$N$8+$O$344*$O$8+$P$344*$P$8</f>
        <v>25</v>
      </c>
      <c r="T344" s="15">
        <f>$U$344/14</f>
        <v>1.7857142857142858</v>
      </c>
      <c r="U344" s="15">
        <f>$G$344*$G$8+$H$344*$H$8+$I$344*$I$8+$J$344*$J$8+$K$344*$K$8+$L$344*$L$8+$M$344*$M$8+$N$344*$N$8+$O$344*$O$8+$P$344*$P$8</f>
        <v>25</v>
      </c>
    </row>
    <row r="345" spans="1:21" x14ac:dyDescent="0.3">
      <c r="E345" s="10">
        <f xml:space="preserve"> IF($U$345,1,0)</f>
        <v>0</v>
      </c>
      <c r="F345" s="11" t="s">
        <v>27</v>
      </c>
      <c r="G345" s="11">
        <v>0</v>
      </c>
      <c r="H345" s="11">
        <v>0</v>
      </c>
      <c r="I345" s="11">
        <v>0</v>
      </c>
      <c r="J345" s="11">
        <v>0</v>
      </c>
      <c r="K345" s="11">
        <v>0</v>
      </c>
      <c r="L345" s="11">
        <v>0</v>
      </c>
      <c r="M345" s="11">
        <v>0</v>
      </c>
      <c r="N345" s="11">
        <v>0</v>
      </c>
      <c r="O345" s="11">
        <v>0</v>
      </c>
      <c r="P345" s="11">
        <v>0</v>
      </c>
      <c r="Q345" s="11"/>
      <c r="R345" s="11"/>
      <c r="S345" s="12">
        <f>$G$345*$G$8+$H$345*$H$8+$I$345*$I$8+$J$345*$J$8+$K$345*$K$8+$L$345*$L$8+$M$345*$M$8+$N$345*$N$8+$O$345*$O$8+$P$345*$P$8</f>
        <v>0</v>
      </c>
      <c r="T345" s="12">
        <f>$U$345/2</f>
        <v>0</v>
      </c>
      <c r="U345" s="12">
        <f>$G$345*$G$8+$H$345*$H$8+$I$345*$I$8+$J$345*$J$8+$K$345*$K$8+$L$345*$L$8+$M$345*$M$8+$N$345*$N$8+$O$345*$O$8+$P$345*$P$8</f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86F74-BF5B-4DCA-995E-2CEF94323358}">
  <sheetPr codeName="Blad13"/>
  <dimension ref="A2:U345"/>
  <sheetViews>
    <sheetView topLeftCell="F6" workbookViewId="0">
      <selection activeCell="P41" sqref="P41"/>
    </sheetView>
  </sheetViews>
  <sheetFormatPr defaultRowHeight="14.4" x14ac:dyDescent="0.3"/>
  <cols>
    <col min="2" max="2" width="14.77734375" customWidth="1"/>
    <col min="3" max="3" width="18.77734375" customWidth="1"/>
    <col min="4" max="4" width="20.77734375" customWidth="1"/>
    <col min="5" max="5" width="14.77734375" customWidth="1"/>
    <col min="6" max="6" width="25.77734375" customWidth="1"/>
    <col min="8" max="8" width="11.109375" customWidth="1"/>
    <col min="11" max="14" width="11.44140625" customWidth="1"/>
    <col min="16" max="16" width="11.88671875" customWidth="1"/>
    <col min="17" max="17" width="9.6640625" customWidth="1"/>
    <col min="18" max="18" width="15.88671875" customWidth="1"/>
    <col min="19" max="19" width="22.109375" customWidth="1"/>
    <col min="20" max="20" width="18.6640625" customWidth="1"/>
  </cols>
  <sheetData>
    <row r="2" spans="1:21" x14ac:dyDescent="0.3">
      <c r="A2" t="s">
        <v>1239</v>
      </c>
      <c r="F2" t="s">
        <v>20</v>
      </c>
      <c r="G2">
        <f>SUM($G$10:$G$339)+ SUM($G$342:$G$345)</f>
        <v>10</v>
      </c>
      <c r="H2">
        <f>SUM($H$10:$H$339)+ SUM($H$342:$H$345)</f>
        <v>0</v>
      </c>
      <c r="I2">
        <f>SUM($I$10:$I$339)+ SUM($I$342:$I$345)</f>
        <v>2</v>
      </c>
      <c r="J2">
        <f>SUM($J$10:$J$339)+ SUM($J$342:$J$345)</f>
        <v>5</v>
      </c>
      <c r="K2">
        <f>SUM($K$10:$K$339)+ SUM($K$342:$K$345)</f>
        <v>5</v>
      </c>
      <c r="L2">
        <f>SUM($L$10:$L$339)+ SUM($L$342:$L$345)</f>
        <v>4</v>
      </c>
      <c r="M2">
        <f>SUM($M$10:$M$339)+ SUM($M$342:$M$345)</f>
        <v>2</v>
      </c>
      <c r="N2">
        <f>SUM($N$10:$N$339)+ SUM($N$342:$N$345)</f>
        <v>6</v>
      </c>
      <c r="O2">
        <f>SUM($O$10:$O$339)+ SUM($O$342:$O$345)</f>
        <v>2</v>
      </c>
      <c r="P2">
        <f>SUM($P$10:$P$339)+ SUM($P$342:$P$345)</f>
        <v>10</v>
      </c>
    </row>
    <row r="3" spans="1:21" x14ac:dyDescent="0.3">
      <c r="A3">
        <f>SUM($E$10:$E$339)</f>
        <v>20</v>
      </c>
      <c r="F3" t="s">
        <v>21</v>
      </c>
      <c r="G3" s="3">
        <f>$G$8*G2</f>
        <v>11</v>
      </c>
      <c r="H3" s="3">
        <f>$H$8*H2</f>
        <v>0</v>
      </c>
      <c r="I3" s="3">
        <f>$I$8*I2</f>
        <v>9.5</v>
      </c>
      <c r="J3" s="3">
        <f>$J$8*J2</f>
        <v>5</v>
      </c>
      <c r="K3" s="3">
        <f>$K$8*K2</f>
        <v>10</v>
      </c>
      <c r="L3" s="3">
        <f>$L$8*L2</f>
        <v>12</v>
      </c>
      <c r="M3" s="3">
        <f>$M$8*M2</f>
        <v>8</v>
      </c>
      <c r="N3" s="3">
        <f>$N$8*N2</f>
        <v>30</v>
      </c>
      <c r="O3" s="3">
        <f>$O$8*O2</f>
        <v>1</v>
      </c>
      <c r="P3" s="3">
        <f>$P$8*P2</f>
        <v>4</v>
      </c>
    </row>
    <row r="8" spans="1:21" x14ac:dyDescent="0.3">
      <c r="F8" t="s">
        <v>22</v>
      </c>
      <c r="G8" s="4">
        <v>1.1000000000000001</v>
      </c>
      <c r="H8" s="4">
        <v>1.8</v>
      </c>
      <c r="I8" s="4">
        <v>4.75</v>
      </c>
      <c r="J8" s="4">
        <v>1</v>
      </c>
      <c r="K8" s="4">
        <v>2</v>
      </c>
      <c r="L8" s="4">
        <v>3</v>
      </c>
      <c r="M8" s="4">
        <v>4</v>
      </c>
      <c r="N8" s="4">
        <v>5</v>
      </c>
      <c r="O8" s="4">
        <v>0.5</v>
      </c>
      <c r="P8" s="4">
        <v>0.4</v>
      </c>
      <c r="Q8" s="3">
        <f>SUM(Q10:Q49)</f>
        <v>24.999999999999996</v>
      </c>
      <c r="R8" s="3">
        <f>SUM(R10:R49)</f>
        <v>0</v>
      </c>
      <c r="S8" s="3">
        <f>SUM($S$10:$S$339)</f>
        <v>55.5</v>
      </c>
      <c r="T8" s="3">
        <f>SUM($T$10:$T$339)</f>
        <v>24.999999999999996</v>
      </c>
      <c r="U8" s="3">
        <f>SUM($U$10:$U$339)</f>
        <v>80.499999999999986</v>
      </c>
    </row>
    <row r="9" spans="1:21" ht="15" thickBot="1" x14ac:dyDescent="0.35">
      <c r="A9" s="5" t="s">
        <v>14</v>
      </c>
      <c r="B9" s="6" t="s">
        <v>15</v>
      </c>
      <c r="C9" s="6" t="s">
        <v>16</v>
      </c>
      <c r="D9" s="6" t="s">
        <v>17</v>
      </c>
      <c r="E9" s="6" t="s">
        <v>18</v>
      </c>
      <c r="F9" s="6" t="s">
        <v>19</v>
      </c>
      <c r="G9" s="6" t="s">
        <v>4</v>
      </c>
      <c r="H9" s="6" t="s">
        <v>1245</v>
      </c>
      <c r="I9" s="6" t="s">
        <v>7</v>
      </c>
      <c r="J9" s="6" t="s">
        <v>6</v>
      </c>
      <c r="K9" s="6" t="s">
        <v>8</v>
      </c>
      <c r="L9" s="6" t="s">
        <v>9</v>
      </c>
      <c r="M9" s="6" t="s">
        <v>10</v>
      </c>
      <c r="N9" s="6" t="s">
        <v>11</v>
      </c>
      <c r="O9" s="6" t="s">
        <v>12</v>
      </c>
      <c r="P9" s="6" t="s">
        <v>1277</v>
      </c>
      <c r="Q9" s="6" t="s">
        <v>1278</v>
      </c>
      <c r="R9" s="6" t="s">
        <v>1279</v>
      </c>
      <c r="S9" s="6" t="s">
        <v>23</v>
      </c>
      <c r="T9" s="6" t="s">
        <v>24</v>
      </c>
      <c r="U9" s="6" t="s">
        <v>25</v>
      </c>
    </row>
    <row r="10" spans="1:21" ht="15" thickTop="1" x14ac:dyDescent="0.3">
      <c r="A10" s="7" t="s">
        <v>28</v>
      </c>
      <c r="B10" s="8" t="s">
        <v>29</v>
      </c>
      <c r="C10" s="8"/>
      <c r="D10" s="8" t="s">
        <v>30</v>
      </c>
      <c r="E10" s="8">
        <f xml:space="preserve"> IF($U$10,1,0)</f>
        <v>0</v>
      </c>
      <c r="F10" s="8" t="s">
        <v>31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9"/>
      <c r="R10" s="9"/>
      <c r="S10" s="9">
        <f>$G$10*$G$8+$H$10*$H$8+$I$10*$I$8+$J$10*$J$8+$K$10*$K$8+$L$10*$L$8+$M$10*$M$8+$N$10*$N$8+$O$10*$O$8+$P$10*$P$8</f>
        <v>0</v>
      </c>
      <c r="T10" s="9">
        <f>SUM($Q$10:$R$10)</f>
        <v>0</v>
      </c>
      <c r="U10" s="9">
        <f>$S$10+$T$10</f>
        <v>0</v>
      </c>
    </row>
    <row r="11" spans="1:21" x14ac:dyDescent="0.3">
      <c r="A11" s="10" t="s">
        <v>32</v>
      </c>
      <c r="B11" s="11" t="s">
        <v>33</v>
      </c>
      <c r="C11" s="11" t="s">
        <v>34</v>
      </c>
      <c r="D11" s="11" t="s">
        <v>35</v>
      </c>
      <c r="E11" s="11">
        <f xml:space="preserve"> IF($U$11,1,0)</f>
        <v>0</v>
      </c>
      <c r="F11" s="11" t="s">
        <v>36</v>
      </c>
      <c r="G11" s="11">
        <v>0</v>
      </c>
      <c r="H11" s="11">
        <v>0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2"/>
      <c r="R11" s="12"/>
      <c r="S11" s="12">
        <f>$G$11*$G$8+$H$11*$H$8+$I$11*$I$8+$J$11*$J$8+$K$11*$K$8+$L$11*$L$8+$M$11*$M$8+$N$11*$N$8+$O$11*$O$8+$P$11*$P$8</f>
        <v>0</v>
      </c>
      <c r="T11" s="12">
        <f>SUM($Q$11:$R$11)</f>
        <v>0</v>
      </c>
      <c r="U11" s="12">
        <f>$S$11+$T$11</f>
        <v>0</v>
      </c>
    </row>
    <row r="12" spans="1:21" x14ac:dyDescent="0.3">
      <c r="A12" s="13" t="s">
        <v>37</v>
      </c>
      <c r="B12" s="14" t="s">
        <v>38</v>
      </c>
      <c r="C12" s="14"/>
      <c r="D12" s="14" t="s">
        <v>39</v>
      </c>
      <c r="E12" s="14">
        <f xml:space="preserve"> IF($U$12,1,0)</f>
        <v>0</v>
      </c>
      <c r="F12" s="14" t="s">
        <v>40</v>
      </c>
      <c r="G12" s="14">
        <v>0</v>
      </c>
      <c r="H12" s="14">
        <v>0</v>
      </c>
      <c r="I12" s="14">
        <v>0</v>
      </c>
      <c r="J12" s="14">
        <v>0</v>
      </c>
      <c r="K12" s="14">
        <v>0</v>
      </c>
      <c r="L12" s="14">
        <v>0</v>
      </c>
      <c r="M12" s="14">
        <v>0</v>
      </c>
      <c r="N12" s="14">
        <v>0</v>
      </c>
      <c r="O12" s="14">
        <v>0</v>
      </c>
      <c r="P12" s="14">
        <v>0</v>
      </c>
      <c r="Q12" s="15"/>
      <c r="R12" s="15"/>
      <c r="S12" s="15">
        <f>$G$12*$G$8+$H$12*$H$8+$I$12*$I$8+$J$12*$J$8+$K$12*$K$8+$L$12*$L$8+$M$12*$M$8+$N$12*$N$8+$O$12*$O$8+$P$12*$P$8</f>
        <v>0</v>
      </c>
      <c r="T12" s="15">
        <f>SUM($Q$12:$R$12)</f>
        <v>0</v>
      </c>
      <c r="U12" s="15">
        <f>$S$12+$T$12</f>
        <v>0</v>
      </c>
    </row>
    <row r="13" spans="1:21" x14ac:dyDescent="0.3">
      <c r="A13" s="10" t="s">
        <v>41</v>
      </c>
      <c r="B13" s="11" t="s">
        <v>38</v>
      </c>
      <c r="C13" s="11"/>
      <c r="D13" s="11" t="s">
        <v>42</v>
      </c>
      <c r="E13" s="11">
        <f xml:space="preserve"> IF($U$13,1,0)</f>
        <v>0</v>
      </c>
      <c r="F13" s="11" t="s">
        <v>43</v>
      </c>
      <c r="G13" s="11">
        <v>0</v>
      </c>
      <c r="H13" s="11">
        <v>0</v>
      </c>
      <c r="I13" s="11">
        <v>0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2"/>
      <c r="R13" s="12"/>
      <c r="S13" s="12">
        <f>$G$13*$G$8+$H$13*$H$8+$I$13*$I$8+$J$13*$J$8+$K$13*$K$8+$L$13*$L$8+$M$13*$M$8+$N$13*$N$8+$O$13*$O$8+$P$13*$P$8</f>
        <v>0</v>
      </c>
      <c r="T13" s="12">
        <f>SUM($Q$13:$R$13)</f>
        <v>0</v>
      </c>
      <c r="U13" s="12">
        <f>$S$13+$T$13</f>
        <v>0</v>
      </c>
    </row>
    <row r="14" spans="1:21" x14ac:dyDescent="0.3">
      <c r="A14" s="13" t="s">
        <v>44</v>
      </c>
      <c r="B14" s="14" t="s">
        <v>45</v>
      </c>
      <c r="C14" s="14"/>
      <c r="D14" s="14" t="s">
        <v>46</v>
      </c>
      <c r="E14" s="14">
        <f xml:space="preserve"> IF($U$14,1,0)</f>
        <v>1</v>
      </c>
      <c r="F14" s="14" t="s">
        <v>47</v>
      </c>
      <c r="G14" s="14">
        <v>0</v>
      </c>
      <c r="H14" s="14">
        <v>0</v>
      </c>
      <c r="I14" s="14">
        <v>1</v>
      </c>
      <c r="J14" s="14">
        <v>2</v>
      </c>
      <c r="K14" s="14">
        <v>1</v>
      </c>
      <c r="L14" s="14">
        <v>0</v>
      </c>
      <c r="M14" s="14">
        <v>1</v>
      </c>
      <c r="N14" s="14">
        <v>1</v>
      </c>
      <c r="O14" s="14">
        <v>1</v>
      </c>
      <c r="P14" s="14">
        <v>0</v>
      </c>
      <c r="Q14" s="15"/>
      <c r="R14" s="15"/>
      <c r="S14" s="15">
        <f>$G$14*$G$8+$H$14*$H$8+$I$14*$I$8+$J$14*$J$8+$K$14*$K$8+$L$14*$L$8+$M$14*$M$8+$N$14*$N$8+$O$14*$O$8+$P$14*$P$8</f>
        <v>18.25</v>
      </c>
      <c r="T14" s="15">
        <f>SUM($Q$14:$R$14)</f>
        <v>0</v>
      </c>
      <c r="U14" s="15">
        <f>$S$14+$T$14</f>
        <v>18.25</v>
      </c>
    </row>
    <row r="15" spans="1:21" x14ac:dyDescent="0.3">
      <c r="A15" s="10" t="s">
        <v>48</v>
      </c>
      <c r="B15" s="11" t="s">
        <v>45</v>
      </c>
      <c r="C15" s="11"/>
      <c r="D15" s="11" t="s">
        <v>49</v>
      </c>
      <c r="E15" s="11">
        <f xml:space="preserve"> IF($U$15,1,0)</f>
        <v>1</v>
      </c>
      <c r="F15" s="11" t="s">
        <v>50</v>
      </c>
      <c r="G15" s="11">
        <v>0</v>
      </c>
      <c r="H15" s="11">
        <v>0</v>
      </c>
      <c r="I15" s="11">
        <v>0</v>
      </c>
      <c r="J15" s="11">
        <v>0</v>
      </c>
      <c r="K15" s="11">
        <v>0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2">
        <f>$T$344</f>
        <v>1.7857142857142858</v>
      </c>
      <c r="R15" s="12"/>
      <c r="S15" s="12">
        <f>$G$15*$G$8+$H$15*$H$8+$I$15*$I$8+$J$15*$J$8+$K$15*$K$8+$L$15*$L$8+$M$15*$M$8+$N$15*$N$8+$O$15*$O$8+$P$15*$P$8</f>
        <v>0</v>
      </c>
      <c r="T15" s="12">
        <f>SUM($Q$15:$R$15)</f>
        <v>1.7857142857142858</v>
      </c>
      <c r="U15" s="12">
        <f>$S$15+$T$15</f>
        <v>1.7857142857142858</v>
      </c>
    </row>
    <row r="16" spans="1:21" x14ac:dyDescent="0.3">
      <c r="A16" s="13" t="s">
        <v>51</v>
      </c>
      <c r="B16" s="14" t="s">
        <v>52</v>
      </c>
      <c r="C16" s="14"/>
      <c r="D16" s="14" t="s">
        <v>53</v>
      </c>
      <c r="E16" s="14">
        <f xml:space="preserve"> IF($U$16,1,0)</f>
        <v>0</v>
      </c>
      <c r="F16" s="14" t="s">
        <v>54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4">
        <v>0</v>
      </c>
      <c r="O16" s="14">
        <v>0</v>
      </c>
      <c r="P16" s="14">
        <v>0</v>
      </c>
      <c r="Q16" s="15"/>
      <c r="R16" s="15"/>
      <c r="S16" s="15">
        <f>$G$16*$G$8+$H$16*$H$8+$I$16*$I$8+$J$16*$J$8+$K$16*$K$8+$L$16*$L$8+$M$16*$M$8+$N$16*$N$8+$O$16*$O$8+$P$16*$P$8</f>
        <v>0</v>
      </c>
      <c r="T16" s="15">
        <f>SUM($Q$16:$R$16)</f>
        <v>0</v>
      </c>
      <c r="U16" s="15">
        <f>$S$16+$T$16</f>
        <v>0</v>
      </c>
    </row>
    <row r="17" spans="1:21" x14ac:dyDescent="0.3">
      <c r="A17" s="10" t="s">
        <v>55</v>
      </c>
      <c r="B17" s="11" t="s">
        <v>56</v>
      </c>
      <c r="C17" s="11"/>
      <c r="D17" s="11" t="s">
        <v>57</v>
      </c>
      <c r="E17" s="11">
        <f xml:space="preserve"> IF($U$17,1,0)</f>
        <v>1</v>
      </c>
      <c r="F17" s="11" t="s">
        <v>58</v>
      </c>
      <c r="G17" s="11">
        <v>0</v>
      </c>
      <c r="H17" s="11">
        <v>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2">
        <f>$T$344</f>
        <v>1.7857142857142858</v>
      </c>
      <c r="R17" s="12"/>
      <c r="S17" s="12">
        <f>$G$17*$G$8+$H$17*$H$8+$I$17*$I$8+$J$17*$J$8+$K$17*$K$8+$L$17*$L$8+$M$17*$M$8+$N$17*$N$8+$O$17*$O$8+$P$17*$P$8</f>
        <v>0</v>
      </c>
      <c r="T17" s="12">
        <f>SUM($Q$17:$R$17)</f>
        <v>1.7857142857142858</v>
      </c>
      <c r="U17" s="12">
        <f>$S$17+$T$17</f>
        <v>1.7857142857142858</v>
      </c>
    </row>
    <row r="18" spans="1:21" x14ac:dyDescent="0.3">
      <c r="A18" s="13" t="s">
        <v>59</v>
      </c>
      <c r="B18" s="14" t="s">
        <v>60</v>
      </c>
      <c r="C18" s="14"/>
      <c r="D18" s="14" t="s">
        <v>61</v>
      </c>
      <c r="E18" s="14">
        <f xml:space="preserve"> IF($U$18,1,0)</f>
        <v>1</v>
      </c>
      <c r="F18" s="14" t="s">
        <v>62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5">
        <f>$T$344</f>
        <v>1.7857142857142858</v>
      </c>
      <c r="R18" s="15"/>
      <c r="S18" s="15">
        <f>$G$18*$G$8+$H$18*$H$8+$I$18*$I$8+$J$18*$J$8+$K$18*$K$8+$L$18*$L$8+$M$18*$M$8+$N$18*$N$8+$O$18*$O$8+$P$18*$P$8</f>
        <v>0</v>
      </c>
      <c r="T18" s="15">
        <f>SUM($Q$18:$R$18)</f>
        <v>1.7857142857142858</v>
      </c>
      <c r="U18" s="15">
        <f>$S$18+$T$18</f>
        <v>1.7857142857142858</v>
      </c>
    </row>
    <row r="19" spans="1:21" x14ac:dyDescent="0.3">
      <c r="A19" s="10" t="s">
        <v>63</v>
      </c>
      <c r="B19" s="11" t="s">
        <v>64</v>
      </c>
      <c r="C19" s="11" t="s">
        <v>65</v>
      </c>
      <c r="D19" s="11" t="s">
        <v>66</v>
      </c>
      <c r="E19" s="11">
        <f xml:space="preserve"> IF($U$19,1,0)</f>
        <v>1</v>
      </c>
      <c r="F19" s="11" t="s">
        <v>67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2">
        <f>$T$344</f>
        <v>1.7857142857142858</v>
      </c>
      <c r="R19" s="12"/>
      <c r="S19" s="12">
        <f>$G$19*$G$8+$H$19*$H$8+$I$19*$I$8+$J$19*$J$8+$K$19*$K$8+$L$19*$L$8+$M$19*$M$8+$N$19*$N$8+$O$19*$O$8+$P$19*$P$8</f>
        <v>0</v>
      </c>
      <c r="T19" s="12">
        <f>SUM($Q$19:$R$19)</f>
        <v>1.7857142857142858</v>
      </c>
      <c r="U19" s="12">
        <f>$S$19+$T$19</f>
        <v>1.7857142857142858</v>
      </c>
    </row>
    <row r="20" spans="1:21" x14ac:dyDescent="0.3">
      <c r="A20" s="13" t="s">
        <v>68</v>
      </c>
      <c r="B20" s="14" t="s">
        <v>69</v>
      </c>
      <c r="C20" s="14"/>
      <c r="D20" s="14" t="s">
        <v>70</v>
      </c>
      <c r="E20" s="14">
        <f xml:space="preserve"> IF($U$20,1,0)</f>
        <v>1</v>
      </c>
      <c r="F20" s="14" t="s">
        <v>71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4">
        <v>0</v>
      </c>
      <c r="N20" s="14">
        <v>0</v>
      </c>
      <c r="O20" s="14">
        <v>0</v>
      </c>
      <c r="P20" s="14">
        <v>0</v>
      </c>
      <c r="Q20" s="15">
        <f>$T$344</f>
        <v>1.7857142857142858</v>
      </c>
      <c r="R20" s="15"/>
      <c r="S20" s="15">
        <f>$G$20*$G$8+$H$20*$H$8+$I$20*$I$8+$J$20*$J$8+$K$20*$K$8+$L$20*$L$8+$M$20*$M$8+$N$20*$N$8+$O$20*$O$8+$P$20*$P$8</f>
        <v>0</v>
      </c>
      <c r="T20" s="15">
        <f>SUM($Q$20:$R$20)</f>
        <v>1.7857142857142858</v>
      </c>
      <c r="U20" s="15">
        <f>$S$20+$T$20</f>
        <v>1.7857142857142858</v>
      </c>
    </row>
    <row r="21" spans="1:21" x14ac:dyDescent="0.3">
      <c r="A21" s="10" t="s">
        <v>72</v>
      </c>
      <c r="B21" s="11" t="s">
        <v>73</v>
      </c>
      <c r="C21" s="11"/>
      <c r="D21" s="11" t="s">
        <v>74</v>
      </c>
      <c r="E21" s="11">
        <f xml:space="preserve"> IF($U$21,1,0)</f>
        <v>0</v>
      </c>
      <c r="F21" s="11" t="s">
        <v>75</v>
      </c>
      <c r="G21" s="11">
        <v>0</v>
      </c>
      <c r="H21" s="11">
        <v>0</v>
      </c>
      <c r="I21" s="11">
        <v>0</v>
      </c>
      <c r="J21" s="11">
        <v>0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2"/>
      <c r="R21" s="12"/>
      <c r="S21" s="12">
        <f>$G$21*$G$8+$H$21*$H$8+$I$21*$I$8+$J$21*$J$8+$K$21*$K$8+$L$21*$L$8+$M$21*$M$8+$N$21*$N$8+$O$21*$O$8+$P$21*$P$8</f>
        <v>0</v>
      </c>
      <c r="T21" s="12">
        <f>SUM($Q$21:$R$21)</f>
        <v>0</v>
      </c>
      <c r="U21" s="12">
        <f>$S$21+$T$21</f>
        <v>0</v>
      </c>
    </row>
    <row r="22" spans="1:21" x14ac:dyDescent="0.3">
      <c r="A22" s="13" t="s">
        <v>76</v>
      </c>
      <c r="B22" s="14" t="s">
        <v>77</v>
      </c>
      <c r="C22" s="14"/>
      <c r="D22" s="14" t="s">
        <v>78</v>
      </c>
      <c r="E22" s="14">
        <f xml:space="preserve"> IF($U$22,1,0)</f>
        <v>1</v>
      </c>
      <c r="F22" s="14" t="s">
        <v>79</v>
      </c>
      <c r="G22" s="14">
        <v>0</v>
      </c>
      <c r="H22" s="14">
        <v>0</v>
      </c>
      <c r="I22" s="14">
        <v>0</v>
      </c>
      <c r="J22" s="14">
        <v>2</v>
      </c>
      <c r="K22" s="14">
        <v>0</v>
      </c>
      <c r="L22" s="14">
        <v>0</v>
      </c>
      <c r="M22" s="14">
        <v>0</v>
      </c>
      <c r="N22" s="14">
        <v>0</v>
      </c>
      <c r="O22" s="14">
        <v>0</v>
      </c>
      <c r="P22" s="14">
        <f>$T$343</f>
        <v>2.5</v>
      </c>
      <c r="Q22" s="15"/>
      <c r="R22" s="15"/>
      <c r="S22" s="15">
        <f>$G$22*$G$8+$H$22*$H$8+$I$22*$I$8+$J$22*$J$8+$K$22*$K$8+$L$22*$L$8+$M$22*$M$8+$N$22*$N$8+$O$22*$O$8+$P$22*$P$8</f>
        <v>3</v>
      </c>
      <c r="T22" s="15">
        <f>SUM($Q$22:$R$22)</f>
        <v>0</v>
      </c>
      <c r="U22" s="15">
        <f>$S$22+$T$22</f>
        <v>3</v>
      </c>
    </row>
    <row r="23" spans="1:21" x14ac:dyDescent="0.3">
      <c r="A23" s="10" t="s">
        <v>80</v>
      </c>
      <c r="B23" s="11" t="s">
        <v>77</v>
      </c>
      <c r="C23" s="11" t="s">
        <v>65</v>
      </c>
      <c r="D23" s="11" t="s">
        <v>81</v>
      </c>
      <c r="E23" s="11">
        <f xml:space="preserve"> IF($U$23,1,0)</f>
        <v>0</v>
      </c>
      <c r="F23" s="11" t="s">
        <v>82</v>
      </c>
      <c r="G23" s="11">
        <v>0</v>
      </c>
      <c r="H23" s="11">
        <v>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2"/>
      <c r="R23" s="12"/>
      <c r="S23" s="12">
        <f>$G$23*$G$8+$H$23*$H$8+$I$23*$I$8+$J$23*$J$8+$K$23*$K$8+$L$23*$L$8+$M$23*$M$8+$N$23*$N$8+$O$23*$O$8+$P$23*$P$8</f>
        <v>0</v>
      </c>
      <c r="T23" s="12">
        <f>SUM($Q$23:$R$23)</f>
        <v>0</v>
      </c>
      <c r="U23" s="12">
        <f>$S$23+$T$23</f>
        <v>0</v>
      </c>
    </row>
    <row r="24" spans="1:21" x14ac:dyDescent="0.3">
      <c r="A24" s="13" t="s">
        <v>83</v>
      </c>
      <c r="B24" s="14" t="s">
        <v>84</v>
      </c>
      <c r="C24" s="14"/>
      <c r="D24" s="14" t="s">
        <v>81</v>
      </c>
      <c r="E24" s="14">
        <f xml:space="preserve"> IF($U$24,1,0)</f>
        <v>0</v>
      </c>
      <c r="F24" s="14" t="s">
        <v>85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5"/>
      <c r="R24" s="15"/>
      <c r="S24" s="15">
        <f>$G$24*$G$8+$H$24*$H$8+$I$24*$I$8+$J$24*$J$8+$K$24*$K$8+$L$24*$L$8+$M$24*$M$8+$N$24*$N$8+$O$24*$O$8+$P$24*$P$8</f>
        <v>0</v>
      </c>
      <c r="T24" s="15">
        <f>SUM($Q$24:$R$24)</f>
        <v>0</v>
      </c>
      <c r="U24" s="15">
        <f>$S$24+$T$24</f>
        <v>0</v>
      </c>
    </row>
    <row r="25" spans="1:21" x14ac:dyDescent="0.3">
      <c r="A25" s="10" t="s">
        <v>86</v>
      </c>
      <c r="B25" s="11" t="s">
        <v>87</v>
      </c>
      <c r="C25" s="11"/>
      <c r="D25" s="11" t="s">
        <v>88</v>
      </c>
      <c r="E25" s="11">
        <f xml:space="preserve"> IF($U$25,1,0)</f>
        <v>1</v>
      </c>
      <c r="F25" s="11" t="s">
        <v>89</v>
      </c>
      <c r="G25" s="11">
        <v>0</v>
      </c>
      <c r="H25" s="11">
        <v>0</v>
      </c>
      <c r="I25" s="11">
        <v>0</v>
      </c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2">
        <f>$T$344</f>
        <v>1.7857142857142858</v>
      </c>
      <c r="R25" s="12"/>
      <c r="S25" s="12">
        <f>$G$25*$G$8+$H$25*$H$8+$I$25*$I$8+$J$25*$J$8+$K$25*$K$8+$L$25*$L$8+$M$25*$M$8+$N$25*$N$8+$O$25*$O$8+$P$25*$P$8</f>
        <v>0</v>
      </c>
      <c r="T25" s="12">
        <f>SUM($Q$25:$R$25)</f>
        <v>1.7857142857142858</v>
      </c>
      <c r="U25" s="12">
        <f>$S$25+$T$25</f>
        <v>1.7857142857142858</v>
      </c>
    </row>
    <row r="26" spans="1:21" x14ac:dyDescent="0.3">
      <c r="A26" s="13" t="s">
        <v>90</v>
      </c>
      <c r="B26" s="14" t="s">
        <v>91</v>
      </c>
      <c r="C26" s="14"/>
      <c r="D26" s="14" t="s">
        <v>92</v>
      </c>
      <c r="E26" s="14">
        <f xml:space="preserve"> IF($U$26,1,0)</f>
        <v>0</v>
      </c>
      <c r="F26" s="14" t="s">
        <v>93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5"/>
      <c r="R26" s="15"/>
      <c r="S26" s="15">
        <f>$G$26*$G$8+$H$26*$H$8+$I$26*$I$8+$J$26*$J$8+$K$26*$K$8+$L$26*$L$8+$M$26*$M$8+$N$26*$N$8+$O$26*$O$8+$P$26*$P$8</f>
        <v>0</v>
      </c>
      <c r="T26" s="15">
        <f>SUM($Q$26:$R$26)</f>
        <v>0</v>
      </c>
      <c r="U26" s="15">
        <f>$S$26+$T$26</f>
        <v>0</v>
      </c>
    </row>
    <row r="27" spans="1:21" x14ac:dyDescent="0.3">
      <c r="A27" s="10" t="s">
        <v>94</v>
      </c>
      <c r="B27" s="11" t="s">
        <v>95</v>
      </c>
      <c r="C27" s="11"/>
      <c r="D27" s="11" t="s">
        <v>96</v>
      </c>
      <c r="E27" s="11">
        <f xml:space="preserve"> IF($U$27,1,0)</f>
        <v>0</v>
      </c>
      <c r="F27" s="11" t="s">
        <v>97</v>
      </c>
      <c r="G27" s="11">
        <v>0</v>
      </c>
      <c r="H27" s="11">
        <v>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2"/>
      <c r="R27" s="12"/>
      <c r="S27" s="12">
        <f>$G$27*$G$8+$H$27*$H$8+$I$27*$I$8+$J$27*$J$8+$K$27*$K$8+$L$27*$L$8+$M$27*$M$8+$N$27*$N$8+$O$27*$O$8+$P$27*$P$8</f>
        <v>0</v>
      </c>
      <c r="T27" s="12">
        <f>SUM($Q$27:$R$27)</f>
        <v>0</v>
      </c>
      <c r="U27" s="12">
        <f>$S$27+$T$27</f>
        <v>0</v>
      </c>
    </row>
    <row r="28" spans="1:21" x14ac:dyDescent="0.3">
      <c r="A28" s="13" t="s">
        <v>98</v>
      </c>
      <c r="B28" s="14" t="s">
        <v>99</v>
      </c>
      <c r="C28" s="14"/>
      <c r="D28" s="14" t="s">
        <v>100</v>
      </c>
      <c r="E28" s="14">
        <f xml:space="preserve"> IF($U$28,1,0)</f>
        <v>1</v>
      </c>
      <c r="F28" s="14" t="s">
        <v>101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5">
        <f>$T$344</f>
        <v>1.7857142857142858</v>
      </c>
      <c r="R28" s="15"/>
      <c r="S28" s="15">
        <f>$G$28*$G$8+$H$28*$H$8+$I$28*$I$8+$J$28*$J$8+$K$28*$K$8+$L$28*$L$8+$M$28*$M$8+$N$28*$N$8+$O$28*$O$8+$P$28*$P$8</f>
        <v>0</v>
      </c>
      <c r="T28" s="15">
        <f>SUM($Q$28:$R$28)</f>
        <v>1.7857142857142858</v>
      </c>
      <c r="U28" s="15">
        <f>$S$28+$T$28</f>
        <v>1.7857142857142858</v>
      </c>
    </row>
    <row r="29" spans="1:21" x14ac:dyDescent="0.3">
      <c r="A29" s="10" t="s">
        <v>102</v>
      </c>
      <c r="B29" s="11" t="s">
        <v>103</v>
      </c>
      <c r="C29" s="11"/>
      <c r="D29" s="11" t="s">
        <v>104</v>
      </c>
      <c r="E29" s="11">
        <f xml:space="preserve"> IF($U$29,1,0)</f>
        <v>1</v>
      </c>
      <c r="F29" s="11" t="s">
        <v>105</v>
      </c>
      <c r="G29" s="11">
        <v>0</v>
      </c>
      <c r="H29" s="11">
        <v>0</v>
      </c>
      <c r="I29" s="11">
        <v>0</v>
      </c>
      <c r="J29" s="11">
        <v>0</v>
      </c>
      <c r="K29" s="11">
        <v>0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2">
        <f>$T$344</f>
        <v>1.7857142857142858</v>
      </c>
      <c r="R29" s="12"/>
      <c r="S29" s="12">
        <f>$G$29*$G$8+$H$29*$H$8+$I$29*$I$8+$J$29*$J$8+$K$29*$K$8+$L$29*$L$8+$M$29*$M$8+$N$29*$N$8+$O$29*$O$8+$P$29*$P$8</f>
        <v>0</v>
      </c>
      <c r="T29" s="12">
        <f>SUM($Q$29:$R$29)</f>
        <v>1.7857142857142858</v>
      </c>
      <c r="U29" s="12">
        <f>$S$29+$T$29</f>
        <v>1.7857142857142858</v>
      </c>
    </row>
    <row r="30" spans="1:21" x14ac:dyDescent="0.3">
      <c r="A30" s="13" t="s">
        <v>106</v>
      </c>
      <c r="B30" s="14" t="s">
        <v>103</v>
      </c>
      <c r="C30" s="14"/>
      <c r="D30" s="14" t="s">
        <v>107</v>
      </c>
      <c r="E30" s="14">
        <f xml:space="preserve"> IF($U$30,1,0)</f>
        <v>0</v>
      </c>
      <c r="F30" s="14" t="s">
        <v>108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5"/>
      <c r="R30" s="15"/>
      <c r="S30" s="15">
        <f>$G$30*$G$8+$H$30*$H$8+$I$30*$I$8+$J$30*$J$8+$K$30*$K$8+$L$30*$L$8+$M$30*$M$8+$N$30*$N$8+$O$30*$O$8+$P$30*$P$8</f>
        <v>0</v>
      </c>
      <c r="T30" s="15">
        <f>SUM($Q$30:$R$30)</f>
        <v>0</v>
      </c>
      <c r="U30" s="15">
        <f>$S$30+$T$30</f>
        <v>0</v>
      </c>
    </row>
    <row r="31" spans="1:21" x14ac:dyDescent="0.3">
      <c r="A31" s="10" t="s">
        <v>109</v>
      </c>
      <c r="B31" s="11" t="s">
        <v>103</v>
      </c>
      <c r="C31" s="11"/>
      <c r="D31" s="11" t="s">
        <v>110</v>
      </c>
      <c r="E31" s="11">
        <f xml:space="preserve"> IF($U$31,1,0)</f>
        <v>0</v>
      </c>
      <c r="F31" s="11" t="s">
        <v>111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2"/>
      <c r="R31" s="12"/>
      <c r="S31" s="12">
        <f>$G$31*$G$8+$H$31*$H$8+$I$31*$I$8+$J$31*$J$8+$K$31*$K$8+$L$31*$L$8+$M$31*$M$8+$N$31*$N$8+$O$31*$O$8+$P$31*$P$8</f>
        <v>0</v>
      </c>
      <c r="T31" s="12">
        <f>SUM($Q$31:$R$31)</f>
        <v>0</v>
      </c>
      <c r="U31" s="12">
        <f>$S$31+$T$31</f>
        <v>0</v>
      </c>
    </row>
    <row r="32" spans="1:21" x14ac:dyDescent="0.3">
      <c r="A32" s="13" t="s">
        <v>112</v>
      </c>
      <c r="B32" s="14" t="s">
        <v>113</v>
      </c>
      <c r="C32" s="14"/>
      <c r="D32" s="14" t="s">
        <v>114</v>
      </c>
      <c r="E32" s="14">
        <f xml:space="preserve"> IF($U$32,1,0)</f>
        <v>1</v>
      </c>
      <c r="F32" s="14" t="s">
        <v>115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5">
        <f>$T$344</f>
        <v>1.7857142857142858</v>
      </c>
      <c r="R32" s="15"/>
      <c r="S32" s="15">
        <f>$G$32*$G$8+$H$32*$H$8+$I$32*$I$8+$J$32*$J$8+$K$32*$K$8+$L$32*$L$8+$M$32*$M$8+$N$32*$N$8+$O$32*$O$8+$P$32*$P$8</f>
        <v>0</v>
      </c>
      <c r="T32" s="15">
        <f>SUM($Q$32:$R$32)</f>
        <v>1.7857142857142858</v>
      </c>
      <c r="U32" s="15">
        <f>$S$32+$T$32</f>
        <v>1.7857142857142858</v>
      </c>
    </row>
    <row r="33" spans="1:21" x14ac:dyDescent="0.3">
      <c r="A33" s="10" t="s">
        <v>116</v>
      </c>
      <c r="B33" s="11" t="s">
        <v>117</v>
      </c>
      <c r="C33" s="11" t="s">
        <v>34</v>
      </c>
      <c r="D33" s="11" t="s">
        <v>118</v>
      </c>
      <c r="E33" s="11">
        <f xml:space="preserve"> IF($U$33,1,0)</f>
        <v>1</v>
      </c>
      <c r="F33" s="11" t="s">
        <v>119</v>
      </c>
      <c r="G33" s="11">
        <v>0</v>
      </c>
      <c r="H33" s="11">
        <v>0</v>
      </c>
      <c r="I33" s="11">
        <v>0</v>
      </c>
      <c r="J33" s="11">
        <v>0</v>
      </c>
      <c r="K33" s="11">
        <v>0</v>
      </c>
      <c r="L33" s="11">
        <v>0</v>
      </c>
      <c r="M33" s="11">
        <v>0</v>
      </c>
      <c r="N33" s="11">
        <v>0</v>
      </c>
      <c r="O33" s="11">
        <v>0</v>
      </c>
      <c r="P33" s="11">
        <v>0</v>
      </c>
      <c r="Q33" s="12">
        <f>$T$344</f>
        <v>1.7857142857142858</v>
      </c>
      <c r="R33" s="12"/>
      <c r="S33" s="12">
        <f>$G$33*$G$8+$H$33*$H$8+$I$33*$I$8+$J$33*$J$8+$K$33*$K$8+$L$33*$L$8+$M$33*$M$8+$N$33*$N$8+$O$33*$O$8+$P$33*$P$8</f>
        <v>0</v>
      </c>
      <c r="T33" s="12">
        <f>SUM($Q$33:$R$33)</f>
        <v>1.7857142857142858</v>
      </c>
      <c r="U33" s="12">
        <f>$S$33+$T$33</f>
        <v>1.7857142857142858</v>
      </c>
    </row>
    <row r="34" spans="1:21" x14ac:dyDescent="0.3">
      <c r="A34" s="13" t="s">
        <v>120</v>
      </c>
      <c r="B34" s="14" t="s">
        <v>121</v>
      </c>
      <c r="C34" s="14"/>
      <c r="D34" s="14" t="s">
        <v>122</v>
      </c>
      <c r="E34" s="14">
        <f xml:space="preserve"> IF($U$34,1,0)</f>
        <v>1</v>
      </c>
      <c r="F34" s="14" t="s">
        <v>123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5">
        <f>$T$344</f>
        <v>1.7857142857142858</v>
      </c>
      <c r="R34" s="15"/>
      <c r="S34" s="15">
        <f>$G$34*$G$8+$H$34*$H$8+$I$34*$I$8+$J$34*$J$8+$K$34*$K$8+$L$34*$L$8+$M$34*$M$8+$N$34*$N$8+$O$34*$O$8+$P$34*$P$8</f>
        <v>0</v>
      </c>
      <c r="T34" s="15">
        <f>SUM($Q$34:$R$34)</f>
        <v>1.7857142857142858</v>
      </c>
      <c r="U34" s="15">
        <f>$S$34+$T$34</f>
        <v>1.7857142857142858</v>
      </c>
    </row>
    <row r="35" spans="1:21" x14ac:dyDescent="0.3">
      <c r="A35" s="10" t="s">
        <v>124</v>
      </c>
      <c r="B35" s="11" t="s">
        <v>125</v>
      </c>
      <c r="C35" s="11"/>
      <c r="D35" s="11" t="s">
        <v>126</v>
      </c>
      <c r="E35" s="11">
        <f xml:space="preserve"> IF($U$35,1,0)</f>
        <v>0</v>
      </c>
      <c r="F35" s="11" t="s">
        <v>127</v>
      </c>
      <c r="G35" s="11">
        <v>0</v>
      </c>
      <c r="H35" s="11">
        <v>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0</v>
      </c>
      <c r="Q35" s="12"/>
      <c r="R35" s="12"/>
      <c r="S35" s="12">
        <f>$G$35*$G$8+$H$35*$H$8+$I$35*$I$8+$J$35*$J$8+$K$35*$K$8+$L$35*$L$8+$M$35*$M$8+$N$35*$N$8+$O$35*$O$8+$P$35*$P$8</f>
        <v>0</v>
      </c>
      <c r="T35" s="12">
        <f>SUM($Q$35:$R$35)</f>
        <v>0</v>
      </c>
      <c r="U35" s="12">
        <f>$S$35+$T$35</f>
        <v>0</v>
      </c>
    </row>
    <row r="36" spans="1:21" x14ac:dyDescent="0.3">
      <c r="A36" s="13" t="s">
        <v>128</v>
      </c>
      <c r="B36" s="14" t="s">
        <v>129</v>
      </c>
      <c r="C36" s="14" t="s">
        <v>34</v>
      </c>
      <c r="D36" s="14" t="s">
        <v>130</v>
      </c>
      <c r="E36" s="14">
        <f xml:space="preserve"> IF($U$36,1,0)</f>
        <v>0</v>
      </c>
      <c r="F36" s="14" t="s">
        <v>131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5"/>
      <c r="R36" s="15"/>
      <c r="S36" s="15">
        <f>$G$36*$G$8+$H$36*$H$8+$I$36*$I$8+$J$36*$J$8+$K$36*$K$8+$L$36*$L$8+$M$36*$M$8+$N$36*$N$8+$O$36*$O$8+$P$36*$P$8</f>
        <v>0</v>
      </c>
      <c r="T36" s="15">
        <f>SUM($Q$36:$R$36)</f>
        <v>0</v>
      </c>
      <c r="U36" s="15">
        <f>$S$36+$T$36</f>
        <v>0</v>
      </c>
    </row>
    <row r="37" spans="1:21" x14ac:dyDescent="0.3">
      <c r="A37" s="10" t="s">
        <v>132</v>
      </c>
      <c r="B37" s="11" t="s">
        <v>133</v>
      </c>
      <c r="C37" s="11"/>
      <c r="D37" s="11" t="s">
        <v>134</v>
      </c>
      <c r="E37" s="11">
        <f xml:space="preserve"> IF($U$37,1,0)</f>
        <v>0</v>
      </c>
      <c r="F37" s="11" t="s">
        <v>135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2"/>
      <c r="R37" s="12"/>
      <c r="S37" s="12">
        <f>$G$37*$G$8+$H$37*$H$8+$I$37*$I$8+$J$37*$J$8+$K$37*$K$8+$L$37*$L$8+$M$37*$M$8+$N$37*$N$8+$O$37*$O$8+$P$37*$P$8</f>
        <v>0</v>
      </c>
      <c r="T37" s="12">
        <f>SUM($Q$37:$R$37)</f>
        <v>0</v>
      </c>
      <c r="U37" s="12">
        <f>$S$37+$T$37</f>
        <v>0</v>
      </c>
    </row>
    <row r="38" spans="1:21" x14ac:dyDescent="0.3">
      <c r="A38" s="13" t="s">
        <v>1280</v>
      </c>
      <c r="B38" s="14" t="s">
        <v>1281</v>
      </c>
      <c r="C38" s="14"/>
      <c r="D38" s="14" t="s">
        <v>1250</v>
      </c>
      <c r="E38" s="14">
        <f xml:space="preserve"> IF($U$38,1,0)</f>
        <v>1</v>
      </c>
      <c r="F38" s="14" t="s">
        <v>1282</v>
      </c>
      <c r="G38" s="14">
        <v>0</v>
      </c>
      <c r="H38" s="14">
        <v>0</v>
      </c>
      <c r="I38" s="14">
        <v>0</v>
      </c>
      <c r="J38" s="14">
        <v>0</v>
      </c>
      <c r="K38" s="14">
        <v>0</v>
      </c>
      <c r="L38" s="14">
        <v>0</v>
      </c>
      <c r="M38" s="14">
        <v>0</v>
      </c>
      <c r="N38" s="14">
        <v>0</v>
      </c>
      <c r="O38" s="14">
        <v>0</v>
      </c>
      <c r="P38" s="14">
        <v>0</v>
      </c>
      <c r="Q38" s="15">
        <f>$T$344</f>
        <v>1.7857142857142858</v>
      </c>
      <c r="R38" s="15"/>
      <c r="S38" s="15">
        <f>$G$38*$G$8+$H$38*$H$8+$I$38*$I$8+$J$38*$J$8+$K$38*$K$8+$L$38*$L$8+$M$38*$M$8+$N$38*$N$8+$O$38*$O$8+$P$38*$P$8</f>
        <v>0</v>
      </c>
      <c r="T38" s="15">
        <f>SUM($Q$38:$R$38)</f>
        <v>1.7857142857142858</v>
      </c>
      <c r="U38" s="15">
        <f>$S$38+$T$38</f>
        <v>1.7857142857142858</v>
      </c>
    </row>
    <row r="39" spans="1:21" x14ac:dyDescent="0.3">
      <c r="A39" s="10" t="s">
        <v>136</v>
      </c>
      <c r="B39" s="11" t="s">
        <v>137</v>
      </c>
      <c r="C39" s="11"/>
      <c r="D39" s="11" t="s">
        <v>138</v>
      </c>
      <c r="E39" s="11">
        <f xml:space="preserve"> IF($U$39,1,0)</f>
        <v>0</v>
      </c>
      <c r="F39" s="11" t="s">
        <v>139</v>
      </c>
      <c r="G39" s="11">
        <v>0</v>
      </c>
      <c r="H39" s="11">
        <v>0</v>
      </c>
      <c r="I39" s="11">
        <v>0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2"/>
      <c r="R39" s="12"/>
      <c r="S39" s="12">
        <f>$G$39*$G$8+$H$39*$H$8+$I$39*$I$8+$J$39*$J$8+$K$39*$K$8+$L$39*$L$8+$M$39*$M$8+$N$39*$N$8+$O$39*$O$8+$P$39*$P$8</f>
        <v>0</v>
      </c>
      <c r="T39" s="12">
        <f>SUM($Q$39:$R$39)</f>
        <v>0</v>
      </c>
      <c r="U39" s="12">
        <f>$S$39+$T$39</f>
        <v>0</v>
      </c>
    </row>
    <row r="40" spans="1:21" x14ac:dyDescent="0.3">
      <c r="A40" s="13" t="s">
        <v>140</v>
      </c>
      <c r="B40" s="14" t="s">
        <v>141</v>
      </c>
      <c r="C40" s="14"/>
      <c r="D40" s="14" t="s">
        <v>142</v>
      </c>
      <c r="E40" s="14">
        <f xml:space="preserve"> IF($U$40,1,0)</f>
        <v>0</v>
      </c>
      <c r="F40" s="14" t="s">
        <v>143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5"/>
      <c r="R40" s="15"/>
      <c r="S40" s="15">
        <f>$G$40*$G$8+$H$40*$H$8+$I$40*$I$8+$J$40*$J$8+$K$40*$K$8+$L$40*$L$8+$M$40*$M$8+$N$40*$N$8+$O$40*$O$8+$P$40*$P$8</f>
        <v>0</v>
      </c>
      <c r="T40" s="15">
        <f>SUM($Q$40:$R$40)</f>
        <v>0</v>
      </c>
      <c r="U40" s="15">
        <f>$S$40+$T$40</f>
        <v>0</v>
      </c>
    </row>
    <row r="41" spans="1:21" x14ac:dyDescent="0.3">
      <c r="A41" s="10" t="s">
        <v>144</v>
      </c>
      <c r="B41" s="11" t="s">
        <v>145</v>
      </c>
      <c r="C41" s="11"/>
      <c r="D41" s="11" t="s">
        <v>146</v>
      </c>
      <c r="E41" s="11">
        <f xml:space="preserve"> IF($U$41,1,0)</f>
        <v>1</v>
      </c>
      <c r="F41" s="11" t="s">
        <v>147</v>
      </c>
      <c r="G41" s="11">
        <v>0</v>
      </c>
      <c r="H41" s="11">
        <v>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f>$T$343</f>
        <v>2.5</v>
      </c>
      <c r="Q41" s="12"/>
      <c r="R41" s="12"/>
      <c r="S41" s="12">
        <f>$G$41*$G$8+$H$41*$H$8+$I$41*$I$8+$J$41*$J$8+$K$41*$K$8+$L$41*$L$8+$M$41*$M$8+$N$41*$N$8+$O$41*$O$8+$P$41*$P$8</f>
        <v>1</v>
      </c>
      <c r="T41" s="12">
        <f>SUM($Q$41:$R$41)</f>
        <v>0</v>
      </c>
      <c r="U41" s="12">
        <f>$S$41+$T$41</f>
        <v>1</v>
      </c>
    </row>
    <row r="42" spans="1:21" x14ac:dyDescent="0.3">
      <c r="A42" s="13" t="s">
        <v>148</v>
      </c>
      <c r="B42" s="14" t="s">
        <v>149</v>
      </c>
      <c r="C42" s="14"/>
      <c r="D42" s="14" t="s">
        <v>150</v>
      </c>
      <c r="E42" s="14">
        <f xml:space="preserve"> IF($U$42,1,0)</f>
        <v>1</v>
      </c>
      <c r="F42" s="14" t="s">
        <v>151</v>
      </c>
      <c r="G42" s="14">
        <v>0</v>
      </c>
      <c r="H42" s="14">
        <v>0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0</v>
      </c>
      <c r="Q42" s="15">
        <f>$T$344</f>
        <v>1.7857142857142858</v>
      </c>
      <c r="R42" s="15"/>
      <c r="S42" s="15">
        <f>$G$42*$G$8+$H$42*$H$8+$I$42*$I$8+$J$42*$J$8+$K$42*$K$8+$L$42*$L$8+$M$42*$M$8+$N$42*$N$8+$O$42*$O$8+$P$42*$P$8</f>
        <v>0</v>
      </c>
      <c r="T42" s="15">
        <f>SUM($Q$42:$R$42)</f>
        <v>1.7857142857142858</v>
      </c>
      <c r="U42" s="15">
        <f>$S$42+$T$42</f>
        <v>1.7857142857142858</v>
      </c>
    </row>
    <row r="43" spans="1:21" x14ac:dyDescent="0.3">
      <c r="A43" s="10" t="s">
        <v>152</v>
      </c>
      <c r="B43" s="11" t="s">
        <v>153</v>
      </c>
      <c r="C43" s="11"/>
      <c r="D43" s="11" t="s">
        <v>154</v>
      </c>
      <c r="E43" s="11">
        <f xml:space="preserve"> IF($U$43,1,0)</f>
        <v>0</v>
      </c>
      <c r="F43" s="11" t="s">
        <v>155</v>
      </c>
      <c r="G43" s="11">
        <v>0</v>
      </c>
      <c r="H43" s="11">
        <v>0</v>
      </c>
      <c r="I43" s="11">
        <v>0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2"/>
      <c r="R43" s="12"/>
      <c r="S43" s="12">
        <f>$G$43*$G$8+$H$43*$H$8+$I$43*$I$8+$J$43*$J$8+$K$43*$K$8+$L$43*$L$8+$M$43*$M$8+$N$43*$N$8+$O$43*$O$8+$P$43*$P$8</f>
        <v>0</v>
      </c>
      <c r="T43" s="12">
        <f>SUM($Q$43:$R$43)</f>
        <v>0</v>
      </c>
      <c r="U43" s="12">
        <f>$S$43+$T$43</f>
        <v>0</v>
      </c>
    </row>
    <row r="44" spans="1:21" x14ac:dyDescent="0.3">
      <c r="A44" s="13" t="s">
        <v>156</v>
      </c>
      <c r="B44" s="14" t="s">
        <v>157</v>
      </c>
      <c r="C44" s="14" t="s">
        <v>65</v>
      </c>
      <c r="D44" s="14" t="s">
        <v>158</v>
      </c>
      <c r="E44" s="14">
        <f xml:space="preserve"> IF($U$44,1,0)</f>
        <v>0</v>
      </c>
      <c r="F44" s="14" t="s">
        <v>159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14">
        <v>0</v>
      </c>
      <c r="P44" s="14">
        <v>0</v>
      </c>
      <c r="Q44" s="15"/>
      <c r="R44" s="15"/>
      <c r="S44" s="15">
        <f>$G$44*$G$8+$H$44*$H$8+$I$44*$I$8+$J$44*$J$8+$K$44*$K$8+$L$44*$L$8+$M$44*$M$8+$N$44*$N$8+$O$44*$O$8+$P$44*$P$8</f>
        <v>0</v>
      </c>
      <c r="T44" s="15">
        <f>SUM($Q$44:$R$44)</f>
        <v>0</v>
      </c>
      <c r="U44" s="15">
        <f>$S$44+$T$44</f>
        <v>0</v>
      </c>
    </row>
    <row r="45" spans="1:21" x14ac:dyDescent="0.3">
      <c r="A45" s="10" t="s">
        <v>160</v>
      </c>
      <c r="B45" s="11" t="s">
        <v>161</v>
      </c>
      <c r="C45" s="11"/>
      <c r="D45" s="11" t="s">
        <v>162</v>
      </c>
      <c r="E45" s="11">
        <f xml:space="preserve"> IF($U$45,1,0)</f>
        <v>0</v>
      </c>
      <c r="F45" s="11" t="s">
        <v>163</v>
      </c>
      <c r="G45" s="11">
        <v>0</v>
      </c>
      <c r="H45" s="11">
        <v>0</v>
      </c>
      <c r="I45" s="11">
        <v>0</v>
      </c>
      <c r="J45" s="11">
        <v>0</v>
      </c>
      <c r="K45" s="11">
        <v>0</v>
      </c>
      <c r="L45" s="11">
        <v>0</v>
      </c>
      <c r="M45" s="11">
        <v>0</v>
      </c>
      <c r="N45" s="11">
        <v>0</v>
      </c>
      <c r="O45" s="11">
        <v>0</v>
      </c>
      <c r="P45" s="11">
        <v>0</v>
      </c>
      <c r="Q45" s="12"/>
      <c r="R45" s="12"/>
      <c r="S45" s="12">
        <f>$G$45*$G$8+$H$45*$H$8+$I$45*$I$8+$J$45*$J$8+$K$45*$K$8+$L$45*$L$8+$M$45*$M$8+$N$45*$N$8+$O$45*$O$8+$P$45*$P$8</f>
        <v>0</v>
      </c>
      <c r="T45" s="12">
        <f>SUM($Q$45:$R$45)</f>
        <v>0</v>
      </c>
      <c r="U45" s="12">
        <f>$S$45+$T$45</f>
        <v>0</v>
      </c>
    </row>
    <row r="46" spans="1:21" x14ac:dyDescent="0.3">
      <c r="A46" s="13" t="s">
        <v>164</v>
      </c>
      <c r="B46" s="14" t="s">
        <v>165</v>
      </c>
      <c r="C46" s="14"/>
      <c r="D46" s="14" t="s">
        <v>166</v>
      </c>
      <c r="E46" s="14">
        <f xml:space="preserve"> IF($U$46,1,0)</f>
        <v>0</v>
      </c>
      <c r="F46" s="14" t="s">
        <v>167</v>
      </c>
      <c r="G46" s="14">
        <v>0</v>
      </c>
      <c r="H46" s="14">
        <v>0</v>
      </c>
      <c r="I46" s="14">
        <v>0</v>
      </c>
      <c r="J46" s="14">
        <v>0</v>
      </c>
      <c r="K46" s="14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5"/>
      <c r="R46" s="15"/>
      <c r="S46" s="15">
        <f>$G$46*$G$8+$H$46*$H$8+$I$46*$I$8+$J$46*$J$8+$K$46*$K$8+$L$46*$L$8+$M$46*$M$8+$N$46*$N$8+$O$46*$O$8+$P$46*$P$8</f>
        <v>0</v>
      </c>
      <c r="T46" s="15">
        <f>SUM($Q$46:$R$46)</f>
        <v>0</v>
      </c>
      <c r="U46" s="15">
        <f>$S$46+$T$46</f>
        <v>0</v>
      </c>
    </row>
    <row r="47" spans="1:21" x14ac:dyDescent="0.3">
      <c r="A47" s="10" t="s">
        <v>168</v>
      </c>
      <c r="B47" s="11" t="s">
        <v>169</v>
      </c>
      <c r="C47" s="11" t="s">
        <v>65</v>
      </c>
      <c r="D47" s="11" t="s">
        <v>170</v>
      </c>
      <c r="E47" s="11">
        <f xml:space="preserve"> IF($U$47,1,0)</f>
        <v>0</v>
      </c>
      <c r="F47" s="11" t="s">
        <v>171</v>
      </c>
      <c r="G47" s="11">
        <v>0</v>
      </c>
      <c r="H47" s="11">
        <v>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2"/>
      <c r="R47" s="12"/>
      <c r="S47" s="12">
        <f>$G$47*$G$8+$H$47*$H$8+$I$47*$I$8+$J$47*$J$8+$K$47*$K$8+$L$47*$L$8+$M$47*$M$8+$N$47*$N$8+$O$47*$O$8+$P$47*$P$8</f>
        <v>0</v>
      </c>
      <c r="T47" s="12">
        <f>SUM($Q$47:$R$47)</f>
        <v>0</v>
      </c>
      <c r="U47" s="12">
        <f>$S$47+$T$47</f>
        <v>0</v>
      </c>
    </row>
    <row r="48" spans="1:21" x14ac:dyDescent="0.3">
      <c r="A48" s="13" t="s">
        <v>172</v>
      </c>
      <c r="B48" s="14" t="s">
        <v>173</v>
      </c>
      <c r="C48" s="14"/>
      <c r="D48" s="14" t="s">
        <v>174</v>
      </c>
      <c r="E48" s="14">
        <f xml:space="preserve"> IF($U$48,1,0)</f>
        <v>0</v>
      </c>
      <c r="F48" s="14" t="s">
        <v>175</v>
      </c>
      <c r="G48" s="14">
        <v>0</v>
      </c>
      <c r="H48" s="14">
        <v>0</v>
      </c>
      <c r="I48" s="14">
        <v>0</v>
      </c>
      <c r="J48" s="14">
        <v>0</v>
      </c>
      <c r="K48" s="14">
        <v>0</v>
      </c>
      <c r="L48" s="14">
        <v>0</v>
      </c>
      <c r="M48" s="14">
        <v>0</v>
      </c>
      <c r="N48" s="14">
        <v>0</v>
      </c>
      <c r="O48" s="14">
        <v>0</v>
      </c>
      <c r="P48" s="14">
        <v>0</v>
      </c>
      <c r="Q48" s="15"/>
      <c r="R48" s="15"/>
      <c r="S48" s="15">
        <f>$G$48*$G$8+$H$48*$H$8+$I$48*$I$8+$J$48*$J$8+$K$48*$K$8+$L$48*$L$8+$M$48*$M$8+$N$48*$N$8+$O$48*$O$8+$P$48*$P$8</f>
        <v>0</v>
      </c>
      <c r="T48" s="15">
        <f>SUM($Q$48:$R$48)</f>
        <v>0</v>
      </c>
      <c r="U48" s="15">
        <f>$S$48+$T$48</f>
        <v>0</v>
      </c>
    </row>
    <row r="49" spans="1:21" x14ac:dyDescent="0.3">
      <c r="A49" s="10" t="s">
        <v>176</v>
      </c>
      <c r="B49" s="11" t="s">
        <v>177</v>
      </c>
      <c r="C49" s="11"/>
      <c r="D49" s="11" t="s">
        <v>178</v>
      </c>
      <c r="E49" s="11">
        <f xml:space="preserve"> IF($U$49,1,0)</f>
        <v>1</v>
      </c>
      <c r="F49" s="11" t="s">
        <v>179</v>
      </c>
      <c r="G49" s="11">
        <v>0</v>
      </c>
      <c r="H49" s="11">
        <v>0</v>
      </c>
      <c r="I49" s="11">
        <v>0</v>
      </c>
      <c r="J49" s="11">
        <v>0</v>
      </c>
      <c r="K49" s="11">
        <v>0</v>
      </c>
      <c r="L49" s="11">
        <v>0</v>
      </c>
      <c r="M49" s="11">
        <v>0</v>
      </c>
      <c r="N49" s="11">
        <v>0</v>
      </c>
      <c r="O49" s="11">
        <v>0</v>
      </c>
      <c r="P49" s="11">
        <v>0</v>
      </c>
      <c r="Q49" s="12">
        <f>$T$344</f>
        <v>1.7857142857142858</v>
      </c>
      <c r="R49" s="12"/>
      <c r="S49" s="12">
        <f>$G$49*$G$8+$H$49*$H$8+$I$49*$I$8+$J$49*$J$8+$K$49*$K$8+$L$49*$L$8+$M$49*$M$8+$N$49*$N$8+$O$49*$O$8+$P$49*$P$8</f>
        <v>0</v>
      </c>
      <c r="T49" s="12">
        <f>SUM($Q$49:$R$49)</f>
        <v>1.7857142857142858</v>
      </c>
      <c r="U49" s="12">
        <f>$S$49+$T$49</f>
        <v>1.7857142857142858</v>
      </c>
    </row>
    <row r="50" spans="1:21" x14ac:dyDescent="0.3">
      <c r="A50" s="13" t="s">
        <v>180</v>
      </c>
      <c r="B50" s="14" t="s">
        <v>177</v>
      </c>
      <c r="C50" s="14"/>
      <c r="D50" s="14" t="s">
        <v>181</v>
      </c>
      <c r="E50" s="14">
        <f xml:space="preserve"> IF($U$50,1,0)</f>
        <v>1</v>
      </c>
      <c r="F50" s="14" t="s">
        <v>182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  <c r="M50" s="14">
        <v>0</v>
      </c>
      <c r="N50" s="14">
        <v>3</v>
      </c>
      <c r="O50" s="14">
        <v>0</v>
      </c>
      <c r="P50" s="14">
        <f>$T$343</f>
        <v>2.5</v>
      </c>
      <c r="Q50" s="15"/>
      <c r="R50" s="15"/>
      <c r="S50" s="15">
        <f>$G$50*$G$8+$H$50*$H$8+$I$50*$I$8+$J$50*$J$8+$K$50*$K$8+$L$50*$L$8+$M$50*$M$8+$N$50*$N$8+$O$50*$O$8+$P$50*$P$8</f>
        <v>16</v>
      </c>
      <c r="T50" s="15">
        <f>SUM($Q$50:$R$50)</f>
        <v>0</v>
      </c>
      <c r="U50" s="15">
        <f>$S$50+$T$50</f>
        <v>16</v>
      </c>
    </row>
    <row r="51" spans="1:21" x14ac:dyDescent="0.3">
      <c r="A51" s="10" t="s">
        <v>183</v>
      </c>
      <c r="B51" s="11" t="s">
        <v>177</v>
      </c>
      <c r="C51" s="11"/>
      <c r="D51" s="11" t="s">
        <v>184</v>
      </c>
      <c r="E51" s="11">
        <f xml:space="preserve"> IF($U$51,1,0)</f>
        <v>0</v>
      </c>
      <c r="F51" s="11" t="s">
        <v>185</v>
      </c>
      <c r="G51" s="11">
        <v>0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2"/>
      <c r="R51" s="12"/>
      <c r="S51" s="12">
        <f>$G$51*$G$8+$H$51*$H$8+$I$51*$I$8+$J$51*$J$8+$K$51*$K$8+$L$51*$L$8+$M$51*$M$8+$N$51*$N$8+$O$51*$O$8+$P$51*$P$8</f>
        <v>0</v>
      </c>
      <c r="T51" s="12">
        <f>SUM($Q$51:$R$51)</f>
        <v>0</v>
      </c>
      <c r="U51" s="12">
        <f>$S$51+$T$51</f>
        <v>0</v>
      </c>
    </row>
    <row r="52" spans="1:21" x14ac:dyDescent="0.3">
      <c r="A52" s="13" t="s">
        <v>186</v>
      </c>
      <c r="B52" s="14" t="s">
        <v>177</v>
      </c>
      <c r="C52" s="14"/>
      <c r="D52" s="14" t="s">
        <v>187</v>
      </c>
      <c r="E52" s="14">
        <f xml:space="preserve"> IF($U$52,1,0)</f>
        <v>0</v>
      </c>
      <c r="F52" s="14" t="s">
        <v>188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5"/>
      <c r="R52" s="15"/>
      <c r="S52" s="15">
        <f>$G$52*$G$8+$H$52*$H$8+$I$52*$I$8+$J$52*$J$8+$K$52*$K$8+$L$52*$L$8+$M$52*$M$8+$N$52*$N$8+$O$52*$O$8+$P$52*$P$8</f>
        <v>0</v>
      </c>
      <c r="T52" s="15">
        <f>SUM($Q$52:$R$52)</f>
        <v>0</v>
      </c>
      <c r="U52" s="15">
        <f>$S$52+$T$52</f>
        <v>0</v>
      </c>
    </row>
    <row r="53" spans="1:21" x14ac:dyDescent="0.3">
      <c r="A53" s="10" t="s">
        <v>189</v>
      </c>
      <c r="B53" s="11" t="s">
        <v>177</v>
      </c>
      <c r="C53" s="11"/>
      <c r="D53" s="11" t="s">
        <v>190</v>
      </c>
      <c r="E53" s="11">
        <f xml:space="preserve"> IF($U$53,1,0)</f>
        <v>0</v>
      </c>
      <c r="F53" s="11" t="s">
        <v>191</v>
      </c>
      <c r="G53" s="11">
        <v>0</v>
      </c>
      <c r="H53" s="11">
        <v>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2"/>
      <c r="R53" s="12"/>
      <c r="S53" s="12">
        <f>$G$53*$G$8+$H$53*$H$8+$I$53*$I$8+$J$53*$J$8+$K$53*$K$8+$L$53*$L$8+$M$53*$M$8+$N$53*$N$8+$O$53*$O$8+$P$53*$P$8</f>
        <v>0</v>
      </c>
      <c r="T53" s="12">
        <f>SUM($Q$53:$R$53)</f>
        <v>0</v>
      </c>
      <c r="U53" s="12">
        <f>$S$53+$T$53</f>
        <v>0</v>
      </c>
    </row>
    <row r="54" spans="1:21" x14ac:dyDescent="0.3">
      <c r="A54" s="13" t="s">
        <v>192</v>
      </c>
      <c r="B54" s="14" t="s">
        <v>177</v>
      </c>
      <c r="C54" s="14"/>
      <c r="D54" s="14" t="s">
        <v>193</v>
      </c>
      <c r="E54" s="14">
        <f xml:space="preserve"> IF($U$54,1,0)</f>
        <v>0</v>
      </c>
      <c r="F54" s="14" t="s">
        <v>194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5"/>
      <c r="R54" s="15"/>
      <c r="S54" s="15">
        <f>$G$54*$G$8+$H$54*$H$8+$I$54*$I$8+$J$54*$J$8+$K$54*$K$8+$L$54*$L$8+$M$54*$M$8+$N$54*$N$8+$O$54*$O$8+$P$54*$P$8</f>
        <v>0</v>
      </c>
      <c r="T54" s="15">
        <f>SUM($Q$54:$R$54)</f>
        <v>0</v>
      </c>
      <c r="U54" s="15">
        <f>$S$54+$T$54</f>
        <v>0</v>
      </c>
    </row>
    <row r="55" spans="1:21" x14ac:dyDescent="0.3">
      <c r="A55" s="10" t="s">
        <v>195</v>
      </c>
      <c r="B55" s="11" t="s">
        <v>177</v>
      </c>
      <c r="C55" s="11"/>
      <c r="D55" s="11" t="s">
        <v>196</v>
      </c>
      <c r="E55" s="11">
        <f xml:space="preserve"> IF($U$55,1,0)</f>
        <v>0</v>
      </c>
      <c r="F55" s="11" t="s">
        <v>197</v>
      </c>
      <c r="G55" s="11">
        <v>0</v>
      </c>
      <c r="H55" s="11">
        <v>0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2"/>
      <c r="R55" s="12"/>
      <c r="S55" s="12">
        <f>$G$55*$G$8+$H$55*$H$8+$I$55*$I$8+$J$55*$J$8+$K$55*$K$8+$L$55*$L$8+$M$55*$M$8+$N$55*$N$8+$O$55*$O$8+$P$55*$P$8</f>
        <v>0</v>
      </c>
      <c r="T55" s="12">
        <f>SUM($Q$55:$R$55)</f>
        <v>0</v>
      </c>
      <c r="U55" s="12">
        <f>$S$55+$T$55</f>
        <v>0</v>
      </c>
    </row>
    <row r="56" spans="1:21" x14ac:dyDescent="0.3">
      <c r="A56" s="13" t="s">
        <v>198</v>
      </c>
      <c r="B56" s="14" t="s">
        <v>177</v>
      </c>
      <c r="C56" s="14" t="s">
        <v>65</v>
      </c>
      <c r="D56" s="14" t="s">
        <v>199</v>
      </c>
      <c r="E56" s="14">
        <f xml:space="preserve"> IF($U$56,1,0)</f>
        <v>1</v>
      </c>
      <c r="F56" s="14" t="s">
        <v>200</v>
      </c>
      <c r="G56" s="14">
        <v>0</v>
      </c>
      <c r="H56" s="14">
        <v>0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f>$T$343</f>
        <v>2.5</v>
      </c>
      <c r="Q56" s="15"/>
      <c r="R56" s="15"/>
      <c r="S56" s="15">
        <f>$G$56*$G$8+$H$56*$H$8+$I$56*$I$8+$J$56*$J$8+$K$56*$K$8+$L$56*$L$8+$M$56*$M$8+$N$56*$N$8+$O$56*$O$8+$P$56*$P$8</f>
        <v>1</v>
      </c>
      <c r="T56" s="15">
        <f>SUM($Q$56:$R$56)</f>
        <v>0</v>
      </c>
      <c r="U56" s="15">
        <f>$S$56+$T$56</f>
        <v>1</v>
      </c>
    </row>
    <row r="57" spans="1:21" x14ac:dyDescent="0.3">
      <c r="A57" s="10" t="s">
        <v>201</v>
      </c>
      <c r="B57" s="11" t="s">
        <v>177</v>
      </c>
      <c r="C57" s="11" t="s">
        <v>202</v>
      </c>
      <c r="D57" s="11" t="s">
        <v>203</v>
      </c>
      <c r="E57" s="11">
        <f xml:space="preserve"> IF($U$57,1,0)</f>
        <v>0</v>
      </c>
      <c r="F57" s="11" t="s">
        <v>204</v>
      </c>
      <c r="G57" s="11">
        <v>0</v>
      </c>
      <c r="H57" s="11">
        <v>0</v>
      </c>
      <c r="I57" s="11">
        <v>0</v>
      </c>
      <c r="J57" s="11">
        <v>0</v>
      </c>
      <c r="K57" s="11">
        <v>0</v>
      </c>
      <c r="L57" s="11">
        <v>0</v>
      </c>
      <c r="M57" s="11">
        <v>0</v>
      </c>
      <c r="N57" s="11">
        <v>0</v>
      </c>
      <c r="O57" s="11">
        <v>0</v>
      </c>
      <c r="P57" s="11">
        <v>0</v>
      </c>
      <c r="Q57" s="12"/>
      <c r="R57" s="12"/>
      <c r="S57" s="12">
        <f>$G$57*$G$8+$H$57*$H$8+$I$57*$I$8+$J$57*$J$8+$K$57*$K$8+$L$57*$L$8+$M$57*$M$8+$N$57*$N$8+$O$57*$O$8+$P$57*$P$8</f>
        <v>0</v>
      </c>
      <c r="T57" s="12">
        <f>SUM($Q$57:$R$57)</f>
        <v>0</v>
      </c>
      <c r="U57" s="12">
        <f>$S$57+$T$57</f>
        <v>0</v>
      </c>
    </row>
    <row r="58" spans="1:21" x14ac:dyDescent="0.3">
      <c r="A58" s="13" t="s">
        <v>205</v>
      </c>
      <c r="B58" s="14" t="s">
        <v>206</v>
      </c>
      <c r="C58" s="14"/>
      <c r="D58" s="14" t="s">
        <v>207</v>
      </c>
      <c r="E58" s="14">
        <f xml:space="preserve"> IF($U$58,1,0)</f>
        <v>0</v>
      </c>
      <c r="F58" s="14" t="s">
        <v>208</v>
      </c>
      <c r="G58" s="14">
        <v>0</v>
      </c>
      <c r="H58" s="14">
        <v>0</v>
      </c>
      <c r="I58" s="14">
        <v>0</v>
      </c>
      <c r="J58" s="14">
        <v>0</v>
      </c>
      <c r="K58" s="14">
        <v>0</v>
      </c>
      <c r="L58" s="14">
        <v>0</v>
      </c>
      <c r="M58" s="14">
        <v>0</v>
      </c>
      <c r="N58" s="14">
        <v>0</v>
      </c>
      <c r="O58" s="14">
        <v>0</v>
      </c>
      <c r="P58" s="14">
        <v>0</v>
      </c>
      <c r="Q58" s="15"/>
      <c r="R58" s="15"/>
      <c r="S58" s="15">
        <f>$G$58*$G$8+$H$58*$H$8+$I$58*$I$8+$J$58*$J$8+$K$58*$K$8+$L$58*$L$8+$M$58*$M$8+$N$58*$N$8+$O$58*$O$8+$P$58*$P$8</f>
        <v>0</v>
      </c>
      <c r="T58" s="15">
        <f>SUM($Q$58:$R$58)</f>
        <v>0</v>
      </c>
      <c r="U58" s="15">
        <f>$S$58+$T$58</f>
        <v>0</v>
      </c>
    </row>
    <row r="59" spans="1:21" x14ac:dyDescent="0.3">
      <c r="A59" s="10" t="s">
        <v>209</v>
      </c>
      <c r="B59" s="11" t="s">
        <v>210</v>
      </c>
      <c r="C59" s="11"/>
      <c r="D59" s="11" t="s">
        <v>211</v>
      </c>
      <c r="E59" s="11">
        <f xml:space="preserve"> IF($U$59,1,0)</f>
        <v>0</v>
      </c>
      <c r="F59" s="11" t="s">
        <v>212</v>
      </c>
      <c r="G59" s="11">
        <v>0</v>
      </c>
      <c r="H59" s="11">
        <v>0</v>
      </c>
      <c r="I59" s="11">
        <v>0</v>
      </c>
      <c r="J59" s="11">
        <v>0</v>
      </c>
      <c r="K59" s="11">
        <v>0</v>
      </c>
      <c r="L59" s="11">
        <v>0</v>
      </c>
      <c r="M59" s="11">
        <v>0</v>
      </c>
      <c r="N59" s="11">
        <v>0</v>
      </c>
      <c r="O59" s="11">
        <v>0</v>
      </c>
      <c r="P59" s="11">
        <v>0</v>
      </c>
      <c r="Q59" s="12"/>
      <c r="R59" s="12"/>
      <c r="S59" s="12">
        <f>$G$59*$G$8+$H$59*$H$8+$I$59*$I$8+$J$59*$J$8+$K$59*$K$8+$L$59*$L$8+$M$59*$M$8+$N$59*$N$8+$O$59*$O$8+$P$59*$P$8</f>
        <v>0</v>
      </c>
      <c r="T59" s="12">
        <f>SUM($Q$59:$R$59)</f>
        <v>0</v>
      </c>
      <c r="U59" s="12">
        <f>$S$59+$T$59</f>
        <v>0</v>
      </c>
    </row>
    <row r="60" spans="1:21" x14ac:dyDescent="0.3">
      <c r="A60" s="13" t="s">
        <v>213</v>
      </c>
      <c r="B60" s="14" t="s">
        <v>210</v>
      </c>
      <c r="C60" s="14"/>
      <c r="D60" s="14" t="s">
        <v>214</v>
      </c>
      <c r="E60" s="14">
        <f xml:space="preserve"> IF($U$60,1,0)</f>
        <v>0</v>
      </c>
      <c r="F60" s="14" t="s">
        <v>215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0</v>
      </c>
      <c r="M60" s="14">
        <v>0</v>
      </c>
      <c r="N60" s="14">
        <v>0</v>
      </c>
      <c r="O60" s="14">
        <v>0</v>
      </c>
      <c r="P60" s="14">
        <v>0</v>
      </c>
      <c r="Q60" s="15"/>
      <c r="R60" s="15"/>
      <c r="S60" s="15">
        <f>$G$60*$G$8+$H$60*$H$8+$I$60*$I$8+$J$60*$J$8+$K$60*$K$8+$L$60*$L$8+$M$60*$M$8+$N$60*$N$8+$O$60*$O$8+$P$60*$P$8</f>
        <v>0</v>
      </c>
      <c r="T60" s="15">
        <f>SUM($Q$60:$R$60)</f>
        <v>0</v>
      </c>
      <c r="U60" s="15">
        <f>$S$60+$T$60</f>
        <v>0</v>
      </c>
    </row>
    <row r="61" spans="1:21" x14ac:dyDescent="0.3">
      <c r="A61" s="10" t="s">
        <v>216</v>
      </c>
      <c r="B61" s="11" t="s">
        <v>217</v>
      </c>
      <c r="C61" s="11"/>
      <c r="D61" s="11" t="s">
        <v>218</v>
      </c>
      <c r="E61" s="11">
        <f xml:space="preserve"> IF($U$61,1,0)</f>
        <v>0</v>
      </c>
      <c r="F61" s="11" t="s">
        <v>219</v>
      </c>
      <c r="G61" s="11">
        <v>0</v>
      </c>
      <c r="H61" s="11">
        <v>0</v>
      </c>
      <c r="I61" s="11">
        <v>0</v>
      </c>
      <c r="J61" s="11">
        <v>0</v>
      </c>
      <c r="K61" s="11">
        <v>0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2"/>
      <c r="R61" s="12"/>
      <c r="S61" s="12">
        <f>$G$61*$G$8+$H$61*$H$8+$I$61*$I$8+$J$61*$J$8+$K$61*$K$8+$L$61*$L$8+$M$61*$M$8+$N$61*$N$8+$O$61*$O$8+$P$61*$P$8</f>
        <v>0</v>
      </c>
      <c r="T61" s="12">
        <f>SUM($Q$61:$R$61)</f>
        <v>0</v>
      </c>
      <c r="U61" s="12">
        <f>$S$61+$T$61</f>
        <v>0</v>
      </c>
    </row>
    <row r="62" spans="1:21" x14ac:dyDescent="0.3">
      <c r="A62" s="13" t="s">
        <v>220</v>
      </c>
      <c r="B62" s="14" t="s">
        <v>221</v>
      </c>
      <c r="C62" s="14" t="s">
        <v>34</v>
      </c>
      <c r="D62" s="14" t="s">
        <v>222</v>
      </c>
      <c r="E62" s="14">
        <f xml:space="preserve"> IF($U$62,1,0)</f>
        <v>0</v>
      </c>
      <c r="F62" s="14" t="s">
        <v>223</v>
      </c>
      <c r="G62" s="14">
        <v>0</v>
      </c>
      <c r="H62" s="14">
        <v>0</v>
      </c>
      <c r="I62" s="14">
        <v>0</v>
      </c>
      <c r="J62" s="14">
        <v>0</v>
      </c>
      <c r="K62" s="14">
        <v>0</v>
      </c>
      <c r="L62" s="14">
        <v>0</v>
      </c>
      <c r="M62" s="14">
        <v>0</v>
      </c>
      <c r="N62" s="14">
        <v>0</v>
      </c>
      <c r="O62" s="14">
        <v>0</v>
      </c>
      <c r="P62" s="14">
        <v>0</v>
      </c>
      <c r="Q62" s="15"/>
      <c r="R62" s="15"/>
      <c r="S62" s="15">
        <f>$G$62*$G$8+$H$62*$H$8+$I$62*$I$8+$J$62*$J$8+$K$62*$K$8+$L$62*$L$8+$M$62*$M$8+$N$62*$N$8+$O$62*$O$8+$P$62*$P$8</f>
        <v>0</v>
      </c>
      <c r="T62" s="15">
        <f>SUM($Q$62:$R$62)</f>
        <v>0</v>
      </c>
      <c r="U62" s="15">
        <f>$S$62+$T$62</f>
        <v>0</v>
      </c>
    </row>
    <row r="63" spans="1:21" x14ac:dyDescent="0.3">
      <c r="A63" s="10" t="s">
        <v>224</v>
      </c>
      <c r="B63" s="11" t="s">
        <v>225</v>
      </c>
      <c r="C63" s="11"/>
      <c r="D63" s="11" t="s">
        <v>226</v>
      </c>
      <c r="E63" s="11">
        <f xml:space="preserve"> IF($U$63,1,0)</f>
        <v>0</v>
      </c>
      <c r="F63" s="11" t="s">
        <v>227</v>
      </c>
      <c r="G63" s="11">
        <v>0</v>
      </c>
      <c r="H63" s="11">
        <v>0</v>
      </c>
      <c r="I63" s="11">
        <v>0</v>
      </c>
      <c r="J63" s="11">
        <v>0</v>
      </c>
      <c r="K63" s="11">
        <v>0</v>
      </c>
      <c r="L63" s="11">
        <v>0</v>
      </c>
      <c r="M63" s="11">
        <v>0</v>
      </c>
      <c r="N63" s="11">
        <v>0</v>
      </c>
      <c r="O63" s="11">
        <v>0</v>
      </c>
      <c r="P63" s="11">
        <v>0</v>
      </c>
      <c r="Q63" s="12"/>
      <c r="R63" s="12"/>
      <c r="S63" s="12">
        <f>$G$63*$G$8+$H$63*$H$8+$I$63*$I$8+$J$63*$J$8+$K$63*$K$8+$L$63*$L$8+$M$63*$M$8+$N$63*$N$8+$O$63*$O$8+$P$63*$P$8</f>
        <v>0</v>
      </c>
      <c r="T63" s="12">
        <f>SUM($Q$63:$R$63)</f>
        <v>0</v>
      </c>
      <c r="U63" s="12">
        <f>$S$63+$T$63</f>
        <v>0</v>
      </c>
    </row>
    <row r="64" spans="1:21" x14ac:dyDescent="0.3">
      <c r="A64" s="13" t="s">
        <v>228</v>
      </c>
      <c r="B64" s="14" t="s">
        <v>225</v>
      </c>
      <c r="C64" s="14"/>
      <c r="D64" s="14" t="s">
        <v>229</v>
      </c>
      <c r="E64" s="14">
        <f xml:space="preserve"> IF($U$64,1,0)</f>
        <v>0</v>
      </c>
      <c r="F64" s="14" t="s">
        <v>230</v>
      </c>
      <c r="G64" s="14">
        <v>0</v>
      </c>
      <c r="H64" s="14">
        <v>0</v>
      </c>
      <c r="I64" s="14">
        <v>0</v>
      </c>
      <c r="J64" s="14">
        <v>0</v>
      </c>
      <c r="K64" s="14">
        <v>0</v>
      </c>
      <c r="L64" s="14">
        <v>0</v>
      </c>
      <c r="M64" s="14">
        <v>0</v>
      </c>
      <c r="N64" s="14">
        <v>0</v>
      </c>
      <c r="O64" s="14">
        <v>0</v>
      </c>
      <c r="P64" s="14">
        <v>0</v>
      </c>
      <c r="Q64" s="15"/>
      <c r="R64" s="15"/>
      <c r="S64" s="15">
        <f>$G$64*$G$8+$H$64*$H$8+$I$64*$I$8+$J$64*$J$8+$K$64*$K$8+$L$64*$L$8+$M$64*$M$8+$N$64*$N$8+$O$64*$O$8+$P$64*$P$8</f>
        <v>0</v>
      </c>
      <c r="T64" s="15">
        <f>SUM($Q$64:$R$64)</f>
        <v>0</v>
      </c>
      <c r="U64" s="15">
        <f>$S$64+$T$64</f>
        <v>0</v>
      </c>
    </row>
    <row r="65" spans="1:21" x14ac:dyDescent="0.3">
      <c r="A65" s="10" t="s">
        <v>231</v>
      </c>
      <c r="B65" s="11" t="s">
        <v>225</v>
      </c>
      <c r="C65" s="11"/>
      <c r="D65" s="11" t="s">
        <v>232</v>
      </c>
      <c r="E65" s="11">
        <f xml:space="preserve"> IF($U$65,1,0)</f>
        <v>0</v>
      </c>
      <c r="F65" s="11" t="s">
        <v>233</v>
      </c>
      <c r="G65" s="11">
        <v>0</v>
      </c>
      <c r="H65" s="11">
        <v>0</v>
      </c>
      <c r="I65" s="11">
        <v>0</v>
      </c>
      <c r="J65" s="11">
        <v>0</v>
      </c>
      <c r="K65" s="11">
        <v>0</v>
      </c>
      <c r="L65" s="11">
        <v>0</v>
      </c>
      <c r="M65" s="11">
        <v>0</v>
      </c>
      <c r="N65" s="11">
        <v>0</v>
      </c>
      <c r="O65" s="11">
        <v>0</v>
      </c>
      <c r="P65" s="11">
        <v>0</v>
      </c>
      <c r="Q65" s="12"/>
      <c r="R65" s="12"/>
      <c r="S65" s="12">
        <f>$G$65*$G$8+$H$65*$H$8+$I$65*$I$8+$J$65*$J$8+$K$65*$K$8+$L$65*$L$8+$M$65*$M$8+$N$65*$N$8+$O$65*$O$8+$P$65*$P$8</f>
        <v>0</v>
      </c>
      <c r="T65" s="12">
        <f>SUM($Q$65:$R$65)</f>
        <v>0</v>
      </c>
      <c r="U65" s="12">
        <f>$S$65+$T$65</f>
        <v>0</v>
      </c>
    </row>
    <row r="66" spans="1:21" x14ac:dyDescent="0.3">
      <c r="A66" s="13" t="s">
        <v>234</v>
      </c>
      <c r="B66" s="14" t="s">
        <v>235</v>
      </c>
      <c r="C66" s="14"/>
      <c r="D66" s="14" t="s">
        <v>236</v>
      </c>
      <c r="E66" s="14">
        <f xml:space="preserve"> IF($U$66,1,0)</f>
        <v>0</v>
      </c>
      <c r="F66" s="14" t="s">
        <v>237</v>
      </c>
      <c r="G66" s="14">
        <v>0</v>
      </c>
      <c r="H66" s="14">
        <v>0</v>
      </c>
      <c r="I66" s="14">
        <v>0</v>
      </c>
      <c r="J66" s="14">
        <v>0</v>
      </c>
      <c r="K66" s="14">
        <v>0</v>
      </c>
      <c r="L66" s="14">
        <v>0</v>
      </c>
      <c r="M66" s="14">
        <v>0</v>
      </c>
      <c r="N66" s="14">
        <v>0</v>
      </c>
      <c r="O66" s="14">
        <v>0</v>
      </c>
      <c r="P66" s="14">
        <v>0</v>
      </c>
      <c r="Q66" s="15"/>
      <c r="R66" s="15"/>
      <c r="S66" s="15">
        <f>$G$66*$G$8+$H$66*$H$8+$I$66*$I$8+$J$66*$J$8+$K$66*$K$8+$L$66*$L$8+$M$66*$M$8+$N$66*$N$8+$O$66*$O$8+$P$66*$P$8</f>
        <v>0</v>
      </c>
      <c r="T66" s="15">
        <f>SUM($Q$66:$R$66)</f>
        <v>0</v>
      </c>
      <c r="U66" s="15">
        <f>$S$66+$T$66</f>
        <v>0</v>
      </c>
    </row>
    <row r="67" spans="1:21" x14ac:dyDescent="0.3">
      <c r="A67" s="10" t="s">
        <v>238</v>
      </c>
      <c r="B67" s="11" t="s">
        <v>235</v>
      </c>
      <c r="C67" s="11" t="s">
        <v>34</v>
      </c>
      <c r="D67" s="11" t="s">
        <v>239</v>
      </c>
      <c r="E67" s="11">
        <f xml:space="preserve"> IF($U$67,1,0)</f>
        <v>0</v>
      </c>
      <c r="F67" s="11" t="s">
        <v>240</v>
      </c>
      <c r="G67" s="11">
        <v>0</v>
      </c>
      <c r="H67" s="11">
        <v>0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2"/>
      <c r="R67" s="12"/>
      <c r="S67" s="12">
        <f>$G$67*$G$8+$H$67*$H$8+$I$67*$I$8+$J$67*$J$8+$K$67*$K$8+$L$67*$L$8+$M$67*$M$8+$N$67*$N$8+$O$67*$O$8+$P$67*$P$8</f>
        <v>0</v>
      </c>
      <c r="T67" s="12">
        <f>SUM($Q$67:$R$67)</f>
        <v>0</v>
      </c>
      <c r="U67" s="12">
        <f>$S$67+$T$67</f>
        <v>0</v>
      </c>
    </row>
    <row r="68" spans="1:21" x14ac:dyDescent="0.3">
      <c r="A68" s="13" t="s">
        <v>241</v>
      </c>
      <c r="B68" s="14" t="s">
        <v>242</v>
      </c>
      <c r="C68" s="14" t="s">
        <v>243</v>
      </c>
      <c r="D68" s="14" t="s">
        <v>244</v>
      </c>
      <c r="E68" s="14">
        <f xml:space="preserve"> IF($U$68,1,0)</f>
        <v>0</v>
      </c>
      <c r="F68" s="14" t="s">
        <v>245</v>
      </c>
      <c r="G68" s="14">
        <v>0</v>
      </c>
      <c r="H68" s="14">
        <v>0</v>
      </c>
      <c r="I68" s="14">
        <v>0</v>
      </c>
      <c r="J68" s="14">
        <v>0</v>
      </c>
      <c r="K68" s="14">
        <v>0</v>
      </c>
      <c r="L68" s="14">
        <v>0</v>
      </c>
      <c r="M68" s="14">
        <v>0</v>
      </c>
      <c r="N68" s="14">
        <v>0</v>
      </c>
      <c r="O68" s="14">
        <v>0</v>
      </c>
      <c r="P68" s="14">
        <v>0</v>
      </c>
      <c r="Q68" s="15"/>
      <c r="R68" s="15"/>
      <c r="S68" s="15">
        <f>$G$68*$G$8+$H$68*$H$8+$I$68*$I$8+$J$68*$J$8+$K$68*$K$8+$L$68*$L$8+$M$68*$M$8+$N$68*$N$8+$O$68*$O$8+$P$68*$P$8</f>
        <v>0</v>
      </c>
      <c r="T68" s="15">
        <f>SUM($Q$68:$R$68)</f>
        <v>0</v>
      </c>
      <c r="U68" s="15">
        <f>$S$68+$T$68</f>
        <v>0</v>
      </c>
    </row>
    <row r="69" spans="1:21" x14ac:dyDescent="0.3">
      <c r="A69" s="10" t="s">
        <v>246</v>
      </c>
      <c r="B69" s="11" t="s">
        <v>242</v>
      </c>
      <c r="C69" s="11"/>
      <c r="D69" s="11" t="s">
        <v>247</v>
      </c>
      <c r="E69" s="11">
        <f xml:space="preserve"> IF($U$69,1,0)</f>
        <v>0</v>
      </c>
      <c r="F69" s="11" t="s">
        <v>248</v>
      </c>
      <c r="G69" s="11">
        <v>0</v>
      </c>
      <c r="H69" s="11">
        <v>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2"/>
      <c r="R69" s="12"/>
      <c r="S69" s="12">
        <f>$G$69*$G$8+$H$69*$H$8+$I$69*$I$8+$J$69*$J$8+$K$69*$K$8+$L$69*$L$8+$M$69*$M$8+$N$69*$N$8+$O$69*$O$8+$P$69*$P$8</f>
        <v>0</v>
      </c>
      <c r="T69" s="12">
        <f>SUM($Q$69:$R$69)</f>
        <v>0</v>
      </c>
      <c r="U69" s="12">
        <f>$S$69+$T$69</f>
        <v>0</v>
      </c>
    </row>
    <row r="70" spans="1:21" x14ac:dyDescent="0.3">
      <c r="A70" s="13" t="s">
        <v>249</v>
      </c>
      <c r="B70" s="14" t="s">
        <v>242</v>
      </c>
      <c r="C70" s="14" t="s">
        <v>34</v>
      </c>
      <c r="D70" s="14" t="s">
        <v>250</v>
      </c>
      <c r="E70" s="14">
        <f xml:space="preserve"> IF($U$70,1,0)</f>
        <v>0</v>
      </c>
      <c r="F70" s="14" t="s">
        <v>251</v>
      </c>
      <c r="G70" s="14">
        <v>0</v>
      </c>
      <c r="H70" s="14">
        <v>0</v>
      </c>
      <c r="I70" s="14">
        <v>0</v>
      </c>
      <c r="J70" s="14">
        <v>0</v>
      </c>
      <c r="K70" s="14">
        <v>0</v>
      </c>
      <c r="L70" s="14">
        <v>0</v>
      </c>
      <c r="M70" s="14">
        <v>0</v>
      </c>
      <c r="N70" s="14">
        <v>0</v>
      </c>
      <c r="O70" s="14">
        <v>0</v>
      </c>
      <c r="P70" s="14">
        <v>0</v>
      </c>
      <c r="Q70" s="15"/>
      <c r="R70" s="15"/>
      <c r="S70" s="15">
        <f>$G$70*$G$8+$H$70*$H$8+$I$70*$I$8+$J$70*$J$8+$K$70*$K$8+$L$70*$L$8+$M$70*$M$8+$N$70*$N$8+$O$70*$O$8+$P$70*$P$8</f>
        <v>0</v>
      </c>
      <c r="T70" s="15">
        <f>SUM($Q$70:$R$70)</f>
        <v>0</v>
      </c>
      <c r="U70" s="15">
        <f>$S$70+$T$70</f>
        <v>0</v>
      </c>
    </row>
    <row r="71" spans="1:21" x14ac:dyDescent="0.3">
      <c r="A71" s="10" t="s">
        <v>252</v>
      </c>
      <c r="B71" s="11" t="s">
        <v>253</v>
      </c>
      <c r="C71" s="11"/>
      <c r="D71" s="11" t="s">
        <v>254</v>
      </c>
      <c r="E71" s="11">
        <f xml:space="preserve"> IF($U$71,1,0)</f>
        <v>0</v>
      </c>
      <c r="F71" s="11" t="s">
        <v>255</v>
      </c>
      <c r="G71" s="11">
        <v>0</v>
      </c>
      <c r="H71" s="11">
        <v>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0</v>
      </c>
      <c r="O71" s="11">
        <v>0</v>
      </c>
      <c r="P71" s="11">
        <v>0</v>
      </c>
      <c r="Q71" s="12"/>
      <c r="R71" s="12"/>
      <c r="S71" s="12">
        <f>$G$71*$G$8+$H$71*$H$8+$I$71*$I$8+$J$71*$J$8+$K$71*$K$8+$L$71*$L$8+$M$71*$M$8+$N$71*$N$8+$O$71*$O$8+$P$71*$P$8</f>
        <v>0</v>
      </c>
      <c r="T71" s="12">
        <f>SUM($Q$71:$R$71)</f>
        <v>0</v>
      </c>
      <c r="U71" s="12">
        <f>$S$71+$T$71</f>
        <v>0</v>
      </c>
    </row>
    <row r="72" spans="1:21" x14ac:dyDescent="0.3">
      <c r="A72" s="13" t="s">
        <v>1283</v>
      </c>
      <c r="B72" s="14" t="s">
        <v>1284</v>
      </c>
      <c r="C72" s="14"/>
      <c r="D72" s="14" t="s">
        <v>1285</v>
      </c>
      <c r="E72" s="14">
        <f xml:space="preserve"> IF($U$72,1,0)</f>
        <v>0</v>
      </c>
      <c r="F72" s="14" t="s">
        <v>1286</v>
      </c>
      <c r="G72" s="14">
        <v>0</v>
      </c>
      <c r="H72" s="14">
        <v>0</v>
      </c>
      <c r="I72" s="14">
        <v>0</v>
      </c>
      <c r="J72" s="14">
        <v>0</v>
      </c>
      <c r="K72" s="14">
        <v>0</v>
      </c>
      <c r="L72" s="14">
        <v>0</v>
      </c>
      <c r="M72" s="14">
        <v>0</v>
      </c>
      <c r="N72" s="14">
        <v>0</v>
      </c>
      <c r="O72" s="14">
        <v>0</v>
      </c>
      <c r="P72" s="14">
        <v>0</v>
      </c>
      <c r="Q72" s="15"/>
      <c r="R72" s="15"/>
      <c r="S72" s="15">
        <f>$G$72*$G$8+$H$72*$H$8+$I$72*$I$8+$J$72*$J$8+$K$72*$K$8+$L$72*$L$8+$M$72*$M$8+$N$72*$N$8+$O$72*$O$8+$P$72*$P$8</f>
        <v>0</v>
      </c>
      <c r="T72" s="15">
        <f>SUM($Q$72:$R$72)</f>
        <v>0</v>
      </c>
      <c r="U72" s="15">
        <f>$S$72+$T$72</f>
        <v>0</v>
      </c>
    </row>
    <row r="73" spans="1:21" x14ac:dyDescent="0.3">
      <c r="A73" s="10" t="s">
        <v>256</v>
      </c>
      <c r="B73" s="11" t="s">
        <v>257</v>
      </c>
      <c r="C73" s="11"/>
      <c r="D73" s="11" t="s">
        <v>258</v>
      </c>
      <c r="E73" s="11">
        <f xml:space="preserve"> IF($U$73,1,0)</f>
        <v>0</v>
      </c>
      <c r="F73" s="11" t="s">
        <v>259</v>
      </c>
      <c r="G73" s="11">
        <v>0</v>
      </c>
      <c r="H73" s="11">
        <v>0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2"/>
      <c r="R73" s="12"/>
      <c r="S73" s="12">
        <f>$G$73*$G$8+$H$73*$H$8+$I$73*$I$8+$J$73*$J$8+$K$73*$K$8+$L$73*$L$8+$M$73*$M$8+$N$73*$N$8+$O$73*$O$8+$P$73*$P$8</f>
        <v>0</v>
      </c>
      <c r="T73" s="12">
        <f>SUM($Q$73:$R$73)</f>
        <v>0</v>
      </c>
      <c r="U73" s="12">
        <f>$S$73+$T$73</f>
        <v>0</v>
      </c>
    </row>
    <row r="74" spans="1:21" x14ac:dyDescent="0.3">
      <c r="A74" s="13" t="s">
        <v>1248</v>
      </c>
      <c r="B74" s="14" t="s">
        <v>1249</v>
      </c>
      <c r="C74" s="14"/>
      <c r="D74" s="14" t="s">
        <v>1250</v>
      </c>
      <c r="E74" s="14">
        <f xml:space="preserve"> IF($U$74,1,0)</f>
        <v>0</v>
      </c>
      <c r="F74" s="14" t="s">
        <v>1251</v>
      </c>
      <c r="G74" s="14">
        <v>0</v>
      </c>
      <c r="H74" s="14">
        <v>0</v>
      </c>
      <c r="I74" s="14">
        <v>0</v>
      </c>
      <c r="J74" s="14">
        <v>0</v>
      </c>
      <c r="K74" s="14">
        <v>0</v>
      </c>
      <c r="L74" s="14">
        <v>0</v>
      </c>
      <c r="M74" s="14">
        <v>0</v>
      </c>
      <c r="N74" s="14">
        <v>0</v>
      </c>
      <c r="O74" s="14">
        <v>0</v>
      </c>
      <c r="P74" s="14">
        <v>0</v>
      </c>
      <c r="Q74" s="15"/>
      <c r="R74" s="15"/>
      <c r="S74" s="15">
        <f>$G$74*$G$8+$H$74*$H$8+$I$74*$I$8+$J$74*$J$8+$K$74*$K$8+$L$74*$L$8+$M$74*$M$8+$N$74*$N$8+$O$74*$O$8+$P$74*$P$8</f>
        <v>0</v>
      </c>
      <c r="T74" s="15">
        <f>SUM($Q$74:$R$74)</f>
        <v>0</v>
      </c>
      <c r="U74" s="15">
        <f>$S$74+$T$74</f>
        <v>0</v>
      </c>
    </row>
    <row r="75" spans="1:21" x14ac:dyDescent="0.3">
      <c r="A75" s="10" t="s">
        <v>260</v>
      </c>
      <c r="B75" s="11" t="s">
        <v>261</v>
      </c>
      <c r="C75" s="11"/>
      <c r="D75" s="11" t="s">
        <v>262</v>
      </c>
      <c r="E75" s="11">
        <f xml:space="preserve"> IF($U$75,1,0)</f>
        <v>0</v>
      </c>
      <c r="F75" s="11" t="s">
        <v>263</v>
      </c>
      <c r="G75" s="11">
        <v>0</v>
      </c>
      <c r="H75" s="11">
        <v>0</v>
      </c>
      <c r="I75" s="11">
        <v>0</v>
      </c>
      <c r="J75" s="11">
        <v>0</v>
      </c>
      <c r="K75" s="11">
        <v>0</v>
      </c>
      <c r="L75" s="11">
        <v>0</v>
      </c>
      <c r="M75" s="11">
        <v>0</v>
      </c>
      <c r="N75" s="11">
        <v>0</v>
      </c>
      <c r="O75" s="11">
        <v>0</v>
      </c>
      <c r="P75" s="11">
        <v>0</v>
      </c>
      <c r="Q75" s="12"/>
      <c r="R75" s="12"/>
      <c r="S75" s="12">
        <f>$G$75*$G$8+$H$75*$H$8+$I$75*$I$8+$J$75*$J$8+$K$75*$K$8+$L$75*$L$8+$M$75*$M$8+$N$75*$N$8+$O$75*$O$8+$P$75*$P$8</f>
        <v>0</v>
      </c>
      <c r="T75" s="12">
        <f>SUM($Q$75:$R$75)</f>
        <v>0</v>
      </c>
      <c r="U75" s="12">
        <f>$S$75+$T$75</f>
        <v>0</v>
      </c>
    </row>
    <row r="76" spans="1:21" x14ac:dyDescent="0.3">
      <c r="A76" s="13" t="s">
        <v>264</v>
      </c>
      <c r="B76" s="14" t="s">
        <v>265</v>
      </c>
      <c r="C76" s="14"/>
      <c r="D76" s="14" t="s">
        <v>266</v>
      </c>
      <c r="E76" s="14">
        <f xml:space="preserve"> IF($U$76,1,0)</f>
        <v>0</v>
      </c>
      <c r="F76" s="14" t="s">
        <v>267</v>
      </c>
      <c r="G76" s="14">
        <v>0</v>
      </c>
      <c r="H76" s="14">
        <v>0</v>
      </c>
      <c r="I76" s="14">
        <v>0</v>
      </c>
      <c r="J76" s="14">
        <v>0</v>
      </c>
      <c r="K76" s="14">
        <v>0</v>
      </c>
      <c r="L76" s="14">
        <v>0</v>
      </c>
      <c r="M76" s="14">
        <v>0</v>
      </c>
      <c r="N76" s="14">
        <v>0</v>
      </c>
      <c r="O76" s="14">
        <v>0</v>
      </c>
      <c r="P76" s="14">
        <v>0</v>
      </c>
      <c r="Q76" s="15"/>
      <c r="R76" s="15"/>
      <c r="S76" s="15">
        <f>$G$76*$G$8+$H$76*$H$8+$I$76*$I$8+$J$76*$J$8+$K$76*$K$8+$L$76*$L$8+$M$76*$M$8+$N$76*$N$8+$O$76*$O$8+$P$76*$P$8</f>
        <v>0</v>
      </c>
      <c r="T76" s="15">
        <f>SUM($Q$76:$R$76)</f>
        <v>0</v>
      </c>
      <c r="U76" s="15">
        <f>$S$76+$T$76</f>
        <v>0</v>
      </c>
    </row>
    <row r="77" spans="1:21" x14ac:dyDescent="0.3">
      <c r="A77" s="10" t="s">
        <v>268</v>
      </c>
      <c r="B77" s="11" t="s">
        <v>269</v>
      </c>
      <c r="C77" s="11"/>
      <c r="D77" s="11" t="s">
        <v>270</v>
      </c>
      <c r="E77" s="11">
        <f xml:space="preserve"> IF($U$77,1,0)</f>
        <v>0</v>
      </c>
      <c r="F77" s="11" t="s">
        <v>271</v>
      </c>
      <c r="G77" s="11">
        <v>0</v>
      </c>
      <c r="H77" s="11">
        <v>0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2"/>
      <c r="R77" s="12"/>
      <c r="S77" s="12">
        <f>$G$77*$G$8+$H$77*$H$8+$I$77*$I$8+$J$77*$J$8+$K$77*$K$8+$L$77*$L$8+$M$77*$M$8+$N$77*$N$8+$O$77*$O$8+$P$77*$P$8</f>
        <v>0</v>
      </c>
      <c r="T77" s="12">
        <f>SUM($Q$77:$R$77)</f>
        <v>0</v>
      </c>
      <c r="U77" s="12">
        <f>$S$77+$T$77</f>
        <v>0</v>
      </c>
    </row>
    <row r="78" spans="1:21" x14ac:dyDescent="0.3">
      <c r="A78" s="13" t="s">
        <v>272</v>
      </c>
      <c r="B78" s="14" t="s">
        <v>273</v>
      </c>
      <c r="C78" s="14"/>
      <c r="D78" s="14" t="s">
        <v>274</v>
      </c>
      <c r="E78" s="14">
        <f xml:space="preserve"> IF($U$78,1,0)</f>
        <v>0</v>
      </c>
      <c r="F78" s="14" t="s">
        <v>275</v>
      </c>
      <c r="G78" s="14">
        <v>0</v>
      </c>
      <c r="H78" s="14">
        <v>0</v>
      </c>
      <c r="I78" s="14">
        <v>0</v>
      </c>
      <c r="J78" s="14">
        <v>0</v>
      </c>
      <c r="K78" s="14">
        <v>0</v>
      </c>
      <c r="L78" s="14">
        <v>0</v>
      </c>
      <c r="M78" s="14">
        <v>0</v>
      </c>
      <c r="N78" s="14">
        <v>0</v>
      </c>
      <c r="O78" s="14">
        <v>0</v>
      </c>
      <c r="P78" s="14">
        <v>0</v>
      </c>
      <c r="Q78" s="15"/>
      <c r="R78" s="15"/>
      <c r="S78" s="15">
        <f>$G$78*$G$8+$H$78*$H$8+$I$78*$I$8+$J$78*$J$8+$K$78*$K$8+$L$78*$L$8+$M$78*$M$8+$N$78*$N$8+$O$78*$O$8+$P$78*$P$8</f>
        <v>0</v>
      </c>
      <c r="T78" s="15">
        <f>SUM($Q$78:$R$78)</f>
        <v>0</v>
      </c>
      <c r="U78" s="15">
        <f>$S$78+$T$78</f>
        <v>0</v>
      </c>
    </row>
    <row r="79" spans="1:21" x14ac:dyDescent="0.3">
      <c r="A79" s="10" t="s">
        <v>276</v>
      </c>
      <c r="B79" s="11" t="s">
        <v>277</v>
      </c>
      <c r="C79" s="11" t="s">
        <v>278</v>
      </c>
      <c r="D79" s="11" t="s">
        <v>279</v>
      </c>
      <c r="E79" s="11">
        <f xml:space="preserve"> IF($U$79,1,0)</f>
        <v>0</v>
      </c>
      <c r="F79" s="11" t="s">
        <v>280</v>
      </c>
      <c r="G79" s="11">
        <v>0</v>
      </c>
      <c r="H79" s="11">
        <v>0</v>
      </c>
      <c r="I79" s="11">
        <v>0</v>
      </c>
      <c r="J79" s="11">
        <v>0</v>
      </c>
      <c r="K79" s="11">
        <v>0</v>
      </c>
      <c r="L79" s="11">
        <v>0</v>
      </c>
      <c r="M79" s="11">
        <v>0</v>
      </c>
      <c r="N79" s="11">
        <v>0</v>
      </c>
      <c r="O79" s="11">
        <v>0</v>
      </c>
      <c r="P79" s="11">
        <v>0</v>
      </c>
      <c r="Q79" s="12"/>
      <c r="R79" s="12"/>
      <c r="S79" s="12">
        <f>$G$79*$G$8+$H$79*$H$8+$I$79*$I$8+$J$79*$J$8+$K$79*$K$8+$L$79*$L$8+$M$79*$M$8+$N$79*$N$8+$O$79*$O$8+$P$79*$P$8</f>
        <v>0</v>
      </c>
      <c r="T79" s="12">
        <f>SUM($Q$79:$R$79)</f>
        <v>0</v>
      </c>
      <c r="U79" s="12">
        <f>$S$79+$T$79</f>
        <v>0</v>
      </c>
    </row>
    <row r="80" spans="1:21" x14ac:dyDescent="0.3">
      <c r="A80" s="13" t="s">
        <v>281</v>
      </c>
      <c r="B80" s="14" t="s">
        <v>282</v>
      </c>
      <c r="C80" s="14" t="s">
        <v>283</v>
      </c>
      <c r="D80" s="14" t="s">
        <v>284</v>
      </c>
      <c r="E80" s="14">
        <f xml:space="preserve"> IF($U$80,1,0)</f>
        <v>0</v>
      </c>
      <c r="F80" s="14" t="s">
        <v>285</v>
      </c>
      <c r="G80" s="14">
        <v>0</v>
      </c>
      <c r="H80" s="14">
        <v>0</v>
      </c>
      <c r="I80" s="14">
        <v>0</v>
      </c>
      <c r="J80" s="14">
        <v>0</v>
      </c>
      <c r="K80" s="14">
        <v>0</v>
      </c>
      <c r="L80" s="14">
        <v>0</v>
      </c>
      <c r="M80" s="14">
        <v>0</v>
      </c>
      <c r="N80" s="14">
        <v>0</v>
      </c>
      <c r="O80" s="14">
        <v>0</v>
      </c>
      <c r="P80" s="14">
        <v>0</v>
      </c>
      <c r="Q80" s="15"/>
      <c r="R80" s="15"/>
      <c r="S80" s="15">
        <f>$G$80*$G$8+$H$80*$H$8+$I$80*$I$8+$J$80*$J$8+$K$80*$K$8+$L$80*$L$8+$M$80*$M$8+$N$80*$N$8+$O$80*$O$8+$P$80*$P$8</f>
        <v>0</v>
      </c>
      <c r="T80" s="15">
        <f>SUM($Q$80:$R$80)</f>
        <v>0</v>
      </c>
      <c r="U80" s="15">
        <f>$S$80+$T$80</f>
        <v>0</v>
      </c>
    </row>
    <row r="81" spans="1:21" x14ac:dyDescent="0.3">
      <c r="A81" s="10" t="s">
        <v>286</v>
      </c>
      <c r="B81" s="11" t="s">
        <v>287</v>
      </c>
      <c r="C81" s="11" t="s">
        <v>278</v>
      </c>
      <c r="D81" s="11" t="s">
        <v>288</v>
      </c>
      <c r="E81" s="11">
        <f xml:space="preserve"> IF($U$81,1,0)</f>
        <v>0</v>
      </c>
      <c r="F81" s="11" t="s">
        <v>289</v>
      </c>
      <c r="G81" s="11">
        <v>0</v>
      </c>
      <c r="H81" s="11">
        <v>0</v>
      </c>
      <c r="I81" s="11">
        <v>0</v>
      </c>
      <c r="J81" s="11">
        <v>0</v>
      </c>
      <c r="K81" s="11">
        <v>0</v>
      </c>
      <c r="L81" s="11">
        <v>0</v>
      </c>
      <c r="M81" s="11">
        <v>0</v>
      </c>
      <c r="N81" s="11">
        <v>0</v>
      </c>
      <c r="O81" s="11">
        <v>0</v>
      </c>
      <c r="P81" s="11">
        <v>0</v>
      </c>
      <c r="Q81" s="12"/>
      <c r="R81" s="12"/>
      <c r="S81" s="12">
        <f>$G$81*$G$8+$H$81*$H$8+$I$81*$I$8+$J$81*$J$8+$K$81*$K$8+$L$81*$L$8+$M$81*$M$8+$N$81*$N$8+$O$81*$O$8+$P$81*$P$8</f>
        <v>0</v>
      </c>
      <c r="T81" s="12">
        <f>SUM($Q$81:$R$81)</f>
        <v>0</v>
      </c>
      <c r="U81" s="12">
        <f>$S$81+$T$81</f>
        <v>0</v>
      </c>
    </row>
    <row r="82" spans="1:21" x14ac:dyDescent="0.3">
      <c r="A82" s="13" t="s">
        <v>290</v>
      </c>
      <c r="B82" s="14" t="s">
        <v>291</v>
      </c>
      <c r="C82" s="14"/>
      <c r="D82" s="14" t="s">
        <v>292</v>
      </c>
      <c r="E82" s="14">
        <f xml:space="preserve"> IF($U$82,1,0)</f>
        <v>0</v>
      </c>
      <c r="F82" s="14" t="s">
        <v>293</v>
      </c>
      <c r="G82" s="14">
        <v>0</v>
      </c>
      <c r="H82" s="14">
        <v>0</v>
      </c>
      <c r="I82" s="14">
        <v>0</v>
      </c>
      <c r="J82" s="14">
        <v>0</v>
      </c>
      <c r="K82" s="14">
        <v>0</v>
      </c>
      <c r="L82" s="14">
        <v>0</v>
      </c>
      <c r="M82" s="14">
        <v>0</v>
      </c>
      <c r="N82" s="14">
        <v>0</v>
      </c>
      <c r="O82" s="14">
        <v>0</v>
      </c>
      <c r="P82" s="14">
        <v>0</v>
      </c>
      <c r="Q82" s="15"/>
      <c r="R82" s="15"/>
      <c r="S82" s="15">
        <f>$G$82*$G$8+$H$82*$H$8+$I$82*$I$8+$J$82*$J$8+$K$82*$K$8+$L$82*$L$8+$M$82*$M$8+$N$82*$N$8+$O$82*$O$8+$P$82*$P$8</f>
        <v>0</v>
      </c>
      <c r="T82" s="15">
        <f>SUM($Q$82:$R$82)</f>
        <v>0</v>
      </c>
      <c r="U82" s="15">
        <f>$S$82+$T$82</f>
        <v>0</v>
      </c>
    </row>
    <row r="83" spans="1:21" x14ac:dyDescent="0.3">
      <c r="A83" s="10" t="s">
        <v>294</v>
      </c>
      <c r="B83" s="11" t="s">
        <v>295</v>
      </c>
      <c r="C83" s="11"/>
      <c r="D83" s="11" t="s">
        <v>296</v>
      </c>
      <c r="E83" s="11">
        <f xml:space="preserve"> IF($U$83,1,0)</f>
        <v>0</v>
      </c>
      <c r="F83" s="11" t="s">
        <v>297</v>
      </c>
      <c r="G83" s="11">
        <v>0</v>
      </c>
      <c r="H83" s="11">
        <v>0</v>
      </c>
      <c r="I83" s="11">
        <v>0</v>
      </c>
      <c r="J83" s="11">
        <v>0</v>
      </c>
      <c r="K83" s="11">
        <v>0</v>
      </c>
      <c r="L83" s="11">
        <v>0</v>
      </c>
      <c r="M83" s="11">
        <v>0</v>
      </c>
      <c r="N83" s="11">
        <v>0</v>
      </c>
      <c r="O83" s="11">
        <v>0</v>
      </c>
      <c r="P83" s="11">
        <v>0</v>
      </c>
      <c r="Q83" s="12"/>
      <c r="R83" s="12"/>
      <c r="S83" s="12">
        <f>$G$83*$G$8+$H$83*$H$8+$I$83*$I$8+$J$83*$J$8+$K$83*$K$8+$L$83*$L$8+$M$83*$M$8+$N$83*$N$8+$O$83*$O$8+$P$83*$P$8</f>
        <v>0</v>
      </c>
      <c r="T83" s="12">
        <f>SUM($Q$83:$R$83)</f>
        <v>0</v>
      </c>
      <c r="U83" s="12">
        <f>$S$83+$T$83</f>
        <v>0</v>
      </c>
    </row>
    <row r="84" spans="1:21" x14ac:dyDescent="0.3">
      <c r="A84" s="13" t="s">
        <v>298</v>
      </c>
      <c r="B84" s="14" t="s">
        <v>295</v>
      </c>
      <c r="C84" s="14"/>
      <c r="D84" s="14" t="s">
        <v>299</v>
      </c>
      <c r="E84" s="14">
        <f xml:space="preserve"> IF($U$84,1,0)</f>
        <v>0</v>
      </c>
      <c r="F84" s="14" t="s">
        <v>300</v>
      </c>
      <c r="G84" s="14">
        <v>0</v>
      </c>
      <c r="H84" s="14">
        <v>0</v>
      </c>
      <c r="I84" s="14">
        <v>0</v>
      </c>
      <c r="J84" s="14">
        <v>0</v>
      </c>
      <c r="K84" s="14">
        <v>0</v>
      </c>
      <c r="L84" s="14">
        <v>0</v>
      </c>
      <c r="M84" s="14">
        <v>0</v>
      </c>
      <c r="N84" s="14">
        <v>0</v>
      </c>
      <c r="O84" s="14">
        <v>0</v>
      </c>
      <c r="P84" s="14">
        <v>0</v>
      </c>
      <c r="Q84" s="15"/>
      <c r="R84" s="15"/>
      <c r="S84" s="15">
        <f>$G$84*$G$8+$H$84*$H$8+$I$84*$I$8+$J$84*$J$8+$K$84*$K$8+$L$84*$L$8+$M$84*$M$8+$N$84*$N$8+$O$84*$O$8+$P$84*$P$8</f>
        <v>0</v>
      </c>
      <c r="T84" s="15">
        <f>SUM($Q$84:$R$84)</f>
        <v>0</v>
      </c>
      <c r="U84" s="15">
        <f>$S$84+$T$84</f>
        <v>0</v>
      </c>
    </row>
    <row r="85" spans="1:21" x14ac:dyDescent="0.3">
      <c r="A85" s="10" t="s">
        <v>301</v>
      </c>
      <c r="B85" s="11" t="s">
        <v>302</v>
      </c>
      <c r="C85" s="11"/>
      <c r="D85" s="11" t="s">
        <v>303</v>
      </c>
      <c r="E85" s="11">
        <f xml:space="preserve"> IF($U$85,1,0)</f>
        <v>0</v>
      </c>
      <c r="F85" s="11" t="s">
        <v>304</v>
      </c>
      <c r="G85" s="11">
        <v>0</v>
      </c>
      <c r="H85" s="11">
        <v>0</v>
      </c>
      <c r="I85" s="11">
        <v>0</v>
      </c>
      <c r="J85" s="11">
        <v>0</v>
      </c>
      <c r="K85" s="11">
        <v>0</v>
      </c>
      <c r="L85" s="11">
        <v>0</v>
      </c>
      <c r="M85" s="11">
        <v>0</v>
      </c>
      <c r="N85" s="11">
        <v>0</v>
      </c>
      <c r="O85" s="11">
        <v>0</v>
      </c>
      <c r="P85" s="11">
        <v>0</v>
      </c>
      <c r="Q85" s="12"/>
      <c r="R85" s="12"/>
      <c r="S85" s="12">
        <f>$G$85*$G$8+$H$85*$H$8+$I$85*$I$8+$J$85*$J$8+$K$85*$K$8+$L$85*$L$8+$M$85*$M$8+$N$85*$N$8+$O$85*$O$8+$P$85*$P$8</f>
        <v>0</v>
      </c>
      <c r="T85" s="12">
        <f>SUM($Q$85:$R$85)</f>
        <v>0</v>
      </c>
      <c r="U85" s="12">
        <f>$S$85+$T$85</f>
        <v>0</v>
      </c>
    </row>
    <row r="86" spans="1:21" x14ac:dyDescent="0.3">
      <c r="A86" s="13" t="s">
        <v>305</v>
      </c>
      <c r="B86" s="14" t="s">
        <v>306</v>
      </c>
      <c r="C86" s="14"/>
      <c r="D86" s="14" t="s">
        <v>307</v>
      </c>
      <c r="E86" s="14">
        <f xml:space="preserve"> IF($U$86,1,0)</f>
        <v>0</v>
      </c>
      <c r="F86" s="14" t="s">
        <v>308</v>
      </c>
      <c r="G86" s="14">
        <v>0</v>
      </c>
      <c r="H86" s="14">
        <v>0</v>
      </c>
      <c r="I86" s="14">
        <v>0</v>
      </c>
      <c r="J86" s="14">
        <v>0</v>
      </c>
      <c r="K86" s="14">
        <v>0</v>
      </c>
      <c r="L86" s="14">
        <v>0</v>
      </c>
      <c r="M86" s="14">
        <v>0</v>
      </c>
      <c r="N86" s="14">
        <v>0</v>
      </c>
      <c r="O86" s="14">
        <v>0</v>
      </c>
      <c r="P86" s="14">
        <v>0</v>
      </c>
      <c r="Q86" s="15"/>
      <c r="R86" s="15"/>
      <c r="S86" s="15">
        <f>$G$86*$G$8+$H$86*$H$8+$I$86*$I$8+$J$86*$J$8+$K$86*$K$8+$L$86*$L$8+$M$86*$M$8+$N$86*$N$8+$O$86*$O$8+$P$86*$P$8</f>
        <v>0</v>
      </c>
      <c r="T86" s="15">
        <f>SUM($Q$86:$R$86)</f>
        <v>0</v>
      </c>
      <c r="U86" s="15">
        <f>$S$86+$T$86</f>
        <v>0</v>
      </c>
    </row>
    <row r="87" spans="1:21" x14ac:dyDescent="0.3">
      <c r="A87" s="10" t="s">
        <v>309</v>
      </c>
      <c r="B87" s="11" t="s">
        <v>310</v>
      </c>
      <c r="C87" s="11"/>
      <c r="D87" s="11" t="s">
        <v>311</v>
      </c>
      <c r="E87" s="11">
        <f xml:space="preserve"> IF($U$87,1,0)</f>
        <v>0</v>
      </c>
      <c r="F87" s="11" t="s">
        <v>312</v>
      </c>
      <c r="G87" s="11">
        <v>0</v>
      </c>
      <c r="H87" s="11">
        <v>0</v>
      </c>
      <c r="I87" s="11">
        <v>0</v>
      </c>
      <c r="J87" s="11">
        <v>0</v>
      </c>
      <c r="K87" s="11">
        <v>0</v>
      </c>
      <c r="L87" s="11">
        <v>0</v>
      </c>
      <c r="M87" s="11">
        <v>0</v>
      </c>
      <c r="N87" s="11">
        <v>0</v>
      </c>
      <c r="O87" s="11">
        <v>0</v>
      </c>
      <c r="P87" s="11">
        <v>0</v>
      </c>
      <c r="Q87" s="12"/>
      <c r="R87" s="12"/>
      <c r="S87" s="12">
        <f>$G$87*$G$8+$H$87*$H$8+$I$87*$I$8+$J$87*$J$8+$K$87*$K$8+$L$87*$L$8+$M$87*$M$8+$N$87*$N$8+$O$87*$O$8+$P$87*$P$8</f>
        <v>0</v>
      </c>
      <c r="T87" s="12">
        <f>SUM($Q$87:$R$87)</f>
        <v>0</v>
      </c>
      <c r="U87" s="12">
        <f>$S$87+$T$87</f>
        <v>0</v>
      </c>
    </row>
    <row r="88" spans="1:21" x14ac:dyDescent="0.3">
      <c r="A88" s="13" t="s">
        <v>313</v>
      </c>
      <c r="B88" s="14" t="s">
        <v>314</v>
      </c>
      <c r="C88" s="14"/>
      <c r="D88" s="14" t="s">
        <v>315</v>
      </c>
      <c r="E88" s="14">
        <f xml:space="preserve"> IF($U$88,1,0)</f>
        <v>0</v>
      </c>
      <c r="F88" s="14" t="s">
        <v>316</v>
      </c>
      <c r="G88" s="14">
        <v>0</v>
      </c>
      <c r="H88" s="14">
        <v>0</v>
      </c>
      <c r="I88" s="14">
        <v>0</v>
      </c>
      <c r="J88" s="14">
        <v>0</v>
      </c>
      <c r="K88" s="14">
        <v>0</v>
      </c>
      <c r="L88" s="14">
        <v>0</v>
      </c>
      <c r="M88" s="14">
        <v>0</v>
      </c>
      <c r="N88" s="14">
        <v>0</v>
      </c>
      <c r="O88" s="14">
        <v>0</v>
      </c>
      <c r="P88" s="14">
        <v>0</v>
      </c>
      <c r="Q88" s="15"/>
      <c r="R88" s="15"/>
      <c r="S88" s="15">
        <f>$G$88*$G$8+$H$88*$H$8+$I$88*$I$8+$J$88*$J$8+$K$88*$K$8+$L$88*$L$8+$M$88*$M$8+$N$88*$N$8+$O$88*$O$8+$P$88*$P$8</f>
        <v>0</v>
      </c>
      <c r="T88" s="15">
        <f>SUM($Q$88:$R$88)</f>
        <v>0</v>
      </c>
      <c r="U88" s="15">
        <f>$S$88+$T$88</f>
        <v>0</v>
      </c>
    </row>
    <row r="89" spans="1:21" x14ac:dyDescent="0.3">
      <c r="A89" s="10" t="s">
        <v>317</v>
      </c>
      <c r="B89" s="11" t="s">
        <v>318</v>
      </c>
      <c r="C89" s="11"/>
      <c r="D89" s="11" t="s">
        <v>319</v>
      </c>
      <c r="E89" s="11">
        <f xml:space="preserve"> IF($U$89,1,0)</f>
        <v>0</v>
      </c>
      <c r="F89" s="11" t="s">
        <v>320</v>
      </c>
      <c r="G89" s="11">
        <v>0</v>
      </c>
      <c r="H89" s="11">
        <v>0</v>
      </c>
      <c r="I89" s="11">
        <v>0</v>
      </c>
      <c r="J89" s="11">
        <v>0</v>
      </c>
      <c r="K89" s="11">
        <v>0</v>
      </c>
      <c r="L89" s="11">
        <v>0</v>
      </c>
      <c r="M89" s="11">
        <v>0</v>
      </c>
      <c r="N89" s="11">
        <v>0</v>
      </c>
      <c r="O89" s="11">
        <v>0</v>
      </c>
      <c r="P89" s="11">
        <v>0</v>
      </c>
      <c r="Q89" s="12"/>
      <c r="R89" s="12"/>
      <c r="S89" s="12">
        <f>$G$89*$G$8+$H$89*$H$8+$I$89*$I$8+$J$89*$J$8+$K$89*$K$8+$L$89*$L$8+$M$89*$M$8+$N$89*$N$8+$O$89*$O$8+$P$89*$P$8</f>
        <v>0</v>
      </c>
      <c r="T89" s="12">
        <f>SUM($Q$89:$R$89)</f>
        <v>0</v>
      </c>
      <c r="U89" s="12">
        <f>$S$89+$T$89</f>
        <v>0</v>
      </c>
    </row>
    <row r="90" spans="1:21" x14ac:dyDescent="0.3">
      <c r="A90" s="13" t="s">
        <v>321</v>
      </c>
      <c r="B90" s="14" t="s">
        <v>322</v>
      </c>
      <c r="C90" s="14"/>
      <c r="D90" s="14" t="s">
        <v>323</v>
      </c>
      <c r="E90" s="14">
        <f xml:space="preserve"> IF($U$90,1,0)</f>
        <v>0</v>
      </c>
      <c r="F90" s="14" t="s">
        <v>324</v>
      </c>
      <c r="G90" s="14">
        <v>0</v>
      </c>
      <c r="H90" s="14">
        <v>0</v>
      </c>
      <c r="I90" s="14">
        <v>0</v>
      </c>
      <c r="J90" s="14">
        <v>0</v>
      </c>
      <c r="K90" s="14">
        <v>0</v>
      </c>
      <c r="L90" s="14">
        <v>0</v>
      </c>
      <c r="M90" s="14">
        <v>0</v>
      </c>
      <c r="N90" s="14">
        <v>0</v>
      </c>
      <c r="O90" s="14">
        <v>0</v>
      </c>
      <c r="P90" s="14">
        <v>0</v>
      </c>
      <c r="Q90" s="15"/>
      <c r="R90" s="15"/>
      <c r="S90" s="15">
        <f>$G$90*$G$8+$H$90*$H$8+$I$90*$I$8+$J$90*$J$8+$K$90*$K$8+$L$90*$L$8+$M$90*$M$8+$N$90*$N$8+$O$90*$O$8+$P$90*$P$8</f>
        <v>0</v>
      </c>
      <c r="T90" s="15">
        <f>SUM($Q$90:$R$90)</f>
        <v>0</v>
      </c>
      <c r="U90" s="15">
        <f>$S$90+$T$90</f>
        <v>0</v>
      </c>
    </row>
    <row r="91" spans="1:21" x14ac:dyDescent="0.3">
      <c r="A91" s="10" t="s">
        <v>325</v>
      </c>
      <c r="B91" s="11" t="s">
        <v>326</v>
      </c>
      <c r="C91" s="11" t="s">
        <v>243</v>
      </c>
      <c r="D91" s="11" t="s">
        <v>327</v>
      </c>
      <c r="E91" s="11">
        <f xml:space="preserve"> IF($U$91,1,0)</f>
        <v>0</v>
      </c>
      <c r="F91" s="11" t="s">
        <v>328</v>
      </c>
      <c r="G91" s="11">
        <v>0</v>
      </c>
      <c r="H91" s="11">
        <v>0</v>
      </c>
      <c r="I91" s="11">
        <v>0</v>
      </c>
      <c r="J91" s="11">
        <v>0</v>
      </c>
      <c r="K91" s="11">
        <v>0</v>
      </c>
      <c r="L91" s="11">
        <v>0</v>
      </c>
      <c r="M91" s="11">
        <v>0</v>
      </c>
      <c r="N91" s="11">
        <v>0</v>
      </c>
      <c r="O91" s="11">
        <v>0</v>
      </c>
      <c r="P91" s="11">
        <v>0</v>
      </c>
      <c r="Q91" s="12"/>
      <c r="R91" s="12"/>
      <c r="S91" s="12">
        <f>$G$91*$G$8+$H$91*$H$8+$I$91*$I$8+$J$91*$J$8+$K$91*$K$8+$L$91*$L$8+$M$91*$M$8+$N$91*$N$8+$O$91*$O$8+$P$91*$P$8</f>
        <v>0</v>
      </c>
      <c r="T91" s="12">
        <f>SUM($Q$91:$R$91)</f>
        <v>0</v>
      </c>
      <c r="U91" s="12">
        <f>$S$91+$T$91</f>
        <v>0</v>
      </c>
    </row>
    <row r="92" spans="1:21" x14ac:dyDescent="0.3">
      <c r="A92" s="13" t="s">
        <v>329</v>
      </c>
      <c r="B92" s="14" t="s">
        <v>330</v>
      </c>
      <c r="C92" s="14"/>
      <c r="D92" s="14" t="s">
        <v>331</v>
      </c>
      <c r="E92" s="14">
        <f xml:space="preserve"> IF($U$92,1,0)</f>
        <v>0</v>
      </c>
      <c r="F92" s="14" t="s">
        <v>332</v>
      </c>
      <c r="G92" s="14">
        <v>0</v>
      </c>
      <c r="H92" s="14">
        <v>0</v>
      </c>
      <c r="I92" s="14">
        <v>0</v>
      </c>
      <c r="J92" s="14">
        <v>0</v>
      </c>
      <c r="K92" s="14">
        <v>0</v>
      </c>
      <c r="L92" s="14">
        <v>0</v>
      </c>
      <c r="M92" s="14">
        <v>0</v>
      </c>
      <c r="N92" s="14">
        <v>0</v>
      </c>
      <c r="O92" s="14">
        <v>0</v>
      </c>
      <c r="P92" s="14">
        <v>0</v>
      </c>
      <c r="Q92" s="15"/>
      <c r="R92" s="15"/>
      <c r="S92" s="15">
        <f>$G$92*$G$8+$H$92*$H$8+$I$92*$I$8+$J$92*$J$8+$K$92*$K$8+$L$92*$L$8+$M$92*$M$8+$N$92*$N$8+$O$92*$O$8+$P$92*$P$8</f>
        <v>0</v>
      </c>
      <c r="T92" s="15">
        <f>SUM($Q$92:$R$92)</f>
        <v>0</v>
      </c>
      <c r="U92" s="15">
        <f>$S$92+$T$92</f>
        <v>0</v>
      </c>
    </row>
    <row r="93" spans="1:21" x14ac:dyDescent="0.3">
      <c r="A93" s="10" t="s">
        <v>333</v>
      </c>
      <c r="B93" s="11" t="s">
        <v>334</v>
      </c>
      <c r="C93" s="11"/>
      <c r="D93" s="11" t="s">
        <v>335</v>
      </c>
      <c r="E93" s="11">
        <f xml:space="preserve"> IF($U$93,1,0)</f>
        <v>0</v>
      </c>
      <c r="F93" s="11" t="s">
        <v>336</v>
      </c>
      <c r="G93" s="11">
        <v>0</v>
      </c>
      <c r="H93" s="11">
        <v>0</v>
      </c>
      <c r="I93" s="11">
        <v>0</v>
      </c>
      <c r="J93" s="11">
        <v>0</v>
      </c>
      <c r="K93" s="11">
        <v>0</v>
      </c>
      <c r="L93" s="11">
        <v>0</v>
      </c>
      <c r="M93" s="11">
        <v>0</v>
      </c>
      <c r="N93" s="11">
        <v>0</v>
      </c>
      <c r="O93" s="11">
        <v>0</v>
      </c>
      <c r="P93" s="11">
        <v>0</v>
      </c>
      <c r="Q93" s="12"/>
      <c r="R93" s="12"/>
      <c r="S93" s="12">
        <f>$G$93*$G$8+$H$93*$H$8+$I$93*$I$8+$J$93*$J$8+$K$93*$K$8+$L$93*$L$8+$M$93*$M$8+$N$93*$N$8+$O$93*$O$8+$P$93*$P$8</f>
        <v>0</v>
      </c>
      <c r="T93" s="12">
        <f>SUM($Q$93:$R$93)</f>
        <v>0</v>
      </c>
      <c r="U93" s="12">
        <f>$S$93+$T$93</f>
        <v>0</v>
      </c>
    </row>
    <row r="94" spans="1:21" x14ac:dyDescent="0.3">
      <c r="A94" s="13" t="s">
        <v>337</v>
      </c>
      <c r="B94" s="14" t="s">
        <v>334</v>
      </c>
      <c r="C94" s="14"/>
      <c r="D94" s="14" t="s">
        <v>338</v>
      </c>
      <c r="E94" s="14">
        <f xml:space="preserve"> IF($U$94,1,0)</f>
        <v>0</v>
      </c>
      <c r="F94" s="14" t="s">
        <v>339</v>
      </c>
      <c r="G94" s="14">
        <v>0</v>
      </c>
      <c r="H94" s="14">
        <v>0</v>
      </c>
      <c r="I94" s="14">
        <v>0</v>
      </c>
      <c r="J94" s="14">
        <v>0</v>
      </c>
      <c r="K94" s="14">
        <v>0</v>
      </c>
      <c r="L94" s="14">
        <v>0</v>
      </c>
      <c r="M94" s="14">
        <v>0</v>
      </c>
      <c r="N94" s="14">
        <v>0</v>
      </c>
      <c r="O94" s="14">
        <v>0</v>
      </c>
      <c r="P94" s="14">
        <v>0</v>
      </c>
      <c r="Q94" s="15"/>
      <c r="R94" s="15"/>
      <c r="S94" s="15">
        <f>$G$94*$G$8+$H$94*$H$8+$I$94*$I$8+$J$94*$J$8+$K$94*$K$8+$L$94*$L$8+$M$94*$M$8+$N$94*$N$8+$O$94*$O$8+$P$94*$P$8</f>
        <v>0</v>
      </c>
      <c r="T94" s="15">
        <f>SUM($Q$94:$R$94)</f>
        <v>0</v>
      </c>
      <c r="U94" s="15">
        <f>$S$94+$T$94</f>
        <v>0</v>
      </c>
    </row>
    <row r="95" spans="1:21" x14ac:dyDescent="0.3">
      <c r="A95" s="10" t="s">
        <v>340</v>
      </c>
      <c r="B95" s="11" t="s">
        <v>341</v>
      </c>
      <c r="C95" s="11" t="s">
        <v>342</v>
      </c>
      <c r="D95" s="11" t="s">
        <v>343</v>
      </c>
      <c r="E95" s="11">
        <f xml:space="preserve"> IF($U$95,1,0)</f>
        <v>0</v>
      </c>
      <c r="F95" s="11" t="s">
        <v>344</v>
      </c>
      <c r="G95" s="11">
        <v>0</v>
      </c>
      <c r="H95" s="11">
        <v>0</v>
      </c>
      <c r="I95" s="11">
        <v>0</v>
      </c>
      <c r="J95" s="11">
        <v>0</v>
      </c>
      <c r="K95" s="11">
        <v>0</v>
      </c>
      <c r="L95" s="11">
        <v>0</v>
      </c>
      <c r="M95" s="11">
        <v>0</v>
      </c>
      <c r="N95" s="11">
        <v>0</v>
      </c>
      <c r="O95" s="11">
        <v>0</v>
      </c>
      <c r="P95" s="11">
        <v>0</v>
      </c>
      <c r="Q95" s="12"/>
      <c r="R95" s="12"/>
      <c r="S95" s="12">
        <f>$G$95*$G$8+$H$95*$H$8+$I$95*$I$8+$J$95*$J$8+$K$95*$K$8+$L$95*$L$8+$M$95*$M$8+$N$95*$N$8+$O$95*$O$8+$P$95*$P$8</f>
        <v>0</v>
      </c>
      <c r="T95" s="12">
        <f>SUM($Q$95:$R$95)</f>
        <v>0</v>
      </c>
      <c r="U95" s="12">
        <f>$S$95+$T$95</f>
        <v>0</v>
      </c>
    </row>
    <row r="96" spans="1:21" x14ac:dyDescent="0.3">
      <c r="A96" s="13" t="s">
        <v>345</v>
      </c>
      <c r="B96" s="14" t="s">
        <v>346</v>
      </c>
      <c r="C96" s="14"/>
      <c r="D96" s="14" t="s">
        <v>347</v>
      </c>
      <c r="E96" s="14">
        <f xml:space="preserve"> IF($U$96,1,0)</f>
        <v>0</v>
      </c>
      <c r="F96" s="14" t="s">
        <v>348</v>
      </c>
      <c r="G96" s="14">
        <v>0</v>
      </c>
      <c r="H96" s="14">
        <v>0</v>
      </c>
      <c r="I96" s="14">
        <v>0</v>
      </c>
      <c r="J96" s="14">
        <v>0</v>
      </c>
      <c r="K96" s="14">
        <v>0</v>
      </c>
      <c r="L96" s="14">
        <v>0</v>
      </c>
      <c r="M96" s="14">
        <v>0</v>
      </c>
      <c r="N96" s="14">
        <v>0</v>
      </c>
      <c r="O96" s="14">
        <v>0</v>
      </c>
      <c r="P96" s="14">
        <v>0</v>
      </c>
      <c r="Q96" s="15"/>
      <c r="R96" s="15"/>
      <c r="S96" s="15">
        <f>$G$96*$G$8+$H$96*$H$8+$I$96*$I$8+$J$96*$J$8+$K$96*$K$8+$L$96*$L$8+$M$96*$M$8+$N$96*$N$8+$O$96*$O$8+$P$96*$P$8</f>
        <v>0</v>
      </c>
      <c r="T96" s="15">
        <f>SUM($Q$96:$R$96)</f>
        <v>0</v>
      </c>
      <c r="U96" s="15">
        <f>$S$96+$T$96</f>
        <v>0</v>
      </c>
    </row>
    <row r="97" spans="1:21" x14ac:dyDescent="0.3">
      <c r="A97" s="10" t="s">
        <v>349</v>
      </c>
      <c r="B97" s="11" t="s">
        <v>350</v>
      </c>
      <c r="C97" s="11"/>
      <c r="D97" s="11" t="s">
        <v>351</v>
      </c>
      <c r="E97" s="11">
        <f xml:space="preserve"> IF($U$97,1,0)</f>
        <v>0</v>
      </c>
      <c r="F97" s="11" t="s">
        <v>352</v>
      </c>
      <c r="G97" s="11">
        <v>0</v>
      </c>
      <c r="H97" s="11">
        <v>0</v>
      </c>
      <c r="I97" s="11">
        <v>0</v>
      </c>
      <c r="J97" s="11">
        <v>0</v>
      </c>
      <c r="K97" s="11">
        <v>0</v>
      </c>
      <c r="L97" s="11">
        <v>0</v>
      </c>
      <c r="M97" s="11">
        <v>0</v>
      </c>
      <c r="N97" s="11">
        <v>0</v>
      </c>
      <c r="O97" s="11">
        <v>0</v>
      </c>
      <c r="P97" s="11">
        <v>0</v>
      </c>
      <c r="Q97" s="12"/>
      <c r="R97" s="12"/>
      <c r="S97" s="12">
        <f>$G$97*$G$8+$H$97*$H$8+$I$97*$I$8+$J$97*$J$8+$K$97*$K$8+$L$97*$L$8+$M$97*$M$8+$N$97*$N$8+$O$97*$O$8+$P$97*$P$8</f>
        <v>0</v>
      </c>
      <c r="T97" s="12">
        <f>SUM($Q$97:$R$97)</f>
        <v>0</v>
      </c>
      <c r="U97" s="12">
        <f>$S$97+$T$97</f>
        <v>0</v>
      </c>
    </row>
    <row r="98" spans="1:21" x14ac:dyDescent="0.3">
      <c r="A98" s="13" t="s">
        <v>353</v>
      </c>
      <c r="B98" s="14" t="s">
        <v>354</v>
      </c>
      <c r="C98" s="14"/>
      <c r="D98" s="14" t="s">
        <v>355</v>
      </c>
      <c r="E98" s="14">
        <f xml:space="preserve"> IF($U$98,1,0)</f>
        <v>0</v>
      </c>
      <c r="F98" s="14" t="s">
        <v>356</v>
      </c>
      <c r="G98" s="14">
        <v>0</v>
      </c>
      <c r="H98" s="14">
        <v>0</v>
      </c>
      <c r="I98" s="14">
        <v>0</v>
      </c>
      <c r="J98" s="14">
        <v>0</v>
      </c>
      <c r="K98" s="14">
        <v>0</v>
      </c>
      <c r="L98" s="14">
        <v>0</v>
      </c>
      <c r="M98" s="14">
        <v>0</v>
      </c>
      <c r="N98" s="14">
        <v>0</v>
      </c>
      <c r="O98" s="14">
        <v>0</v>
      </c>
      <c r="P98" s="14">
        <v>0</v>
      </c>
      <c r="Q98" s="15"/>
      <c r="R98" s="15"/>
      <c r="S98" s="15">
        <f>$G$98*$G$8+$H$98*$H$8+$I$98*$I$8+$J$98*$J$8+$K$98*$K$8+$L$98*$L$8+$M$98*$M$8+$N$98*$N$8+$O$98*$O$8+$P$98*$P$8</f>
        <v>0</v>
      </c>
      <c r="T98" s="15">
        <f>SUM($Q$98:$R$98)</f>
        <v>0</v>
      </c>
      <c r="U98" s="15">
        <f>$S$98+$T$98</f>
        <v>0</v>
      </c>
    </row>
    <row r="99" spans="1:21" x14ac:dyDescent="0.3">
      <c r="A99" s="10" t="s">
        <v>357</v>
      </c>
      <c r="B99" s="11" t="s">
        <v>358</v>
      </c>
      <c r="C99" s="11" t="s">
        <v>34</v>
      </c>
      <c r="D99" s="11" t="s">
        <v>359</v>
      </c>
      <c r="E99" s="11">
        <f xml:space="preserve"> IF($U$99,1,0)</f>
        <v>0</v>
      </c>
      <c r="F99" s="11" t="s">
        <v>360</v>
      </c>
      <c r="G99" s="11">
        <v>0</v>
      </c>
      <c r="H99" s="11">
        <v>0</v>
      </c>
      <c r="I99" s="11">
        <v>0</v>
      </c>
      <c r="J99" s="11">
        <v>0</v>
      </c>
      <c r="K99" s="11">
        <v>0</v>
      </c>
      <c r="L99" s="11">
        <v>0</v>
      </c>
      <c r="M99" s="11">
        <v>0</v>
      </c>
      <c r="N99" s="11">
        <v>0</v>
      </c>
      <c r="O99" s="11">
        <v>0</v>
      </c>
      <c r="P99" s="11">
        <v>0</v>
      </c>
      <c r="Q99" s="12"/>
      <c r="R99" s="12"/>
      <c r="S99" s="12">
        <f>$G$99*$G$8+$H$99*$H$8+$I$99*$I$8+$J$99*$J$8+$K$99*$K$8+$L$99*$L$8+$M$99*$M$8+$N$99*$N$8+$O$99*$O$8+$P$99*$P$8</f>
        <v>0</v>
      </c>
      <c r="T99" s="12">
        <f>SUM($Q$99:$R$99)</f>
        <v>0</v>
      </c>
      <c r="U99" s="12">
        <f>$S$99+$T$99</f>
        <v>0</v>
      </c>
    </row>
    <row r="100" spans="1:21" x14ac:dyDescent="0.3">
      <c r="A100" s="13" t="s">
        <v>361</v>
      </c>
      <c r="B100" s="14" t="s">
        <v>358</v>
      </c>
      <c r="C100" s="14" t="s">
        <v>34</v>
      </c>
      <c r="D100" s="14" t="s">
        <v>362</v>
      </c>
      <c r="E100" s="14">
        <f xml:space="preserve"> IF($U$100,1,0)</f>
        <v>0</v>
      </c>
      <c r="F100" s="14" t="s">
        <v>363</v>
      </c>
      <c r="G100" s="14">
        <v>0</v>
      </c>
      <c r="H100" s="14">
        <v>0</v>
      </c>
      <c r="I100" s="14">
        <v>0</v>
      </c>
      <c r="J100" s="14">
        <v>0</v>
      </c>
      <c r="K100" s="14">
        <v>0</v>
      </c>
      <c r="L100" s="14">
        <v>0</v>
      </c>
      <c r="M100" s="14">
        <v>0</v>
      </c>
      <c r="N100" s="14">
        <v>0</v>
      </c>
      <c r="O100" s="14">
        <v>0</v>
      </c>
      <c r="P100" s="14">
        <v>0</v>
      </c>
      <c r="Q100" s="15"/>
      <c r="R100" s="15"/>
      <c r="S100" s="15">
        <f>$G$100*$G$8+$H$100*$H$8+$I$100*$I$8+$J$100*$J$8+$K$100*$K$8+$L$100*$L$8+$M$100*$M$8+$N$100*$N$8+$O$100*$O$8+$P$100*$P$8</f>
        <v>0</v>
      </c>
      <c r="T100" s="15">
        <f>SUM($Q$100:$R$100)</f>
        <v>0</v>
      </c>
      <c r="U100" s="15">
        <f>$S$100+$T$100</f>
        <v>0</v>
      </c>
    </row>
    <row r="101" spans="1:21" x14ac:dyDescent="0.3">
      <c r="A101" s="10" t="s">
        <v>364</v>
      </c>
      <c r="B101" s="11" t="s">
        <v>358</v>
      </c>
      <c r="C101" s="11"/>
      <c r="D101" s="11" t="s">
        <v>365</v>
      </c>
      <c r="E101" s="11">
        <f xml:space="preserve"> IF($U$101,1,0)</f>
        <v>0</v>
      </c>
      <c r="F101" s="11" t="s">
        <v>366</v>
      </c>
      <c r="G101" s="11">
        <v>0</v>
      </c>
      <c r="H101" s="11">
        <v>0</v>
      </c>
      <c r="I101" s="11">
        <v>0</v>
      </c>
      <c r="J101" s="11">
        <v>0</v>
      </c>
      <c r="K101" s="11">
        <v>0</v>
      </c>
      <c r="L101" s="11">
        <v>0</v>
      </c>
      <c r="M101" s="11">
        <v>0</v>
      </c>
      <c r="N101" s="11">
        <v>0</v>
      </c>
      <c r="O101" s="11">
        <v>0</v>
      </c>
      <c r="P101" s="11">
        <v>0</v>
      </c>
      <c r="Q101" s="12"/>
      <c r="R101" s="12"/>
      <c r="S101" s="12">
        <f>$G$101*$G$8+$H$101*$H$8+$I$101*$I$8+$J$101*$J$8+$K$101*$K$8+$L$101*$L$8+$M$101*$M$8+$N$101*$N$8+$O$101*$O$8+$P$101*$P$8</f>
        <v>0</v>
      </c>
      <c r="T101" s="12">
        <f>SUM($Q$101:$R$101)</f>
        <v>0</v>
      </c>
      <c r="U101" s="12">
        <f>$S$101+$T$101</f>
        <v>0</v>
      </c>
    </row>
    <row r="102" spans="1:21" x14ac:dyDescent="0.3">
      <c r="A102" s="13" t="s">
        <v>1287</v>
      </c>
      <c r="B102" s="14" t="s">
        <v>1288</v>
      </c>
      <c r="C102" s="14"/>
      <c r="D102" s="14" t="s">
        <v>1285</v>
      </c>
      <c r="E102" s="14">
        <f xml:space="preserve"> IF($U$102,1,0)</f>
        <v>0</v>
      </c>
      <c r="F102" s="14" t="s">
        <v>1289</v>
      </c>
      <c r="G102" s="14">
        <v>0</v>
      </c>
      <c r="H102" s="14">
        <v>0</v>
      </c>
      <c r="I102" s="14">
        <v>0</v>
      </c>
      <c r="J102" s="14">
        <v>0</v>
      </c>
      <c r="K102" s="14">
        <v>0</v>
      </c>
      <c r="L102" s="14">
        <v>0</v>
      </c>
      <c r="M102" s="14">
        <v>0</v>
      </c>
      <c r="N102" s="14">
        <v>0</v>
      </c>
      <c r="O102" s="14">
        <v>0</v>
      </c>
      <c r="P102" s="14">
        <v>0</v>
      </c>
      <c r="Q102" s="15"/>
      <c r="R102" s="15"/>
      <c r="S102" s="15">
        <f>$G$102*$G$8+$H$102*$H$8+$I$102*$I$8+$J$102*$J$8+$K$102*$K$8+$L$102*$L$8+$M$102*$M$8+$N$102*$N$8+$O$102*$O$8+$P$102*$P$8</f>
        <v>0</v>
      </c>
      <c r="T102" s="15">
        <f>SUM($Q$102:$R$102)</f>
        <v>0</v>
      </c>
      <c r="U102" s="15">
        <f>$S$102+$T$102</f>
        <v>0</v>
      </c>
    </row>
    <row r="103" spans="1:21" x14ac:dyDescent="0.3">
      <c r="A103" s="10" t="s">
        <v>367</v>
      </c>
      <c r="B103" s="11" t="s">
        <v>368</v>
      </c>
      <c r="C103" s="11" t="s">
        <v>34</v>
      </c>
      <c r="D103" s="11" t="s">
        <v>118</v>
      </c>
      <c r="E103" s="11">
        <f xml:space="preserve"> IF($U$103,1,0)</f>
        <v>0</v>
      </c>
      <c r="F103" s="11" t="s">
        <v>369</v>
      </c>
      <c r="G103" s="11">
        <v>0</v>
      </c>
      <c r="H103" s="11">
        <v>0</v>
      </c>
      <c r="I103" s="11">
        <v>0</v>
      </c>
      <c r="J103" s="11">
        <v>0</v>
      </c>
      <c r="K103" s="11">
        <v>0</v>
      </c>
      <c r="L103" s="11">
        <v>0</v>
      </c>
      <c r="M103" s="11">
        <v>0</v>
      </c>
      <c r="N103" s="11">
        <v>0</v>
      </c>
      <c r="O103" s="11">
        <v>0</v>
      </c>
      <c r="P103" s="11">
        <v>0</v>
      </c>
      <c r="Q103" s="12"/>
      <c r="R103" s="12"/>
      <c r="S103" s="12">
        <f>$G$103*$G$8+$H$103*$H$8+$I$103*$I$8+$J$103*$J$8+$K$103*$K$8+$L$103*$L$8+$M$103*$M$8+$N$103*$N$8+$O$103*$O$8+$P$103*$P$8</f>
        <v>0</v>
      </c>
      <c r="T103" s="12">
        <f>SUM($Q$103:$R$103)</f>
        <v>0</v>
      </c>
      <c r="U103" s="12">
        <f>$S$103+$T$103</f>
        <v>0</v>
      </c>
    </row>
    <row r="104" spans="1:21" x14ac:dyDescent="0.3">
      <c r="A104" s="13" t="s">
        <v>370</v>
      </c>
      <c r="B104" s="14" t="s">
        <v>371</v>
      </c>
      <c r="C104" s="14"/>
      <c r="D104" s="14" t="s">
        <v>372</v>
      </c>
      <c r="E104" s="14">
        <f xml:space="preserve"> IF($U$104,1,0)</f>
        <v>0</v>
      </c>
      <c r="F104" s="14" t="s">
        <v>373</v>
      </c>
      <c r="G104" s="14">
        <v>0</v>
      </c>
      <c r="H104" s="14">
        <v>0</v>
      </c>
      <c r="I104" s="14">
        <v>0</v>
      </c>
      <c r="J104" s="14">
        <v>0</v>
      </c>
      <c r="K104" s="14">
        <v>0</v>
      </c>
      <c r="L104" s="14">
        <v>0</v>
      </c>
      <c r="M104" s="14">
        <v>0</v>
      </c>
      <c r="N104" s="14">
        <v>0</v>
      </c>
      <c r="O104" s="14">
        <v>0</v>
      </c>
      <c r="P104" s="14">
        <v>0</v>
      </c>
      <c r="Q104" s="15"/>
      <c r="R104" s="15"/>
      <c r="S104" s="15">
        <f>$G$104*$G$8+$H$104*$H$8+$I$104*$I$8+$J$104*$J$8+$K$104*$K$8+$L$104*$L$8+$M$104*$M$8+$N$104*$N$8+$O$104*$O$8+$P$104*$P$8</f>
        <v>0</v>
      </c>
      <c r="T104" s="15">
        <f>SUM($Q$104:$R$104)</f>
        <v>0</v>
      </c>
      <c r="U104" s="15">
        <f>$S$104+$T$104</f>
        <v>0</v>
      </c>
    </row>
    <row r="105" spans="1:21" x14ac:dyDescent="0.3">
      <c r="A105" s="10" t="s">
        <v>374</v>
      </c>
      <c r="B105" s="11" t="s">
        <v>375</v>
      </c>
      <c r="C105" s="11"/>
      <c r="D105" s="11" t="s">
        <v>376</v>
      </c>
      <c r="E105" s="11">
        <f xml:space="preserve"> IF($U$105,1,0)</f>
        <v>0</v>
      </c>
      <c r="F105" s="11" t="s">
        <v>377</v>
      </c>
      <c r="G105" s="11">
        <v>0</v>
      </c>
      <c r="H105" s="11">
        <v>0</v>
      </c>
      <c r="I105" s="11">
        <v>0</v>
      </c>
      <c r="J105" s="11">
        <v>0</v>
      </c>
      <c r="K105" s="11">
        <v>0</v>
      </c>
      <c r="L105" s="11">
        <v>0</v>
      </c>
      <c r="M105" s="11">
        <v>0</v>
      </c>
      <c r="N105" s="11">
        <v>0</v>
      </c>
      <c r="O105" s="11">
        <v>0</v>
      </c>
      <c r="P105" s="11">
        <v>0</v>
      </c>
      <c r="Q105" s="12"/>
      <c r="R105" s="12"/>
      <c r="S105" s="12">
        <f>$G$105*$G$8+$H$105*$H$8+$I$105*$I$8+$J$105*$J$8+$K$105*$K$8+$L$105*$L$8+$M$105*$M$8+$N$105*$N$8+$O$105*$O$8+$P$105*$P$8</f>
        <v>0</v>
      </c>
      <c r="T105" s="12">
        <f>SUM($Q$105:$R$105)</f>
        <v>0</v>
      </c>
      <c r="U105" s="12">
        <f>$S$105+$T$105</f>
        <v>0</v>
      </c>
    </row>
    <row r="106" spans="1:21" x14ac:dyDescent="0.3">
      <c r="A106" s="13" t="s">
        <v>378</v>
      </c>
      <c r="B106" s="14" t="s">
        <v>379</v>
      </c>
      <c r="C106" s="14"/>
      <c r="D106" s="14" t="s">
        <v>380</v>
      </c>
      <c r="E106" s="14">
        <f xml:space="preserve"> IF($U$106,1,0)</f>
        <v>0</v>
      </c>
      <c r="F106" s="14" t="s">
        <v>381</v>
      </c>
      <c r="G106" s="14">
        <v>0</v>
      </c>
      <c r="H106" s="14">
        <v>0</v>
      </c>
      <c r="I106" s="14">
        <v>0</v>
      </c>
      <c r="J106" s="14">
        <v>0</v>
      </c>
      <c r="K106" s="14">
        <v>0</v>
      </c>
      <c r="L106" s="14">
        <v>0</v>
      </c>
      <c r="M106" s="14">
        <v>0</v>
      </c>
      <c r="N106" s="14">
        <v>0</v>
      </c>
      <c r="O106" s="14">
        <v>0</v>
      </c>
      <c r="P106" s="14">
        <v>0</v>
      </c>
      <c r="Q106" s="15"/>
      <c r="R106" s="15"/>
      <c r="S106" s="15">
        <f>$G$106*$G$8+$H$106*$H$8+$I$106*$I$8+$J$106*$J$8+$K$106*$K$8+$L$106*$L$8+$M$106*$M$8+$N$106*$N$8+$O$106*$O$8+$P$106*$P$8</f>
        <v>0</v>
      </c>
      <c r="T106" s="15">
        <f>SUM($Q$106:$R$106)</f>
        <v>0</v>
      </c>
      <c r="U106" s="15">
        <f>$S$106+$T$106</f>
        <v>0</v>
      </c>
    </row>
    <row r="107" spans="1:21" x14ac:dyDescent="0.3">
      <c r="A107" s="10" t="s">
        <v>382</v>
      </c>
      <c r="B107" s="11" t="s">
        <v>383</v>
      </c>
      <c r="C107" s="11"/>
      <c r="D107" s="11" t="s">
        <v>384</v>
      </c>
      <c r="E107" s="11">
        <f xml:space="preserve"> IF($U$107,1,0)</f>
        <v>0</v>
      </c>
      <c r="F107" s="11" t="s">
        <v>385</v>
      </c>
      <c r="G107" s="11">
        <v>0</v>
      </c>
      <c r="H107" s="11">
        <v>0</v>
      </c>
      <c r="I107" s="11">
        <v>0</v>
      </c>
      <c r="J107" s="11">
        <v>0</v>
      </c>
      <c r="K107" s="11">
        <v>0</v>
      </c>
      <c r="L107" s="11">
        <v>0</v>
      </c>
      <c r="M107" s="11">
        <v>0</v>
      </c>
      <c r="N107" s="11">
        <v>0</v>
      </c>
      <c r="O107" s="11">
        <v>0</v>
      </c>
      <c r="P107" s="11">
        <v>0</v>
      </c>
      <c r="Q107" s="12"/>
      <c r="R107" s="12"/>
      <c r="S107" s="12">
        <f>$G$107*$G$8+$H$107*$H$8+$I$107*$I$8+$J$107*$J$8+$K$107*$K$8+$L$107*$L$8+$M$107*$M$8+$N$107*$N$8+$O$107*$O$8+$P$107*$P$8</f>
        <v>0</v>
      </c>
      <c r="T107" s="12">
        <f>SUM($Q$107:$R$107)</f>
        <v>0</v>
      </c>
      <c r="U107" s="12">
        <f>$S$107+$T$107</f>
        <v>0</v>
      </c>
    </row>
    <row r="108" spans="1:21" x14ac:dyDescent="0.3">
      <c r="A108" s="13" t="s">
        <v>386</v>
      </c>
      <c r="B108" s="14" t="s">
        <v>387</v>
      </c>
      <c r="C108" s="14" t="s">
        <v>278</v>
      </c>
      <c r="D108" s="14" t="s">
        <v>388</v>
      </c>
      <c r="E108" s="14">
        <f xml:space="preserve"> IF($U$108,1,0)</f>
        <v>0</v>
      </c>
      <c r="F108" s="14" t="s">
        <v>389</v>
      </c>
      <c r="G108" s="14">
        <v>0</v>
      </c>
      <c r="H108" s="14">
        <v>0</v>
      </c>
      <c r="I108" s="14">
        <v>0</v>
      </c>
      <c r="J108" s="14">
        <v>0</v>
      </c>
      <c r="K108" s="14">
        <v>0</v>
      </c>
      <c r="L108" s="14">
        <v>0</v>
      </c>
      <c r="M108" s="14">
        <v>0</v>
      </c>
      <c r="N108" s="14">
        <v>0</v>
      </c>
      <c r="O108" s="14">
        <v>0</v>
      </c>
      <c r="P108" s="14">
        <v>0</v>
      </c>
      <c r="Q108" s="15"/>
      <c r="R108" s="15"/>
      <c r="S108" s="15">
        <f>$G$108*$G$8+$H$108*$H$8+$I$108*$I$8+$J$108*$J$8+$K$108*$K$8+$L$108*$L$8+$M$108*$M$8+$N$108*$N$8+$O$108*$O$8+$P$108*$P$8</f>
        <v>0</v>
      </c>
      <c r="T108" s="15">
        <f>SUM($Q$108:$R$108)</f>
        <v>0</v>
      </c>
      <c r="U108" s="15">
        <f>$S$108+$T$108</f>
        <v>0</v>
      </c>
    </row>
    <row r="109" spans="1:21" x14ac:dyDescent="0.3">
      <c r="A109" s="10" t="s">
        <v>390</v>
      </c>
      <c r="B109" s="11" t="s">
        <v>387</v>
      </c>
      <c r="C109" s="11" t="s">
        <v>34</v>
      </c>
      <c r="D109" s="11" t="s">
        <v>391</v>
      </c>
      <c r="E109" s="11">
        <f xml:space="preserve"> IF($U$109,1,0)</f>
        <v>0</v>
      </c>
      <c r="F109" s="11" t="s">
        <v>392</v>
      </c>
      <c r="G109" s="11">
        <v>0</v>
      </c>
      <c r="H109" s="11">
        <v>0</v>
      </c>
      <c r="I109" s="11">
        <v>0</v>
      </c>
      <c r="J109" s="11">
        <v>0</v>
      </c>
      <c r="K109" s="11">
        <v>0</v>
      </c>
      <c r="L109" s="11">
        <v>0</v>
      </c>
      <c r="M109" s="11">
        <v>0</v>
      </c>
      <c r="N109" s="11">
        <v>0</v>
      </c>
      <c r="O109" s="11">
        <v>0</v>
      </c>
      <c r="P109" s="11">
        <v>0</v>
      </c>
      <c r="Q109" s="12"/>
      <c r="R109" s="12"/>
      <c r="S109" s="12">
        <f>$G$109*$G$8+$H$109*$H$8+$I$109*$I$8+$J$109*$J$8+$K$109*$K$8+$L$109*$L$8+$M$109*$M$8+$N$109*$N$8+$O$109*$O$8+$P$109*$P$8</f>
        <v>0</v>
      </c>
      <c r="T109" s="12">
        <f>SUM($Q$109:$R$109)</f>
        <v>0</v>
      </c>
      <c r="U109" s="12">
        <f>$S$109+$T$109</f>
        <v>0</v>
      </c>
    </row>
    <row r="110" spans="1:21" x14ac:dyDescent="0.3">
      <c r="A110" s="13" t="s">
        <v>393</v>
      </c>
      <c r="B110" s="14" t="s">
        <v>394</v>
      </c>
      <c r="C110" s="14"/>
      <c r="D110" s="14" t="s">
        <v>395</v>
      </c>
      <c r="E110" s="14">
        <f xml:space="preserve"> IF($U$110,1,0)</f>
        <v>0</v>
      </c>
      <c r="F110" s="14" t="s">
        <v>396</v>
      </c>
      <c r="G110" s="14">
        <v>0</v>
      </c>
      <c r="H110" s="14">
        <v>0</v>
      </c>
      <c r="I110" s="14">
        <v>0</v>
      </c>
      <c r="J110" s="14">
        <v>0</v>
      </c>
      <c r="K110" s="14">
        <v>0</v>
      </c>
      <c r="L110" s="14">
        <v>0</v>
      </c>
      <c r="M110" s="14">
        <v>0</v>
      </c>
      <c r="N110" s="14">
        <v>0</v>
      </c>
      <c r="O110" s="14">
        <v>0</v>
      </c>
      <c r="P110" s="14">
        <v>0</v>
      </c>
      <c r="Q110" s="15"/>
      <c r="R110" s="15"/>
      <c r="S110" s="15">
        <f>$G$110*$G$8+$H$110*$H$8+$I$110*$I$8+$J$110*$J$8+$K$110*$K$8+$L$110*$L$8+$M$110*$M$8+$N$110*$N$8+$O$110*$O$8+$P$110*$P$8</f>
        <v>0</v>
      </c>
      <c r="T110" s="15">
        <f>SUM($Q$110:$R$110)</f>
        <v>0</v>
      </c>
      <c r="U110" s="15">
        <f>$S$110+$T$110</f>
        <v>0</v>
      </c>
    </row>
    <row r="111" spans="1:21" x14ac:dyDescent="0.3">
      <c r="A111" s="10" t="s">
        <v>397</v>
      </c>
      <c r="B111" s="11" t="s">
        <v>398</v>
      </c>
      <c r="C111" s="11" t="s">
        <v>243</v>
      </c>
      <c r="D111" s="11" t="s">
        <v>399</v>
      </c>
      <c r="E111" s="11">
        <f xml:space="preserve"> IF($U$111,1,0)</f>
        <v>0</v>
      </c>
      <c r="F111" s="11" t="s">
        <v>400</v>
      </c>
      <c r="G111" s="11">
        <v>0</v>
      </c>
      <c r="H111" s="11">
        <v>0</v>
      </c>
      <c r="I111" s="11">
        <v>0</v>
      </c>
      <c r="J111" s="11">
        <v>0</v>
      </c>
      <c r="K111" s="11">
        <v>0</v>
      </c>
      <c r="L111" s="11">
        <v>0</v>
      </c>
      <c r="M111" s="11">
        <v>0</v>
      </c>
      <c r="N111" s="11">
        <v>0</v>
      </c>
      <c r="O111" s="11">
        <v>0</v>
      </c>
      <c r="P111" s="11">
        <v>0</v>
      </c>
      <c r="Q111" s="12"/>
      <c r="R111" s="12"/>
      <c r="S111" s="12">
        <f>$G$111*$G$8+$H$111*$H$8+$I$111*$I$8+$J$111*$J$8+$K$111*$K$8+$L$111*$L$8+$M$111*$M$8+$N$111*$N$8+$O$111*$O$8+$P$111*$P$8</f>
        <v>0</v>
      </c>
      <c r="T111" s="12">
        <f>SUM($Q$111:$R$111)</f>
        <v>0</v>
      </c>
      <c r="U111" s="12">
        <f>$S$111+$T$111</f>
        <v>0</v>
      </c>
    </row>
    <row r="112" spans="1:21" x14ac:dyDescent="0.3">
      <c r="A112" s="13" t="s">
        <v>401</v>
      </c>
      <c r="B112" s="14" t="s">
        <v>402</v>
      </c>
      <c r="C112" s="14"/>
      <c r="D112" s="14" t="s">
        <v>403</v>
      </c>
      <c r="E112" s="14">
        <f xml:space="preserve"> IF($U$112,1,0)</f>
        <v>0</v>
      </c>
      <c r="F112" s="14" t="s">
        <v>404</v>
      </c>
      <c r="G112" s="14">
        <v>0</v>
      </c>
      <c r="H112" s="14">
        <v>0</v>
      </c>
      <c r="I112" s="14">
        <v>0</v>
      </c>
      <c r="J112" s="14">
        <v>0</v>
      </c>
      <c r="K112" s="14">
        <v>0</v>
      </c>
      <c r="L112" s="14">
        <v>0</v>
      </c>
      <c r="M112" s="14">
        <v>0</v>
      </c>
      <c r="N112" s="14">
        <v>0</v>
      </c>
      <c r="O112" s="14">
        <v>0</v>
      </c>
      <c r="P112" s="14">
        <v>0</v>
      </c>
      <c r="Q112" s="15"/>
      <c r="R112" s="15"/>
      <c r="S112" s="15">
        <f>$G$112*$G$8+$H$112*$H$8+$I$112*$I$8+$J$112*$J$8+$K$112*$K$8+$L$112*$L$8+$M$112*$M$8+$N$112*$N$8+$O$112*$O$8+$P$112*$P$8</f>
        <v>0</v>
      </c>
      <c r="T112" s="15">
        <f>SUM($Q$112:$R$112)</f>
        <v>0</v>
      </c>
      <c r="U112" s="15">
        <f>$S$112+$T$112</f>
        <v>0</v>
      </c>
    </row>
    <row r="113" spans="1:21" x14ac:dyDescent="0.3">
      <c r="A113" s="10" t="s">
        <v>405</v>
      </c>
      <c r="B113" s="11" t="s">
        <v>406</v>
      </c>
      <c r="C113" s="11"/>
      <c r="D113" s="11" t="s">
        <v>407</v>
      </c>
      <c r="E113" s="11">
        <f xml:space="preserve"> IF($U$113,1,0)</f>
        <v>0</v>
      </c>
      <c r="F113" s="11" t="s">
        <v>408</v>
      </c>
      <c r="G113" s="11">
        <v>0</v>
      </c>
      <c r="H113" s="11">
        <v>0</v>
      </c>
      <c r="I113" s="11">
        <v>0</v>
      </c>
      <c r="J113" s="11">
        <v>0</v>
      </c>
      <c r="K113" s="11">
        <v>0</v>
      </c>
      <c r="L113" s="11">
        <v>0</v>
      </c>
      <c r="M113" s="11">
        <v>0</v>
      </c>
      <c r="N113" s="11">
        <v>0</v>
      </c>
      <c r="O113" s="11">
        <v>0</v>
      </c>
      <c r="P113" s="11">
        <v>0</v>
      </c>
      <c r="Q113" s="12"/>
      <c r="R113" s="12"/>
      <c r="S113" s="12">
        <f>$G$113*$G$8+$H$113*$H$8+$I$113*$I$8+$J$113*$J$8+$K$113*$K$8+$L$113*$L$8+$M$113*$M$8+$N$113*$N$8+$O$113*$O$8+$P$113*$P$8</f>
        <v>0</v>
      </c>
      <c r="T113" s="12">
        <f>SUM($Q$113:$R$113)</f>
        <v>0</v>
      </c>
      <c r="U113" s="12">
        <f>$S$113+$T$113</f>
        <v>0</v>
      </c>
    </row>
    <row r="114" spans="1:21" x14ac:dyDescent="0.3">
      <c r="A114" s="13" t="s">
        <v>409</v>
      </c>
      <c r="B114" s="14" t="s">
        <v>410</v>
      </c>
      <c r="C114" s="14"/>
      <c r="D114" s="14" t="s">
        <v>411</v>
      </c>
      <c r="E114" s="14">
        <f xml:space="preserve"> IF($U$114,1,0)</f>
        <v>0</v>
      </c>
      <c r="F114" s="14" t="s">
        <v>412</v>
      </c>
      <c r="G114" s="14">
        <v>0</v>
      </c>
      <c r="H114" s="14">
        <v>0</v>
      </c>
      <c r="I114" s="14">
        <v>0</v>
      </c>
      <c r="J114" s="14">
        <v>0</v>
      </c>
      <c r="K114" s="14">
        <v>0</v>
      </c>
      <c r="L114" s="14">
        <v>0</v>
      </c>
      <c r="M114" s="14">
        <v>0</v>
      </c>
      <c r="N114" s="14">
        <v>0</v>
      </c>
      <c r="O114" s="14">
        <v>0</v>
      </c>
      <c r="P114" s="14">
        <v>0</v>
      </c>
      <c r="Q114" s="15"/>
      <c r="R114" s="15"/>
      <c r="S114" s="15">
        <f>$G$114*$G$8+$H$114*$H$8+$I$114*$I$8+$J$114*$J$8+$K$114*$K$8+$L$114*$L$8+$M$114*$M$8+$N$114*$N$8+$O$114*$O$8+$P$114*$P$8</f>
        <v>0</v>
      </c>
      <c r="T114" s="15">
        <f>SUM($Q$114:$R$114)</f>
        <v>0</v>
      </c>
      <c r="U114" s="15">
        <f>$S$114+$T$114</f>
        <v>0</v>
      </c>
    </row>
    <row r="115" spans="1:21" x14ac:dyDescent="0.3">
      <c r="A115" s="10" t="s">
        <v>413</v>
      </c>
      <c r="B115" s="11" t="s">
        <v>414</v>
      </c>
      <c r="C115" s="11"/>
      <c r="D115" s="11" t="s">
        <v>415</v>
      </c>
      <c r="E115" s="11">
        <f xml:space="preserve"> IF($U$115,1,0)</f>
        <v>0</v>
      </c>
      <c r="F115" s="11" t="s">
        <v>416</v>
      </c>
      <c r="G115" s="11">
        <v>0</v>
      </c>
      <c r="H115" s="11">
        <v>0</v>
      </c>
      <c r="I115" s="11">
        <v>0</v>
      </c>
      <c r="J115" s="11">
        <v>0</v>
      </c>
      <c r="K115" s="11">
        <v>0</v>
      </c>
      <c r="L115" s="11">
        <v>0</v>
      </c>
      <c r="M115" s="11">
        <v>0</v>
      </c>
      <c r="N115" s="11">
        <v>0</v>
      </c>
      <c r="O115" s="11">
        <v>0</v>
      </c>
      <c r="P115" s="11">
        <v>0</v>
      </c>
      <c r="Q115" s="12"/>
      <c r="R115" s="12"/>
      <c r="S115" s="12">
        <f>$G$115*$G$8+$H$115*$H$8+$I$115*$I$8+$J$115*$J$8+$K$115*$K$8+$L$115*$L$8+$M$115*$M$8+$N$115*$N$8+$O$115*$O$8+$P$115*$P$8</f>
        <v>0</v>
      </c>
      <c r="T115" s="12">
        <f>SUM($Q$115:$R$115)</f>
        <v>0</v>
      </c>
      <c r="U115" s="12">
        <f>$S$115+$T$115</f>
        <v>0</v>
      </c>
    </row>
    <row r="116" spans="1:21" x14ac:dyDescent="0.3">
      <c r="A116" s="13" t="s">
        <v>417</v>
      </c>
      <c r="B116" s="14" t="s">
        <v>418</v>
      </c>
      <c r="C116" s="14"/>
      <c r="D116" s="14" t="s">
        <v>419</v>
      </c>
      <c r="E116" s="14">
        <f xml:space="preserve"> IF($U$116,1,0)</f>
        <v>0</v>
      </c>
      <c r="F116" s="14" t="s">
        <v>420</v>
      </c>
      <c r="G116" s="14">
        <v>0</v>
      </c>
      <c r="H116" s="14">
        <v>0</v>
      </c>
      <c r="I116" s="14">
        <v>0</v>
      </c>
      <c r="J116" s="14">
        <v>0</v>
      </c>
      <c r="K116" s="14">
        <v>0</v>
      </c>
      <c r="L116" s="14">
        <v>0</v>
      </c>
      <c r="M116" s="14">
        <v>0</v>
      </c>
      <c r="N116" s="14">
        <v>0</v>
      </c>
      <c r="O116" s="14">
        <v>0</v>
      </c>
      <c r="P116" s="14">
        <v>0</v>
      </c>
      <c r="Q116" s="15"/>
      <c r="R116" s="15"/>
      <c r="S116" s="15">
        <f>$G$116*$G$8+$H$116*$H$8+$I$116*$I$8+$J$116*$J$8+$K$116*$K$8+$L$116*$L$8+$M$116*$M$8+$N$116*$N$8+$O$116*$O$8+$P$116*$P$8</f>
        <v>0</v>
      </c>
      <c r="T116" s="15">
        <f>SUM($Q$116:$R$116)</f>
        <v>0</v>
      </c>
      <c r="U116" s="15">
        <f>$S$116+$T$116</f>
        <v>0</v>
      </c>
    </row>
    <row r="117" spans="1:21" x14ac:dyDescent="0.3">
      <c r="A117" s="10" t="s">
        <v>421</v>
      </c>
      <c r="B117" s="11" t="s">
        <v>422</v>
      </c>
      <c r="C117" s="11"/>
      <c r="D117" s="11" t="s">
        <v>423</v>
      </c>
      <c r="E117" s="11">
        <f xml:space="preserve"> IF($U$117,1,0)</f>
        <v>0</v>
      </c>
      <c r="F117" s="11" t="s">
        <v>424</v>
      </c>
      <c r="G117" s="11">
        <v>0</v>
      </c>
      <c r="H117" s="11">
        <v>0</v>
      </c>
      <c r="I117" s="11">
        <v>0</v>
      </c>
      <c r="J117" s="11">
        <v>0</v>
      </c>
      <c r="K117" s="11">
        <v>0</v>
      </c>
      <c r="L117" s="11">
        <v>0</v>
      </c>
      <c r="M117" s="11">
        <v>0</v>
      </c>
      <c r="N117" s="11">
        <v>0</v>
      </c>
      <c r="O117" s="11">
        <v>0</v>
      </c>
      <c r="P117" s="11">
        <v>0</v>
      </c>
      <c r="Q117" s="12"/>
      <c r="R117" s="12"/>
      <c r="S117" s="12">
        <f>$G$117*$G$8+$H$117*$H$8+$I$117*$I$8+$J$117*$J$8+$K$117*$K$8+$L$117*$L$8+$M$117*$M$8+$N$117*$N$8+$O$117*$O$8+$P$117*$P$8</f>
        <v>0</v>
      </c>
      <c r="T117" s="12">
        <f>SUM($Q$117:$R$117)</f>
        <v>0</v>
      </c>
      <c r="U117" s="12">
        <f>$S$117+$T$117</f>
        <v>0</v>
      </c>
    </row>
    <row r="118" spans="1:21" x14ac:dyDescent="0.3">
      <c r="A118" s="13" t="s">
        <v>425</v>
      </c>
      <c r="B118" s="14" t="s">
        <v>426</v>
      </c>
      <c r="C118" s="14" t="s">
        <v>34</v>
      </c>
      <c r="D118" s="14" t="s">
        <v>427</v>
      </c>
      <c r="E118" s="14">
        <f xml:space="preserve"> IF($U$118,1,0)</f>
        <v>0</v>
      </c>
      <c r="F118" s="14" t="s">
        <v>428</v>
      </c>
      <c r="G118" s="14">
        <v>0</v>
      </c>
      <c r="H118" s="14">
        <v>0</v>
      </c>
      <c r="I118" s="14">
        <v>0</v>
      </c>
      <c r="J118" s="14">
        <v>0</v>
      </c>
      <c r="K118" s="14">
        <v>0</v>
      </c>
      <c r="L118" s="14">
        <v>0</v>
      </c>
      <c r="M118" s="14">
        <v>0</v>
      </c>
      <c r="N118" s="14">
        <v>0</v>
      </c>
      <c r="O118" s="14">
        <v>0</v>
      </c>
      <c r="P118" s="14">
        <v>0</v>
      </c>
      <c r="Q118" s="15"/>
      <c r="R118" s="15"/>
      <c r="S118" s="15">
        <f>$G$118*$G$8+$H$118*$H$8+$I$118*$I$8+$J$118*$J$8+$K$118*$K$8+$L$118*$L$8+$M$118*$M$8+$N$118*$N$8+$O$118*$O$8+$P$118*$P$8</f>
        <v>0</v>
      </c>
      <c r="T118" s="15">
        <f>SUM($Q$118:$R$118)</f>
        <v>0</v>
      </c>
      <c r="U118" s="15">
        <f>$S$118+$T$118</f>
        <v>0</v>
      </c>
    </row>
    <row r="119" spans="1:21" x14ac:dyDescent="0.3">
      <c r="A119" s="10" t="s">
        <v>429</v>
      </c>
      <c r="B119" s="11" t="s">
        <v>430</v>
      </c>
      <c r="C119" s="11"/>
      <c r="D119" s="11" t="s">
        <v>431</v>
      </c>
      <c r="E119" s="11">
        <f xml:space="preserve"> IF($U$119,1,0)</f>
        <v>0</v>
      </c>
      <c r="F119" s="11" t="s">
        <v>432</v>
      </c>
      <c r="G119" s="11">
        <v>0</v>
      </c>
      <c r="H119" s="11">
        <v>0</v>
      </c>
      <c r="I119" s="11">
        <v>0</v>
      </c>
      <c r="J119" s="11">
        <v>0</v>
      </c>
      <c r="K119" s="11">
        <v>0</v>
      </c>
      <c r="L119" s="11">
        <v>0</v>
      </c>
      <c r="M119" s="11">
        <v>0</v>
      </c>
      <c r="N119" s="11">
        <v>0</v>
      </c>
      <c r="O119" s="11">
        <v>0</v>
      </c>
      <c r="P119" s="11">
        <v>0</v>
      </c>
      <c r="Q119" s="12"/>
      <c r="R119" s="12"/>
      <c r="S119" s="12">
        <f>$G$119*$G$8+$H$119*$H$8+$I$119*$I$8+$J$119*$J$8+$K$119*$K$8+$L$119*$L$8+$M$119*$M$8+$N$119*$N$8+$O$119*$O$8+$P$119*$P$8</f>
        <v>0</v>
      </c>
      <c r="T119" s="12">
        <f>SUM($Q$119:$R$119)</f>
        <v>0</v>
      </c>
      <c r="U119" s="12">
        <f>$S$119+$T$119</f>
        <v>0</v>
      </c>
    </row>
    <row r="120" spans="1:21" x14ac:dyDescent="0.3">
      <c r="A120" s="13" t="s">
        <v>1252</v>
      </c>
      <c r="B120" s="14" t="s">
        <v>1253</v>
      </c>
      <c r="C120" s="14"/>
      <c r="D120" s="14" t="s">
        <v>1254</v>
      </c>
      <c r="E120" s="14">
        <f xml:space="preserve"> IF($U$120,1,0)</f>
        <v>0</v>
      </c>
      <c r="F120" s="14" t="s">
        <v>1255</v>
      </c>
      <c r="G120" s="14">
        <v>0</v>
      </c>
      <c r="H120" s="14">
        <v>0</v>
      </c>
      <c r="I120" s="14">
        <v>0</v>
      </c>
      <c r="J120" s="14">
        <v>0</v>
      </c>
      <c r="K120" s="14">
        <v>0</v>
      </c>
      <c r="L120" s="14">
        <v>0</v>
      </c>
      <c r="M120" s="14">
        <v>0</v>
      </c>
      <c r="N120" s="14">
        <v>0</v>
      </c>
      <c r="O120" s="14">
        <v>0</v>
      </c>
      <c r="P120" s="14">
        <v>0</v>
      </c>
      <c r="Q120" s="15"/>
      <c r="R120" s="15"/>
      <c r="S120" s="15">
        <f>$G$120*$G$8+$H$120*$H$8+$I$120*$I$8+$J$120*$J$8+$K$120*$K$8+$L$120*$L$8+$M$120*$M$8+$N$120*$N$8+$O$120*$O$8+$P$120*$P$8</f>
        <v>0</v>
      </c>
      <c r="T120" s="15">
        <f>SUM($Q$120:$R$120)</f>
        <v>0</v>
      </c>
      <c r="U120" s="15">
        <f>$S$120+$T$120</f>
        <v>0</v>
      </c>
    </row>
    <row r="121" spans="1:21" x14ac:dyDescent="0.3">
      <c r="A121" s="10" t="s">
        <v>433</v>
      </c>
      <c r="B121" s="11" t="s">
        <v>434</v>
      </c>
      <c r="C121" s="11" t="s">
        <v>202</v>
      </c>
      <c r="D121" s="11" t="s">
        <v>435</v>
      </c>
      <c r="E121" s="11">
        <f xml:space="preserve"> IF($U$121,1,0)</f>
        <v>0</v>
      </c>
      <c r="F121" s="11" t="s">
        <v>436</v>
      </c>
      <c r="G121" s="11">
        <v>0</v>
      </c>
      <c r="H121" s="11">
        <v>0</v>
      </c>
      <c r="I121" s="11">
        <v>0</v>
      </c>
      <c r="J121" s="11">
        <v>0</v>
      </c>
      <c r="K121" s="11">
        <v>0</v>
      </c>
      <c r="L121" s="11">
        <v>0</v>
      </c>
      <c r="M121" s="11">
        <v>0</v>
      </c>
      <c r="N121" s="11">
        <v>0</v>
      </c>
      <c r="O121" s="11">
        <v>0</v>
      </c>
      <c r="P121" s="11">
        <v>0</v>
      </c>
      <c r="Q121" s="12"/>
      <c r="R121" s="12"/>
      <c r="S121" s="12">
        <f>$G$121*$G$8+$H$121*$H$8+$I$121*$I$8+$J$121*$J$8+$K$121*$K$8+$L$121*$L$8+$M$121*$M$8+$N$121*$N$8+$O$121*$O$8+$P$121*$P$8</f>
        <v>0</v>
      </c>
      <c r="T121" s="12">
        <f>SUM($Q$121:$R$121)</f>
        <v>0</v>
      </c>
      <c r="U121" s="12">
        <f>$S$121+$T$121</f>
        <v>0</v>
      </c>
    </row>
    <row r="122" spans="1:21" x14ac:dyDescent="0.3">
      <c r="A122" s="13" t="s">
        <v>437</v>
      </c>
      <c r="B122" s="14" t="s">
        <v>434</v>
      </c>
      <c r="C122" s="14"/>
      <c r="D122" s="14" t="s">
        <v>438</v>
      </c>
      <c r="E122" s="14">
        <f xml:space="preserve"> IF($U$122,1,0)</f>
        <v>0</v>
      </c>
      <c r="F122" s="14" t="s">
        <v>439</v>
      </c>
      <c r="G122" s="14">
        <v>0</v>
      </c>
      <c r="H122" s="14">
        <v>0</v>
      </c>
      <c r="I122" s="14">
        <v>0</v>
      </c>
      <c r="J122" s="14">
        <v>0</v>
      </c>
      <c r="K122" s="14">
        <v>0</v>
      </c>
      <c r="L122" s="14">
        <v>0</v>
      </c>
      <c r="M122" s="14">
        <v>0</v>
      </c>
      <c r="N122" s="14">
        <v>0</v>
      </c>
      <c r="O122" s="14">
        <v>0</v>
      </c>
      <c r="P122" s="14">
        <v>0</v>
      </c>
      <c r="Q122" s="15"/>
      <c r="R122" s="15"/>
      <c r="S122" s="15">
        <f>$G$122*$G$8+$H$122*$H$8+$I$122*$I$8+$J$122*$J$8+$K$122*$K$8+$L$122*$L$8+$M$122*$M$8+$N$122*$N$8+$O$122*$O$8+$P$122*$P$8</f>
        <v>0</v>
      </c>
      <c r="T122" s="15">
        <f>SUM($Q$122:$R$122)</f>
        <v>0</v>
      </c>
      <c r="U122" s="15">
        <f>$S$122+$T$122</f>
        <v>0</v>
      </c>
    </row>
    <row r="123" spans="1:21" x14ac:dyDescent="0.3">
      <c r="A123" s="10" t="s">
        <v>440</v>
      </c>
      <c r="B123" s="11" t="s">
        <v>441</v>
      </c>
      <c r="C123" s="11" t="s">
        <v>202</v>
      </c>
      <c r="D123" s="11" t="s">
        <v>442</v>
      </c>
      <c r="E123" s="11">
        <f xml:space="preserve"> IF($U$123,1,0)</f>
        <v>0</v>
      </c>
      <c r="F123" s="11" t="s">
        <v>443</v>
      </c>
      <c r="G123" s="11">
        <v>0</v>
      </c>
      <c r="H123" s="11">
        <v>0</v>
      </c>
      <c r="I123" s="11">
        <v>0</v>
      </c>
      <c r="J123" s="11">
        <v>0</v>
      </c>
      <c r="K123" s="11">
        <v>0</v>
      </c>
      <c r="L123" s="11">
        <v>0</v>
      </c>
      <c r="M123" s="11">
        <v>0</v>
      </c>
      <c r="N123" s="11">
        <v>0</v>
      </c>
      <c r="O123" s="11">
        <v>0</v>
      </c>
      <c r="P123" s="11">
        <v>0</v>
      </c>
      <c r="Q123" s="12"/>
      <c r="R123" s="12"/>
      <c r="S123" s="12">
        <f>$G$123*$G$8+$H$123*$H$8+$I$123*$I$8+$J$123*$J$8+$K$123*$K$8+$L$123*$L$8+$M$123*$M$8+$N$123*$N$8+$O$123*$O$8+$P$123*$P$8</f>
        <v>0</v>
      </c>
      <c r="T123" s="12">
        <f>SUM($Q$123:$R$123)</f>
        <v>0</v>
      </c>
      <c r="U123" s="12">
        <f>$S$123+$T$123</f>
        <v>0</v>
      </c>
    </row>
    <row r="124" spans="1:21" x14ac:dyDescent="0.3">
      <c r="A124" s="13" t="s">
        <v>444</v>
      </c>
      <c r="B124" s="14" t="s">
        <v>445</v>
      </c>
      <c r="C124" s="14"/>
      <c r="D124" s="14" t="s">
        <v>446</v>
      </c>
      <c r="E124" s="14">
        <f xml:space="preserve"> IF($U$124,1,0)</f>
        <v>0</v>
      </c>
      <c r="F124" s="14" t="s">
        <v>447</v>
      </c>
      <c r="G124" s="14">
        <v>0</v>
      </c>
      <c r="H124" s="14">
        <v>0</v>
      </c>
      <c r="I124" s="14">
        <v>0</v>
      </c>
      <c r="J124" s="14">
        <v>0</v>
      </c>
      <c r="K124" s="14">
        <v>0</v>
      </c>
      <c r="L124" s="14">
        <v>0</v>
      </c>
      <c r="M124" s="14">
        <v>0</v>
      </c>
      <c r="N124" s="14">
        <v>0</v>
      </c>
      <c r="O124" s="14">
        <v>0</v>
      </c>
      <c r="P124" s="14">
        <v>0</v>
      </c>
      <c r="Q124" s="15"/>
      <c r="R124" s="15"/>
      <c r="S124" s="15">
        <f>$G$124*$G$8+$H$124*$H$8+$I$124*$I$8+$J$124*$J$8+$K$124*$K$8+$L$124*$L$8+$M$124*$M$8+$N$124*$N$8+$O$124*$O$8+$P$124*$P$8</f>
        <v>0</v>
      </c>
      <c r="T124" s="15">
        <f>SUM($Q$124:$R$124)</f>
        <v>0</v>
      </c>
      <c r="U124" s="15">
        <f>$S$124+$T$124</f>
        <v>0</v>
      </c>
    </row>
    <row r="125" spans="1:21" x14ac:dyDescent="0.3">
      <c r="A125" s="10" t="s">
        <v>448</v>
      </c>
      <c r="B125" s="11" t="s">
        <v>449</v>
      </c>
      <c r="C125" s="11"/>
      <c r="D125" s="11" t="s">
        <v>450</v>
      </c>
      <c r="E125" s="11">
        <f xml:space="preserve"> IF($U$125,1,0)</f>
        <v>0</v>
      </c>
      <c r="F125" s="11" t="s">
        <v>451</v>
      </c>
      <c r="G125" s="11">
        <v>0</v>
      </c>
      <c r="H125" s="11">
        <v>0</v>
      </c>
      <c r="I125" s="11">
        <v>0</v>
      </c>
      <c r="J125" s="11">
        <v>0</v>
      </c>
      <c r="K125" s="11">
        <v>0</v>
      </c>
      <c r="L125" s="11">
        <v>0</v>
      </c>
      <c r="M125" s="11">
        <v>0</v>
      </c>
      <c r="N125" s="11">
        <v>0</v>
      </c>
      <c r="O125" s="11">
        <v>0</v>
      </c>
      <c r="P125" s="11">
        <v>0</v>
      </c>
      <c r="Q125" s="12"/>
      <c r="R125" s="12"/>
      <c r="S125" s="12">
        <f>$G$125*$G$8+$H$125*$H$8+$I$125*$I$8+$J$125*$J$8+$K$125*$K$8+$L$125*$L$8+$M$125*$M$8+$N$125*$N$8+$O$125*$O$8+$P$125*$P$8</f>
        <v>0</v>
      </c>
      <c r="T125" s="12">
        <f>SUM($Q$125:$R$125)</f>
        <v>0</v>
      </c>
      <c r="U125" s="12">
        <f>$S$125+$T$125</f>
        <v>0</v>
      </c>
    </row>
    <row r="126" spans="1:21" x14ac:dyDescent="0.3">
      <c r="A126" s="13" t="s">
        <v>452</v>
      </c>
      <c r="B126" s="14" t="s">
        <v>453</v>
      </c>
      <c r="C126" s="14"/>
      <c r="D126" s="14" t="s">
        <v>454</v>
      </c>
      <c r="E126" s="14">
        <f xml:space="preserve"> IF($U$126,1,0)</f>
        <v>0</v>
      </c>
      <c r="F126" s="14" t="s">
        <v>455</v>
      </c>
      <c r="G126" s="14">
        <v>0</v>
      </c>
      <c r="H126" s="14">
        <v>0</v>
      </c>
      <c r="I126" s="14">
        <v>0</v>
      </c>
      <c r="J126" s="14">
        <v>0</v>
      </c>
      <c r="K126" s="14">
        <v>0</v>
      </c>
      <c r="L126" s="14">
        <v>0</v>
      </c>
      <c r="M126" s="14">
        <v>0</v>
      </c>
      <c r="N126" s="14">
        <v>0</v>
      </c>
      <c r="O126" s="14">
        <v>0</v>
      </c>
      <c r="P126" s="14">
        <v>0</v>
      </c>
      <c r="Q126" s="15"/>
      <c r="R126" s="15"/>
      <c r="S126" s="15">
        <f>$G$126*$G$8+$H$126*$H$8+$I$126*$I$8+$J$126*$J$8+$K$126*$K$8+$L$126*$L$8+$M$126*$M$8+$N$126*$N$8+$O$126*$O$8+$P$126*$P$8</f>
        <v>0</v>
      </c>
      <c r="T126" s="15">
        <f>SUM($Q$126:$R$126)</f>
        <v>0</v>
      </c>
      <c r="U126" s="15">
        <f>$S$126+$T$126</f>
        <v>0</v>
      </c>
    </row>
    <row r="127" spans="1:21" x14ac:dyDescent="0.3">
      <c r="A127" s="10" t="s">
        <v>456</v>
      </c>
      <c r="B127" s="11" t="s">
        <v>457</v>
      </c>
      <c r="C127" s="11"/>
      <c r="D127" s="11" t="s">
        <v>458</v>
      </c>
      <c r="E127" s="11">
        <f xml:space="preserve"> IF($U$127,1,0)</f>
        <v>0</v>
      </c>
      <c r="F127" s="11" t="s">
        <v>459</v>
      </c>
      <c r="G127" s="11">
        <v>0</v>
      </c>
      <c r="H127" s="11">
        <v>0</v>
      </c>
      <c r="I127" s="11">
        <v>0</v>
      </c>
      <c r="J127" s="11">
        <v>0</v>
      </c>
      <c r="K127" s="11">
        <v>0</v>
      </c>
      <c r="L127" s="11">
        <v>0</v>
      </c>
      <c r="M127" s="11">
        <v>0</v>
      </c>
      <c r="N127" s="11">
        <v>0</v>
      </c>
      <c r="O127" s="11">
        <v>0</v>
      </c>
      <c r="P127" s="11">
        <v>0</v>
      </c>
      <c r="Q127" s="12"/>
      <c r="R127" s="12"/>
      <c r="S127" s="12">
        <f>$G$127*$G$8+$H$127*$H$8+$I$127*$I$8+$J$127*$J$8+$K$127*$K$8+$L$127*$L$8+$M$127*$M$8+$N$127*$N$8+$O$127*$O$8+$P$127*$P$8</f>
        <v>0</v>
      </c>
      <c r="T127" s="12">
        <f>SUM($Q$127:$R$127)</f>
        <v>0</v>
      </c>
      <c r="U127" s="12">
        <f>$S$127+$T$127</f>
        <v>0</v>
      </c>
    </row>
    <row r="128" spans="1:21" x14ac:dyDescent="0.3">
      <c r="A128" s="13" t="s">
        <v>460</v>
      </c>
      <c r="B128" s="14" t="s">
        <v>457</v>
      </c>
      <c r="C128" s="14"/>
      <c r="D128" s="14" t="s">
        <v>461</v>
      </c>
      <c r="E128" s="14">
        <f xml:space="preserve"> IF($U$128,1,0)</f>
        <v>0</v>
      </c>
      <c r="F128" s="14" t="s">
        <v>462</v>
      </c>
      <c r="G128" s="14">
        <v>0</v>
      </c>
      <c r="H128" s="14">
        <v>0</v>
      </c>
      <c r="I128" s="14">
        <v>0</v>
      </c>
      <c r="J128" s="14">
        <v>0</v>
      </c>
      <c r="K128" s="14">
        <v>0</v>
      </c>
      <c r="L128" s="14">
        <v>0</v>
      </c>
      <c r="M128" s="14">
        <v>0</v>
      </c>
      <c r="N128" s="14">
        <v>0</v>
      </c>
      <c r="O128" s="14">
        <v>0</v>
      </c>
      <c r="P128" s="14">
        <v>0</v>
      </c>
      <c r="Q128" s="15"/>
      <c r="R128" s="15"/>
      <c r="S128" s="15">
        <f>$G$128*$G$8+$H$128*$H$8+$I$128*$I$8+$J$128*$J$8+$K$128*$K$8+$L$128*$L$8+$M$128*$M$8+$N$128*$N$8+$O$128*$O$8+$P$128*$P$8</f>
        <v>0</v>
      </c>
      <c r="T128" s="15">
        <f>SUM($Q$128:$R$128)</f>
        <v>0</v>
      </c>
      <c r="U128" s="15">
        <f>$S$128+$T$128</f>
        <v>0</v>
      </c>
    </row>
    <row r="129" spans="1:21" x14ac:dyDescent="0.3">
      <c r="A129" s="10" t="s">
        <v>463</v>
      </c>
      <c r="B129" s="11" t="s">
        <v>457</v>
      </c>
      <c r="C129" s="11" t="s">
        <v>34</v>
      </c>
      <c r="D129" s="11" t="s">
        <v>464</v>
      </c>
      <c r="E129" s="11">
        <f xml:space="preserve"> IF($U$129,1,0)</f>
        <v>0</v>
      </c>
      <c r="F129" s="11" t="s">
        <v>465</v>
      </c>
      <c r="G129" s="11">
        <v>0</v>
      </c>
      <c r="H129" s="11">
        <v>0</v>
      </c>
      <c r="I129" s="11">
        <v>0</v>
      </c>
      <c r="J129" s="11">
        <v>0</v>
      </c>
      <c r="K129" s="11">
        <v>0</v>
      </c>
      <c r="L129" s="11">
        <v>0</v>
      </c>
      <c r="M129" s="11">
        <v>0</v>
      </c>
      <c r="N129" s="11">
        <v>0</v>
      </c>
      <c r="O129" s="11">
        <v>0</v>
      </c>
      <c r="P129" s="11">
        <v>0</v>
      </c>
      <c r="Q129" s="12"/>
      <c r="R129" s="12"/>
      <c r="S129" s="12">
        <f>$G$129*$G$8+$H$129*$H$8+$I$129*$I$8+$J$129*$J$8+$K$129*$K$8+$L$129*$L$8+$M$129*$M$8+$N$129*$N$8+$O$129*$O$8+$P$129*$P$8</f>
        <v>0</v>
      </c>
      <c r="T129" s="12">
        <f>SUM($Q$129:$R$129)</f>
        <v>0</v>
      </c>
      <c r="U129" s="12">
        <f>$S$129+$T$129</f>
        <v>0</v>
      </c>
    </row>
    <row r="130" spans="1:21" x14ac:dyDescent="0.3">
      <c r="A130" s="13" t="s">
        <v>466</v>
      </c>
      <c r="B130" s="14" t="s">
        <v>457</v>
      </c>
      <c r="C130" s="14"/>
      <c r="D130" s="14" t="s">
        <v>467</v>
      </c>
      <c r="E130" s="14">
        <f xml:space="preserve"> IF($U$130,1,0)</f>
        <v>0</v>
      </c>
      <c r="F130" s="14" t="s">
        <v>468</v>
      </c>
      <c r="G130" s="14">
        <v>0</v>
      </c>
      <c r="H130" s="14">
        <v>0</v>
      </c>
      <c r="I130" s="14">
        <v>0</v>
      </c>
      <c r="J130" s="14">
        <v>0</v>
      </c>
      <c r="K130" s="14">
        <v>0</v>
      </c>
      <c r="L130" s="14">
        <v>0</v>
      </c>
      <c r="M130" s="14">
        <v>0</v>
      </c>
      <c r="N130" s="14">
        <v>0</v>
      </c>
      <c r="O130" s="14">
        <v>0</v>
      </c>
      <c r="P130" s="14">
        <v>0</v>
      </c>
      <c r="Q130" s="15"/>
      <c r="R130" s="15"/>
      <c r="S130" s="15">
        <f>$G$130*$G$8+$H$130*$H$8+$I$130*$I$8+$J$130*$J$8+$K$130*$K$8+$L$130*$L$8+$M$130*$M$8+$N$130*$N$8+$O$130*$O$8+$P$130*$P$8</f>
        <v>0</v>
      </c>
      <c r="T130" s="15">
        <f>SUM($Q$130:$R$130)</f>
        <v>0</v>
      </c>
      <c r="U130" s="15">
        <f>$S$130+$T$130</f>
        <v>0</v>
      </c>
    </row>
    <row r="131" spans="1:21" x14ac:dyDescent="0.3">
      <c r="A131" s="10" t="s">
        <v>469</v>
      </c>
      <c r="B131" s="11" t="s">
        <v>470</v>
      </c>
      <c r="C131" s="11"/>
      <c r="D131" s="11" t="s">
        <v>471</v>
      </c>
      <c r="E131" s="11">
        <f xml:space="preserve"> IF($U$131,1,0)</f>
        <v>0</v>
      </c>
      <c r="F131" s="11" t="s">
        <v>472</v>
      </c>
      <c r="G131" s="11">
        <v>0</v>
      </c>
      <c r="H131" s="11">
        <v>0</v>
      </c>
      <c r="I131" s="11">
        <v>0</v>
      </c>
      <c r="J131" s="11">
        <v>0</v>
      </c>
      <c r="K131" s="11">
        <v>0</v>
      </c>
      <c r="L131" s="11">
        <v>0</v>
      </c>
      <c r="M131" s="11">
        <v>0</v>
      </c>
      <c r="N131" s="11">
        <v>0</v>
      </c>
      <c r="O131" s="11">
        <v>0</v>
      </c>
      <c r="P131" s="11">
        <v>0</v>
      </c>
      <c r="Q131" s="12"/>
      <c r="R131" s="12"/>
      <c r="S131" s="12">
        <f>$G$131*$G$8+$H$131*$H$8+$I$131*$I$8+$J$131*$J$8+$K$131*$K$8+$L$131*$L$8+$M$131*$M$8+$N$131*$N$8+$O$131*$O$8+$P$131*$P$8</f>
        <v>0</v>
      </c>
      <c r="T131" s="12">
        <f>SUM($Q$131:$R$131)</f>
        <v>0</v>
      </c>
      <c r="U131" s="12">
        <f>$S$131+$T$131</f>
        <v>0</v>
      </c>
    </row>
    <row r="132" spans="1:21" x14ac:dyDescent="0.3">
      <c r="A132" s="13" t="s">
        <v>473</v>
      </c>
      <c r="B132" s="14" t="s">
        <v>474</v>
      </c>
      <c r="C132" s="14"/>
      <c r="D132" s="14" t="s">
        <v>475</v>
      </c>
      <c r="E132" s="14">
        <f xml:space="preserve"> IF($U$132,1,0)</f>
        <v>0</v>
      </c>
      <c r="F132" s="14" t="s">
        <v>476</v>
      </c>
      <c r="G132" s="14">
        <v>0</v>
      </c>
      <c r="H132" s="14">
        <v>0</v>
      </c>
      <c r="I132" s="14">
        <v>0</v>
      </c>
      <c r="J132" s="14">
        <v>0</v>
      </c>
      <c r="K132" s="14">
        <v>0</v>
      </c>
      <c r="L132" s="14">
        <v>0</v>
      </c>
      <c r="M132" s="14">
        <v>0</v>
      </c>
      <c r="N132" s="14">
        <v>0</v>
      </c>
      <c r="O132" s="14">
        <v>0</v>
      </c>
      <c r="P132" s="14">
        <v>0</v>
      </c>
      <c r="Q132" s="15"/>
      <c r="R132" s="15"/>
      <c r="S132" s="15">
        <f>$G$132*$G$8+$H$132*$H$8+$I$132*$I$8+$J$132*$J$8+$K$132*$K$8+$L$132*$L$8+$M$132*$M$8+$N$132*$N$8+$O$132*$O$8+$P$132*$P$8</f>
        <v>0</v>
      </c>
      <c r="T132" s="15">
        <f>SUM($Q$132:$R$132)</f>
        <v>0</v>
      </c>
      <c r="U132" s="15">
        <f>$S$132+$T$132</f>
        <v>0</v>
      </c>
    </row>
    <row r="133" spans="1:21" x14ac:dyDescent="0.3">
      <c r="A133" s="10" t="s">
        <v>477</v>
      </c>
      <c r="B133" s="11" t="s">
        <v>478</v>
      </c>
      <c r="C133" s="11"/>
      <c r="D133" s="11" t="s">
        <v>479</v>
      </c>
      <c r="E133" s="11">
        <f xml:space="preserve"> IF($U$133,1,0)</f>
        <v>0</v>
      </c>
      <c r="F133" s="11" t="s">
        <v>480</v>
      </c>
      <c r="G133" s="11">
        <v>0</v>
      </c>
      <c r="H133" s="11">
        <v>0</v>
      </c>
      <c r="I133" s="11">
        <v>0</v>
      </c>
      <c r="J133" s="11">
        <v>0</v>
      </c>
      <c r="K133" s="11">
        <v>0</v>
      </c>
      <c r="L133" s="11">
        <v>0</v>
      </c>
      <c r="M133" s="11">
        <v>0</v>
      </c>
      <c r="N133" s="11">
        <v>0</v>
      </c>
      <c r="O133" s="11">
        <v>0</v>
      </c>
      <c r="P133" s="11">
        <v>0</v>
      </c>
      <c r="Q133" s="12"/>
      <c r="R133" s="12"/>
      <c r="S133" s="12">
        <f>$G$133*$G$8+$H$133*$H$8+$I$133*$I$8+$J$133*$J$8+$K$133*$K$8+$L$133*$L$8+$M$133*$M$8+$N$133*$N$8+$O$133*$O$8+$P$133*$P$8</f>
        <v>0</v>
      </c>
      <c r="T133" s="12">
        <f>SUM($Q$133:$R$133)</f>
        <v>0</v>
      </c>
      <c r="U133" s="12">
        <f>$S$133+$T$133</f>
        <v>0</v>
      </c>
    </row>
    <row r="134" spans="1:21" x14ac:dyDescent="0.3">
      <c r="A134" s="13" t="s">
        <v>481</v>
      </c>
      <c r="B134" s="14" t="s">
        <v>482</v>
      </c>
      <c r="C134" s="14"/>
      <c r="D134" s="14" t="s">
        <v>483</v>
      </c>
      <c r="E134" s="14">
        <f xml:space="preserve"> IF($U$134,1,0)</f>
        <v>1</v>
      </c>
      <c r="F134" s="14" t="s">
        <v>484</v>
      </c>
      <c r="G134" s="14">
        <v>0</v>
      </c>
      <c r="H134" s="14">
        <v>0</v>
      </c>
      <c r="I134" s="14">
        <v>1</v>
      </c>
      <c r="J134" s="14">
        <v>1</v>
      </c>
      <c r="K134" s="14">
        <v>1</v>
      </c>
      <c r="L134" s="14">
        <v>1</v>
      </c>
      <c r="M134" s="14">
        <v>0</v>
      </c>
      <c r="N134" s="14">
        <v>1</v>
      </c>
      <c r="O134" s="14">
        <v>1</v>
      </c>
      <c r="P134" s="14">
        <v>0</v>
      </c>
      <c r="Q134" s="15"/>
      <c r="R134" s="15"/>
      <c r="S134" s="15">
        <f>$G$134*$G$8+$H$134*$H$8+$I$134*$I$8+$J$134*$J$8+$K$134*$K$8+$L$134*$L$8+$M$134*$M$8+$N$134*$N$8+$O$134*$O$8+$P$134*$P$8</f>
        <v>16.25</v>
      </c>
      <c r="T134" s="15">
        <f>SUM($Q$134:$R$134)</f>
        <v>0</v>
      </c>
      <c r="U134" s="15">
        <f>$S$134+$T$134</f>
        <v>16.25</v>
      </c>
    </row>
    <row r="135" spans="1:21" x14ac:dyDescent="0.3">
      <c r="A135" s="10" t="s">
        <v>485</v>
      </c>
      <c r="B135" s="11" t="s">
        <v>486</v>
      </c>
      <c r="C135" s="11"/>
      <c r="D135" s="11" t="s">
        <v>487</v>
      </c>
      <c r="E135" s="11">
        <f xml:space="preserve"> IF($U$135,1,0)</f>
        <v>0</v>
      </c>
      <c r="F135" s="11" t="s">
        <v>488</v>
      </c>
      <c r="G135" s="11">
        <v>0</v>
      </c>
      <c r="H135" s="11">
        <v>0</v>
      </c>
      <c r="I135" s="11">
        <v>0</v>
      </c>
      <c r="J135" s="11">
        <v>0</v>
      </c>
      <c r="K135" s="11">
        <v>0</v>
      </c>
      <c r="L135" s="11">
        <v>0</v>
      </c>
      <c r="M135" s="11">
        <v>0</v>
      </c>
      <c r="N135" s="11">
        <v>0</v>
      </c>
      <c r="O135" s="11">
        <v>0</v>
      </c>
      <c r="P135" s="11">
        <v>0</v>
      </c>
      <c r="Q135" s="12"/>
      <c r="R135" s="12"/>
      <c r="S135" s="12">
        <f>$G$135*$G$8+$H$135*$H$8+$I$135*$I$8+$J$135*$J$8+$K$135*$K$8+$L$135*$L$8+$M$135*$M$8+$N$135*$N$8+$O$135*$O$8+$P$135*$P$8</f>
        <v>0</v>
      </c>
      <c r="T135" s="12">
        <f>SUM($Q$135:$R$135)</f>
        <v>0</v>
      </c>
      <c r="U135" s="12">
        <f>$S$135+$T$135</f>
        <v>0</v>
      </c>
    </row>
    <row r="136" spans="1:21" x14ac:dyDescent="0.3">
      <c r="A136" s="13" t="s">
        <v>489</v>
      </c>
      <c r="B136" s="14" t="s">
        <v>490</v>
      </c>
      <c r="C136" s="14"/>
      <c r="D136" s="14" t="s">
        <v>491</v>
      </c>
      <c r="E136" s="14">
        <f xml:space="preserve"> IF($U$136,1,0)</f>
        <v>0</v>
      </c>
      <c r="F136" s="14" t="s">
        <v>492</v>
      </c>
      <c r="G136" s="14">
        <v>0</v>
      </c>
      <c r="H136" s="14">
        <v>0</v>
      </c>
      <c r="I136" s="14">
        <v>0</v>
      </c>
      <c r="J136" s="14">
        <v>0</v>
      </c>
      <c r="K136" s="14">
        <v>0</v>
      </c>
      <c r="L136" s="14">
        <v>0</v>
      </c>
      <c r="M136" s="14">
        <v>0</v>
      </c>
      <c r="N136" s="14">
        <v>0</v>
      </c>
      <c r="O136" s="14">
        <v>0</v>
      </c>
      <c r="P136" s="14">
        <v>0</v>
      </c>
      <c r="Q136" s="15"/>
      <c r="R136" s="15"/>
      <c r="S136" s="15">
        <f>$G$136*$G$8+$H$136*$H$8+$I$136*$I$8+$J$136*$J$8+$K$136*$K$8+$L$136*$L$8+$M$136*$M$8+$N$136*$N$8+$O$136*$O$8+$P$136*$P$8</f>
        <v>0</v>
      </c>
      <c r="T136" s="15">
        <f>SUM($Q$136:$R$136)</f>
        <v>0</v>
      </c>
      <c r="U136" s="15">
        <f>$S$136+$T$136</f>
        <v>0</v>
      </c>
    </row>
    <row r="137" spans="1:21" x14ac:dyDescent="0.3">
      <c r="A137" s="10" t="s">
        <v>493</v>
      </c>
      <c r="B137" s="11" t="s">
        <v>494</v>
      </c>
      <c r="C137" s="11" t="s">
        <v>34</v>
      </c>
      <c r="D137" s="11" t="s">
        <v>495</v>
      </c>
      <c r="E137" s="11">
        <f xml:space="preserve"> IF($U$137,1,0)</f>
        <v>0</v>
      </c>
      <c r="F137" s="11" t="s">
        <v>496</v>
      </c>
      <c r="G137" s="11">
        <v>0</v>
      </c>
      <c r="H137" s="11">
        <v>0</v>
      </c>
      <c r="I137" s="11">
        <v>0</v>
      </c>
      <c r="J137" s="11">
        <v>0</v>
      </c>
      <c r="K137" s="11">
        <v>0</v>
      </c>
      <c r="L137" s="11">
        <v>0</v>
      </c>
      <c r="M137" s="11">
        <v>0</v>
      </c>
      <c r="N137" s="11">
        <v>0</v>
      </c>
      <c r="O137" s="11">
        <v>0</v>
      </c>
      <c r="P137" s="11">
        <v>0</v>
      </c>
      <c r="Q137" s="12"/>
      <c r="R137" s="12"/>
      <c r="S137" s="12">
        <f>$G$137*$G$8+$H$137*$H$8+$I$137*$I$8+$J$137*$J$8+$K$137*$K$8+$L$137*$L$8+$M$137*$M$8+$N$137*$N$8+$O$137*$O$8+$P$137*$P$8</f>
        <v>0</v>
      </c>
      <c r="T137" s="12">
        <f>SUM($Q$137:$R$137)</f>
        <v>0</v>
      </c>
      <c r="U137" s="12">
        <f>$S$137+$T$137</f>
        <v>0</v>
      </c>
    </row>
    <row r="138" spans="1:21" x14ac:dyDescent="0.3">
      <c r="A138" s="13" t="s">
        <v>497</v>
      </c>
      <c r="B138" s="14" t="s">
        <v>498</v>
      </c>
      <c r="C138" s="14"/>
      <c r="D138" s="14" t="s">
        <v>499</v>
      </c>
      <c r="E138" s="14">
        <f xml:space="preserve"> IF($U$138,1,0)</f>
        <v>0</v>
      </c>
      <c r="F138" s="14" t="s">
        <v>500</v>
      </c>
      <c r="G138" s="14">
        <v>0</v>
      </c>
      <c r="H138" s="14">
        <v>0</v>
      </c>
      <c r="I138" s="14">
        <v>0</v>
      </c>
      <c r="J138" s="14">
        <v>0</v>
      </c>
      <c r="K138" s="14">
        <v>0</v>
      </c>
      <c r="L138" s="14">
        <v>0</v>
      </c>
      <c r="M138" s="14">
        <v>0</v>
      </c>
      <c r="N138" s="14">
        <v>0</v>
      </c>
      <c r="O138" s="14">
        <v>0</v>
      </c>
      <c r="P138" s="14">
        <v>0</v>
      </c>
      <c r="Q138" s="15"/>
      <c r="R138" s="15"/>
      <c r="S138" s="15">
        <f>$G$138*$G$8+$H$138*$H$8+$I$138*$I$8+$J$138*$J$8+$K$138*$K$8+$L$138*$L$8+$M$138*$M$8+$N$138*$N$8+$O$138*$O$8+$P$138*$P$8</f>
        <v>0</v>
      </c>
      <c r="T138" s="15">
        <f>SUM($Q$138:$R$138)</f>
        <v>0</v>
      </c>
      <c r="U138" s="15">
        <f>$S$138+$T$138</f>
        <v>0</v>
      </c>
    </row>
    <row r="139" spans="1:21" x14ac:dyDescent="0.3">
      <c r="A139" s="10" t="s">
        <v>501</v>
      </c>
      <c r="B139" s="11" t="s">
        <v>502</v>
      </c>
      <c r="C139" s="11" t="s">
        <v>34</v>
      </c>
      <c r="D139" s="11" t="s">
        <v>503</v>
      </c>
      <c r="E139" s="11">
        <f xml:space="preserve"> IF($U$139,1,0)</f>
        <v>0</v>
      </c>
      <c r="F139" s="11" t="s">
        <v>504</v>
      </c>
      <c r="G139" s="11">
        <v>0</v>
      </c>
      <c r="H139" s="11">
        <v>0</v>
      </c>
      <c r="I139" s="11">
        <v>0</v>
      </c>
      <c r="J139" s="11">
        <v>0</v>
      </c>
      <c r="K139" s="11">
        <v>0</v>
      </c>
      <c r="L139" s="11">
        <v>0</v>
      </c>
      <c r="M139" s="11">
        <v>0</v>
      </c>
      <c r="N139" s="11">
        <v>0</v>
      </c>
      <c r="O139" s="11">
        <v>0</v>
      </c>
      <c r="P139" s="11">
        <v>0</v>
      </c>
      <c r="Q139" s="12"/>
      <c r="R139" s="12"/>
      <c r="S139" s="12">
        <f>$G$139*$G$8+$H$139*$H$8+$I$139*$I$8+$J$139*$J$8+$K$139*$K$8+$L$139*$L$8+$M$139*$M$8+$N$139*$N$8+$O$139*$O$8+$P$139*$P$8</f>
        <v>0</v>
      </c>
      <c r="T139" s="12">
        <f>SUM($Q$139:$R$139)</f>
        <v>0</v>
      </c>
      <c r="U139" s="12">
        <f>$S$139+$T$139</f>
        <v>0</v>
      </c>
    </row>
    <row r="140" spans="1:21" x14ac:dyDescent="0.3">
      <c r="A140" s="13" t="s">
        <v>505</v>
      </c>
      <c r="B140" s="14" t="s">
        <v>502</v>
      </c>
      <c r="C140" s="14"/>
      <c r="D140" s="14" t="s">
        <v>232</v>
      </c>
      <c r="E140" s="14">
        <f xml:space="preserve"> IF($U$140,1,0)</f>
        <v>0</v>
      </c>
      <c r="F140" s="14" t="s">
        <v>506</v>
      </c>
      <c r="G140" s="14">
        <v>0</v>
      </c>
      <c r="H140" s="14">
        <v>0</v>
      </c>
      <c r="I140" s="14">
        <v>0</v>
      </c>
      <c r="J140" s="14">
        <v>0</v>
      </c>
      <c r="K140" s="14">
        <v>0</v>
      </c>
      <c r="L140" s="14">
        <v>0</v>
      </c>
      <c r="M140" s="14">
        <v>0</v>
      </c>
      <c r="N140" s="14">
        <v>0</v>
      </c>
      <c r="O140" s="14">
        <v>0</v>
      </c>
      <c r="P140" s="14">
        <v>0</v>
      </c>
      <c r="Q140" s="15"/>
      <c r="R140" s="15"/>
      <c r="S140" s="15">
        <f>$G$140*$G$8+$H$140*$H$8+$I$140*$I$8+$J$140*$J$8+$K$140*$K$8+$L$140*$L$8+$M$140*$M$8+$N$140*$N$8+$O$140*$O$8+$P$140*$P$8</f>
        <v>0</v>
      </c>
      <c r="T140" s="15">
        <f>SUM($Q$140:$R$140)</f>
        <v>0</v>
      </c>
      <c r="U140" s="15">
        <f>$S$140+$T$140</f>
        <v>0</v>
      </c>
    </row>
    <row r="141" spans="1:21" x14ac:dyDescent="0.3">
      <c r="A141" s="10" t="s">
        <v>507</v>
      </c>
      <c r="B141" s="11" t="s">
        <v>508</v>
      </c>
      <c r="C141" s="11" t="s">
        <v>65</v>
      </c>
      <c r="D141" s="11" t="s">
        <v>509</v>
      </c>
      <c r="E141" s="11">
        <f xml:space="preserve"> IF($U$141,1,0)</f>
        <v>0</v>
      </c>
      <c r="F141" s="11" t="s">
        <v>510</v>
      </c>
      <c r="G141" s="11">
        <v>0</v>
      </c>
      <c r="H141" s="11">
        <v>0</v>
      </c>
      <c r="I141" s="11">
        <v>0</v>
      </c>
      <c r="J141" s="11">
        <v>0</v>
      </c>
      <c r="K141" s="11">
        <v>0</v>
      </c>
      <c r="L141" s="11">
        <v>0</v>
      </c>
      <c r="M141" s="11">
        <v>0</v>
      </c>
      <c r="N141" s="11">
        <v>0</v>
      </c>
      <c r="O141" s="11">
        <v>0</v>
      </c>
      <c r="P141" s="11">
        <v>0</v>
      </c>
      <c r="Q141" s="12"/>
      <c r="R141" s="12"/>
      <c r="S141" s="12">
        <f>$G$141*$G$8+$H$141*$H$8+$I$141*$I$8+$J$141*$J$8+$K$141*$K$8+$L$141*$L$8+$M$141*$M$8+$N$141*$N$8+$O$141*$O$8+$P$141*$P$8</f>
        <v>0</v>
      </c>
      <c r="T141" s="12">
        <f>SUM($Q$141:$R$141)</f>
        <v>0</v>
      </c>
      <c r="U141" s="12">
        <f>$S$141+$T$141</f>
        <v>0</v>
      </c>
    </row>
    <row r="142" spans="1:21" x14ac:dyDescent="0.3">
      <c r="A142" s="13" t="s">
        <v>511</v>
      </c>
      <c r="B142" s="14" t="s">
        <v>512</v>
      </c>
      <c r="C142" s="14" t="s">
        <v>513</v>
      </c>
      <c r="D142" s="14" t="s">
        <v>514</v>
      </c>
      <c r="E142" s="14">
        <f xml:space="preserve"> IF($U$142,1,0)</f>
        <v>0</v>
      </c>
      <c r="F142" s="14" t="s">
        <v>515</v>
      </c>
      <c r="G142" s="14">
        <v>0</v>
      </c>
      <c r="H142" s="14">
        <v>0</v>
      </c>
      <c r="I142" s="14">
        <v>0</v>
      </c>
      <c r="J142" s="14">
        <v>0</v>
      </c>
      <c r="K142" s="14">
        <v>0</v>
      </c>
      <c r="L142" s="14">
        <v>0</v>
      </c>
      <c r="M142" s="14">
        <v>0</v>
      </c>
      <c r="N142" s="14">
        <v>0</v>
      </c>
      <c r="O142" s="14">
        <v>0</v>
      </c>
      <c r="P142" s="14">
        <v>0</v>
      </c>
      <c r="Q142" s="15"/>
      <c r="R142" s="15"/>
      <c r="S142" s="15">
        <f>$G$142*$G$8+$H$142*$H$8+$I$142*$I$8+$J$142*$J$8+$K$142*$K$8+$L$142*$L$8+$M$142*$M$8+$N$142*$N$8+$O$142*$O$8+$P$142*$P$8</f>
        <v>0</v>
      </c>
      <c r="T142" s="15">
        <f>SUM($Q$142:$R$142)</f>
        <v>0</v>
      </c>
      <c r="U142" s="15">
        <f>$S$142+$T$142</f>
        <v>0</v>
      </c>
    </row>
    <row r="143" spans="1:21" x14ac:dyDescent="0.3">
      <c r="A143" s="10" t="s">
        <v>516</v>
      </c>
      <c r="B143" s="11" t="s">
        <v>517</v>
      </c>
      <c r="C143" s="11" t="s">
        <v>65</v>
      </c>
      <c r="D143" s="11" t="s">
        <v>518</v>
      </c>
      <c r="E143" s="11">
        <f xml:space="preserve"> IF($U$143,1,0)</f>
        <v>0</v>
      </c>
      <c r="F143" s="11" t="s">
        <v>519</v>
      </c>
      <c r="G143" s="11">
        <v>0</v>
      </c>
      <c r="H143" s="11">
        <v>0</v>
      </c>
      <c r="I143" s="11">
        <v>0</v>
      </c>
      <c r="J143" s="11">
        <v>0</v>
      </c>
      <c r="K143" s="11">
        <v>0</v>
      </c>
      <c r="L143" s="11">
        <v>0</v>
      </c>
      <c r="M143" s="11">
        <v>0</v>
      </c>
      <c r="N143" s="11">
        <v>0</v>
      </c>
      <c r="O143" s="11">
        <v>0</v>
      </c>
      <c r="P143" s="11">
        <v>0</v>
      </c>
      <c r="Q143" s="12"/>
      <c r="R143" s="12"/>
      <c r="S143" s="12">
        <f>$G$143*$G$8+$H$143*$H$8+$I$143*$I$8+$J$143*$J$8+$K$143*$K$8+$L$143*$L$8+$M$143*$M$8+$N$143*$N$8+$O$143*$O$8+$P$143*$P$8</f>
        <v>0</v>
      </c>
      <c r="T143" s="12">
        <f>SUM($Q$143:$R$143)</f>
        <v>0</v>
      </c>
      <c r="U143" s="12">
        <f>$S$143+$T$143</f>
        <v>0</v>
      </c>
    </row>
    <row r="144" spans="1:21" x14ac:dyDescent="0.3">
      <c r="A144" s="13" t="s">
        <v>520</v>
      </c>
      <c r="B144" s="14" t="s">
        <v>517</v>
      </c>
      <c r="C144" s="14"/>
      <c r="D144" s="14" t="s">
        <v>521</v>
      </c>
      <c r="E144" s="14">
        <f xml:space="preserve"> IF($U$144,1,0)</f>
        <v>0</v>
      </c>
      <c r="F144" s="14" t="s">
        <v>522</v>
      </c>
      <c r="G144" s="14">
        <v>0</v>
      </c>
      <c r="H144" s="14">
        <v>0</v>
      </c>
      <c r="I144" s="14">
        <v>0</v>
      </c>
      <c r="J144" s="14">
        <v>0</v>
      </c>
      <c r="K144" s="14">
        <v>0</v>
      </c>
      <c r="L144" s="14">
        <v>0</v>
      </c>
      <c r="M144" s="14">
        <v>0</v>
      </c>
      <c r="N144" s="14">
        <v>0</v>
      </c>
      <c r="O144" s="14">
        <v>0</v>
      </c>
      <c r="P144" s="14">
        <v>0</v>
      </c>
      <c r="Q144" s="15"/>
      <c r="R144" s="15"/>
      <c r="S144" s="15">
        <f>$G$144*$G$8+$H$144*$H$8+$I$144*$I$8+$J$144*$J$8+$K$144*$K$8+$L$144*$L$8+$M$144*$M$8+$N$144*$N$8+$O$144*$O$8+$P$144*$P$8</f>
        <v>0</v>
      </c>
      <c r="T144" s="15">
        <f>SUM($Q$144:$R$144)</f>
        <v>0</v>
      </c>
      <c r="U144" s="15">
        <f>$S$144+$T$144</f>
        <v>0</v>
      </c>
    </row>
    <row r="145" spans="1:21" x14ac:dyDescent="0.3">
      <c r="A145" s="10" t="s">
        <v>523</v>
      </c>
      <c r="B145" s="11" t="s">
        <v>524</v>
      </c>
      <c r="C145" s="11" t="s">
        <v>65</v>
      </c>
      <c r="D145" s="11" t="s">
        <v>327</v>
      </c>
      <c r="E145" s="11">
        <f xml:space="preserve"> IF($U$145,1,0)</f>
        <v>0</v>
      </c>
      <c r="F145" s="11" t="s">
        <v>525</v>
      </c>
      <c r="G145" s="11">
        <v>0</v>
      </c>
      <c r="H145" s="11">
        <v>0</v>
      </c>
      <c r="I145" s="11">
        <v>0</v>
      </c>
      <c r="J145" s="11">
        <v>0</v>
      </c>
      <c r="K145" s="11">
        <v>0</v>
      </c>
      <c r="L145" s="11">
        <v>0</v>
      </c>
      <c r="M145" s="11">
        <v>0</v>
      </c>
      <c r="N145" s="11">
        <v>0</v>
      </c>
      <c r="O145" s="11">
        <v>0</v>
      </c>
      <c r="P145" s="11">
        <v>0</v>
      </c>
      <c r="Q145" s="12"/>
      <c r="R145" s="12"/>
      <c r="S145" s="12">
        <f>$G$145*$G$8+$H$145*$H$8+$I$145*$I$8+$J$145*$J$8+$K$145*$K$8+$L$145*$L$8+$M$145*$M$8+$N$145*$N$8+$O$145*$O$8+$P$145*$P$8</f>
        <v>0</v>
      </c>
      <c r="T145" s="12">
        <f>SUM($Q$145:$R$145)</f>
        <v>0</v>
      </c>
      <c r="U145" s="12">
        <f>$S$145+$T$145</f>
        <v>0</v>
      </c>
    </row>
    <row r="146" spans="1:21" x14ac:dyDescent="0.3">
      <c r="A146" s="13" t="s">
        <v>526</v>
      </c>
      <c r="B146" s="14" t="s">
        <v>527</v>
      </c>
      <c r="C146" s="14"/>
      <c r="D146" s="14" t="s">
        <v>528</v>
      </c>
      <c r="E146" s="14">
        <f xml:space="preserve"> IF($U$146,1,0)</f>
        <v>0</v>
      </c>
      <c r="F146" s="14" t="s">
        <v>529</v>
      </c>
      <c r="G146" s="14">
        <v>0</v>
      </c>
      <c r="H146" s="14">
        <v>0</v>
      </c>
      <c r="I146" s="14">
        <v>0</v>
      </c>
      <c r="J146" s="14">
        <v>0</v>
      </c>
      <c r="K146" s="14">
        <v>0</v>
      </c>
      <c r="L146" s="14">
        <v>0</v>
      </c>
      <c r="M146" s="14">
        <v>0</v>
      </c>
      <c r="N146" s="14">
        <v>0</v>
      </c>
      <c r="O146" s="14">
        <v>0</v>
      </c>
      <c r="P146" s="14">
        <v>0</v>
      </c>
      <c r="Q146" s="15"/>
      <c r="R146" s="15"/>
      <c r="S146" s="15">
        <f>$G$146*$G$8+$H$146*$H$8+$I$146*$I$8+$J$146*$J$8+$K$146*$K$8+$L$146*$L$8+$M$146*$M$8+$N$146*$N$8+$O$146*$O$8+$P$146*$P$8</f>
        <v>0</v>
      </c>
      <c r="T146" s="15">
        <f>SUM($Q$146:$R$146)</f>
        <v>0</v>
      </c>
      <c r="U146" s="15">
        <f>$S$146+$T$146</f>
        <v>0</v>
      </c>
    </row>
    <row r="147" spans="1:21" x14ac:dyDescent="0.3">
      <c r="A147" s="10" t="s">
        <v>530</v>
      </c>
      <c r="B147" s="11" t="s">
        <v>531</v>
      </c>
      <c r="C147" s="11"/>
      <c r="D147" s="11" t="s">
        <v>532</v>
      </c>
      <c r="E147" s="11">
        <f xml:space="preserve"> IF($U$147,1,0)</f>
        <v>0</v>
      </c>
      <c r="F147" s="11" t="s">
        <v>533</v>
      </c>
      <c r="G147" s="11">
        <v>0</v>
      </c>
      <c r="H147" s="11">
        <v>0</v>
      </c>
      <c r="I147" s="11">
        <v>0</v>
      </c>
      <c r="J147" s="11">
        <v>0</v>
      </c>
      <c r="K147" s="11">
        <v>0</v>
      </c>
      <c r="L147" s="11">
        <v>0</v>
      </c>
      <c r="M147" s="11">
        <v>0</v>
      </c>
      <c r="N147" s="11">
        <v>0</v>
      </c>
      <c r="O147" s="11">
        <v>0</v>
      </c>
      <c r="P147" s="11">
        <v>0</v>
      </c>
      <c r="Q147" s="12"/>
      <c r="R147" s="12"/>
      <c r="S147" s="12">
        <f>$G$147*$G$8+$H$147*$H$8+$I$147*$I$8+$J$147*$J$8+$K$147*$K$8+$L$147*$L$8+$M$147*$M$8+$N$147*$N$8+$O$147*$O$8+$P$147*$P$8</f>
        <v>0</v>
      </c>
      <c r="T147" s="12">
        <f>SUM($Q$147:$R$147)</f>
        <v>0</v>
      </c>
      <c r="U147" s="12">
        <f>$S$147+$T$147</f>
        <v>0</v>
      </c>
    </row>
    <row r="148" spans="1:21" x14ac:dyDescent="0.3">
      <c r="A148" s="13" t="s">
        <v>534</v>
      </c>
      <c r="B148" s="14" t="s">
        <v>535</v>
      </c>
      <c r="C148" s="14"/>
      <c r="D148" s="14" t="s">
        <v>536</v>
      </c>
      <c r="E148" s="14">
        <f xml:space="preserve"> IF($U$148,1,0)</f>
        <v>0</v>
      </c>
      <c r="F148" s="14" t="s">
        <v>537</v>
      </c>
      <c r="G148" s="14">
        <v>0</v>
      </c>
      <c r="H148" s="14">
        <v>0</v>
      </c>
      <c r="I148" s="14">
        <v>0</v>
      </c>
      <c r="J148" s="14">
        <v>0</v>
      </c>
      <c r="K148" s="14">
        <v>0</v>
      </c>
      <c r="L148" s="14">
        <v>0</v>
      </c>
      <c r="M148" s="14">
        <v>0</v>
      </c>
      <c r="N148" s="14">
        <v>0</v>
      </c>
      <c r="O148" s="14">
        <v>0</v>
      </c>
      <c r="P148" s="14">
        <v>0</v>
      </c>
      <c r="Q148" s="15"/>
      <c r="R148" s="15"/>
      <c r="S148" s="15">
        <f>$G$148*$G$8+$H$148*$H$8+$I$148*$I$8+$J$148*$J$8+$K$148*$K$8+$L$148*$L$8+$M$148*$M$8+$N$148*$N$8+$O$148*$O$8+$P$148*$P$8</f>
        <v>0</v>
      </c>
      <c r="T148" s="15">
        <f>SUM($Q$148:$R$148)</f>
        <v>0</v>
      </c>
      <c r="U148" s="15">
        <f>$S$148+$T$148</f>
        <v>0</v>
      </c>
    </row>
    <row r="149" spans="1:21" x14ac:dyDescent="0.3">
      <c r="A149" s="10" t="s">
        <v>538</v>
      </c>
      <c r="B149" s="11" t="s">
        <v>535</v>
      </c>
      <c r="C149" s="11"/>
      <c r="D149" s="11" t="s">
        <v>539</v>
      </c>
      <c r="E149" s="11">
        <f xml:space="preserve"> IF($U$149,1,0)</f>
        <v>0</v>
      </c>
      <c r="F149" s="11" t="s">
        <v>540</v>
      </c>
      <c r="G149" s="11">
        <v>0</v>
      </c>
      <c r="H149" s="11">
        <v>0</v>
      </c>
      <c r="I149" s="11">
        <v>0</v>
      </c>
      <c r="J149" s="11">
        <v>0</v>
      </c>
      <c r="K149" s="11">
        <v>0</v>
      </c>
      <c r="L149" s="11">
        <v>0</v>
      </c>
      <c r="M149" s="11">
        <v>0</v>
      </c>
      <c r="N149" s="11">
        <v>0</v>
      </c>
      <c r="O149" s="11">
        <v>0</v>
      </c>
      <c r="P149" s="11">
        <v>0</v>
      </c>
      <c r="Q149" s="12"/>
      <c r="R149" s="12"/>
      <c r="S149" s="12">
        <f>$G$149*$G$8+$H$149*$H$8+$I$149*$I$8+$J$149*$J$8+$K$149*$K$8+$L$149*$L$8+$M$149*$M$8+$N$149*$N$8+$O$149*$O$8+$P$149*$P$8</f>
        <v>0</v>
      </c>
      <c r="T149" s="12">
        <f>SUM($Q$149:$R$149)</f>
        <v>0</v>
      </c>
      <c r="U149" s="12">
        <f>$S$149+$T$149</f>
        <v>0</v>
      </c>
    </row>
    <row r="150" spans="1:21" x14ac:dyDescent="0.3">
      <c r="A150" s="13" t="s">
        <v>541</v>
      </c>
      <c r="B150" s="14" t="s">
        <v>542</v>
      </c>
      <c r="C150" s="14"/>
      <c r="D150" s="14" t="s">
        <v>543</v>
      </c>
      <c r="E150" s="14">
        <f xml:space="preserve"> IF($U$150,1,0)</f>
        <v>0</v>
      </c>
      <c r="F150" s="14" t="s">
        <v>544</v>
      </c>
      <c r="G150" s="14">
        <v>0</v>
      </c>
      <c r="H150" s="14">
        <v>0</v>
      </c>
      <c r="I150" s="14">
        <v>0</v>
      </c>
      <c r="J150" s="14">
        <v>0</v>
      </c>
      <c r="K150" s="14">
        <v>0</v>
      </c>
      <c r="L150" s="14">
        <v>0</v>
      </c>
      <c r="M150" s="14">
        <v>0</v>
      </c>
      <c r="N150" s="14">
        <v>0</v>
      </c>
      <c r="O150" s="14">
        <v>0</v>
      </c>
      <c r="P150" s="14">
        <v>0</v>
      </c>
      <c r="Q150" s="15"/>
      <c r="R150" s="15"/>
      <c r="S150" s="15">
        <f>$G$150*$G$8+$H$150*$H$8+$I$150*$I$8+$J$150*$J$8+$K$150*$K$8+$L$150*$L$8+$M$150*$M$8+$N$150*$N$8+$O$150*$O$8+$P$150*$P$8</f>
        <v>0</v>
      </c>
      <c r="T150" s="15">
        <f>SUM($Q$150:$R$150)</f>
        <v>0</v>
      </c>
      <c r="U150" s="15">
        <f>$S$150+$T$150</f>
        <v>0</v>
      </c>
    </row>
    <row r="151" spans="1:21" x14ac:dyDescent="0.3">
      <c r="A151" s="10" t="s">
        <v>545</v>
      </c>
      <c r="B151" s="11" t="s">
        <v>546</v>
      </c>
      <c r="C151" s="11"/>
      <c r="D151" s="11" t="s">
        <v>547</v>
      </c>
      <c r="E151" s="11">
        <f xml:space="preserve"> IF($U$151,1,0)</f>
        <v>0</v>
      </c>
      <c r="F151" s="11" t="s">
        <v>548</v>
      </c>
      <c r="G151" s="11">
        <v>0</v>
      </c>
      <c r="H151" s="11">
        <v>0</v>
      </c>
      <c r="I151" s="11">
        <v>0</v>
      </c>
      <c r="J151" s="11">
        <v>0</v>
      </c>
      <c r="K151" s="11">
        <v>0</v>
      </c>
      <c r="L151" s="11">
        <v>0</v>
      </c>
      <c r="M151" s="11">
        <v>0</v>
      </c>
      <c r="N151" s="11">
        <v>0</v>
      </c>
      <c r="O151" s="11">
        <v>0</v>
      </c>
      <c r="P151" s="11">
        <v>0</v>
      </c>
      <c r="Q151" s="12"/>
      <c r="R151" s="12"/>
      <c r="S151" s="12">
        <f>$G$151*$G$8+$H$151*$H$8+$I$151*$I$8+$J$151*$J$8+$K$151*$K$8+$L$151*$L$8+$M$151*$M$8+$N$151*$N$8+$O$151*$O$8+$P$151*$P$8</f>
        <v>0</v>
      </c>
      <c r="T151" s="12">
        <f>SUM($Q$151:$R$151)</f>
        <v>0</v>
      </c>
      <c r="U151" s="12">
        <f>$S$151+$T$151</f>
        <v>0</v>
      </c>
    </row>
    <row r="152" spans="1:21" x14ac:dyDescent="0.3">
      <c r="A152" s="13" t="s">
        <v>549</v>
      </c>
      <c r="B152" s="14" t="s">
        <v>550</v>
      </c>
      <c r="C152" s="14" t="s">
        <v>34</v>
      </c>
      <c r="D152" s="14" t="s">
        <v>551</v>
      </c>
      <c r="E152" s="14">
        <f xml:space="preserve"> IF($U$152,1,0)</f>
        <v>0</v>
      </c>
      <c r="F152" s="14" t="s">
        <v>552</v>
      </c>
      <c r="G152" s="14">
        <v>0</v>
      </c>
      <c r="H152" s="14">
        <v>0</v>
      </c>
      <c r="I152" s="14">
        <v>0</v>
      </c>
      <c r="J152" s="14">
        <v>0</v>
      </c>
      <c r="K152" s="14">
        <v>0</v>
      </c>
      <c r="L152" s="14">
        <v>0</v>
      </c>
      <c r="M152" s="14">
        <v>0</v>
      </c>
      <c r="N152" s="14">
        <v>0</v>
      </c>
      <c r="O152" s="14">
        <v>0</v>
      </c>
      <c r="P152" s="14">
        <v>0</v>
      </c>
      <c r="Q152" s="15"/>
      <c r="R152" s="15"/>
      <c r="S152" s="15">
        <f>$G$152*$G$8+$H$152*$H$8+$I$152*$I$8+$J$152*$J$8+$K$152*$K$8+$L$152*$L$8+$M$152*$M$8+$N$152*$N$8+$O$152*$O$8+$P$152*$P$8</f>
        <v>0</v>
      </c>
      <c r="T152" s="15">
        <f>SUM($Q$152:$R$152)</f>
        <v>0</v>
      </c>
      <c r="U152" s="15">
        <f>$S$152+$T$152</f>
        <v>0</v>
      </c>
    </row>
    <row r="153" spans="1:21" x14ac:dyDescent="0.3">
      <c r="A153" s="10" t="s">
        <v>553</v>
      </c>
      <c r="B153" s="11" t="s">
        <v>554</v>
      </c>
      <c r="C153" s="11"/>
      <c r="D153" s="11" t="s">
        <v>555</v>
      </c>
      <c r="E153" s="11">
        <f xml:space="preserve"> IF($U$153,1,0)</f>
        <v>0</v>
      </c>
      <c r="F153" s="11" t="s">
        <v>556</v>
      </c>
      <c r="G153" s="11">
        <v>0</v>
      </c>
      <c r="H153" s="11">
        <v>0</v>
      </c>
      <c r="I153" s="11">
        <v>0</v>
      </c>
      <c r="J153" s="11">
        <v>0</v>
      </c>
      <c r="K153" s="11">
        <v>0</v>
      </c>
      <c r="L153" s="11">
        <v>0</v>
      </c>
      <c r="M153" s="11">
        <v>0</v>
      </c>
      <c r="N153" s="11">
        <v>0</v>
      </c>
      <c r="O153" s="11">
        <v>0</v>
      </c>
      <c r="P153" s="11">
        <v>0</v>
      </c>
      <c r="Q153" s="12"/>
      <c r="R153" s="12"/>
      <c r="S153" s="12">
        <f>$G$153*$G$8+$H$153*$H$8+$I$153*$I$8+$J$153*$J$8+$K$153*$K$8+$L$153*$L$8+$M$153*$M$8+$N$153*$N$8+$O$153*$O$8+$P$153*$P$8</f>
        <v>0</v>
      </c>
      <c r="T153" s="12">
        <f>SUM($Q$153:$R$153)</f>
        <v>0</v>
      </c>
      <c r="U153" s="12">
        <f>$S$153+$T$153</f>
        <v>0</v>
      </c>
    </row>
    <row r="154" spans="1:21" x14ac:dyDescent="0.3">
      <c r="A154" s="13" t="s">
        <v>557</v>
      </c>
      <c r="B154" s="14" t="s">
        <v>554</v>
      </c>
      <c r="C154" s="14"/>
      <c r="D154" s="14" t="s">
        <v>558</v>
      </c>
      <c r="E154" s="14">
        <f xml:space="preserve"> IF($U$154,1,0)</f>
        <v>0</v>
      </c>
      <c r="F154" s="14" t="s">
        <v>559</v>
      </c>
      <c r="G154" s="14">
        <v>0</v>
      </c>
      <c r="H154" s="14">
        <v>0</v>
      </c>
      <c r="I154" s="14">
        <v>0</v>
      </c>
      <c r="J154" s="14">
        <v>0</v>
      </c>
      <c r="K154" s="14">
        <v>0</v>
      </c>
      <c r="L154" s="14">
        <v>0</v>
      </c>
      <c r="M154" s="14">
        <v>0</v>
      </c>
      <c r="N154" s="14">
        <v>0</v>
      </c>
      <c r="O154" s="14">
        <v>0</v>
      </c>
      <c r="P154" s="14">
        <v>0</v>
      </c>
      <c r="Q154" s="15"/>
      <c r="R154" s="15"/>
      <c r="S154" s="15">
        <f>$G$154*$G$8+$H$154*$H$8+$I$154*$I$8+$J$154*$J$8+$K$154*$K$8+$L$154*$L$8+$M$154*$M$8+$N$154*$N$8+$O$154*$O$8+$P$154*$P$8</f>
        <v>0</v>
      </c>
      <c r="T154" s="15">
        <f>SUM($Q$154:$R$154)</f>
        <v>0</v>
      </c>
      <c r="U154" s="15">
        <f>$S$154+$T$154</f>
        <v>0</v>
      </c>
    </row>
    <row r="155" spans="1:21" x14ac:dyDescent="0.3">
      <c r="A155" s="10" t="s">
        <v>560</v>
      </c>
      <c r="B155" s="11" t="s">
        <v>561</v>
      </c>
      <c r="C155" s="11"/>
      <c r="D155" s="11" t="s">
        <v>562</v>
      </c>
      <c r="E155" s="11">
        <f xml:space="preserve"> IF($U$155,1,0)</f>
        <v>0</v>
      </c>
      <c r="F155" s="11" t="s">
        <v>563</v>
      </c>
      <c r="G155" s="11">
        <v>0</v>
      </c>
      <c r="H155" s="11">
        <v>0</v>
      </c>
      <c r="I155" s="11">
        <v>0</v>
      </c>
      <c r="J155" s="11">
        <v>0</v>
      </c>
      <c r="K155" s="11">
        <v>0</v>
      </c>
      <c r="L155" s="11">
        <v>0</v>
      </c>
      <c r="M155" s="11">
        <v>0</v>
      </c>
      <c r="N155" s="11">
        <v>0</v>
      </c>
      <c r="O155" s="11">
        <v>0</v>
      </c>
      <c r="P155" s="11">
        <v>0</v>
      </c>
      <c r="Q155" s="12"/>
      <c r="R155" s="12"/>
      <c r="S155" s="12">
        <f>$G$155*$G$8+$H$155*$H$8+$I$155*$I$8+$J$155*$J$8+$K$155*$K$8+$L$155*$L$8+$M$155*$M$8+$N$155*$N$8+$O$155*$O$8+$P$155*$P$8</f>
        <v>0</v>
      </c>
      <c r="T155" s="12">
        <f>SUM($Q$155:$R$155)</f>
        <v>0</v>
      </c>
      <c r="U155" s="12">
        <f>$S$155+$T$155</f>
        <v>0</v>
      </c>
    </row>
    <row r="156" spans="1:21" x14ac:dyDescent="0.3">
      <c r="A156" s="13" t="s">
        <v>564</v>
      </c>
      <c r="B156" s="14" t="s">
        <v>565</v>
      </c>
      <c r="C156" s="14"/>
      <c r="D156" s="14" t="s">
        <v>566</v>
      </c>
      <c r="E156" s="14">
        <f xml:space="preserve"> IF($U$156,1,0)</f>
        <v>0</v>
      </c>
      <c r="F156" s="14" t="s">
        <v>567</v>
      </c>
      <c r="G156" s="14">
        <v>0</v>
      </c>
      <c r="H156" s="14">
        <v>0</v>
      </c>
      <c r="I156" s="14">
        <v>0</v>
      </c>
      <c r="J156" s="14">
        <v>0</v>
      </c>
      <c r="K156" s="14">
        <v>0</v>
      </c>
      <c r="L156" s="14">
        <v>0</v>
      </c>
      <c r="M156" s="14">
        <v>0</v>
      </c>
      <c r="N156" s="14">
        <v>0</v>
      </c>
      <c r="O156" s="14">
        <v>0</v>
      </c>
      <c r="P156" s="14">
        <v>0</v>
      </c>
      <c r="Q156" s="15"/>
      <c r="R156" s="15"/>
      <c r="S156" s="15">
        <f>$G$156*$G$8+$H$156*$H$8+$I$156*$I$8+$J$156*$J$8+$K$156*$K$8+$L$156*$L$8+$M$156*$M$8+$N$156*$N$8+$O$156*$O$8+$P$156*$P$8</f>
        <v>0</v>
      </c>
      <c r="T156" s="15">
        <f>SUM($Q$156:$R$156)</f>
        <v>0</v>
      </c>
      <c r="U156" s="15">
        <f>$S$156+$T$156</f>
        <v>0</v>
      </c>
    </row>
    <row r="157" spans="1:21" x14ac:dyDescent="0.3">
      <c r="A157" s="10" t="s">
        <v>568</v>
      </c>
      <c r="B157" s="11" t="s">
        <v>569</v>
      </c>
      <c r="C157" s="11"/>
      <c r="D157" s="11" t="s">
        <v>570</v>
      </c>
      <c r="E157" s="11">
        <f xml:space="preserve"> IF($U$157,1,0)</f>
        <v>0</v>
      </c>
      <c r="F157" s="11" t="s">
        <v>571</v>
      </c>
      <c r="G157" s="11">
        <v>0</v>
      </c>
      <c r="H157" s="11">
        <v>0</v>
      </c>
      <c r="I157" s="11">
        <v>0</v>
      </c>
      <c r="J157" s="11">
        <v>0</v>
      </c>
      <c r="K157" s="11">
        <v>0</v>
      </c>
      <c r="L157" s="11">
        <v>0</v>
      </c>
      <c r="M157" s="11">
        <v>0</v>
      </c>
      <c r="N157" s="11">
        <v>0</v>
      </c>
      <c r="O157" s="11">
        <v>0</v>
      </c>
      <c r="P157" s="11">
        <v>0</v>
      </c>
      <c r="Q157" s="12"/>
      <c r="R157" s="12"/>
      <c r="S157" s="12">
        <f>$G$157*$G$8+$H$157*$H$8+$I$157*$I$8+$J$157*$J$8+$K$157*$K$8+$L$157*$L$8+$M$157*$M$8+$N$157*$N$8+$O$157*$O$8+$P$157*$P$8</f>
        <v>0</v>
      </c>
      <c r="T157" s="12">
        <f>SUM($Q$157:$R$157)</f>
        <v>0</v>
      </c>
      <c r="U157" s="12">
        <f>$S$157+$T$157</f>
        <v>0</v>
      </c>
    </row>
    <row r="158" spans="1:21" x14ac:dyDescent="0.3">
      <c r="A158" s="13" t="s">
        <v>572</v>
      </c>
      <c r="B158" s="14" t="s">
        <v>573</v>
      </c>
      <c r="C158" s="14" t="s">
        <v>34</v>
      </c>
      <c r="D158" s="14" t="s">
        <v>574</v>
      </c>
      <c r="E158" s="14">
        <f xml:space="preserve"> IF($U$158,1,0)</f>
        <v>0</v>
      </c>
      <c r="F158" s="14" t="s">
        <v>575</v>
      </c>
      <c r="G158" s="14">
        <v>0</v>
      </c>
      <c r="H158" s="14">
        <v>0</v>
      </c>
      <c r="I158" s="14">
        <v>0</v>
      </c>
      <c r="J158" s="14">
        <v>0</v>
      </c>
      <c r="K158" s="14">
        <v>0</v>
      </c>
      <c r="L158" s="14">
        <v>0</v>
      </c>
      <c r="M158" s="14">
        <v>0</v>
      </c>
      <c r="N158" s="14">
        <v>0</v>
      </c>
      <c r="O158" s="14">
        <v>0</v>
      </c>
      <c r="P158" s="14">
        <v>0</v>
      </c>
      <c r="Q158" s="15"/>
      <c r="R158" s="15"/>
      <c r="S158" s="15">
        <f>$G$158*$G$8+$H$158*$H$8+$I$158*$I$8+$J$158*$J$8+$K$158*$K$8+$L$158*$L$8+$M$158*$M$8+$N$158*$N$8+$O$158*$O$8+$P$158*$P$8</f>
        <v>0</v>
      </c>
      <c r="T158" s="15">
        <f>SUM($Q$158:$R$158)</f>
        <v>0</v>
      </c>
      <c r="U158" s="15">
        <f>$S$158+$T$158</f>
        <v>0</v>
      </c>
    </row>
    <row r="159" spans="1:21" x14ac:dyDescent="0.3">
      <c r="A159" s="10" t="s">
        <v>576</v>
      </c>
      <c r="B159" s="11" t="s">
        <v>577</v>
      </c>
      <c r="C159" s="11"/>
      <c r="D159" s="11" t="s">
        <v>578</v>
      </c>
      <c r="E159" s="11">
        <f xml:space="preserve"> IF($U$159,1,0)</f>
        <v>0</v>
      </c>
      <c r="F159" s="11" t="s">
        <v>579</v>
      </c>
      <c r="G159" s="11">
        <v>0</v>
      </c>
      <c r="H159" s="11">
        <v>0</v>
      </c>
      <c r="I159" s="11">
        <v>0</v>
      </c>
      <c r="J159" s="11">
        <v>0</v>
      </c>
      <c r="K159" s="11">
        <v>0</v>
      </c>
      <c r="L159" s="11">
        <v>0</v>
      </c>
      <c r="M159" s="11">
        <v>0</v>
      </c>
      <c r="N159" s="11">
        <v>0</v>
      </c>
      <c r="O159" s="11">
        <v>0</v>
      </c>
      <c r="P159" s="11">
        <v>0</v>
      </c>
      <c r="Q159" s="12"/>
      <c r="R159" s="12"/>
      <c r="S159" s="12">
        <f>$G$159*$G$8+$H$159*$H$8+$I$159*$I$8+$J$159*$J$8+$K$159*$K$8+$L$159*$L$8+$M$159*$M$8+$N$159*$N$8+$O$159*$O$8+$P$159*$P$8</f>
        <v>0</v>
      </c>
      <c r="T159" s="12">
        <f>SUM($Q$159:$R$159)</f>
        <v>0</v>
      </c>
      <c r="U159" s="12">
        <f>$S$159+$T$159</f>
        <v>0</v>
      </c>
    </row>
    <row r="160" spans="1:21" x14ac:dyDescent="0.3">
      <c r="A160" s="13" t="s">
        <v>580</v>
      </c>
      <c r="B160" s="14" t="s">
        <v>581</v>
      </c>
      <c r="C160" s="14"/>
      <c r="D160" s="14" t="s">
        <v>582</v>
      </c>
      <c r="E160" s="14">
        <f xml:space="preserve"> IF($U$160,1,0)</f>
        <v>0</v>
      </c>
      <c r="F160" s="14" t="s">
        <v>583</v>
      </c>
      <c r="G160" s="14">
        <v>0</v>
      </c>
      <c r="H160" s="14">
        <v>0</v>
      </c>
      <c r="I160" s="14">
        <v>0</v>
      </c>
      <c r="J160" s="14">
        <v>0</v>
      </c>
      <c r="K160" s="14">
        <v>0</v>
      </c>
      <c r="L160" s="14">
        <v>0</v>
      </c>
      <c r="M160" s="14">
        <v>0</v>
      </c>
      <c r="N160" s="14">
        <v>0</v>
      </c>
      <c r="O160" s="14">
        <v>0</v>
      </c>
      <c r="P160" s="14">
        <v>0</v>
      </c>
      <c r="Q160" s="15"/>
      <c r="R160" s="15"/>
      <c r="S160" s="15">
        <f>$G$160*$G$8+$H$160*$H$8+$I$160*$I$8+$J$160*$J$8+$K$160*$K$8+$L$160*$L$8+$M$160*$M$8+$N$160*$N$8+$O$160*$O$8+$P$160*$P$8</f>
        <v>0</v>
      </c>
      <c r="T160" s="15">
        <f>SUM($Q$160:$R$160)</f>
        <v>0</v>
      </c>
      <c r="U160" s="15">
        <f>$S$160+$T$160</f>
        <v>0</v>
      </c>
    </row>
    <row r="161" spans="1:21" x14ac:dyDescent="0.3">
      <c r="A161" s="10" t="s">
        <v>584</v>
      </c>
      <c r="B161" s="11" t="s">
        <v>585</v>
      </c>
      <c r="C161" s="11"/>
      <c r="D161" s="11" t="s">
        <v>586</v>
      </c>
      <c r="E161" s="11">
        <f xml:space="preserve"> IF($U$161,1,0)</f>
        <v>0</v>
      </c>
      <c r="F161" s="11" t="s">
        <v>587</v>
      </c>
      <c r="G161" s="11">
        <v>0</v>
      </c>
      <c r="H161" s="11">
        <v>0</v>
      </c>
      <c r="I161" s="11">
        <v>0</v>
      </c>
      <c r="J161" s="11">
        <v>0</v>
      </c>
      <c r="K161" s="11">
        <v>0</v>
      </c>
      <c r="L161" s="11">
        <v>0</v>
      </c>
      <c r="M161" s="11">
        <v>0</v>
      </c>
      <c r="N161" s="11">
        <v>0</v>
      </c>
      <c r="O161" s="11">
        <v>0</v>
      </c>
      <c r="P161" s="11">
        <v>0</v>
      </c>
      <c r="Q161" s="12"/>
      <c r="R161" s="12"/>
      <c r="S161" s="12">
        <f>$G$161*$G$8+$H$161*$H$8+$I$161*$I$8+$J$161*$J$8+$K$161*$K$8+$L$161*$L$8+$M$161*$M$8+$N$161*$N$8+$O$161*$O$8+$P$161*$P$8</f>
        <v>0</v>
      </c>
      <c r="T161" s="12">
        <f>SUM($Q$161:$R$161)</f>
        <v>0</v>
      </c>
      <c r="U161" s="12">
        <f>$S$161+$T$161</f>
        <v>0</v>
      </c>
    </row>
    <row r="162" spans="1:21" x14ac:dyDescent="0.3">
      <c r="A162" s="13" t="s">
        <v>588</v>
      </c>
      <c r="B162" s="14" t="s">
        <v>589</v>
      </c>
      <c r="C162" s="14"/>
      <c r="D162" s="14" t="s">
        <v>590</v>
      </c>
      <c r="E162" s="14">
        <f xml:space="preserve"> IF($U$162,1,0)</f>
        <v>0</v>
      </c>
      <c r="F162" s="14" t="s">
        <v>591</v>
      </c>
      <c r="G162" s="14">
        <v>0</v>
      </c>
      <c r="H162" s="14">
        <v>0</v>
      </c>
      <c r="I162" s="14">
        <v>0</v>
      </c>
      <c r="J162" s="14">
        <v>0</v>
      </c>
      <c r="K162" s="14">
        <v>0</v>
      </c>
      <c r="L162" s="14">
        <v>0</v>
      </c>
      <c r="M162" s="14">
        <v>0</v>
      </c>
      <c r="N162" s="14">
        <v>0</v>
      </c>
      <c r="O162" s="14">
        <v>0</v>
      </c>
      <c r="P162" s="14">
        <v>0</v>
      </c>
      <c r="Q162" s="15"/>
      <c r="R162" s="15"/>
      <c r="S162" s="15">
        <f>$G$162*$G$8+$H$162*$H$8+$I$162*$I$8+$J$162*$J$8+$K$162*$K$8+$L$162*$L$8+$M$162*$M$8+$N$162*$N$8+$O$162*$O$8+$P$162*$P$8</f>
        <v>0</v>
      </c>
      <c r="T162" s="15">
        <f>SUM($Q$162:$R$162)</f>
        <v>0</v>
      </c>
      <c r="U162" s="15">
        <f>$S$162+$T$162</f>
        <v>0</v>
      </c>
    </row>
    <row r="163" spans="1:21" x14ac:dyDescent="0.3">
      <c r="A163" s="10" t="s">
        <v>592</v>
      </c>
      <c r="B163" s="11" t="s">
        <v>593</v>
      </c>
      <c r="C163" s="11"/>
      <c r="D163" s="11" t="s">
        <v>594</v>
      </c>
      <c r="E163" s="11">
        <f xml:space="preserve"> IF($U$163,1,0)</f>
        <v>0</v>
      </c>
      <c r="F163" s="11" t="s">
        <v>595</v>
      </c>
      <c r="G163" s="11">
        <v>0</v>
      </c>
      <c r="H163" s="11">
        <v>0</v>
      </c>
      <c r="I163" s="11">
        <v>0</v>
      </c>
      <c r="J163" s="11">
        <v>0</v>
      </c>
      <c r="K163" s="11">
        <v>0</v>
      </c>
      <c r="L163" s="11">
        <v>0</v>
      </c>
      <c r="M163" s="11">
        <v>0</v>
      </c>
      <c r="N163" s="11">
        <v>0</v>
      </c>
      <c r="O163" s="11">
        <v>0</v>
      </c>
      <c r="P163" s="11">
        <v>0</v>
      </c>
      <c r="Q163" s="12"/>
      <c r="R163" s="12"/>
      <c r="S163" s="12">
        <f>$G$163*$G$8+$H$163*$H$8+$I$163*$I$8+$J$163*$J$8+$K$163*$K$8+$L$163*$L$8+$M$163*$M$8+$N$163*$N$8+$O$163*$O$8+$P$163*$P$8</f>
        <v>0</v>
      </c>
      <c r="T163" s="12">
        <f>SUM($Q$163:$R$163)</f>
        <v>0</v>
      </c>
      <c r="U163" s="12">
        <f>$S$163+$T$163</f>
        <v>0</v>
      </c>
    </row>
    <row r="164" spans="1:21" x14ac:dyDescent="0.3">
      <c r="A164" s="13" t="s">
        <v>596</v>
      </c>
      <c r="B164" s="14" t="s">
        <v>597</v>
      </c>
      <c r="C164" s="14"/>
      <c r="D164" s="14" t="s">
        <v>598</v>
      </c>
      <c r="E164" s="14">
        <f xml:space="preserve"> IF($U$164,1,0)</f>
        <v>0</v>
      </c>
      <c r="F164" s="14" t="s">
        <v>599</v>
      </c>
      <c r="G164" s="14">
        <v>0</v>
      </c>
      <c r="H164" s="14">
        <v>0</v>
      </c>
      <c r="I164" s="14">
        <v>0</v>
      </c>
      <c r="J164" s="14">
        <v>0</v>
      </c>
      <c r="K164" s="14">
        <v>0</v>
      </c>
      <c r="L164" s="14">
        <v>0</v>
      </c>
      <c r="M164" s="14">
        <v>0</v>
      </c>
      <c r="N164" s="14">
        <v>0</v>
      </c>
      <c r="O164" s="14">
        <v>0</v>
      </c>
      <c r="P164" s="14">
        <v>0</v>
      </c>
      <c r="Q164" s="15"/>
      <c r="R164" s="15"/>
      <c r="S164" s="15">
        <f>$G$164*$G$8+$H$164*$H$8+$I$164*$I$8+$J$164*$J$8+$K$164*$K$8+$L$164*$L$8+$M$164*$M$8+$N$164*$N$8+$O$164*$O$8+$P$164*$P$8</f>
        <v>0</v>
      </c>
      <c r="T164" s="15">
        <f>SUM($Q$164:$R$164)</f>
        <v>0</v>
      </c>
      <c r="U164" s="15">
        <f>$S$164+$T$164</f>
        <v>0</v>
      </c>
    </row>
    <row r="165" spans="1:21" x14ac:dyDescent="0.3">
      <c r="A165" s="10" t="s">
        <v>600</v>
      </c>
      <c r="B165" s="11" t="s">
        <v>601</v>
      </c>
      <c r="C165" s="11"/>
      <c r="D165" s="11" t="s">
        <v>70</v>
      </c>
      <c r="E165" s="11">
        <f xml:space="preserve"> IF($U$165,1,0)</f>
        <v>0</v>
      </c>
      <c r="F165" s="11" t="s">
        <v>602</v>
      </c>
      <c r="G165" s="11">
        <v>0</v>
      </c>
      <c r="H165" s="11">
        <v>0</v>
      </c>
      <c r="I165" s="11">
        <v>0</v>
      </c>
      <c r="J165" s="11">
        <v>0</v>
      </c>
      <c r="K165" s="11">
        <v>0</v>
      </c>
      <c r="L165" s="11">
        <v>0</v>
      </c>
      <c r="M165" s="11">
        <v>0</v>
      </c>
      <c r="N165" s="11">
        <v>0</v>
      </c>
      <c r="O165" s="11">
        <v>0</v>
      </c>
      <c r="P165" s="11">
        <v>0</v>
      </c>
      <c r="Q165" s="12"/>
      <c r="R165" s="12"/>
      <c r="S165" s="12">
        <f>$G$165*$G$8+$H$165*$H$8+$I$165*$I$8+$J$165*$J$8+$K$165*$K$8+$L$165*$L$8+$M$165*$M$8+$N$165*$N$8+$O$165*$O$8+$P$165*$P$8</f>
        <v>0</v>
      </c>
      <c r="T165" s="12">
        <f>SUM($Q$165:$R$165)</f>
        <v>0</v>
      </c>
      <c r="U165" s="12">
        <f>$S$165+$T$165</f>
        <v>0</v>
      </c>
    </row>
    <row r="166" spans="1:21" x14ac:dyDescent="0.3">
      <c r="A166" s="13" t="s">
        <v>603</v>
      </c>
      <c r="B166" s="14" t="s">
        <v>604</v>
      </c>
      <c r="C166" s="14"/>
      <c r="D166" s="14" t="s">
        <v>605</v>
      </c>
      <c r="E166" s="14">
        <f xml:space="preserve"> IF($U$166,1,0)</f>
        <v>0</v>
      </c>
      <c r="F166" s="14" t="s">
        <v>606</v>
      </c>
      <c r="G166" s="14">
        <v>0</v>
      </c>
      <c r="H166" s="14">
        <v>0</v>
      </c>
      <c r="I166" s="14">
        <v>0</v>
      </c>
      <c r="J166" s="14">
        <v>0</v>
      </c>
      <c r="K166" s="14">
        <v>0</v>
      </c>
      <c r="L166" s="14">
        <v>0</v>
      </c>
      <c r="M166" s="14">
        <v>0</v>
      </c>
      <c r="N166" s="14">
        <v>0</v>
      </c>
      <c r="O166" s="14">
        <v>0</v>
      </c>
      <c r="P166" s="14">
        <v>0</v>
      </c>
      <c r="Q166" s="15"/>
      <c r="R166" s="15"/>
      <c r="S166" s="15">
        <f>$G$166*$G$8+$H$166*$H$8+$I$166*$I$8+$J$166*$J$8+$K$166*$K$8+$L$166*$L$8+$M$166*$M$8+$N$166*$N$8+$O$166*$O$8+$P$166*$P$8</f>
        <v>0</v>
      </c>
      <c r="T166" s="15">
        <f>SUM($Q$166:$R$166)</f>
        <v>0</v>
      </c>
      <c r="U166" s="15">
        <f>$S$166+$T$166</f>
        <v>0</v>
      </c>
    </row>
    <row r="167" spans="1:21" x14ac:dyDescent="0.3">
      <c r="A167" s="10" t="s">
        <v>607</v>
      </c>
      <c r="B167" s="11" t="s">
        <v>608</v>
      </c>
      <c r="C167" s="11"/>
      <c r="D167" s="11" t="s">
        <v>609</v>
      </c>
      <c r="E167" s="11">
        <f xml:space="preserve"> IF($U$167,1,0)</f>
        <v>0</v>
      </c>
      <c r="F167" s="11" t="s">
        <v>610</v>
      </c>
      <c r="G167" s="11">
        <v>0</v>
      </c>
      <c r="H167" s="11">
        <v>0</v>
      </c>
      <c r="I167" s="11">
        <v>0</v>
      </c>
      <c r="J167" s="11">
        <v>0</v>
      </c>
      <c r="K167" s="11">
        <v>0</v>
      </c>
      <c r="L167" s="11">
        <v>0</v>
      </c>
      <c r="M167" s="11">
        <v>0</v>
      </c>
      <c r="N167" s="11">
        <v>0</v>
      </c>
      <c r="O167" s="11">
        <v>0</v>
      </c>
      <c r="P167" s="11">
        <v>0</v>
      </c>
      <c r="Q167" s="12"/>
      <c r="R167" s="12"/>
      <c r="S167" s="12">
        <f>$G$167*$G$8+$H$167*$H$8+$I$167*$I$8+$J$167*$J$8+$K$167*$K$8+$L$167*$L$8+$M$167*$M$8+$N$167*$N$8+$O$167*$O$8+$P$167*$P$8</f>
        <v>0</v>
      </c>
      <c r="T167" s="12">
        <f>SUM($Q$167:$R$167)</f>
        <v>0</v>
      </c>
      <c r="U167" s="12">
        <f>$S$167+$T$167</f>
        <v>0</v>
      </c>
    </row>
    <row r="168" spans="1:21" x14ac:dyDescent="0.3">
      <c r="A168" s="13" t="s">
        <v>611</v>
      </c>
      <c r="B168" s="14" t="s">
        <v>612</v>
      </c>
      <c r="C168" s="14"/>
      <c r="D168" s="14" t="s">
        <v>613</v>
      </c>
      <c r="E168" s="14">
        <f xml:space="preserve"> IF($U$168,1,0)</f>
        <v>0</v>
      </c>
      <c r="F168" s="14" t="s">
        <v>614</v>
      </c>
      <c r="G168" s="14">
        <v>0</v>
      </c>
      <c r="H168" s="14">
        <v>0</v>
      </c>
      <c r="I168" s="14">
        <v>0</v>
      </c>
      <c r="J168" s="14">
        <v>0</v>
      </c>
      <c r="K168" s="14">
        <v>0</v>
      </c>
      <c r="L168" s="14">
        <v>0</v>
      </c>
      <c r="M168" s="14">
        <v>0</v>
      </c>
      <c r="N168" s="14">
        <v>0</v>
      </c>
      <c r="O168" s="14">
        <v>0</v>
      </c>
      <c r="P168" s="14">
        <v>0</v>
      </c>
      <c r="Q168" s="15"/>
      <c r="R168" s="15"/>
      <c r="S168" s="15">
        <f>$G$168*$G$8+$H$168*$H$8+$I$168*$I$8+$J$168*$J$8+$K$168*$K$8+$L$168*$L$8+$M$168*$M$8+$N$168*$N$8+$O$168*$O$8+$P$168*$P$8</f>
        <v>0</v>
      </c>
      <c r="T168" s="15">
        <f>SUM($Q$168:$R$168)</f>
        <v>0</v>
      </c>
      <c r="U168" s="15">
        <f>$S$168+$T$168</f>
        <v>0</v>
      </c>
    </row>
    <row r="169" spans="1:21" x14ac:dyDescent="0.3">
      <c r="A169" s="10" t="s">
        <v>615</v>
      </c>
      <c r="B169" s="11" t="s">
        <v>616</v>
      </c>
      <c r="C169" s="11"/>
      <c r="D169" s="11" t="s">
        <v>617</v>
      </c>
      <c r="E169" s="11">
        <f xml:space="preserve"> IF($U$169,1,0)</f>
        <v>0</v>
      </c>
      <c r="F169" s="11" t="s">
        <v>618</v>
      </c>
      <c r="G169" s="11">
        <v>0</v>
      </c>
      <c r="H169" s="11">
        <v>0</v>
      </c>
      <c r="I169" s="11">
        <v>0</v>
      </c>
      <c r="J169" s="11">
        <v>0</v>
      </c>
      <c r="K169" s="11">
        <v>0</v>
      </c>
      <c r="L169" s="11">
        <v>0</v>
      </c>
      <c r="M169" s="11">
        <v>0</v>
      </c>
      <c r="N169" s="11">
        <v>0</v>
      </c>
      <c r="O169" s="11">
        <v>0</v>
      </c>
      <c r="P169" s="11">
        <v>0</v>
      </c>
      <c r="Q169" s="12"/>
      <c r="R169" s="12"/>
      <c r="S169" s="12">
        <f>$G$169*$G$8+$H$169*$H$8+$I$169*$I$8+$J$169*$J$8+$K$169*$K$8+$L$169*$L$8+$M$169*$M$8+$N$169*$N$8+$O$169*$O$8+$P$169*$P$8</f>
        <v>0</v>
      </c>
      <c r="T169" s="12">
        <f>SUM($Q$169:$R$169)</f>
        <v>0</v>
      </c>
      <c r="U169" s="12">
        <f>$S$169+$T$169</f>
        <v>0</v>
      </c>
    </row>
    <row r="170" spans="1:21" x14ac:dyDescent="0.3">
      <c r="A170" s="13" t="s">
        <v>619</v>
      </c>
      <c r="B170" s="14" t="s">
        <v>620</v>
      </c>
      <c r="C170" s="14" t="s">
        <v>34</v>
      </c>
      <c r="D170" s="14" t="s">
        <v>621</v>
      </c>
      <c r="E170" s="14">
        <f xml:space="preserve"> IF($U$170,1,0)</f>
        <v>0</v>
      </c>
      <c r="F170" s="14" t="s">
        <v>622</v>
      </c>
      <c r="G170" s="14">
        <v>0</v>
      </c>
      <c r="H170" s="14">
        <v>0</v>
      </c>
      <c r="I170" s="14">
        <v>0</v>
      </c>
      <c r="J170" s="14">
        <v>0</v>
      </c>
      <c r="K170" s="14">
        <v>0</v>
      </c>
      <c r="L170" s="14">
        <v>0</v>
      </c>
      <c r="M170" s="14">
        <v>0</v>
      </c>
      <c r="N170" s="14">
        <v>0</v>
      </c>
      <c r="O170" s="14">
        <v>0</v>
      </c>
      <c r="P170" s="14">
        <v>0</v>
      </c>
      <c r="Q170" s="15"/>
      <c r="R170" s="15"/>
      <c r="S170" s="15">
        <f>$G$170*$G$8+$H$170*$H$8+$I$170*$I$8+$J$170*$J$8+$K$170*$K$8+$L$170*$L$8+$M$170*$M$8+$N$170*$N$8+$O$170*$O$8+$P$170*$P$8</f>
        <v>0</v>
      </c>
      <c r="T170" s="15">
        <f>SUM($Q$170:$R$170)</f>
        <v>0</v>
      </c>
      <c r="U170" s="15">
        <f>$S$170+$T$170</f>
        <v>0</v>
      </c>
    </row>
    <row r="171" spans="1:21" x14ac:dyDescent="0.3">
      <c r="A171" s="10" t="s">
        <v>623</v>
      </c>
      <c r="B171" s="11" t="s">
        <v>624</v>
      </c>
      <c r="C171" s="11"/>
      <c r="D171" s="11" t="s">
        <v>625</v>
      </c>
      <c r="E171" s="11">
        <f xml:space="preserve"> IF($U$171,1,0)</f>
        <v>0</v>
      </c>
      <c r="F171" s="11" t="s">
        <v>626</v>
      </c>
      <c r="G171" s="11">
        <v>0</v>
      </c>
      <c r="H171" s="11">
        <v>0</v>
      </c>
      <c r="I171" s="11">
        <v>0</v>
      </c>
      <c r="J171" s="11">
        <v>0</v>
      </c>
      <c r="K171" s="11">
        <v>0</v>
      </c>
      <c r="L171" s="11">
        <v>0</v>
      </c>
      <c r="M171" s="11">
        <v>0</v>
      </c>
      <c r="N171" s="11">
        <v>0</v>
      </c>
      <c r="O171" s="11">
        <v>0</v>
      </c>
      <c r="P171" s="11">
        <v>0</v>
      </c>
      <c r="Q171" s="12"/>
      <c r="R171" s="12"/>
      <c r="S171" s="12">
        <f>$G$171*$G$8+$H$171*$H$8+$I$171*$I$8+$J$171*$J$8+$K$171*$K$8+$L$171*$L$8+$M$171*$M$8+$N$171*$N$8+$O$171*$O$8+$P$171*$P$8</f>
        <v>0</v>
      </c>
      <c r="T171" s="12">
        <f>SUM($Q$171:$R$171)</f>
        <v>0</v>
      </c>
      <c r="U171" s="12">
        <f>$S$171+$T$171</f>
        <v>0</v>
      </c>
    </row>
    <row r="172" spans="1:21" x14ac:dyDescent="0.3">
      <c r="A172" s="13" t="s">
        <v>627</v>
      </c>
      <c r="B172" s="14" t="s">
        <v>624</v>
      </c>
      <c r="C172" s="14"/>
      <c r="D172" s="14" t="s">
        <v>628</v>
      </c>
      <c r="E172" s="14">
        <f xml:space="preserve"> IF($U$172,1,0)</f>
        <v>0</v>
      </c>
      <c r="F172" s="14" t="s">
        <v>629</v>
      </c>
      <c r="G172" s="14">
        <v>0</v>
      </c>
      <c r="H172" s="14">
        <v>0</v>
      </c>
      <c r="I172" s="14">
        <v>0</v>
      </c>
      <c r="J172" s="14">
        <v>0</v>
      </c>
      <c r="K172" s="14">
        <v>0</v>
      </c>
      <c r="L172" s="14">
        <v>0</v>
      </c>
      <c r="M172" s="14">
        <v>0</v>
      </c>
      <c r="N172" s="14">
        <v>0</v>
      </c>
      <c r="O172" s="14">
        <v>0</v>
      </c>
      <c r="P172" s="14">
        <v>0</v>
      </c>
      <c r="Q172" s="15"/>
      <c r="R172" s="15"/>
      <c r="S172" s="15">
        <f>$G$172*$G$8+$H$172*$H$8+$I$172*$I$8+$J$172*$J$8+$K$172*$K$8+$L$172*$L$8+$M$172*$M$8+$N$172*$N$8+$O$172*$O$8+$P$172*$P$8</f>
        <v>0</v>
      </c>
      <c r="T172" s="15">
        <f>SUM($Q$172:$R$172)</f>
        <v>0</v>
      </c>
      <c r="U172" s="15">
        <f>$S$172+$T$172</f>
        <v>0</v>
      </c>
    </row>
    <row r="173" spans="1:21" x14ac:dyDescent="0.3">
      <c r="A173" s="10" t="s">
        <v>630</v>
      </c>
      <c r="B173" s="11" t="s">
        <v>631</v>
      </c>
      <c r="C173" s="11"/>
      <c r="D173" s="11" t="s">
        <v>632</v>
      </c>
      <c r="E173" s="11">
        <f xml:space="preserve"> IF($U$173,1,0)</f>
        <v>0</v>
      </c>
      <c r="F173" s="11" t="s">
        <v>633</v>
      </c>
      <c r="G173" s="11">
        <v>0</v>
      </c>
      <c r="H173" s="11">
        <v>0</v>
      </c>
      <c r="I173" s="11">
        <v>0</v>
      </c>
      <c r="J173" s="11">
        <v>0</v>
      </c>
      <c r="K173" s="11">
        <v>0</v>
      </c>
      <c r="L173" s="11">
        <v>0</v>
      </c>
      <c r="M173" s="11">
        <v>0</v>
      </c>
      <c r="N173" s="11">
        <v>0</v>
      </c>
      <c r="O173" s="11">
        <v>0</v>
      </c>
      <c r="P173" s="11">
        <v>0</v>
      </c>
      <c r="Q173" s="12"/>
      <c r="R173" s="12"/>
      <c r="S173" s="12">
        <f>$G$173*$G$8+$H$173*$H$8+$I$173*$I$8+$J$173*$J$8+$K$173*$K$8+$L$173*$L$8+$M$173*$M$8+$N$173*$N$8+$O$173*$O$8+$P$173*$P$8</f>
        <v>0</v>
      </c>
      <c r="T173" s="12">
        <f>SUM($Q$173:$R$173)</f>
        <v>0</v>
      </c>
      <c r="U173" s="12">
        <f>$S$173+$T$173</f>
        <v>0</v>
      </c>
    </row>
    <row r="174" spans="1:21" x14ac:dyDescent="0.3">
      <c r="A174" s="13" t="s">
        <v>634</v>
      </c>
      <c r="B174" s="14" t="s">
        <v>635</v>
      </c>
      <c r="C174" s="14"/>
      <c r="D174" s="14" t="s">
        <v>636</v>
      </c>
      <c r="E174" s="14">
        <f xml:space="preserve"> IF($U$174,1,0)</f>
        <v>0</v>
      </c>
      <c r="F174" s="14" t="s">
        <v>637</v>
      </c>
      <c r="G174" s="14">
        <v>0</v>
      </c>
      <c r="H174" s="14">
        <v>0</v>
      </c>
      <c r="I174" s="14">
        <v>0</v>
      </c>
      <c r="J174" s="14">
        <v>0</v>
      </c>
      <c r="K174" s="14">
        <v>0</v>
      </c>
      <c r="L174" s="14">
        <v>0</v>
      </c>
      <c r="M174" s="14">
        <v>0</v>
      </c>
      <c r="N174" s="14">
        <v>0</v>
      </c>
      <c r="O174" s="14">
        <v>0</v>
      </c>
      <c r="P174" s="14">
        <v>0</v>
      </c>
      <c r="Q174" s="15"/>
      <c r="R174" s="15"/>
      <c r="S174" s="15">
        <f>$G$174*$G$8+$H$174*$H$8+$I$174*$I$8+$J$174*$J$8+$K$174*$K$8+$L$174*$L$8+$M$174*$M$8+$N$174*$N$8+$O$174*$O$8+$P$174*$P$8</f>
        <v>0</v>
      </c>
      <c r="T174" s="15">
        <f>SUM($Q$174:$R$174)</f>
        <v>0</v>
      </c>
      <c r="U174" s="15">
        <f>$S$174+$T$174</f>
        <v>0</v>
      </c>
    </row>
    <row r="175" spans="1:21" x14ac:dyDescent="0.3">
      <c r="A175" s="10" t="s">
        <v>638</v>
      </c>
      <c r="B175" s="11" t="s">
        <v>639</v>
      </c>
      <c r="C175" s="11"/>
      <c r="D175" s="11" t="s">
        <v>274</v>
      </c>
      <c r="E175" s="11">
        <f xml:space="preserve"> IF($U$175,1,0)</f>
        <v>0</v>
      </c>
      <c r="F175" s="11" t="s">
        <v>640</v>
      </c>
      <c r="G175" s="11">
        <v>0</v>
      </c>
      <c r="H175" s="11">
        <v>0</v>
      </c>
      <c r="I175" s="11">
        <v>0</v>
      </c>
      <c r="J175" s="11">
        <v>0</v>
      </c>
      <c r="K175" s="11">
        <v>0</v>
      </c>
      <c r="L175" s="11">
        <v>0</v>
      </c>
      <c r="M175" s="11">
        <v>0</v>
      </c>
      <c r="N175" s="11">
        <v>0</v>
      </c>
      <c r="O175" s="11">
        <v>0</v>
      </c>
      <c r="P175" s="11">
        <v>0</v>
      </c>
      <c r="Q175" s="12"/>
      <c r="R175" s="12"/>
      <c r="S175" s="12">
        <f>$G$175*$G$8+$H$175*$H$8+$I$175*$I$8+$J$175*$J$8+$K$175*$K$8+$L$175*$L$8+$M$175*$M$8+$N$175*$N$8+$O$175*$O$8+$P$175*$P$8</f>
        <v>0</v>
      </c>
      <c r="T175" s="12">
        <f>SUM($Q$175:$R$175)</f>
        <v>0</v>
      </c>
      <c r="U175" s="12">
        <f>$S$175+$T$175</f>
        <v>0</v>
      </c>
    </row>
    <row r="176" spans="1:21" x14ac:dyDescent="0.3">
      <c r="A176" s="13" t="s">
        <v>641</v>
      </c>
      <c r="B176" s="14" t="s">
        <v>642</v>
      </c>
      <c r="C176" s="14"/>
      <c r="D176" s="14" t="s">
        <v>643</v>
      </c>
      <c r="E176" s="14">
        <f xml:space="preserve"> IF($U$176,1,0)</f>
        <v>0</v>
      </c>
      <c r="F176" s="14" t="s">
        <v>644</v>
      </c>
      <c r="G176" s="14">
        <v>0</v>
      </c>
      <c r="H176" s="14">
        <v>0</v>
      </c>
      <c r="I176" s="14">
        <v>0</v>
      </c>
      <c r="J176" s="14">
        <v>0</v>
      </c>
      <c r="K176" s="14">
        <v>0</v>
      </c>
      <c r="L176" s="14">
        <v>0</v>
      </c>
      <c r="M176" s="14">
        <v>0</v>
      </c>
      <c r="N176" s="14">
        <v>0</v>
      </c>
      <c r="O176" s="14">
        <v>0</v>
      </c>
      <c r="P176" s="14">
        <v>0</v>
      </c>
      <c r="Q176" s="15"/>
      <c r="R176" s="15"/>
      <c r="S176" s="15">
        <f>$G$176*$G$8+$H$176*$H$8+$I$176*$I$8+$J$176*$J$8+$K$176*$K$8+$L$176*$L$8+$M$176*$M$8+$N$176*$N$8+$O$176*$O$8+$P$176*$P$8</f>
        <v>0</v>
      </c>
      <c r="T176" s="15">
        <f>SUM($Q$176:$R$176)</f>
        <v>0</v>
      </c>
      <c r="U176" s="15">
        <f>$S$176+$T$176</f>
        <v>0</v>
      </c>
    </row>
    <row r="177" spans="1:21" x14ac:dyDescent="0.3">
      <c r="A177" s="10" t="s">
        <v>645</v>
      </c>
      <c r="B177" s="11" t="s">
        <v>646</v>
      </c>
      <c r="C177" s="11"/>
      <c r="D177" s="11" t="s">
        <v>647</v>
      </c>
      <c r="E177" s="11">
        <f xml:space="preserve"> IF($U$177,1,0)</f>
        <v>0</v>
      </c>
      <c r="F177" s="11" t="s">
        <v>648</v>
      </c>
      <c r="G177" s="11">
        <v>0</v>
      </c>
      <c r="H177" s="11">
        <v>0</v>
      </c>
      <c r="I177" s="11">
        <v>0</v>
      </c>
      <c r="J177" s="11">
        <v>0</v>
      </c>
      <c r="K177" s="11">
        <v>0</v>
      </c>
      <c r="L177" s="11">
        <v>0</v>
      </c>
      <c r="M177" s="11">
        <v>0</v>
      </c>
      <c r="N177" s="11">
        <v>0</v>
      </c>
      <c r="O177" s="11">
        <v>0</v>
      </c>
      <c r="P177" s="11">
        <v>0</v>
      </c>
      <c r="Q177" s="12"/>
      <c r="R177" s="12"/>
      <c r="S177" s="12">
        <f>$G$177*$G$8+$H$177*$H$8+$I$177*$I$8+$J$177*$J$8+$K$177*$K$8+$L$177*$L$8+$M$177*$M$8+$N$177*$N$8+$O$177*$O$8+$P$177*$P$8</f>
        <v>0</v>
      </c>
      <c r="T177" s="12">
        <f>SUM($Q$177:$R$177)</f>
        <v>0</v>
      </c>
      <c r="U177" s="12">
        <f>$S$177+$T$177</f>
        <v>0</v>
      </c>
    </row>
    <row r="178" spans="1:21" x14ac:dyDescent="0.3">
      <c r="A178" s="13" t="s">
        <v>649</v>
      </c>
      <c r="B178" s="14" t="s">
        <v>650</v>
      </c>
      <c r="C178" s="14"/>
      <c r="D178" s="14" t="s">
        <v>651</v>
      </c>
      <c r="E178" s="14">
        <f xml:space="preserve"> IF($U$178,1,0)</f>
        <v>0</v>
      </c>
      <c r="F178" s="14" t="s">
        <v>652</v>
      </c>
      <c r="G178" s="14">
        <v>0</v>
      </c>
      <c r="H178" s="14">
        <v>0</v>
      </c>
      <c r="I178" s="14">
        <v>0</v>
      </c>
      <c r="J178" s="14">
        <v>0</v>
      </c>
      <c r="K178" s="14">
        <v>0</v>
      </c>
      <c r="L178" s="14">
        <v>0</v>
      </c>
      <c r="M178" s="14">
        <v>0</v>
      </c>
      <c r="N178" s="14">
        <v>0</v>
      </c>
      <c r="O178" s="14">
        <v>0</v>
      </c>
      <c r="P178" s="14">
        <v>0</v>
      </c>
      <c r="Q178" s="15"/>
      <c r="R178" s="15"/>
      <c r="S178" s="15">
        <f>$G$178*$G$8+$H$178*$H$8+$I$178*$I$8+$J$178*$J$8+$K$178*$K$8+$L$178*$L$8+$M$178*$M$8+$N$178*$N$8+$O$178*$O$8+$P$178*$P$8</f>
        <v>0</v>
      </c>
      <c r="T178" s="15">
        <f>SUM($Q$178:$R$178)</f>
        <v>0</v>
      </c>
      <c r="U178" s="15">
        <f>$S$178+$T$178</f>
        <v>0</v>
      </c>
    </row>
    <row r="179" spans="1:21" x14ac:dyDescent="0.3">
      <c r="A179" s="10" t="s">
        <v>653</v>
      </c>
      <c r="B179" s="11" t="s">
        <v>654</v>
      </c>
      <c r="C179" s="11"/>
      <c r="D179" s="11" t="s">
        <v>655</v>
      </c>
      <c r="E179" s="11">
        <f xml:space="preserve"> IF($U$179,1,0)</f>
        <v>0</v>
      </c>
      <c r="F179" s="11" t="s">
        <v>656</v>
      </c>
      <c r="G179" s="11">
        <v>0</v>
      </c>
      <c r="H179" s="11">
        <v>0</v>
      </c>
      <c r="I179" s="11">
        <v>0</v>
      </c>
      <c r="J179" s="11">
        <v>0</v>
      </c>
      <c r="K179" s="11">
        <v>0</v>
      </c>
      <c r="L179" s="11">
        <v>0</v>
      </c>
      <c r="M179" s="11">
        <v>0</v>
      </c>
      <c r="N179" s="11">
        <v>0</v>
      </c>
      <c r="O179" s="11">
        <v>0</v>
      </c>
      <c r="P179" s="11">
        <v>0</v>
      </c>
      <c r="Q179" s="12"/>
      <c r="R179" s="12"/>
      <c r="S179" s="12">
        <f>$G$179*$G$8+$H$179*$H$8+$I$179*$I$8+$J$179*$J$8+$K$179*$K$8+$L$179*$L$8+$M$179*$M$8+$N$179*$N$8+$O$179*$O$8+$P$179*$P$8</f>
        <v>0</v>
      </c>
      <c r="T179" s="12">
        <f>SUM($Q$179:$R$179)</f>
        <v>0</v>
      </c>
      <c r="U179" s="12">
        <f>$S$179+$T$179</f>
        <v>0</v>
      </c>
    </row>
    <row r="180" spans="1:21" x14ac:dyDescent="0.3">
      <c r="A180" s="13" t="s">
        <v>657</v>
      </c>
      <c r="B180" s="14" t="s">
        <v>658</v>
      </c>
      <c r="C180" s="14"/>
      <c r="D180" s="14" t="s">
        <v>659</v>
      </c>
      <c r="E180" s="14">
        <f xml:space="preserve"> IF($U$180,1,0)</f>
        <v>0</v>
      </c>
      <c r="F180" s="14" t="s">
        <v>660</v>
      </c>
      <c r="G180" s="14">
        <v>0</v>
      </c>
      <c r="H180" s="14">
        <v>0</v>
      </c>
      <c r="I180" s="14">
        <v>0</v>
      </c>
      <c r="J180" s="14">
        <v>0</v>
      </c>
      <c r="K180" s="14">
        <v>0</v>
      </c>
      <c r="L180" s="14">
        <v>0</v>
      </c>
      <c r="M180" s="14">
        <v>0</v>
      </c>
      <c r="N180" s="14">
        <v>0</v>
      </c>
      <c r="O180" s="14">
        <v>0</v>
      </c>
      <c r="P180" s="14">
        <v>0</v>
      </c>
      <c r="Q180" s="15"/>
      <c r="R180" s="15"/>
      <c r="S180" s="15">
        <f>$G$180*$G$8+$H$180*$H$8+$I$180*$I$8+$J$180*$J$8+$K$180*$K$8+$L$180*$L$8+$M$180*$M$8+$N$180*$N$8+$O$180*$O$8+$P$180*$P$8</f>
        <v>0</v>
      </c>
      <c r="T180" s="15">
        <f>SUM($Q$180:$R$180)</f>
        <v>0</v>
      </c>
      <c r="U180" s="15">
        <f>$S$180+$T$180</f>
        <v>0</v>
      </c>
    </row>
    <row r="181" spans="1:21" x14ac:dyDescent="0.3">
      <c r="A181" s="10" t="s">
        <v>661</v>
      </c>
      <c r="B181" s="11" t="s">
        <v>658</v>
      </c>
      <c r="C181" s="11" t="s">
        <v>202</v>
      </c>
      <c r="D181" s="11" t="s">
        <v>662</v>
      </c>
      <c r="E181" s="11">
        <f xml:space="preserve"> IF($U$181,1,0)</f>
        <v>0</v>
      </c>
      <c r="F181" s="11" t="s">
        <v>663</v>
      </c>
      <c r="G181" s="11">
        <v>0</v>
      </c>
      <c r="H181" s="11">
        <v>0</v>
      </c>
      <c r="I181" s="11">
        <v>0</v>
      </c>
      <c r="J181" s="11">
        <v>0</v>
      </c>
      <c r="K181" s="11">
        <v>0</v>
      </c>
      <c r="L181" s="11">
        <v>0</v>
      </c>
      <c r="M181" s="11">
        <v>0</v>
      </c>
      <c r="N181" s="11">
        <v>0</v>
      </c>
      <c r="O181" s="11">
        <v>0</v>
      </c>
      <c r="P181" s="11">
        <v>0</v>
      </c>
      <c r="Q181" s="12"/>
      <c r="R181" s="12"/>
      <c r="S181" s="12">
        <f>$G$181*$G$8+$H$181*$H$8+$I$181*$I$8+$J$181*$J$8+$K$181*$K$8+$L$181*$L$8+$M$181*$M$8+$N$181*$N$8+$O$181*$O$8+$P$181*$P$8</f>
        <v>0</v>
      </c>
      <c r="T181" s="12">
        <f>SUM($Q$181:$R$181)</f>
        <v>0</v>
      </c>
      <c r="U181" s="12">
        <f>$S$181+$T$181</f>
        <v>0</v>
      </c>
    </row>
    <row r="182" spans="1:21" x14ac:dyDescent="0.3">
      <c r="A182" s="13" t="s">
        <v>664</v>
      </c>
      <c r="B182" s="14" t="s">
        <v>665</v>
      </c>
      <c r="C182" s="14"/>
      <c r="D182" s="14" t="s">
        <v>666</v>
      </c>
      <c r="E182" s="14">
        <f xml:space="preserve"> IF($U$182,1,0)</f>
        <v>0</v>
      </c>
      <c r="F182" s="14" t="s">
        <v>667</v>
      </c>
      <c r="G182" s="14">
        <v>0</v>
      </c>
      <c r="H182" s="14">
        <v>0</v>
      </c>
      <c r="I182" s="14">
        <v>0</v>
      </c>
      <c r="J182" s="14">
        <v>0</v>
      </c>
      <c r="K182" s="14">
        <v>0</v>
      </c>
      <c r="L182" s="14">
        <v>0</v>
      </c>
      <c r="M182" s="14">
        <v>0</v>
      </c>
      <c r="N182" s="14">
        <v>0</v>
      </c>
      <c r="O182" s="14">
        <v>0</v>
      </c>
      <c r="P182" s="14">
        <v>0</v>
      </c>
      <c r="Q182" s="15"/>
      <c r="R182" s="15"/>
      <c r="S182" s="15">
        <f>$G$182*$G$8+$H$182*$H$8+$I$182*$I$8+$J$182*$J$8+$K$182*$K$8+$L$182*$L$8+$M$182*$M$8+$N$182*$N$8+$O$182*$O$8+$P$182*$P$8</f>
        <v>0</v>
      </c>
      <c r="T182" s="15">
        <f>SUM($Q$182:$R$182)</f>
        <v>0</v>
      </c>
      <c r="U182" s="15">
        <f>$S$182+$T$182</f>
        <v>0</v>
      </c>
    </row>
    <row r="183" spans="1:21" x14ac:dyDescent="0.3">
      <c r="A183" s="10" t="s">
        <v>668</v>
      </c>
      <c r="B183" s="11" t="s">
        <v>669</v>
      </c>
      <c r="C183" s="11"/>
      <c r="D183" s="11" t="s">
        <v>670</v>
      </c>
      <c r="E183" s="11">
        <f xml:space="preserve"> IF($U$183,1,0)</f>
        <v>0</v>
      </c>
      <c r="F183" s="11" t="s">
        <v>671</v>
      </c>
      <c r="G183" s="11">
        <v>0</v>
      </c>
      <c r="H183" s="11">
        <v>0</v>
      </c>
      <c r="I183" s="11">
        <v>0</v>
      </c>
      <c r="J183" s="11">
        <v>0</v>
      </c>
      <c r="K183" s="11">
        <v>0</v>
      </c>
      <c r="L183" s="11">
        <v>0</v>
      </c>
      <c r="M183" s="11">
        <v>0</v>
      </c>
      <c r="N183" s="11">
        <v>0</v>
      </c>
      <c r="O183" s="11">
        <v>0</v>
      </c>
      <c r="P183" s="11">
        <v>0</v>
      </c>
      <c r="Q183" s="12"/>
      <c r="R183" s="12"/>
      <c r="S183" s="12">
        <f>$G$183*$G$8+$H$183*$H$8+$I$183*$I$8+$J$183*$J$8+$K$183*$K$8+$L$183*$L$8+$M$183*$M$8+$N$183*$N$8+$O$183*$O$8+$P$183*$P$8</f>
        <v>0</v>
      </c>
      <c r="T183" s="12">
        <f>SUM($Q$183:$R$183)</f>
        <v>0</v>
      </c>
      <c r="U183" s="12">
        <f>$S$183+$T$183</f>
        <v>0</v>
      </c>
    </row>
    <row r="184" spans="1:21" x14ac:dyDescent="0.3">
      <c r="A184" s="13" t="s">
        <v>672</v>
      </c>
      <c r="B184" s="14" t="s">
        <v>673</v>
      </c>
      <c r="C184" s="14"/>
      <c r="D184" s="14" t="s">
        <v>674</v>
      </c>
      <c r="E184" s="14">
        <f xml:space="preserve"> IF($U$184,1,0)</f>
        <v>0</v>
      </c>
      <c r="F184" s="14" t="s">
        <v>675</v>
      </c>
      <c r="G184" s="14">
        <v>0</v>
      </c>
      <c r="H184" s="14">
        <v>0</v>
      </c>
      <c r="I184" s="14">
        <v>0</v>
      </c>
      <c r="J184" s="14">
        <v>0</v>
      </c>
      <c r="K184" s="14">
        <v>0</v>
      </c>
      <c r="L184" s="14">
        <v>0</v>
      </c>
      <c r="M184" s="14">
        <v>0</v>
      </c>
      <c r="N184" s="14">
        <v>0</v>
      </c>
      <c r="O184" s="14">
        <v>0</v>
      </c>
      <c r="P184" s="14">
        <v>0</v>
      </c>
      <c r="Q184" s="15"/>
      <c r="R184" s="15"/>
      <c r="S184" s="15">
        <f>$G$184*$G$8+$H$184*$H$8+$I$184*$I$8+$J$184*$J$8+$K$184*$K$8+$L$184*$L$8+$M$184*$M$8+$N$184*$N$8+$O$184*$O$8+$P$184*$P$8</f>
        <v>0</v>
      </c>
      <c r="T184" s="15">
        <f>SUM($Q$184:$R$184)</f>
        <v>0</v>
      </c>
      <c r="U184" s="15">
        <f>$S$184+$T$184</f>
        <v>0</v>
      </c>
    </row>
    <row r="185" spans="1:21" x14ac:dyDescent="0.3">
      <c r="A185" s="10" t="s">
        <v>676</v>
      </c>
      <c r="B185" s="11" t="s">
        <v>677</v>
      </c>
      <c r="C185" s="11"/>
      <c r="D185" s="11" t="s">
        <v>678</v>
      </c>
      <c r="E185" s="11">
        <f xml:space="preserve"> IF($U$185,1,0)</f>
        <v>0</v>
      </c>
      <c r="F185" s="11" t="s">
        <v>679</v>
      </c>
      <c r="G185" s="11">
        <v>0</v>
      </c>
      <c r="H185" s="11">
        <v>0</v>
      </c>
      <c r="I185" s="11">
        <v>0</v>
      </c>
      <c r="J185" s="11">
        <v>0</v>
      </c>
      <c r="K185" s="11">
        <v>0</v>
      </c>
      <c r="L185" s="11">
        <v>0</v>
      </c>
      <c r="M185" s="11">
        <v>0</v>
      </c>
      <c r="N185" s="11">
        <v>0</v>
      </c>
      <c r="O185" s="11">
        <v>0</v>
      </c>
      <c r="P185" s="11">
        <v>0</v>
      </c>
      <c r="Q185" s="12"/>
      <c r="R185" s="12"/>
      <c r="S185" s="12">
        <f>$G$185*$G$8+$H$185*$H$8+$I$185*$I$8+$J$185*$J$8+$K$185*$K$8+$L$185*$L$8+$M$185*$M$8+$N$185*$N$8+$O$185*$O$8+$P$185*$P$8</f>
        <v>0</v>
      </c>
      <c r="T185" s="12">
        <f>SUM($Q$185:$R$185)</f>
        <v>0</v>
      </c>
      <c r="U185" s="12">
        <f>$S$185+$T$185</f>
        <v>0</v>
      </c>
    </row>
    <row r="186" spans="1:21" x14ac:dyDescent="0.3">
      <c r="A186" s="13" t="s">
        <v>680</v>
      </c>
      <c r="B186" s="14" t="s">
        <v>681</v>
      </c>
      <c r="C186" s="14"/>
      <c r="D186" s="14" t="s">
        <v>682</v>
      </c>
      <c r="E186" s="14">
        <f xml:space="preserve"> IF($U$186,1,0)</f>
        <v>0</v>
      </c>
      <c r="F186" s="14" t="s">
        <v>683</v>
      </c>
      <c r="G186" s="14">
        <v>0</v>
      </c>
      <c r="H186" s="14">
        <v>0</v>
      </c>
      <c r="I186" s="14">
        <v>0</v>
      </c>
      <c r="J186" s="14">
        <v>0</v>
      </c>
      <c r="K186" s="14">
        <v>0</v>
      </c>
      <c r="L186" s="14">
        <v>0</v>
      </c>
      <c r="M186" s="14">
        <v>0</v>
      </c>
      <c r="N186" s="14">
        <v>0</v>
      </c>
      <c r="O186" s="14">
        <v>0</v>
      </c>
      <c r="P186" s="14">
        <v>0</v>
      </c>
      <c r="Q186" s="15"/>
      <c r="R186" s="15"/>
      <c r="S186" s="15">
        <f>$G$186*$G$8+$H$186*$H$8+$I$186*$I$8+$J$186*$J$8+$K$186*$K$8+$L$186*$L$8+$M$186*$M$8+$N$186*$N$8+$O$186*$O$8+$P$186*$P$8</f>
        <v>0</v>
      </c>
      <c r="T186" s="15">
        <f>SUM($Q$186:$R$186)</f>
        <v>0</v>
      </c>
      <c r="U186" s="15">
        <f>$S$186+$T$186</f>
        <v>0</v>
      </c>
    </row>
    <row r="187" spans="1:21" x14ac:dyDescent="0.3">
      <c r="A187" s="10" t="s">
        <v>684</v>
      </c>
      <c r="B187" s="11" t="s">
        <v>685</v>
      </c>
      <c r="C187" s="11"/>
      <c r="D187" s="11" t="s">
        <v>686</v>
      </c>
      <c r="E187" s="11">
        <f xml:space="preserve"> IF($U$187,1,0)</f>
        <v>0</v>
      </c>
      <c r="F187" s="11" t="s">
        <v>687</v>
      </c>
      <c r="G187" s="11">
        <v>0</v>
      </c>
      <c r="H187" s="11">
        <v>0</v>
      </c>
      <c r="I187" s="11">
        <v>0</v>
      </c>
      <c r="J187" s="11">
        <v>0</v>
      </c>
      <c r="K187" s="11">
        <v>0</v>
      </c>
      <c r="L187" s="11">
        <v>0</v>
      </c>
      <c r="M187" s="11">
        <v>0</v>
      </c>
      <c r="N187" s="11">
        <v>0</v>
      </c>
      <c r="O187" s="11">
        <v>0</v>
      </c>
      <c r="P187" s="11">
        <v>0</v>
      </c>
      <c r="Q187" s="12"/>
      <c r="R187" s="12"/>
      <c r="S187" s="12">
        <f>$G$187*$G$8+$H$187*$H$8+$I$187*$I$8+$J$187*$J$8+$K$187*$K$8+$L$187*$L$8+$M$187*$M$8+$N$187*$N$8+$O$187*$O$8+$P$187*$P$8</f>
        <v>0</v>
      </c>
      <c r="T187" s="12">
        <f>SUM($Q$187:$R$187)</f>
        <v>0</v>
      </c>
      <c r="U187" s="12">
        <f>$S$187+$T$187</f>
        <v>0</v>
      </c>
    </row>
    <row r="188" spans="1:21" x14ac:dyDescent="0.3">
      <c r="A188" s="13" t="s">
        <v>688</v>
      </c>
      <c r="B188" s="14" t="s">
        <v>689</v>
      </c>
      <c r="C188" s="14"/>
      <c r="D188" s="14" t="s">
        <v>690</v>
      </c>
      <c r="E188" s="14">
        <f xml:space="preserve"> IF($U$188,1,0)</f>
        <v>0</v>
      </c>
      <c r="F188" s="14" t="s">
        <v>691</v>
      </c>
      <c r="G188" s="14">
        <v>0</v>
      </c>
      <c r="H188" s="14">
        <v>0</v>
      </c>
      <c r="I188" s="14">
        <v>0</v>
      </c>
      <c r="J188" s="14">
        <v>0</v>
      </c>
      <c r="K188" s="14">
        <v>0</v>
      </c>
      <c r="L188" s="14">
        <v>0</v>
      </c>
      <c r="M188" s="14">
        <v>0</v>
      </c>
      <c r="N188" s="14">
        <v>0</v>
      </c>
      <c r="O188" s="14">
        <v>0</v>
      </c>
      <c r="P188" s="14">
        <v>0</v>
      </c>
      <c r="Q188" s="15"/>
      <c r="R188" s="15"/>
      <c r="S188" s="15">
        <f>$G$188*$G$8+$H$188*$H$8+$I$188*$I$8+$J$188*$J$8+$K$188*$K$8+$L$188*$L$8+$M$188*$M$8+$N$188*$N$8+$O$188*$O$8+$P$188*$P$8</f>
        <v>0</v>
      </c>
      <c r="T188" s="15">
        <f>SUM($Q$188:$R$188)</f>
        <v>0</v>
      </c>
      <c r="U188" s="15">
        <f>$S$188+$T$188</f>
        <v>0</v>
      </c>
    </row>
    <row r="189" spans="1:21" x14ac:dyDescent="0.3">
      <c r="A189" s="10" t="s">
        <v>692</v>
      </c>
      <c r="B189" s="11" t="s">
        <v>693</v>
      </c>
      <c r="C189" s="11" t="s">
        <v>65</v>
      </c>
      <c r="D189" s="11" t="s">
        <v>694</v>
      </c>
      <c r="E189" s="11">
        <f xml:space="preserve"> IF($U$189,1,0)</f>
        <v>0</v>
      </c>
      <c r="F189" s="11" t="s">
        <v>695</v>
      </c>
      <c r="G189" s="11">
        <v>0</v>
      </c>
      <c r="H189" s="11">
        <v>0</v>
      </c>
      <c r="I189" s="11">
        <v>0</v>
      </c>
      <c r="J189" s="11">
        <v>0</v>
      </c>
      <c r="K189" s="11">
        <v>0</v>
      </c>
      <c r="L189" s="11">
        <v>0</v>
      </c>
      <c r="M189" s="11">
        <v>0</v>
      </c>
      <c r="N189" s="11">
        <v>0</v>
      </c>
      <c r="O189" s="11">
        <v>0</v>
      </c>
      <c r="P189" s="11">
        <v>0</v>
      </c>
      <c r="Q189" s="12"/>
      <c r="R189" s="12"/>
      <c r="S189" s="12">
        <f>$G$189*$G$8+$H$189*$H$8+$I$189*$I$8+$J$189*$J$8+$K$189*$K$8+$L$189*$L$8+$M$189*$M$8+$N$189*$N$8+$O$189*$O$8+$P$189*$P$8</f>
        <v>0</v>
      </c>
      <c r="T189" s="12">
        <f>SUM($Q$189:$R$189)</f>
        <v>0</v>
      </c>
      <c r="U189" s="12">
        <f>$S$189+$T$189</f>
        <v>0</v>
      </c>
    </row>
    <row r="190" spans="1:21" x14ac:dyDescent="0.3">
      <c r="A190" s="13" t="s">
        <v>696</v>
      </c>
      <c r="B190" s="14" t="s">
        <v>697</v>
      </c>
      <c r="C190" s="14"/>
      <c r="D190" s="14" t="s">
        <v>698</v>
      </c>
      <c r="E190" s="14">
        <f xml:space="preserve"> IF($U$190,1,0)</f>
        <v>0</v>
      </c>
      <c r="F190" s="14" t="s">
        <v>699</v>
      </c>
      <c r="G190" s="14">
        <v>0</v>
      </c>
      <c r="H190" s="14">
        <v>0</v>
      </c>
      <c r="I190" s="14">
        <v>0</v>
      </c>
      <c r="J190" s="14">
        <v>0</v>
      </c>
      <c r="K190" s="14">
        <v>0</v>
      </c>
      <c r="L190" s="14">
        <v>0</v>
      </c>
      <c r="M190" s="14">
        <v>0</v>
      </c>
      <c r="N190" s="14">
        <v>0</v>
      </c>
      <c r="O190" s="14">
        <v>0</v>
      </c>
      <c r="P190" s="14">
        <v>0</v>
      </c>
      <c r="Q190" s="15"/>
      <c r="R190" s="15"/>
      <c r="S190" s="15">
        <f>$G$190*$G$8+$H$190*$H$8+$I$190*$I$8+$J$190*$J$8+$K$190*$K$8+$L$190*$L$8+$M$190*$M$8+$N$190*$N$8+$O$190*$O$8+$P$190*$P$8</f>
        <v>0</v>
      </c>
      <c r="T190" s="15">
        <f>SUM($Q$190:$R$190)</f>
        <v>0</v>
      </c>
      <c r="U190" s="15">
        <f>$S$190+$T$190</f>
        <v>0</v>
      </c>
    </row>
    <row r="191" spans="1:21" x14ac:dyDescent="0.3">
      <c r="A191" s="10" t="s">
        <v>700</v>
      </c>
      <c r="B191" s="11" t="s">
        <v>697</v>
      </c>
      <c r="C191" s="11"/>
      <c r="D191" s="11" t="s">
        <v>701</v>
      </c>
      <c r="E191" s="11">
        <f xml:space="preserve"> IF($U$191,1,0)</f>
        <v>0</v>
      </c>
      <c r="F191" s="11" t="s">
        <v>702</v>
      </c>
      <c r="G191" s="11">
        <v>0</v>
      </c>
      <c r="H191" s="11">
        <v>0</v>
      </c>
      <c r="I191" s="11">
        <v>0</v>
      </c>
      <c r="J191" s="11">
        <v>0</v>
      </c>
      <c r="K191" s="11">
        <v>0</v>
      </c>
      <c r="L191" s="11">
        <v>0</v>
      </c>
      <c r="M191" s="11">
        <v>0</v>
      </c>
      <c r="N191" s="11">
        <v>0</v>
      </c>
      <c r="O191" s="11">
        <v>0</v>
      </c>
      <c r="P191" s="11">
        <v>0</v>
      </c>
      <c r="Q191" s="12"/>
      <c r="R191" s="12"/>
      <c r="S191" s="12">
        <f>$G$191*$G$8+$H$191*$H$8+$I$191*$I$8+$J$191*$J$8+$K$191*$K$8+$L$191*$L$8+$M$191*$M$8+$N$191*$N$8+$O$191*$O$8+$P$191*$P$8</f>
        <v>0</v>
      </c>
      <c r="T191" s="12">
        <f>SUM($Q$191:$R$191)</f>
        <v>0</v>
      </c>
      <c r="U191" s="12">
        <f>$S$191+$T$191</f>
        <v>0</v>
      </c>
    </row>
    <row r="192" spans="1:21" x14ac:dyDescent="0.3">
      <c r="A192" s="13" t="s">
        <v>703</v>
      </c>
      <c r="B192" s="14" t="s">
        <v>704</v>
      </c>
      <c r="C192" s="14"/>
      <c r="D192" s="14" t="s">
        <v>705</v>
      </c>
      <c r="E192" s="14">
        <f xml:space="preserve"> IF($U$192,1,0)</f>
        <v>0</v>
      </c>
      <c r="F192" s="14" t="s">
        <v>706</v>
      </c>
      <c r="G192" s="14">
        <v>0</v>
      </c>
      <c r="H192" s="14">
        <v>0</v>
      </c>
      <c r="I192" s="14">
        <v>0</v>
      </c>
      <c r="J192" s="14">
        <v>0</v>
      </c>
      <c r="K192" s="14">
        <v>0</v>
      </c>
      <c r="L192" s="14">
        <v>0</v>
      </c>
      <c r="M192" s="14">
        <v>0</v>
      </c>
      <c r="N192" s="14">
        <v>0</v>
      </c>
      <c r="O192" s="14">
        <v>0</v>
      </c>
      <c r="P192" s="14">
        <v>0</v>
      </c>
      <c r="Q192" s="15"/>
      <c r="R192" s="15"/>
      <c r="S192" s="15">
        <f>$G$192*$G$8+$H$192*$H$8+$I$192*$I$8+$J$192*$J$8+$K$192*$K$8+$L$192*$L$8+$M$192*$M$8+$N$192*$N$8+$O$192*$O$8+$P$192*$P$8</f>
        <v>0</v>
      </c>
      <c r="T192" s="15">
        <f>SUM($Q$192:$R$192)</f>
        <v>0</v>
      </c>
      <c r="U192" s="15">
        <f>$S$192+$T$192</f>
        <v>0</v>
      </c>
    </row>
    <row r="193" spans="1:21" x14ac:dyDescent="0.3">
      <c r="A193" s="10" t="s">
        <v>707</v>
      </c>
      <c r="B193" s="11" t="s">
        <v>708</v>
      </c>
      <c r="C193" s="11"/>
      <c r="D193" s="11" t="s">
        <v>222</v>
      </c>
      <c r="E193" s="11">
        <f xml:space="preserve"> IF($U$193,1,0)</f>
        <v>0</v>
      </c>
      <c r="F193" s="11" t="s">
        <v>709</v>
      </c>
      <c r="G193" s="11">
        <v>0</v>
      </c>
      <c r="H193" s="11">
        <v>0</v>
      </c>
      <c r="I193" s="11">
        <v>0</v>
      </c>
      <c r="J193" s="11">
        <v>0</v>
      </c>
      <c r="K193" s="11">
        <v>0</v>
      </c>
      <c r="L193" s="11">
        <v>0</v>
      </c>
      <c r="M193" s="11">
        <v>0</v>
      </c>
      <c r="N193" s="11">
        <v>0</v>
      </c>
      <c r="O193" s="11">
        <v>0</v>
      </c>
      <c r="P193" s="11">
        <v>0</v>
      </c>
      <c r="Q193" s="12"/>
      <c r="R193" s="12"/>
      <c r="S193" s="12">
        <f>$G$193*$G$8+$H$193*$H$8+$I$193*$I$8+$J$193*$J$8+$K$193*$K$8+$L$193*$L$8+$M$193*$M$8+$N$193*$N$8+$O$193*$O$8+$P$193*$P$8</f>
        <v>0</v>
      </c>
      <c r="T193" s="12">
        <f>SUM($Q$193:$R$193)</f>
        <v>0</v>
      </c>
      <c r="U193" s="12">
        <f>$S$193+$T$193</f>
        <v>0</v>
      </c>
    </row>
    <row r="194" spans="1:21" x14ac:dyDescent="0.3">
      <c r="A194" s="13" t="s">
        <v>710</v>
      </c>
      <c r="B194" s="14" t="s">
        <v>708</v>
      </c>
      <c r="C194" s="14"/>
      <c r="D194" s="14" t="s">
        <v>711</v>
      </c>
      <c r="E194" s="14">
        <f xml:space="preserve"> IF($U$194,1,0)</f>
        <v>0</v>
      </c>
      <c r="F194" s="14" t="s">
        <v>712</v>
      </c>
      <c r="G194" s="14">
        <v>0</v>
      </c>
      <c r="H194" s="14">
        <v>0</v>
      </c>
      <c r="I194" s="14">
        <v>0</v>
      </c>
      <c r="J194" s="14">
        <v>0</v>
      </c>
      <c r="K194" s="14">
        <v>0</v>
      </c>
      <c r="L194" s="14">
        <v>0</v>
      </c>
      <c r="M194" s="14">
        <v>0</v>
      </c>
      <c r="N194" s="14">
        <v>0</v>
      </c>
      <c r="O194" s="14">
        <v>0</v>
      </c>
      <c r="P194" s="14">
        <v>0</v>
      </c>
      <c r="Q194" s="15"/>
      <c r="R194" s="15"/>
      <c r="S194" s="15">
        <f>$G$194*$G$8+$H$194*$H$8+$I$194*$I$8+$J$194*$J$8+$K$194*$K$8+$L$194*$L$8+$M$194*$M$8+$N$194*$N$8+$O$194*$O$8+$P$194*$P$8</f>
        <v>0</v>
      </c>
      <c r="T194" s="15">
        <f>SUM($Q$194:$R$194)</f>
        <v>0</v>
      </c>
      <c r="U194" s="15">
        <f>$S$194+$T$194</f>
        <v>0</v>
      </c>
    </row>
    <row r="195" spans="1:21" x14ac:dyDescent="0.3">
      <c r="A195" s="10" t="s">
        <v>713</v>
      </c>
      <c r="B195" s="11" t="s">
        <v>708</v>
      </c>
      <c r="C195" s="11"/>
      <c r="D195" s="11" t="s">
        <v>714</v>
      </c>
      <c r="E195" s="11">
        <f xml:space="preserve"> IF($U$195,1,0)</f>
        <v>0</v>
      </c>
      <c r="F195" s="11" t="s">
        <v>715</v>
      </c>
      <c r="G195" s="11">
        <v>0</v>
      </c>
      <c r="H195" s="11">
        <v>0</v>
      </c>
      <c r="I195" s="11">
        <v>0</v>
      </c>
      <c r="J195" s="11">
        <v>0</v>
      </c>
      <c r="K195" s="11">
        <v>0</v>
      </c>
      <c r="L195" s="11">
        <v>0</v>
      </c>
      <c r="M195" s="11">
        <v>0</v>
      </c>
      <c r="N195" s="11">
        <v>0</v>
      </c>
      <c r="O195" s="11">
        <v>0</v>
      </c>
      <c r="P195" s="11">
        <v>0</v>
      </c>
      <c r="Q195" s="12"/>
      <c r="R195" s="12"/>
      <c r="S195" s="12">
        <f>$G$195*$G$8+$H$195*$H$8+$I$195*$I$8+$J$195*$J$8+$K$195*$K$8+$L$195*$L$8+$M$195*$M$8+$N$195*$N$8+$O$195*$O$8+$P$195*$P$8</f>
        <v>0</v>
      </c>
      <c r="T195" s="12">
        <f>SUM($Q$195:$R$195)</f>
        <v>0</v>
      </c>
      <c r="U195" s="12">
        <f>$S$195+$T$195</f>
        <v>0</v>
      </c>
    </row>
    <row r="196" spans="1:21" x14ac:dyDescent="0.3">
      <c r="A196" s="13" t="s">
        <v>716</v>
      </c>
      <c r="B196" s="14" t="s">
        <v>717</v>
      </c>
      <c r="C196" s="14"/>
      <c r="D196" s="14" t="s">
        <v>718</v>
      </c>
      <c r="E196" s="14">
        <f xml:space="preserve"> IF($U$196,1,0)</f>
        <v>0</v>
      </c>
      <c r="F196" s="14" t="s">
        <v>719</v>
      </c>
      <c r="G196" s="14">
        <v>0</v>
      </c>
      <c r="H196" s="14">
        <v>0</v>
      </c>
      <c r="I196" s="14">
        <v>0</v>
      </c>
      <c r="J196" s="14">
        <v>0</v>
      </c>
      <c r="K196" s="14">
        <v>0</v>
      </c>
      <c r="L196" s="14">
        <v>0</v>
      </c>
      <c r="M196" s="14">
        <v>0</v>
      </c>
      <c r="N196" s="14">
        <v>0</v>
      </c>
      <c r="O196" s="14">
        <v>0</v>
      </c>
      <c r="P196" s="14">
        <v>0</v>
      </c>
      <c r="Q196" s="15"/>
      <c r="R196" s="15"/>
      <c r="S196" s="15">
        <f>$G$196*$G$8+$H$196*$H$8+$I$196*$I$8+$J$196*$J$8+$K$196*$K$8+$L$196*$L$8+$M$196*$M$8+$N$196*$N$8+$O$196*$O$8+$P$196*$P$8</f>
        <v>0</v>
      </c>
      <c r="T196" s="15">
        <f>SUM($Q$196:$R$196)</f>
        <v>0</v>
      </c>
      <c r="U196" s="15">
        <f>$S$196+$T$196</f>
        <v>0</v>
      </c>
    </row>
    <row r="197" spans="1:21" x14ac:dyDescent="0.3">
      <c r="A197" s="10" t="s">
        <v>720</v>
      </c>
      <c r="B197" s="11" t="s">
        <v>721</v>
      </c>
      <c r="C197" s="11"/>
      <c r="D197" s="11" t="s">
        <v>722</v>
      </c>
      <c r="E197" s="11">
        <f xml:space="preserve"> IF($U$197,1,0)</f>
        <v>0</v>
      </c>
      <c r="F197" s="11" t="s">
        <v>723</v>
      </c>
      <c r="G197" s="11">
        <v>0</v>
      </c>
      <c r="H197" s="11">
        <v>0</v>
      </c>
      <c r="I197" s="11">
        <v>0</v>
      </c>
      <c r="J197" s="11">
        <v>0</v>
      </c>
      <c r="K197" s="11">
        <v>0</v>
      </c>
      <c r="L197" s="11">
        <v>0</v>
      </c>
      <c r="M197" s="11">
        <v>0</v>
      </c>
      <c r="N197" s="11">
        <v>0</v>
      </c>
      <c r="O197" s="11">
        <v>0</v>
      </c>
      <c r="P197" s="11">
        <v>0</v>
      </c>
      <c r="Q197" s="12"/>
      <c r="R197" s="12"/>
      <c r="S197" s="12">
        <f>$G$197*$G$8+$H$197*$H$8+$I$197*$I$8+$J$197*$J$8+$K$197*$K$8+$L$197*$L$8+$M$197*$M$8+$N$197*$N$8+$O$197*$O$8+$P$197*$P$8</f>
        <v>0</v>
      </c>
      <c r="T197" s="12">
        <f>SUM($Q$197:$R$197)</f>
        <v>0</v>
      </c>
      <c r="U197" s="12">
        <f>$S$197+$T$197</f>
        <v>0</v>
      </c>
    </row>
    <row r="198" spans="1:21" x14ac:dyDescent="0.3">
      <c r="A198" s="13" t="s">
        <v>724</v>
      </c>
      <c r="B198" s="14" t="s">
        <v>721</v>
      </c>
      <c r="C198" s="14"/>
      <c r="D198" s="14" t="s">
        <v>725</v>
      </c>
      <c r="E198" s="14">
        <f xml:space="preserve"> IF($U$198,1,0)</f>
        <v>0</v>
      </c>
      <c r="F198" s="14" t="s">
        <v>726</v>
      </c>
      <c r="G198" s="14">
        <v>0</v>
      </c>
      <c r="H198" s="14">
        <v>0</v>
      </c>
      <c r="I198" s="14">
        <v>0</v>
      </c>
      <c r="J198" s="14">
        <v>0</v>
      </c>
      <c r="K198" s="14">
        <v>0</v>
      </c>
      <c r="L198" s="14">
        <v>0</v>
      </c>
      <c r="M198" s="14">
        <v>0</v>
      </c>
      <c r="N198" s="14">
        <v>0</v>
      </c>
      <c r="O198" s="14">
        <v>0</v>
      </c>
      <c r="P198" s="14">
        <v>0</v>
      </c>
      <c r="Q198" s="15"/>
      <c r="R198" s="15"/>
      <c r="S198" s="15">
        <f>$G$198*$G$8+$H$198*$H$8+$I$198*$I$8+$J$198*$J$8+$K$198*$K$8+$L$198*$L$8+$M$198*$M$8+$N$198*$N$8+$O$198*$O$8+$P$198*$P$8</f>
        <v>0</v>
      </c>
      <c r="T198" s="15">
        <f>SUM($Q$198:$R$198)</f>
        <v>0</v>
      </c>
      <c r="U198" s="15">
        <f>$S$198+$T$198</f>
        <v>0</v>
      </c>
    </row>
    <row r="199" spans="1:21" x14ac:dyDescent="0.3">
      <c r="A199" s="10" t="s">
        <v>727</v>
      </c>
      <c r="B199" s="11" t="s">
        <v>728</v>
      </c>
      <c r="C199" s="11"/>
      <c r="D199" s="11" t="s">
        <v>729</v>
      </c>
      <c r="E199" s="11">
        <f xml:space="preserve"> IF($U$199,1,0)</f>
        <v>0</v>
      </c>
      <c r="F199" s="11" t="s">
        <v>730</v>
      </c>
      <c r="G199" s="11">
        <v>0</v>
      </c>
      <c r="H199" s="11">
        <v>0</v>
      </c>
      <c r="I199" s="11">
        <v>0</v>
      </c>
      <c r="J199" s="11">
        <v>0</v>
      </c>
      <c r="K199" s="11">
        <v>0</v>
      </c>
      <c r="L199" s="11">
        <v>0</v>
      </c>
      <c r="M199" s="11">
        <v>0</v>
      </c>
      <c r="N199" s="11">
        <v>0</v>
      </c>
      <c r="O199" s="11">
        <v>0</v>
      </c>
      <c r="P199" s="11">
        <v>0</v>
      </c>
      <c r="Q199" s="12"/>
      <c r="R199" s="12"/>
      <c r="S199" s="12">
        <f>$G$199*$G$8+$H$199*$H$8+$I$199*$I$8+$J$199*$J$8+$K$199*$K$8+$L$199*$L$8+$M$199*$M$8+$N$199*$N$8+$O$199*$O$8+$P$199*$P$8</f>
        <v>0</v>
      </c>
      <c r="T199" s="12">
        <f>SUM($Q$199:$R$199)</f>
        <v>0</v>
      </c>
      <c r="U199" s="12">
        <f>$S$199+$T$199</f>
        <v>0</v>
      </c>
    </row>
    <row r="200" spans="1:21" x14ac:dyDescent="0.3">
      <c r="A200" s="13" t="s">
        <v>731</v>
      </c>
      <c r="B200" s="14" t="s">
        <v>732</v>
      </c>
      <c r="C200" s="14"/>
      <c r="D200" s="14" t="s">
        <v>733</v>
      </c>
      <c r="E200" s="14">
        <f xml:space="preserve"> IF($U$200,1,0)</f>
        <v>0</v>
      </c>
      <c r="F200" s="14" t="s">
        <v>734</v>
      </c>
      <c r="G200" s="14">
        <v>0</v>
      </c>
      <c r="H200" s="14">
        <v>0</v>
      </c>
      <c r="I200" s="14">
        <v>0</v>
      </c>
      <c r="J200" s="14">
        <v>0</v>
      </c>
      <c r="K200" s="14">
        <v>0</v>
      </c>
      <c r="L200" s="14">
        <v>0</v>
      </c>
      <c r="M200" s="14">
        <v>0</v>
      </c>
      <c r="N200" s="14">
        <v>0</v>
      </c>
      <c r="O200" s="14">
        <v>0</v>
      </c>
      <c r="P200" s="14">
        <v>0</v>
      </c>
      <c r="Q200" s="15"/>
      <c r="R200" s="15"/>
      <c r="S200" s="15">
        <f>$G$200*$G$8+$H$200*$H$8+$I$200*$I$8+$J$200*$J$8+$K$200*$K$8+$L$200*$L$8+$M$200*$M$8+$N$200*$N$8+$O$200*$O$8+$P$200*$P$8</f>
        <v>0</v>
      </c>
      <c r="T200" s="15">
        <f>SUM($Q$200:$R$200)</f>
        <v>0</v>
      </c>
      <c r="U200" s="15">
        <f>$S$200+$T$200</f>
        <v>0</v>
      </c>
    </row>
    <row r="201" spans="1:21" x14ac:dyDescent="0.3">
      <c r="A201" s="10" t="s">
        <v>735</v>
      </c>
      <c r="B201" s="11" t="s">
        <v>736</v>
      </c>
      <c r="C201" s="11"/>
      <c r="D201" s="11" t="s">
        <v>737</v>
      </c>
      <c r="E201" s="11">
        <f xml:space="preserve"> IF($U$201,1,0)</f>
        <v>0</v>
      </c>
      <c r="F201" s="11" t="s">
        <v>738</v>
      </c>
      <c r="G201" s="11">
        <v>0</v>
      </c>
      <c r="H201" s="11">
        <v>0</v>
      </c>
      <c r="I201" s="11">
        <v>0</v>
      </c>
      <c r="J201" s="11">
        <v>0</v>
      </c>
      <c r="K201" s="11">
        <v>0</v>
      </c>
      <c r="L201" s="11">
        <v>0</v>
      </c>
      <c r="M201" s="11">
        <v>0</v>
      </c>
      <c r="N201" s="11">
        <v>0</v>
      </c>
      <c r="O201" s="11">
        <v>0</v>
      </c>
      <c r="P201" s="11">
        <v>0</v>
      </c>
      <c r="Q201" s="12"/>
      <c r="R201" s="12"/>
      <c r="S201" s="12">
        <f>$G$201*$G$8+$H$201*$H$8+$I$201*$I$8+$J$201*$J$8+$K$201*$K$8+$L$201*$L$8+$M$201*$M$8+$N$201*$N$8+$O$201*$O$8+$P$201*$P$8</f>
        <v>0</v>
      </c>
      <c r="T201" s="12">
        <f>SUM($Q$201:$R$201)</f>
        <v>0</v>
      </c>
      <c r="U201" s="12">
        <f>$S$201+$T$201</f>
        <v>0</v>
      </c>
    </row>
    <row r="202" spans="1:21" x14ac:dyDescent="0.3">
      <c r="A202" s="13" t="s">
        <v>739</v>
      </c>
      <c r="B202" s="14" t="s">
        <v>740</v>
      </c>
      <c r="C202" s="14" t="s">
        <v>65</v>
      </c>
      <c r="D202" s="14" t="s">
        <v>239</v>
      </c>
      <c r="E202" s="14">
        <f xml:space="preserve"> IF($U$202,1,0)</f>
        <v>0</v>
      </c>
      <c r="F202" s="14" t="s">
        <v>741</v>
      </c>
      <c r="G202" s="14">
        <v>0</v>
      </c>
      <c r="H202" s="14">
        <v>0</v>
      </c>
      <c r="I202" s="14">
        <v>0</v>
      </c>
      <c r="J202" s="14">
        <v>0</v>
      </c>
      <c r="K202" s="14">
        <v>0</v>
      </c>
      <c r="L202" s="14">
        <v>0</v>
      </c>
      <c r="M202" s="14">
        <v>0</v>
      </c>
      <c r="N202" s="14">
        <v>0</v>
      </c>
      <c r="O202" s="14">
        <v>0</v>
      </c>
      <c r="P202" s="14">
        <v>0</v>
      </c>
      <c r="Q202" s="15"/>
      <c r="R202" s="15"/>
      <c r="S202" s="15">
        <f>$G$202*$G$8+$H$202*$H$8+$I$202*$I$8+$J$202*$J$8+$K$202*$K$8+$L$202*$L$8+$M$202*$M$8+$N$202*$N$8+$O$202*$O$8+$P$202*$P$8</f>
        <v>0</v>
      </c>
      <c r="T202" s="15">
        <f>SUM($Q$202:$R$202)</f>
        <v>0</v>
      </c>
      <c r="U202" s="15">
        <f>$S$202+$T$202</f>
        <v>0</v>
      </c>
    </row>
    <row r="203" spans="1:21" x14ac:dyDescent="0.3">
      <c r="A203" s="10" t="s">
        <v>742</v>
      </c>
      <c r="B203" s="11" t="s">
        <v>743</v>
      </c>
      <c r="C203" s="11"/>
      <c r="D203" s="11" t="s">
        <v>744</v>
      </c>
      <c r="E203" s="11">
        <f xml:space="preserve"> IF($U$203,1,0)</f>
        <v>0</v>
      </c>
      <c r="F203" s="11" t="s">
        <v>745</v>
      </c>
      <c r="G203" s="11">
        <v>0</v>
      </c>
      <c r="H203" s="11">
        <v>0</v>
      </c>
      <c r="I203" s="11">
        <v>0</v>
      </c>
      <c r="J203" s="11">
        <v>0</v>
      </c>
      <c r="K203" s="11">
        <v>0</v>
      </c>
      <c r="L203" s="11">
        <v>0</v>
      </c>
      <c r="M203" s="11">
        <v>0</v>
      </c>
      <c r="N203" s="11">
        <v>0</v>
      </c>
      <c r="O203" s="11">
        <v>0</v>
      </c>
      <c r="P203" s="11">
        <v>0</v>
      </c>
      <c r="Q203" s="12"/>
      <c r="R203" s="12"/>
      <c r="S203" s="12">
        <f>$G$203*$G$8+$H$203*$H$8+$I$203*$I$8+$J$203*$J$8+$K$203*$K$8+$L$203*$L$8+$M$203*$M$8+$N$203*$N$8+$O$203*$O$8+$P$203*$P$8</f>
        <v>0</v>
      </c>
      <c r="T203" s="12">
        <f>SUM($Q$203:$R$203)</f>
        <v>0</v>
      </c>
      <c r="U203" s="12">
        <f>$S$203+$T$203</f>
        <v>0</v>
      </c>
    </row>
    <row r="204" spans="1:21" x14ac:dyDescent="0.3">
      <c r="A204" s="13" t="s">
        <v>746</v>
      </c>
      <c r="B204" s="14" t="s">
        <v>747</v>
      </c>
      <c r="C204" s="14"/>
      <c r="D204" s="14" t="s">
        <v>748</v>
      </c>
      <c r="E204" s="14">
        <f xml:space="preserve"> IF($U$204,1,0)</f>
        <v>0</v>
      </c>
      <c r="F204" s="14" t="s">
        <v>749</v>
      </c>
      <c r="G204" s="14">
        <v>0</v>
      </c>
      <c r="H204" s="14">
        <v>0</v>
      </c>
      <c r="I204" s="14">
        <v>0</v>
      </c>
      <c r="J204" s="14">
        <v>0</v>
      </c>
      <c r="K204" s="14">
        <v>0</v>
      </c>
      <c r="L204" s="14">
        <v>0</v>
      </c>
      <c r="M204" s="14">
        <v>0</v>
      </c>
      <c r="N204" s="14">
        <v>0</v>
      </c>
      <c r="O204" s="14">
        <v>0</v>
      </c>
      <c r="P204" s="14">
        <v>0</v>
      </c>
      <c r="Q204" s="15"/>
      <c r="R204" s="15"/>
      <c r="S204" s="15">
        <f>$G$204*$G$8+$H$204*$H$8+$I$204*$I$8+$J$204*$J$8+$K$204*$K$8+$L$204*$L$8+$M$204*$M$8+$N$204*$N$8+$O$204*$O$8+$P$204*$P$8</f>
        <v>0</v>
      </c>
      <c r="T204" s="15">
        <f>SUM($Q$204:$R$204)</f>
        <v>0</v>
      </c>
      <c r="U204" s="15">
        <f>$S$204+$T$204</f>
        <v>0</v>
      </c>
    </row>
    <row r="205" spans="1:21" x14ac:dyDescent="0.3">
      <c r="A205" s="10" t="s">
        <v>750</v>
      </c>
      <c r="B205" s="11" t="s">
        <v>751</v>
      </c>
      <c r="C205" s="11"/>
      <c r="D205" s="11" t="s">
        <v>752</v>
      </c>
      <c r="E205" s="11">
        <f xml:space="preserve"> IF($U$205,1,0)</f>
        <v>0</v>
      </c>
      <c r="F205" s="11" t="s">
        <v>753</v>
      </c>
      <c r="G205" s="11">
        <v>0</v>
      </c>
      <c r="H205" s="11">
        <v>0</v>
      </c>
      <c r="I205" s="11">
        <v>0</v>
      </c>
      <c r="J205" s="11">
        <v>0</v>
      </c>
      <c r="K205" s="11">
        <v>0</v>
      </c>
      <c r="L205" s="11">
        <v>0</v>
      </c>
      <c r="M205" s="11">
        <v>0</v>
      </c>
      <c r="N205" s="11">
        <v>0</v>
      </c>
      <c r="O205" s="11">
        <v>0</v>
      </c>
      <c r="P205" s="11">
        <v>0</v>
      </c>
      <c r="Q205" s="12"/>
      <c r="R205" s="12"/>
      <c r="S205" s="12">
        <f>$G$205*$G$8+$H$205*$H$8+$I$205*$I$8+$J$205*$J$8+$K$205*$K$8+$L$205*$L$8+$M$205*$M$8+$N$205*$N$8+$O$205*$O$8+$P$205*$P$8</f>
        <v>0</v>
      </c>
      <c r="T205" s="12">
        <f>SUM($Q$205:$R$205)</f>
        <v>0</v>
      </c>
      <c r="U205" s="12">
        <f>$S$205+$T$205</f>
        <v>0</v>
      </c>
    </row>
    <row r="206" spans="1:21" x14ac:dyDescent="0.3">
      <c r="A206" s="13" t="s">
        <v>754</v>
      </c>
      <c r="B206" s="14" t="s">
        <v>755</v>
      </c>
      <c r="C206" s="14"/>
      <c r="D206" s="14" t="s">
        <v>756</v>
      </c>
      <c r="E206" s="14">
        <f xml:space="preserve"> IF($U$206,1,0)</f>
        <v>0</v>
      </c>
      <c r="F206" s="14" t="s">
        <v>757</v>
      </c>
      <c r="G206" s="14">
        <v>0</v>
      </c>
      <c r="H206" s="14">
        <v>0</v>
      </c>
      <c r="I206" s="14">
        <v>0</v>
      </c>
      <c r="J206" s="14">
        <v>0</v>
      </c>
      <c r="K206" s="14">
        <v>0</v>
      </c>
      <c r="L206" s="14">
        <v>0</v>
      </c>
      <c r="M206" s="14">
        <v>0</v>
      </c>
      <c r="N206" s="14">
        <v>0</v>
      </c>
      <c r="O206" s="14">
        <v>0</v>
      </c>
      <c r="P206" s="14">
        <v>0</v>
      </c>
      <c r="Q206" s="15"/>
      <c r="R206" s="15"/>
      <c r="S206" s="15">
        <f>$G$206*$G$8+$H$206*$H$8+$I$206*$I$8+$J$206*$J$8+$K$206*$K$8+$L$206*$L$8+$M$206*$M$8+$N$206*$N$8+$O$206*$O$8+$P$206*$P$8</f>
        <v>0</v>
      </c>
      <c r="T206" s="15">
        <f>SUM($Q$206:$R$206)</f>
        <v>0</v>
      </c>
      <c r="U206" s="15">
        <f>$S$206+$T$206</f>
        <v>0</v>
      </c>
    </row>
    <row r="207" spans="1:21" x14ac:dyDescent="0.3">
      <c r="A207" s="10" t="s">
        <v>758</v>
      </c>
      <c r="B207" s="11" t="s">
        <v>759</v>
      </c>
      <c r="C207" s="11"/>
      <c r="D207" s="11" t="s">
        <v>760</v>
      </c>
      <c r="E207" s="11">
        <f xml:space="preserve"> IF($U$207,1,0)</f>
        <v>0</v>
      </c>
      <c r="F207" s="11" t="s">
        <v>761</v>
      </c>
      <c r="G207" s="11">
        <v>0</v>
      </c>
      <c r="H207" s="11">
        <v>0</v>
      </c>
      <c r="I207" s="11">
        <v>0</v>
      </c>
      <c r="J207" s="11">
        <v>0</v>
      </c>
      <c r="K207" s="11">
        <v>0</v>
      </c>
      <c r="L207" s="11">
        <v>0</v>
      </c>
      <c r="M207" s="11">
        <v>0</v>
      </c>
      <c r="N207" s="11">
        <v>0</v>
      </c>
      <c r="O207" s="11">
        <v>0</v>
      </c>
      <c r="P207" s="11">
        <v>0</v>
      </c>
      <c r="Q207" s="12"/>
      <c r="R207" s="12"/>
      <c r="S207" s="12">
        <f>$G$207*$G$8+$H$207*$H$8+$I$207*$I$8+$J$207*$J$8+$K$207*$K$8+$L$207*$L$8+$M$207*$M$8+$N$207*$N$8+$O$207*$O$8+$P$207*$P$8</f>
        <v>0</v>
      </c>
      <c r="T207" s="12">
        <f>SUM($Q$207:$R$207)</f>
        <v>0</v>
      </c>
      <c r="U207" s="12">
        <f>$S$207+$T$207</f>
        <v>0</v>
      </c>
    </row>
    <row r="208" spans="1:21" x14ac:dyDescent="0.3">
      <c r="A208" s="13" t="s">
        <v>762</v>
      </c>
      <c r="B208" s="14" t="s">
        <v>763</v>
      </c>
      <c r="C208" s="14"/>
      <c r="D208" s="14" t="s">
        <v>764</v>
      </c>
      <c r="E208" s="14">
        <f xml:space="preserve"> IF($U$208,1,0)</f>
        <v>0</v>
      </c>
      <c r="F208" s="14" t="s">
        <v>765</v>
      </c>
      <c r="G208" s="14">
        <v>0</v>
      </c>
      <c r="H208" s="14">
        <v>0</v>
      </c>
      <c r="I208" s="14">
        <v>0</v>
      </c>
      <c r="J208" s="14">
        <v>0</v>
      </c>
      <c r="K208" s="14">
        <v>0</v>
      </c>
      <c r="L208" s="14">
        <v>0</v>
      </c>
      <c r="M208" s="14">
        <v>0</v>
      </c>
      <c r="N208" s="14">
        <v>0</v>
      </c>
      <c r="O208" s="14">
        <v>0</v>
      </c>
      <c r="P208" s="14">
        <v>0</v>
      </c>
      <c r="Q208" s="15"/>
      <c r="R208" s="15"/>
      <c r="S208" s="15">
        <f>$G$208*$G$8+$H$208*$H$8+$I$208*$I$8+$J$208*$J$8+$K$208*$K$8+$L$208*$L$8+$M$208*$M$8+$N$208*$N$8+$O$208*$O$8+$P$208*$P$8</f>
        <v>0</v>
      </c>
      <c r="T208" s="15">
        <f>SUM($Q$208:$R$208)</f>
        <v>0</v>
      </c>
      <c r="U208" s="15">
        <f>$S$208+$T$208</f>
        <v>0</v>
      </c>
    </row>
    <row r="209" spans="1:21" x14ac:dyDescent="0.3">
      <c r="A209" s="10" t="s">
        <v>766</v>
      </c>
      <c r="B209" s="11" t="s">
        <v>767</v>
      </c>
      <c r="C209" s="11"/>
      <c r="D209" s="11" t="s">
        <v>768</v>
      </c>
      <c r="E209" s="11">
        <f xml:space="preserve"> IF($U$209,1,0)</f>
        <v>0</v>
      </c>
      <c r="F209" s="11" t="s">
        <v>769</v>
      </c>
      <c r="G209" s="11">
        <v>0</v>
      </c>
      <c r="H209" s="11">
        <v>0</v>
      </c>
      <c r="I209" s="11">
        <v>0</v>
      </c>
      <c r="J209" s="11">
        <v>0</v>
      </c>
      <c r="K209" s="11">
        <v>0</v>
      </c>
      <c r="L209" s="11">
        <v>0</v>
      </c>
      <c r="M209" s="11">
        <v>0</v>
      </c>
      <c r="N209" s="11">
        <v>0</v>
      </c>
      <c r="O209" s="11">
        <v>0</v>
      </c>
      <c r="P209" s="11">
        <v>0</v>
      </c>
      <c r="Q209" s="12"/>
      <c r="R209" s="12"/>
      <c r="S209" s="12">
        <f>$G$209*$G$8+$H$209*$H$8+$I$209*$I$8+$J$209*$J$8+$K$209*$K$8+$L$209*$L$8+$M$209*$M$8+$N$209*$N$8+$O$209*$O$8+$P$209*$P$8</f>
        <v>0</v>
      </c>
      <c r="T209" s="12">
        <f>SUM($Q$209:$R$209)</f>
        <v>0</v>
      </c>
      <c r="U209" s="12">
        <f>$S$209+$T$209</f>
        <v>0</v>
      </c>
    </row>
    <row r="210" spans="1:21" x14ac:dyDescent="0.3">
      <c r="A210" s="13" t="s">
        <v>770</v>
      </c>
      <c r="B210" s="14" t="s">
        <v>771</v>
      </c>
      <c r="C210" s="14"/>
      <c r="D210" s="14" t="s">
        <v>772</v>
      </c>
      <c r="E210" s="14">
        <f xml:space="preserve"> IF($U$210,1,0)</f>
        <v>0</v>
      </c>
      <c r="F210" s="14" t="s">
        <v>773</v>
      </c>
      <c r="G210" s="14">
        <v>0</v>
      </c>
      <c r="H210" s="14">
        <v>0</v>
      </c>
      <c r="I210" s="14">
        <v>0</v>
      </c>
      <c r="J210" s="14">
        <v>0</v>
      </c>
      <c r="K210" s="14">
        <v>0</v>
      </c>
      <c r="L210" s="14">
        <v>0</v>
      </c>
      <c r="M210" s="14">
        <v>0</v>
      </c>
      <c r="N210" s="14">
        <v>0</v>
      </c>
      <c r="O210" s="14">
        <v>0</v>
      </c>
      <c r="P210" s="14">
        <v>0</v>
      </c>
      <c r="Q210" s="15"/>
      <c r="R210" s="15"/>
      <c r="S210" s="15">
        <f>$G$210*$G$8+$H$210*$H$8+$I$210*$I$8+$J$210*$J$8+$K$210*$K$8+$L$210*$L$8+$M$210*$M$8+$N$210*$N$8+$O$210*$O$8+$P$210*$P$8</f>
        <v>0</v>
      </c>
      <c r="T210" s="15">
        <f>SUM($Q$210:$R$210)</f>
        <v>0</v>
      </c>
      <c r="U210" s="15">
        <f>$S$210+$T$210</f>
        <v>0</v>
      </c>
    </row>
    <row r="211" spans="1:21" x14ac:dyDescent="0.3">
      <c r="A211" s="10" t="s">
        <v>774</v>
      </c>
      <c r="B211" s="11" t="s">
        <v>775</v>
      </c>
      <c r="C211" s="11"/>
      <c r="D211" s="11" t="s">
        <v>776</v>
      </c>
      <c r="E211" s="11">
        <f xml:space="preserve"> IF($U$211,1,0)</f>
        <v>0</v>
      </c>
      <c r="F211" s="11" t="s">
        <v>777</v>
      </c>
      <c r="G211" s="11">
        <v>0</v>
      </c>
      <c r="H211" s="11">
        <v>0</v>
      </c>
      <c r="I211" s="11">
        <v>0</v>
      </c>
      <c r="J211" s="11">
        <v>0</v>
      </c>
      <c r="K211" s="11">
        <v>0</v>
      </c>
      <c r="L211" s="11">
        <v>0</v>
      </c>
      <c r="M211" s="11">
        <v>0</v>
      </c>
      <c r="N211" s="11">
        <v>0</v>
      </c>
      <c r="O211" s="11">
        <v>0</v>
      </c>
      <c r="P211" s="11">
        <v>0</v>
      </c>
      <c r="Q211" s="12"/>
      <c r="R211" s="12"/>
      <c r="S211" s="12">
        <f>$G$211*$G$8+$H$211*$H$8+$I$211*$I$8+$J$211*$J$8+$K$211*$K$8+$L$211*$L$8+$M$211*$M$8+$N$211*$N$8+$O$211*$O$8+$P$211*$P$8</f>
        <v>0</v>
      </c>
      <c r="T211" s="12">
        <f>SUM($Q$211:$R$211)</f>
        <v>0</v>
      </c>
      <c r="U211" s="12">
        <f>$S$211+$T$211</f>
        <v>0</v>
      </c>
    </row>
    <row r="212" spans="1:21" x14ac:dyDescent="0.3">
      <c r="A212" s="13" t="s">
        <v>778</v>
      </c>
      <c r="B212" s="14" t="s">
        <v>779</v>
      </c>
      <c r="C212" s="14"/>
      <c r="D212" s="14" t="s">
        <v>780</v>
      </c>
      <c r="E212" s="14">
        <f xml:space="preserve"> IF($U$212,1,0)</f>
        <v>0</v>
      </c>
      <c r="F212" s="14" t="s">
        <v>781</v>
      </c>
      <c r="G212" s="14">
        <v>0</v>
      </c>
      <c r="H212" s="14">
        <v>0</v>
      </c>
      <c r="I212" s="14">
        <v>0</v>
      </c>
      <c r="J212" s="14">
        <v>0</v>
      </c>
      <c r="K212" s="14">
        <v>0</v>
      </c>
      <c r="L212" s="14">
        <v>0</v>
      </c>
      <c r="M212" s="14">
        <v>0</v>
      </c>
      <c r="N212" s="14">
        <v>0</v>
      </c>
      <c r="O212" s="14">
        <v>0</v>
      </c>
      <c r="P212" s="14">
        <v>0</v>
      </c>
      <c r="Q212" s="15"/>
      <c r="R212" s="15"/>
      <c r="S212" s="15">
        <f>$G$212*$G$8+$H$212*$H$8+$I$212*$I$8+$J$212*$J$8+$K$212*$K$8+$L$212*$L$8+$M$212*$M$8+$N$212*$N$8+$O$212*$O$8+$P$212*$P$8</f>
        <v>0</v>
      </c>
      <c r="T212" s="15">
        <f>SUM($Q$212:$R$212)</f>
        <v>0</v>
      </c>
      <c r="U212" s="15">
        <f>$S$212+$T$212</f>
        <v>0</v>
      </c>
    </row>
    <row r="213" spans="1:21" x14ac:dyDescent="0.3">
      <c r="A213" s="10" t="s">
        <v>782</v>
      </c>
      <c r="B213" s="11" t="s">
        <v>779</v>
      </c>
      <c r="C213" s="11"/>
      <c r="D213" s="11" t="s">
        <v>783</v>
      </c>
      <c r="E213" s="11">
        <f xml:space="preserve"> IF($U$213,1,0)</f>
        <v>0</v>
      </c>
      <c r="F213" s="11" t="s">
        <v>784</v>
      </c>
      <c r="G213" s="11">
        <v>0</v>
      </c>
      <c r="H213" s="11">
        <v>0</v>
      </c>
      <c r="I213" s="11">
        <v>0</v>
      </c>
      <c r="J213" s="11">
        <v>0</v>
      </c>
      <c r="K213" s="11">
        <v>0</v>
      </c>
      <c r="L213" s="11">
        <v>0</v>
      </c>
      <c r="M213" s="11">
        <v>0</v>
      </c>
      <c r="N213" s="11">
        <v>0</v>
      </c>
      <c r="O213" s="11">
        <v>0</v>
      </c>
      <c r="P213" s="11">
        <v>0</v>
      </c>
      <c r="Q213" s="12"/>
      <c r="R213" s="12"/>
      <c r="S213" s="12">
        <f>$G$213*$G$8+$H$213*$H$8+$I$213*$I$8+$J$213*$J$8+$K$213*$K$8+$L$213*$L$8+$M$213*$M$8+$N$213*$N$8+$O$213*$O$8+$P$213*$P$8</f>
        <v>0</v>
      </c>
      <c r="T213" s="12">
        <f>SUM($Q$213:$R$213)</f>
        <v>0</v>
      </c>
      <c r="U213" s="12">
        <f>$S$213+$T$213</f>
        <v>0</v>
      </c>
    </row>
    <row r="214" spans="1:21" x14ac:dyDescent="0.3">
      <c r="A214" s="13" t="s">
        <v>785</v>
      </c>
      <c r="B214" s="14" t="s">
        <v>779</v>
      </c>
      <c r="C214" s="14"/>
      <c r="D214" s="14" t="s">
        <v>786</v>
      </c>
      <c r="E214" s="14">
        <f xml:space="preserve"> IF($U$214,1,0)</f>
        <v>0</v>
      </c>
      <c r="F214" s="14" t="s">
        <v>787</v>
      </c>
      <c r="G214" s="14">
        <v>0</v>
      </c>
      <c r="H214" s="14">
        <v>0</v>
      </c>
      <c r="I214" s="14">
        <v>0</v>
      </c>
      <c r="J214" s="14">
        <v>0</v>
      </c>
      <c r="K214" s="14">
        <v>0</v>
      </c>
      <c r="L214" s="14">
        <v>0</v>
      </c>
      <c r="M214" s="14">
        <v>0</v>
      </c>
      <c r="N214" s="14">
        <v>0</v>
      </c>
      <c r="O214" s="14">
        <v>0</v>
      </c>
      <c r="P214" s="14">
        <v>0</v>
      </c>
      <c r="Q214" s="15"/>
      <c r="R214" s="15"/>
      <c r="S214" s="15">
        <f>$G$214*$G$8+$H$214*$H$8+$I$214*$I$8+$J$214*$J$8+$K$214*$K$8+$L$214*$L$8+$M$214*$M$8+$N$214*$N$8+$O$214*$O$8+$P$214*$P$8</f>
        <v>0</v>
      </c>
      <c r="T214" s="15">
        <f>SUM($Q$214:$R$214)</f>
        <v>0</v>
      </c>
      <c r="U214" s="15">
        <f>$S$214+$T$214</f>
        <v>0</v>
      </c>
    </row>
    <row r="215" spans="1:21" x14ac:dyDescent="0.3">
      <c r="A215" s="10" t="s">
        <v>788</v>
      </c>
      <c r="B215" s="11" t="s">
        <v>789</v>
      </c>
      <c r="C215" s="11"/>
      <c r="D215" s="11" t="s">
        <v>790</v>
      </c>
      <c r="E215" s="11">
        <f xml:space="preserve"> IF($U$215,1,0)</f>
        <v>0</v>
      </c>
      <c r="F215" s="11" t="s">
        <v>791</v>
      </c>
      <c r="G215" s="11">
        <v>0</v>
      </c>
      <c r="H215" s="11">
        <v>0</v>
      </c>
      <c r="I215" s="11">
        <v>0</v>
      </c>
      <c r="J215" s="11">
        <v>0</v>
      </c>
      <c r="K215" s="11">
        <v>0</v>
      </c>
      <c r="L215" s="11">
        <v>0</v>
      </c>
      <c r="M215" s="11">
        <v>0</v>
      </c>
      <c r="N215" s="11">
        <v>0</v>
      </c>
      <c r="O215" s="11">
        <v>0</v>
      </c>
      <c r="P215" s="11">
        <v>0</v>
      </c>
      <c r="Q215" s="12"/>
      <c r="R215" s="12"/>
      <c r="S215" s="12">
        <f>$G$215*$G$8+$H$215*$H$8+$I$215*$I$8+$J$215*$J$8+$K$215*$K$8+$L$215*$L$8+$M$215*$M$8+$N$215*$N$8+$O$215*$O$8+$P$215*$P$8</f>
        <v>0</v>
      </c>
      <c r="T215" s="12">
        <f>SUM($Q$215:$R$215)</f>
        <v>0</v>
      </c>
      <c r="U215" s="12">
        <f>$S$215+$T$215</f>
        <v>0</v>
      </c>
    </row>
    <row r="216" spans="1:21" x14ac:dyDescent="0.3">
      <c r="A216" s="13" t="s">
        <v>792</v>
      </c>
      <c r="B216" s="14" t="s">
        <v>793</v>
      </c>
      <c r="C216" s="14"/>
      <c r="D216" s="14" t="s">
        <v>794</v>
      </c>
      <c r="E216" s="14">
        <f xml:space="preserve"> IF($U$216,1,0)</f>
        <v>0</v>
      </c>
      <c r="F216" s="14" t="s">
        <v>795</v>
      </c>
      <c r="G216" s="14">
        <v>0</v>
      </c>
      <c r="H216" s="14">
        <v>0</v>
      </c>
      <c r="I216" s="14">
        <v>0</v>
      </c>
      <c r="J216" s="14">
        <v>0</v>
      </c>
      <c r="K216" s="14">
        <v>0</v>
      </c>
      <c r="L216" s="14">
        <v>0</v>
      </c>
      <c r="M216" s="14">
        <v>0</v>
      </c>
      <c r="N216" s="14">
        <v>0</v>
      </c>
      <c r="O216" s="14">
        <v>0</v>
      </c>
      <c r="P216" s="14">
        <v>0</v>
      </c>
      <c r="Q216" s="15"/>
      <c r="R216" s="15"/>
      <c r="S216" s="15">
        <f>$G$216*$G$8+$H$216*$H$8+$I$216*$I$8+$J$216*$J$8+$K$216*$K$8+$L$216*$L$8+$M$216*$M$8+$N$216*$N$8+$O$216*$O$8+$P$216*$P$8</f>
        <v>0</v>
      </c>
      <c r="T216" s="15">
        <f>SUM($Q$216:$R$216)</f>
        <v>0</v>
      </c>
      <c r="U216" s="15">
        <f>$S$216+$T$216</f>
        <v>0</v>
      </c>
    </row>
    <row r="217" spans="1:21" x14ac:dyDescent="0.3">
      <c r="A217" s="10" t="s">
        <v>796</v>
      </c>
      <c r="B217" s="11" t="s">
        <v>797</v>
      </c>
      <c r="C217" s="11"/>
      <c r="D217" s="11" t="s">
        <v>798</v>
      </c>
      <c r="E217" s="11">
        <f xml:space="preserve"> IF($U$217,1,0)</f>
        <v>0</v>
      </c>
      <c r="F217" s="11" t="s">
        <v>799</v>
      </c>
      <c r="G217" s="11">
        <v>0</v>
      </c>
      <c r="H217" s="11">
        <v>0</v>
      </c>
      <c r="I217" s="11">
        <v>0</v>
      </c>
      <c r="J217" s="11">
        <v>0</v>
      </c>
      <c r="K217" s="11">
        <v>0</v>
      </c>
      <c r="L217" s="11">
        <v>0</v>
      </c>
      <c r="M217" s="11">
        <v>0</v>
      </c>
      <c r="N217" s="11">
        <v>0</v>
      </c>
      <c r="O217" s="11">
        <v>0</v>
      </c>
      <c r="P217" s="11">
        <v>0</v>
      </c>
      <c r="Q217" s="12"/>
      <c r="R217" s="12"/>
      <c r="S217" s="12">
        <f>$G$217*$G$8+$H$217*$H$8+$I$217*$I$8+$J$217*$J$8+$K$217*$K$8+$L$217*$L$8+$M$217*$M$8+$N$217*$N$8+$O$217*$O$8+$P$217*$P$8</f>
        <v>0</v>
      </c>
      <c r="T217" s="12">
        <f>SUM($Q$217:$R$217)</f>
        <v>0</v>
      </c>
      <c r="U217" s="12">
        <f>$S$217+$T$217</f>
        <v>0</v>
      </c>
    </row>
    <row r="218" spans="1:21" x14ac:dyDescent="0.3">
      <c r="A218" s="13" t="s">
        <v>800</v>
      </c>
      <c r="B218" s="14" t="s">
        <v>797</v>
      </c>
      <c r="C218" s="14" t="s">
        <v>34</v>
      </c>
      <c r="D218" s="14" t="s">
        <v>801</v>
      </c>
      <c r="E218" s="14">
        <f xml:space="preserve"> IF($U$218,1,0)</f>
        <v>0</v>
      </c>
      <c r="F218" s="14" t="s">
        <v>802</v>
      </c>
      <c r="G218" s="14">
        <v>0</v>
      </c>
      <c r="H218" s="14">
        <v>0</v>
      </c>
      <c r="I218" s="14">
        <v>0</v>
      </c>
      <c r="J218" s="14">
        <v>0</v>
      </c>
      <c r="K218" s="14">
        <v>0</v>
      </c>
      <c r="L218" s="14">
        <v>0</v>
      </c>
      <c r="M218" s="14">
        <v>0</v>
      </c>
      <c r="N218" s="14">
        <v>0</v>
      </c>
      <c r="O218" s="14">
        <v>0</v>
      </c>
      <c r="P218" s="14">
        <v>0</v>
      </c>
      <c r="Q218" s="15"/>
      <c r="R218" s="15"/>
      <c r="S218" s="15">
        <f>$G$218*$G$8+$H$218*$H$8+$I$218*$I$8+$J$218*$J$8+$K$218*$K$8+$L$218*$L$8+$M$218*$M$8+$N$218*$N$8+$O$218*$O$8+$P$218*$P$8</f>
        <v>0</v>
      </c>
      <c r="T218" s="15">
        <f>SUM($Q$218:$R$218)</f>
        <v>0</v>
      </c>
      <c r="U218" s="15">
        <f>$S$218+$T$218</f>
        <v>0</v>
      </c>
    </row>
    <row r="219" spans="1:21" x14ac:dyDescent="0.3">
      <c r="A219" s="10" t="s">
        <v>803</v>
      </c>
      <c r="B219" s="11" t="s">
        <v>804</v>
      </c>
      <c r="C219" s="11" t="s">
        <v>34</v>
      </c>
      <c r="D219" s="11" t="s">
        <v>805</v>
      </c>
      <c r="E219" s="11">
        <f xml:space="preserve"> IF($U$219,1,0)</f>
        <v>0</v>
      </c>
      <c r="F219" s="11" t="s">
        <v>806</v>
      </c>
      <c r="G219" s="11">
        <v>0</v>
      </c>
      <c r="H219" s="11">
        <v>0</v>
      </c>
      <c r="I219" s="11">
        <v>0</v>
      </c>
      <c r="J219" s="11">
        <v>0</v>
      </c>
      <c r="K219" s="11">
        <v>0</v>
      </c>
      <c r="L219" s="11">
        <v>0</v>
      </c>
      <c r="M219" s="11">
        <v>0</v>
      </c>
      <c r="N219" s="11">
        <v>0</v>
      </c>
      <c r="O219" s="11">
        <v>0</v>
      </c>
      <c r="P219" s="11">
        <v>0</v>
      </c>
      <c r="Q219" s="12"/>
      <c r="R219" s="12"/>
      <c r="S219" s="12">
        <f>$G$219*$G$8+$H$219*$H$8+$I$219*$I$8+$J$219*$J$8+$K$219*$K$8+$L$219*$L$8+$M$219*$M$8+$N$219*$N$8+$O$219*$O$8+$P$219*$P$8</f>
        <v>0</v>
      </c>
      <c r="T219" s="12">
        <f>SUM($Q$219:$R$219)</f>
        <v>0</v>
      </c>
      <c r="U219" s="12">
        <f>$S$219+$T$219</f>
        <v>0</v>
      </c>
    </row>
    <row r="220" spans="1:21" x14ac:dyDescent="0.3">
      <c r="A220" s="13" t="s">
        <v>807</v>
      </c>
      <c r="B220" s="14" t="s">
        <v>808</v>
      </c>
      <c r="C220" s="14"/>
      <c r="D220" s="14" t="s">
        <v>809</v>
      </c>
      <c r="E220" s="14">
        <f xml:space="preserve"> IF($U$220,1,0)</f>
        <v>0</v>
      </c>
      <c r="F220" s="14" t="s">
        <v>810</v>
      </c>
      <c r="G220" s="14">
        <v>0</v>
      </c>
      <c r="H220" s="14">
        <v>0</v>
      </c>
      <c r="I220" s="14">
        <v>0</v>
      </c>
      <c r="J220" s="14">
        <v>0</v>
      </c>
      <c r="K220" s="14">
        <v>0</v>
      </c>
      <c r="L220" s="14">
        <v>0</v>
      </c>
      <c r="M220" s="14">
        <v>0</v>
      </c>
      <c r="N220" s="14">
        <v>0</v>
      </c>
      <c r="O220" s="14">
        <v>0</v>
      </c>
      <c r="P220" s="14">
        <v>0</v>
      </c>
      <c r="Q220" s="15"/>
      <c r="R220" s="15"/>
      <c r="S220" s="15">
        <f>$G$220*$G$8+$H$220*$H$8+$I$220*$I$8+$J$220*$J$8+$K$220*$K$8+$L$220*$L$8+$M$220*$M$8+$N$220*$N$8+$O$220*$O$8+$P$220*$P$8</f>
        <v>0</v>
      </c>
      <c r="T220" s="15">
        <f>SUM($Q$220:$R$220)</f>
        <v>0</v>
      </c>
      <c r="U220" s="15">
        <f>$S$220+$T$220</f>
        <v>0</v>
      </c>
    </row>
    <row r="221" spans="1:21" x14ac:dyDescent="0.3">
      <c r="A221" s="10" t="s">
        <v>811</v>
      </c>
      <c r="B221" s="11" t="s">
        <v>812</v>
      </c>
      <c r="C221" s="11"/>
      <c r="D221" s="11" t="s">
        <v>813</v>
      </c>
      <c r="E221" s="11">
        <f xml:space="preserve"> IF($U$221,1,0)</f>
        <v>0</v>
      </c>
      <c r="F221" s="11" t="s">
        <v>814</v>
      </c>
      <c r="G221" s="11">
        <v>0</v>
      </c>
      <c r="H221" s="11">
        <v>0</v>
      </c>
      <c r="I221" s="11">
        <v>0</v>
      </c>
      <c r="J221" s="11">
        <v>0</v>
      </c>
      <c r="K221" s="11">
        <v>0</v>
      </c>
      <c r="L221" s="11">
        <v>0</v>
      </c>
      <c r="M221" s="11">
        <v>0</v>
      </c>
      <c r="N221" s="11">
        <v>0</v>
      </c>
      <c r="O221" s="11">
        <v>0</v>
      </c>
      <c r="P221" s="11">
        <v>0</v>
      </c>
      <c r="Q221" s="12"/>
      <c r="R221" s="12"/>
      <c r="S221" s="12">
        <f>$G$221*$G$8+$H$221*$H$8+$I$221*$I$8+$J$221*$J$8+$K$221*$K$8+$L$221*$L$8+$M$221*$M$8+$N$221*$N$8+$O$221*$O$8+$P$221*$P$8</f>
        <v>0</v>
      </c>
      <c r="T221" s="12">
        <f>SUM($Q$221:$R$221)</f>
        <v>0</v>
      </c>
      <c r="U221" s="12">
        <f>$S$221+$T$221</f>
        <v>0</v>
      </c>
    </row>
    <row r="222" spans="1:21" x14ac:dyDescent="0.3">
      <c r="A222" s="13" t="s">
        <v>815</v>
      </c>
      <c r="B222" s="14" t="s">
        <v>816</v>
      </c>
      <c r="C222" s="14"/>
      <c r="D222" s="14" t="s">
        <v>817</v>
      </c>
      <c r="E222" s="14">
        <f xml:space="preserve"> IF($U$222,1,0)</f>
        <v>0</v>
      </c>
      <c r="F222" s="14" t="s">
        <v>818</v>
      </c>
      <c r="G222" s="14">
        <v>0</v>
      </c>
      <c r="H222" s="14">
        <v>0</v>
      </c>
      <c r="I222" s="14">
        <v>0</v>
      </c>
      <c r="J222" s="14">
        <v>0</v>
      </c>
      <c r="K222" s="14">
        <v>0</v>
      </c>
      <c r="L222" s="14">
        <v>0</v>
      </c>
      <c r="M222" s="14">
        <v>0</v>
      </c>
      <c r="N222" s="14">
        <v>0</v>
      </c>
      <c r="O222" s="14">
        <v>0</v>
      </c>
      <c r="P222" s="14">
        <v>0</v>
      </c>
      <c r="Q222" s="15"/>
      <c r="R222" s="15"/>
      <c r="S222" s="15">
        <f>$G$222*$G$8+$H$222*$H$8+$I$222*$I$8+$J$222*$J$8+$K$222*$K$8+$L$222*$L$8+$M$222*$M$8+$N$222*$N$8+$O$222*$O$8+$P$222*$P$8</f>
        <v>0</v>
      </c>
      <c r="T222" s="15">
        <f>SUM($Q$222:$R$222)</f>
        <v>0</v>
      </c>
      <c r="U222" s="15">
        <f>$S$222+$T$222</f>
        <v>0</v>
      </c>
    </row>
    <row r="223" spans="1:21" x14ac:dyDescent="0.3">
      <c r="A223" s="10" t="s">
        <v>819</v>
      </c>
      <c r="B223" s="11" t="s">
        <v>820</v>
      </c>
      <c r="C223" s="11"/>
      <c r="D223" s="11" t="s">
        <v>821</v>
      </c>
      <c r="E223" s="11">
        <f xml:space="preserve"> IF($U$223,1,0)</f>
        <v>0</v>
      </c>
      <c r="F223" s="11" t="s">
        <v>822</v>
      </c>
      <c r="G223" s="11">
        <v>0</v>
      </c>
      <c r="H223" s="11">
        <v>0</v>
      </c>
      <c r="I223" s="11">
        <v>0</v>
      </c>
      <c r="J223" s="11">
        <v>0</v>
      </c>
      <c r="K223" s="11">
        <v>0</v>
      </c>
      <c r="L223" s="11">
        <v>0</v>
      </c>
      <c r="M223" s="11">
        <v>0</v>
      </c>
      <c r="N223" s="11">
        <v>0</v>
      </c>
      <c r="O223" s="11">
        <v>0</v>
      </c>
      <c r="P223" s="11">
        <v>0</v>
      </c>
      <c r="Q223" s="12"/>
      <c r="R223" s="12"/>
      <c r="S223" s="12">
        <f>$G$223*$G$8+$H$223*$H$8+$I$223*$I$8+$J$223*$J$8+$K$223*$K$8+$L$223*$L$8+$M$223*$M$8+$N$223*$N$8+$O$223*$O$8+$P$223*$P$8</f>
        <v>0</v>
      </c>
      <c r="T223" s="12">
        <f>SUM($Q$223:$R$223)</f>
        <v>0</v>
      </c>
      <c r="U223" s="12">
        <f>$S$223+$T$223</f>
        <v>0</v>
      </c>
    </row>
    <row r="224" spans="1:21" x14ac:dyDescent="0.3">
      <c r="A224" s="13" t="s">
        <v>823</v>
      </c>
      <c r="B224" s="14" t="s">
        <v>824</v>
      </c>
      <c r="C224" s="14"/>
      <c r="D224" s="14" t="s">
        <v>825</v>
      </c>
      <c r="E224" s="14">
        <f xml:space="preserve"> IF($U$224,1,0)</f>
        <v>0</v>
      </c>
      <c r="F224" s="14" t="s">
        <v>826</v>
      </c>
      <c r="G224" s="14">
        <v>0</v>
      </c>
      <c r="H224" s="14">
        <v>0</v>
      </c>
      <c r="I224" s="14">
        <v>0</v>
      </c>
      <c r="J224" s="14">
        <v>0</v>
      </c>
      <c r="K224" s="14">
        <v>0</v>
      </c>
      <c r="L224" s="14">
        <v>0</v>
      </c>
      <c r="M224" s="14">
        <v>0</v>
      </c>
      <c r="N224" s="14">
        <v>0</v>
      </c>
      <c r="O224" s="14">
        <v>0</v>
      </c>
      <c r="P224" s="14">
        <v>0</v>
      </c>
      <c r="Q224" s="15"/>
      <c r="R224" s="15"/>
      <c r="S224" s="15">
        <f>$G$224*$G$8+$H$224*$H$8+$I$224*$I$8+$J$224*$J$8+$K$224*$K$8+$L$224*$L$8+$M$224*$M$8+$N$224*$N$8+$O$224*$O$8+$P$224*$P$8</f>
        <v>0</v>
      </c>
      <c r="T224" s="15">
        <f>SUM($Q$224:$R$224)</f>
        <v>0</v>
      </c>
      <c r="U224" s="15">
        <f>$S$224+$T$224</f>
        <v>0</v>
      </c>
    </row>
    <row r="225" spans="1:21" x14ac:dyDescent="0.3">
      <c r="A225" s="10" t="s">
        <v>827</v>
      </c>
      <c r="B225" s="11" t="s">
        <v>828</v>
      </c>
      <c r="C225" s="11"/>
      <c r="D225" s="11" t="s">
        <v>829</v>
      </c>
      <c r="E225" s="11">
        <f xml:space="preserve"> IF($U$225,1,0)</f>
        <v>0</v>
      </c>
      <c r="F225" s="11" t="s">
        <v>830</v>
      </c>
      <c r="G225" s="11">
        <v>0</v>
      </c>
      <c r="H225" s="11">
        <v>0</v>
      </c>
      <c r="I225" s="11">
        <v>0</v>
      </c>
      <c r="J225" s="11">
        <v>0</v>
      </c>
      <c r="K225" s="11">
        <v>0</v>
      </c>
      <c r="L225" s="11">
        <v>0</v>
      </c>
      <c r="M225" s="11">
        <v>0</v>
      </c>
      <c r="N225" s="11">
        <v>0</v>
      </c>
      <c r="O225" s="11">
        <v>0</v>
      </c>
      <c r="P225" s="11">
        <v>0</v>
      </c>
      <c r="Q225" s="12"/>
      <c r="R225" s="12"/>
      <c r="S225" s="12">
        <f>$G$225*$G$8+$H$225*$H$8+$I$225*$I$8+$J$225*$J$8+$K$225*$K$8+$L$225*$L$8+$M$225*$M$8+$N$225*$N$8+$O$225*$O$8+$P$225*$P$8</f>
        <v>0</v>
      </c>
      <c r="T225" s="12">
        <f>SUM($Q$225:$R$225)</f>
        <v>0</v>
      </c>
      <c r="U225" s="12">
        <f>$S$225+$T$225</f>
        <v>0</v>
      </c>
    </row>
    <row r="226" spans="1:21" x14ac:dyDescent="0.3">
      <c r="A226" s="13" t="s">
        <v>831</v>
      </c>
      <c r="B226" s="14" t="s">
        <v>832</v>
      </c>
      <c r="C226" s="14"/>
      <c r="D226" s="14" t="s">
        <v>833</v>
      </c>
      <c r="E226" s="14">
        <f xml:space="preserve"> IF($U$226,1,0)</f>
        <v>0</v>
      </c>
      <c r="F226" s="14" t="s">
        <v>834</v>
      </c>
      <c r="G226" s="14">
        <v>0</v>
      </c>
      <c r="H226" s="14">
        <v>0</v>
      </c>
      <c r="I226" s="14">
        <v>0</v>
      </c>
      <c r="J226" s="14">
        <v>0</v>
      </c>
      <c r="K226" s="14">
        <v>0</v>
      </c>
      <c r="L226" s="14">
        <v>0</v>
      </c>
      <c r="M226" s="14">
        <v>0</v>
      </c>
      <c r="N226" s="14">
        <v>0</v>
      </c>
      <c r="O226" s="14">
        <v>0</v>
      </c>
      <c r="P226" s="14">
        <v>0</v>
      </c>
      <c r="Q226" s="15"/>
      <c r="R226" s="15"/>
      <c r="S226" s="15">
        <f>$G$226*$G$8+$H$226*$H$8+$I$226*$I$8+$J$226*$J$8+$K$226*$K$8+$L$226*$L$8+$M$226*$M$8+$N$226*$N$8+$O$226*$O$8+$P$226*$P$8</f>
        <v>0</v>
      </c>
      <c r="T226" s="15">
        <f>SUM($Q$226:$R$226)</f>
        <v>0</v>
      </c>
      <c r="U226" s="15">
        <f>$S$226+$T$226</f>
        <v>0</v>
      </c>
    </row>
    <row r="227" spans="1:21" x14ac:dyDescent="0.3">
      <c r="A227" s="10" t="s">
        <v>835</v>
      </c>
      <c r="B227" s="11" t="s">
        <v>836</v>
      </c>
      <c r="C227" s="11"/>
      <c r="D227" s="11" t="s">
        <v>837</v>
      </c>
      <c r="E227" s="11">
        <f xml:space="preserve"> IF($U$227,1,0)</f>
        <v>0</v>
      </c>
      <c r="F227" s="11" t="s">
        <v>838</v>
      </c>
      <c r="G227" s="11">
        <v>0</v>
      </c>
      <c r="H227" s="11">
        <v>0</v>
      </c>
      <c r="I227" s="11">
        <v>0</v>
      </c>
      <c r="J227" s="11">
        <v>0</v>
      </c>
      <c r="K227" s="11">
        <v>0</v>
      </c>
      <c r="L227" s="11">
        <v>0</v>
      </c>
      <c r="M227" s="11">
        <v>0</v>
      </c>
      <c r="N227" s="11">
        <v>0</v>
      </c>
      <c r="O227" s="11">
        <v>0</v>
      </c>
      <c r="P227" s="11">
        <v>0</v>
      </c>
      <c r="Q227" s="12"/>
      <c r="R227" s="12"/>
      <c r="S227" s="12">
        <f>$G$227*$G$8+$H$227*$H$8+$I$227*$I$8+$J$227*$J$8+$K$227*$K$8+$L$227*$L$8+$M$227*$M$8+$N$227*$N$8+$O$227*$O$8+$P$227*$P$8</f>
        <v>0</v>
      </c>
      <c r="T227" s="12">
        <f>SUM($Q$227:$R$227)</f>
        <v>0</v>
      </c>
      <c r="U227" s="12">
        <f>$S$227+$T$227</f>
        <v>0</v>
      </c>
    </row>
    <row r="228" spans="1:21" x14ac:dyDescent="0.3">
      <c r="A228" s="13" t="s">
        <v>839</v>
      </c>
      <c r="B228" s="14" t="s">
        <v>840</v>
      </c>
      <c r="C228" s="14"/>
      <c r="D228" s="14" t="s">
        <v>841</v>
      </c>
      <c r="E228" s="14">
        <f xml:space="preserve"> IF($U$228,1,0)</f>
        <v>0</v>
      </c>
      <c r="F228" s="14" t="s">
        <v>842</v>
      </c>
      <c r="G228" s="14">
        <v>0</v>
      </c>
      <c r="H228" s="14">
        <v>0</v>
      </c>
      <c r="I228" s="14">
        <v>0</v>
      </c>
      <c r="J228" s="14">
        <v>0</v>
      </c>
      <c r="K228" s="14">
        <v>0</v>
      </c>
      <c r="L228" s="14">
        <v>0</v>
      </c>
      <c r="M228" s="14">
        <v>0</v>
      </c>
      <c r="N228" s="14">
        <v>0</v>
      </c>
      <c r="O228" s="14">
        <v>0</v>
      </c>
      <c r="P228" s="14">
        <v>0</v>
      </c>
      <c r="Q228" s="15"/>
      <c r="R228" s="15"/>
      <c r="S228" s="15">
        <f>$G$228*$G$8+$H$228*$H$8+$I$228*$I$8+$J$228*$J$8+$K$228*$K$8+$L$228*$L$8+$M$228*$M$8+$N$228*$N$8+$O$228*$O$8+$P$228*$P$8</f>
        <v>0</v>
      </c>
      <c r="T228" s="15">
        <f>SUM($Q$228:$R$228)</f>
        <v>0</v>
      </c>
      <c r="U228" s="15">
        <f>$S$228+$T$228</f>
        <v>0</v>
      </c>
    </row>
    <row r="229" spans="1:21" x14ac:dyDescent="0.3">
      <c r="A229" s="10" t="s">
        <v>843</v>
      </c>
      <c r="B229" s="11" t="s">
        <v>844</v>
      </c>
      <c r="C229" s="11"/>
      <c r="D229" s="11" t="s">
        <v>845</v>
      </c>
      <c r="E229" s="11">
        <f xml:space="preserve"> IF($U$229,1,0)</f>
        <v>0</v>
      </c>
      <c r="F229" s="11" t="s">
        <v>846</v>
      </c>
      <c r="G229" s="11">
        <v>0</v>
      </c>
      <c r="H229" s="11">
        <v>0</v>
      </c>
      <c r="I229" s="11">
        <v>0</v>
      </c>
      <c r="J229" s="11">
        <v>0</v>
      </c>
      <c r="K229" s="11">
        <v>0</v>
      </c>
      <c r="L229" s="11">
        <v>0</v>
      </c>
      <c r="M229" s="11">
        <v>0</v>
      </c>
      <c r="N229" s="11">
        <v>0</v>
      </c>
      <c r="O229" s="11">
        <v>0</v>
      </c>
      <c r="P229" s="11">
        <v>0</v>
      </c>
      <c r="Q229" s="12"/>
      <c r="R229" s="12"/>
      <c r="S229" s="12">
        <f>$G$229*$G$8+$H$229*$H$8+$I$229*$I$8+$J$229*$J$8+$K$229*$K$8+$L$229*$L$8+$M$229*$M$8+$N$229*$N$8+$O$229*$O$8+$P$229*$P$8</f>
        <v>0</v>
      </c>
      <c r="T229" s="12">
        <f>SUM($Q$229:$R$229)</f>
        <v>0</v>
      </c>
      <c r="U229" s="12">
        <f>$S$229+$T$229</f>
        <v>0</v>
      </c>
    </row>
    <row r="230" spans="1:21" x14ac:dyDescent="0.3">
      <c r="A230" s="13" t="s">
        <v>847</v>
      </c>
      <c r="B230" s="14" t="s">
        <v>848</v>
      </c>
      <c r="C230" s="14" t="s">
        <v>202</v>
      </c>
      <c r="D230" s="14" t="s">
        <v>849</v>
      </c>
      <c r="E230" s="14">
        <f xml:space="preserve"> IF($U$230,1,0)</f>
        <v>0</v>
      </c>
      <c r="F230" s="14" t="s">
        <v>850</v>
      </c>
      <c r="G230" s="14">
        <v>0</v>
      </c>
      <c r="H230" s="14">
        <v>0</v>
      </c>
      <c r="I230" s="14">
        <v>0</v>
      </c>
      <c r="J230" s="14">
        <v>0</v>
      </c>
      <c r="K230" s="14">
        <v>0</v>
      </c>
      <c r="L230" s="14">
        <v>0</v>
      </c>
      <c r="M230" s="14">
        <v>0</v>
      </c>
      <c r="N230" s="14">
        <v>0</v>
      </c>
      <c r="O230" s="14">
        <v>0</v>
      </c>
      <c r="P230" s="14">
        <v>0</v>
      </c>
      <c r="Q230" s="15"/>
      <c r="R230" s="15"/>
      <c r="S230" s="15">
        <f>$G$230*$G$8+$H$230*$H$8+$I$230*$I$8+$J$230*$J$8+$K$230*$K$8+$L$230*$L$8+$M$230*$M$8+$N$230*$N$8+$O$230*$O$8+$P$230*$P$8</f>
        <v>0</v>
      </c>
      <c r="T230" s="15">
        <f>SUM($Q$230:$R$230)</f>
        <v>0</v>
      </c>
      <c r="U230" s="15">
        <f>$S$230+$T$230</f>
        <v>0</v>
      </c>
    </row>
    <row r="231" spans="1:21" x14ac:dyDescent="0.3">
      <c r="A231" s="10" t="s">
        <v>851</v>
      </c>
      <c r="B231" s="11" t="s">
        <v>852</v>
      </c>
      <c r="C231" s="11"/>
      <c r="D231" s="11" t="s">
        <v>853</v>
      </c>
      <c r="E231" s="11">
        <f xml:space="preserve"> IF($U$231,1,0)</f>
        <v>0</v>
      </c>
      <c r="F231" s="11" t="s">
        <v>854</v>
      </c>
      <c r="G231" s="11">
        <v>0</v>
      </c>
      <c r="H231" s="11">
        <v>0</v>
      </c>
      <c r="I231" s="11">
        <v>0</v>
      </c>
      <c r="J231" s="11">
        <v>0</v>
      </c>
      <c r="K231" s="11">
        <v>0</v>
      </c>
      <c r="L231" s="11">
        <v>0</v>
      </c>
      <c r="M231" s="11">
        <v>0</v>
      </c>
      <c r="N231" s="11">
        <v>0</v>
      </c>
      <c r="O231" s="11">
        <v>0</v>
      </c>
      <c r="P231" s="11">
        <v>0</v>
      </c>
      <c r="Q231" s="12"/>
      <c r="R231" s="12"/>
      <c r="S231" s="12">
        <f>$G$231*$G$8+$H$231*$H$8+$I$231*$I$8+$J$231*$J$8+$K$231*$K$8+$L$231*$L$8+$M$231*$M$8+$N$231*$N$8+$O$231*$O$8+$P$231*$P$8</f>
        <v>0</v>
      </c>
      <c r="T231" s="12">
        <f>SUM($Q$231:$R$231)</f>
        <v>0</v>
      </c>
      <c r="U231" s="12">
        <f>$S$231+$T$231</f>
        <v>0</v>
      </c>
    </row>
    <row r="232" spans="1:21" x14ac:dyDescent="0.3">
      <c r="A232" s="13" t="s">
        <v>855</v>
      </c>
      <c r="B232" s="14" t="s">
        <v>856</v>
      </c>
      <c r="C232" s="14"/>
      <c r="D232" s="14" t="s">
        <v>790</v>
      </c>
      <c r="E232" s="14">
        <f xml:space="preserve"> IF($U$232,1,0)</f>
        <v>0</v>
      </c>
      <c r="F232" s="14" t="s">
        <v>857</v>
      </c>
      <c r="G232" s="14">
        <v>0</v>
      </c>
      <c r="H232" s="14">
        <v>0</v>
      </c>
      <c r="I232" s="14">
        <v>0</v>
      </c>
      <c r="J232" s="14">
        <v>0</v>
      </c>
      <c r="K232" s="14">
        <v>0</v>
      </c>
      <c r="L232" s="14">
        <v>0</v>
      </c>
      <c r="M232" s="14">
        <v>0</v>
      </c>
      <c r="N232" s="14">
        <v>0</v>
      </c>
      <c r="O232" s="14">
        <v>0</v>
      </c>
      <c r="P232" s="14">
        <v>0</v>
      </c>
      <c r="Q232" s="15"/>
      <c r="R232" s="15"/>
      <c r="S232" s="15">
        <f>$G$232*$G$8+$H$232*$H$8+$I$232*$I$8+$J$232*$J$8+$K$232*$K$8+$L$232*$L$8+$M$232*$M$8+$N$232*$N$8+$O$232*$O$8+$P$232*$P$8</f>
        <v>0</v>
      </c>
      <c r="T232" s="15">
        <f>SUM($Q$232:$R$232)</f>
        <v>0</v>
      </c>
      <c r="U232" s="15">
        <f>$S$232+$T$232</f>
        <v>0</v>
      </c>
    </row>
    <row r="233" spans="1:21" x14ac:dyDescent="0.3">
      <c r="A233" s="10" t="s">
        <v>858</v>
      </c>
      <c r="B233" s="11" t="s">
        <v>859</v>
      </c>
      <c r="C233" s="11"/>
      <c r="D233" s="11" t="s">
        <v>860</v>
      </c>
      <c r="E233" s="11">
        <f xml:space="preserve"> IF($U$233,1,0)</f>
        <v>0</v>
      </c>
      <c r="F233" s="11" t="s">
        <v>861</v>
      </c>
      <c r="G233" s="11">
        <v>0</v>
      </c>
      <c r="H233" s="11">
        <v>0</v>
      </c>
      <c r="I233" s="11">
        <v>0</v>
      </c>
      <c r="J233" s="11">
        <v>0</v>
      </c>
      <c r="K233" s="11">
        <v>0</v>
      </c>
      <c r="L233" s="11">
        <v>0</v>
      </c>
      <c r="M233" s="11">
        <v>0</v>
      </c>
      <c r="N233" s="11">
        <v>0</v>
      </c>
      <c r="O233" s="11">
        <v>0</v>
      </c>
      <c r="P233" s="11">
        <v>0</v>
      </c>
      <c r="Q233" s="12"/>
      <c r="R233" s="12"/>
      <c r="S233" s="12">
        <f>$G$233*$G$8+$H$233*$H$8+$I$233*$I$8+$J$233*$J$8+$K$233*$K$8+$L$233*$L$8+$M$233*$M$8+$N$233*$N$8+$O$233*$O$8+$P$233*$P$8</f>
        <v>0</v>
      </c>
      <c r="T233" s="12">
        <f>SUM($Q$233:$R$233)</f>
        <v>0</v>
      </c>
      <c r="U233" s="12">
        <f>$S$233+$T$233</f>
        <v>0</v>
      </c>
    </row>
    <row r="234" spans="1:21" x14ac:dyDescent="0.3">
      <c r="A234" s="13" t="s">
        <v>862</v>
      </c>
      <c r="B234" s="14" t="s">
        <v>863</v>
      </c>
      <c r="C234" s="14"/>
      <c r="D234" s="14" t="s">
        <v>864</v>
      </c>
      <c r="E234" s="14">
        <f xml:space="preserve"> IF($U$234,1,0)</f>
        <v>0</v>
      </c>
      <c r="F234" s="14" t="s">
        <v>865</v>
      </c>
      <c r="G234" s="14">
        <v>0</v>
      </c>
      <c r="H234" s="14">
        <v>0</v>
      </c>
      <c r="I234" s="14">
        <v>0</v>
      </c>
      <c r="J234" s="14">
        <v>0</v>
      </c>
      <c r="K234" s="14">
        <v>0</v>
      </c>
      <c r="L234" s="14">
        <v>0</v>
      </c>
      <c r="M234" s="14">
        <v>0</v>
      </c>
      <c r="N234" s="14">
        <v>0</v>
      </c>
      <c r="O234" s="14">
        <v>0</v>
      </c>
      <c r="P234" s="14">
        <v>0</v>
      </c>
      <c r="Q234" s="15"/>
      <c r="R234" s="15"/>
      <c r="S234" s="15">
        <f>$G$234*$G$8+$H$234*$H$8+$I$234*$I$8+$J$234*$J$8+$K$234*$K$8+$L$234*$L$8+$M$234*$M$8+$N$234*$N$8+$O$234*$O$8+$P$234*$P$8</f>
        <v>0</v>
      </c>
      <c r="T234" s="15">
        <f>SUM($Q$234:$R$234)</f>
        <v>0</v>
      </c>
      <c r="U234" s="15">
        <f>$S$234+$T$234</f>
        <v>0</v>
      </c>
    </row>
    <row r="235" spans="1:21" x14ac:dyDescent="0.3">
      <c r="A235" s="10" t="s">
        <v>866</v>
      </c>
      <c r="B235" s="11" t="s">
        <v>867</v>
      </c>
      <c r="C235" s="11"/>
      <c r="D235" s="11" t="s">
        <v>868</v>
      </c>
      <c r="E235" s="11">
        <f xml:space="preserve"> IF($U$235,1,0)</f>
        <v>0</v>
      </c>
      <c r="F235" s="11" t="s">
        <v>869</v>
      </c>
      <c r="G235" s="11">
        <v>0</v>
      </c>
      <c r="H235" s="11">
        <v>0</v>
      </c>
      <c r="I235" s="11">
        <v>0</v>
      </c>
      <c r="J235" s="11">
        <v>0</v>
      </c>
      <c r="K235" s="11">
        <v>0</v>
      </c>
      <c r="L235" s="11">
        <v>0</v>
      </c>
      <c r="M235" s="11">
        <v>0</v>
      </c>
      <c r="N235" s="11">
        <v>0</v>
      </c>
      <c r="O235" s="11">
        <v>0</v>
      </c>
      <c r="P235" s="11">
        <v>0</v>
      </c>
      <c r="Q235" s="12"/>
      <c r="R235" s="12"/>
      <c r="S235" s="12">
        <f>$G$235*$G$8+$H$235*$H$8+$I$235*$I$8+$J$235*$J$8+$K$235*$K$8+$L$235*$L$8+$M$235*$M$8+$N$235*$N$8+$O$235*$O$8+$P$235*$P$8</f>
        <v>0</v>
      </c>
      <c r="T235" s="12">
        <f>SUM($Q$235:$R$235)</f>
        <v>0</v>
      </c>
      <c r="U235" s="12">
        <f>$S$235+$T$235</f>
        <v>0</v>
      </c>
    </row>
    <row r="236" spans="1:21" x14ac:dyDescent="0.3">
      <c r="A236" s="13" t="s">
        <v>870</v>
      </c>
      <c r="B236" s="14" t="s">
        <v>871</v>
      </c>
      <c r="C236" s="14" t="s">
        <v>243</v>
      </c>
      <c r="D236" s="14" t="s">
        <v>399</v>
      </c>
      <c r="E236" s="14">
        <f xml:space="preserve"> IF($U$236,1,0)</f>
        <v>0</v>
      </c>
      <c r="F236" s="14" t="s">
        <v>872</v>
      </c>
      <c r="G236" s="14">
        <v>0</v>
      </c>
      <c r="H236" s="14">
        <v>0</v>
      </c>
      <c r="I236" s="14">
        <v>0</v>
      </c>
      <c r="J236" s="14">
        <v>0</v>
      </c>
      <c r="K236" s="14">
        <v>0</v>
      </c>
      <c r="L236" s="14">
        <v>0</v>
      </c>
      <c r="M236" s="14">
        <v>0</v>
      </c>
      <c r="N236" s="14">
        <v>0</v>
      </c>
      <c r="O236" s="14">
        <v>0</v>
      </c>
      <c r="P236" s="14">
        <v>0</v>
      </c>
      <c r="Q236" s="15"/>
      <c r="R236" s="15"/>
      <c r="S236" s="15">
        <f>$G$236*$G$8+$H$236*$H$8+$I$236*$I$8+$J$236*$J$8+$K$236*$K$8+$L$236*$L$8+$M$236*$M$8+$N$236*$N$8+$O$236*$O$8+$P$236*$P$8</f>
        <v>0</v>
      </c>
      <c r="T236" s="15">
        <f>SUM($Q$236:$R$236)</f>
        <v>0</v>
      </c>
      <c r="U236" s="15">
        <f>$S$236+$T$236</f>
        <v>0</v>
      </c>
    </row>
    <row r="237" spans="1:21" x14ac:dyDescent="0.3">
      <c r="A237" s="10" t="s">
        <v>873</v>
      </c>
      <c r="B237" s="11" t="s">
        <v>874</v>
      </c>
      <c r="C237" s="11"/>
      <c r="D237" s="11" t="s">
        <v>875</v>
      </c>
      <c r="E237" s="11">
        <f xml:space="preserve"> IF($U$237,1,0)</f>
        <v>0</v>
      </c>
      <c r="F237" s="11" t="s">
        <v>876</v>
      </c>
      <c r="G237" s="11">
        <v>0</v>
      </c>
      <c r="H237" s="11">
        <v>0</v>
      </c>
      <c r="I237" s="11">
        <v>0</v>
      </c>
      <c r="J237" s="11">
        <v>0</v>
      </c>
      <c r="K237" s="11">
        <v>0</v>
      </c>
      <c r="L237" s="11">
        <v>0</v>
      </c>
      <c r="M237" s="11">
        <v>0</v>
      </c>
      <c r="N237" s="11">
        <v>0</v>
      </c>
      <c r="O237" s="11">
        <v>0</v>
      </c>
      <c r="P237" s="11">
        <v>0</v>
      </c>
      <c r="Q237" s="12"/>
      <c r="R237" s="12"/>
      <c r="S237" s="12">
        <f>$G$237*$G$8+$H$237*$H$8+$I$237*$I$8+$J$237*$J$8+$K$237*$K$8+$L$237*$L$8+$M$237*$M$8+$N$237*$N$8+$O$237*$O$8+$P$237*$P$8</f>
        <v>0</v>
      </c>
      <c r="T237" s="12">
        <f>SUM($Q$237:$R$237)</f>
        <v>0</v>
      </c>
      <c r="U237" s="12">
        <f>$S$237+$T$237</f>
        <v>0</v>
      </c>
    </row>
    <row r="238" spans="1:21" x14ac:dyDescent="0.3">
      <c r="A238" s="13" t="s">
        <v>877</v>
      </c>
      <c r="B238" s="14" t="s">
        <v>878</v>
      </c>
      <c r="C238" s="14"/>
      <c r="D238" s="14" t="s">
        <v>879</v>
      </c>
      <c r="E238" s="14">
        <f xml:space="preserve"> IF($U$238,1,0)</f>
        <v>0</v>
      </c>
      <c r="F238" s="14" t="s">
        <v>880</v>
      </c>
      <c r="G238" s="14">
        <v>0</v>
      </c>
      <c r="H238" s="14">
        <v>0</v>
      </c>
      <c r="I238" s="14">
        <v>0</v>
      </c>
      <c r="J238" s="14">
        <v>0</v>
      </c>
      <c r="K238" s="14">
        <v>0</v>
      </c>
      <c r="L238" s="14">
        <v>0</v>
      </c>
      <c r="M238" s="14">
        <v>0</v>
      </c>
      <c r="N238" s="14">
        <v>0</v>
      </c>
      <c r="O238" s="14">
        <v>0</v>
      </c>
      <c r="P238" s="14">
        <v>0</v>
      </c>
      <c r="Q238" s="15"/>
      <c r="R238" s="15"/>
      <c r="S238" s="15">
        <f>$G$238*$G$8+$H$238*$H$8+$I$238*$I$8+$J$238*$J$8+$K$238*$K$8+$L$238*$L$8+$M$238*$M$8+$N$238*$N$8+$O$238*$O$8+$P$238*$P$8</f>
        <v>0</v>
      </c>
      <c r="T238" s="15">
        <f>SUM($Q$238:$R$238)</f>
        <v>0</v>
      </c>
      <c r="U238" s="15">
        <f>$S$238+$T$238</f>
        <v>0</v>
      </c>
    </row>
    <row r="239" spans="1:21" x14ac:dyDescent="0.3">
      <c r="A239" s="10" t="s">
        <v>881</v>
      </c>
      <c r="B239" s="11" t="s">
        <v>882</v>
      </c>
      <c r="C239" s="11"/>
      <c r="D239" s="11" t="s">
        <v>883</v>
      </c>
      <c r="E239" s="11">
        <f xml:space="preserve"> IF($U$239,1,0)</f>
        <v>0</v>
      </c>
      <c r="F239" s="11" t="s">
        <v>884</v>
      </c>
      <c r="G239" s="11">
        <v>0</v>
      </c>
      <c r="H239" s="11">
        <v>0</v>
      </c>
      <c r="I239" s="11">
        <v>0</v>
      </c>
      <c r="J239" s="11">
        <v>0</v>
      </c>
      <c r="K239" s="11">
        <v>0</v>
      </c>
      <c r="L239" s="11">
        <v>0</v>
      </c>
      <c r="M239" s="11">
        <v>0</v>
      </c>
      <c r="N239" s="11">
        <v>0</v>
      </c>
      <c r="O239" s="11">
        <v>0</v>
      </c>
      <c r="P239" s="11">
        <v>0</v>
      </c>
      <c r="Q239" s="12"/>
      <c r="R239" s="12"/>
      <c r="S239" s="12">
        <f>$G$239*$G$8+$H$239*$H$8+$I$239*$I$8+$J$239*$J$8+$K$239*$K$8+$L$239*$L$8+$M$239*$M$8+$N$239*$N$8+$O$239*$O$8+$P$239*$P$8</f>
        <v>0</v>
      </c>
      <c r="T239" s="12">
        <f>SUM($Q$239:$R$239)</f>
        <v>0</v>
      </c>
      <c r="U239" s="12">
        <f>$S$239+$T$239</f>
        <v>0</v>
      </c>
    </row>
    <row r="240" spans="1:21" x14ac:dyDescent="0.3">
      <c r="A240" s="13" t="s">
        <v>885</v>
      </c>
      <c r="B240" s="14" t="s">
        <v>886</v>
      </c>
      <c r="C240" s="14" t="s">
        <v>887</v>
      </c>
      <c r="D240" s="14" t="s">
        <v>888</v>
      </c>
      <c r="E240" s="14">
        <f xml:space="preserve"> IF($U$240,1,0)</f>
        <v>0</v>
      </c>
      <c r="F240" s="14" t="s">
        <v>889</v>
      </c>
      <c r="G240" s="14">
        <v>0</v>
      </c>
      <c r="H240" s="14">
        <v>0</v>
      </c>
      <c r="I240" s="14">
        <v>0</v>
      </c>
      <c r="J240" s="14">
        <v>0</v>
      </c>
      <c r="K240" s="14">
        <v>0</v>
      </c>
      <c r="L240" s="14">
        <v>0</v>
      </c>
      <c r="M240" s="14">
        <v>0</v>
      </c>
      <c r="N240" s="14">
        <v>0</v>
      </c>
      <c r="O240" s="14">
        <v>0</v>
      </c>
      <c r="P240" s="14">
        <v>0</v>
      </c>
      <c r="Q240" s="15"/>
      <c r="R240" s="15"/>
      <c r="S240" s="15">
        <f>$G$240*$G$8+$H$240*$H$8+$I$240*$I$8+$J$240*$J$8+$K$240*$K$8+$L$240*$L$8+$M$240*$M$8+$N$240*$N$8+$O$240*$O$8+$P$240*$P$8</f>
        <v>0</v>
      </c>
      <c r="T240" s="15">
        <f>SUM($Q$240:$R$240)</f>
        <v>0</v>
      </c>
      <c r="U240" s="15">
        <f>$S$240+$T$240</f>
        <v>0</v>
      </c>
    </row>
    <row r="241" spans="1:21" x14ac:dyDescent="0.3">
      <c r="A241" s="10" t="s">
        <v>890</v>
      </c>
      <c r="B241" s="11" t="s">
        <v>886</v>
      </c>
      <c r="C241" s="11"/>
      <c r="D241" s="11" t="s">
        <v>891</v>
      </c>
      <c r="E241" s="11">
        <f xml:space="preserve"> IF($U$241,1,0)</f>
        <v>0</v>
      </c>
      <c r="F241" s="11" t="s">
        <v>892</v>
      </c>
      <c r="G241" s="11">
        <v>0</v>
      </c>
      <c r="H241" s="11">
        <v>0</v>
      </c>
      <c r="I241" s="11">
        <v>0</v>
      </c>
      <c r="J241" s="11">
        <v>0</v>
      </c>
      <c r="K241" s="11">
        <v>0</v>
      </c>
      <c r="L241" s="11">
        <v>0</v>
      </c>
      <c r="M241" s="11">
        <v>0</v>
      </c>
      <c r="N241" s="11">
        <v>0</v>
      </c>
      <c r="O241" s="11">
        <v>0</v>
      </c>
      <c r="P241" s="11">
        <v>0</v>
      </c>
      <c r="Q241" s="12"/>
      <c r="R241" s="12"/>
      <c r="S241" s="12">
        <f>$G$241*$G$8+$H$241*$H$8+$I$241*$I$8+$J$241*$J$8+$K$241*$K$8+$L$241*$L$8+$M$241*$M$8+$N$241*$N$8+$O$241*$O$8+$P$241*$P$8</f>
        <v>0</v>
      </c>
      <c r="T241" s="12">
        <f>SUM($Q$241:$R$241)</f>
        <v>0</v>
      </c>
      <c r="U241" s="12">
        <f>$S$241+$T$241</f>
        <v>0</v>
      </c>
    </row>
    <row r="242" spans="1:21" x14ac:dyDescent="0.3">
      <c r="A242" s="13" t="s">
        <v>893</v>
      </c>
      <c r="B242" s="14" t="s">
        <v>894</v>
      </c>
      <c r="C242" s="14"/>
      <c r="D242" s="14" t="s">
        <v>895</v>
      </c>
      <c r="E242" s="14">
        <f xml:space="preserve"> IF($U$242,1,0)</f>
        <v>0</v>
      </c>
      <c r="F242" s="14" t="s">
        <v>896</v>
      </c>
      <c r="G242" s="14">
        <v>0</v>
      </c>
      <c r="H242" s="14">
        <v>0</v>
      </c>
      <c r="I242" s="14">
        <v>0</v>
      </c>
      <c r="J242" s="14">
        <v>0</v>
      </c>
      <c r="K242" s="14">
        <v>0</v>
      </c>
      <c r="L242" s="14">
        <v>0</v>
      </c>
      <c r="M242" s="14">
        <v>0</v>
      </c>
      <c r="N242" s="14">
        <v>0</v>
      </c>
      <c r="O242" s="14">
        <v>0</v>
      </c>
      <c r="P242" s="14">
        <v>0</v>
      </c>
      <c r="Q242" s="15"/>
      <c r="R242" s="15"/>
      <c r="S242" s="15">
        <f>$G$242*$G$8+$H$242*$H$8+$I$242*$I$8+$J$242*$J$8+$K$242*$K$8+$L$242*$L$8+$M$242*$M$8+$N$242*$N$8+$O$242*$O$8+$P$242*$P$8</f>
        <v>0</v>
      </c>
      <c r="T242" s="15">
        <f>SUM($Q$242:$R$242)</f>
        <v>0</v>
      </c>
      <c r="U242" s="15">
        <f>$S$242+$T$242</f>
        <v>0</v>
      </c>
    </row>
    <row r="243" spans="1:21" x14ac:dyDescent="0.3">
      <c r="A243" s="10" t="s">
        <v>1290</v>
      </c>
      <c r="B243" s="11" t="s">
        <v>1291</v>
      </c>
      <c r="C243" s="11"/>
      <c r="D243" s="11" t="s">
        <v>1292</v>
      </c>
      <c r="E243" s="11">
        <f xml:space="preserve"> IF($U$243,1,0)</f>
        <v>0</v>
      </c>
      <c r="F243" s="11" t="s">
        <v>1293</v>
      </c>
      <c r="G243" s="11">
        <v>0</v>
      </c>
      <c r="H243" s="11">
        <v>0</v>
      </c>
      <c r="I243" s="11">
        <v>0</v>
      </c>
      <c r="J243" s="11">
        <v>0</v>
      </c>
      <c r="K243" s="11">
        <v>0</v>
      </c>
      <c r="L243" s="11">
        <v>0</v>
      </c>
      <c r="M243" s="11">
        <v>0</v>
      </c>
      <c r="N243" s="11">
        <v>0</v>
      </c>
      <c r="O243" s="11">
        <v>0</v>
      </c>
      <c r="P243" s="11">
        <v>0</v>
      </c>
      <c r="Q243" s="12"/>
      <c r="R243" s="12"/>
      <c r="S243" s="12">
        <f>$G$243*$G$8+$H$243*$H$8+$I$243*$I$8+$J$243*$J$8+$K$243*$K$8+$L$243*$L$8+$M$243*$M$8+$N$243*$N$8+$O$243*$O$8+$P$243*$P$8</f>
        <v>0</v>
      </c>
      <c r="T243" s="12">
        <f>SUM($Q$243:$R$243)</f>
        <v>0</v>
      </c>
      <c r="U243" s="12">
        <f>$S$243+$T$243</f>
        <v>0</v>
      </c>
    </row>
    <row r="244" spans="1:21" x14ac:dyDescent="0.3">
      <c r="A244" s="13" t="s">
        <v>897</v>
      </c>
      <c r="B244" s="14" t="s">
        <v>898</v>
      </c>
      <c r="C244" s="14"/>
      <c r="D244" s="14" t="s">
        <v>899</v>
      </c>
      <c r="E244" s="14">
        <f xml:space="preserve"> IF($U$244,1,0)</f>
        <v>0</v>
      </c>
      <c r="F244" s="14" t="s">
        <v>900</v>
      </c>
      <c r="G244" s="14">
        <v>0</v>
      </c>
      <c r="H244" s="14">
        <v>0</v>
      </c>
      <c r="I244" s="14">
        <v>0</v>
      </c>
      <c r="J244" s="14">
        <v>0</v>
      </c>
      <c r="K244" s="14">
        <v>0</v>
      </c>
      <c r="L244" s="14">
        <v>0</v>
      </c>
      <c r="M244" s="14">
        <v>0</v>
      </c>
      <c r="N244" s="14">
        <v>0</v>
      </c>
      <c r="O244" s="14">
        <v>0</v>
      </c>
      <c r="P244" s="14">
        <v>0</v>
      </c>
      <c r="Q244" s="15"/>
      <c r="R244" s="15"/>
      <c r="S244" s="15">
        <f>$G$244*$G$8+$H$244*$H$8+$I$244*$I$8+$J$244*$J$8+$K$244*$K$8+$L$244*$L$8+$M$244*$M$8+$N$244*$N$8+$O$244*$O$8+$P$244*$P$8</f>
        <v>0</v>
      </c>
      <c r="T244" s="15">
        <f>SUM($Q$244:$R$244)</f>
        <v>0</v>
      </c>
      <c r="U244" s="15">
        <f>$S$244+$T$244</f>
        <v>0</v>
      </c>
    </row>
    <row r="245" spans="1:21" x14ac:dyDescent="0.3">
      <c r="A245" s="10" t="s">
        <v>901</v>
      </c>
      <c r="B245" s="11" t="s">
        <v>902</v>
      </c>
      <c r="C245" s="11"/>
      <c r="D245" s="11" t="s">
        <v>903</v>
      </c>
      <c r="E245" s="11">
        <f xml:space="preserve"> IF($U$245,1,0)</f>
        <v>0</v>
      </c>
      <c r="F245" s="11" t="s">
        <v>904</v>
      </c>
      <c r="G245" s="11">
        <v>0</v>
      </c>
      <c r="H245" s="11">
        <v>0</v>
      </c>
      <c r="I245" s="11">
        <v>0</v>
      </c>
      <c r="J245" s="11">
        <v>0</v>
      </c>
      <c r="K245" s="11">
        <v>0</v>
      </c>
      <c r="L245" s="11">
        <v>0</v>
      </c>
      <c r="M245" s="11">
        <v>0</v>
      </c>
      <c r="N245" s="11">
        <v>0</v>
      </c>
      <c r="O245" s="11">
        <v>0</v>
      </c>
      <c r="P245" s="11">
        <v>0</v>
      </c>
      <c r="Q245" s="12"/>
      <c r="R245" s="12"/>
      <c r="S245" s="12">
        <f>$G$245*$G$8+$H$245*$H$8+$I$245*$I$8+$J$245*$J$8+$K$245*$K$8+$L$245*$L$8+$M$245*$M$8+$N$245*$N$8+$O$245*$O$8+$P$245*$P$8</f>
        <v>0</v>
      </c>
      <c r="T245" s="12">
        <f>SUM($Q$245:$R$245)</f>
        <v>0</v>
      </c>
      <c r="U245" s="12">
        <f>$S$245+$T$245</f>
        <v>0</v>
      </c>
    </row>
    <row r="246" spans="1:21" x14ac:dyDescent="0.3">
      <c r="A246" s="13" t="s">
        <v>905</v>
      </c>
      <c r="B246" s="14" t="s">
        <v>906</v>
      </c>
      <c r="C246" s="14" t="s">
        <v>283</v>
      </c>
      <c r="D246" s="14" t="s">
        <v>296</v>
      </c>
      <c r="E246" s="14">
        <f xml:space="preserve"> IF($U$246,1,0)</f>
        <v>0</v>
      </c>
      <c r="F246" s="14" t="s">
        <v>907</v>
      </c>
      <c r="G246" s="14">
        <v>0</v>
      </c>
      <c r="H246" s="14">
        <v>0</v>
      </c>
      <c r="I246" s="14">
        <v>0</v>
      </c>
      <c r="J246" s="14">
        <v>0</v>
      </c>
      <c r="K246" s="14">
        <v>0</v>
      </c>
      <c r="L246" s="14">
        <v>0</v>
      </c>
      <c r="M246" s="14">
        <v>0</v>
      </c>
      <c r="N246" s="14">
        <v>0</v>
      </c>
      <c r="O246" s="14">
        <v>0</v>
      </c>
      <c r="P246" s="14">
        <v>0</v>
      </c>
      <c r="Q246" s="15"/>
      <c r="R246" s="15"/>
      <c r="S246" s="15">
        <f>$G$246*$G$8+$H$246*$H$8+$I$246*$I$8+$J$246*$J$8+$K$246*$K$8+$L$246*$L$8+$M$246*$M$8+$N$246*$N$8+$O$246*$O$8+$P$246*$P$8</f>
        <v>0</v>
      </c>
      <c r="T246" s="15">
        <f>SUM($Q$246:$R$246)</f>
        <v>0</v>
      </c>
      <c r="U246" s="15">
        <f>$S$246+$T$246</f>
        <v>0</v>
      </c>
    </row>
    <row r="247" spans="1:21" x14ac:dyDescent="0.3">
      <c r="A247" s="10" t="s">
        <v>908</v>
      </c>
      <c r="B247" s="11" t="s">
        <v>909</v>
      </c>
      <c r="C247" s="11"/>
      <c r="D247" s="11" t="s">
        <v>910</v>
      </c>
      <c r="E247" s="11">
        <f xml:space="preserve"> IF($U$247,1,0)</f>
        <v>0</v>
      </c>
      <c r="F247" s="11" t="s">
        <v>911</v>
      </c>
      <c r="G247" s="11">
        <v>0</v>
      </c>
      <c r="H247" s="11">
        <v>0</v>
      </c>
      <c r="I247" s="11">
        <v>0</v>
      </c>
      <c r="J247" s="11">
        <v>0</v>
      </c>
      <c r="K247" s="11">
        <v>0</v>
      </c>
      <c r="L247" s="11">
        <v>0</v>
      </c>
      <c r="M247" s="11">
        <v>0</v>
      </c>
      <c r="N247" s="11">
        <v>0</v>
      </c>
      <c r="O247" s="11">
        <v>0</v>
      </c>
      <c r="P247" s="11">
        <v>0</v>
      </c>
      <c r="Q247" s="12"/>
      <c r="R247" s="12"/>
      <c r="S247" s="12">
        <f>$G$247*$G$8+$H$247*$H$8+$I$247*$I$8+$J$247*$J$8+$K$247*$K$8+$L$247*$L$8+$M$247*$M$8+$N$247*$N$8+$O$247*$O$8+$P$247*$P$8</f>
        <v>0</v>
      </c>
      <c r="T247" s="12">
        <f>SUM($Q$247:$R$247)</f>
        <v>0</v>
      </c>
      <c r="U247" s="12">
        <f>$S$247+$T$247</f>
        <v>0</v>
      </c>
    </row>
    <row r="248" spans="1:21" x14ac:dyDescent="0.3">
      <c r="A248" s="13" t="s">
        <v>912</v>
      </c>
      <c r="B248" s="14" t="s">
        <v>913</v>
      </c>
      <c r="C248" s="14" t="s">
        <v>65</v>
      </c>
      <c r="D248" s="14" t="s">
        <v>914</v>
      </c>
      <c r="E248" s="14">
        <f xml:space="preserve"> IF($U$248,1,0)</f>
        <v>0</v>
      </c>
      <c r="F248" s="14" t="s">
        <v>915</v>
      </c>
      <c r="G248" s="14">
        <v>0</v>
      </c>
      <c r="H248" s="14">
        <v>0</v>
      </c>
      <c r="I248" s="14">
        <v>0</v>
      </c>
      <c r="J248" s="14">
        <v>0</v>
      </c>
      <c r="K248" s="14">
        <v>0</v>
      </c>
      <c r="L248" s="14">
        <v>0</v>
      </c>
      <c r="M248" s="14">
        <v>0</v>
      </c>
      <c r="N248" s="14">
        <v>0</v>
      </c>
      <c r="O248" s="14">
        <v>0</v>
      </c>
      <c r="P248" s="14">
        <v>0</v>
      </c>
      <c r="Q248" s="15"/>
      <c r="R248" s="15"/>
      <c r="S248" s="15">
        <f>$G$248*$G$8+$H$248*$H$8+$I$248*$I$8+$J$248*$J$8+$K$248*$K$8+$L$248*$L$8+$M$248*$M$8+$N$248*$N$8+$O$248*$O$8+$P$248*$P$8</f>
        <v>0</v>
      </c>
      <c r="T248" s="15">
        <f>SUM($Q$248:$R$248)</f>
        <v>0</v>
      </c>
      <c r="U248" s="15">
        <f>$S$248+$T$248</f>
        <v>0</v>
      </c>
    </row>
    <row r="249" spans="1:21" x14ac:dyDescent="0.3">
      <c r="A249" s="10" t="s">
        <v>916</v>
      </c>
      <c r="B249" s="11" t="s">
        <v>917</v>
      </c>
      <c r="C249" s="11"/>
      <c r="D249" s="11" t="s">
        <v>918</v>
      </c>
      <c r="E249" s="11">
        <f xml:space="preserve"> IF($U$249,1,0)</f>
        <v>0</v>
      </c>
      <c r="F249" s="11" t="s">
        <v>919</v>
      </c>
      <c r="G249" s="11">
        <v>0</v>
      </c>
      <c r="H249" s="11">
        <v>0</v>
      </c>
      <c r="I249" s="11">
        <v>0</v>
      </c>
      <c r="J249" s="11">
        <v>0</v>
      </c>
      <c r="K249" s="11">
        <v>0</v>
      </c>
      <c r="L249" s="11">
        <v>0</v>
      </c>
      <c r="M249" s="11">
        <v>0</v>
      </c>
      <c r="N249" s="11">
        <v>0</v>
      </c>
      <c r="O249" s="11">
        <v>0</v>
      </c>
      <c r="P249" s="11">
        <v>0</v>
      </c>
      <c r="Q249" s="12"/>
      <c r="R249" s="12"/>
      <c r="S249" s="12">
        <f>$G$249*$G$8+$H$249*$H$8+$I$249*$I$8+$J$249*$J$8+$K$249*$K$8+$L$249*$L$8+$M$249*$M$8+$N$249*$N$8+$O$249*$O$8+$P$249*$P$8</f>
        <v>0</v>
      </c>
      <c r="T249" s="12">
        <f>SUM($Q$249:$R$249)</f>
        <v>0</v>
      </c>
      <c r="U249" s="12">
        <f>$S$249+$T$249</f>
        <v>0</v>
      </c>
    </row>
    <row r="250" spans="1:21" x14ac:dyDescent="0.3">
      <c r="A250" s="13" t="s">
        <v>920</v>
      </c>
      <c r="B250" s="14" t="s">
        <v>917</v>
      </c>
      <c r="C250" s="14"/>
      <c r="D250" s="14" t="s">
        <v>921</v>
      </c>
      <c r="E250" s="14">
        <f xml:space="preserve"> IF($U$250,1,0)</f>
        <v>0</v>
      </c>
      <c r="F250" s="14" t="s">
        <v>922</v>
      </c>
      <c r="G250" s="14">
        <v>0</v>
      </c>
      <c r="H250" s="14">
        <v>0</v>
      </c>
      <c r="I250" s="14">
        <v>0</v>
      </c>
      <c r="J250" s="14">
        <v>0</v>
      </c>
      <c r="K250" s="14">
        <v>0</v>
      </c>
      <c r="L250" s="14">
        <v>0</v>
      </c>
      <c r="M250" s="14">
        <v>0</v>
      </c>
      <c r="N250" s="14">
        <v>0</v>
      </c>
      <c r="O250" s="14">
        <v>0</v>
      </c>
      <c r="P250" s="14">
        <v>0</v>
      </c>
      <c r="Q250" s="15"/>
      <c r="R250" s="15"/>
      <c r="S250" s="15">
        <f>$G$250*$G$8+$H$250*$H$8+$I$250*$I$8+$J$250*$J$8+$K$250*$K$8+$L$250*$L$8+$M$250*$M$8+$N$250*$N$8+$O$250*$O$8+$P$250*$P$8</f>
        <v>0</v>
      </c>
      <c r="T250" s="15">
        <f>SUM($Q$250:$R$250)</f>
        <v>0</v>
      </c>
      <c r="U250" s="15">
        <f>$S$250+$T$250</f>
        <v>0</v>
      </c>
    </row>
    <row r="251" spans="1:21" x14ac:dyDescent="0.3">
      <c r="A251" s="10" t="s">
        <v>923</v>
      </c>
      <c r="B251" s="11" t="s">
        <v>917</v>
      </c>
      <c r="C251" s="11" t="s">
        <v>34</v>
      </c>
      <c r="D251" s="11" t="s">
        <v>924</v>
      </c>
      <c r="E251" s="11">
        <f xml:space="preserve"> IF($U$251,1,0)</f>
        <v>0</v>
      </c>
      <c r="F251" s="11" t="s">
        <v>925</v>
      </c>
      <c r="G251" s="11">
        <v>0</v>
      </c>
      <c r="H251" s="11">
        <v>0</v>
      </c>
      <c r="I251" s="11">
        <v>0</v>
      </c>
      <c r="J251" s="11">
        <v>0</v>
      </c>
      <c r="K251" s="11">
        <v>0</v>
      </c>
      <c r="L251" s="11">
        <v>0</v>
      </c>
      <c r="M251" s="11">
        <v>0</v>
      </c>
      <c r="N251" s="11">
        <v>0</v>
      </c>
      <c r="O251" s="11">
        <v>0</v>
      </c>
      <c r="P251" s="11">
        <v>0</v>
      </c>
      <c r="Q251" s="12"/>
      <c r="R251" s="12"/>
      <c r="S251" s="12">
        <f>$G$251*$G$8+$H$251*$H$8+$I$251*$I$8+$J$251*$J$8+$K$251*$K$8+$L$251*$L$8+$M$251*$M$8+$N$251*$N$8+$O$251*$O$8+$P$251*$P$8</f>
        <v>0</v>
      </c>
      <c r="T251" s="12">
        <f>SUM($Q$251:$R$251)</f>
        <v>0</v>
      </c>
      <c r="U251" s="12">
        <f>$S$251+$T$251</f>
        <v>0</v>
      </c>
    </row>
    <row r="252" spans="1:21" x14ac:dyDescent="0.3">
      <c r="A252" s="13" t="s">
        <v>926</v>
      </c>
      <c r="B252" s="14" t="s">
        <v>927</v>
      </c>
      <c r="C252" s="14"/>
      <c r="D252" s="14" t="s">
        <v>928</v>
      </c>
      <c r="E252" s="14">
        <f xml:space="preserve"> IF($U$252,1,0)</f>
        <v>0</v>
      </c>
      <c r="F252" s="14" t="s">
        <v>929</v>
      </c>
      <c r="G252" s="14">
        <v>0</v>
      </c>
      <c r="H252" s="14">
        <v>0</v>
      </c>
      <c r="I252" s="14">
        <v>0</v>
      </c>
      <c r="J252" s="14">
        <v>0</v>
      </c>
      <c r="K252" s="14">
        <v>0</v>
      </c>
      <c r="L252" s="14">
        <v>0</v>
      </c>
      <c r="M252" s="14">
        <v>0</v>
      </c>
      <c r="N252" s="14">
        <v>0</v>
      </c>
      <c r="O252" s="14">
        <v>0</v>
      </c>
      <c r="P252" s="14">
        <v>0</v>
      </c>
      <c r="Q252" s="15"/>
      <c r="R252" s="15"/>
      <c r="S252" s="15">
        <f>$G$252*$G$8+$H$252*$H$8+$I$252*$I$8+$J$252*$J$8+$K$252*$K$8+$L$252*$L$8+$M$252*$M$8+$N$252*$N$8+$O$252*$O$8+$P$252*$P$8</f>
        <v>0</v>
      </c>
      <c r="T252" s="15">
        <f>SUM($Q$252:$R$252)</f>
        <v>0</v>
      </c>
      <c r="U252" s="15">
        <f>$S$252+$T$252</f>
        <v>0</v>
      </c>
    </row>
    <row r="253" spans="1:21" x14ac:dyDescent="0.3">
      <c r="A253" s="10" t="s">
        <v>930</v>
      </c>
      <c r="B253" s="11" t="s">
        <v>931</v>
      </c>
      <c r="C253" s="11"/>
      <c r="D253" s="11" t="s">
        <v>932</v>
      </c>
      <c r="E253" s="11">
        <f xml:space="preserve"> IF($U$253,1,0)</f>
        <v>0</v>
      </c>
      <c r="F253" s="11" t="s">
        <v>933</v>
      </c>
      <c r="G253" s="11">
        <v>0</v>
      </c>
      <c r="H253" s="11">
        <v>0</v>
      </c>
      <c r="I253" s="11">
        <v>0</v>
      </c>
      <c r="J253" s="11">
        <v>0</v>
      </c>
      <c r="K253" s="11">
        <v>0</v>
      </c>
      <c r="L253" s="11">
        <v>0</v>
      </c>
      <c r="M253" s="11">
        <v>0</v>
      </c>
      <c r="N253" s="11">
        <v>0</v>
      </c>
      <c r="O253" s="11">
        <v>0</v>
      </c>
      <c r="P253" s="11">
        <v>0</v>
      </c>
      <c r="Q253" s="12"/>
      <c r="R253" s="12"/>
      <c r="S253" s="12">
        <f>$G$253*$G$8+$H$253*$H$8+$I$253*$I$8+$J$253*$J$8+$K$253*$K$8+$L$253*$L$8+$M$253*$M$8+$N$253*$N$8+$O$253*$O$8+$P$253*$P$8</f>
        <v>0</v>
      </c>
      <c r="T253" s="12">
        <f>SUM($Q$253:$R$253)</f>
        <v>0</v>
      </c>
      <c r="U253" s="12">
        <f>$S$253+$T$253</f>
        <v>0</v>
      </c>
    </row>
    <row r="254" spans="1:21" x14ac:dyDescent="0.3">
      <c r="A254" s="13" t="s">
        <v>934</v>
      </c>
      <c r="B254" s="14" t="s">
        <v>935</v>
      </c>
      <c r="C254" s="14"/>
      <c r="D254" s="14" t="s">
        <v>936</v>
      </c>
      <c r="E254" s="14">
        <f xml:space="preserve"> IF($U$254,1,0)</f>
        <v>0</v>
      </c>
      <c r="F254" s="14" t="s">
        <v>937</v>
      </c>
      <c r="G254" s="14">
        <v>0</v>
      </c>
      <c r="H254" s="14">
        <v>0</v>
      </c>
      <c r="I254" s="14">
        <v>0</v>
      </c>
      <c r="J254" s="14">
        <v>0</v>
      </c>
      <c r="K254" s="14">
        <v>0</v>
      </c>
      <c r="L254" s="14">
        <v>0</v>
      </c>
      <c r="M254" s="14">
        <v>0</v>
      </c>
      <c r="N254" s="14">
        <v>0</v>
      </c>
      <c r="O254" s="14">
        <v>0</v>
      </c>
      <c r="P254" s="14">
        <v>0</v>
      </c>
      <c r="Q254" s="15"/>
      <c r="R254" s="15"/>
      <c r="S254" s="15">
        <f>$G$254*$G$8+$H$254*$H$8+$I$254*$I$8+$J$254*$J$8+$K$254*$K$8+$L$254*$L$8+$M$254*$M$8+$N$254*$N$8+$O$254*$O$8+$P$254*$P$8</f>
        <v>0</v>
      </c>
      <c r="T254" s="15">
        <f>SUM($Q$254:$R$254)</f>
        <v>0</v>
      </c>
      <c r="U254" s="15">
        <f>$S$254+$T$254</f>
        <v>0</v>
      </c>
    </row>
    <row r="255" spans="1:21" x14ac:dyDescent="0.3">
      <c r="A255" s="10" t="s">
        <v>938</v>
      </c>
      <c r="B255" s="11" t="s">
        <v>939</v>
      </c>
      <c r="C255" s="11"/>
      <c r="D255" s="11" t="s">
        <v>940</v>
      </c>
      <c r="E255" s="11">
        <f xml:space="preserve"> IF($U$255,1,0)</f>
        <v>0</v>
      </c>
      <c r="F255" s="11" t="s">
        <v>941</v>
      </c>
      <c r="G255" s="11">
        <v>0</v>
      </c>
      <c r="H255" s="11">
        <v>0</v>
      </c>
      <c r="I255" s="11">
        <v>0</v>
      </c>
      <c r="J255" s="11">
        <v>0</v>
      </c>
      <c r="K255" s="11">
        <v>0</v>
      </c>
      <c r="L255" s="11">
        <v>0</v>
      </c>
      <c r="M255" s="11">
        <v>0</v>
      </c>
      <c r="N255" s="11">
        <v>0</v>
      </c>
      <c r="O255" s="11">
        <v>0</v>
      </c>
      <c r="P255" s="11">
        <v>0</v>
      </c>
      <c r="Q255" s="12"/>
      <c r="R255" s="12"/>
      <c r="S255" s="12">
        <f>$G$255*$G$8+$H$255*$H$8+$I$255*$I$8+$J$255*$J$8+$K$255*$K$8+$L$255*$L$8+$M$255*$M$8+$N$255*$N$8+$O$255*$O$8+$P$255*$P$8</f>
        <v>0</v>
      </c>
      <c r="T255" s="12">
        <f>SUM($Q$255:$R$255)</f>
        <v>0</v>
      </c>
      <c r="U255" s="12">
        <f>$S$255+$T$255</f>
        <v>0</v>
      </c>
    </row>
    <row r="256" spans="1:21" x14ac:dyDescent="0.3">
      <c r="A256" s="13" t="s">
        <v>942</v>
      </c>
      <c r="B256" s="14" t="s">
        <v>943</v>
      </c>
      <c r="C256" s="14"/>
      <c r="D256" s="14" t="s">
        <v>944</v>
      </c>
      <c r="E256" s="14">
        <f xml:space="preserve"> IF($U$256,1,0)</f>
        <v>0</v>
      </c>
      <c r="F256" s="14" t="s">
        <v>945</v>
      </c>
      <c r="G256" s="14">
        <v>0</v>
      </c>
      <c r="H256" s="14">
        <v>0</v>
      </c>
      <c r="I256" s="14">
        <v>0</v>
      </c>
      <c r="J256" s="14">
        <v>0</v>
      </c>
      <c r="K256" s="14">
        <v>0</v>
      </c>
      <c r="L256" s="14">
        <v>0</v>
      </c>
      <c r="M256" s="14">
        <v>0</v>
      </c>
      <c r="N256" s="14">
        <v>0</v>
      </c>
      <c r="O256" s="14">
        <v>0</v>
      </c>
      <c r="P256" s="14">
        <v>0</v>
      </c>
      <c r="Q256" s="15"/>
      <c r="R256" s="15"/>
      <c r="S256" s="15">
        <f>$G$256*$G$8+$H$256*$H$8+$I$256*$I$8+$J$256*$J$8+$K$256*$K$8+$L$256*$L$8+$M$256*$M$8+$N$256*$N$8+$O$256*$O$8+$P$256*$P$8</f>
        <v>0</v>
      </c>
      <c r="T256" s="15">
        <f>SUM($Q$256:$R$256)</f>
        <v>0</v>
      </c>
      <c r="U256" s="15">
        <f>$S$256+$T$256</f>
        <v>0</v>
      </c>
    </row>
    <row r="257" spans="1:21" x14ac:dyDescent="0.3">
      <c r="A257" s="10" t="s">
        <v>946</v>
      </c>
      <c r="B257" s="11" t="s">
        <v>947</v>
      </c>
      <c r="C257" s="11"/>
      <c r="D257" s="11" t="s">
        <v>948</v>
      </c>
      <c r="E257" s="11">
        <f xml:space="preserve"> IF($U$257,1,0)</f>
        <v>0</v>
      </c>
      <c r="F257" s="11" t="s">
        <v>949</v>
      </c>
      <c r="G257" s="11">
        <v>0</v>
      </c>
      <c r="H257" s="11">
        <v>0</v>
      </c>
      <c r="I257" s="11">
        <v>0</v>
      </c>
      <c r="J257" s="11">
        <v>0</v>
      </c>
      <c r="K257" s="11">
        <v>0</v>
      </c>
      <c r="L257" s="11">
        <v>0</v>
      </c>
      <c r="M257" s="11">
        <v>0</v>
      </c>
      <c r="N257" s="11">
        <v>0</v>
      </c>
      <c r="O257" s="11">
        <v>0</v>
      </c>
      <c r="P257" s="11">
        <v>0</v>
      </c>
      <c r="Q257" s="12"/>
      <c r="R257" s="12"/>
      <c r="S257" s="12">
        <f>$G$257*$G$8+$H$257*$H$8+$I$257*$I$8+$J$257*$J$8+$K$257*$K$8+$L$257*$L$8+$M$257*$M$8+$N$257*$N$8+$O$257*$O$8+$P$257*$P$8</f>
        <v>0</v>
      </c>
      <c r="T257" s="12">
        <f>SUM($Q$257:$R$257)</f>
        <v>0</v>
      </c>
      <c r="U257" s="12">
        <f>$S$257+$T$257</f>
        <v>0</v>
      </c>
    </row>
    <row r="258" spans="1:21" x14ac:dyDescent="0.3">
      <c r="A258" s="13" t="s">
        <v>950</v>
      </c>
      <c r="B258" s="14" t="s">
        <v>951</v>
      </c>
      <c r="C258" s="14" t="s">
        <v>34</v>
      </c>
      <c r="D258" s="14" t="s">
        <v>118</v>
      </c>
      <c r="E258" s="14">
        <f xml:space="preserve"> IF($U$258,1,0)</f>
        <v>0</v>
      </c>
      <c r="F258" s="14" t="s">
        <v>952</v>
      </c>
      <c r="G258" s="14">
        <v>0</v>
      </c>
      <c r="H258" s="14">
        <v>0</v>
      </c>
      <c r="I258" s="14">
        <v>0</v>
      </c>
      <c r="J258" s="14">
        <v>0</v>
      </c>
      <c r="K258" s="14">
        <v>0</v>
      </c>
      <c r="L258" s="14">
        <v>0</v>
      </c>
      <c r="M258" s="14">
        <v>0</v>
      </c>
      <c r="N258" s="14">
        <v>0</v>
      </c>
      <c r="O258" s="14">
        <v>0</v>
      </c>
      <c r="P258" s="14">
        <v>0</v>
      </c>
      <c r="Q258" s="15"/>
      <c r="R258" s="15"/>
      <c r="S258" s="15">
        <f>$G$258*$G$8+$H$258*$H$8+$I$258*$I$8+$J$258*$J$8+$K$258*$K$8+$L$258*$L$8+$M$258*$M$8+$N$258*$N$8+$O$258*$O$8+$P$258*$P$8</f>
        <v>0</v>
      </c>
      <c r="T258" s="15">
        <f>SUM($Q$258:$R$258)</f>
        <v>0</v>
      </c>
      <c r="U258" s="15">
        <f>$S$258+$T$258</f>
        <v>0</v>
      </c>
    </row>
    <row r="259" spans="1:21" x14ac:dyDescent="0.3">
      <c r="A259" s="10" t="s">
        <v>953</v>
      </c>
      <c r="B259" s="11" t="s">
        <v>954</v>
      </c>
      <c r="C259" s="11"/>
      <c r="D259" s="11" t="s">
        <v>955</v>
      </c>
      <c r="E259" s="11">
        <f xml:space="preserve"> IF($U$259,1,0)</f>
        <v>0</v>
      </c>
      <c r="F259" s="11" t="s">
        <v>956</v>
      </c>
      <c r="G259" s="11">
        <v>0</v>
      </c>
      <c r="H259" s="11">
        <v>0</v>
      </c>
      <c r="I259" s="11">
        <v>0</v>
      </c>
      <c r="J259" s="11">
        <v>0</v>
      </c>
      <c r="K259" s="11">
        <v>0</v>
      </c>
      <c r="L259" s="11">
        <v>0</v>
      </c>
      <c r="M259" s="11">
        <v>0</v>
      </c>
      <c r="N259" s="11">
        <v>0</v>
      </c>
      <c r="O259" s="11">
        <v>0</v>
      </c>
      <c r="P259" s="11">
        <v>0</v>
      </c>
      <c r="Q259" s="12"/>
      <c r="R259" s="12"/>
      <c r="S259" s="12">
        <f>$G$259*$G$8+$H$259*$H$8+$I$259*$I$8+$J$259*$J$8+$K$259*$K$8+$L$259*$L$8+$M$259*$M$8+$N$259*$N$8+$O$259*$O$8+$P$259*$P$8</f>
        <v>0</v>
      </c>
      <c r="T259" s="12">
        <f>SUM($Q$259:$R$259)</f>
        <v>0</v>
      </c>
      <c r="U259" s="12">
        <f>$S$259+$T$259</f>
        <v>0</v>
      </c>
    </row>
    <row r="260" spans="1:21" x14ac:dyDescent="0.3">
      <c r="A260" s="13" t="s">
        <v>957</v>
      </c>
      <c r="B260" s="14" t="s">
        <v>958</v>
      </c>
      <c r="C260" s="14" t="s">
        <v>65</v>
      </c>
      <c r="D260" s="14" t="s">
        <v>959</v>
      </c>
      <c r="E260" s="14">
        <f xml:space="preserve"> IF($U$260,1,0)</f>
        <v>0</v>
      </c>
      <c r="F260" s="14" t="s">
        <v>960</v>
      </c>
      <c r="G260" s="14">
        <v>0</v>
      </c>
      <c r="H260" s="14">
        <v>0</v>
      </c>
      <c r="I260" s="14">
        <v>0</v>
      </c>
      <c r="J260" s="14">
        <v>0</v>
      </c>
      <c r="K260" s="14">
        <v>0</v>
      </c>
      <c r="L260" s="14">
        <v>0</v>
      </c>
      <c r="M260" s="14">
        <v>0</v>
      </c>
      <c r="N260" s="14">
        <v>0</v>
      </c>
      <c r="O260" s="14">
        <v>0</v>
      </c>
      <c r="P260" s="14">
        <v>0</v>
      </c>
      <c r="Q260" s="15"/>
      <c r="R260" s="15"/>
      <c r="S260" s="15">
        <f>$G$260*$G$8+$H$260*$H$8+$I$260*$I$8+$J$260*$J$8+$K$260*$K$8+$L$260*$L$8+$M$260*$M$8+$N$260*$N$8+$O$260*$O$8+$P$260*$P$8</f>
        <v>0</v>
      </c>
      <c r="T260" s="15">
        <f>SUM($Q$260:$R$260)</f>
        <v>0</v>
      </c>
      <c r="U260" s="15">
        <f>$S$260+$T$260</f>
        <v>0</v>
      </c>
    </row>
    <row r="261" spans="1:21" x14ac:dyDescent="0.3">
      <c r="A261" s="10" t="s">
        <v>961</v>
      </c>
      <c r="B261" s="11" t="s">
        <v>962</v>
      </c>
      <c r="C261" s="11" t="s">
        <v>202</v>
      </c>
      <c r="D261" s="11" t="s">
        <v>963</v>
      </c>
      <c r="E261" s="11">
        <f xml:space="preserve"> IF($U$261,1,0)</f>
        <v>0</v>
      </c>
      <c r="F261" s="11" t="s">
        <v>964</v>
      </c>
      <c r="G261" s="11">
        <v>0</v>
      </c>
      <c r="H261" s="11">
        <v>0</v>
      </c>
      <c r="I261" s="11">
        <v>0</v>
      </c>
      <c r="J261" s="11">
        <v>0</v>
      </c>
      <c r="K261" s="11">
        <v>0</v>
      </c>
      <c r="L261" s="11">
        <v>0</v>
      </c>
      <c r="M261" s="11">
        <v>0</v>
      </c>
      <c r="N261" s="11">
        <v>0</v>
      </c>
      <c r="O261" s="11">
        <v>0</v>
      </c>
      <c r="P261" s="11">
        <v>0</v>
      </c>
      <c r="Q261" s="12"/>
      <c r="R261" s="12"/>
      <c r="S261" s="12">
        <f>$G$261*$G$8+$H$261*$H$8+$I$261*$I$8+$J$261*$J$8+$K$261*$K$8+$L$261*$L$8+$M$261*$M$8+$N$261*$N$8+$O$261*$O$8+$P$261*$P$8</f>
        <v>0</v>
      </c>
      <c r="T261" s="12">
        <f>SUM($Q$261:$R$261)</f>
        <v>0</v>
      </c>
      <c r="U261" s="12">
        <f>$S$261+$T$261</f>
        <v>0</v>
      </c>
    </row>
    <row r="262" spans="1:21" x14ac:dyDescent="0.3">
      <c r="A262" s="13" t="s">
        <v>965</v>
      </c>
      <c r="B262" s="14" t="s">
        <v>966</v>
      </c>
      <c r="C262" s="14"/>
      <c r="D262" s="14" t="s">
        <v>609</v>
      </c>
      <c r="E262" s="14">
        <f xml:space="preserve"> IF($U$262,1,0)</f>
        <v>0</v>
      </c>
      <c r="F262" s="14" t="s">
        <v>967</v>
      </c>
      <c r="G262" s="14">
        <v>0</v>
      </c>
      <c r="H262" s="14">
        <v>0</v>
      </c>
      <c r="I262" s="14">
        <v>0</v>
      </c>
      <c r="J262" s="14">
        <v>0</v>
      </c>
      <c r="K262" s="14">
        <v>0</v>
      </c>
      <c r="L262" s="14">
        <v>0</v>
      </c>
      <c r="M262" s="14">
        <v>0</v>
      </c>
      <c r="N262" s="14">
        <v>0</v>
      </c>
      <c r="O262" s="14">
        <v>0</v>
      </c>
      <c r="P262" s="14">
        <v>0</v>
      </c>
      <c r="Q262" s="15"/>
      <c r="R262" s="15"/>
      <c r="S262" s="15">
        <f>$G$262*$G$8+$H$262*$H$8+$I$262*$I$8+$J$262*$J$8+$K$262*$K$8+$L$262*$L$8+$M$262*$M$8+$N$262*$N$8+$O$262*$O$8+$P$262*$P$8</f>
        <v>0</v>
      </c>
      <c r="T262" s="15">
        <f>SUM($Q$262:$R$262)</f>
        <v>0</v>
      </c>
      <c r="U262" s="15">
        <f>$S$262+$T$262</f>
        <v>0</v>
      </c>
    </row>
    <row r="263" spans="1:21" x14ac:dyDescent="0.3">
      <c r="A263" s="10" t="s">
        <v>968</v>
      </c>
      <c r="B263" s="11" t="s">
        <v>969</v>
      </c>
      <c r="C263" s="11"/>
      <c r="D263" s="11" t="s">
        <v>970</v>
      </c>
      <c r="E263" s="11">
        <f xml:space="preserve"> IF($U$263,1,0)</f>
        <v>0</v>
      </c>
      <c r="F263" s="11" t="s">
        <v>971</v>
      </c>
      <c r="G263" s="11">
        <v>0</v>
      </c>
      <c r="H263" s="11">
        <v>0</v>
      </c>
      <c r="I263" s="11">
        <v>0</v>
      </c>
      <c r="J263" s="11">
        <v>0</v>
      </c>
      <c r="K263" s="11">
        <v>0</v>
      </c>
      <c r="L263" s="11">
        <v>0</v>
      </c>
      <c r="M263" s="11">
        <v>0</v>
      </c>
      <c r="N263" s="11">
        <v>0</v>
      </c>
      <c r="O263" s="11">
        <v>0</v>
      </c>
      <c r="P263" s="11">
        <v>0</v>
      </c>
      <c r="Q263" s="12"/>
      <c r="R263" s="12"/>
      <c r="S263" s="12">
        <f>$G$263*$G$8+$H$263*$H$8+$I$263*$I$8+$J$263*$J$8+$K$263*$K$8+$L$263*$L$8+$M$263*$M$8+$N$263*$N$8+$O$263*$O$8+$P$263*$P$8</f>
        <v>0</v>
      </c>
      <c r="T263" s="12">
        <f>SUM($Q$263:$R$263)</f>
        <v>0</v>
      </c>
      <c r="U263" s="12">
        <f>$S$263+$T$263</f>
        <v>0</v>
      </c>
    </row>
    <row r="264" spans="1:21" x14ac:dyDescent="0.3">
      <c r="A264" s="13" t="s">
        <v>972</v>
      </c>
      <c r="B264" s="14" t="s">
        <v>973</v>
      </c>
      <c r="C264" s="14"/>
      <c r="D264" s="14" t="s">
        <v>974</v>
      </c>
      <c r="E264" s="14">
        <f xml:space="preserve"> IF($U$264,1,0)</f>
        <v>0</v>
      </c>
      <c r="F264" s="14" t="s">
        <v>975</v>
      </c>
      <c r="G264" s="14">
        <v>0</v>
      </c>
      <c r="H264" s="14">
        <v>0</v>
      </c>
      <c r="I264" s="14">
        <v>0</v>
      </c>
      <c r="J264" s="14">
        <v>0</v>
      </c>
      <c r="K264" s="14">
        <v>0</v>
      </c>
      <c r="L264" s="14">
        <v>0</v>
      </c>
      <c r="M264" s="14">
        <v>0</v>
      </c>
      <c r="N264" s="14">
        <v>0</v>
      </c>
      <c r="O264" s="14">
        <v>0</v>
      </c>
      <c r="P264" s="14">
        <v>0</v>
      </c>
      <c r="Q264" s="15"/>
      <c r="R264" s="15"/>
      <c r="S264" s="15">
        <f>$G$264*$G$8+$H$264*$H$8+$I$264*$I$8+$J$264*$J$8+$K$264*$K$8+$L$264*$L$8+$M$264*$M$8+$N$264*$N$8+$O$264*$O$8+$P$264*$P$8</f>
        <v>0</v>
      </c>
      <c r="T264" s="15">
        <f>SUM($Q$264:$R$264)</f>
        <v>0</v>
      </c>
      <c r="U264" s="15">
        <f>$S$264+$T$264</f>
        <v>0</v>
      </c>
    </row>
    <row r="265" spans="1:21" x14ac:dyDescent="0.3">
      <c r="A265" s="10" t="s">
        <v>976</v>
      </c>
      <c r="B265" s="11" t="s">
        <v>977</v>
      </c>
      <c r="C265" s="11"/>
      <c r="D265" s="11" t="s">
        <v>978</v>
      </c>
      <c r="E265" s="11">
        <f xml:space="preserve"> IF($U$265,1,0)</f>
        <v>0</v>
      </c>
      <c r="F265" s="11" t="s">
        <v>979</v>
      </c>
      <c r="G265" s="11">
        <v>0</v>
      </c>
      <c r="H265" s="11">
        <v>0</v>
      </c>
      <c r="I265" s="11">
        <v>0</v>
      </c>
      <c r="J265" s="11">
        <v>0</v>
      </c>
      <c r="K265" s="11">
        <v>0</v>
      </c>
      <c r="L265" s="11">
        <v>0</v>
      </c>
      <c r="M265" s="11">
        <v>0</v>
      </c>
      <c r="N265" s="11">
        <v>0</v>
      </c>
      <c r="O265" s="11">
        <v>0</v>
      </c>
      <c r="P265" s="11">
        <v>0</v>
      </c>
      <c r="Q265" s="12"/>
      <c r="R265" s="12"/>
      <c r="S265" s="12">
        <f>$G$265*$G$8+$H$265*$H$8+$I$265*$I$8+$J$265*$J$8+$K$265*$K$8+$L$265*$L$8+$M$265*$M$8+$N$265*$N$8+$O$265*$O$8+$P$265*$P$8</f>
        <v>0</v>
      </c>
      <c r="T265" s="12">
        <f>SUM($Q$265:$R$265)</f>
        <v>0</v>
      </c>
      <c r="U265" s="12">
        <f>$S$265+$T$265</f>
        <v>0</v>
      </c>
    </row>
    <row r="266" spans="1:21" x14ac:dyDescent="0.3">
      <c r="A266" s="13" t="s">
        <v>980</v>
      </c>
      <c r="B266" s="14" t="s">
        <v>981</v>
      </c>
      <c r="C266" s="14" t="s">
        <v>34</v>
      </c>
      <c r="D266" s="14" t="s">
        <v>982</v>
      </c>
      <c r="E266" s="14">
        <f xml:space="preserve"> IF($U$266,1,0)</f>
        <v>0</v>
      </c>
      <c r="F266" s="14" t="s">
        <v>983</v>
      </c>
      <c r="G266" s="14">
        <v>0</v>
      </c>
      <c r="H266" s="14">
        <v>0</v>
      </c>
      <c r="I266" s="14">
        <v>0</v>
      </c>
      <c r="J266" s="14">
        <v>0</v>
      </c>
      <c r="K266" s="14">
        <v>0</v>
      </c>
      <c r="L266" s="14">
        <v>0</v>
      </c>
      <c r="M266" s="14">
        <v>0</v>
      </c>
      <c r="N266" s="14">
        <v>0</v>
      </c>
      <c r="O266" s="14">
        <v>0</v>
      </c>
      <c r="P266" s="14">
        <v>0</v>
      </c>
      <c r="Q266" s="15"/>
      <c r="R266" s="15"/>
      <c r="S266" s="15">
        <f>$G$266*$G$8+$H$266*$H$8+$I$266*$I$8+$J$266*$J$8+$K$266*$K$8+$L$266*$L$8+$M$266*$M$8+$N$266*$N$8+$O$266*$O$8+$P$266*$P$8</f>
        <v>0</v>
      </c>
      <c r="T266" s="15">
        <f>SUM($Q$266:$R$266)</f>
        <v>0</v>
      </c>
      <c r="U266" s="15">
        <f>$S$266+$T$266</f>
        <v>0</v>
      </c>
    </row>
    <row r="267" spans="1:21" x14ac:dyDescent="0.3">
      <c r="A267" s="10" t="s">
        <v>984</v>
      </c>
      <c r="B267" s="11" t="s">
        <v>985</v>
      </c>
      <c r="C267" s="11" t="s">
        <v>202</v>
      </c>
      <c r="D267" s="11" t="s">
        <v>986</v>
      </c>
      <c r="E267" s="11">
        <f xml:space="preserve"> IF($U$267,1,0)</f>
        <v>0</v>
      </c>
      <c r="F267" s="11" t="s">
        <v>987</v>
      </c>
      <c r="G267" s="11">
        <v>0</v>
      </c>
      <c r="H267" s="11">
        <v>0</v>
      </c>
      <c r="I267" s="11">
        <v>0</v>
      </c>
      <c r="J267" s="11">
        <v>0</v>
      </c>
      <c r="K267" s="11">
        <v>0</v>
      </c>
      <c r="L267" s="11">
        <v>0</v>
      </c>
      <c r="M267" s="11">
        <v>0</v>
      </c>
      <c r="N267" s="11">
        <v>0</v>
      </c>
      <c r="O267" s="11">
        <v>0</v>
      </c>
      <c r="P267" s="11">
        <v>0</v>
      </c>
      <c r="Q267" s="12"/>
      <c r="R267" s="12"/>
      <c r="S267" s="12">
        <f>$G$267*$G$8+$H$267*$H$8+$I$267*$I$8+$J$267*$J$8+$K$267*$K$8+$L$267*$L$8+$M$267*$M$8+$N$267*$N$8+$O$267*$O$8+$P$267*$P$8</f>
        <v>0</v>
      </c>
      <c r="T267" s="12">
        <f>SUM($Q$267:$R$267)</f>
        <v>0</v>
      </c>
      <c r="U267" s="12">
        <f>$S$267+$T$267</f>
        <v>0</v>
      </c>
    </row>
    <row r="268" spans="1:21" x14ac:dyDescent="0.3">
      <c r="A268" s="13" t="s">
        <v>1261</v>
      </c>
      <c r="B268" s="14" t="s">
        <v>1262</v>
      </c>
      <c r="C268" s="14"/>
      <c r="D268" s="14" t="s">
        <v>1263</v>
      </c>
      <c r="E268" s="14">
        <f xml:space="preserve"> IF($U$268,1,0)</f>
        <v>0</v>
      </c>
      <c r="F268" s="14" t="s">
        <v>1264</v>
      </c>
      <c r="G268" s="14">
        <v>0</v>
      </c>
      <c r="H268" s="14">
        <v>0</v>
      </c>
      <c r="I268" s="14">
        <v>0</v>
      </c>
      <c r="J268" s="14">
        <v>0</v>
      </c>
      <c r="K268" s="14">
        <v>0</v>
      </c>
      <c r="L268" s="14">
        <v>0</v>
      </c>
      <c r="M268" s="14">
        <v>0</v>
      </c>
      <c r="N268" s="14">
        <v>0</v>
      </c>
      <c r="O268" s="14">
        <v>0</v>
      </c>
      <c r="P268" s="14">
        <v>0</v>
      </c>
      <c r="Q268" s="15"/>
      <c r="R268" s="15"/>
      <c r="S268" s="15">
        <f>$G$268*$G$8+$H$268*$H$8+$I$268*$I$8+$J$268*$J$8+$K$268*$K$8+$L$268*$L$8+$M$268*$M$8+$N$268*$N$8+$O$268*$O$8+$P$268*$P$8</f>
        <v>0</v>
      </c>
      <c r="T268" s="15">
        <f>SUM($Q$268:$R$268)</f>
        <v>0</v>
      </c>
      <c r="U268" s="15">
        <f>$S$268+$T$268</f>
        <v>0</v>
      </c>
    </row>
    <row r="269" spans="1:21" x14ac:dyDescent="0.3">
      <c r="A269" s="10" t="s">
        <v>988</v>
      </c>
      <c r="B269" s="11" t="s">
        <v>989</v>
      </c>
      <c r="C269" s="11" t="s">
        <v>887</v>
      </c>
      <c r="D269" s="11" t="s">
        <v>1060</v>
      </c>
      <c r="E269" s="11">
        <f xml:space="preserve"> IF($U$269,1,0)</f>
        <v>0</v>
      </c>
      <c r="F269" s="11" t="s">
        <v>1256</v>
      </c>
      <c r="G269" s="11">
        <v>0</v>
      </c>
      <c r="H269" s="11">
        <v>0</v>
      </c>
      <c r="I269" s="11">
        <v>0</v>
      </c>
      <c r="J269" s="11">
        <v>0</v>
      </c>
      <c r="K269" s="11">
        <v>0</v>
      </c>
      <c r="L269" s="11">
        <v>0</v>
      </c>
      <c r="M269" s="11">
        <v>0</v>
      </c>
      <c r="N269" s="11">
        <v>0</v>
      </c>
      <c r="O269" s="11">
        <v>0</v>
      </c>
      <c r="P269" s="11">
        <v>0</v>
      </c>
      <c r="Q269" s="12"/>
      <c r="R269" s="12"/>
      <c r="S269" s="12">
        <f>$G$269*$G$8+$H$269*$H$8+$I$269*$I$8+$J$269*$J$8+$K$269*$K$8+$L$269*$L$8+$M$269*$M$8+$N$269*$N$8+$O$269*$O$8+$P$269*$P$8</f>
        <v>0</v>
      </c>
      <c r="T269" s="12">
        <f>SUM($Q$269:$R$269)</f>
        <v>0</v>
      </c>
      <c r="U269" s="12">
        <f>$S$269+$T$269</f>
        <v>0</v>
      </c>
    </row>
    <row r="270" spans="1:21" x14ac:dyDescent="0.3">
      <c r="A270" s="13" t="s">
        <v>992</v>
      </c>
      <c r="B270" s="14" t="s">
        <v>343</v>
      </c>
      <c r="C270" s="14"/>
      <c r="D270" s="14" t="s">
        <v>1294</v>
      </c>
      <c r="E270" s="14">
        <f xml:space="preserve"> IF($U$270,1,0)</f>
        <v>0</v>
      </c>
      <c r="F270" s="14" t="s">
        <v>1295</v>
      </c>
      <c r="G270" s="14">
        <v>0</v>
      </c>
      <c r="H270" s="14">
        <v>0</v>
      </c>
      <c r="I270" s="14">
        <v>0</v>
      </c>
      <c r="J270" s="14">
        <v>0</v>
      </c>
      <c r="K270" s="14">
        <v>0</v>
      </c>
      <c r="L270" s="14">
        <v>0</v>
      </c>
      <c r="M270" s="14">
        <v>0</v>
      </c>
      <c r="N270" s="14">
        <v>0</v>
      </c>
      <c r="O270" s="14">
        <v>0</v>
      </c>
      <c r="P270" s="14">
        <v>0</v>
      </c>
      <c r="Q270" s="15"/>
      <c r="R270" s="15"/>
      <c r="S270" s="15">
        <f>$G$270*$G$8+$H$270*$H$8+$I$270*$I$8+$J$270*$J$8+$K$270*$K$8+$L$270*$L$8+$M$270*$M$8+$N$270*$N$8+$O$270*$O$8+$P$270*$P$8</f>
        <v>0</v>
      </c>
      <c r="T270" s="15">
        <f>SUM($Q$270:$R$270)</f>
        <v>0</v>
      </c>
      <c r="U270" s="15">
        <f>$S$270+$T$270</f>
        <v>0</v>
      </c>
    </row>
    <row r="271" spans="1:21" x14ac:dyDescent="0.3">
      <c r="A271" s="10" t="s">
        <v>995</v>
      </c>
      <c r="B271" s="11" t="s">
        <v>996</v>
      </c>
      <c r="C271" s="11"/>
      <c r="D271" s="11" t="s">
        <v>997</v>
      </c>
      <c r="E271" s="11">
        <f xml:space="preserve"> IF($U$271,1,0)</f>
        <v>0</v>
      </c>
      <c r="F271" s="11" t="s">
        <v>998</v>
      </c>
      <c r="G271" s="11">
        <v>0</v>
      </c>
      <c r="H271" s="11">
        <v>0</v>
      </c>
      <c r="I271" s="11">
        <v>0</v>
      </c>
      <c r="J271" s="11">
        <v>0</v>
      </c>
      <c r="K271" s="11">
        <v>0</v>
      </c>
      <c r="L271" s="11">
        <v>0</v>
      </c>
      <c r="M271" s="11">
        <v>0</v>
      </c>
      <c r="N271" s="11">
        <v>0</v>
      </c>
      <c r="O271" s="11">
        <v>0</v>
      </c>
      <c r="P271" s="11">
        <v>0</v>
      </c>
      <c r="Q271" s="12"/>
      <c r="R271" s="12"/>
      <c r="S271" s="12">
        <f>$G$271*$G$8+$H$271*$H$8+$I$271*$I$8+$J$271*$J$8+$K$271*$K$8+$L$271*$L$8+$M$271*$M$8+$N$271*$N$8+$O$271*$O$8+$P$271*$P$8</f>
        <v>0</v>
      </c>
      <c r="T271" s="12">
        <f>SUM($Q$271:$R$271)</f>
        <v>0</v>
      </c>
      <c r="U271" s="12">
        <f>$S$271+$T$271</f>
        <v>0</v>
      </c>
    </row>
    <row r="272" spans="1:21" x14ac:dyDescent="0.3">
      <c r="A272" s="13" t="s">
        <v>999</v>
      </c>
      <c r="B272" s="14" t="s">
        <v>1000</v>
      </c>
      <c r="C272" s="14" t="s">
        <v>202</v>
      </c>
      <c r="D272" s="14" t="s">
        <v>1001</v>
      </c>
      <c r="E272" s="14">
        <f xml:space="preserve"> IF($U$272,1,0)</f>
        <v>0</v>
      </c>
      <c r="F272" s="14" t="s">
        <v>1002</v>
      </c>
      <c r="G272" s="14">
        <v>0</v>
      </c>
      <c r="H272" s="14">
        <v>0</v>
      </c>
      <c r="I272" s="14">
        <v>0</v>
      </c>
      <c r="J272" s="14">
        <v>0</v>
      </c>
      <c r="K272" s="14">
        <v>0</v>
      </c>
      <c r="L272" s="14">
        <v>0</v>
      </c>
      <c r="M272" s="14">
        <v>0</v>
      </c>
      <c r="N272" s="14">
        <v>0</v>
      </c>
      <c r="O272" s="14">
        <v>0</v>
      </c>
      <c r="P272" s="14">
        <v>0</v>
      </c>
      <c r="Q272" s="15"/>
      <c r="R272" s="15"/>
      <c r="S272" s="15">
        <f>$G$272*$G$8+$H$272*$H$8+$I$272*$I$8+$J$272*$J$8+$K$272*$K$8+$L$272*$L$8+$M$272*$M$8+$N$272*$N$8+$O$272*$O$8+$P$272*$P$8</f>
        <v>0</v>
      </c>
      <c r="T272" s="15">
        <f>SUM($Q$272:$R$272)</f>
        <v>0</v>
      </c>
      <c r="U272" s="15">
        <f>$S$272+$T$272</f>
        <v>0</v>
      </c>
    </row>
    <row r="273" spans="1:21" x14ac:dyDescent="0.3">
      <c r="A273" s="10" t="s">
        <v>1003</v>
      </c>
      <c r="B273" s="11" t="s">
        <v>1004</v>
      </c>
      <c r="C273" s="11"/>
      <c r="D273" s="11" t="s">
        <v>1005</v>
      </c>
      <c r="E273" s="11">
        <f xml:space="preserve"> IF($U$273,1,0)</f>
        <v>0</v>
      </c>
      <c r="F273" s="11" t="s">
        <v>1006</v>
      </c>
      <c r="G273" s="11">
        <v>0</v>
      </c>
      <c r="H273" s="11">
        <v>0</v>
      </c>
      <c r="I273" s="11">
        <v>0</v>
      </c>
      <c r="J273" s="11">
        <v>0</v>
      </c>
      <c r="K273" s="11">
        <v>0</v>
      </c>
      <c r="L273" s="11">
        <v>0</v>
      </c>
      <c r="M273" s="11">
        <v>0</v>
      </c>
      <c r="N273" s="11">
        <v>0</v>
      </c>
      <c r="O273" s="11">
        <v>0</v>
      </c>
      <c r="P273" s="11">
        <v>0</v>
      </c>
      <c r="Q273" s="12"/>
      <c r="R273" s="12"/>
      <c r="S273" s="12">
        <f>$G$273*$G$8+$H$273*$H$8+$I$273*$I$8+$J$273*$J$8+$K$273*$K$8+$L$273*$L$8+$M$273*$M$8+$N$273*$N$8+$O$273*$O$8+$P$273*$P$8</f>
        <v>0</v>
      </c>
      <c r="T273" s="12">
        <f>SUM($Q$273:$R$273)</f>
        <v>0</v>
      </c>
      <c r="U273" s="12">
        <f>$S$273+$T$273</f>
        <v>0</v>
      </c>
    </row>
    <row r="274" spans="1:21" x14ac:dyDescent="0.3">
      <c r="A274" s="13" t="s">
        <v>1007</v>
      </c>
      <c r="B274" s="14" t="s">
        <v>1004</v>
      </c>
      <c r="C274" s="14"/>
      <c r="D274" s="14" t="s">
        <v>1008</v>
      </c>
      <c r="E274" s="14">
        <f xml:space="preserve"> IF($U$274,1,0)</f>
        <v>0</v>
      </c>
      <c r="F274" s="14" t="s">
        <v>1009</v>
      </c>
      <c r="G274" s="14">
        <v>0</v>
      </c>
      <c r="H274" s="14">
        <v>0</v>
      </c>
      <c r="I274" s="14">
        <v>0</v>
      </c>
      <c r="J274" s="14">
        <v>0</v>
      </c>
      <c r="K274" s="14">
        <v>0</v>
      </c>
      <c r="L274" s="14">
        <v>0</v>
      </c>
      <c r="M274" s="14">
        <v>0</v>
      </c>
      <c r="N274" s="14">
        <v>0</v>
      </c>
      <c r="O274" s="14">
        <v>0</v>
      </c>
      <c r="P274" s="14">
        <v>0</v>
      </c>
      <c r="Q274" s="15"/>
      <c r="R274" s="15"/>
      <c r="S274" s="15">
        <f>$G$274*$G$8+$H$274*$H$8+$I$274*$I$8+$J$274*$J$8+$K$274*$K$8+$L$274*$L$8+$M$274*$M$8+$N$274*$N$8+$O$274*$O$8+$P$274*$P$8</f>
        <v>0</v>
      </c>
      <c r="T274" s="15">
        <f>SUM($Q$274:$R$274)</f>
        <v>0</v>
      </c>
      <c r="U274" s="15">
        <f>$S$274+$T$274</f>
        <v>0</v>
      </c>
    </row>
    <row r="275" spans="1:21" x14ac:dyDescent="0.3">
      <c r="A275" s="10" t="s">
        <v>1010</v>
      </c>
      <c r="B275" s="11" t="s">
        <v>1011</v>
      </c>
      <c r="C275" s="11"/>
      <c r="D275" s="11" t="s">
        <v>1012</v>
      </c>
      <c r="E275" s="11">
        <f xml:space="preserve"> IF($U$275,1,0)</f>
        <v>0</v>
      </c>
      <c r="F275" s="11" t="s">
        <v>1013</v>
      </c>
      <c r="G275" s="11">
        <v>0</v>
      </c>
      <c r="H275" s="11">
        <v>0</v>
      </c>
      <c r="I275" s="11">
        <v>0</v>
      </c>
      <c r="J275" s="11">
        <v>0</v>
      </c>
      <c r="K275" s="11">
        <v>0</v>
      </c>
      <c r="L275" s="11">
        <v>0</v>
      </c>
      <c r="M275" s="11">
        <v>0</v>
      </c>
      <c r="N275" s="11">
        <v>0</v>
      </c>
      <c r="O275" s="11">
        <v>0</v>
      </c>
      <c r="P275" s="11">
        <v>0</v>
      </c>
      <c r="Q275" s="12"/>
      <c r="R275" s="12"/>
      <c r="S275" s="12">
        <f>$G$275*$G$8+$H$275*$H$8+$I$275*$I$8+$J$275*$J$8+$K$275*$K$8+$L$275*$L$8+$M$275*$M$8+$N$275*$N$8+$O$275*$O$8+$P$275*$P$8</f>
        <v>0</v>
      </c>
      <c r="T275" s="12">
        <f>SUM($Q$275:$R$275)</f>
        <v>0</v>
      </c>
      <c r="U275" s="12">
        <f>$S$275+$T$275</f>
        <v>0</v>
      </c>
    </row>
    <row r="276" spans="1:21" x14ac:dyDescent="0.3">
      <c r="A276" s="13" t="s">
        <v>1014</v>
      </c>
      <c r="B276" s="14" t="s">
        <v>1015</v>
      </c>
      <c r="C276" s="14"/>
      <c r="D276" s="14" t="s">
        <v>1016</v>
      </c>
      <c r="E276" s="14">
        <f xml:space="preserve"> IF($U$276,1,0)</f>
        <v>0</v>
      </c>
      <c r="F276" s="14" t="s">
        <v>1017</v>
      </c>
      <c r="G276" s="14">
        <v>0</v>
      </c>
      <c r="H276" s="14">
        <v>0</v>
      </c>
      <c r="I276" s="14">
        <v>0</v>
      </c>
      <c r="J276" s="14">
        <v>0</v>
      </c>
      <c r="K276" s="14">
        <v>0</v>
      </c>
      <c r="L276" s="14">
        <v>0</v>
      </c>
      <c r="M276" s="14">
        <v>0</v>
      </c>
      <c r="N276" s="14">
        <v>0</v>
      </c>
      <c r="O276" s="14">
        <v>0</v>
      </c>
      <c r="P276" s="14">
        <v>0</v>
      </c>
      <c r="Q276" s="15"/>
      <c r="R276" s="15"/>
      <c r="S276" s="15">
        <f>$G$276*$G$8+$H$276*$H$8+$I$276*$I$8+$J$276*$J$8+$K$276*$K$8+$L$276*$L$8+$M$276*$M$8+$N$276*$N$8+$O$276*$O$8+$P$276*$P$8</f>
        <v>0</v>
      </c>
      <c r="T276" s="15">
        <f>SUM($Q$276:$R$276)</f>
        <v>0</v>
      </c>
      <c r="U276" s="15">
        <f>$S$276+$T$276</f>
        <v>0</v>
      </c>
    </row>
    <row r="277" spans="1:21" x14ac:dyDescent="0.3">
      <c r="A277" s="10" t="s">
        <v>1018</v>
      </c>
      <c r="B277" s="11" t="s">
        <v>1015</v>
      </c>
      <c r="C277" s="11"/>
      <c r="D277" s="11" t="s">
        <v>1019</v>
      </c>
      <c r="E277" s="11">
        <f xml:space="preserve"> IF($U$277,1,0)</f>
        <v>0</v>
      </c>
      <c r="F277" s="11" t="s">
        <v>1020</v>
      </c>
      <c r="G277" s="11">
        <v>0</v>
      </c>
      <c r="H277" s="11">
        <v>0</v>
      </c>
      <c r="I277" s="11">
        <v>0</v>
      </c>
      <c r="J277" s="11">
        <v>0</v>
      </c>
      <c r="K277" s="11">
        <v>0</v>
      </c>
      <c r="L277" s="11">
        <v>0</v>
      </c>
      <c r="M277" s="11">
        <v>0</v>
      </c>
      <c r="N277" s="11">
        <v>0</v>
      </c>
      <c r="O277" s="11">
        <v>0</v>
      </c>
      <c r="P277" s="11">
        <v>0</v>
      </c>
      <c r="Q277" s="12"/>
      <c r="R277" s="12"/>
      <c r="S277" s="12">
        <f>$G$277*$G$8+$H$277*$H$8+$I$277*$I$8+$J$277*$J$8+$K$277*$K$8+$L$277*$L$8+$M$277*$M$8+$N$277*$N$8+$O$277*$O$8+$P$277*$P$8</f>
        <v>0</v>
      </c>
      <c r="T277" s="12">
        <f>SUM($Q$277:$R$277)</f>
        <v>0</v>
      </c>
      <c r="U277" s="12">
        <f>$S$277+$T$277</f>
        <v>0</v>
      </c>
    </row>
    <row r="278" spans="1:21" x14ac:dyDescent="0.3">
      <c r="A278" s="13" t="s">
        <v>1021</v>
      </c>
      <c r="B278" s="14" t="s">
        <v>1022</v>
      </c>
      <c r="C278" s="14" t="s">
        <v>283</v>
      </c>
      <c r="D278" s="14" t="s">
        <v>1023</v>
      </c>
      <c r="E278" s="14">
        <f xml:space="preserve"> IF($U$278,1,0)</f>
        <v>0</v>
      </c>
      <c r="F278" s="14" t="s">
        <v>1024</v>
      </c>
      <c r="G278" s="14">
        <v>0</v>
      </c>
      <c r="H278" s="14">
        <v>0</v>
      </c>
      <c r="I278" s="14">
        <v>0</v>
      </c>
      <c r="J278" s="14">
        <v>0</v>
      </c>
      <c r="K278" s="14">
        <v>0</v>
      </c>
      <c r="L278" s="14">
        <v>0</v>
      </c>
      <c r="M278" s="14">
        <v>0</v>
      </c>
      <c r="N278" s="14">
        <v>0</v>
      </c>
      <c r="O278" s="14">
        <v>0</v>
      </c>
      <c r="P278" s="14">
        <v>0</v>
      </c>
      <c r="Q278" s="15"/>
      <c r="R278" s="15"/>
      <c r="S278" s="15">
        <f>$G$278*$G$8+$H$278*$H$8+$I$278*$I$8+$J$278*$J$8+$K$278*$K$8+$L$278*$L$8+$M$278*$M$8+$N$278*$N$8+$O$278*$O$8+$P$278*$P$8</f>
        <v>0</v>
      </c>
      <c r="T278" s="15">
        <f>SUM($Q$278:$R$278)</f>
        <v>0</v>
      </c>
      <c r="U278" s="15">
        <f>$S$278+$T$278</f>
        <v>0</v>
      </c>
    </row>
    <row r="279" spans="1:21" x14ac:dyDescent="0.3">
      <c r="A279" s="10" t="s">
        <v>1025</v>
      </c>
      <c r="B279" s="11" t="s">
        <v>1026</v>
      </c>
      <c r="C279" s="11"/>
      <c r="D279" s="11" t="s">
        <v>1027</v>
      </c>
      <c r="E279" s="11">
        <f xml:space="preserve"> IF($U$279,1,0)</f>
        <v>0</v>
      </c>
      <c r="F279" s="11" t="s">
        <v>1028</v>
      </c>
      <c r="G279" s="11">
        <v>0</v>
      </c>
      <c r="H279" s="11">
        <v>0</v>
      </c>
      <c r="I279" s="11">
        <v>0</v>
      </c>
      <c r="J279" s="11">
        <v>0</v>
      </c>
      <c r="K279" s="11">
        <v>0</v>
      </c>
      <c r="L279" s="11">
        <v>0</v>
      </c>
      <c r="M279" s="11">
        <v>0</v>
      </c>
      <c r="N279" s="11">
        <v>0</v>
      </c>
      <c r="O279" s="11">
        <v>0</v>
      </c>
      <c r="P279" s="11">
        <v>0</v>
      </c>
      <c r="Q279" s="12"/>
      <c r="R279" s="12"/>
      <c r="S279" s="12">
        <f>$G$279*$G$8+$H$279*$H$8+$I$279*$I$8+$J$279*$J$8+$K$279*$K$8+$L$279*$L$8+$M$279*$M$8+$N$279*$N$8+$O$279*$O$8+$P$279*$P$8</f>
        <v>0</v>
      </c>
      <c r="T279" s="12">
        <f>SUM($Q$279:$R$279)</f>
        <v>0</v>
      </c>
      <c r="U279" s="12">
        <f>$S$279+$T$279</f>
        <v>0</v>
      </c>
    </row>
    <row r="280" spans="1:21" x14ac:dyDescent="0.3">
      <c r="A280" s="13" t="s">
        <v>1029</v>
      </c>
      <c r="B280" s="14" t="s">
        <v>1030</v>
      </c>
      <c r="C280" s="14" t="s">
        <v>34</v>
      </c>
      <c r="D280" s="14" t="s">
        <v>1031</v>
      </c>
      <c r="E280" s="14">
        <f xml:space="preserve"> IF($U$280,1,0)</f>
        <v>0</v>
      </c>
      <c r="F280" s="14" t="s">
        <v>1032</v>
      </c>
      <c r="G280" s="14">
        <v>0</v>
      </c>
      <c r="H280" s="14">
        <v>0</v>
      </c>
      <c r="I280" s="14">
        <v>0</v>
      </c>
      <c r="J280" s="14">
        <v>0</v>
      </c>
      <c r="K280" s="14">
        <v>0</v>
      </c>
      <c r="L280" s="14">
        <v>0</v>
      </c>
      <c r="M280" s="14">
        <v>0</v>
      </c>
      <c r="N280" s="14">
        <v>0</v>
      </c>
      <c r="O280" s="14">
        <v>0</v>
      </c>
      <c r="P280" s="14">
        <v>0</v>
      </c>
      <c r="Q280" s="15"/>
      <c r="R280" s="15"/>
      <c r="S280" s="15">
        <f>$G$280*$G$8+$H$280*$H$8+$I$280*$I$8+$J$280*$J$8+$K$280*$K$8+$L$280*$L$8+$M$280*$M$8+$N$280*$N$8+$O$280*$O$8+$P$280*$P$8</f>
        <v>0</v>
      </c>
      <c r="T280" s="15">
        <f>SUM($Q$280:$R$280)</f>
        <v>0</v>
      </c>
      <c r="U280" s="15">
        <f>$S$280+$T$280</f>
        <v>0</v>
      </c>
    </row>
    <row r="281" spans="1:21" x14ac:dyDescent="0.3">
      <c r="A281" s="10" t="s">
        <v>1033</v>
      </c>
      <c r="B281" s="11" t="s">
        <v>1030</v>
      </c>
      <c r="C281" s="11"/>
      <c r="D281" s="11" t="s">
        <v>1034</v>
      </c>
      <c r="E281" s="11">
        <f xml:space="preserve"> IF($U$281,1,0)</f>
        <v>0</v>
      </c>
      <c r="F281" s="11" t="s">
        <v>1035</v>
      </c>
      <c r="G281" s="11">
        <v>0</v>
      </c>
      <c r="H281" s="11">
        <v>0</v>
      </c>
      <c r="I281" s="11">
        <v>0</v>
      </c>
      <c r="J281" s="11">
        <v>0</v>
      </c>
      <c r="K281" s="11">
        <v>0</v>
      </c>
      <c r="L281" s="11">
        <v>0</v>
      </c>
      <c r="M281" s="11">
        <v>0</v>
      </c>
      <c r="N281" s="11">
        <v>0</v>
      </c>
      <c r="O281" s="11">
        <v>0</v>
      </c>
      <c r="P281" s="11">
        <v>0</v>
      </c>
      <c r="Q281" s="12"/>
      <c r="R281" s="12"/>
      <c r="S281" s="12">
        <f>$G$281*$G$8+$H$281*$H$8+$I$281*$I$8+$J$281*$J$8+$K$281*$K$8+$L$281*$L$8+$M$281*$M$8+$N$281*$N$8+$O$281*$O$8+$P$281*$P$8</f>
        <v>0</v>
      </c>
      <c r="T281" s="12">
        <f>SUM($Q$281:$R$281)</f>
        <v>0</v>
      </c>
      <c r="U281" s="12">
        <f>$S$281+$T$281</f>
        <v>0</v>
      </c>
    </row>
    <row r="282" spans="1:21" x14ac:dyDescent="0.3">
      <c r="A282" s="13" t="s">
        <v>1036</v>
      </c>
      <c r="B282" s="14" t="s">
        <v>1037</v>
      </c>
      <c r="C282" s="14"/>
      <c r="D282" s="14" t="s">
        <v>1038</v>
      </c>
      <c r="E282" s="14">
        <f xml:space="preserve"> IF($U$282,1,0)</f>
        <v>0</v>
      </c>
      <c r="F282" s="14" t="s">
        <v>1039</v>
      </c>
      <c r="G282" s="14">
        <v>0</v>
      </c>
      <c r="H282" s="14">
        <v>0</v>
      </c>
      <c r="I282" s="14">
        <v>0</v>
      </c>
      <c r="J282" s="14">
        <v>0</v>
      </c>
      <c r="K282" s="14">
        <v>0</v>
      </c>
      <c r="L282" s="14">
        <v>0</v>
      </c>
      <c r="M282" s="14">
        <v>0</v>
      </c>
      <c r="N282" s="14">
        <v>0</v>
      </c>
      <c r="O282" s="14">
        <v>0</v>
      </c>
      <c r="P282" s="14">
        <v>0</v>
      </c>
      <c r="Q282" s="15"/>
      <c r="R282" s="15"/>
      <c r="S282" s="15">
        <f>$G$282*$G$8+$H$282*$H$8+$I$282*$I$8+$J$282*$J$8+$K$282*$K$8+$L$282*$L$8+$M$282*$M$8+$N$282*$N$8+$O$282*$O$8+$P$282*$P$8</f>
        <v>0</v>
      </c>
      <c r="T282" s="15">
        <f>SUM($Q$282:$R$282)</f>
        <v>0</v>
      </c>
      <c r="U282" s="15">
        <f>$S$282+$T$282</f>
        <v>0</v>
      </c>
    </row>
    <row r="283" spans="1:21" x14ac:dyDescent="0.3">
      <c r="A283" s="10" t="s">
        <v>1040</v>
      </c>
      <c r="B283" s="11" t="s">
        <v>1037</v>
      </c>
      <c r="C283" s="11" t="s">
        <v>202</v>
      </c>
      <c r="D283" s="11" t="s">
        <v>1041</v>
      </c>
      <c r="E283" s="11">
        <f xml:space="preserve"> IF($U$283,1,0)</f>
        <v>0</v>
      </c>
      <c r="F283" s="11" t="s">
        <v>1042</v>
      </c>
      <c r="G283" s="11">
        <v>0</v>
      </c>
      <c r="H283" s="11">
        <v>0</v>
      </c>
      <c r="I283" s="11">
        <v>0</v>
      </c>
      <c r="J283" s="11">
        <v>0</v>
      </c>
      <c r="K283" s="11">
        <v>0</v>
      </c>
      <c r="L283" s="11">
        <v>0</v>
      </c>
      <c r="M283" s="11">
        <v>0</v>
      </c>
      <c r="N283" s="11">
        <v>0</v>
      </c>
      <c r="O283" s="11">
        <v>0</v>
      </c>
      <c r="P283" s="11">
        <v>0</v>
      </c>
      <c r="Q283" s="12"/>
      <c r="R283" s="12"/>
      <c r="S283" s="12">
        <f>$G$283*$G$8+$H$283*$H$8+$I$283*$I$8+$J$283*$J$8+$K$283*$K$8+$L$283*$L$8+$M$283*$M$8+$N$283*$N$8+$O$283*$O$8+$P$283*$P$8</f>
        <v>0</v>
      </c>
      <c r="T283" s="12">
        <f>SUM($Q$283:$R$283)</f>
        <v>0</v>
      </c>
      <c r="U283" s="12">
        <f>$S$283+$T$283</f>
        <v>0</v>
      </c>
    </row>
    <row r="284" spans="1:21" x14ac:dyDescent="0.3">
      <c r="A284" s="13" t="s">
        <v>1043</v>
      </c>
      <c r="B284" s="14" t="s">
        <v>1044</v>
      </c>
      <c r="C284" s="14"/>
      <c r="D284" s="14" t="s">
        <v>1045</v>
      </c>
      <c r="E284" s="14">
        <f xml:space="preserve"> IF($U$284,1,0)</f>
        <v>0</v>
      </c>
      <c r="F284" s="14" t="s">
        <v>1046</v>
      </c>
      <c r="G284" s="14">
        <v>0</v>
      </c>
      <c r="H284" s="14">
        <v>0</v>
      </c>
      <c r="I284" s="14">
        <v>0</v>
      </c>
      <c r="J284" s="14">
        <v>0</v>
      </c>
      <c r="K284" s="14">
        <v>0</v>
      </c>
      <c r="L284" s="14">
        <v>0</v>
      </c>
      <c r="M284" s="14">
        <v>0</v>
      </c>
      <c r="N284" s="14">
        <v>0</v>
      </c>
      <c r="O284" s="14">
        <v>0</v>
      </c>
      <c r="P284" s="14">
        <v>0</v>
      </c>
      <c r="Q284" s="15"/>
      <c r="R284" s="15"/>
      <c r="S284" s="15">
        <f>$G$284*$G$8+$H$284*$H$8+$I$284*$I$8+$J$284*$J$8+$K$284*$K$8+$L$284*$L$8+$M$284*$M$8+$N$284*$N$8+$O$284*$O$8+$P$284*$P$8</f>
        <v>0</v>
      </c>
      <c r="T284" s="15">
        <f>SUM($Q$284:$R$284)</f>
        <v>0</v>
      </c>
      <c r="U284" s="15">
        <f>$S$284+$T$284</f>
        <v>0</v>
      </c>
    </row>
    <row r="285" spans="1:21" x14ac:dyDescent="0.3">
      <c r="A285" s="10" t="s">
        <v>1047</v>
      </c>
      <c r="B285" s="11" t="s">
        <v>1048</v>
      </c>
      <c r="C285" s="11"/>
      <c r="D285" s="11" t="s">
        <v>1049</v>
      </c>
      <c r="E285" s="11">
        <f xml:space="preserve"> IF($U$285,1,0)</f>
        <v>0</v>
      </c>
      <c r="F285" s="11" t="s">
        <v>1050</v>
      </c>
      <c r="G285" s="11">
        <v>0</v>
      </c>
      <c r="H285" s="11">
        <v>0</v>
      </c>
      <c r="I285" s="11">
        <v>0</v>
      </c>
      <c r="J285" s="11">
        <v>0</v>
      </c>
      <c r="K285" s="11">
        <v>0</v>
      </c>
      <c r="L285" s="11">
        <v>0</v>
      </c>
      <c r="M285" s="11">
        <v>0</v>
      </c>
      <c r="N285" s="11">
        <v>0</v>
      </c>
      <c r="O285" s="11">
        <v>0</v>
      </c>
      <c r="P285" s="11">
        <v>0</v>
      </c>
      <c r="Q285" s="12"/>
      <c r="R285" s="12"/>
      <c r="S285" s="12">
        <f>$G$285*$G$8+$H$285*$H$8+$I$285*$I$8+$J$285*$J$8+$K$285*$K$8+$L$285*$L$8+$M$285*$M$8+$N$285*$N$8+$O$285*$O$8+$P$285*$P$8</f>
        <v>0</v>
      </c>
      <c r="T285" s="12">
        <f>SUM($Q$285:$R$285)</f>
        <v>0</v>
      </c>
      <c r="U285" s="12">
        <f>$S$285+$T$285</f>
        <v>0</v>
      </c>
    </row>
    <row r="286" spans="1:21" x14ac:dyDescent="0.3">
      <c r="A286" s="13" t="s">
        <v>1051</v>
      </c>
      <c r="B286" s="14" t="s">
        <v>1052</v>
      </c>
      <c r="C286" s="14" t="s">
        <v>34</v>
      </c>
      <c r="D286" s="14" t="s">
        <v>1053</v>
      </c>
      <c r="E286" s="14">
        <f xml:space="preserve"> IF($U$286,1,0)</f>
        <v>0</v>
      </c>
      <c r="F286" s="14" t="s">
        <v>1054</v>
      </c>
      <c r="G286" s="14">
        <v>0</v>
      </c>
      <c r="H286" s="14">
        <v>0</v>
      </c>
      <c r="I286" s="14">
        <v>0</v>
      </c>
      <c r="J286" s="14">
        <v>0</v>
      </c>
      <c r="K286" s="14">
        <v>0</v>
      </c>
      <c r="L286" s="14">
        <v>0</v>
      </c>
      <c r="M286" s="14">
        <v>0</v>
      </c>
      <c r="N286" s="14">
        <v>0</v>
      </c>
      <c r="O286" s="14">
        <v>0</v>
      </c>
      <c r="P286" s="14">
        <v>0</v>
      </c>
      <c r="Q286" s="15"/>
      <c r="R286" s="15"/>
      <c r="S286" s="15">
        <f>$G$286*$G$8+$H$286*$H$8+$I$286*$I$8+$J$286*$J$8+$K$286*$K$8+$L$286*$L$8+$M$286*$M$8+$N$286*$N$8+$O$286*$O$8+$P$286*$P$8</f>
        <v>0</v>
      </c>
      <c r="T286" s="15">
        <f>SUM($Q$286:$R$286)</f>
        <v>0</v>
      </c>
      <c r="U286" s="15">
        <f>$S$286+$T$286</f>
        <v>0</v>
      </c>
    </row>
    <row r="287" spans="1:21" x14ac:dyDescent="0.3">
      <c r="A287" s="10" t="s">
        <v>1055</v>
      </c>
      <c r="B287" s="11" t="s">
        <v>1056</v>
      </c>
      <c r="C287" s="11" t="s">
        <v>243</v>
      </c>
      <c r="D287" s="11" t="s">
        <v>1057</v>
      </c>
      <c r="E287" s="11">
        <f xml:space="preserve"> IF($U$287,1,0)</f>
        <v>0</v>
      </c>
      <c r="F287" s="11" t="s">
        <v>1058</v>
      </c>
      <c r="G287" s="11">
        <v>0</v>
      </c>
      <c r="H287" s="11">
        <v>0</v>
      </c>
      <c r="I287" s="11">
        <v>0</v>
      </c>
      <c r="J287" s="11">
        <v>0</v>
      </c>
      <c r="K287" s="11">
        <v>0</v>
      </c>
      <c r="L287" s="11">
        <v>0</v>
      </c>
      <c r="M287" s="11">
        <v>0</v>
      </c>
      <c r="N287" s="11">
        <v>0</v>
      </c>
      <c r="O287" s="11">
        <v>0</v>
      </c>
      <c r="P287" s="11">
        <v>0</v>
      </c>
      <c r="Q287" s="12"/>
      <c r="R287" s="12"/>
      <c r="S287" s="12">
        <f>$G$287*$G$8+$H$287*$H$8+$I$287*$I$8+$J$287*$J$8+$K$287*$K$8+$L$287*$L$8+$M$287*$M$8+$N$287*$N$8+$O$287*$O$8+$P$287*$P$8</f>
        <v>0</v>
      </c>
      <c r="T287" s="12">
        <f>SUM($Q$287:$R$287)</f>
        <v>0</v>
      </c>
      <c r="U287" s="12">
        <f>$S$287+$T$287</f>
        <v>0</v>
      </c>
    </row>
    <row r="288" spans="1:21" x14ac:dyDescent="0.3">
      <c r="A288" s="13" t="s">
        <v>1059</v>
      </c>
      <c r="B288" s="14" t="s">
        <v>1056</v>
      </c>
      <c r="C288" s="14" t="s">
        <v>278</v>
      </c>
      <c r="D288" s="14" t="s">
        <v>1060</v>
      </c>
      <c r="E288" s="14">
        <f xml:space="preserve"> IF($U$288,1,0)</f>
        <v>0</v>
      </c>
      <c r="F288" s="14" t="s">
        <v>1061</v>
      </c>
      <c r="G288" s="14">
        <v>0</v>
      </c>
      <c r="H288" s="14">
        <v>0</v>
      </c>
      <c r="I288" s="14">
        <v>0</v>
      </c>
      <c r="J288" s="14">
        <v>0</v>
      </c>
      <c r="K288" s="14">
        <v>0</v>
      </c>
      <c r="L288" s="14">
        <v>0</v>
      </c>
      <c r="M288" s="14">
        <v>0</v>
      </c>
      <c r="N288" s="14">
        <v>0</v>
      </c>
      <c r="O288" s="14">
        <v>0</v>
      </c>
      <c r="P288" s="14">
        <v>0</v>
      </c>
      <c r="Q288" s="15"/>
      <c r="R288" s="15"/>
      <c r="S288" s="15">
        <f>$G$288*$G$8+$H$288*$H$8+$I$288*$I$8+$J$288*$J$8+$K$288*$K$8+$L$288*$L$8+$M$288*$M$8+$N$288*$N$8+$O$288*$O$8+$P$288*$P$8</f>
        <v>0</v>
      </c>
      <c r="T288" s="15">
        <f>SUM($Q$288:$R$288)</f>
        <v>0</v>
      </c>
      <c r="U288" s="15">
        <f>$S$288+$T$288</f>
        <v>0</v>
      </c>
    </row>
    <row r="289" spans="1:21" x14ac:dyDescent="0.3">
      <c r="A289" s="10" t="s">
        <v>1062</v>
      </c>
      <c r="B289" s="11" t="s">
        <v>1063</v>
      </c>
      <c r="C289" s="11"/>
      <c r="D289" s="11" t="s">
        <v>1064</v>
      </c>
      <c r="E289" s="11">
        <f xml:space="preserve"> IF($U$289,1,0)</f>
        <v>0</v>
      </c>
      <c r="F289" s="11" t="s">
        <v>1065</v>
      </c>
      <c r="G289" s="11">
        <v>0</v>
      </c>
      <c r="H289" s="11">
        <v>0</v>
      </c>
      <c r="I289" s="11">
        <v>0</v>
      </c>
      <c r="J289" s="11">
        <v>0</v>
      </c>
      <c r="K289" s="11">
        <v>0</v>
      </c>
      <c r="L289" s="11">
        <v>0</v>
      </c>
      <c r="M289" s="11">
        <v>0</v>
      </c>
      <c r="N289" s="11">
        <v>0</v>
      </c>
      <c r="O289" s="11">
        <v>0</v>
      </c>
      <c r="P289" s="11">
        <v>0</v>
      </c>
      <c r="Q289" s="12"/>
      <c r="R289" s="12"/>
      <c r="S289" s="12">
        <f>$G$289*$G$8+$H$289*$H$8+$I$289*$I$8+$J$289*$J$8+$K$289*$K$8+$L$289*$L$8+$M$289*$M$8+$N$289*$N$8+$O$289*$O$8+$P$289*$P$8</f>
        <v>0</v>
      </c>
      <c r="T289" s="12">
        <f>SUM($Q$289:$R$289)</f>
        <v>0</v>
      </c>
      <c r="U289" s="12">
        <f>$S$289+$T$289</f>
        <v>0</v>
      </c>
    </row>
    <row r="290" spans="1:21" x14ac:dyDescent="0.3">
      <c r="A290" s="13" t="s">
        <v>1066</v>
      </c>
      <c r="B290" s="14" t="s">
        <v>1067</v>
      </c>
      <c r="C290" s="14" t="s">
        <v>202</v>
      </c>
      <c r="D290" s="14" t="s">
        <v>1068</v>
      </c>
      <c r="E290" s="14">
        <f xml:space="preserve"> IF($U$290,1,0)</f>
        <v>0</v>
      </c>
      <c r="F290" s="14" t="s">
        <v>1069</v>
      </c>
      <c r="G290" s="14">
        <v>0</v>
      </c>
      <c r="H290" s="14">
        <v>0</v>
      </c>
      <c r="I290" s="14">
        <v>0</v>
      </c>
      <c r="J290" s="14">
        <v>0</v>
      </c>
      <c r="K290" s="14">
        <v>0</v>
      </c>
      <c r="L290" s="14">
        <v>0</v>
      </c>
      <c r="M290" s="14">
        <v>0</v>
      </c>
      <c r="N290" s="14">
        <v>0</v>
      </c>
      <c r="O290" s="14">
        <v>0</v>
      </c>
      <c r="P290" s="14">
        <v>0</v>
      </c>
      <c r="Q290" s="15"/>
      <c r="R290" s="15"/>
      <c r="S290" s="15">
        <f>$G$290*$G$8+$H$290*$H$8+$I$290*$I$8+$J$290*$J$8+$K$290*$K$8+$L$290*$L$8+$M$290*$M$8+$N$290*$N$8+$O$290*$O$8+$P$290*$P$8</f>
        <v>0</v>
      </c>
      <c r="T290" s="15">
        <f>SUM($Q$290:$R$290)</f>
        <v>0</v>
      </c>
      <c r="U290" s="15">
        <f>$S$290+$T$290</f>
        <v>0</v>
      </c>
    </row>
    <row r="291" spans="1:21" x14ac:dyDescent="0.3">
      <c r="A291" s="10" t="s">
        <v>1070</v>
      </c>
      <c r="B291" s="11" t="s">
        <v>1071</v>
      </c>
      <c r="C291" s="11"/>
      <c r="D291" s="11" t="s">
        <v>1072</v>
      </c>
      <c r="E291" s="11">
        <f xml:space="preserve"> IF($U$291,1,0)</f>
        <v>0</v>
      </c>
      <c r="F291" s="11" t="s">
        <v>1073</v>
      </c>
      <c r="G291" s="11">
        <v>0</v>
      </c>
      <c r="H291" s="11">
        <v>0</v>
      </c>
      <c r="I291" s="11">
        <v>0</v>
      </c>
      <c r="J291" s="11">
        <v>0</v>
      </c>
      <c r="K291" s="11">
        <v>0</v>
      </c>
      <c r="L291" s="11">
        <v>0</v>
      </c>
      <c r="M291" s="11">
        <v>0</v>
      </c>
      <c r="N291" s="11">
        <v>0</v>
      </c>
      <c r="O291" s="11">
        <v>0</v>
      </c>
      <c r="P291" s="11">
        <v>0</v>
      </c>
      <c r="Q291" s="12"/>
      <c r="R291" s="12"/>
      <c r="S291" s="12">
        <f>$G$291*$G$8+$H$291*$H$8+$I$291*$I$8+$J$291*$J$8+$K$291*$K$8+$L$291*$L$8+$M$291*$M$8+$N$291*$N$8+$O$291*$O$8+$P$291*$P$8</f>
        <v>0</v>
      </c>
      <c r="T291" s="12">
        <f>SUM($Q$291:$R$291)</f>
        <v>0</v>
      </c>
      <c r="U291" s="12">
        <f>$S$291+$T$291</f>
        <v>0</v>
      </c>
    </row>
    <row r="292" spans="1:21" x14ac:dyDescent="0.3">
      <c r="A292" s="13" t="s">
        <v>1074</v>
      </c>
      <c r="B292" s="14" t="s">
        <v>1071</v>
      </c>
      <c r="C292" s="14"/>
      <c r="D292" s="14" t="s">
        <v>1075</v>
      </c>
      <c r="E292" s="14">
        <f xml:space="preserve"> IF($U$292,1,0)</f>
        <v>0</v>
      </c>
      <c r="F292" s="14" t="s">
        <v>1076</v>
      </c>
      <c r="G292" s="14">
        <v>0</v>
      </c>
      <c r="H292" s="14">
        <v>0</v>
      </c>
      <c r="I292" s="14">
        <v>0</v>
      </c>
      <c r="J292" s="14">
        <v>0</v>
      </c>
      <c r="K292" s="14">
        <v>0</v>
      </c>
      <c r="L292" s="14">
        <v>0</v>
      </c>
      <c r="M292" s="14">
        <v>0</v>
      </c>
      <c r="N292" s="14">
        <v>0</v>
      </c>
      <c r="O292" s="14">
        <v>0</v>
      </c>
      <c r="P292" s="14">
        <v>0</v>
      </c>
      <c r="Q292" s="15"/>
      <c r="R292" s="15"/>
      <c r="S292" s="15">
        <f>$G$292*$G$8+$H$292*$H$8+$I$292*$I$8+$J$292*$J$8+$K$292*$K$8+$L$292*$L$8+$M$292*$M$8+$N$292*$N$8+$O$292*$O$8+$P$292*$P$8</f>
        <v>0</v>
      </c>
      <c r="T292" s="15">
        <f>SUM($Q$292:$R$292)</f>
        <v>0</v>
      </c>
      <c r="U292" s="15">
        <f>$S$292+$T$292</f>
        <v>0</v>
      </c>
    </row>
    <row r="293" spans="1:21" x14ac:dyDescent="0.3">
      <c r="A293" s="10" t="s">
        <v>1077</v>
      </c>
      <c r="B293" s="11" t="s">
        <v>1078</v>
      </c>
      <c r="C293" s="11"/>
      <c r="D293" s="11" t="s">
        <v>1079</v>
      </c>
      <c r="E293" s="11">
        <f xml:space="preserve"> IF($U$293,1,0)</f>
        <v>0</v>
      </c>
      <c r="F293" s="11" t="s">
        <v>1080</v>
      </c>
      <c r="G293" s="11">
        <v>0</v>
      </c>
      <c r="H293" s="11">
        <v>0</v>
      </c>
      <c r="I293" s="11">
        <v>0</v>
      </c>
      <c r="J293" s="11">
        <v>0</v>
      </c>
      <c r="K293" s="11">
        <v>0</v>
      </c>
      <c r="L293" s="11">
        <v>0</v>
      </c>
      <c r="M293" s="11">
        <v>0</v>
      </c>
      <c r="N293" s="11">
        <v>0</v>
      </c>
      <c r="O293" s="11">
        <v>0</v>
      </c>
      <c r="P293" s="11">
        <v>0</v>
      </c>
      <c r="Q293" s="12"/>
      <c r="R293" s="12"/>
      <c r="S293" s="12">
        <f>$G$293*$G$8+$H$293*$H$8+$I$293*$I$8+$J$293*$J$8+$K$293*$K$8+$L$293*$L$8+$M$293*$M$8+$N$293*$N$8+$O$293*$O$8+$P$293*$P$8</f>
        <v>0</v>
      </c>
      <c r="T293" s="12">
        <f>SUM($Q$293:$R$293)</f>
        <v>0</v>
      </c>
      <c r="U293" s="12">
        <f>$S$293+$T$293</f>
        <v>0</v>
      </c>
    </row>
    <row r="294" spans="1:21" x14ac:dyDescent="0.3">
      <c r="A294" s="13" t="s">
        <v>1081</v>
      </c>
      <c r="B294" s="14" t="s">
        <v>1082</v>
      </c>
      <c r="C294" s="14"/>
      <c r="D294" s="14" t="s">
        <v>1083</v>
      </c>
      <c r="E294" s="14">
        <f xml:space="preserve"> IF($U$294,1,0)</f>
        <v>0</v>
      </c>
      <c r="F294" s="14" t="s">
        <v>1084</v>
      </c>
      <c r="G294" s="14">
        <v>0</v>
      </c>
      <c r="H294" s="14">
        <v>0</v>
      </c>
      <c r="I294" s="14">
        <v>0</v>
      </c>
      <c r="J294" s="14">
        <v>0</v>
      </c>
      <c r="K294" s="14">
        <v>0</v>
      </c>
      <c r="L294" s="14">
        <v>0</v>
      </c>
      <c r="M294" s="14">
        <v>0</v>
      </c>
      <c r="N294" s="14">
        <v>0</v>
      </c>
      <c r="O294" s="14">
        <v>0</v>
      </c>
      <c r="P294" s="14">
        <v>0</v>
      </c>
      <c r="Q294" s="15"/>
      <c r="R294" s="15"/>
      <c r="S294" s="15">
        <f>$G$294*$G$8+$H$294*$H$8+$I$294*$I$8+$J$294*$J$8+$K$294*$K$8+$L$294*$L$8+$M$294*$M$8+$N$294*$N$8+$O$294*$O$8+$P$294*$P$8</f>
        <v>0</v>
      </c>
      <c r="T294" s="15">
        <f>SUM($Q$294:$R$294)</f>
        <v>0</v>
      </c>
      <c r="U294" s="15">
        <f>$S$294+$T$294</f>
        <v>0</v>
      </c>
    </row>
    <row r="295" spans="1:21" x14ac:dyDescent="0.3">
      <c r="A295" s="10" t="s">
        <v>1085</v>
      </c>
      <c r="B295" s="11" t="s">
        <v>1082</v>
      </c>
      <c r="C295" s="11"/>
      <c r="D295" s="11" t="s">
        <v>1086</v>
      </c>
      <c r="E295" s="11">
        <f xml:space="preserve"> IF($U$295,1,0)</f>
        <v>0</v>
      </c>
      <c r="F295" s="11" t="s">
        <v>1087</v>
      </c>
      <c r="G295" s="11">
        <v>0</v>
      </c>
      <c r="H295" s="11">
        <v>0</v>
      </c>
      <c r="I295" s="11">
        <v>0</v>
      </c>
      <c r="J295" s="11">
        <v>0</v>
      </c>
      <c r="K295" s="11">
        <v>0</v>
      </c>
      <c r="L295" s="11">
        <v>0</v>
      </c>
      <c r="M295" s="11">
        <v>0</v>
      </c>
      <c r="N295" s="11">
        <v>0</v>
      </c>
      <c r="O295" s="11">
        <v>0</v>
      </c>
      <c r="P295" s="11">
        <v>0</v>
      </c>
      <c r="Q295" s="12"/>
      <c r="R295" s="12"/>
      <c r="S295" s="12">
        <f>$G$295*$G$8+$H$295*$H$8+$I$295*$I$8+$J$295*$J$8+$K$295*$K$8+$L$295*$L$8+$M$295*$M$8+$N$295*$N$8+$O$295*$O$8+$P$295*$P$8</f>
        <v>0</v>
      </c>
      <c r="T295" s="12">
        <f>SUM($Q$295:$R$295)</f>
        <v>0</v>
      </c>
      <c r="U295" s="12">
        <f>$S$295+$T$295</f>
        <v>0</v>
      </c>
    </row>
    <row r="296" spans="1:21" x14ac:dyDescent="0.3">
      <c r="A296" s="13" t="s">
        <v>1088</v>
      </c>
      <c r="B296" s="14" t="s">
        <v>1082</v>
      </c>
      <c r="C296" s="14" t="s">
        <v>65</v>
      </c>
      <c r="D296" s="14" t="s">
        <v>1089</v>
      </c>
      <c r="E296" s="14">
        <f xml:space="preserve"> IF($U$296,1,0)</f>
        <v>0</v>
      </c>
      <c r="F296" s="14" t="s">
        <v>1090</v>
      </c>
      <c r="G296" s="14">
        <v>0</v>
      </c>
      <c r="H296" s="14">
        <v>0</v>
      </c>
      <c r="I296" s="14">
        <v>0</v>
      </c>
      <c r="J296" s="14">
        <v>0</v>
      </c>
      <c r="K296" s="14">
        <v>0</v>
      </c>
      <c r="L296" s="14">
        <v>0</v>
      </c>
      <c r="M296" s="14">
        <v>0</v>
      </c>
      <c r="N296" s="14">
        <v>0</v>
      </c>
      <c r="O296" s="14">
        <v>0</v>
      </c>
      <c r="P296" s="14">
        <v>0</v>
      </c>
      <c r="Q296" s="15"/>
      <c r="R296" s="15"/>
      <c r="S296" s="15">
        <f>$G$296*$G$8+$H$296*$H$8+$I$296*$I$8+$J$296*$J$8+$K$296*$K$8+$L$296*$L$8+$M$296*$M$8+$N$296*$N$8+$O$296*$O$8+$P$296*$P$8</f>
        <v>0</v>
      </c>
      <c r="T296" s="15">
        <f>SUM($Q$296:$R$296)</f>
        <v>0</v>
      </c>
      <c r="U296" s="15">
        <f>$S$296+$T$296</f>
        <v>0</v>
      </c>
    </row>
    <row r="297" spans="1:21" x14ac:dyDescent="0.3">
      <c r="A297" s="10" t="s">
        <v>1091</v>
      </c>
      <c r="B297" s="11" t="s">
        <v>1082</v>
      </c>
      <c r="C297" s="11"/>
      <c r="D297" s="11" t="s">
        <v>1092</v>
      </c>
      <c r="E297" s="11">
        <f xml:space="preserve"> IF($U$297,1,0)</f>
        <v>0</v>
      </c>
      <c r="F297" s="11" t="s">
        <v>1093</v>
      </c>
      <c r="G297" s="11">
        <v>0</v>
      </c>
      <c r="H297" s="11">
        <v>0</v>
      </c>
      <c r="I297" s="11">
        <v>0</v>
      </c>
      <c r="J297" s="11">
        <v>0</v>
      </c>
      <c r="K297" s="11">
        <v>0</v>
      </c>
      <c r="L297" s="11">
        <v>0</v>
      </c>
      <c r="M297" s="11">
        <v>0</v>
      </c>
      <c r="N297" s="11">
        <v>0</v>
      </c>
      <c r="O297" s="11">
        <v>0</v>
      </c>
      <c r="P297" s="11">
        <v>0</v>
      </c>
      <c r="Q297" s="12"/>
      <c r="R297" s="12"/>
      <c r="S297" s="12">
        <f>$G$297*$G$8+$H$297*$H$8+$I$297*$I$8+$J$297*$J$8+$K$297*$K$8+$L$297*$L$8+$M$297*$M$8+$N$297*$N$8+$O$297*$O$8+$P$297*$P$8</f>
        <v>0</v>
      </c>
      <c r="T297" s="12">
        <f>SUM($Q$297:$R$297)</f>
        <v>0</v>
      </c>
      <c r="U297" s="12">
        <f>$S$297+$T$297</f>
        <v>0</v>
      </c>
    </row>
    <row r="298" spans="1:21" x14ac:dyDescent="0.3">
      <c r="A298" s="13" t="s">
        <v>1094</v>
      </c>
      <c r="B298" s="14" t="s">
        <v>1095</v>
      </c>
      <c r="C298" s="14" t="s">
        <v>34</v>
      </c>
      <c r="D298" s="14" t="s">
        <v>1096</v>
      </c>
      <c r="E298" s="14">
        <f xml:space="preserve"> IF($U$298,1,0)</f>
        <v>0</v>
      </c>
      <c r="F298" s="14" t="s">
        <v>1097</v>
      </c>
      <c r="G298" s="14">
        <v>0</v>
      </c>
      <c r="H298" s="14">
        <v>0</v>
      </c>
      <c r="I298" s="14">
        <v>0</v>
      </c>
      <c r="J298" s="14">
        <v>0</v>
      </c>
      <c r="K298" s="14">
        <v>0</v>
      </c>
      <c r="L298" s="14">
        <v>0</v>
      </c>
      <c r="M298" s="14">
        <v>0</v>
      </c>
      <c r="N298" s="14">
        <v>0</v>
      </c>
      <c r="O298" s="14">
        <v>0</v>
      </c>
      <c r="P298" s="14">
        <v>0</v>
      </c>
      <c r="Q298" s="15"/>
      <c r="R298" s="15"/>
      <c r="S298" s="15">
        <f>$G$298*$G$8+$H$298*$H$8+$I$298*$I$8+$J$298*$J$8+$K$298*$K$8+$L$298*$L$8+$M$298*$M$8+$N$298*$N$8+$O$298*$O$8+$P$298*$P$8</f>
        <v>0</v>
      </c>
      <c r="T298" s="15">
        <f>SUM($Q$298:$R$298)</f>
        <v>0</v>
      </c>
      <c r="U298" s="15">
        <f>$S$298+$T$298</f>
        <v>0</v>
      </c>
    </row>
    <row r="299" spans="1:21" x14ac:dyDescent="0.3">
      <c r="A299" s="10" t="s">
        <v>1098</v>
      </c>
      <c r="B299" s="11" t="s">
        <v>1099</v>
      </c>
      <c r="C299" s="11"/>
      <c r="D299" s="11" t="s">
        <v>1100</v>
      </c>
      <c r="E299" s="11">
        <f xml:space="preserve"> IF($U$299,1,0)</f>
        <v>0</v>
      </c>
      <c r="F299" s="11" t="s">
        <v>1101</v>
      </c>
      <c r="G299" s="11">
        <v>0</v>
      </c>
      <c r="H299" s="11">
        <v>0</v>
      </c>
      <c r="I299" s="11">
        <v>0</v>
      </c>
      <c r="J299" s="11">
        <v>0</v>
      </c>
      <c r="K299" s="11">
        <v>0</v>
      </c>
      <c r="L299" s="11">
        <v>0</v>
      </c>
      <c r="M299" s="11">
        <v>0</v>
      </c>
      <c r="N299" s="11">
        <v>0</v>
      </c>
      <c r="O299" s="11">
        <v>0</v>
      </c>
      <c r="P299" s="11">
        <v>0</v>
      </c>
      <c r="Q299" s="12"/>
      <c r="R299" s="12"/>
      <c r="S299" s="12">
        <f>$G$299*$G$8+$H$299*$H$8+$I$299*$I$8+$J$299*$J$8+$K$299*$K$8+$L$299*$L$8+$M$299*$M$8+$N$299*$N$8+$O$299*$O$8+$P$299*$P$8</f>
        <v>0</v>
      </c>
      <c r="T299" s="12">
        <f>SUM($Q$299:$R$299)</f>
        <v>0</v>
      </c>
      <c r="U299" s="12">
        <f>$S$299+$T$299</f>
        <v>0</v>
      </c>
    </row>
    <row r="300" spans="1:21" x14ac:dyDescent="0.3">
      <c r="A300" s="13" t="s">
        <v>1102</v>
      </c>
      <c r="B300" s="14" t="s">
        <v>1103</v>
      </c>
      <c r="C300" s="14"/>
      <c r="D300" s="14" t="s">
        <v>1104</v>
      </c>
      <c r="E300" s="14">
        <f xml:space="preserve"> IF($U$300,1,0)</f>
        <v>0</v>
      </c>
      <c r="F300" s="14" t="s">
        <v>1105</v>
      </c>
      <c r="G300" s="14">
        <v>0</v>
      </c>
      <c r="H300" s="14">
        <v>0</v>
      </c>
      <c r="I300" s="14">
        <v>0</v>
      </c>
      <c r="J300" s="14">
        <v>0</v>
      </c>
      <c r="K300" s="14">
        <v>0</v>
      </c>
      <c r="L300" s="14">
        <v>0</v>
      </c>
      <c r="M300" s="14">
        <v>0</v>
      </c>
      <c r="N300" s="14">
        <v>0</v>
      </c>
      <c r="O300" s="14">
        <v>0</v>
      </c>
      <c r="P300" s="14">
        <v>0</v>
      </c>
      <c r="Q300" s="15"/>
      <c r="R300" s="15"/>
      <c r="S300" s="15">
        <f>$G$300*$G$8+$H$300*$H$8+$I$300*$I$8+$J$300*$J$8+$K$300*$K$8+$L$300*$L$8+$M$300*$M$8+$N$300*$N$8+$O$300*$O$8+$P$300*$P$8</f>
        <v>0</v>
      </c>
      <c r="T300" s="15">
        <f>SUM($Q$300:$R$300)</f>
        <v>0</v>
      </c>
      <c r="U300" s="15">
        <f>$S$300+$T$300</f>
        <v>0</v>
      </c>
    </row>
    <row r="301" spans="1:21" x14ac:dyDescent="0.3">
      <c r="A301" s="10" t="s">
        <v>1106</v>
      </c>
      <c r="B301" s="11" t="s">
        <v>1107</v>
      </c>
      <c r="C301" s="11"/>
      <c r="D301" s="11" t="s">
        <v>1107</v>
      </c>
      <c r="E301" s="11">
        <f xml:space="preserve"> IF($U$301,1,0)</f>
        <v>0</v>
      </c>
      <c r="F301" s="11" t="s">
        <v>1108</v>
      </c>
      <c r="G301" s="11">
        <v>0</v>
      </c>
      <c r="H301" s="11">
        <v>0</v>
      </c>
      <c r="I301" s="11">
        <v>0</v>
      </c>
      <c r="J301" s="11">
        <v>0</v>
      </c>
      <c r="K301" s="11">
        <v>0</v>
      </c>
      <c r="L301" s="11">
        <v>0</v>
      </c>
      <c r="M301" s="11">
        <v>0</v>
      </c>
      <c r="N301" s="11">
        <v>0</v>
      </c>
      <c r="O301" s="11">
        <v>0</v>
      </c>
      <c r="P301" s="11">
        <v>0</v>
      </c>
      <c r="Q301" s="12"/>
      <c r="R301" s="12"/>
      <c r="S301" s="12">
        <f>$G$301*$G$8+$H$301*$H$8+$I$301*$I$8+$J$301*$J$8+$K$301*$K$8+$L$301*$L$8+$M$301*$M$8+$N$301*$N$8+$O$301*$O$8+$P$301*$P$8</f>
        <v>0</v>
      </c>
      <c r="T301" s="12">
        <f>SUM($Q$301:$R$301)</f>
        <v>0</v>
      </c>
      <c r="U301" s="12">
        <f>$S$301+$T$301</f>
        <v>0</v>
      </c>
    </row>
    <row r="302" spans="1:21" x14ac:dyDescent="0.3">
      <c r="A302" s="13" t="s">
        <v>1109</v>
      </c>
      <c r="B302" s="14" t="s">
        <v>1110</v>
      </c>
      <c r="C302" s="14" t="s">
        <v>34</v>
      </c>
      <c r="D302" s="14" t="s">
        <v>1111</v>
      </c>
      <c r="E302" s="14">
        <f xml:space="preserve"> IF($U$302,1,0)</f>
        <v>0</v>
      </c>
      <c r="F302" s="14" t="s">
        <v>1112</v>
      </c>
      <c r="G302" s="14">
        <v>0</v>
      </c>
      <c r="H302" s="14">
        <v>0</v>
      </c>
      <c r="I302" s="14">
        <v>0</v>
      </c>
      <c r="J302" s="14">
        <v>0</v>
      </c>
      <c r="K302" s="14">
        <v>0</v>
      </c>
      <c r="L302" s="14">
        <v>0</v>
      </c>
      <c r="M302" s="14">
        <v>0</v>
      </c>
      <c r="N302" s="14">
        <v>0</v>
      </c>
      <c r="O302" s="14">
        <v>0</v>
      </c>
      <c r="P302" s="14">
        <v>0</v>
      </c>
      <c r="Q302" s="15"/>
      <c r="R302" s="15"/>
      <c r="S302" s="15">
        <f>$G$302*$G$8+$H$302*$H$8+$I$302*$I$8+$J$302*$J$8+$K$302*$K$8+$L$302*$L$8+$M$302*$M$8+$N$302*$N$8+$O$302*$O$8+$P$302*$P$8</f>
        <v>0</v>
      </c>
      <c r="T302" s="15">
        <f>SUM($Q$302:$R$302)</f>
        <v>0</v>
      </c>
      <c r="U302" s="15">
        <f>$S$302+$T$302</f>
        <v>0</v>
      </c>
    </row>
    <row r="303" spans="1:21" x14ac:dyDescent="0.3">
      <c r="A303" s="10" t="s">
        <v>1113</v>
      </c>
      <c r="B303" s="11" t="s">
        <v>1114</v>
      </c>
      <c r="C303" s="11" t="s">
        <v>34</v>
      </c>
      <c r="D303" s="11" t="s">
        <v>239</v>
      </c>
      <c r="E303" s="11">
        <f xml:space="preserve"> IF($U$303,1,0)</f>
        <v>0</v>
      </c>
      <c r="F303" s="11" t="s">
        <v>1115</v>
      </c>
      <c r="G303" s="11">
        <v>0</v>
      </c>
      <c r="H303" s="11">
        <v>0</v>
      </c>
      <c r="I303" s="11">
        <v>0</v>
      </c>
      <c r="J303" s="11">
        <v>0</v>
      </c>
      <c r="K303" s="11">
        <v>0</v>
      </c>
      <c r="L303" s="11">
        <v>0</v>
      </c>
      <c r="M303" s="11">
        <v>0</v>
      </c>
      <c r="N303" s="11">
        <v>0</v>
      </c>
      <c r="O303" s="11">
        <v>0</v>
      </c>
      <c r="P303" s="11">
        <v>0</v>
      </c>
      <c r="Q303" s="12"/>
      <c r="R303" s="12"/>
      <c r="S303" s="12">
        <f>$G$303*$G$8+$H$303*$H$8+$I$303*$I$8+$J$303*$J$8+$K$303*$K$8+$L$303*$L$8+$M$303*$M$8+$N$303*$N$8+$O$303*$O$8+$P$303*$P$8</f>
        <v>0</v>
      </c>
      <c r="T303" s="12">
        <f>SUM($Q$303:$R$303)</f>
        <v>0</v>
      </c>
      <c r="U303" s="12">
        <f>$S$303+$T$303</f>
        <v>0</v>
      </c>
    </row>
    <row r="304" spans="1:21" x14ac:dyDescent="0.3">
      <c r="A304" s="13" t="s">
        <v>1257</v>
      </c>
      <c r="B304" s="14" t="s">
        <v>1117</v>
      </c>
      <c r="C304" s="14" t="s">
        <v>202</v>
      </c>
      <c r="D304" s="14" t="s">
        <v>442</v>
      </c>
      <c r="E304" s="14">
        <f xml:space="preserve"> IF($U$304,1,0)</f>
        <v>0</v>
      </c>
      <c r="F304" s="14" t="s">
        <v>1258</v>
      </c>
      <c r="G304" s="14">
        <v>0</v>
      </c>
      <c r="H304" s="14">
        <v>0</v>
      </c>
      <c r="I304" s="14">
        <v>0</v>
      </c>
      <c r="J304" s="14">
        <v>0</v>
      </c>
      <c r="K304" s="14">
        <v>0</v>
      </c>
      <c r="L304" s="14">
        <v>0</v>
      </c>
      <c r="M304" s="14">
        <v>0</v>
      </c>
      <c r="N304" s="14">
        <v>0</v>
      </c>
      <c r="O304" s="14">
        <v>0</v>
      </c>
      <c r="P304" s="14">
        <v>0</v>
      </c>
      <c r="Q304" s="15"/>
      <c r="R304" s="15"/>
      <c r="S304" s="15">
        <f>$G$304*$G$8+$H$304*$H$8+$I$304*$I$8+$J$304*$J$8+$K$304*$K$8+$L$304*$L$8+$M$304*$M$8+$N$304*$N$8+$O$304*$O$8+$P$304*$P$8</f>
        <v>0</v>
      </c>
      <c r="T304" s="15">
        <f>SUM($Q$304:$R$304)</f>
        <v>0</v>
      </c>
      <c r="U304" s="15">
        <f>$S$304+$T$304</f>
        <v>0</v>
      </c>
    </row>
    <row r="305" spans="1:21" x14ac:dyDescent="0.3">
      <c r="A305" s="10" t="s">
        <v>1116</v>
      </c>
      <c r="B305" s="11" t="s">
        <v>1117</v>
      </c>
      <c r="C305" s="11"/>
      <c r="D305" s="11" t="s">
        <v>1118</v>
      </c>
      <c r="E305" s="11">
        <f xml:space="preserve"> IF($U$305,1,0)</f>
        <v>0</v>
      </c>
      <c r="F305" s="11" t="s">
        <v>1119</v>
      </c>
      <c r="G305" s="11">
        <v>0</v>
      </c>
      <c r="H305" s="11">
        <v>0</v>
      </c>
      <c r="I305" s="11">
        <v>0</v>
      </c>
      <c r="J305" s="11">
        <v>0</v>
      </c>
      <c r="K305" s="11">
        <v>0</v>
      </c>
      <c r="L305" s="11">
        <v>0</v>
      </c>
      <c r="M305" s="11">
        <v>0</v>
      </c>
      <c r="N305" s="11">
        <v>0</v>
      </c>
      <c r="O305" s="11">
        <v>0</v>
      </c>
      <c r="P305" s="11">
        <v>0</v>
      </c>
      <c r="Q305" s="12"/>
      <c r="R305" s="12"/>
      <c r="S305" s="12">
        <f>$G$305*$G$8+$H$305*$H$8+$I$305*$I$8+$J$305*$J$8+$K$305*$K$8+$L$305*$L$8+$M$305*$M$8+$N$305*$N$8+$O$305*$O$8+$P$305*$P$8</f>
        <v>0</v>
      </c>
      <c r="T305" s="12">
        <f>SUM($Q$305:$R$305)</f>
        <v>0</v>
      </c>
      <c r="U305" s="12">
        <f>$S$305+$T$305</f>
        <v>0</v>
      </c>
    </row>
    <row r="306" spans="1:21" x14ac:dyDescent="0.3">
      <c r="A306" s="13" t="s">
        <v>1120</v>
      </c>
      <c r="B306" s="14" t="s">
        <v>1117</v>
      </c>
      <c r="C306" s="14"/>
      <c r="D306" s="14" t="s">
        <v>1121</v>
      </c>
      <c r="E306" s="14">
        <f xml:space="preserve"> IF($U$306,1,0)</f>
        <v>0</v>
      </c>
      <c r="F306" s="14" t="s">
        <v>1122</v>
      </c>
      <c r="G306" s="14">
        <v>0</v>
      </c>
      <c r="H306" s="14">
        <v>0</v>
      </c>
      <c r="I306" s="14">
        <v>0</v>
      </c>
      <c r="J306" s="14">
        <v>0</v>
      </c>
      <c r="K306" s="14">
        <v>0</v>
      </c>
      <c r="L306" s="14">
        <v>0</v>
      </c>
      <c r="M306" s="14">
        <v>0</v>
      </c>
      <c r="N306" s="14">
        <v>0</v>
      </c>
      <c r="O306" s="14">
        <v>0</v>
      </c>
      <c r="P306" s="14">
        <v>0</v>
      </c>
      <c r="Q306" s="15"/>
      <c r="R306" s="15"/>
      <c r="S306" s="15">
        <f>$G$306*$G$8+$H$306*$H$8+$I$306*$I$8+$J$306*$J$8+$K$306*$K$8+$L$306*$L$8+$M$306*$M$8+$N$306*$N$8+$O$306*$O$8+$P$306*$P$8</f>
        <v>0</v>
      </c>
      <c r="T306" s="15">
        <f>SUM($Q$306:$R$306)</f>
        <v>0</v>
      </c>
      <c r="U306" s="15">
        <f>$S$306+$T$306</f>
        <v>0</v>
      </c>
    </row>
    <row r="307" spans="1:21" x14ac:dyDescent="0.3">
      <c r="A307" s="10" t="s">
        <v>1123</v>
      </c>
      <c r="B307" s="11" t="s">
        <v>1117</v>
      </c>
      <c r="C307" s="11"/>
      <c r="D307" s="11" t="s">
        <v>1124</v>
      </c>
      <c r="E307" s="11">
        <f xml:space="preserve"> IF($U$307,1,0)</f>
        <v>0</v>
      </c>
      <c r="F307" s="11" t="s">
        <v>1125</v>
      </c>
      <c r="G307" s="11">
        <v>0</v>
      </c>
      <c r="H307" s="11">
        <v>0</v>
      </c>
      <c r="I307" s="11">
        <v>0</v>
      </c>
      <c r="J307" s="11">
        <v>0</v>
      </c>
      <c r="K307" s="11">
        <v>0</v>
      </c>
      <c r="L307" s="11">
        <v>0</v>
      </c>
      <c r="M307" s="11">
        <v>0</v>
      </c>
      <c r="N307" s="11">
        <v>0</v>
      </c>
      <c r="O307" s="11">
        <v>0</v>
      </c>
      <c r="P307" s="11">
        <v>0</v>
      </c>
      <c r="Q307" s="12"/>
      <c r="R307" s="12"/>
      <c r="S307" s="12">
        <f>$G$307*$G$8+$H$307*$H$8+$I$307*$I$8+$J$307*$J$8+$K$307*$K$8+$L$307*$L$8+$M$307*$M$8+$N$307*$N$8+$O$307*$O$8+$P$307*$P$8</f>
        <v>0</v>
      </c>
      <c r="T307" s="12">
        <f>SUM($Q$307:$R$307)</f>
        <v>0</v>
      </c>
      <c r="U307" s="12">
        <f>$S$307+$T$307</f>
        <v>0</v>
      </c>
    </row>
    <row r="308" spans="1:21" x14ac:dyDescent="0.3">
      <c r="A308" s="13" t="s">
        <v>1126</v>
      </c>
      <c r="B308" s="14" t="s">
        <v>1117</v>
      </c>
      <c r="C308" s="14"/>
      <c r="D308" s="14" t="s">
        <v>1127</v>
      </c>
      <c r="E308" s="14">
        <f xml:space="preserve"> IF($U$308,1,0)</f>
        <v>0</v>
      </c>
      <c r="F308" s="14" t="s">
        <v>1128</v>
      </c>
      <c r="G308" s="14">
        <v>0</v>
      </c>
      <c r="H308" s="14">
        <v>0</v>
      </c>
      <c r="I308" s="14">
        <v>0</v>
      </c>
      <c r="J308" s="14">
        <v>0</v>
      </c>
      <c r="K308" s="14">
        <v>0</v>
      </c>
      <c r="L308" s="14">
        <v>0</v>
      </c>
      <c r="M308" s="14">
        <v>0</v>
      </c>
      <c r="N308" s="14">
        <v>0</v>
      </c>
      <c r="O308" s="14">
        <v>0</v>
      </c>
      <c r="P308" s="14">
        <v>0</v>
      </c>
      <c r="Q308" s="15"/>
      <c r="R308" s="15"/>
      <c r="S308" s="15">
        <f>$G$308*$G$8+$H$308*$H$8+$I$308*$I$8+$J$308*$J$8+$K$308*$K$8+$L$308*$L$8+$M$308*$M$8+$N$308*$N$8+$O$308*$O$8+$P$308*$P$8</f>
        <v>0</v>
      </c>
      <c r="T308" s="15">
        <f>SUM($Q$308:$R$308)</f>
        <v>0</v>
      </c>
      <c r="U308" s="15">
        <f>$S$308+$T$308</f>
        <v>0</v>
      </c>
    </row>
    <row r="309" spans="1:21" x14ac:dyDescent="0.3">
      <c r="A309" s="10" t="s">
        <v>1129</v>
      </c>
      <c r="B309" s="11" t="s">
        <v>1130</v>
      </c>
      <c r="C309" s="11" t="s">
        <v>34</v>
      </c>
      <c r="D309" s="11" t="s">
        <v>1131</v>
      </c>
      <c r="E309" s="11">
        <f xml:space="preserve"> IF($U$309,1,0)</f>
        <v>0</v>
      </c>
      <c r="F309" s="11" t="s">
        <v>1132</v>
      </c>
      <c r="G309" s="11">
        <v>0</v>
      </c>
      <c r="H309" s="11">
        <v>0</v>
      </c>
      <c r="I309" s="11">
        <v>0</v>
      </c>
      <c r="J309" s="11">
        <v>0</v>
      </c>
      <c r="K309" s="11">
        <v>0</v>
      </c>
      <c r="L309" s="11">
        <v>0</v>
      </c>
      <c r="M309" s="11">
        <v>0</v>
      </c>
      <c r="N309" s="11">
        <v>0</v>
      </c>
      <c r="O309" s="11">
        <v>0</v>
      </c>
      <c r="P309" s="11">
        <v>0</v>
      </c>
      <c r="Q309" s="12"/>
      <c r="R309" s="12"/>
      <c r="S309" s="12">
        <f>$G$309*$G$8+$H$309*$H$8+$I$309*$I$8+$J$309*$J$8+$K$309*$K$8+$L$309*$L$8+$M$309*$M$8+$N$309*$N$8+$O$309*$O$8+$P$309*$P$8</f>
        <v>0</v>
      </c>
      <c r="T309" s="12">
        <f>SUM($Q$309:$R$309)</f>
        <v>0</v>
      </c>
      <c r="U309" s="12">
        <f>$S$309+$T$309</f>
        <v>0</v>
      </c>
    </row>
    <row r="310" spans="1:21" x14ac:dyDescent="0.3">
      <c r="A310" s="13" t="s">
        <v>1133</v>
      </c>
      <c r="B310" s="14" t="s">
        <v>1134</v>
      </c>
      <c r="C310" s="14"/>
      <c r="D310" s="14" t="s">
        <v>1135</v>
      </c>
      <c r="E310" s="14">
        <f xml:space="preserve"> IF($U$310,1,0)</f>
        <v>0</v>
      </c>
      <c r="F310" s="14" t="s">
        <v>1136</v>
      </c>
      <c r="G310" s="14">
        <v>0</v>
      </c>
      <c r="H310" s="14">
        <v>0</v>
      </c>
      <c r="I310" s="14">
        <v>0</v>
      </c>
      <c r="J310" s="14">
        <v>0</v>
      </c>
      <c r="K310" s="14">
        <v>0</v>
      </c>
      <c r="L310" s="14">
        <v>0</v>
      </c>
      <c r="M310" s="14">
        <v>0</v>
      </c>
      <c r="N310" s="14">
        <v>0</v>
      </c>
      <c r="O310" s="14">
        <v>0</v>
      </c>
      <c r="P310" s="14">
        <v>0</v>
      </c>
      <c r="Q310" s="15"/>
      <c r="R310" s="15"/>
      <c r="S310" s="15">
        <f>$G$310*$G$8+$H$310*$H$8+$I$310*$I$8+$J$310*$J$8+$K$310*$K$8+$L$310*$L$8+$M$310*$M$8+$N$310*$N$8+$O$310*$O$8+$P$310*$P$8</f>
        <v>0</v>
      </c>
      <c r="T310" s="15">
        <f>SUM($Q$310:$R$310)</f>
        <v>0</v>
      </c>
      <c r="U310" s="15">
        <f>$S$310+$T$310</f>
        <v>0</v>
      </c>
    </row>
    <row r="311" spans="1:21" x14ac:dyDescent="0.3">
      <c r="A311" s="10" t="s">
        <v>1137</v>
      </c>
      <c r="B311" s="11" t="s">
        <v>1138</v>
      </c>
      <c r="C311" s="11" t="s">
        <v>1296</v>
      </c>
      <c r="D311" s="11" t="s">
        <v>1139</v>
      </c>
      <c r="E311" s="11">
        <f xml:space="preserve"> IF($U$311,1,0)</f>
        <v>0</v>
      </c>
      <c r="F311" s="11" t="s">
        <v>1297</v>
      </c>
      <c r="G311" s="11">
        <v>0</v>
      </c>
      <c r="H311" s="11">
        <v>0</v>
      </c>
      <c r="I311" s="11">
        <v>0</v>
      </c>
      <c r="J311" s="11">
        <v>0</v>
      </c>
      <c r="K311" s="11">
        <v>0</v>
      </c>
      <c r="L311" s="11">
        <v>0</v>
      </c>
      <c r="M311" s="11">
        <v>0</v>
      </c>
      <c r="N311" s="11">
        <v>0</v>
      </c>
      <c r="O311" s="11">
        <v>0</v>
      </c>
      <c r="P311" s="11">
        <v>0</v>
      </c>
      <c r="Q311" s="12"/>
      <c r="R311" s="12"/>
      <c r="S311" s="12">
        <f>$G$311*$G$8+$H$311*$H$8+$I$311*$I$8+$J$311*$J$8+$K$311*$K$8+$L$311*$L$8+$M$311*$M$8+$N$311*$N$8+$O$311*$O$8+$P$311*$P$8</f>
        <v>0</v>
      </c>
      <c r="T311" s="12">
        <f>SUM($Q$311:$R$311)</f>
        <v>0</v>
      </c>
      <c r="U311" s="12">
        <f>$S$311+$T$311</f>
        <v>0</v>
      </c>
    </row>
    <row r="312" spans="1:21" x14ac:dyDescent="0.3">
      <c r="A312" s="13" t="s">
        <v>1141</v>
      </c>
      <c r="B312" s="14" t="s">
        <v>1142</v>
      </c>
      <c r="C312" s="14" t="s">
        <v>202</v>
      </c>
      <c r="D312" s="14" t="s">
        <v>442</v>
      </c>
      <c r="E312" s="14">
        <f xml:space="preserve"> IF($U$312,1,0)</f>
        <v>0</v>
      </c>
      <c r="F312" s="14" t="s">
        <v>1143</v>
      </c>
      <c r="G312" s="14">
        <v>0</v>
      </c>
      <c r="H312" s="14">
        <v>0</v>
      </c>
      <c r="I312" s="14">
        <v>0</v>
      </c>
      <c r="J312" s="14">
        <v>0</v>
      </c>
      <c r="K312" s="14">
        <v>0</v>
      </c>
      <c r="L312" s="14">
        <v>0</v>
      </c>
      <c r="M312" s="14">
        <v>0</v>
      </c>
      <c r="N312" s="14">
        <v>0</v>
      </c>
      <c r="O312" s="14">
        <v>0</v>
      </c>
      <c r="P312" s="14">
        <v>0</v>
      </c>
      <c r="Q312" s="15"/>
      <c r="R312" s="15"/>
      <c r="S312" s="15">
        <f>$G$312*$G$8+$H$312*$H$8+$I$312*$I$8+$J$312*$J$8+$K$312*$K$8+$L$312*$L$8+$M$312*$M$8+$N$312*$N$8+$O$312*$O$8+$P$312*$P$8</f>
        <v>0</v>
      </c>
      <c r="T312" s="15">
        <f>SUM($Q$312:$R$312)</f>
        <v>0</v>
      </c>
      <c r="U312" s="15">
        <f>$S$312+$T$312</f>
        <v>0</v>
      </c>
    </row>
    <row r="313" spans="1:21" x14ac:dyDescent="0.3">
      <c r="A313" s="10" t="s">
        <v>1144</v>
      </c>
      <c r="B313" s="11" t="s">
        <v>1142</v>
      </c>
      <c r="C313" s="11"/>
      <c r="D313" s="11" t="s">
        <v>1145</v>
      </c>
      <c r="E313" s="11">
        <f xml:space="preserve"> IF($U$313,1,0)</f>
        <v>0</v>
      </c>
      <c r="F313" s="11" t="s">
        <v>1146</v>
      </c>
      <c r="G313" s="11">
        <v>0</v>
      </c>
      <c r="H313" s="11">
        <v>0</v>
      </c>
      <c r="I313" s="11">
        <v>0</v>
      </c>
      <c r="J313" s="11">
        <v>0</v>
      </c>
      <c r="K313" s="11">
        <v>0</v>
      </c>
      <c r="L313" s="11">
        <v>0</v>
      </c>
      <c r="M313" s="11">
        <v>0</v>
      </c>
      <c r="N313" s="11">
        <v>0</v>
      </c>
      <c r="O313" s="11">
        <v>0</v>
      </c>
      <c r="P313" s="11">
        <v>0</v>
      </c>
      <c r="Q313" s="12"/>
      <c r="R313" s="12"/>
      <c r="S313" s="12">
        <f>$G$313*$G$8+$H$313*$H$8+$I$313*$I$8+$J$313*$J$8+$K$313*$K$8+$L$313*$L$8+$M$313*$M$8+$N$313*$N$8+$O$313*$O$8+$P$313*$P$8</f>
        <v>0</v>
      </c>
      <c r="T313" s="12">
        <f>SUM($Q$313:$R$313)</f>
        <v>0</v>
      </c>
      <c r="U313" s="12">
        <f>$S$313+$T$313</f>
        <v>0</v>
      </c>
    </row>
    <row r="314" spans="1:21" x14ac:dyDescent="0.3">
      <c r="A314" s="13" t="s">
        <v>1147</v>
      </c>
      <c r="B314" s="14" t="s">
        <v>1142</v>
      </c>
      <c r="C314" s="14"/>
      <c r="D314" s="14" t="s">
        <v>138</v>
      </c>
      <c r="E314" s="14">
        <f xml:space="preserve"> IF($U$314,1,0)</f>
        <v>0</v>
      </c>
      <c r="F314" s="14" t="s">
        <v>1148</v>
      </c>
      <c r="G314" s="14">
        <v>0</v>
      </c>
      <c r="H314" s="14">
        <v>0</v>
      </c>
      <c r="I314" s="14">
        <v>0</v>
      </c>
      <c r="J314" s="14">
        <v>0</v>
      </c>
      <c r="K314" s="14">
        <v>0</v>
      </c>
      <c r="L314" s="14">
        <v>0</v>
      </c>
      <c r="M314" s="14">
        <v>0</v>
      </c>
      <c r="N314" s="14">
        <v>0</v>
      </c>
      <c r="O314" s="14">
        <v>0</v>
      </c>
      <c r="P314" s="14">
        <v>0</v>
      </c>
      <c r="Q314" s="15"/>
      <c r="R314" s="15"/>
      <c r="S314" s="15">
        <f>$G$314*$G$8+$H$314*$H$8+$I$314*$I$8+$J$314*$J$8+$K$314*$K$8+$L$314*$L$8+$M$314*$M$8+$N$314*$N$8+$O$314*$O$8+$P$314*$P$8</f>
        <v>0</v>
      </c>
      <c r="T314" s="15">
        <f>SUM($Q$314:$R$314)</f>
        <v>0</v>
      </c>
      <c r="U314" s="15">
        <f>$S$314+$T$314</f>
        <v>0</v>
      </c>
    </row>
    <row r="315" spans="1:21" x14ac:dyDescent="0.3">
      <c r="A315" s="10" t="s">
        <v>1149</v>
      </c>
      <c r="B315" s="11" t="s">
        <v>1142</v>
      </c>
      <c r="C315" s="11"/>
      <c r="D315" s="11" t="s">
        <v>1150</v>
      </c>
      <c r="E315" s="11">
        <f xml:space="preserve"> IF($U$315,1,0)</f>
        <v>0</v>
      </c>
      <c r="F315" s="11" t="s">
        <v>1151</v>
      </c>
      <c r="G315" s="11">
        <v>0</v>
      </c>
      <c r="H315" s="11">
        <v>0</v>
      </c>
      <c r="I315" s="11">
        <v>0</v>
      </c>
      <c r="J315" s="11">
        <v>0</v>
      </c>
      <c r="K315" s="11">
        <v>0</v>
      </c>
      <c r="L315" s="11">
        <v>0</v>
      </c>
      <c r="M315" s="11">
        <v>0</v>
      </c>
      <c r="N315" s="11">
        <v>0</v>
      </c>
      <c r="O315" s="11">
        <v>0</v>
      </c>
      <c r="P315" s="11">
        <v>0</v>
      </c>
      <c r="Q315" s="12"/>
      <c r="R315" s="12"/>
      <c r="S315" s="12">
        <f>$G$315*$G$8+$H$315*$H$8+$I$315*$I$8+$J$315*$J$8+$K$315*$K$8+$L$315*$L$8+$M$315*$M$8+$N$315*$N$8+$O$315*$O$8+$P$315*$P$8</f>
        <v>0</v>
      </c>
      <c r="T315" s="12">
        <f>SUM($Q$315:$R$315)</f>
        <v>0</v>
      </c>
      <c r="U315" s="12">
        <f>$S$315+$T$315</f>
        <v>0</v>
      </c>
    </row>
    <row r="316" spans="1:21" x14ac:dyDescent="0.3">
      <c r="A316" s="13" t="s">
        <v>1152</v>
      </c>
      <c r="B316" s="14" t="s">
        <v>1142</v>
      </c>
      <c r="C316" s="14"/>
      <c r="D316" s="14" t="s">
        <v>1153</v>
      </c>
      <c r="E316" s="14">
        <f xml:space="preserve"> IF($U$316,1,0)</f>
        <v>0</v>
      </c>
      <c r="F316" s="14" t="s">
        <v>1154</v>
      </c>
      <c r="G316" s="14">
        <v>0</v>
      </c>
      <c r="H316" s="14">
        <v>0</v>
      </c>
      <c r="I316" s="14">
        <v>0</v>
      </c>
      <c r="J316" s="14">
        <v>0</v>
      </c>
      <c r="K316" s="14">
        <v>0</v>
      </c>
      <c r="L316" s="14">
        <v>0</v>
      </c>
      <c r="M316" s="14">
        <v>0</v>
      </c>
      <c r="N316" s="14">
        <v>0</v>
      </c>
      <c r="O316" s="14">
        <v>0</v>
      </c>
      <c r="P316" s="14">
        <v>0</v>
      </c>
      <c r="Q316" s="15"/>
      <c r="R316" s="15"/>
      <c r="S316" s="15">
        <f>$G$316*$G$8+$H$316*$H$8+$I$316*$I$8+$J$316*$J$8+$K$316*$K$8+$L$316*$L$8+$M$316*$M$8+$N$316*$N$8+$O$316*$O$8+$P$316*$P$8</f>
        <v>0</v>
      </c>
      <c r="T316" s="15">
        <f>SUM($Q$316:$R$316)</f>
        <v>0</v>
      </c>
      <c r="U316" s="15">
        <f>$S$316+$T$316</f>
        <v>0</v>
      </c>
    </row>
    <row r="317" spans="1:21" x14ac:dyDescent="0.3">
      <c r="A317" s="10" t="s">
        <v>1155</v>
      </c>
      <c r="B317" s="11" t="s">
        <v>1156</v>
      </c>
      <c r="C317" s="11"/>
      <c r="D317" s="11" t="s">
        <v>1157</v>
      </c>
      <c r="E317" s="11">
        <f xml:space="preserve"> IF($U$317,1,0)</f>
        <v>0</v>
      </c>
      <c r="F317" s="11" t="s">
        <v>1158</v>
      </c>
      <c r="G317" s="11">
        <v>0</v>
      </c>
      <c r="H317" s="11">
        <v>0</v>
      </c>
      <c r="I317" s="11">
        <v>0</v>
      </c>
      <c r="J317" s="11">
        <v>0</v>
      </c>
      <c r="K317" s="11">
        <v>0</v>
      </c>
      <c r="L317" s="11">
        <v>0</v>
      </c>
      <c r="M317" s="11">
        <v>0</v>
      </c>
      <c r="N317" s="11">
        <v>0</v>
      </c>
      <c r="O317" s="11">
        <v>0</v>
      </c>
      <c r="P317" s="11">
        <v>0</v>
      </c>
      <c r="Q317" s="12"/>
      <c r="R317" s="12"/>
      <c r="S317" s="12">
        <f>$G$317*$G$8+$H$317*$H$8+$I$317*$I$8+$J$317*$J$8+$K$317*$K$8+$L$317*$L$8+$M$317*$M$8+$N$317*$N$8+$O$317*$O$8+$P$317*$P$8</f>
        <v>0</v>
      </c>
      <c r="T317" s="12">
        <f>SUM($Q$317:$R$317)</f>
        <v>0</v>
      </c>
      <c r="U317" s="12">
        <f>$S$317+$T$317</f>
        <v>0</v>
      </c>
    </row>
    <row r="318" spans="1:21" x14ac:dyDescent="0.3">
      <c r="A318" s="13" t="s">
        <v>1159</v>
      </c>
      <c r="B318" s="14" t="s">
        <v>1160</v>
      </c>
      <c r="C318" s="14"/>
      <c r="D318" s="14" t="s">
        <v>1161</v>
      </c>
      <c r="E318" s="14">
        <f xml:space="preserve"> IF($U$318,1,0)</f>
        <v>0</v>
      </c>
      <c r="F318" s="14" t="s">
        <v>1162</v>
      </c>
      <c r="G318" s="14">
        <v>0</v>
      </c>
      <c r="H318" s="14">
        <v>0</v>
      </c>
      <c r="I318" s="14">
        <v>0</v>
      </c>
      <c r="J318" s="14">
        <v>0</v>
      </c>
      <c r="K318" s="14">
        <v>0</v>
      </c>
      <c r="L318" s="14">
        <v>0</v>
      </c>
      <c r="M318" s="14">
        <v>0</v>
      </c>
      <c r="N318" s="14">
        <v>0</v>
      </c>
      <c r="O318" s="14">
        <v>0</v>
      </c>
      <c r="P318" s="14">
        <v>0</v>
      </c>
      <c r="Q318" s="15"/>
      <c r="R318" s="15"/>
      <c r="S318" s="15">
        <f>$G$318*$G$8+$H$318*$H$8+$I$318*$I$8+$J$318*$J$8+$K$318*$K$8+$L$318*$L$8+$M$318*$M$8+$N$318*$N$8+$O$318*$O$8+$P$318*$P$8</f>
        <v>0</v>
      </c>
      <c r="T318" s="15">
        <f>SUM($Q$318:$R$318)</f>
        <v>0</v>
      </c>
      <c r="U318" s="15">
        <f>$S$318+$T$318</f>
        <v>0</v>
      </c>
    </row>
    <row r="319" spans="1:21" x14ac:dyDescent="0.3">
      <c r="A319" s="10" t="s">
        <v>1163</v>
      </c>
      <c r="B319" s="11" t="s">
        <v>1160</v>
      </c>
      <c r="C319" s="11"/>
      <c r="D319" s="11" t="s">
        <v>1164</v>
      </c>
      <c r="E319" s="11">
        <f xml:space="preserve"> IF($U$319,1,0)</f>
        <v>0</v>
      </c>
      <c r="F319" s="11" t="s">
        <v>1165</v>
      </c>
      <c r="G319" s="11">
        <v>0</v>
      </c>
      <c r="H319" s="11">
        <v>0</v>
      </c>
      <c r="I319" s="11">
        <v>0</v>
      </c>
      <c r="J319" s="11">
        <v>0</v>
      </c>
      <c r="K319" s="11">
        <v>0</v>
      </c>
      <c r="L319" s="11">
        <v>0</v>
      </c>
      <c r="M319" s="11">
        <v>0</v>
      </c>
      <c r="N319" s="11">
        <v>0</v>
      </c>
      <c r="O319" s="11">
        <v>0</v>
      </c>
      <c r="P319" s="11">
        <v>0</v>
      </c>
      <c r="Q319" s="12"/>
      <c r="R319" s="12"/>
      <c r="S319" s="12">
        <f>$G$319*$G$8+$H$319*$H$8+$I$319*$I$8+$J$319*$J$8+$K$319*$K$8+$L$319*$L$8+$M$319*$M$8+$N$319*$N$8+$O$319*$O$8+$P$319*$P$8</f>
        <v>0</v>
      </c>
      <c r="T319" s="12">
        <f>SUM($Q$319:$R$319)</f>
        <v>0</v>
      </c>
      <c r="U319" s="12">
        <f>$S$319+$T$319</f>
        <v>0</v>
      </c>
    </row>
    <row r="320" spans="1:21" x14ac:dyDescent="0.3">
      <c r="A320" s="13" t="s">
        <v>1166</v>
      </c>
      <c r="B320" s="14" t="s">
        <v>1160</v>
      </c>
      <c r="C320" s="14" t="s">
        <v>243</v>
      </c>
      <c r="D320" s="14" t="s">
        <v>1167</v>
      </c>
      <c r="E320" s="14">
        <f xml:space="preserve"> IF($U$320,1,0)</f>
        <v>0</v>
      </c>
      <c r="F320" s="14" t="s">
        <v>1168</v>
      </c>
      <c r="G320" s="14">
        <v>0</v>
      </c>
      <c r="H320" s="14">
        <v>0</v>
      </c>
      <c r="I320" s="14">
        <v>0</v>
      </c>
      <c r="J320" s="14">
        <v>0</v>
      </c>
      <c r="K320" s="14">
        <v>0</v>
      </c>
      <c r="L320" s="14">
        <v>0</v>
      </c>
      <c r="M320" s="14">
        <v>0</v>
      </c>
      <c r="N320" s="14">
        <v>0</v>
      </c>
      <c r="O320" s="14">
        <v>0</v>
      </c>
      <c r="P320" s="14">
        <v>0</v>
      </c>
      <c r="Q320" s="15"/>
      <c r="R320" s="15"/>
      <c r="S320" s="15">
        <f>$G$320*$G$8+$H$320*$H$8+$I$320*$I$8+$J$320*$J$8+$K$320*$K$8+$L$320*$L$8+$M$320*$M$8+$N$320*$N$8+$O$320*$O$8+$P$320*$P$8</f>
        <v>0</v>
      </c>
      <c r="T320" s="15">
        <f>SUM($Q$320:$R$320)</f>
        <v>0</v>
      </c>
      <c r="U320" s="15">
        <f>$S$320+$T$320</f>
        <v>0</v>
      </c>
    </row>
    <row r="321" spans="1:21" x14ac:dyDescent="0.3">
      <c r="A321" s="10" t="s">
        <v>1169</v>
      </c>
      <c r="B321" s="11" t="s">
        <v>1170</v>
      </c>
      <c r="C321" s="11"/>
      <c r="D321" s="11" t="s">
        <v>1171</v>
      </c>
      <c r="E321" s="11">
        <f xml:space="preserve"> IF($U$321,1,0)</f>
        <v>0</v>
      </c>
      <c r="F321" s="11" t="s">
        <v>1172</v>
      </c>
      <c r="G321" s="11">
        <v>0</v>
      </c>
      <c r="H321" s="11">
        <v>0</v>
      </c>
      <c r="I321" s="11">
        <v>0</v>
      </c>
      <c r="J321" s="11">
        <v>0</v>
      </c>
      <c r="K321" s="11">
        <v>0</v>
      </c>
      <c r="L321" s="11">
        <v>0</v>
      </c>
      <c r="M321" s="11">
        <v>0</v>
      </c>
      <c r="N321" s="11">
        <v>0</v>
      </c>
      <c r="O321" s="11">
        <v>0</v>
      </c>
      <c r="P321" s="11">
        <v>0</v>
      </c>
      <c r="Q321" s="12"/>
      <c r="R321" s="12"/>
      <c r="S321" s="12">
        <f>$G$321*$G$8+$H$321*$H$8+$I$321*$I$8+$J$321*$J$8+$K$321*$K$8+$L$321*$L$8+$M$321*$M$8+$N$321*$N$8+$O$321*$O$8+$P$321*$P$8</f>
        <v>0</v>
      </c>
      <c r="T321" s="12">
        <f>SUM($Q$321:$R$321)</f>
        <v>0</v>
      </c>
      <c r="U321" s="12">
        <f>$S$321+$T$321</f>
        <v>0</v>
      </c>
    </row>
    <row r="322" spans="1:21" x14ac:dyDescent="0.3">
      <c r="A322" s="13" t="s">
        <v>1173</v>
      </c>
      <c r="B322" s="14" t="s">
        <v>1174</v>
      </c>
      <c r="C322" s="14"/>
      <c r="D322" s="14" t="s">
        <v>1175</v>
      </c>
      <c r="E322" s="14">
        <f xml:space="preserve"> IF($U$322,1,0)</f>
        <v>0</v>
      </c>
      <c r="F322" s="14" t="s">
        <v>1176</v>
      </c>
      <c r="G322" s="14">
        <v>0</v>
      </c>
      <c r="H322" s="14">
        <v>0</v>
      </c>
      <c r="I322" s="14">
        <v>0</v>
      </c>
      <c r="J322" s="14">
        <v>0</v>
      </c>
      <c r="K322" s="14">
        <v>0</v>
      </c>
      <c r="L322" s="14">
        <v>0</v>
      </c>
      <c r="M322" s="14">
        <v>0</v>
      </c>
      <c r="N322" s="14">
        <v>0</v>
      </c>
      <c r="O322" s="14">
        <v>0</v>
      </c>
      <c r="P322" s="14">
        <v>0</v>
      </c>
      <c r="Q322" s="15"/>
      <c r="R322" s="15"/>
      <c r="S322" s="15">
        <f>$G$322*$G$8+$H$322*$H$8+$I$322*$I$8+$J$322*$J$8+$K$322*$K$8+$L$322*$L$8+$M$322*$M$8+$N$322*$N$8+$O$322*$O$8+$P$322*$P$8</f>
        <v>0</v>
      </c>
      <c r="T322" s="15">
        <f>SUM($Q$322:$R$322)</f>
        <v>0</v>
      </c>
      <c r="U322" s="15">
        <f>$S$322+$T$322</f>
        <v>0</v>
      </c>
    </row>
    <row r="323" spans="1:21" x14ac:dyDescent="0.3">
      <c r="A323" s="10" t="s">
        <v>1177</v>
      </c>
      <c r="B323" s="11" t="s">
        <v>1174</v>
      </c>
      <c r="C323" s="11" t="s">
        <v>65</v>
      </c>
      <c r="D323" s="11" t="s">
        <v>1178</v>
      </c>
      <c r="E323" s="11">
        <f xml:space="preserve"> IF($U$323,1,0)</f>
        <v>0</v>
      </c>
      <c r="F323" s="11" t="s">
        <v>1179</v>
      </c>
      <c r="G323" s="11">
        <v>0</v>
      </c>
      <c r="H323" s="11">
        <v>0</v>
      </c>
      <c r="I323" s="11">
        <v>0</v>
      </c>
      <c r="J323" s="11">
        <v>0</v>
      </c>
      <c r="K323" s="11">
        <v>0</v>
      </c>
      <c r="L323" s="11">
        <v>0</v>
      </c>
      <c r="M323" s="11">
        <v>0</v>
      </c>
      <c r="N323" s="11">
        <v>0</v>
      </c>
      <c r="O323" s="11">
        <v>0</v>
      </c>
      <c r="P323" s="11">
        <v>0</v>
      </c>
      <c r="Q323" s="12"/>
      <c r="R323" s="12"/>
      <c r="S323" s="12">
        <f>$G$323*$G$8+$H$323*$H$8+$I$323*$I$8+$J$323*$J$8+$K$323*$K$8+$L$323*$L$8+$M$323*$M$8+$N$323*$N$8+$O$323*$O$8+$P$323*$P$8</f>
        <v>0</v>
      </c>
      <c r="T323" s="12">
        <f>SUM($Q$323:$R$323)</f>
        <v>0</v>
      </c>
      <c r="U323" s="12">
        <f>$S$323+$T$323</f>
        <v>0</v>
      </c>
    </row>
    <row r="324" spans="1:21" x14ac:dyDescent="0.3">
      <c r="A324" s="13" t="s">
        <v>1180</v>
      </c>
      <c r="B324" s="14" t="s">
        <v>1181</v>
      </c>
      <c r="C324" s="14"/>
      <c r="D324" s="14" t="s">
        <v>1182</v>
      </c>
      <c r="E324" s="14">
        <f xml:space="preserve"> IF($U$324,1,0)</f>
        <v>0</v>
      </c>
      <c r="F324" s="14" t="s">
        <v>1183</v>
      </c>
      <c r="G324" s="14">
        <v>0</v>
      </c>
      <c r="H324" s="14">
        <v>0</v>
      </c>
      <c r="I324" s="14">
        <v>0</v>
      </c>
      <c r="J324" s="14">
        <v>0</v>
      </c>
      <c r="K324" s="14">
        <v>0</v>
      </c>
      <c r="L324" s="14">
        <v>0</v>
      </c>
      <c r="M324" s="14">
        <v>0</v>
      </c>
      <c r="N324" s="14">
        <v>0</v>
      </c>
      <c r="O324" s="14">
        <v>0</v>
      </c>
      <c r="P324" s="14">
        <v>0</v>
      </c>
      <c r="Q324" s="15"/>
      <c r="R324" s="15"/>
      <c r="S324" s="15">
        <f>$G$324*$G$8+$H$324*$H$8+$I$324*$I$8+$J$324*$J$8+$K$324*$K$8+$L$324*$L$8+$M$324*$M$8+$N$324*$N$8+$O$324*$O$8+$P$324*$P$8</f>
        <v>0</v>
      </c>
      <c r="T324" s="15">
        <f>SUM($Q$324:$R$324)</f>
        <v>0</v>
      </c>
      <c r="U324" s="15">
        <f>$S$324+$T$324</f>
        <v>0</v>
      </c>
    </row>
    <row r="325" spans="1:21" x14ac:dyDescent="0.3">
      <c r="A325" s="10" t="s">
        <v>1184</v>
      </c>
      <c r="B325" s="11" t="s">
        <v>1185</v>
      </c>
      <c r="C325" s="11" t="s">
        <v>65</v>
      </c>
      <c r="D325" s="11" t="s">
        <v>1186</v>
      </c>
      <c r="E325" s="11">
        <f xml:space="preserve"> IF($U$325,1,0)</f>
        <v>0</v>
      </c>
      <c r="F325" s="11" t="s">
        <v>1187</v>
      </c>
      <c r="G325" s="11">
        <v>0</v>
      </c>
      <c r="H325" s="11">
        <v>0</v>
      </c>
      <c r="I325" s="11">
        <v>0</v>
      </c>
      <c r="J325" s="11">
        <v>0</v>
      </c>
      <c r="K325" s="11">
        <v>0</v>
      </c>
      <c r="L325" s="11">
        <v>0</v>
      </c>
      <c r="M325" s="11">
        <v>0</v>
      </c>
      <c r="N325" s="11">
        <v>0</v>
      </c>
      <c r="O325" s="11">
        <v>0</v>
      </c>
      <c r="P325" s="11">
        <v>0</v>
      </c>
      <c r="Q325" s="12"/>
      <c r="R325" s="12"/>
      <c r="S325" s="12">
        <f>$G$325*$G$8+$H$325*$H$8+$I$325*$I$8+$J$325*$J$8+$K$325*$K$8+$L$325*$L$8+$M$325*$M$8+$N$325*$N$8+$O$325*$O$8+$P$325*$P$8</f>
        <v>0</v>
      </c>
      <c r="T325" s="12">
        <f>SUM($Q$325:$R$325)</f>
        <v>0</v>
      </c>
      <c r="U325" s="12">
        <f>$S$325+$T$325</f>
        <v>0</v>
      </c>
    </row>
    <row r="326" spans="1:21" x14ac:dyDescent="0.3">
      <c r="A326" s="13" t="s">
        <v>1188</v>
      </c>
      <c r="B326" s="14" t="s">
        <v>1189</v>
      </c>
      <c r="C326" s="14"/>
      <c r="D326" s="14" t="s">
        <v>1190</v>
      </c>
      <c r="E326" s="14">
        <f xml:space="preserve"> IF($U$326,1,0)</f>
        <v>0</v>
      </c>
      <c r="F326" s="14" t="s">
        <v>1191</v>
      </c>
      <c r="G326" s="14">
        <v>0</v>
      </c>
      <c r="H326" s="14">
        <v>0</v>
      </c>
      <c r="I326" s="14">
        <v>0</v>
      </c>
      <c r="J326" s="14">
        <v>0</v>
      </c>
      <c r="K326" s="14">
        <v>0</v>
      </c>
      <c r="L326" s="14">
        <v>0</v>
      </c>
      <c r="M326" s="14">
        <v>0</v>
      </c>
      <c r="N326" s="14">
        <v>0</v>
      </c>
      <c r="O326" s="14">
        <v>0</v>
      </c>
      <c r="P326" s="14">
        <v>0</v>
      </c>
      <c r="Q326" s="15"/>
      <c r="R326" s="15"/>
      <c r="S326" s="15">
        <f>$G$326*$G$8+$H$326*$H$8+$I$326*$I$8+$J$326*$J$8+$K$326*$K$8+$L$326*$L$8+$M$326*$M$8+$N$326*$N$8+$O$326*$O$8+$P$326*$P$8</f>
        <v>0</v>
      </c>
      <c r="T326" s="15">
        <f>SUM($Q$326:$R$326)</f>
        <v>0</v>
      </c>
      <c r="U326" s="15">
        <f>$S$326+$T$326</f>
        <v>0</v>
      </c>
    </row>
    <row r="327" spans="1:21" x14ac:dyDescent="0.3">
      <c r="A327" s="10" t="s">
        <v>1192</v>
      </c>
      <c r="B327" s="11" t="s">
        <v>1193</v>
      </c>
      <c r="C327" s="11"/>
      <c r="D327" s="11" t="s">
        <v>1194</v>
      </c>
      <c r="E327" s="11">
        <f xml:space="preserve"> IF($U$327,1,0)</f>
        <v>0</v>
      </c>
      <c r="F327" s="11" t="s">
        <v>1195</v>
      </c>
      <c r="G327" s="11">
        <v>0</v>
      </c>
      <c r="H327" s="11">
        <v>0</v>
      </c>
      <c r="I327" s="11">
        <v>0</v>
      </c>
      <c r="J327" s="11">
        <v>0</v>
      </c>
      <c r="K327" s="11">
        <v>0</v>
      </c>
      <c r="L327" s="11">
        <v>0</v>
      </c>
      <c r="M327" s="11">
        <v>0</v>
      </c>
      <c r="N327" s="11">
        <v>0</v>
      </c>
      <c r="O327" s="11">
        <v>0</v>
      </c>
      <c r="P327" s="11">
        <v>0</v>
      </c>
      <c r="Q327" s="12"/>
      <c r="R327" s="12"/>
      <c r="S327" s="12">
        <f>$G$327*$G$8+$H$327*$H$8+$I$327*$I$8+$J$327*$J$8+$K$327*$K$8+$L$327*$L$8+$M$327*$M$8+$N$327*$N$8+$O$327*$O$8+$P$327*$P$8</f>
        <v>0</v>
      </c>
      <c r="T327" s="12">
        <f>SUM($Q$327:$R$327)</f>
        <v>0</v>
      </c>
      <c r="U327" s="12">
        <f>$S$327+$T$327</f>
        <v>0</v>
      </c>
    </row>
    <row r="328" spans="1:21" x14ac:dyDescent="0.3">
      <c r="A328" s="13" t="s">
        <v>1196</v>
      </c>
      <c r="B328" s="14" t="s">
        <v>1197</v>
      </c>
      <c r="C328" s="14"/>
      <c r="D328" s="14" t="s">
        <v>1198</v>
      </c>
      <c r="E328" s="14">
        <f xml:space="preserve"> IF($U$328,1,0)</f>
        <v>0</v>
      </c>
      <c r="F328" s="14" t="s">
        <v>1199</v>
      </c>
      <c r="G328" s="14">
        <v>0</v>
      </c>
      <c r="H328" s="14">
        <v>0</v>
      </c>
      <c r="I328" s="14">
        <v>0</v>
      </c>
      <c r="J328" s="14">
        <v>0</v>
      </c>
      <c r="K328" s="14">
        <v>0</v>
      </c>
      <c r="L328" s="14">
        <v>0</v>
      </c>
      <c r="M328" s="14">
        <v>0</v>
      </c>
      <c r="N328" s="14">
        <v>0</v>
      </c>
      <c r="O328" s="14">
        <v>0</v>
      </c>
      <c r="P328" s="14">
        <v>0</v>
      </c>
      <c r="Q328" s="15"/>
      <c r="R328" s="15"/>
      <c r="S328" s="15">
        <f>$G$328*$G$8+$H$328*$H$8+$I$328*$I$8+$J$328*$J$8+$K$328*$K$8+$L$328*$L$8+$M$328*$M$8+$N$328*$N$8+$O$328*$O$8+$P$328*$P$8</f>
        <v>0</v>
      </c>
      <c r="T328" s="15">
        <f>SUM($Q$328:$R$328)</f>
        <v>0</v>
      </c>
      <c r="U328" s="15">
        <f>$S$328+$T$328</f>
        <v>0</v>
      </c>
    </row>
    <row r="329" spans="1:21" x14ac:dyDescent="0.3">
      <c r="A329" s="10" t="s">
        <v>1200</v>
      </c>
      <c r="B329" s="11" t="s">
        <v>1201</v>
      </c>
      <c r="C329" s="11"/>
      <c r="D329" s="11" t="s">
        <v>1202</v>
      </c>
      <c r="E329" s="11">
        <f xml:space="preserve"> IF($U$329,1,0)</f>
        <v>0</v>
      </c>
      <c r="F329" s="11" t="s">
        <v>1203</v>
      </c>
      <c r="G329" s="11">
        <v>0</v>
      </c>
      <c r="H329" s="11">
        <v>0</v>
      </c>
      <c r="I329" s="11">
        <v>0</v>
      </c>
      <c r="J329" s="11">
        <v>0</v>
      </c>
      <c r="K329" s="11">
        <v>0</v>
      </c>
      <c r="L329" s="11">
        <v>0</v>
      </c>
      <c r="M329" s="11">
        <v>0</v>
      </c>
      <c r="N329" s="11">
        <v>0</v>
      </c>
      <c r="O329" s="11">
        <v>0</v>
      </c>
      <c r="P329" s="11">
        <v>0</v>
      </c>
      <c r="Q329" s="12"/>
      <c r="R329" s="12"/>
      <c r="S329" s="12">
        <f>$G$329*$G$8+$H$329*$H$8+$I$329*$I$8+$J$329*$J$8+$K$329*$K$8+$L$329*$L$8+$M$329*$M$8+$N$329*$N$8+$O$329*$O$8+$P$329*$P$8</f>
        <v>0</v>
      </c>
      <c r="T329" s="12">
        <f>SUM($Q$329:$R$329)</f>
        <v>0</v>
      </c>
      <c r="U329" s="12">
        <f>$S$329+$T$329</f>
        <v>0</v>
      </c>
    </row>
    <row r="330" spans="1:21" x14ac:dyDescent="0.3">
      <c r="A330" s="13" t="s">
        <v>1204</v>
      </c>
      <c r="B330" s="14" t="s">
        <v>1205</v>
      </c>
      <c r="C330" s="14"/>
      <c r="D330" s="14" t="s">
        <v>1206</v>
      </c>
      <c r="E330" s="14">
        <f xml:space="preserve"> IF($U$330,1,0)</f>
        <v>0</v>
      </c>
      <c r="F330" s="14" t="s">
        <v>1207</v>
      </c>
      <c r="G330" s="14">
        <v>0</v>
      </c>
      <c r="H330" s="14">
        <v>0</v>
      </c>
      <c r="I330" s="14">
        <v>0</v>
      </c>
      <c r="J330" s="14">
        <v>0</v>
      </c>
      <c r="K330" s="14">
        <v>0</v>
      </c>
      <c r="L330" s="14">
        <v>0</v>
      </c>
      <c r="M330" s="14">
        <v>0</v>
      </c>
      <c r="N330" s="14">
        <v>0</v>
      </c>
      <c r="O330" s="14">
        <v>0</v>
      </c>
      <c r="P330" s="14">
        <v>0</v>
      </c>
      <c r="Q330" s="15"/>
      <c r="R330" s="15"/>
      <c r="S330" s="15">
        <f>$G$330*$G$8+$H$330*$H$8+$I$330*$I$8+$J$330*$J$8+$K$330*$K$8+$L$330*$L$8+$M$330*$M$8+$N$330*$N$8+$O$330*$O$8+$P$330*$P$8</f>
        <v>0</v>
      </c>
      <c r="T330" s="15">
        <f>SUM($Q$330:$R$330)</f>
        <v>0</v>
      </c>
      <c r="U330" s="15">
        <f>$S$330+$T$330</f>
        <v>0</v>
      </c>
    </row>
    <row r="331" spans="1:21" x14ac:dyDescent="0.3">
      <c r="A331" s="10" t="s">
        <v>1208</v>
      </c>
      <c r="B331" s="11" t="s">
        <v>1205</v>
      </c>
      <c r="C331" s="11"/>
      <c r="D331" s="11" t="s">
        <v>1209</v>
      </c>
      <c r="E331" s="11">
        <f xml:space="preserve"> IF($U$331,1,0)</f>
        <v>0</v>
      </c>
      <c r="F331" s="11" t="s">
        <v>1210</v>
      </c>
      <c r="G331" s="11">
        <v>0</v>
      </c>
      <c r="H331" s="11">
        <v>0</v>
      </c>
      <c r="I331" s="11">
        <v>0</v>
      </c>
      <c r="J331" s="11">
        <v>0</v>
      </c>
      <c r="K331" s="11">
        <v>0</v>
      </c>
      <c r="L331" s="11">
        <v>0</v>
      </c>
      <c r="M331" s="11">
        <v>0</v>
      </c>
      <c r="N331" s="11">
        <v>0</v>
      </c>
      <c r="O331" s="11">
        <v>0</v>
      </c>
      <c r="P331" s="11">
        <v>0</v>
      </c>
      <c r="Q331" s="12"/>
      <c r="R331" s="12"/>
      <c r="S331" s="12">
        <f>$G$331*$G$8+$H$331*$H$8+$I$331*$I$8+$J$331*$J$8+$K$331*$K$8+$L$331*$L$8+$M$331*$M$8+$N$331*$N$8+$O$331*$O$8+$P$331*$P$8</f>
        <v>0</v>
      </c>
      <c r="T331" s="12">
        <f>SUM($Q$331:$R$331)</f>
        <v>0</v>
      </c>
      <c r="U331" s="12">
        <f>$S$331+$T$331</f>
        <v>0</v>
      </c>
    </row>
    <row r="332" spans="1:21" x14ac:dyDescent="0.3">
      <c r="A332" s="13" t="s">
        <v>1211</v>
      </c>
      <c r="B332" s="14" t="s">
        <v>1212</v>
      </c>
      <c r="C332" s="14"/>
      <c r="D332" s="14" t="s">
        <v>670</v>
      </c>
      <c r="E332" s="14">
        <f xml:space="preserve"> IF($U$332,1,0)</f>
        <v>0</v>
      </c>
      <c r="F332" s="14" t="s">
        <v>1213</v>
      </c>
      <c r="G332" s="14">
        <v>0</v>
      </c>
      <c r="H332" s="14">
        <v>0</v>
      </c>
      <c r="I332" s="14">
        <v>0</v>
      </c>
      <c r="J332" s="14">
        <v>0</v>
      </c>
      <c r="K332" s="14">
        <v>0</v>
      </c>
      <c r="L332" s="14">
        <v>0</v>
      </c>
      <c r="M332" s="14">
        <v>0</v>
      </c>
      <c r="N332" s="14">
        <v>0</v>
      </c>
      <c r="O332" s="14">
        <v>0</v>
      </c>
      <c r="P332" s="14">
        <v>0</v>
      </c>
      <c r="Q332" s="15"/>
      <c r="R332" s="15"/>
      <c r="S332" s="15">
        <f>$G$332*$G$8+$H$332*$H$8+$I$332*$I$8+$J$332*$J$8+$K$332*$K$8+$L$332*$L$8+$M$332*$M$8+$N$332*$N$8+$O$332*$O$8+$P$332*$P$8</f>
        <v>0</v>
      </c>
      <c r="T332" s="15">
        <f>SUM($Q$332:$R$332)</f>
        <v>0</v>
      </c>
      <c r="U332" s="15">
        <f>$S$332+$T$332</f>
        <v>0</v>
      </c>
    </row>
    <row r="333" spans="1:21" x14ac:dyDescent="0.3">
      <c r="A333" s="10" t="s">
        <v>1214</v>
      </c>
      <c r="B333" s="11" t="s">
        <v>1215</v>
      </c>
      <c r="C333" s="11"/>
      <c r="D333" s="11" t="s">
        <v>1216</v>
      </c>
      <c r="E333" s="11">
        <f xml:space="preserve"> IF($U$333,1,0)</f>
        <v>0</v>
      </c>
      <c r="F333" s="11" t="s">
        <v>1217</v>
      </c>
      <c r="G333" s="11">
        <v>0</v>
      </c>
      <c r="H333" s="11">
        <v>0</v>
      </c>
      <c r="I333" s="11">
        <v>0</v>
      </c>
      <c r="J333" s="11">
        <v>0</v>
      </c>
      <c r="K333" s="11">
        <v>0</v>
      </c>
      <c r="L333" s="11">
        <v>0</v>
      </c>
      <c r="M333" s="11">
        <v>0</v>
      </c>
      <c r="N333" s="11">
        <v>0</v>
      </c>
      <c r="O333" s="11">
        <v>0</v>
      </c>
      <c r="P333" s="11">
        <v>0</v>
      </c>
      <c r="Q333" s="12"/>
      <c r="R333" s="12"/>
      <c r="S333" s="12">
        <f>$G$333*$G$8+$H$333*$H$8+$I$333*$I$8+$J$333*$J$8+$K$333*$K$8+$L$333*$L$8+$M$333*$M$8+$N$333*$N$8+$O$333*$O$8+$P$333*$P$8</f>
        <v>0</v>
      </c>
      <c r="T333" s="12">
        <f>SUM($Q$333:$R$333)</f>
        <v>0</v>
      </c>
      <c r="U333" s="12">
        <f>$S$333+$T$333</f>
        <v>0</v>
      </c>
    </row>
    <row r="334" spans="1:21" x14ac:dyDescent="0.3">
      <c r="A334" s="13" t="s">
        <v>1218</v>
      </c>
      <c r="B334" s="14" t="s">
        <v>1219</v>
      </c>
      <c r="C334" s="14" t="s">
        <v>202</v>
      </c>
      <c r="D334" s="14" t="s">
        <v>1068</v>
      </c>
      <c r="E334" s="14">
        <f xml:space="preserve"> IF($U$334,1,0)</f>
        <v>0</v>
      </c>
      <c r="F334" s="14" t="s">
        <v>1220</v>
      </c>
      <c r="G334" s="14">
        <v>0</v>
      </c>
      <c r="H334" s="14">
        <v>0</v>
      </c>
      <c r="I334" s="14">
        <v>0</v>
      </c>
      <c r="J334" s="14">
        <v>0</v>
      </c>
      <c r="K334" s="14">
        <v>0</v>
      </c>
      <c r="L334" s="14">
        <v>0</v>
      </c>
      <c r="M334" s="14">
        <v>0</v>
      </c>
      <c r="N334" s="14">
        <v>0</v>
      </c>
      <c r="O334" s="14">
        <v>0</v>
      </c>
      <c r="P334" s="14">
        <v>0</v>
      </c>
      <c r="Q334" s="15"/>
      <c r="R334" s="15"/>
      <c r="S334" s="15">
        <f>$G$334*$G$8+$H$334*$H$8+$I$334*$I$8+$J$334*$J$8+$K$334*$K$8+$L$334*$L$8+$M$334*$M$8+$N$334*$N$8+$O$334*$O$8+$P$334*$P$8</f>
        <v>0</v>
      </c>
      <c r="T334" s="15">
        <f>SUM($Q$334:$R$334)</f>
        <v>0</v>
      </c>
      <c r="U334" s="15">
        <f>$S$334+$T$334</f>
        <v>0</v>
      </c>
    </row>
    <row r="335" spans="1:21" x14ac:dyDescent="0.3">
      <c r="A335" s="10" t="s">
        <v>1221</v>
      </c>
      <c r="B335" s="11" t="s">
        <v>1222</v>
      </c>
      <c r="C335" s="11"/>
      <c r="D335" s="11" t="s">
        <v>1223</v>
      </c>
      <c r="E335" s="11">
        <f xml:space="preserve"> IF($U$335,1,0)</f>
        <v>0</v>
      </c>
      <c r="F335" s="11" t="s">
        <v>1224</v>
      </c>
      <c r="G335" s="11">
        <v>0</v>
      </c>
      <c r="H335" s="11">
        <v>0</v>
      </c>
      <c r="I335" s="11">
        <v>0</v>
      </c>
      <c r="J335" s="11">
        <v>0</v>
      </c>
      <c r="K335" s="11">
        <v>0</v>
      </c>
      <c r="L335" s="11">
        <v>0</v>
      </c>
      <c r="M335" s="11">
        <v>0</v>
      </c>
      <c r="N335" s="11">
        <v>0</v>
      </c>
      <c r="O335" s="11">
        <v>0</v>
      </c>
      <c r="P335" s="11">
        <v>0</v>
      </c>
      <c r="Q335" s="12"/>
      <c r="R335" s="12"/>
      <c r="S335" s="12">
        <f>$G$335*$G$8+$H$335*$H$8+$I$335*$I$8+$J$335*$J$8+$K$335*$K$8+$L$335*$L$8+$M$335*$M$8+$N$335*$N$8+$O$335*$O$8+$P$335*$P$8</f>
        <v>0</v>
      </c>
      <c r="T335" s="12">
        <f>SUM($Q$335:$R$335)</f>
        <v>0</v>
      </c>
      <c r="U335" s="12">
        <f>$S$335+$T$335</f>
        <v>0</v>
      </c>
    </row>
    <row r="336" spans="1:21" x14ac:dyDescent="0.3">
      <c r="A336" s="13" t="s">
        <v>1225</v>
      </c>
      <c r="B336" s="14" t="s">
        <v>1226</v>
      </c>
      <c r="C336" s="14" t="s">
        <v>34</v>
      </c>
      <c r="D336" s="14" t="s">
        <v>1227</v>
      </c>
      <c r="E336" s="14">
        <f xml:space="preserve"> IF($U$336,1,0)</f>
        <v>0</v>
      </c>
      <c r="F336" s="14" t="s">
        <v>1228</v>
      </c>
      <c r="G336" s="14">
        <v>0</v>
      </c>
      <c r="H336" s="14">
        <v>0</v>
      </c>
      <c r="I336" s="14">
        <v>0</v>
      </c>
      <c r="J336" s="14">
        <v>0</v>
      </c>
      <c r="K336" s="14">
        <v>0</v>
      </c>
      <c r="L336" s="14">
        <v>0</v>
      </c>
      <c r="M336" s="14">
        <v>0</v>
      </c>
      <c r="N336" s="14">
        <v>0</v>
      </c>
      <c r="O336" s="14">
        <v>0</v>
      </c>
      <c r="P336" s="14">
        <v>0</v>
      </c>
      <c r="Q336" s="15"/>
      <c r="R336" s="15"/>
      <c r="S336" s="15">
        <f>$G$336*$G$8+$H$336*$H$8+$I$336*$I$8+$J$336*$J$8+$K$336*$K$8+$L$336*$L$8+$M$336*$M$8+$N$336*$N$8+$O$336*$O$8+$P$336*$P$8</f>
        <v>0</v>
      </c>
      <c r="T336" s="15">
        <f>SUM($Q$336:$R$336)</f>
        <v>0</v>
      </c>
      <c r="U336" s="15">
        <f>$S$336+$T$336</f>
        <v>0</v>
      </c>
    </row>
    <row r="337" spans="1:21" x14ac:dyDescent="0.3">
      <c r="A337" s="10" t="s">
        <v>1229</v>
      </c>
      <c r="B337" s="11" t="s">
        <v>1230</v>
      </c>
      <c r="C337" s="11"/>
      <c r="D337" s="11" t="s">
        <v>1231</v>
      </c>
      <c r="E337" s="11">
        <f xml:space="preserve"> IF($U$337,1,0)</f>
        <v>0</v>
      </c>
      <c r="F337" s="11" t="s">
        <v>1232</v>
      </c>
      <c r="G337" s="11">
        <v>0</v>
      </c>
      <c r="H337" s="11">
        <v>0</v>
      </c>
      <c r="I337" s="11">
        <v>0</v>
      </c>
      <c r="J337" s="11">
        <v>0</v>
      </c>
      <c r="K337" s="11">
        <v>0</v>
      </c>
      <c r="L337" s="11">
        <v>0</v>
      </c>
      <c r="M337" s="11">
        <v>0</v>
      </c>
      <c r="N337" s="11">
        <v>0</v>
      </c>
      <c r="O337" s="11">
        <v>0</v>
      </c>
      <c r="P337" s="11">
        <v>0</v>
      </c>
      <c r="Q337" s="12"/>
      <c r="R337" s="12"/>
      <c r="S337" s="12">
        <f>$G$337*$G$8+$H$337*$H$8+$I$337*$I$8+$J$337*$J$8+$K$337*$K$8+$L$337*$L$8+$M$337*$M$8+$N$337*$N$8+$O$337*$O$8+$P$337*$P$8</f>
        <v>0</v>
      </c>
      <c r="T337" s="12">
        <f>SUM($Q$337:$R$337)</f>
        <v>0</v>
      </c>
      <c r="U337" s="12">
        <f>$S$337+$T$337</f>
        <v>0</v>
      </c>
    </row>
    <row r="338" spans="1:21" x14ac:dyDescent="0.3">
      <c r="A338" s="13" t="s">
        <v>1233</v>
      </c>
      <c r="B338" s="14" t="s">
        <v>1230</v>
      </c>
      <c r="C338" s="14"/>
      <c r="D338" s="14" t="s">
        <v>1234</v>
      </c>
      <c r="E338" s="14">
        <f xml:space="preserve"> IF($U$338,1,0)</f>
        <v>0</v>
      </c>
      <c r="F338" s="14" t="s">
        <v>1235</v>
      </c>
      <c r="G338" s="14">
        <v>0</v>
      </c>
      <c r="H338" s="14">
        <v>0</v>
      </c>
      <c r="I338" s="14">
        <v>0</v>
      </c>
      <c r="J338" s="14">
        <v>0</v>
      </c>
      <c r="K338" s="14">
        <v>0</v>
      </c>
      <c r="L338" s="14">
        <v>0</v>
      </c>
      <c r="M338" s="14">
        <v>0</v>
      </c>
      <c r="N338" s="14">
        <v>0</v>
      </c>
      <c r="O338" s="14">
        <v>0</v>
      </c>
      <c r="P338" s="14">
        <v>0</v>
      </c>
      <c r="Q338" s="15"/>
      <c r="R338" s="15"/>
      <c r="S338" s="15">
        <f>$G$338*$G$8+$H$338*$H$8+$I$338*$I$8+$J$338*$J$8+$K$338*$K$8+$L$338*$L$8+$M$338*$M$8+$N$338*$N$8+$O$338*$O$8+$P$338*$P$8</f>
        <v>0</v>
      </c>
      <c r="T338" s="15">
        <f>SUM($Q$338:$R$338)</f>
        <v>0</v>
      </c>
      <c r="U338" s="15">
        <f>$S$338+$T$338</f>
        <v>0</v>
      </c>
    </row>
    <row r="339" spans="1:21" x14ac:dyDescent="0.3">
      <c r="A339" s="10" t="s">
        <v>1236</v>
      </c>
      <c r="B339" s="11" t="s">
        <v>1237</v>
      </c>
      <c r="C339" s="11"/>
      <c r="D339" s="11" t="s">
        <v>1237</v>
      </c>
      <c r="E339" s="11">
        <f xml:space="preserve"> IF($U$339,1,0)</f>
        <v>0</v>
      </c>
      <c r="F339" s="11" t="s">
        <v>1238</v>
      </c>
      <c r="G339" s="11">
        <v>0</v>
      </c>
      <c r="H339" s="11">
        <v>0</v>
      </c>
      <c r="I339" s="11">
        <v>0</v>
      </c>
      <c r="J339" s="11">
        <v>0</v>
      </c>
      <c r="K339" s="11">
        <v>0</v>
      </c>
      <c r="L339" s="11">
        <v>0</v>
      </c>
      <c r="M339" s="11">
        <v>0</v>
      </c>
      <c r="N339" s="11">
        <v>0</v>
      </c>
      <c r="O339" s="11">
        <v>0</v>
      </c>
      <c r="P339" s="11">
        <v>0</v>
      </c>
      <c r="Q339" s="12"/>
      <c r="R339" s="12"/>
      <c r="S339" s="12">
        <f>$G$339*$G$8+$H$339*$H$8+$I$339*$I$8+$J$339*$J$8+$K$339*$K$8+$L$339*$L$8+$M$339*$M$8+$N$339*$N$8+$O$339*$O$8+$P$339*$P$8</f>
        <v>0</v>
      </c>
      <c r="T339" s="12">
        <f>SUM($Q$339:$R$339)</f>
        <v>0</v>
      </c>
      <c r="U339" s="12">
        <f>$S$339+$T$339</f>
        <v>0</v>
      </c>
    </row>
    <row r="341" spans="1:21" ht="15" thickBot="1" x14ac:dyDescent="0.35">
      <c r="E341" s="5" t="s">
        <v>18</v>
      </c>
      <c r="F341" s="6" t="s">
        <v>19</v>
      </c>
      <c r="G341" s="6" t="s">
        <v>4</v>
      </c>
      <c r="H341" s="6" t="s">
        <v>1245</v>
      </c>
      <c r="I341" s="6" t="s">
        <v>7</v>
      </c>
      <c r="J341" s="6" t="s">
        <v>6</v>
      </c>
      <c r="K341" s="6" t="s">
        <v>8</v>
      </c>
      <c r="L341" s="6" t="s">
        <v>9</v>
      </c>
      <c r="M341" s="6" t="s">
        <v>10</v>
      </c>
      <c r="N341" s="6" t="s">
        <v>11</v>
      </c>
      <c r="O341" s="6" t="s">
        <v>12</v>
      </c>
      <c r="P341" s="6" t="s">
        <v>1277</v>
      </c>
      <c r="Q341" s="6" t="s">
        <v>1259</v>
      </c>
      <c r="R341" s="6" t="s">
        <v>1260</v>
      </c>
      <c r="S341" s="6" t="s">
        <v>23</v>
      </c>
      <c r="T341" s="6" t="s">
        <v>26</v>
      </c>
      <c r="U341" s="6" t="s">
        <v>25</v>
      </c>
    </row>
    <row r="342" spans="1:21" ht="15" thickTop="1" x14ac:dyDescent="0.3">
      <c r="E342" s="7">
        <f xml:space="preserve"> IF($U$342,1,0)</f>
        <v>0</v>
      </c>
      <c r="F342" s="8" t="s">
        <v>1247</v>
      </c>
      <c r="G342" s="8">
        <v>0</v>
      </c>
      <c r="H342" s="8">
        <v>0</v>
      </c>
      <c r="I342" s="8">
        <v>0</v>
      </c>
      <c r="J342" s="8">
        <v>0</v>
      </c>
      <c r="K342" s="8">
        <v>0</v>
      </c>
      <c r="L342" s="8">
        <v>0</v>
      </c>
      <c r="M342" s="8">
        <v>0</v>
      </c>
      <c r="N342" s="8">
        <v>0</v>
      </c>
      <c r="O342" s="8">
        <v>0</v>
      </c>
      <c r="P342" s="8">
        <v>0</v>
      </c>
      <c r="Q342" s="8"/>
      <c r="R342" s="8"/>
      <c r="S342" s="9">
        <f>$G$342*$G$8+$H$342*$H$8+$I$342*$I$8+$J$342*$J$8+$K$342*$K$8+$L$342*$L$8+$M$342*$M$8+$N$342*$N$8+$O$342*$O$8+$P$342*$P$8</f>
        <v>0</v>
      </c>
      <c r="T342" s="9">
        <f>$U$342/2</f>
        <v>0</v>
      </c>
      <c r="U342" s="9">
        <f>$G$342*$G$8+$H$342*$H$8+$I$342*$I$8+$J$342*$J$8+$K$342*$K$8+$L$342*$L$8+$M$342*$M$8+$N$342*$N$8+$O$342*$O$8+$P$342*$P$8</f>
        <v>0</v>
      </c>
    </row>
    <row r="343" spans="1:21" x14ac:dyDescent="0.3">
      <c r="E343" s="10">
        <f xml:space="preserve"> IF($U$343,1,0)</f>
        <v>1</v>
      </c>
      <c r="F343" s="11" t="s">
        <v>1278</v>
      </c>
      <c r="G343" s="11">
        <v>0</v>
      </c>
      <c r="H343" s="11">
        <v>0</v>
      </c>
      <c r="I343" s="11">
        <v>0</v>
      </c>
      <c r="J343" s="11">
        <v>0</v>
      </c>
      <c r="K343" s="11">
        <v>2</v>
      </c>
      <c r="L343" s="11">
        <v>2</v>
      </c>
      <c r="M343" s="11">
        <v>0</v>
      </c>
      <c r="N343" s="11">
        <v>0</v>
      </c>
      <c r="O343" s="11">
        <v>0</v>
      </c>
      <c r="P343" s="11">
        <v>0</v>
      </c>
      <c r="Q343" s="11"/>
      <c r="R343" s="11"/>
      <c r="S343" s="12">
        <f>$G$343*$G$8+$H$343*$H$8+$I$343*$I$8+$J$343*$J$8+$K$343*$K$8+$L$343*$L$8+$M$343*$M$8+$N$343*$N$8+$O$343*$O$8+$P$343*$P$8</f>
        <v>10</v>
      </c>
      <c r="T343" s="12">
        <f>$U$343/4</f>
        <v>2.5</v>
      </c>
      <c r="U343" s="12">
        <f>$G$343*$G$8+$H$343*$H$8+$I$343*$I$8+$J$343*$J$8+$K$343*$K$8+$L$343*$L$8+$M$343*$M$8+$N$343*$N$8+$O$343*$O$8+$P$343*$P$8</f>
        <v>10</v>
      </c>
    </row>
    <row r="344" spans="1:21" x14ac:dyDescent="0.3">
      <c r="E344" s="13">
        <f xml:space="preserve"> IF($U$344,1,0)</f>
        <v>1</v>
      </c>
      <c r="F344" s="14" t="s">
        <v>1279</v>
      </c>
      <c r="G344" s="14">
        <v>10</v>
      </c>
      <c r="H344" s="14">
        <v>0</v>
      </c>
      <c r="I344" s="14">
        <v>0</v>
      </c>
      <c r="J344" s="14">
        <v>0</v>
      </c>
      <c r="K344" s="14">
        <v>1</v>
      </c>
      <c r="L344" s="14">
        <v>1</v>
      </c>
      <c r="M344" s="14">
        <v>1</v>
      </c>
      <c r="N344" s="14">
        <v>1</v>
      </c>
      <c r="O344" s="14">
        <v>0</v>
      </c>
      <c r="P344" s="14">
        <v>0</v>
      </c>
      <c r="Q344" s="14"/>
      <c r="R344" s="14"/>
      <c r="S344" s="15">
        <f>$G$344*$G$8+$H$344*$H$8+$I$344*$I$8+$J$344*$J$8+$K$344*$K$8+$L$344*$L$8+$M$344*$M$8+$N$344*$N$8+$O$344*$O$8+$P$344*$P$8</f>
        <v>25</v>
      </c>
      <c r="T344" s="15">
        <f>$U$344/14</f>
        <v>1.7857142857142858</v>
      </c>
      <c r="U344" s="15">
        <f>$G$344*$G$8+$H$344*$H$8+$I$344*$I$8+$J$344*$J$8+$K$344*$K$8+$L$344*$L$8+$M$344*$M$8+$N$344*$N$8+$O$344*$O$8+$P$344*$P$8</f>
        <v>25</v>
      </c>
    </row>
    <row r="345" spans="1:21" x14ac:dyDescent="0.3">
      <c r="E345" s="10">
        <f xml:space="preserve"> IF($U$345,1,0)</f>
        <v>0</v>
      </c>
      <c r="F345" s="11" t="s">
        <v>27</v>
      </c>
      <c r="G345" s="11">
        <v>0</v>
      </c>
      <c r="H345" s="11">
        <v>0</v>
      </c>
      <c r="I345" s="11">
        <v>0</v>
      </c>
      <c r="J345" s="11">
        <v>0</v>
      </c>
      <c r="K345" s="11">
        <v>0</v>
      </c>
      <c r="L345" s="11">
        <v>0</v>
      </c>
      <c r="M345" s="11">
        <v>0</v>
      </c>
      <c r="N345" s="11">
        <v>0</v>
      </c>
      <c r="O345" s="11">
        <v>0</v>
      </c>
      <c r="P345" s="11">
        <v>0</v>
      </c>
      <c r="Q345" s="11"/>
      <c r="R345" s="11"/>
      <c r="S345" s="12">
        <f>$G$345*$G$8+$H$345*$H$8+$I$345*$I$8+$J$345*$J$8+$K$345*$K$8+$L$345*$L$8+$M$345*$M$8+$N$345*$N$8+$O$345*$O$8+$P$345*$P$8</f>
        <v>0</v>
      </c>
      <c r="T345" s="12">
        <f>$U$345/2</f>
        <v>0</v>
      </c>
      <c r="U345" s="12">
        <f>$G$345*$G$8+$H$345*$H$8+$I$345*$I$8+$J$345*$J$8+$K$345*$K$8+$L$345*$L$8+$M$345*$M$8+$N$345*$N$8+$O$345*$O$8+$P$345*$P$8</f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F180A-BE46-4D6F-BE82-B4535DD9A4CE}">
  <sheetPr codeName="Blad12"/>
  <dimension ref="A2:U345"/>
  <sheetViews>
    <sheetView topLeftCell="C1" workbookViewId="0">
      <selection activeCell="Q9" sqref="Q9"/>
    </sheetView>
  </sheetViews>
  <sheetFormatPr defaultRowHeight="14.4" x14ac:dyDescent="0.3"/>
  <cols>
    <col min="2" max="2" width="14.77734375" customWidth="1"/>
    <col min="3" max="3" width="18.77734375" customWidth="1"/>
    <col min="4" max="4" width="20.77734375" customWidth="1"/>
    <col min="5" max="5" width="14.77734375" customWidth="1"/>
    <col min="6" max="6" width="25.77734375" customWidth="1"/>
    <col min="8" max="8" width="11.109375" customWidth="1"/>
    <col min="11" max="14" width="11.44140625" customWidth="1"/>
    <col min="16" max="16" width="11.88671875" customWidth="1"/>
    <col min="17" max="17" width="9.6640625" customWidth="1"/>
    <col min="18" max="18" width="15.88671875" customWidth="1"/>
    <col min="19" max="19" width="22.109375" customWidth="1"/>
    <col min="20" max="20" width="18.6640625" customWidth="1"/>
  </cols>
  <sheetData>
    <row r="2" spans="1:21" x14ac:dyDescent="0.3">
      <c r="A2" t="s">
        <v>1239</v>
      </c>
      <c r="F2" t="s">
        <v>20</v>
      </c>
      <c r="G2">
        <f>SUM($G$10:$G$339)+ SUM($G$342:$G$345)</f>
        <v>12</v>
      </c>
      <c r="H2">
        <f>SUM($H$10:$H$339)+ SUM($H$342:$H$345)</f>
        <v>3</v>
      </c>
      <c r="I2">
        <f>SUM($I$10:$I$339)+ SUM($I$342:$I$345)</f>
        <v>2</v>
      </c>
      <c r="J2">
        <f>SUM($J$10:$J$339)+ SUM($J$342:$J$345)</f>
        <v>5</v>
      </c>
      <c r="K2">
        <f>SUM($K$10:$K$339)+ SUM($K$342:$K$345)</f>
        <v>5</v>
      </c>
      <c r="L2">
        <f>SUM($L$10:$L$339)+ SUM($L$342:$L$345)</f>
        <v>4</v>
      </c>
      <c r="M2">
        <f>SUM($M$10:$M$339)+ SUM($M$342:$M$345)</f>
        <v>2</v>
      </c>
      <c r="N2">
        <f>SUM($N$10:$N$339)+ SUM($N$342:$N$345)</f>
        <v>6</v>
      </c>
      <c r="O2">
        <f>SUM($O$10:$O$339)+ SUM($O$342:$O$345)</f>
        <v>2</v>
      </c>
      <c r="P2">
        <f>SUM($P$10:$P$339)+ SUM($P$342:$P$345)</f>
        <v>2</v>
      </c>
    </row>
    <row r="3" spans="1:21" x14ac:dyDescent="0.3">
      <c r="A3">
        <f>SUM($E$10:$E$339)</f>
        <v>18</v>
      </c>
      <c r="F3" t="s">
        <v>21</v>
      </c>
      <c r="G3" s="3">
        <f>$G$8*G2</f>
        <v>13.200000000000001</v>
      </c>
      <c r="H3" s="3">
        <f>$H$8*H2</f>
        <v>5.4</v>
      </c>
      <c r="I3" s="3">
        <f>$I$8*I2</f>
        <v>9.5</v>
      </c>
      <c r="J3" s="3">
        <f>$J$8*J2</f>
        <v>5</v>
      </c>
      <c r="K3" s="3">
        <f>$K$8*K2</f>
        <v>10</v>
      </c>
      <c r="L3" s="3">
        <f>$L$8*L2</f>
        <v>12</v>
      </c>
      <c r="M3" s="3">
        <f>$M$8*M2</f>
        <v>8</v>
      </c>
      <c r="N3" s="3">
        <f>$N$8*N2</f>
        <v>30</v>
      </c>
      <c r="O3" s="3">
        <f>$O$8*O2</f>
        <v>1</v>
      </c>
      <c r="P3" s="3">
        <f>$P$8*P2</f>
        <v>0.8</v>
      </c>
    </row>
    <row r="8" spans="1:21" x14ac:dyDescent="0.3">
      <c r="F8" t="s">
        <v>22</v>
      </c>
      <c r="G8" s="4">
        <v>1.1000000000000001</v>
      </c>
      <c r="H8" s="4">
        <v>1.8</v>
      </c>
      <c r="I8" s="4">
        <v>4.75</v>
      </c>
      <c r="J8" s="4">
        <v>1</v>
      </c>
      <c r="K8" s="4">
        <v>2</v>
      </c>
      <c r="L8" s="4">
        <v>3</v>
      </c>
      <c r="M8" s="4">
        <v>4</v>
      </c>
      <c r="N8" s="4">
        <v>5</v>
      </c>
      <c r="O8" s="4">
        <v>0.5</v>
      </c>
      <c r="P8" s="4">
        <v>0.4</v>
      </c>
      <c r="S8" s="3">
        <f>SUM($S$10:$S$339)</f>
        <v>84.899999999999977</v>
      </c>
      <c r="T8" s="3">
        <f>SUM($T$10:$T$339)</f>
        <v>0</v>
      </c>
      <c r="U8" s="3">
        <f>SUM($U$10:$U$339)</f>
        <v>84.899999999999977</v>
      </c>
    </row>
    <row r="9" spans="1:21" ht="15" thickBot="1" x14ac:dyDescent="0.35">
      <c r="A9" s="5" t="s">
        <v>14</v>
      </c>
      <c r="B9" s="6" t="s">
        <v>15</v>
      </c>
      <c r="C9" s="6" t="s">
        <v>16</v>
      </c>
      <c r="D9" s="6" t="s">
        <v>17</v>
      </c>
      <c r="E9" s="6" t="s">
        <v>18</v>
      </c>
      <c r="F9" s="6" t="s">
        <v>19</v>
      </c>
      <c r="G9" s="6" t="s">
        <v>4</v>
      </c>
      <c r="H9" s="6" t="s">
        <v>1245</v>
      </c>
      <c r="I9" s="6" t="s">
        <v>7</v>
      </c>
      <c r="J9" s="6" t="s">
        <v>6</v>
      </c>
      <c r="K9" s="6" t="s">
        <v>8</v>
      </c>
      <c r="L9" s="6" t="s">
        <v>9</v>
      </c>
      <c r="M9" s="6" t="s">
        <v>10</v>
      </c>
      <c r="N9" s="6" t="s">
        <v>11</v>
      </c>
      <c r="O9" s="6" t="s">
        <v>12</v>
      </c>
      <c r="P9" s="6" t="s">
        <v>1277</v>
      </c>
      <c r="Q9" s="6" t="s">
        <v>1278</v>
      </c>
      <c r="R9" s="6" t="s">
        <v>1279</v>
      </c>
      <c r="S9" s="6" t="s">
        <v>23</v>
      </c>
      <c r="T9" s="6" t="s">
        <v>24</v>
      </c>
      <c r="U9" s="6" t="s">
        <v>25</v>
      </c>
    </row>
    <row r="10" spans="1:21" ht="15" thickTop="1" x14ac:dyDescent="0.3">
      <c r="A10" s="7" t="s">
        <v>28</v>
      </c>
      <c r="B10" s="8" t="s">
        <v>29</v>
      </c>
      <c r="C10" s="8"/>
      <c r="D10" s="8" t="s">
        <v>30</v>
      </c>
      <c r="E10" s="8">
        <f xml:space="preserve"> IF($U$10,1,0)</f>
        <v>0</v>
      </c>
      <c r="F10" s="8" t="s">
        <v>31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9">
        <v>0</v>
      </c>
      <c r="R10" s="9">
        <v>0</v>
      </c>
      <c r="S10" s="9">
        <f>$G$10*$G$8+$H$10*$H$8+$I$10*$I$8+$J$10*$J$8+$K$10*$K$8+$L$10*$L$8+$M$10*$M$8+$N$10*$N$8+$O$10*$O$8+$P$10*$P$8</f>
        <v>0</v>
      </c>
      <c r="T10" s="9">
        <f>SUM($Q$10:$R$10)</f>
        <v>0</v>
      </c>
      <c r="U10" s="9">
        <f>$S$10+$T$10</f>
        <v>0</v>
      </c>
    </row>
    <row r="11" spans="1:21" x14ac:dyDescent="0.3">
      <c r="A11" s="10" t="s">
        <v>32</v>
      </c>
      <c r="B11" s="11" t="s">
        <v>33</v>
      </c>
      <c r="C11" s="11" t="s">
        <v>34</v>
      </c>
      <c r="D11" s="11" t="s">
        <v>35</v>
      </c>
      <c r="E11" s="11">
        <f xml:space="preserve"> IF($U$11,1,0)</f>
        <v>0</v>
      </c>
      <c r="F11" s="11" t="s">
        <v>36</v>
      </c>
      <c r="G11" s="11">
        <v>0</v>
      </c>
      <c r="H11" s="11">
        <v>0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2">
        <v>0</v>
      </c>
      <c r="R11" s="12">
        <v>0</v>
      </c>
      <c r="S11" s="12">
        <f>$G$11*$G$8+$H$11*$H$8+$I$11*$I$8+$J$11*$J$8+$K$11*$K$8+$L$11*$L$8+$M$11*$M$8+$N$11*$N$8+$O$11*$O$8+$P$11*$P$8</f>
        <v>0</v>
      </c>
      <c r="T11" s="12">
        <f>SUM($Q$11:$R$11)</f>
        <v>0</v>
      </c>
      <c r="U11" s="12">
        <f>$S$11+$T$11</f>
        <v>0</v>
      </c>
    </row>
    <row r="12" spans="1:21" x14ac:dyDescent="0.3">
      <c r="A12" s="13" t="s">
        <v>37</v>
      </c>
      <c r="B12" s="14" t="s">
        <v>38</v>
      </c>
      <c r="C12" s="14"/>
      <c r="D12" s="14" t="s">
        <v>39</v>
      </c>
      <c r="E12" s="14">
        <f xml:space="preserve"> IF($U$12,1,0)</f>
        <v>0</v>
      </c>
      <c r="F12" s="14" t="s">
        <v>40</v>
      </c>
      <c r="G12" s="14">
        <v>0</v>
      </c>
      <c r="H12" s="14">
        <v>0</v>
      </c>
      <c r="I12" s="14">
        <v>0</v>
      </c>
      <c r="J12" s="14">
        <v>0</v>
      </c>
      <c r="K12" s="14">
        <v>0</v>
      </c>
      <c r="L12" s="14">
        <v>0</v>
      </c>
      <c r="M12" s="14">
        <v>0</v>
      </c>
      <c r="N12" s="14">
        <v>0</v>
      </c>
      <c r="O12" s="14">
        <v>0</v>
      </c>
      <c r="P12" s="14">
        <v>0</v>
      </c>
      <c r="Q12" s="15">
        <v>0</v>
      </c>
      <c r="R12" s="15">
        <v>0</v>
      </c>
      <c r="S12" s="15">
        <f>$G$12*$G$8+$H$12*$H$8+$I$12*$I$8+$J$12*$J$8+$K$12*$K$8+$L$12*$L$8+$M$12*$M$8+$N$12*$N$8+$O$12*$O$8+$P$12*$P$8</f>
        <v>0</v>
      </c>
      <c r="T12" s="15">
        <f>SUM($Q$12:$R$12)</f>
        <v>0</v>
      </c>
      <c r="U12" s="15">
        <f>$S$12+$T$12</f>
        <v>0</v>
      </c>
    </row>
    <row r="13" spans="1:21" x14ac:dyDescent="0.3">
      <c r="A13" s="10" t="s">
        <v>41</v>
      </c>
      <c r="B13" s="11" t="s">
        <v>38</v>
      </c>
      <c r="C13" s="11"/>
      <c r="D13" s="11" t="s">
        <v>42</v>
      </c>
      <c r="E13" s="11">
        <f xml:space="preserve"> IF($U$13,1,0)</f>
        <v>0</v>
      </c>
      <c r="F13" s="11" t="s">
        <v>43</v>
      </c>
      <c r="G13" s="11">
        <v>0</v>
      </c>
      <c r="H13" s="11">
        <v>0</v>
      </c>
      <c r="I13" s="11">
        <v>0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2">
        <v>0</v>
      </c>
      <c r="R13" s="12">
        <v>0</v>
      </c>
      <c r="S13" s="12">
        <f>$G$13*$G$8+$H$13*$H$8+$I$13*$I$8+$J$13*$J$8+$K$13*$K$8+$L$13*$L$8+$M$13*$M$8+$N$13*$N$8+$O$13*$O$8+$P$13*$P$8</f>
        <v>0</v>
      </c>
      <c r="T13" s="12">
        <f>SUM($Q$13:$R$13)</f>
        <v>0</v>
      </c>
      <c r="U13" s="12">
        <f>$S$13+$T$13</f>
        <v>0</v>
      </c>
    </row>
    <row r="14" spans="1:21" x14ac:dyDescent="0.3">
      <c r="A14" s="13" t="s">
        <v>44</v>
      </c>
      <c r="B14" s="14" t="s">
        <v>45</v>
      </c>
      <c r="C14" s="14"/>
      <c r="D14" s="14" t="s">
        <v>46</v>
      </c>
      <c r="E14" s="14">
        <f xml:space="preserve"> IF($U$14,1,0)</f>
        <v>1</v>
      </c>
      <c r="F14" s="14" t="s">
        <v>47</v>
      </c>
      <c r="G14" s="14">
        <v>1</v>
      </c>
      <c r="H14" s="14">
        <v>0</v>
      </c>
      <c r="I14" s="14">
        <v>1</v>
      </c>
      <c r="J14" s="14">
        <v>2</v>
      </c>
      <c r="K14" s="14">
        <v>1</v>
      </c>
      <c r="L14" s="14">
        <v>0</v>
      </c>
      <c r="M14" s="14">
        <v>1</v>
      </c>
      <c r="N14" s="14">
        <v>1</v>
      </c>
      <c r="O14" s="14">
        <v>1</v>
      </c>
      <c r="P14" s="14">
        <v>0</v>
      </c>
      <c r="Q14" s="15">
        <v>0</v>
      </c>
      <c r="R14" s="15">
        <v>0</v>
      </c>
      <c r="S14" s="15">
        <f>$G$14*$G$8+$H$14*$H$8+$I$14*$I$8+$J$14*$J$8+$K$14*$K$8+$L$14*$L$8+$M$14*$M$8+$N$14*$N$8+$O$14*$O$8+$P$14*$P$8</f>
        <v>19.350000000000001</v>
      </c>
      <c r="T14" s="15">
        <f>SUM($Q$14:$R$14)</f>
        <v>0</v>
      </c>
      <c r="U14" s="15">
        <f>$S$14+$T$14</f>
        <v>19.350000000000001</v>
      </c>
    </row>
    <row r="15" spans="1:21" x14ac:dyDescent="0.3">
      <c r="A15" s="10" t="s">
        <v>48</v>
      </c>
      <c r="B15" s="11" t="s">
        <v>45</v>
      </c>
      <c r="C15" s="11"/>
      <c r="D15" s="11" t="s">
        <v>49</v>
      </c>
      <c r="E15" s="11">
        <f xml:space="preserve"> IF($U$15,1,0)</f>
        <v>1</v>
      </c>
      <c r="F15" s="11" t="s">
        <v>50</v>
      </c>
      <c r="G15" s="11">
        <v>0</v>
      </c>
      <c r="H15" s="11">
        <v>0</v>
      </c>
      <c r="I15" s="11">
        <v>0</v>
      </c>
      <c r="J15" s="11">
        <v>0</v>
      </c>
      <c r="K15" s="11">
        <v>0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2">
        <v>0</v>
      </c>
      <c r="R15" s="12">
        <v>0</v>
      </c>
      <c r="S15" s="12">
        <f>$T$344</f>
        <v>1.7857142857142858</v>
      </c>
      <c r="T15" s="12">
        <f>SUM($Q$15:$R$15)</f>
        <v>0</v>
      </c>
      <c r="U15" s="12">
        <f>$S$15+$T$15</f>
        <v>1.7857142857142858</v>
      </c>
    </row>
    <row r="16" spans="1:21" x14ac:dyDescent="0.3">
      <c r="A16" s="13" t="s">
        <v>51</v>
      </c>
      <c r="B16" s="14" t="s">
        <v>52</v>
      </c>
      <c r="C16" s="14"/>
      <c r="D16" s="14" t="s">
        <v>53</v>
      </c>
      <c r="E16" s="14">
        <f xml:space="preserve"> IF($U$16,1,0)</f>
        <v>0</v>
      </c>
      <c r="F16" s="14" t="s">
        <v>54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4">
        <v>0</v>
      </c>
      <c r="O16" s="14">
        <v>0</v>
      </c>
      <c r="P16" s="14">
        <v>0</v>
      </c>
      <c r="Q16" s="15">
        <v>0</v>
      </c>
      <c r="R16" s="15">
        <v>0</v>
      </c>
      <c r="S16" s="15">
        <f>$G$16*$G$8+$H$16*$H$8+$I$16*$I$8+$J$16*$J$8+$K$16*$K$8+$L$16*$L$8+$M$16*$M$8+$N$16*$N$8+$O$16*$O$8+$P$16*$P$8</f>
        <v>0</v>
      </c>
      <c r="T16" s="15">
        <f>SUM($Q$16:$R$16)</f>
        <v>0</v>
      </c>
      <c r="U16" s="15">
        <f>$S$16+$T$16</f>
        <v>0</v>
      </c>
    </row>
    <row r="17" spans="1:21" x14ac:dyDescent="0.3">
      <c r="A17" s="10" t="s">
        <v>55</v>
      </c>
      <c r="B17" s="11" t="s">
        <v>56</v>
      </c>
      <c r="C17" s="11"/>
      <c r="D17" s="11" t="s">
        <v>57</v>
      </c>
      <c r="E17" s="11">
        <f xml:space="preserve"> IF($U$17,1,0)</f>
        <v>1</v>
      </c>
      <c r="F17" s="11" t="s">
        <v>58</v>
      </c>
      <c r="G17" s="11">
        <v>0</v>
      </c>
      <c r="H17" s="11">
        <v>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2">
        <v>0</v>
      </c>
      <c r="R17" s="12">
        <v>0</v>
      </c>
      <c r="S17" s="12">
        <f>$T$344</f>
        <v>1.7857142857142858</v>
      </c>
      <c r="T17" s="12">
        <f>SUM($Q$17:$R$17)</f>
        <v>0</v>
      </c>
      <c r="U17" s="12">
        <f>$S$17+$T$17</f>
        <v>1.7857142857142858</v>
      </c>
    </row>
    <row r="18" spans="1:21" x14ac:dyDescent="0.3">
      <c r="A18" s="13" t="s">
        <v>59</v>
      </c>
      <c r="B18" s="14" t="s">
        <v>60</v>
      </c>
      <c r="C18" s="14"/>
      <c r="D18" s="14" t="s">
        <v>61</v>
      </c>
      <c r="E18" s="14">
        <f xml:space="preserve"> IF($U$18,1,0)</f>
        <v>1</v>
      </c>
      <c r="F18" s="14" t="s">
        <v>62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5">
        <v>0</v>
      </c>
      <c r="R18" s="15">
        <v>0</v>
      </c>
      <c r="S18" s="15">
        <f>$T$344</f>
        <v>1.7857142857142858</v>
      </c>
      <c r="T18" s="15">
        <f>SUM($Q$18:$R$18)</f>
        <v>0</v>
      </c>
      <c r="U18" s="15">
        <f>$S$18+$T$18</f>
        <v>1.7857142857142858</v>
      </c>
    </row>
    <row r="19" spans="1:21" x14ac:dyDescent="0.3">
      <c r="A19" s="10" t="s">
        <v>63</v>
      </c>
      <c r="B19" s="11" t="s">
        <v>64</v>
      </c>
      <c r="C19" s="11" t="s">
        <v>65</v>
      </c>
      <c r="D19" s="11" t="s">
        <v>66</v>
      </c>
      <c r="E19" s="11">
        <f xml:space="preserve"> IF($U$19,1,0)</f>
        <v>1</v>
      </c>
      <c r="F19" s="11" t="s">
        <v>67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2">
        <v>0</v>
      </c>
      <c r="R19" s="12">
        <v>0</v>
      </c>
      <c r="S19" s="12">
        <f>$T$344</f>
        <v>1.7857142857142858</v>
      </c>
      <c r="T19" s="12">
        <f>SUM($Q$19:$R$19)</f>
        <v>0</v>
      </c>
      <c r="U19" s="12">
        <f>$S$19+$T$19</f>
        <v>1.7857142857142858</v>
      </c>
    </row>
    <row r="20" spans="1:21" x14ac:dyDescent="0.3">
      <c r="A20" s="13" t="s">
        <v>68</v>
      </c>
      <c r="B20" s="14" t="s">
        <v>69</v>
      </c>
      <c r="C20" s="14"/>
      <c r="D20" s="14" t="s">
        <v>70</v>
      </c>
      <c r="E20" s="14">
        <f xml:space="preserve"> IF($U$20,1,0)</f>
        <v>1</v>
      </c>
      <c r="F20" s="14" t="s">
        <v>71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4">
        <v>0</v>
      </c>
      <c r="N20" s="14">
        <v>0</v>
      </c>
      <c r="O20" s="14">
        <v>0</v>
      </c>
      <c r="P20" s="14">
        <v>0</v>
      </c>
      <c r="Q20" s="15">
        <v>0</v>
      </c>
      <c r="R20" s="15">
        <v>0</v>
      </c>
      <c r="S20" s="15">
        <f>$T$344</f>
        <v>1.7857142857142858</v>
      </c>
      <c r="T20" s="15">
        <f>SUM($Q$20:$R$20)</f>
        <v>0</v>
      </c>
      <c r="U20" s="15">
        <f>$S$20+$T$20</f>
        <v>1.7857142857142858</v>
      </c>
    </row>
    <row r="21" spans="1:21" x14ac:dyDescent="0.3">
      <c r="A21" s="10" t="s">
        <v>72</v>
      </c>
      <c r="B21" s="11" t="s">
        <v>73</v>
      </c>
      <c r="C21" s="11"/>
      <c r="D21" s="11" t="s">
        <v>74</v>
      </c>
      <c r="E21" s="11">
        <f xml:space="preserve"> IF($U$21,1,0)</f>
        <v>0</v>
      </c>
      <c r="F21" s="11" t="s">
        <v>75</v>
      </c>
      <c r="G21" s="11">
        <v>0</v>
      </c>
      <c r="H21" s="11">
        <v>0</v>
      </c>
      <c r="I21" s="11">
        <v>0</v>
      </c>
      <c r="J21" s="11">
        <v>0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2">
        <v>0</v>
      </c>
      <c r="R21" s="12">
        <v>0</v>
      </c>
      <c r="S21" s="12">
        <f>$G$21*$G$8+$H$21*$H$8+$I$21*$I$8+$J$21*$J$8+$K$21*$K$8+$L$21*$L$8+$M$21*$M$8+$N$21*$N$8+$O$21*$O$8+$P$21*$P$8</f>
        <v>0</v>
      </c>
      <c r="T21" s="12">
        <f>SUM($Q$21:$R$21)</f>
        <v>0</v>
      </c>
      <c r="U21" s="12">
        <f>$S$21+$T$21</f>
        <v>0</v>
      </c>
    </row>
    <row r="22" spans="1:21" x14ac:dyDescent="0.3">
      <c r="A22" s="13" t="s">
        <v>76</v>
      </c>
      <c r="B22" s="14" t="s">
        <v>77</v>
      </c>
      <c r="C22" s="14"/>
      <c r="D22" s="14" t="s">
        <v>78</v>
      </c>
      <c r="E22" s="14">
        <f xml:space="preserve"> IF($U$22,1,0)</f>
        <v>1</v>
      </c>
      <c r="F22" s="14" t="s">
        <v>79</v>
      </c>
      <c r="G22" s="14">
        <v>0</v>
      </c>
      <c r="H22" s="14">
        <v>2</v>
      </c>
      <c r="I22" s="14">
        <v>0</v>
      </c>
      <c r="J22" s="14">
        <v>2</v>
      </c>
      <c r="K22" s="14">
        <v>0</v>
      </c>
      <c r="L22" s="14">
        <v>0</v>
      </c>
      <c r="M22" s="14">
        <v>0</v>
      </c>
      <c r="N22" s="14">
        <v>0</v>
      </c>
      <c r="O22" s="14">
        <v>0</v>
      </c>
      <c r="P22" s="14">
        <v>0</v>
      </c>
      <c r="Q22" s="15">
        <v>0</v>
      </c>
      <c r="R22" s="15">
        <v>0</v>
      </c>
      <c r="S22" s="15">
        <f>$G$22*$G$8+$H$22*$H$8+$I$22*$I$8+$J$22*$J$8+$K$22*$K$8+$L$22*$L$8+$M$22*$M$8+$N$22*$N$8+$O$22*$O$8+$P$22*$P$8</f>
        <v>5.6</v>
      </c>
      <c r="T22" s="15">
        <f>SUM($Q$22:$R$22)</f>
        <v>0</v>
      </c>
      <c r="U22" s="15">
        <f>$S$22+$T$22</f>
        <v>5.6</v>
      </c>
    </row>
    <row r="23" spans="1:21" x14ac:dyDescent="0.3">
      <c r="A23" s="10" t="s">
        <v>80</v>
      </c>
      <c r="B23" s="11" t="s">
        <v>77</v>
      </c>
      <c r="C23" s="11" t="s">
        <v>65</v>
      </c>
      <c r="D23" s="11" t="s">
        <v>81</v>
      </c>
      <c r="E23" s="11">
        <f xml:space="preserve"> IF($U$23,1,0)</f>
        <v>0</v>
      </c>
      <c r="F23" s="11" t="s">
        <v>82</v>
      </c>
      <c r="G23" s="11">
        <v>0</v>
      </c>
      <c r="H23" s="11">
        <v>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2">
        <v>0</v>
      </c>
      <c r="R23" s="12">
        <v>0</v>
      </c>
      <c r="S23" s="12">
        <f>$G$23*$G$8+$H$23*$H$8+$I$23*$I$8+$J$23*$J$8+$K$23*$K$8+$L$23*$L$8+$M$23*$M$8+$N$23*$N$8+$O$23*$O$8+$P$23*$P$8</f>
        <v>0</v>
      </c>
      <c r="T23" s="12">
        <f>SUM($Q$23:$R$23)</f>
        <v>0</v>
      </c>
      <c r="U23" s="12">
        <f>$S$23+$T$23</f>
        <v>0</v>
      </c>
    </row>
    <row r="24" spans="1:21" x14ac:dyDescent="0.3">
      <c r="A24" s="13" t="s">
        <v>83</v>
      </c>
      <c r="B24" s="14" t="s">
        <v>84</v>
      </c>
      <c r="C24" s="14"/>
      <c r="D24" s="14" t="s">
        <v>81</v>
      </c>
      <c r="E24" s="14">
        <f xml:space="preserve"> IF($U$24,1,0)</f>
        <v>0</v>
      </c>
      <c r="F24" s="14" t="s">
        <v>85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5">
        <v>0</v>
      </c>
      <c r="R24" s="15">
        <v>0</v>
      </c>
      <c r="S24" s="15">
        <f>$G$24*$G$8+$H$24*$H$8+$I$24*$I$8+$J$24*$J$8+$K$24*$K$8+$L$24*$L$8+$M$24*$M$8+$N$24*$N$8+$O$24*$O$8+$P$24*$P$8</f>
        <v>0</v>
      </c>
      <c r="T24" s="15">
        <f>SUM($Q$24:$R$24)</f>
        <v>0</v>
      </c>
      <c r="U24" s="15">
        <f>$S$24+$T$24</f>
        <v>0</v>
      </c>
    </row>
    <row r="25" spans="1:21" x14ac:dyDescent="0.3">
      <c r="A25" s="10" t="s">
        <v>86</v>
      </c>
      <c r="B25" s="11" t="s">
        <v>87</v>
      </c>
      <c r="C25" s="11"/>
      <c r="D25" s="11" t="s">
        <v>88</v>
      </c>
      <c r="E25" s="11">
        <f xml:space="preserve"> IF($U$25,1,0)</f>
        <v>1</v>
      </c>
      <c r="F25" s="11" t="s">
        <v>89</v>
      </c>
      <c r="G25" s="11">
        <v>0</v>
      </c>
      <c r="H25" s="11">
        <v>0</v>
      </c>
      <c r="I25" s="11">
        <v>0</v>
      </c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2">
        <v>0</v>
      </c>
      <c r="R25" s="12">
        <v>0</v>
      </c>
      <c r="S25" s="12">
        <f>$T$344</f>
        <v>1.7857142857142858</v>
      </c>
      <c r="T25" s="12">
        <f>SUM($Q$25:$R$25)</f>
        <v>0</v>
      </c>
      <c r="U25" s="12">
        <f>$S$25+$T$25</f>
        <v>1.7857142857142858</v>
      </c>
    </row>
    <row r="26" spans="1:21" x14ac:dyDescent="0.3">
      <c r="A26" s="13" t="s">
        <v>90</v>
      </c>
      <c r="B26" s="14" t="s">
        <v>91</v>
      </c>
      <c r="C26" s="14"/>
      <c r="D26" s="14" t="s">
        <v>92</v>
      </c>
      <c r="E26" s="14">
        <f xml:space="preserve"> IF($U$26,1,0)</f>
        <v>0</v>
      </c>
      <c r="F26" s="14" t="s">
        <v>93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5">
        <v>0</v>
      </c>
      <c r="R26" s="15">
        <v>0</v>
      </c>
      <c r="S26" s="15">
        <f>$G$26*$G$8+$H$26*$H$8+$I$26*$I$8+$J$26*$J$8+$K$26*$K$8+$L$26*$L$8+$M$26*$M$8+$N$26*$N$8+$O$26*$O$8+$P$26*$P$8</f>
        <v>0</v>
      </c>
      <c r="T26" s="15">
        <f>SUM($Q$26:$R$26)</f>
        <v>0</v>
      </c>
      <c r="U26" s="15">
        <f>$S$26+$T$26</f>
        <v>0</v>
      </c>
    </row>
    <row r="27" spans="1:21" x14ac:dyDescent="0.3">
      <c r="A27" s="10" t="s">
        <v>94</v>
      </c>
      <c r="B27" s="11" t="s">
        <v>95</v>
      </c>
      <c r="C27" s="11"/>
      <c r="D27" s="11" t="s">
        <v>96</v>
      </c>
      <c r="E27" s="11">
        <f xml:space="preserve"> IF($U$27,1,0)</f>
        <v>0</v>
      </c>
      <c r="F27" s="11" t="s">
        <v>97</v>
      </c>
      <c r="G27" s="11">
        <v>0</v>
      </c>
      <c r="H27" s="11">
        <v>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2">
        <v>0</v>
      </c>
      <c r="R27" s="12">
        <v>0</v>
      </c>
      <c r="S27" s="12">
        <f>$G$27*$G$8+$H$27*$H$8+$I$27*$I$8+$J$27*$J$8+$K$27*$K$8+$L$27*$L$8+$M$27*$M$8+$N$27*$N$8+$O$27*$O$8+$P$27*$P$8</f>
        <v>0</v>
      </c>
      <c r="T27" s="12">
        <f>SUM($Q$27:$R$27)</f>
        <v>0</v>
      </c>
      <c r="U27" s="12">
        <f>$S$27+$T$27</f>
        <v>0</v>
      </c>
    </row>
    <row r="28" spans="1:21" x14ac:dyDescent="0.3">
      <c r="A28" s="13" t="s">
        <v>98</v>
      </c>
      <c r="B28" s="14" t="s">
        <v>99</v>
      </c>
      <c r="C28" s="14"/>
      <c r="D28" s="14" t="s">
        <v>100</v>
      </c>
      <c r="E28" s="14">
        <f xml:space="preserve"> IF($U$28,1,0)</f>
        <v>1</v>
      </c>
      <c r="F28" s="14" t="s">
        <v>101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5">
        <v>0</v>
      </c>
      <c r="R28" s="15">
        <v>0</v>
      </c>
      <c r="S28" s="15">
        <f>$T$344</f>
        <v>1.7857142857142858</v>
      </c>
      <c r="T28" s="15">
        <f>SUM($Q$28:$R$28)</f>
        <v>0</v>
      </c>
      <c r="U28" s="15">
        <f>$S$28+$T$28</f>
        <v>1.7857142857142858</v>
      </c>
    </row>
    <row r="29" spans="1:21" x14ac:dyDescent="0.3">
      <c r="A29" s="10" t="s">
        <v>102</v>
      </c>
      <c r="B29" s="11" t="s">
        <v>103</v>
      </c>
      <c r="C29" s="11"/>
      <c r="D29" s="11" t="s">
        <v>104</v>
      </c>
      <c r="E29" s="11">
        <f xml:space="preserve"> IF($U$29,1,0)</f>
        <v>1</v>
      </c>
      <c r="F29" s="11" t="s">
        <v>105</v>
      </c>
      <c r="G29" s="11">
        <v>0</v>
      </c>
      <c r="H29" s="11">
        <v>0</v>
      </c>
      <c r="I29" s="11">
        <v>0</v>
      </c>
      <c r="J29" s="11">
        <v>0</v>
      </c>
      <c r="K29" s="11">
        <v>0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2">
        <v>0</v>
      </c>
      <c r="R29" s="12">
        <v>0</v>
      </c>
      <c r="S29" s="12">
        <f>$T$344</f>
        <v>1.7857142857142858</v>
      </c>
      <c r="T29" s="12">
        <f>SUM($Q$29:$R$29)</f>
        <v>0</v>
      </c>
      <c r="U29" s="12">
        <f>$S$29+$T$29</f>
        <v>1.7857142857142858</v>
      </c>
    </row>
    <row r="30" spans="1:21" x14ac:dyDescent="0.3">
      <c r="A30" s="13" t="s">
        <v>106</v>
      </c>
      <c r="B30" s="14" t="s">
        <v>103</v>
      </c>
      <c r="C30" s="14"/>
      <c r="D30" s="14" t="s">
        <v>107</v>
      </c>
      <c r="E30" s="14">
        <f xml:space="preserve"> IF($U$30,1,0)</f>
        <v>0</v>
      </c>
      <c r="F30" s="14" t="s">
        <v>108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5">
        <v>0</v>
      </c>
      <c r="R30" s="15">
        <v>0</v>
      </c>
      <c r="S30" s="15">
        <f>$G$30*$G$8+$H$30*$H$8+$I$30*$I$8+$J$30*$J$8+$K$30*$K$8+$L$30*$L$8+$M$30*$M$8+$N$30*$N$8+$O$30*$O$8+$P$30*$P$8</f>
        <v>0</v>
      </c>
      <c r="T30" s="15">
        <f>SUM($Q$30:$R$30)</f>
        <v>0</v>
      </c>
      <c r="U30" s="15">
        <f>$S$30+$T$30</f>
        <v>0</v>
      </c>
    </row>
    <row r="31" spans="1:21" x14ac:dyDescent="0.3">
      <c r="A31" s="10" t="s">
        <v>109</v>
      </c>
      <c r="B31" s="11" t="s">
        <v>103</v>
      </c>
      <c r="C31" s="11"/>
      <c r="D31" s="11" t="s">
        <v>110</v>
      </c>
      <c r="E31" s="11">
        <f xml:space="preserve"> IF($U$31,1,0)</f>
        <v>0</v>
      </c>
      <c r="F31" s="11" t="s">
        <v>111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2">
        <v>0</v>
      </c>
      <c r="R31" s="12">
        <v>0</v>
      </c>
      <c r="S31" s="12">
        <f>$G$31*$G$8+$H$31*$H$8+$I$31*$I$8+$J$31*$J$8+$K$31*$K$8+$L$31*$L$8+$M$31*$M$8+$N$31*$N$8+$O$31*$O$8+$P$31*$P$8</f>
        <v>0</v>
      </c>
      <c r="T31" s="12">
        <f>SUM($Q$31:$R$31)</f>
        <v>0</v>
      </c>
      <c r="U31" s="12">
        <f>$S$31+$T$31</f>
        <v>0</v>
      </c>
    </row>
    <row r="32" spans="1:21" x14ac:dyDescent="0.3">
      <c r="A32" s="13" t="s">
        <v>112</v>
      </c>
      <c r="B32" s="14" t="s">
        <v>113</v>
      </c>
      <c r="C32" s="14"/>
      <c r="D32" s="14" t="s">
        <v>114</v>
      </c>
      <c r="E32" s="14">
        <f xml:space="preserve"> IF($U$32,1,0)</f>
        <v>1</v>
      </c>
      <c r="F32" s="14" t="s">
        <v>115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5">
        <v>0</v>
      </c>
      <c r="R32" s="15">
        <v>0</v>
      </c>
      <c r="S32" s="15">
        <f>$T$344</f>
        <v>1.7857142857142858</v>
      </c>
      <c r="T32" s="15">
        <f>SUM($Q$32:$R$32)</f>
        <v>0</v>
      </c>
      <c r="U32" s="15">
        <f>$S$32+$T$32</f>
        <v>1.7857142857142858</v>
      </c>
    </row>
    <row r="33" spans="1:21" x14ac:dyDescent="0.3">
      <c r="A33" s="10" t="s">
        <v>116</v>
      </c>
      <c r="B33" s="11" t="s">
        <v>117</v>
      </c>
      <c r="C33" s="11" t="s">
        <v>34</v>
      </c>
      <c r="D33" s="11" t="s">
        <v>118</v>
      </c>
      <c r="E33" s="11">
        <f xml:space="preserve"> IF($U$33,1,0)</f>
        <v>1</v>
      </c>
      <c r="F33" s="11" t="s">
        <v>119</v>
      </c>
      <c r="G33" s="11">
        <v>0</v>
      </c>
      <c r="H33" s="11">
        <v>0</v>
      </c>
      <c r="I33" s="11">
        <v>0</v>
      </c>
      <c r="J33" s="11">
        <v>0</v>
      </c>
      <c r="K33" s="11">
        <v>0</v>
      </c>
      <c r="L33" s="11">
        <v>0</v>
      </c>
      <c r="M33" s="11">
        <v>0</v>
      </c>
      <c r="N33" s="11">
        <v>0</v>
      </c>
      <c r="O33" s="11">
        <v>0</v>
      </c>
      <c r="P33" s="11">
        <v>0</v>
      </c>
      <c r="Q33" s="12">
        <v>0</v>
      </c>
      <c r="R33" s="12">
        <v>0</v>
      </c>
      <c r="S33" s="12">
        <f>$T$344</f>
        <v>1.7857142857142858</v>
      </c>
      <c r="T33" s="12">
        <f>SUM($Q$33:$R$33)</f>
        <v>0</v>
      </c>
      <c r="U33" s="12">
        <f>$S$33+$T$33</f>
        <v>1.7857142857142858</v>
      </c>
    </row>
    <row r="34" spans="1:21" x14ac:dyDescent="0.3">
      <c r="A34" s="13" t="s">
        <v>120</v>
      </c>
      <c r="B34" s="14" t="s">
        <v>121</v>
      </c>
      <c r="C34" s="14"/>
      <c r="D34" s="14" t="s">
        <v>122</v>
      </c>
      <c r="E34" s="14">
        <f xml:space="preserve"> IF($U$34,1,0)</f>
        <v>1</v>
      </c>
      <c r="F34" s="14" t="s">
        <v>123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5">
        <v>0</v>
      </c>
      <c r="R34" s="15">
        <v>0</v>
      </c>
      <c r="S34" s="15">
        <f>$T$344</f>
        <v>1.7857142857142858</v>
      </c>
      <c r="T34" s="15">
        <f>SUM($Q$34:$R$34)</f>
        <v>0</v>
      </c>
      <c r="U34" s="15">
        <f>$S$34+$T$34</f>
        <v>1.7857142857142858</v>
      </c>
    </row>
    <row r="35" spans="1:21" x14ac:dyDescent="0.3">
      <c r="A35" s="10" t="s">
        <v>124</v>
      </c>
      <c r="B35" s="11" t="s">
        <v>125</v>
      </c>
      <c r="C35" s="11"/>
      <c r="D35" s="11" t="s">
        <v>126</v>
      </c>
      <c r="E35" s="11">
        <f xml:space="preserve"> IF($U$35,1,0)</f>
        <v>0</v>
      </c>
      <c r="F35" s="11" t="s">
        <v>127</v>
      </c>
      <c r="G35" s="11">
        <v>0</v>
      </c>
      <c r="H35" s="11">
        <v>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0</v>
      </c>
      <c r="Q35" s="12">
        <v>0</v>
      </c>
      <c r="R35" s="12">
        <v>0</v>
      </c>
      <c r="S35" s="12">
        <f>$G$35*$G$8+$H$35*$H$8+$I$35*$I$8+$J$35*$J$8+$K$35*$K$8+$L$35*$L$8+$M$35*$M$8+$N$35*$N$8+$O$35*$O$8+$P$35*$P$8</f>
        <v>0</v>
      </c>
      <c r="T35" s="12">
        <f>SUM($Q$35:$R$35)</f>
        <v>0</v>
      </c>
      <c r="U35" s="12">
        <f>$S$35+$T$35</f>
        <v>0</v>
      </c>
    </row>
    <row r="36" spans="1:21" x14ac:dyDescent="0.3">
      <c r="A36" s="13" t="s">
        <v>128</v>
      </c>
      <c r="B36" s="14" t="s">
        <v>129</v>
      </c>
      <c r="C36" s="14" t="s">
        <v>34</v>
      </c>
      <c r="D36" s="14" t="s">
        <v>130</v>
      </c>
      <c r="E36" s="14">
        <f xml:space="preserve"> IF($U$36,1,0)</f>
        <v>0</v>
      </c>
      <c r="F36" s="14" t="s">
        <v>131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5">
        <v>0</v>
      </c>
      <c r="R36" s="15">
        <v>0</v>
      </c>
      <c r="S36" s="15">
        <f>$G$36*$G$8+$H$36*$H$8+$I$36*$I$8+$J$36*$J$8+$K$36*$K$8+$L$36*$L$8+$M$36*$M$8+$N$36*$N$8+$O$36*$O$8+$P$36*$P$8</f>
        <v>0</v>
      </c>
      <c r="T36" s="15">
        <f>SUM($Q$36:$R$36)</f>
        <v>0</v>
      </c>
      <c r="U36" s="15">
        <f>$S$36+$T$36</f>
        <v>0</v>
      </c>
    </row>
    <row r="37" spans="1:21" x14ac:dyDescent="0.3">
      <c r="A37" s="10" t="s">
        <v>132</v>
      </c>
      <c r="B37" s="11" t="s">
        <v>133</v>
      </c>
      <c r="C37" s="11"/>
      <c r="D37" s="11" t="s">
        <v>134</v>
      </c>
      <c r="E37" s="11">
        <f xml:space="preserve"> IF($U$37,1,0)</f>
        <v>0</v>
      </c>
      <c r="F37" s="11" t="s">
        <v>135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2">
        <v>0</v>
      </c>
      <c r="R37" s="12">
        <v>0</v>
      </c>
      <c r="S37" s="12">
        <f>$G$37*$G$8+$H$37*$H$8+$I$37*$I$8+$J$37*$J$8+$K$37*$K$8+$L$37*$L$8+$M$37*$M$8+$N$37*$N$8+$O$37*$O$8+$P$37*$P$8</f>
        <v>0</v>
      </c>
      <c r="T37" s="12">
        <f>SUM($Q$37:$R$37)</f>
        <v>0</v>
      </c>
      <c r="U37" s="12">
        <f>$S$37+$T$37</f>
        <v>0</v>
      </c>
    </row>
    <row r="38" spans="1:21" x14ac:dyDescent="0.3">
      <c r="A38" s="13" t="s">
        <v>1280</v>
      </c>
      <c r="B38" s="14" t="s">
        <v>1281</v>
      </c>
      <c r="C38" s="14"/>
      <c r="D38" s="14" t="s">
        <v>1250</v>
      </c>
      <c r="E38" s="14">
        <f xml:space="preserve"> IF($U$38,1,0)</f>
        <v>1</v>
      </c>
      <c r="F38" s="14" t="s">
        <v>1282</v>
      </c>
      <c r="G38" s="14">
        <v>0</v>
      </c>
      <c r="H38" s="14">
        <v>0</v>
      </c>
      <c r="I38" s="14">
        <v>0</v>
      </c>
      <c r="J38" s="14">
        <v>0</v>
      </c>
      <c r="K38" s="14">
        <v>0</v>
      </c>
      <c r="L38" s="14">
        <v>0</v>
      </c>
      <c r="M38" s="14">
        <v>0</v>
      </c>
      <c r="N38" s="14">
        <v>0</v>
      </c>
      <c r="O38" s="14">
        <v>0</v>
      </c>
      <c r="P38" s="14">
        <v>0</v>
      </c>
      <c r="Q38" s="15">
        <v>0</v>
      </c>
      <c r="R38" s="15">
        <v>0</v>
      </c>
      <c r="S38" s="15">
        <f>$T$344</f>
        <v>1.7857142857142858</v>
      </c>
      <c r="T38" s="15">
        <f>SUM($Q$38:$R$38)</f>
        <v>0</v>
      </c>
      <c r="U38" s="15">
        <f>$S$38+$T$38</f>
        <v>1.7857142857142858</v>
      </c>
    </row>
    <row r="39" spans="1:21" x14ac:dyDescent="0.3">
      <c r="A39" s="10" t="s">
        <v>136</v>
      </c>
      <c r="B39" s="11" t="s">
        <v>137</v>
      </c>
      <c r="C39" s="11"/>
      <c r="D39" s="11" t="s">
        <v>138</v>
      </c>
      <c r="E39" s="11">
        <f xml:space="preserve"> IF($U$39,1,0)</f>
        <v>0</v>
      </c>
      <c r="F39" s="11" t="s">
        <v>139</v>
      </c>
      <c r="G39" s="11">
        <v>0</v>
      </c>
      <c r="H39" s="11">
        <v>0</v>
      </c>
      <c r="I39" s="11">
        <v>0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2">
        <v>0</v>
      </c>
      <c r="R39" s="12">
        <v>0</v>
      </c>
      <c r="S39" s="12">
        <f>$G$39*$G$8+$H$39*$H$8+$I$39*$I$8+$J$39*$J$8+$K$39*$K$8+$L$39*$L$8+$M$39*$M$8+$N$39*$N$8+$O$39*$O$8+$P$39*$P$8</f>
        <v>0</v>
      </c>
      <c r="T39" s="12">
        <f>SUM($Q$39:$R$39)</f>
        <v>0</v>
      </c>
      <c r="U39" s="12">
        <f>$S$39+$T$39</f>
        <v>0</v>
      </c>
    </row>
    <row r="40" spans="1:21" x14ac:dyDescent="0.3">
      <c r="A40" s="13" t="s">
        <v>140</v>
      </c>
      <c r="B40" s="14" t="s">
        <v>141</v>
      </c>
      <c r="C40" s="14"/>
      <c r="D40" s="14" t="s">
        <v>142</v>
      </c>
      <c r="E40" s="14">
        <f xml:space="preserve"> IF($U$40,1,0)</f>
        <v>0</v>
      </c>
      <c r="F40" s="14" t="s">
        <v>143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5">
        <v>0</v>
      </c>
      <c r="R40" s="15">
        <v>0</v>
      </c>
      <c r="S40" s="15">
        <f>$G$40*$G$8+$H$40*$H$8+$I$40*$I$8+$J$40*$J$8+$K$40*$K$8+$L$40*$L$8+$M$40*$M$8+$N$40*$N$8+$O$40*$O$8+$P$40*$P$8</f>
        <v>0</v>
      </c>
      <c r="T40" s="15">
        <f>SUM($Q$40:$R$40)</f>
        <v>0</v>
      </c>
      <c r="U40" s="15">
        <f>$S$40+$T$40</f>
        <v>0</v>
      </c>
    </row>
    <row r="41" spans="1:21" x14ac:dyDescent="0.3">
      <c r="A41" s="10" t="s">
        <v>144</v>
      </c>
      <c r="B41" s="11" t="s">
        <v>145</v>
      </c>
      <c r="C41" s="11"/>
      <c r="D41" s="11" t="s">
        <v>146</v>
      </c>
      <c r="E41" s="11">
        <f xml:space="preserve"> IF($U$41,1,0)</f>
        <v>0</v>
      </c>
      <c r="F41" s="11" t="s">
        <v>147</v>
      </c>
      <c r="G41" s="11">
        <v>0</v>
      </c>
      <c r="H41" s="11">
        <v>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2">
        <v>0</v>
      </c>
      <c r="R41" s="12">
        <v>0</v>
      </c>
      <c r="S41" s="12">
        <f>$G$41*$G$8+$H$41*$H$8+$I$41*$I$8+$J$41*$J$8+$K$41*$K$8+$L$41*$L$8+$M$41*$M$8+$N$41*$N$8+$O$41*$O$8+$P$41*$P$8</f>
        <v>0</v>
      </c>
      <c r="T41" s="12">
        <f>SUM($Q$41:$R$41)</f>
        <v>0</v>
      </c>
      <c r="U41" s="12">
        <f>$S$41+$T$41</f>
        <v>0</v>
      </c>
    </row>
    <row r="42" spans="1:21" x14ac:dyDescent="0.3">
      <c r="A42" s="13" t="s">
        <v>148</v>
      </c>
      <c r="B42" s="14" t="s">
        <v>149</v>
      </c>
      <c r="C42" s="14"/>
      <c r="D42" s="14" t="s">
        <v>150</v>
      </c>
      <c r="E42" s="14">
        <f xml:space="preserve"> IF($U$42,1,0)</f>
        <v>1</v>
      </c>
      <c r="F42" s="14" t="s">
        <v>151</v>
      </c>
      <c r="G42" s="14">
        <v>0</v>
      </c>
      <c r="H42" s="14">
        <v>0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0</v>
      </c>
      <c r="Q42" s="15">
        <v>0</v>
      </c>
      <c r="R42" s="15">
        <v>0</v>
      </c>
      <c r="S42" s="15">
        <f>$T$344</f>
        <v>1.7857142857142858</v>
      </c>
      <c r="T42" s="15">
        <f>SUM($Q$42:$R$42)</f>
        <v>0</v>
      </c>
      <c r="U42" s="15">
        <f>$S$42+$T$42</f>
        <v>1.7857142857142858</v>
      </c>
    </row>
    <row r="43" spans="1:21" x14ac:dyDescent="0.3">
      <c r="A43" s="10" t="s">
        <v>152</v>
      </c>
      <c r="B43" s="11" t="s">
        <v>153</v>
      </c>
      <c r="C43" s="11"/>
      <c r="D43" s="11" t="s">
        <v>154</v>
      </c>
      <c r="E43" s="11">
        <f xml:space="preserve"> IF($U$43,1,0)</f>
        <v>0</v>
      </c>
      <c r="F43" s="11" t="s">
        <v>155</v>
      </c>
      <c r="G43" s="11">
        <v>0</v>
      </c>
      <c r="H43" s="11">
        <v>0</v>
      </c>
      <c r="I43" s="11">
        <v>0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2">
        <v>0</v>
      </c>
      <c r="R43" s="12">
        <v>0</v>
      </c>
      <c r="S43" s="12">
        <f>$G$43*$G$8+$H$43*$H$8+$I$43*$I$8+$J$43*$J$8+$K$43*$K$8+$L$43*$L$8+$M$43*$M$8+$N$43*$N$8+$O$43*$O$8+$P$43*$P$8</f>
        <v>0</v>
      </c>
      <c r="T43" s="12">
        <f>SUM($Q$43:$R$43)</f>
        <v>0</v>
      </c>
      <c r="U43" s="12">
        <f>$S$43+$T$43</f>
        <v>0</v>
      </c>
    </row>
    <row r="44" spans="1:21" x14ac:dyDescent="0.3">
      <c r="A44" s="13" t="s">
        <v>156</v>
      </c>
      <c r="B44" s="14" t="s">
        <v>157</v>
      </c>
      <c r="C44" s="14" t="s">
        <v>65</v>
      </c>
      <c r="D44" s="14" t="s">
        <v>158</v>
      </c>
      <c r="E44" s="14">
        <f xml:space="preserve"> IF($U$44,1,0)</f>
        <v>0</v>
      </c>
      <c r="F44" s="14" t="s">
        <v>159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14">
        <v>0</v>
      </c>
      <c r="P44" s="14">
        <v>0</v>
      </c>
      <c r="Q44" s="15">
        <v>0</v>
      </c>
      <c r="R44" s="15">
        <v>0</v>
      </c>
      <c r="S44" s="15">
        <f>$G$44*$G$8+$H$44*$H$8+$I$44*$I$8+$J$44*$J$8+$K$44*$K$8+$L$44*$L$8+$M$44*$M$8+$N$44*$N$8+$O$44*$O$8+$P$44*$P$8</f>
        <v>0</v>
      </c>
      <c r="T44" s="15">
        <f>SUM($Q$44:$R$44)</f>
        <v>0</v>
      </c>
      <c r="U44" s="15">
        <f>$S$44+$T$44</f>
        <v>0</v>
      </c>
    </row>
    <row r="45" spans="1:21" x14ac:dyDescent="0.3">
      <c r="A45" s="10" t="s">
        <v>160</v>
      </c>
      <c r="B45" s="11" t="s">
        <v>161</v>
      </c>
      <c r="C45" s="11"/>
      <c r="D45" s="11" t="s">
        <v>162</v>
      </c>
      <c r="E45" s="11">
        <f xml:space="preserve"> IF($U$45,1,0)</f>
        <v>0</v>
      </c>
      <c r="F45" s="11" t="s">
        <v>163</v>
      </c>
      <c r="G45" s="11">
        <v>0</v>
      </c>
      <c r="H45" s="11">
        <v>0</v>
      </c>
      <c r="I45" s="11">
        <v>0</v>
      </c>
      <c r="J45" s="11">
        <v>0</v>
      </c>
      <c r="K45" s="11">
        <v>0</v>
      </c>
      <c r="L45" s="11">
        <v>0</v>
      </c>
      <c r="M45" s="11">
        <v>0</v>
      </c>
      <c r="N45" s="11">
        <v>0</v>
      </c>
      <c r="O45" s="11">
        <v>0</v>
      </c>
      <c r="P45" s="11">
        <v>0</v>
      </c>
      <c r="Q45" s="12">
        <v>0</v>
      </c>
      <c r="R45" s="12">
        <v>0</v>
      </c>
      <c r="S45" s="12">
        <f>$G$45*$G$8+$H$45*$H$8+$I$45*$I$8+$J$45*$J$8+$K$45*$K$8+$L$45*$L$8+$M$45*$M$8+$N$45*$N$8+$O$45*$O$8+$P$45*$P$8</f>
        <v>0</v>
      </c>
      <c r="T45" s="12">
        <f>SUM($Q$45:$R$45)</f>
        <v>0</v>
      </c>
      <c r="U45" s="12">
        <f>$S$45+$T$45</f>
        <v>0</v>
      </c>
    </row>
    <row r="46" spans="1:21" x14ac:dyDescent="0.3">
      <c r="A46" s="13" t="s">
        <v>164</v>
      </c>
      <c r="B46" s="14" t="s">
        <v>165</v>
      </c>
      <c r="C46" s="14"/>
      <c r="D46" s="14" t="s">
        <v>166</v>
      </c>
      <c r="E46" s="14">
        <f xml:space="preserve"> IF($U$46,1,0)</f>
        <v>0</v>
      </c>
      <c r="F46" s="14" t="s">
        <v>167</v>
      </c>
      <c r="G46" s="14">
        <v>0</v>
      </c>
      <c r="H46" s="14">
        <v>0</v>
      </c>
      <c r="I46" s="14">
        <v>0</v>
      </c>
      <c r="J46" s="14">
        <v>0</v>
      </c>
      <c r="K46" s="14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5">
        <v>0</v>
      </c>
      <c r="R46" s="15">
        <v>0</v>
      </c>
      <c r="S46" s="15">
        <f>$G$46*$G$8+$H$46*$H$8+$I$46*$I$8+$J$46*$J$8+$K$46*$K$8+$L$46*$L$8+$M$46*$M$8+$N$46*$N$8+$O$46*$O$8+$P$46*$P$8</f>
        <v>0</v>
      </c>
      <c r="T46" s="15">
        <f>SUM($Q$46:$R$46)</f>
        <v>0</v>
      </c>
      <c r="U46" s="15">
        <f>$S$46+$T$46</f>
        <v>0</v>
      </c>
    </row>
    <row r="47" spans="1:21" x14ac:dyDescent="0.3">
      <c r="A47" s="10" t="s">
        <v>168</v>
      </c>
      <c r="B47" s="11" t="s">
        <v>169</v>
      </c>
      <c r="C47" s="11" t="s">
        <v>65</v>
      </c>
      <c r="D47" s="11" t="s">
        <v>170</v>
      </c>
      <c r="E47" s="11">
        <f xml:space="preserve"> IF($U$47,1,0)</f>
        <v>0</v>
      </c>
      <c r="F47" s="11" t="s">
        <v>171</v>
      </c>
      <c r="G47" s="11">
        <v>0</v>
      </c>
      <c r="H47" s="11">
        <v>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2">
        <v>0</v>
      </c>
      <c r="R47" s="12">
        <v>0</v>
      </c>
      <c r="S47" s="12">
        <f>$G$47*$G$8+$H$47*$H$8+$I$47*$I$8+$J$47*$J$8+$K$47*$K$8+$L$47*$L$8+$M$47*$M$8+$N$47*$N$8+$O$47*$O$8+$P$47*$P$8</f>
        <v>0</v>
      </c>
      <c r="T47" s="12">
        <f>SUM($Q$47:$R$47)</f>
        <v>0</v>
      </c>
      <c r="U47" s="12">
        <f>$S$47+$T$47</f>
        <v>0</v>
      </c>
    </row>
    <row r="48" spans="1:21" x14ac:dyDescent="0.3">
      <c r="A48" s="13" t="s">
        <v>172</v>
      </c>
      <c r="B48" s="14" t="s">
        <v>173</v>
      </c>
      <c r="C48" s="14"/>
      <c r="D48" s="14" t="s">
        <v>174</v>
      </c>
      <c r="E48" s="14">
        <f xml:space="preserve"> IF($U$48,1,0)</f>
        <v>0</v>
      </c>
      <c r="F48" s="14" t="s">
        <v>175</v>
      </c>
      <c r="G48" s="14">
        <v>0</v>
      </c>
      <c r="H48" s="14">
        <v>0</v>
      </c>
      <c r="I48" s="14">
        <v>0</v>
      </c>
      <c r="J48" s="14">
        <v>0</v>
      </c>
      <c r="K48" s="14">
        <v>0</v>
      </c>
      <c r="L48" s="14">
        <v>0</v>
      </c>
      <c r="M48" s="14">
        <v>0</v>
      </c>
      <c r="N48" s="14">
        <v>0</v>
      </c>
      <c r="O48" s="14">
        <v>0</v>
      </c>
      <c r="P48" s="14">
        <v>0</v>
      </c>
      <c r="Q48" s="15">
        <v>0</v>
      </c>
      <c r="R48" s="15">
        <v>0</v>
      </c>
      <c r="S48" s="15">
        <f>$G$48*$G$8+$H$48*$H$8+$I$48*$I$8+$J$48*$J$8+$K$48*$K$8+$L$48*$L$8+$M$48*$M$8+$N$48*$N$8+$O$48*$O$8+$P$48*$P$8</f>
        <v>0</v>
      </c>
      <c r="T48" s="15">
        <f>SUM($Q$48:$R$48)</f>
        <v>0</v>
      </c>
      <c r="U48" s="15">
        <f>$S$48+$T$48</f>
        <v>0</v>
      </c>
    </row>
    <row r="49" spans="1:21" x14ac:dyDescent="0.3">
      <c r="A49" s="10" t="s">
        <v>176</v>
      </c>
      <c r="B49" s="11" t="s">
        <v>177</v>
      </c>
      <c r="C49" s="11"/>
      <c r="D49" s="11" t="s">
        <v>178</v>
      </c>
      <c r="E49" s="11">
        <f xml:space="preserve"> IF($U$49,1,0)</f>
        <v>1</v>
      </c>
      <c r="F49" s="11" t="s">
        <v>179</v>
      </c>
      <c r="G49" s="11">
        <v>0</v>
      </c>
      <c r="H49" s="11">
        <v>0</v>
      </c>
      <c r="I49" s="11">
        <v>0</v>
      </c>
      <c r="J49" s="11">
        <v>0</v>
      </c>
      <c r="K49" s="11">
        <v>0</v>
      </c>
      <c r="L49" s="11">
        <v>0</v>
      </c>
      <c r="M49" s="11">
        <v>0</v>
      </c>
      <c r="N49" s="11">
        <v>0</v>
      </c>
      <c r="O49" s="11">
        <v>0</v>
      </c>
      <c r="P49" s="11">
        <v>0</v>
      </c>
      <c r="Q49" s="12">
        <v>0</v>
      </c>
      <c r="R49" s="12">
        <v>0</v>
      </c>
      <c r="S49" s="12">
        <f>$T$344</f>
        <v>1.7857142857142858</v>
      </c>
      <c r="T49" s="12">
        <f>SUM($Q$49:$R$49)</f>
        <v>0</v>
      </c>
      <c r="U49" s="12">
        <f>$S$49+$T$49</f>
        <v>1.7857142857142858</v>
      </c>
    </row>
    <row r="50" spans="1:21" x14ac:dyDescent="0.3">
      <c r="A50" s="13" t="s">
        <v>180</v>
      </c>
      <c r="B50" s="14" t="s">
        <v>177</v>
      </c>
      <c r="C50" s="14"/>
      <c r="D50" s="14" t="s">
        <v>181</v>
      </c>
      <c r="E50" s="14">
        <f xml:space="preserve"> IF($U$50,1,0)</f>
        <v>1</v>
      </c>
      <c r="F50" s="14" t="s">
        <v>182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  <c r="M50" s="14">
        <v>0</v>
      </c>
      <c r="N50" s="14">
        <v>3</v>
      </c>
      <c r="O50" s="14">
        <v>0</v>
      </c>
      <c r="P50" s="14">
        <v>2</v>
      </c>
      <c r="Q50" s="15">
        <v>0</v>
      </c>
      <c r="R50" s="15">
        <v>0</v>
      </c>
      <c r="S50" s="15">
        <f>$G$50*$G$8+$H$50*$H$8+$I$50*$I$8+$J$50*$J$8+$K$50*$K$8+$L$50*$L$8+$M$50*$M$8+$N$50*$N$8+$O$50*$O$8+$P$50*$P$8</f>
        <v>15.8</v>
      </c>
      <c r="T50" s="15">
        <f>SUM($Q$50:$R$50)</f>
        <v>0</v>
      </c>
      <c r="U50" s="15">
        <f>$S$50+$T$50</f>
        <v>15.8</v>
      </c>
    </row>
    <row r="51" spans="1:21" x14ac:dyDescent="0.3">
      <c r="A51" s="10" t="s">
        <v>183</v>
      </c>
      <c r="B51" s="11" t="s">
        <v>177</v>
      </c>
      <c r="C51" s="11"/>
      <c r="D51" s="11" t="s">
        <v>184</v>
      </c>
      <c r="E51" s="11">
        <f xml:space="preserve"> IF($U$51,1,0)</f>
        <v>0</v>
      </c>
      <c r="F51" s="11" t="s">
        <v>185</v>
      </c>
      <c r="G51" s="11">
        <v>0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2">
        <v>0</v>
      </c>
      <c r="R51" s="12">
        <v>0</v>
      </c>
      <c r="S51" s="12">
        <f>$G$51*$G$8+$H$51*$H$8+$I$51*$I$8+$J$51*$J$8+$K$51*$K$8+$L$51*$L$8+$M$51*$M$8+$N$51*$N$8+$O$51*$O$8+$P$51*$P$8</f>
        <v>0</v>
      </c>
      <c r="T51" s="12">
        <f>SUM($Q$51:$R$51)</f>
        <v>0</v>
      </c>
      <c r="U51" s="12">
        <f>$S$51+$T$51</f>
        <v>0</v>
      </c>
    </row>
    <row r="52" spans="1:21" x14ac:dyDescent="0.3">
      <c r="A52" s="13" t="s">
        <v>186</v>
      </c>
      <c r="B52" s="14" t="s">
        <v>177</v>
      </c>
      <c r="C52" s="14"/>
      <c r="D52" s="14" t="s">
        <v>187</v>
      </c>
      <c r="E52" s="14">
        <f xml:space="preserve"> IF($U$52,1,0)</f>
        <v>0</v>
      </c>
      <c r="F52" s="14" t="s">
        <v>188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5">
        <v>0</v>
      </c>
      <c r="R52" s="15">
        <v>0</v>
      </c>
      <c r="S52" s="15">
        <f>$G$52*$G$8+$H$52*$H$8+$I$52*$I$8+$J$52*$J$8+$K$52*$K$8+$L$52*$L$8+$M$52*$M$8+$N$52*$N$8+$O$52*$O$8+$P$52*$P$8</f>
        <v>0</v>
      </c>
      <c r="T52" s="15">
        <f>SUM($Q$52:$R$52)</f>
        <v>0</v>
      </c>
      <c r="U52" s="15">
        <f>$S$52+$T$52</f>
        <v>0</v>
      </c>
    </row>
    <row r="53" spans="1:21" x14ac:dyDescent="0.3">
      <c r="A53" s="10" t="s">
        <v>189</v>
      </c>
      <c r="B53" s="11" t="s">
        <v>177</v>
      </c>
      <c r="C53" s="11"/>
      <c r="D53" s="11" t="s">
        <v>190</v>
      </c>
      <c r="E53" s="11">
        <f xml:space="preserve"> IF($U$53,1,0)</f>
        <v>0</v>
      </c>
      <c r="F53" s="11" t="s">
        <v>191</v>
      </c>
      <c r="G53" s="11">
        <v>0</v>
      </c>
      <c r="H53" s="11">
        <v>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2">
        <v>0</v>
      </c>
      <c r="R53" s="12">
        <v>0</v>
      </c>
      <c r="S53" s="12">
        <f>$G$53*$G$8+$H$53*$H$8+$I$53*$I$8+$J$53*$J$8+$K$53*$K$8+$L$53*$L$8+$M$53*$M$8+$N$53*$N$8+$O$53*$O$8+$P$53*$P$8</f>
        <v>0</v>
      </c>
      <c r="T53" s="12">
        <f>SUM($Q$53:$R$53)</f>
        <v>0</v>
      </c>
      <c r="U53" s="12">
        <f>$S$53+$T$53</f>
        <v>0</v>
      </c>
    </row>
    <row r="54" spans="1:21" x14ac:dyDescent="0.3">
      <c r="A54" s="13" t="s">
        <v>192</v>
      </c>
      <c r="B54" s="14" t="s">
        <v>177</v>
      </c>
      <c r="C54" s="14"/>
      <c r="D54" s="14" t="s">
        <v>193</v>
      </c>
      <c r="E54" s="14">
        <f xml:space="preserve"> IF($U$54,1,0)</f>
        <v>0</v>
      </c>
      <c r="F54" s="14" t="s">
        <v>194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5">
        <v>0</v>
      </c>
      <c r="R54" s="15">
        <v>0</v>
      </c>
      <c r="S54" s="15">
        <f>$G$54*$G$8+$H$54*$H$8+$I$54*$I$8+$J$54*$J$8+$K$54*$K$8+$L$54*$L$8+$M$54*$M$8+$N$54*$N$8+$O$54*$O$8+$P$54*$P$8</f>
        <v>0</v>
      </c>
      <c r="T54" s="15">
        <f>SUM($Q$54:$R$54)</f>
        <v>0</v>
      </c>
      <c r="U54" s="15">
        <f>$S$54+$T$54</f>
        <v>0</v>
      </c>
    </row>
    <row r="55" spans="1:21" x14ac:dyDescent="0.3">
      <c r="A55" s="10" t="s">
        <v>195</v>
      </c>
      <c r="B55" s="11" t="s">
        <v>177</v>
      </c>
      <c r="C55" s="11"/>
      <c r="D55" s="11" t="s">
        <v>196</v>
      </c>
      <c r="E55" s="11">
        <f xml:space="preserve"> IF($U$55,1,0)</f>
        <v>0</v>
      </c>
      <c r="F55" s="11" t="s">
        <v>197</v>
      </c>
      <c r="G55" s="11">
        <v>0</v>
      </c>
      <c r="H55" s="11">
        <v>0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2">
        <v>0</v>
      </c>
      <c r="R55" s="12">
        <v>0</v>
      </c>
      <c r="S55" s="12">
        <f>$G$55*$G$8+$H$55*$H$8+$I$55*$I$8+$J$55*$J$8+$K$55*$K$8+$L$55*$L$8+$M$55*$M$8+$N$55*$N$8+$O$55*$O$8+$P$55*$P$8</f>
        <v>0</v>
      </c>
      <c r="T55" s="12">
        <f>SUM($Q$55:$R$55)</f>
        <v>0</v>
      </c>
      <c r="U55" s="12">
        <f>$S$55+$T$55</f>
        <v>0</v>
      </c>
    </row>
    <row r="56" spans="1:21" x14ac:dyDescent="0.3">
      <c r="A56" s="13" t="s">
        <v>198</v>
      </c>
      <c r="B56" s="14" t="s">
        <v>177</v>
      </c>
      <c r="C56" s="14" t="s">
        <v>65</v>
      </c>
      <c r="D56" s="14" t="s">
        <v>199</v>
      </c>
      <c r="E56" s="14">
        <f xml:space="preserve"> IF($U$56,1,0)</f>
        <v>0</v>
      </c>
      <c r="F56" s="14" t="s">
        <v>200</v>
      </c>
      <c r="G56" s="14">
        <v>0</v>
      </c>
      <c r="H56" s="14">
        <v>0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5">
        <v>0</v>
      </c>
      <c r="R56" s="15">
        <v>0</v>
      </c>
      <c r="S56" s="15">
        <f>$G$56*$G$8+$H$56*$H$8+$I$56*$I$8+$J$56*$J$8+$K$56*$K$8+$L$56*$L$8+$M$56*$M$8+$N$56*$N$8+$O$56*$O$8+$P$56*$P$8</f>
        <v>0</v>
      </c>
      <c r="T56" s="15">
        <f>SUM($Q$56:$R$56)</f>
        <v>0</v>
      </c>
      <c r="U56" s="15">
        <f>$S$56+$T$56</f>
        <v>0</v>
      </c>
    </row>
    <row r="57" spans="1:21" x14ac:dyDescent="0.3">
      <c r="A57" s="10" t="s">
        <v>201</v>
      </c>
      <c r="B57" s="11" t="s">
        <v>177</v>
      </c>
      <c r="C57" s="11" t="s">
        <v>202</v>
      </c>
      <c r="D57" s="11" t="s">
        <v>203</v>
      </c>
      <c r="E57" s="11">
        <f xml:space="preserve"> IF($U$57,1,0)</f>
        <v>0</v>
      </c>
      <c r="F57" s="11" t="s">
        <v>204</v>
      </c>
      <c r="G57" s="11">
        <v>0</v>
      </c>
      <c r="H57" s="11">
        <v>0</v>
      </c>
      <c r="I57" s="11">
        <v>0</v>
      </c>
      <c r="J57" s="11">
        <v>0</v>
      </c>
      <c r="K57" s="11">
        <v>0</v>
      </c>
      <c r="L57" s="11">
        <v>0</v>
      </c>
      <c r="M57" s="11">
        <v>0</v>
      </c>
      <c r="N57" s="11">
        <v>0</v>
      </c>
      <c r="O57" s="11">
        <v>0</v>
      </c>
      <c r="P57" s="11">
        <v>0</v>
      </c>
      <c r="Q57" s="12">
        <v>0</v>
      </c>
      <c r="R57" s="12">
        <v>0</v>
      </c>
      <c r="S57" s="12">
        <f>$G$57*$G$8+$H$57*$H$8+$I$57*$I$8+$J$57*$J$8+$K$57*$K$8+$L$57*$L$8+$M$57*$M$8+$N$57*$N$8+$O$57*$O$8+$P$57*$P$8</f>
        <v>0</v>
      </c>
      <c r="T57" s="12">
        <f>SUM($Q$57:$R$57)</f>
        <v>0</v>
      </c>
      <c r="U57" s="12">
        <f>$S$57+$T$57</f>
        <v>0</v>
      </c>
    </row>
    <row r="58" spans="1:21" x14ac:dyDescent="0.3">
      <c r="A58" s="13" t="s">
        <v>205</v>
      </c>
      <c r="B58" s="14" t="s">
        <v>206</v>
      </c>
      <c r="C58" s="14"/>
      <c r="D58" s="14" t="s">
        <v>207</v>
      </c>
      <c r="E58" s="14">
        <f xml:space="preserve"> IF($U$58,1,0)</f>
        <v>0</v>
      </c>
      <c r="F58" s="14" t="s">
        <v>208</v>
      </c>
      <c r="G58" s="14">
        <v>0</v>
      </c>
      <c r="H58" s="14">
        <v>0</v>
      </c>
      <c r="I58" s="14">
        <v>0</v>
      </c>
      <c r="J58" s="14">
        <v>0</v>
      </c>
      <c r="K58" s="14">
        <v>0</v>
      </c>
      <c r="L58" s="14">
        <v>0</v>
      </c>
      <c r="M58" s="14">
        <v>0</v>
      </c>
      <c r="N58" s="14">
        <v>0</v>
      </c>
      <c r="O58" s="14">
        <v>0</v>
      </c>
      <c r="P58" s="14">
        <v>0</v>
      </c>
      <c r="Q58" s="15">
        <v>0</v>
      </c>
      <c r="R58" s="15">
        <v>0</v>
      </c>
      <c r="S58" s="15">
        <f>$G$58*$G$8+$H$58*$H$8+$I$58*$I$8+$J$58*$J$8+$K$58*$K$8+$L$58*$L$8+$M$58*$M$8+$N$58*$N$8+$O$58*$O$8+$P$58*$P$8</f>
        <v>0</v>
      </c>
      <c r="T58" s="15">
        <f>SUM($Q$58:$R$58)</f>
        <v>0</v>
      </c>
      <c r="U58" s="15">
        <f>$S$58+$T$58</f>
        <v>0</v>
      </c>
    </row>
    <row r="59" spans="1:21" x14ac:dyDescent="0.3">
      <c r="A59" s="10" t="s">
        <v>209</v>
      </c>
      <c r="B59" s="11" t="s">
        <v>210</v>
      </c>
      <c r="C59" s="11"/>
      <c r="D59" s="11" t="s">
        <v>211</v>
      </c>
      <c r="E59" s="11">
        <f xml:space="preserve"> IF($U$59,1,0)</f>
        <v>0</v>
      </c>
      <c r="F59" s="11" t="s">
        <v>212</v>
      </c>
      <c r="G59" s="11">
        <v>0</v>
      </c>
      <c r="H59" s="11">
        <v>0</v>
      </c>
      <c r="I59" s="11">
        <v>0</v>
      </c>
      <c r="J59" s="11">
        <v>0</v>
      </c>
      <c r="K59" s="11">
        <v>0</v>
      </c>
      <c r="L59" s="11">
        <v>0</v>
      </c>
      <c r="M59" s="11">
        <v>0</v>
      </c>
      <c r="N59" s="11">
        <v>0</v>
      </c>
      <c r="O59" s="11">
        <v>0</v>
      </c>
      <c r="P59" s="11">
        <v>0</v>
      </c>
      <c r="Q59" s="12">
        <v>0</v>
      </c>
      <c r="R59" s="12">
        <v>0</v>
      </c>
      <c r="S59" s="12">
        <f>$G$59*$G$8+$H$59*$H$8+$I$59*$I$8+$J$59*$J$8+$K$59*$K$8+$L$59*$L$8+$M$59*$M$8+$N$59*$N$8+$O$59*$O$8+$P$59*$P$8</f>
        <v>0</v>
      </c>
      <c r="T59" s="12">
        <f>SUM($Q$59:$R$59)</f>
        <v>0</v>
      </c>
      <c r="U59" s="12">
        <f>$S$59+$T$59</f>
        <v>0</v>
      </c>
    </row>
    <row r="60" spans="1:21" x14ac:dyDescent="0.3">
      <c r="A60" s="13" t="s">
        <v>213</v>
      </c>
      <c r="B60" s="14" t="s">
        <v>210</v>
      </c>
      <c r="C60" s="14"/>
      <c r="D60" s="14" t="s">
        <v>214</v>
      </c>
      <c r="E60" s="14">
        <f xml:space="preserve"> IF($U$60,1,0)</f>
        <v>0</v>
      </c>
      <c r="F60" s="14" t="s">
        <v>215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0</v>
      </c>
      <c r="M60" s="14">
        <v>0</v>
      </c>
      <c r="N60" s="14">
        <v>0</v>
      </c>
      <c r="O60" s="14">
        <v>0</v>
      </c>
      <c r="P60" s="14">
        <v>0</v>
      </c>
      <c r="Q60" s="15">
        <v>0</v>
      </c>
      <c r="R60" s="15">
        <v>0</v>
      </c>
      <c r="S60" s="15">
        <f>$G$60*$G$8+$H$60*$H$8+$I$60*$I$8+$J$60*$J$8+$K$60*$K$8+$L$60*$L$8+$M$60*$M$8+$N$60*$N$8+$O$60*$O$8+$P$60*$P$8</f>
        <v>0</v>
      </c>
      <c r="T60" s="15">
        <f>SUM($Q$60:$R$60)</f>
        <v>0</v>
      </c>
      <c r="U60" s="15">
        <f>$S$60+$T$60</f>
        <v>0</v>
      </c>
    </row>
    <row r="61" spans="1:21" x14ac:dyDescent="0.3">
      <c r="A61" s="10" t="s">
        <v>216</v>
      </c>
      <c r="B61" s="11" t="s">
        <v>217</v>
      </c>
      <c r="C61" s="11"/>
      <c r="D61" s="11" t="s">
        <v>218</v>
      </c>
      <c r="E61" s="11">
        <f xml:space="preserve"> IF($U$61,1,0)</f>
        <v>0</v>
      </c>
      <c r="F61" s="11" t="s">
        <v>219</v>
      </c>
      <c r="G61" s="11">
        <v>0</v>
      </c>
      <c r="H61" s="11">
        <v>0</v>
      </c>
      <c r="I61" s="11">
        <v>0</v>
      </c>
      <c r="J61" s="11">
        <v>0</v>
      </c>
      <c r="K61" s="11">
        <v>0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2">
        <v>0</v>
      </c>
      <c r="R61" s="12">
        <v>0</v>
      </c>
      <c r="S61" s="12">
        <f>$G$61*$G$8+$H$61*$H$8+$I$61*$I$8+$J$61*$J$8+$K$61*$K$8+$L$61*$L$8+$M$61*$M$8+$N$61*$N$8+$O$61*$O$8+$P$61*$P$8</f>
        <v>0</v>
      </c>
      <c r="T61" s="12">
        <f>SUM($Q$61:$R$61)</f>
        <v>0</v>
      </c>
      <c r="U61" s="12">
        <f>$S$61+$T$61</f>
        <v>0</v>
      </c>
    </row>
    <row r="62" spans="1:21" x14ac:dyDescent="0.3">
      <c r="A62" s="13" t="s">
        <v>220</v>
      </c>
      <c r="B62" s="14" t="s">
        <v>221</v>
      </c>
      <c r="C62" s="14" t="s">
        <v>34</v>
      </c>
      <c r="D62" s="14" t="s">
        <v>222</v>
      </c>
      <c r="E62" s="14">
        <f xml:space="preserve"> IF($U$62,1,0)</f>
        <v>0</v>
      </c>
      <c r="F62" s="14" t="s">
        <v>223</v>
      </c>
      <c r="G62" s="14">
        <v>0</v>
      </c>
      <c r="H62" s="14">
        <v>0</v>
      </c>
      <c r="I62" s="14">
        <v>0</v>
      </c>
      <c r="J62" s="14">
        <v>0</v>
      </c>
      <c r="K62" s="14">
        <v>0</v>
      </c>
      <c r="L62" s="14">
        <v>0</v>
      </c>
      <c r="M62" s="14">
        <v>0</v>
      </c>
      <c r="N62" s="14">
        <v>0</v>
      </c>
      <c r="O62" s="14">
        <v>0</v>
      </c>
      <c r="P62" s="14">
        <v>0</v>
      </c>
      <c r="Q62" s="15">
        <v>0</v>
      </c>
      <c r="R62" s="15">
        <v>0</v>
      </c>
      <c r="S62" s="15">
        <f>$G$62*$G$8+$H$62*$H$8+$I$62*$I$8+$J$62*$J$8+$K$62*$K$8+$L$62*$L$8+$M$62*$M$8+$N$62*$N$8+$O$62*$O$8+$P$62*$P$8</f>
        <v>0</v>
      </c>
      <c r="T62" s="15">
        <f>SUM($Q$62:$R$62)</f>
        <v>0</v>
      </c>
      <c r="U62" s="15">
        <f>$S$62+$T$62</f>
        <v>0</v>
      </c>
    </row>
    <row r="63" spans="1:21" x14ac:dyDescent="0.3">
      <c r="A63" s="10" t="s">
        <v>224</v>
      </c>
      <c r="B63" s="11" t="s">
        <v>225</v>
      </c>
      <c r="C63" s="11"/>
      <c r="D63" s="11" t="s">
        <v>226</v>
      </c>
      <c r="E63" s="11">
        <f xml:space="preserve"> IF($U$63,1,0)</f>
        <v>0</v>
      </c>
      <c r="F63" s="11" t="s">
        <v>227</v>
      </c>
      <c r="G63" s="11">
        <v>0</v>
      </c>
      <c r="H63" s="11">
        <v>0</v>
      </c>
      <c r="I63" s="11">
        <v>0</v>
      </c>
      <c r="J63" s="11">
        <v>0</v>
      </c>
      <c r="K63" s="11">
        <v>0</v>
      </c>
      <c r="L63" s="11">
        <v>0</v>
      </c>
      <c r="M63" s="11">
        <v>0</v>
      </c>
      <c r="N63" s="11">
        <v>0</v>
      </c>
      <c r="O63" s="11">
        <v>0</v>
      </c>
      <c r="P63" s="11">
        <v>0</v>
      </c>
      <c r="Q63" s="12">
        <v>0</v>
      </c>
      <c r="R63" s="12">
        <v>0</v>
      </c>
      <c r="S63" s="12">
        <f>$G$63*$G$8+$H$63*$H$8+$I$63*$I$8+$J$63*$J$8+$K$63*$K$8+$L$63*$L$8+$M$63*$M$8+$N$63*$N$8+$O$63*$O$8+$P$63*$P$8</f>
        <v>0</v>
      </c>
      <c r="T63" s="12">
        <f>SUM($Q$63:$R$63)</f>
        <v>0</v>
      </c>
      <c r="U63" s="12">
        <f>$S$63+$T$63</f>
        <v>0</v>
      </c>
    </row>
    <row r="64" spans="1:21" x14ac:dyDescent="0.3">
      <c r="A64" s="13" t="s">
        <v>228</v>
      </c>
      <c r="B64" s="14" t="s">
        <v>225</v>
      </c>
      <c r="C64" s="14"/>
      <c r="D64" s="14" t="s">
        <v>229</v>
      </c>
      <c r="E64" s="14">
        <f xml:space="preserve"> IF($U$64,1,0)</f>
        <v>0</v>
      </c>
      <c r="F64" s="14" t="s">
        <v>230</v>
      </c>
      <c r="G64" s="14">
        <v>0</v>
      </c>
      <c r="H64" s="14">
        <v>0</v>
      </c>
      <c r="I64" s="14">
        <v>0</v>
      </c>
      <c r="J64" s="14">
        <v>0</v>
      </c>
      <c r="K64" s="14">
        <v>0</v>
      </c>
      <c r="L64" s="14">
        <v>0</v>
      </c>
      <c r="M64" s="14">
        <v>0</v>
      </c>
      <c r="N64" s="14">
        <v>0</v>
      </c>
      <c r="O64" s="14">
        <v>0</v>
      </c>
      <c r="P64" s="14">
        <v>0</v>
      </c>
      <c r="Q64" s="15">
        <v>0</v>
      </c>
      <c r="R64" s="15">
        <v>0</v>
      </c>
      <c r="S64" s="15">
        <f>$G$64*$G$8+$H$64*$H$8+$I$64*$I$8+$J$64*$J$8+$K$64*$K$8+$L$64*$L$8+$M$64*$M$8+$N$64*$N$8+$O$64*$O$8+$P$64*$P$8</f>
        <v>0</v>
      </c>
      <c r="T64" s="15">
        <f>SUM($Q$64:$R$64)</f>
        <v>0</v>
      </c>
      <c r="U64" s="15">
        <f>$S$64+$T$64</f>
        <v>0</v>
      </c>
    </row>
    <row r="65" spans="1:21" x14ac:dyDescent="0.3">
      <c r="A65" s="10" t="s">
        <v>231</v>
      </c>
      <c r="B65" s="11" t="s">
        <v>225</v>
      </c>
      <c r="C65" s="11"/>
      <c r="D65" s="11" t="s">
        <v>232</v>
      </c>
      <c r="E65" s="11">
        <f xml:space="preserve"> IF($U$65,1,0)</f>
        <v>0</v>
      </c>
      <c r="F65" s="11" t="s">
        <v>233</v>
      </c>
      <c r="G65" s="11">
        <v>0</v>
      </c>
      <c r="H65" s="11">
        <v>0</v>
      </c>
      <c r="I65" s="11">
        <v>0</v>
      </c>
      <c r="J65" s="11">
        <v>0</v>
      </c>
      <c r="K65" s="11">
        <v>0</v>
      </c>
      <c r="L65" s="11">
        <v>0</v>
      </c>
      <c r="M65" s="11">
        <v>0</v>
      </c>
      <c r="N65" s="11">
        <v>0</v>
      </c>
      <c r="O65" s="11">
        <v>0</v>
      </c>
      <c r="P65" s="11">
        <v>0</v>
      </c>
      <c r="Q65" s="12">
        <v>0</v>
      </c>
      <c r="R65" s="12">
        <v>0</v>
      </c>
      <c r="S65" s="12">
        <f>$G$65*$G$8+$H$65*$H$8+$I$65*$I$8+$J$65*$J$8+$K$65*$K$8+$L$65*$L$8+$M$65*$M$8+$N$65*$N$8+$O$65*$O$8+$P$65*$P$8</f>
        <v>0</v>
      </c>
      <c r="T65" s="12">
        <f>SUM($Q$65:$R$65)</f>
        <v>0</v>
      </c>
      <c r="U65" s="12">
        <f>$S$65+$T$65</f>
        <v>0</v>
      </c>
    </row>
    <row r="66" spans="1:21" x14ac:dyDescent="0.3">
      <c r="A66" s="13" t="s">
        <v>234</v>
      </c>
      <c r="B66" s="14" t="s">
        <v>235</v>
      </c>
      <c r="C66" s="14"/>
      <c r="D66" s="14" t="s">
        <v>236</v>
      </c>
      <c r="E66" s="14">
        <f xml:space="preserve"> IF($U$66,1,0)</f>
        <v>0</v>
      </c>
      <c r="F66" s="14" t="s">
        <v>237</v>
      </c>
      <c r="G66" s="14">
        <v>0</v>
      </c>
      <c r="H66" s="14">
        <v>0</v>
      </c>
      <c r="I66" s="14">
        <v>0</v>
      </c>
      <c r="J66" s="14">
        <v>0</v>
      </c>
      <c r="K66" s="14">
        <v>0</v>
      </c>
      <c r="L66" s="14">
        <v>0</v>
      </c>
      <c r="M66" s="14">
        <v>0</v>
      </c>
      <c r="N66" s="14">
        <v>0</v>
      </c>
      <c r="O66" s="14">
        <v>0</v>
      </c>
      <c r="P66" s="14">
        <v>0</v>
      </c>
      <c r="Q66" s="15">
        <v>0</v>
      </c>
      <c r="R66" s="15">
        <v>0</v>
      </c>
      <c r="S66" s="15">
        <f>$G$66*$G$8+$H$66*$H$8+$I$66*$I$8+$J$66*$J$8+$K$66*$K$8+$L$66*$L$8+$M$66*$M$8+$N$66*$N$8+$O$66*$O$8+$P$66*$P$8</f>
        <v>0</v>
      </c>
      <c r="T66" s="15">
        <f>SUM($Q$66:$R$66)</f>
        <v>0</v>
      </c>
      <c r="U66" s="15">
        <f>$S$66+$T$66</f>
        <v>0</v>
      </c>
    </row>
    <row r="67" spans="1:21" x14ac:dyDescent="0.3">
      <c r="A67" s="10" t="s">
        <v>238</v>
      </c>
      <c r="B67" s="11" t="s">
        <v>235</v>
      </c>
      <c r="C67" s="11" t="s">
        <v>34</v>
      </c>
      <c r="D67" s="11" t="s">
        <v>239</v>
      </c>
      <c r="E67" s="11">
        <f xml:space="preserve"> IF($U$67,1,0)</f>
        <v>0</v>
      </c>
      <c r="F67" s="11" t="s">
        <v>240</v>
      </c>
      <c r="G67" s="11">
        <v>0</v>
      </c>
      <c r="H67" s="11">
        <v>0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2">
        <v>0</v>
      </c>
      <c r="R67" s="12">
        <v>0</v>
      </c>
      <c r="S67" s="12">
        <f>$G$67*$G$8+$H$67*$H$8+$I$67*$I$8+$J$67*$J$8+$K$67*$K$8+$L$67*$L$8+$M$67*$M$8+$N$67*$N$8+$O$67*$O$8+$P$67*$P$8</f>
        <v>0</v>
      </c>
      <c r="T67" s="12">
        <f>SUM($Q$67:$R$67)</f>
        <v>0</v>
      </c>
      <c r="U67" s="12">
        <f>$S$67+$T$67</f>
        <v>0</v>
      </c>
    </row>
    <row r="68" spans="1:21" x14ac:dyDescent="0.3">
      <c r="A68" s="13" t="s">
        <v>241</v>
      </c>
      <c r="B68" s="14" t="s">
        <v>242</v>
      </c>
      <c r="C68" s="14" t="s">
        <v>243</v>
      </c>
      <c r="D68" s="14" t="s">
        <v>244</v>
      </c>
      <c r="E68" s="14">
        <f xml:space="preserve"> IF($U$68,1,0)</f>
        <v>0</v>
      </c>
      <c r="F68" s="14" t="s">
        <v>245</v>
      </c>
      <c r="G68" s="14">
        <v>0</v>
      </c>
      <c r="H68" s="14">
        <v>0</v>
      </c>
      <c r="I68" s="14">
        <v>0</v>
      </c>
      <c r="J68" s="14">
        <v>0</v>
      </c>
      <c r="K68" s="14">
        <v>0</v>
      </c>
      <c r="L68" s="14">
        <v>0</v>
      </c>
      <c r="M68" s="14">
        <v>0</v>
      </c>
      <c r="N68" s="14">
        <v>0</v>
      </c>
      <c r="O68" s="14">
        <v>0</v>
      </c>
      <c r="P68" s="14">
        <v>0</v>
      </c>
      <c r="Q68" s="15">
        <v>0</v>
      </c>
      <c r="R68" s="15">
        <v>0</v>
      </c>
      <c r="S68" s="15">
        <f>$G$68*$G$8+$H$68*$H$8+$I$68*$I$8+$J$68*$J$8+$K$68*$K$8+$L$68*$L$8+$M$68*$M$8+$N$68*$N$8+$O$68*$O$8+$P$68*$P$8</f>
        <v>0</v>
      </c>
      <c r="T68" s="15">
        <f>SUM($Q$68:$R$68)</f>
        <v>0</v>
      </c>
      <c r="U68" s="15">
        <f>$S$68+$T$68</f>
        <v>0</v>
      </c>
    </row>
    <row r="69" spans="1:21" x14ac:dyDescent="0.3">
      <c r="A69" s="10" t="s">
        <v>246</v>
      </c>
      <c r="B69" s="11" t="s">
        <v>242</v>
      </c>
      <c r="C69" s="11"/>
      <c r="D69" s="11" t="s">
        <v>247</v>
      </c>
      <c r="E69" s="11">
        <f xml:space="preserve"> IF($U$69,1,0)</f>
        <v>0</v>
      </c>
      <c r="F69" s="11" t="s">
        <v>248</v>
      </c>
      <c r="G69" s="11">
        <v>0</v>
      </c>
      <c r="H69" s="11">
        <v>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2">
        <v>0</v>
      </c>
      <c r="R69" s="12">
        <v>0</v>
      </c>
      <c r="S69" s="12">
        <f>$G$69*$G$8+$H$69*$H$8+$I$69*$I$8+$J$69*$J$8+$K$69*$K$8+$L$69*$L$8+$M$69*$M$8+$N$69*$N$8+$O$69*$O$8+$P$69*$P$8</f>
        <v>0</v>
      </c>
      <c r="T69" s="12">
        <f>SUM($Q$69:$R$69)</f>
        <v>0</v>
      </c>
      <c r="U69" s="12">
        <f>$S$69+$T$69</f>
        <v>0</v>
      </c>
    </row>
    <row r="70" spans="1:21" x14ac:dyDescent="0.3">
      <c r="A70" s="13" t="s">
        <v>249</v>
      </c>
      <c r="B70" s="14" t="s">
        <v>242</v>
      </c>
      <c r="C70" s="14" t="s">
        <v>34</v>
      </c>
      <c r="D70" s="14" t="s">
        <v>250</v>
      </c>
      <c r="E70" s="14">
        <f xml:space="preserve"> IF($U$70,1,0)</f>
        <v>0</v>
      </c>
      <c r="F70" s="14" t="s">
        <v>251</v>
      </c>
      <c r="G70" s="14">
        <v>0</v>
      </c>
      <c r="H70" s="14">
        <v>0</v>
      </c>
      <c r="I70" s="14">
        <v>0</v>
      </c>
      <c r="J70" s="14">
        <v>0</v>
      </c>
      <c r="K70" s="14">
        <v>0</v>
      </c>
      <c r="L70" s="14">
        <v>0</v>
      </c>
      <c r="M70" s="14">
        <v>0</v>
      </c>
      <c r="N70" s="14">
        <v>0</v>
      </c>
      <c r="O70" s="14">
        <v>0</v>
      </c>
      <c r="P70" s="14">
        <v>0</v>
      </c>
      <c r="Q70" s="15">
        <v>0</v>
      </c>
      <c r="R70" s="15">
        <v>0</v>
      </c>
      <c r="S70" s="15">
        <f>$G$70*$G$8+$H$70*$H$8+$I$70*$I$8+$J$70*$J$8+$K$70*$K$8+$L$70*$L$8+$M$70*$M$8+$N$70*$N$8+$O$70*$O$8+$P$70*$P$8</f>
        <v>0</v>
      </c>
      <c r="T70" s="15">
        <f>SUM($Q$70:$R$70)</f>
        <v>0</v>
      </c>
      <c r="U70" s="15">
        <f>$S$70+$T$70</f>
        <v>0</v>
      </c>
    </row>
    <row r="71" spans="1:21" x14ac:dyDescent="0.3">
      <c r="A71" s="10" t="s">
        <v>252</v>
      </c>
      <c r="B71" s="11" t="s">
        <v>253</v>
      </c>
      <c r="C71" s="11"/>
      <c r="D71" s="11" t="s">
        <v>254</v>
      </c>
      <c r="E71" s="11">
        <f xml:space="preserve"> IF($U$71,1,0)</f>
        <v>0</v>
      </c>
      <c r="F71" s="11" t="s">
        <v>255</v>
      </c>
      <c r="G71" s="11">
        <v>0</v>
      </c>
      <c r="H71" s="11">
        <v>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0</v>
      </c>
      <c r="O71" s="11">
        <v>0</v>
      </c>
      <c r="P71" s="11">
        <v>0</v>
      </c>
      <c r="Q71" s="12">
        <v>0</v>
      </c>
      <c r="R71" s="12">
        <v>0</v>
      </c>
      <c r="S71" s="12">
        <f>$G$71*$G$8+$H$71*$H$8+$I$71*$I$8+$J$71*$J$8+$K$71*$K$8+$L$71*$L$8+$M$71*$M$8+$N$71*$N$8+$O$71*$O$8+$P$71*$P$8</f>
        <v>0</v>
      </c>
      <c r="T71" s="12">
        <f>SUM($Q$71:$R$71)</f>
        <v>0</v>
      </c>
      <c r="U71" s="12">
        <f>$S$71+$T$71</f>
        <v>0</v>
      </c>
    </row>
    <row r="72" spans="1:21" x14ac:dyDescent="0.3">
      <c r="A72" s="13" t="s">
        <v>1283</v>
      </c>
      <c r="B72" s="14" t="s">
        <v>1284</v>
      </c>
      <c r="C72" s="14"/>
      <c r="D72" s="14" t="s">
        <v>1285</v>
      </c>
      <c r="E72" s="14">
        <f xml:space="preserve"> IF($U$72,1,0)</f>
        <v>0</v>
      </c>
      <c r="F72" s="14" t="s">
        <v>1286</v>
      </c>
      <c r="G72" s="14">
        <v>0</v>
      </c>
      <c r="H72" s="14">
        <v>0</v>
      </c>
      <c r="I72" s="14">
        <v>0</v>
      </c>
      <c r="J72" s="14">
        <v>0</v>
      </c>
      <c r="K72" s="14">
        <v>0</v>
      </c>
      <c r="L72" s="14">
        <v>0</v>
      </c>
      <c r="M72" s="14">
        <v>0</v>
      </c>
      <c r="N72" s="14">
        <v>0</v>
      </c>
      <c r="O72" s="14">
        <v>0</v>
      </c>
      <c r="P72" s="14">
        <v>0</v>
      </c>
      <c r="Q72" s="15">
        <v>0</v>
      </c>
      <c r="R72" s="15">
        <v>0</v>
      </c>
      <c r="S72" s="15">
        <f>$G$72*$G$8+$H$72*$H$8+$I$72*$I$8+$J$72*$J$8+$K$72*$K$8+$L$72*$L$8+$M$72*$M$8+$N$72*$N$8+$O$72*$O$8+$P$72*$P$8</f>
        <v>0</v>
      </c>
      <c r="T72" s="15">
        <f>SUM($Q$72:$R$72)</f>
        <v>0</v>
      </c>
      <c r="U72" s="15">
        <f>$S$72+$T$72</f>
        <v>0</v>
      </c>
    </row>
    <row r="73" spans="1:21" x14ac:dyDescent="0.3">
      <c r="A73" s="10" t="s">
        <v>256</v>
      </c>
      <c r="B73" s="11" t="s">
        <v>257</v>
      </c>
      <c r="C73" s="11"/>
      <c r="D73" s="11" t="s">
        <v>258</v>
      </c>
      <c r="E73" s="11">
        <f xml:space="preserve"> IF($U$73,1,0)</f>
        <v>0</v>
      </c>
      <c r="F73" s="11" t="s">
        <v>259</v>
      </c>
      <c r="G73" s="11">
        <v>0</v>
      </c>
      <c r="H73" s="11">
        <v>0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2">
        <v>0</v>
      </c>
      <c r="R73" s="12">
        <v>0</v>
      </c>
      <c r="S73" s="12">
        <f>$G$73*$G$8+$H$73*$H$8+$I$73*$I$8+$J$73*$J$8+$K$73*$K$8+$L$73*$L$8+$M$73*$M$8+$N$73*$N$8+$O$73*$O$8+$P$73*$P$8</f>
        <v>0</v>
      </c>
      <c r="T73" s="12">
        <f>SUM($Q$73:$R$73)</f>
        <v>0</v>
      </c>
      <c r="U73" s="12">
        <f>$S$73+$T$73</f>
        <v>0</v>
      </c>
    </row>
    <row r="74" spans="1:21" x14ac:dyDescent="0.3">
      <c r="A74" s="13" t="s">
        <v>1248</v>
      </c>
      <c r="B74" s="14" t="s">
        <v>1249</v>
      </c>
      <c r="C74" s="14"/>
      <c r="D74" s="14" t="s">
        <v>1250</v>
      </c>
      <c r="E74" s="14">
        <f xml:space="preserve"> IF($U$74,1,0)</f>
        <v>0</v>
      </c>
      <c r="F74" s="14" t="s">
        <v>1251</v>
      </c>
      <c r="G74" s="14">
        <v>0</v>
      </c>
      <c r="H74" s="14">
        <v>0</v>
      </c>
      <c r="I74" s="14">
        <v>0</v>
      </c>
      <c r="J74" s="14">
        <v>0</v>
      </c>
      <c r="K74" s="14">
        <v>0</v>
      </c>
      <c r="L74" s="14">
        <v>0</v>
      </c>
      <c r="M74" s="14">
        <v>0</v>
      </c>
      <c r="N74" s="14">
        <v>0</v>
      </c>
      <c r="O74" s="14">
        <v>0</v>
      </c>
      <c r="P74" s="14">
        <v>0</v>
      </c>
      <c r="Q74" s="15">
        <v>0</v>
      </c>
      <c r="R74" s="15">
        <v>0</v>
      </c>
      <c r="S74" s="15">
        <f>$G$74*$G$8+$H$74*$H$8+$I$74*$I$8+$J$74*$J$8+$K$74*$K$8+$L$74*$L$8+$M$74*$M$8+$N$74*$N$8+$O$74*$O$8+$P$74*$P$8</f>
        <v>0</v>
      </c>
      <c r="T74" s="15">
        <f>SUM($Q$74:$R$74)</f>
        <v>0</v>
      </c>
      <c r="U74" s="15">
        <f>$S$74+$T$74</f>
        <v>0</v>
      </c>
    </row>
    <row r="75" spans="1:21" x14ac:dyDescent="0.3">
      <c r="A75" s="10" t="s">
        <v>260</v>
      </c>
      <c r="B75" s="11" t="s">
        <v>261</v>
      </c>
      <c r="C75" s="11"/>
      <c r="D75" s="11" t="s">
        <v>262</v>
      </c>
      <c r="E75" s="11">
        <f xml:space="preserve"> IF($U$75,1,0)</f>
        <v>0</v>
      </c>
      <c r="F75" s="11" t="s">
        <v>263</v>
      </c>
      <c r="G75" s="11">
        <v>0</v>
      </c>
      <c r="H75" s="11">
        <v>0</v>
      </c>
      <c r="I75" s="11">
        <v>0</v>
      </c>
      <c r="J75" s="11">
        <v>0</v>
      </c>
      <c r="K75" s="11">
        <v>0</v>
      </c>
      <c r="L75" s="11">
        <v>0</v>
      </c>
      <c r="M75" s="11">
        <v>0</v>
      </c>
      <c r="N75" s="11">
        <v>0</v>
      </c>
      <c r="O75" s="11">
        <v>0</v>
      </c>
      <c r="P75" s="11">
        <v>0</v>
      </c>
      <c r="Q75" s="12">
        <v>0</v>
      </c>
      <c r="R75" s="12">
        <v>0</v>
      </c>
      <c r="S75" s="12">
        <f>$G$75*$G$8+$H$75*$H$8+$I$75*$I$8+$J$75*$J$8+$K$75*$K$8+$L$75*$L$8+$M$75*$M$8+$N$75*$N$8+$O$75*$O$8+$P$75*$P$8</f>
        <v>0</v>
      </c>
      <c r="T75" s="12">
        <f>SUM($Q$75:$R$75)</f>
        <v>0</v>
      </c>
      <c r="U75" s="12">
        <f>$S$75+$T$75</f>
        <v>0</v>
      </c>
    </row>
    <row r="76" spans="1:21" x14ac:dyDescent="0.3">
      <c r="A76" s="13" t="s">
        <v>264</v>
      </c>
      <c r="B76" s="14" t="s">
        <v>265</v>
      </c>
      <c r="C76" s="14"/>
      <c r="D76" s="14" t="s">
        <v>266</v>
      </c>
      <c r="E76" s="14">
        <f xml:space="preserve"> IF($U$76,1,0)</f>
        <v>0</v>
      </c>
      <c r="F76" s="14" t="s">
        <v>267</v>
      </c>
      <c r="G76" s="14">
        <v>0</v>
      </c>
      <c r="H76" s="14">
        <v>0</v>
      </c>
      <c r="I76" s="14">
        <v>0</v>
      </c>
      <c r="J76" s="14">
        <v>0</v>
      </c>
      <c r="K76" s="14">
        <v>0</v>
      </c>
      <c r="L76" s="14">
        <v>0</v>
      </c>
      <c r="M76" s="14">
        <v>0</v>
      </c>
      <c r="N76" s="14">
        <v>0</v>
      </c>
      <c r="O76" s="14">
        <v>0</v>
      </c>
      <c r="P76" s="14">
        <v>0</v>
      </c>
      <c r="Q76" s="15">
        <v>0</v>
      </c>
      <c r="R76" s="15">
        <v>0</v>
      </c>
      <c r="S76" s="15">
        <f>$G$76*$G$8+$H$76*$H$8+$I$76*$I$8+$J$76*$J$8+$K$76*$K$8+$L$76*$L$8+$M$76*$M$8+$N$76*$N$8+$O$76*$O$8+$P$76*$P$8</f>
        <v>0</v>
      </c>
      <c r="T76" s="15">
        <f>SUM($Q$76:$R$76)</f>
        <v>0</v>
      </c>
      <c r="U76" s="15">
        <f>$S$76+$T$76</f>
        <v>0</v>
      </c>
    </row>
    <row r="77" spans="1:21" x14ac:dyDescent="0.3">
      <c r="A77" s="10" t="s">
        <v>268</v>
      </c>
      <c r="B77" s="11" t="s">
        <v>269</v>
      </c>
      <c r="C77" s="11"/>
      <c r="D77" s="11" t="s">
        <v>270</v>
      </c>
      <c r="E77" s="11">
        <f xml:space="preserve"> IF($U$77,1,0)</f>
        <v>0</v>
      </c>
      <c r="F77" s="11" t="s">
        <v>271</v>
      </c>
      <c r="G77" s="11">
        <v>0</v>
      </c>
      <c r="H77" s="11">
        <v>0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2">
        <v>0</v>
      </c>
      <c r="R77" s="12">
        <v>0</v>
      </c>
      <c r="S77" s="12">
        <f>$G$77*$G$8+$H$77*$H$8+$I$77*$I$8+$J$77*$J$8+$K$77*$K$8+$L$77*$L$8+$M$77*$M$8+$N$77*$N$8+$O$77*$O$8+$P$77*$P$8</f>
        <v>0</v>
      </c>
      <c r="T77" s="12">
        <f>SUM($Q$77:$R$77)</f>
        <v>0</v>
      </c>
      <c r="U77" s="12">
        <f>$S$77+$T$77</f>
        <v>0</v>
      </c>
    </row>
    <row r="78" spans="1:21" x14ac:dyDescent="0.3">
      <c r="A78" s="13" t="s">
        <v>272</v>
      </c>
      <c r="B78" s="14" t="s">
        <v>273</v>
      </c>
      <c r="C78" s="14"/>
      <c r="D78" s="14" t="s">
        <v>274</v>
      </c>
      <c r="E78" s="14">
        <f xml:space="preserve"> IF($U$78,1,0)</f>
        <v>0</v>
      </c>
      <c r="F78" s="14" t="s">
        <v>275</v>
      </c>
      <c r="G78" s="14">
        <v>0</v>
      </c>
      <c r="H78" s="14">
        <v>0</v>
      </c>
      <c r="I78" s="14">
        <v>0</v>
      </c>
      <c r="J78" s="14">
        <v>0</v>
      </c>
      <c r="K78" s="14">
        <v>0</v>
      </c>
      <c r="L78" s="14">
        <v>0</v>
      </c>
      <c r="M78" s="14">
        <v>0</v>
      </c>
      <c r="N78" s="14">
        <v>0</v>
      </c>
      <c r="O78" s="14">
        <v>0</v>
      </c>
      <c r="P78" s="14">
        <v>0</v>
      </c>
      <c r="Q78" s="15">
        <v>0</v>
      </c>
      <c r="R78" s="15">
        <v>0</v>
      </c>
      <c r="S78" s="15">
        <f>$G$78*$G$8+$H$78*$H$8+$I$78*$I$8+$J$78*$J$8+$K$78*$K$8+$L$78*$L$8+$M$78*$M$8+$N$78*$N$8+$O$78*$O$8+$P$78*$P$8</f>
        <v>0</v>
      </c>
      <c r="T78" s="15">
        <f>SUM($Q$78:$R$78)</f>
        <v>0</v>
      </c>
      <c r="U78" s="15">
        <f>$S$78+$T$78</f>
        <v>0</v>
      </c>
    </row>
    <row r="79" spans="1:21" x14ac:dyDescent="0.3">
      <c r="A79" s="10" t="s">
        <v>276</v>
      </c>
      <c r="B79" s="11" t="s">
        <v>277</v>
      </c>
      <c r="C79" s="11" t="s">
        <v>278</v>
      </c>
      <c r="D79" s="11" t="s">
        <v>279</v>
      </c>
      <c r="E79" s="11">
        <f xml:space="preserve"> IF($U$79,1,0)</f>
        <v>0</v>
      </c>
      <c r="F79" s="11" t="s">
        <v>280</v>
      </c>
      <c r="G79" s="11">
        <v>0</v>
      </c>
      <c r="H79" s="11">
        <v>0</v>
      </c>
      <c r="I79" s="11">
        <v>0</v>
      </c>
      <c r="J79" s="11">
        <v>0</v>
      </c>
      <c r="K79" s="11">
        <v>0</v>
      </c>
      <c r="L79" s="11">
        <v>0</v>
      </c>
      <c r="M79" s="11">
        <v>0</v>
      </c>
      <c r="N79" s="11">
        <v>0</v>
      </c>
      <c r="O79" s="11">
        <v>0</v>
      </c>
      <c r="P79" s="11">
        <v>0</v>
      </c>
      <c r="Q79" s="12">
        <v>0</v>
      </c>
      <c r="R79" s="12">
        <v>0</v>
      </c>
      <c r="S79" s="12">
        <f>$G$79*$G$8+$H$79*$H$8+$I$79*$I$8+$J$79*$J$8+$K$79*$K$8+$L$79*$L$8+$M$79*$M$8+$N$79*$N$8+$O$79*$O$8+$P$79*$P$8</f>
        <v>0</v>
      </c>
      <c r="T79" s="12">
        <f>SUM($Q$79:$R$79)</f>
        <v>0</v>
      </c>
      <c r="U79" s="12">
        <f>$S$79+$T$79</f>
        <v>0</v>
      </c>
    </row>
    <row r="80" spans="1:21" x14ac:dyDescent="0.3">
      <c r="A80" s="13" t="s">
        <v>281</v>
      </c>
      <c r="B80" s="14" t="s">
        <v>282</v>
      </c>
      <c r="C80" s="14" t="s">
        <v>283</v>
      </c>
      <c r="D80" s="14" t="s">
        <v>284</v>
      </c>
      <c r="E80" s="14">
        <f xml:space="preserve"> IF($U$80,1,0)</f>
        <v>0</v>
      </c>
      <c r="F80" s="14" t="s">
        <v>285</v>
      </c>
      <c r="G80" s="14">
        <v>0</v>
      </c>
      <c r="H80" s="14">
        <v>0</v>
      </c>
      <c r="I80" s="14">
        <v>0</v>
      </c>
      <c r="J80" s="14">
        <v>0</v>
      </c>
      <c r="K80" s="14">
        <v>0</v>
      </c>
      <c r="L80" s="14">
        <v>0</v>
      </c>
      <c r="M80" s="14">
        <v>0</v>
      </c>
      <c r="N80" s="14">
        <v>0</v>
      </c>
      <c r="O80" s="14">
        <v>0</v>
      </c>
      <c r="P80" s="14">
        <v>0</v>
      </c>
      <c r="Q80" s="15">
        <v>0</v>
      </c>
      <c r="R80" s="15">
        <v>0</v>
      </c>
      <c r="S80" s="15">
        <f>$G$80*$G$8+$H$80*$H$8+$I$80*$I$8+$J$80*$J$8+$K$80*$K$8+$L$80*$L$8+$M$80*$M$8+$N$80*$N$8+$O$80*$O$8+$P$80*$P$8</f>
        <v>0</v>
      </c>
      <c r="T80" s="15">
        <f>SUM($Q$80:$R$80)</f>
        <v>0</v>
      </c>
      <c r="U80" s="15">
        <f>$S$80+$T$80</f>
        <v>0</v>
      </c>
    </row>
    <row r="81" spans="1:21" x14ac:dyDescent="0.3">
      <c r="A81" s="10" t="s">
        <v>286</v>
      </c>
      <c r="B81" s="11" t="s">
        <v>287</v>
      </c>
      <c r="C81" s="11" t="s">
        <v>278</v>
      </c>
      <c r="D81" s="11" t="s">
        <v>288</v>
      </c>
      <c r="E81" s="11">
        <f xml:space="preserve"> IF($U$81,1,0)</f>
        <v>0</v>
      </c>
      <c r="F81" s="11" t="s">
        <v>289</v>
      </c>
      <c r="G81" s="11">
        <v>0</v>
      </c>
      <c r="H81" s="11">
        <v>0</v>
      </c>
      <c r="I81" s="11">
        <v>0</v>
      </c>
      <c r="J81" s="11">
        <v>0</v>
      </c>
      <c r="K81" s="11">
        <v>0</v>
      </c>
      <c r="L81" s="11">
        <v>0</v>
      </c>
      <c r="M81" s="11">
        <v>0</v>
      </c>
      <c r="N81" s="11">
        <v>0</v>
      </c>
      <c r="O81" s="11">
        <v>0</v>
      </c>
      <c r="P81" s="11">
        <v>0</v>
      </c>
      <c r="Q81" s="12">
        <v>0</v>
      </c>
      <c r="R81" s="12">
        <v>0</v>
      </c>
      <c r="S81" s="12">
        <f>$G$81*$G$8+$H$81*$H$8+$I$81*$I$8+$J$81*$J$8+$K$81*$K$8+$L$81*$L$8+$M$81*$M$8+$N$81*$N$8+$O$81*$O$8+$P$81*$P$8</f>
        <v>0</v>
      </c>
      <c r="T81" s="12">
        <f>SUM($Q$81:$R$81)</f>
        <v>0</v>
      </c>
      <c r="U81" s="12">
        <f>$S$81+$T$81</f>
        <v>0</v>
      </c>
    </row>
    <row r="82" spans="1:21" x14ac:dyDescent="0.3">
      <c r="A82" s="13" t="s">
        <v>290</v>
      </c>
      <c r="B82" s="14" t="s">
        <v>291</v>
      </c>
      <c r="C82" s="14"/>
      <c r="D82" s="14" t="s">
        <v>292</v>
      </c>
      <c r="E82" s="14">
        <f xml:space="preserve"> IF($U$82,1,0)</f>
        <v>0</v>
      </c>
      <c r="F82" s="14" t="s">
        <v>293</v>
      </c>
      <c r="G82" s="14">
        <v>0</v>
      </c>
      <c r="H82" s="14">
        <v>0</v>
      </c>
      <c r="I82" s="14">
        <v>0</v>
      </c>
      <c r="J82" s="14">
        <v>0</v>
      </c>
      <c r="K82" s="14">
        <v>0</v>
      </c>
      <c r="L82" s="14">
        <v>0</v>
      </c>
      <c r="M82" s="14">
        <v>0</v>
      </c>
      <c r="N82" s="14">
        <v>0</v>
      </c>
      <c r="O82" s="14">
        <v>0</v>
      </c>
      <c r="P82" s="14">
        <v>0</v>
      </c>
      <c r="Q82" s="15">
        <v>0</v>
      </c>
      <c r="R82" s="15">
        <v>0</v>
      </c>
      <c r="S82" s="15">
        <f>$G$82*$G$8+$H$82*$H$8+$I$82*$I$8+$J$82*$J$8+$K$82*$K$8+$L$82*$L$8+$M$82*$M$8+$N$82*$N$8+$O$82*$O$8+$P$82*$P$8</f>
        <v>0</v>
      </c>
      <c r="T82" s="15">
        <f>SUM($Q$82:$R$82)</f>
        <v>0</v>
      </c>
      <c r="U82" s="15">
        <f>$S$82+$T$82</f>
        <v>0</v>
      </c>
    </row>
    <row r="83" spans="1:21" x14ac:dyDescent="0.3">
      <c r="A83" s="10" t="s">
        <v>294</v>
      </c>
      <c r="B83" s="11" t="s">
        <v>295</v>
      </c>
      <c r="C83" s="11"/>
      <c r="D83" s="11" t="s">
        <v>296</v>
      </c>
      <c r="E83" s="11">
        <f xml:space="preserve"> IF($U$83,1,0)</f>
        <v>0</v>
      </c>
      <c r="F83" s="11" t="s">
        <v>297</v>
      </c>
      <c r="G83" s="11">
        <v>0</v>
      </c>
      <c r="H83" s="11">
        <v>0</v>
      </c>
      <c r="I83" s="11">
        <v>0</v>
      </c>
      <c r="J83" s="11">
        <v>0</v>
      </c>
      <c r="K83" s="11">
        <v>0</v>
      </c>
      <c r="L83" s="11">
        <v>0</v>
      </c>
      <c r="M83" s="11">
        <v>0</v>
      </c>
      <c r="N83" s="11">
        <v>0</v>
      </c>
      <c r="O83" s="11">
        <v>0</v>
      </c>
      <c r="P83" s="11">
        <v>0</v>
      </c>
      <c r="Q83" s="12">
        <v>0</v>
      </c>
      <c r="R83" s="12">
        <v>0</v>
      </c>
      <c r="S83" s="12">
        <f>$G$83*$G$8+$H$83*$H$8+$I$83*$I$8+$J$83*$J$8+$K$83*$K$8+$L$83*$L$8+$M$83*$M$8+$N$83*$N$8+$O$83*$O$8+$P$83*$P$8</f>
        <v>0</v>
      </c>
      <c r="T83" s="12">
        <f>SUM($Q$83:$R$83)</f>
        <v>0</v>
      </c>
      <c r="U83" s="12">
        <f>$S$83+$T$83</f>
        <v>0</v>
      </c>
    </row>
    <row r="84" spans="1:21" x14ac:dyDescent="0.3">
      <c r="A84" s="13" t="s">
        <v>298</v>
      </c>
      <c r="B84" s="14" t="s">
        <v>295</v>
      </c>
      <c r="C84" s="14"/>
      <c r="D84" s="14" t="s">
        <v>299</v>
      </c>
      <c r="E84" s="14">
        <f xml:space="preserve"> IF($U$84,1,0)</f>
        <v>0</v>
      </c>
      <c r="F84" s="14" t="s">
        <v>300</v>
      </c>
      <c r="G84" s="14">
        <v>0</v>
      </c>
      <c r="H84" s="14">
        <v>0</v>
      </c>
      <c r="I84" s="14">
        <v>0</v>
      </c>
      <c r="J84" s="14">
        <v>0</v>
      </c>
      <c r="K84" s="14">
        <v>0</v>
      </c>
      <c r="L84" s="14">
        <v>0</v>
      </c>
      <c r="M84" s="14">
        <v>0</v>
      </c>
      <c r="N84" s="14">
        <v>0</v>
      </c>
      <c r="O84" s="14">
        <v>0</v>
      </c>
      <c r="P84" s="14">
        <v>0</v>
      </c>
      <c r="Q84" s="15">
        <v>0</v>
      </c>
      <c r="R84" s="15">
        <v>0</v>
      </c>
      <c r="S84" s="15">
        <f>$G$84*$G$8+$H$84*$H$8+$I$84*$I$8+$J$84*$J$8+$K$84*$K$8+$L$84*$L$8+$M$84*$M$8+$N$84*$N$8+$O$84*$O$8+$P$84*$P$8</f>
        <v>0</v>
      </c>
      <c r="T84" s="15">
        <f>SUM($Q$84:$R$84)</f>
        <v>0</v>
      </c>
      <c r="U84" s="15">
        <f>$S$84+$T$84</f>
        <v>0</v>
      </c>
    </row>
    <row r="85" spans="1:21" x14ac:dyDescent="0.3">
      <c r="A85" s="10" t="s">
        <v>301</v>
      </c>
      <c r="B85" s="11" t="s">
        <v>302</v>
      </c>
      <c r="C85" s="11"/>
      <c r="D85" s="11" t="s">
        <v>303</v>
      </c>
      <c r="E85" s="11">
        <f xml:space="preserve"> IF($U$85,1,0)</f>
        <v>0</v>
      </c>
      <c r="F85" s="11" t="s">
        <v>304</v>
      </c>
      <c r="G85" s="11">
        <v>0</v>
      </c>
      <c r="H85" s="11">
        <v>0</v>
      </c>
      <c r="I85" s="11">
        <v>0</v>
      </c>
      <c r="J85" s="11">
        <v>0</v>
      </c>
      <c r="K85" s="11">
        <v>0</v>
      </c>
      <c r="L85" s="11">
        <v>0</v>
      </c>
      <c r="M85" s="11">
        <v>0</v>
      </c>
      <c r="N85" s="11">
        <v>0</v>
      </c>
      <c r="O85" s="11">
        <v>0</v>
      </c>
      <c r="P85" s="11">
        <v>0</v>
      </c>
      <c r="Q85" s="12">
        <v>0</v>
      </c>
      <c r="R85" s="12">
        <v>0</v>
      </c>
      <c r="S85" s="12">
        <f>$G$85*$G$8+$H$85*$H$8+$I$85*$I$8+$J$85*$J$8+$K$85*$K$8+$L$85*$L$8+$M$85*$M$8+$N$85*$N$8+$O$85*$O$8+$P$85*$P$8</f>
        <v>0</v>
      </c>
      <c r="T85" s="12">
        <f>SUM($Q$85:$R$85)</f>
        <v>0</v>
      </c>
      <c r="U85" s="12">
        <f>$S$85+$T$85</f>
        <v>0</v>
      </c>
    </row>
    <row r="86" spans="1:21" x14ac:dyDescent="0.3">
      <c r="A86" s="13" t="s">
        <v>305</v>
      </c>
      <c r="B86" s="14" t="s">
        <v>306</v>
      </c>
      <c r="C86" s="14"/>
      <c r="D86" s="14" t="s">
        <v>307</v>
      </c>
      <c r="E86" s="14">
        <f xml:space="preserve"> IF($U$86,1,0)</f>
        <v>0</v>
      </c>
      <c r="F86" s="14" t="s">
        <v>308</v>
      </c>
      <c r="G86" s="14">
        <v>0</v>
      </c>
      <c r="H86" s="14">
        <v>0</v>
      </c>
      <c r="I86" s="14">
        <v>0</v>
      </c>
      <c r="J86" s="14">
        <v>0</v>
      </c>
      <c r="K86" s="14">
        <v>0</v>
      </c>
      <c r="L86" s="14">
        <v>0</v>
      </c>
      <c r="M86" s="14">
        <v>0</v>
      </c>
      <c r="N86" s="14">
        <v>0</v>
      </c>
      <c r="O86" s="14">
        <v>0</v>
      </c>
      <c r="P86" s="14">
        <v>0</v>
      </c>
      <c r="Q86" s="15">
        <v>0</v>
      </c>
      <c r="R86" s="15">
        <v>0</v>
      </c>
      <c r="S86" s="15">
        <f>$G$86*$G$8+$H$86*$H$8+$I$86*$I$8+$J$86*$J$8+$K$86*$K$8+$L$86*$L$8+$M$86*$M$8+$N$86*$N$8+$O$86*$O$8+$P$86*$P$8</f>
        <v>0</v>
      </c>
      <c r="T86" s="15">
        <f>SUM($Q$86:$R$86)</f>
        <v>0</v>
      </c>
      <c r="U86" s="15">
        <f>$S$86+$T$86</f>
        <v>0</v>
      </c>
    </row>
    <row r="87" spans="1:21" x14ac:dyDescent="0.3">
      <c r="A87" s="10" t="s">
        <v>309</v>
      </c>
      <c r="B87" s="11" t="s">
        <v>310</v>
      </c>
      <c r="C87" s="11"/>
      <c r="D87" s="11" t="s">
        <v>311</v>
      </c>
      <c r="E87" s="11">
        <f xml:space="preserve"> IF($U$87,1,0)</f>
        <v>0</v>
      </c>
      <c r="F87" s="11" t="s">
        <v>312</v>
      </c>
      <c r="G87" s="11">
        <v>0</v>
      </c>
      <c r="H87" s="11">
        <v>0</v>
      </c>
      <c r="I87" s="11">
        <v>0</v>
      </c>
      <c r="J87" s="11">
        <v>0</v>
      </c>
      <c r="K87" s="11">
        <v>0</v>
      </c>
      <c r="L87" s="11">
        <v>0</v>
      </c>
      <c r="M87" s="11">
        <v>0</v>
      </c>
      <c r="N87" s="11">
        <v>0</v>
      </c>
      <c r="O87" s="11">
        <v>0</v>
      </c>
      <c r="P87" s="11">
        <v>0</v>
      </c>
      <c r="Q87" s="12">
        <v>0</v>
      </c>
      <c r="R87" s="12">
        <v>0</v>
      </c>
      <c r="S87" s="12">
        <f>$G$87*$G$8+$H$87*$H$8+$I$87*$I$8+$J$87*$J$8+$K$87*$K$8+$L$87*$L$8+$M$87*$M$8+$N$87*$N$8+$O$87*$O$8+$P$87*$P$8</f>
        <v>0</v>
      </c>
      <c r="T87" s="12">
        <f>SUM($Q$87:$R$87)</f>
        <v>0</v>
      </c>
      <c r="U87" s="12">
        <f>$S$87+$T$87</f>
        <v>0</v>
      </c>
    </row>
    <row r="88" spans="1:21" x14ac:dyDescent="0.3">
      <c r="A88" s="13" t="s">
        <v>313</v>
      </c>
      <c r="B88" s="14" t="s">
        <v>314</v>
      </c>
      <c r="C88" s="14"/>
      <c r="D88" s="14" t="s">
        <v>315</v>
      </c>
      <c r="E88" s="14">
        <f xml:space="preserve"> IF($U$88,1,0)</f>
        <v>0</v>
      </c>
      <c r="F88" s="14" t="s">
        <v>316</v>
      </c>
      <c r="G88" s="14">
        <v>0</v>
      </c>
      <c r="H88" s="14">
        <v>0</v>
      </c>
      <c r="I88" s="14">
        <v>0</v>
      </c>
      <c r="J88" s="14">
        <v>0</v>
      </c>
      <c r="K88" s="14">
        <v>0</v>
      </c>
      <c r="L88" s="14">
        <v>0</v>
      </c>
      <c r="M88" s="14">
        <v>0</v>
      </c>
      <c r="N88" s="14">
        <v>0</v>
      </c>
      <c r="O88" s="14">
        <v>0</v>
      </c>
      <c r="P88" s="14">
        <v>0</v>
      </c>
      <c r="Q88" s="15">
        <v>0</v>
      </c>
      <c r="R88" s="15">
        <v>0</v>
      </c>
      <c r="S88" s="15">
        <f>$G$88*$G$8+$H$88*$H$8+$I$88*$I$8+$J$88*$J$8+$K$88*$K$8+$L$88*$L$8+$M$88*$M$8+$N$88*$N$8+$O$88*$O$8+$P$88*$P$8</f>
        <v>0</v>
      </c>
      <c r="T88" s="15">
        <f>SUM($Q$88:$R$88)</f>
        <v>0</v>
      </c>
      <c r="U88" s="15">
        <f>$S$88+$T$88</f>
        <v>0</v>
      </c>
    </row>
    <row r="89" spans="1:21" x14ac:dyDescent="0.3">
      <c r="A89" s="10" t="s">
        <v>317</v>
      </c>
      <c r="B89" s="11" t="s">
        <v>318</v>
      </c>
      <c r="C89" s="11"/>
      <c r="D89" s="11" t="s">
        <v>319</v>
      </c>
      <c r="E89" s="11">
        <f xml:space="preserve"> IF($U$89,1,0)</f>
        <v>0</v>
      </c>
      <c r="F89" s="11" t="s">
        <v>320</v>
      </c>
      <c r="G89" s="11">
        <v>0</v>
      </c>
      <c r="H89" s="11">
        <v>0</v>
      </c>
      <c r="I89" s="11">
        <v>0</v>
      </c>
      <c r="J89" s="11">
        <v>0</v>
      </c>
      <c r="K89" s="11">
        <v>0</v>
      </c>
      <c r="L89" s="11">
        <v>0</v>
      </c>
      <c r="M89" s="11">
        <v>0</v>
      </c>
      <c r="N89" s="11">
        <v>0</v>
      </c>
      <c r="O89" s="11">
        <v>0</v>
      </c>
      <c r="P89" s="11">
        <v>0</v>
      </c>
      <c r="Q89" s="12">
        <v>0</v>
      </c>
      <c r="R89" s="12">
        <v>0</v>
      </c>
      <c r="S89" s="12">
        <f>$G$89*$G$8+$H$89*$H$8+$I$89*$I$8+$J$89*$J$8+$K$89*$K$8+$L$89*$L$8+$M$89*$M$8+$N$89*$N$8+$O$89*$O$8+$P$89*$P$8</f>
        <v>0</v>
      </c>
      <c r="T89" s="12">
        <f>SUM($Q$89:$R$89)</f>
        <v>0</v>
      </c>
      <c r="U89" s="12">
        <f>$S$89+$T$89</f>
        <v>0</v>
      </c>
    </row>
    <row r="90" spans="1:21" x14ac:dyDescent="0.3">
      <c r="A90" s="13" t="s">
        <v>321</v>
      </c>
      <c r="B90" s="14" t="s">
        <v>322</v>
      </c>
      <c r="C90" s="14"/>
      <c r="D90" s="14" t="s">
        <v>323</v>
      </c>
      <c r="E90" s="14">
        <f xml:space="preserve"> IF($U$90,1,0)</f>
        <v>0</v>
      </c>
      <c r="F90" s="14" t="s">
        <v>324</v>
      </c>
      <c r="G90" s="14">
        <v>0</v>
      </c>
      <c r="H90" s="14">
        <v>0</v>
      </c>
      <c r="I90" s="14">
        <v>0</v>
      </c>
      <c r="J90" s="14">
        <v>0</v>
      </c>
      <c r="K90" s="14">
        <v>0</v>
      </c>
      <c r="L90" s="14">
        <v>0</v>
      </c>
      <c r="M90" s="14">
        <v>0</v>
      </c>
      <c r="N90" s="14">
        <v>0</v>
      </c>
      <c r="O90" s="14">
        <v>0</v>
      </c>
      <c r="P90" s="14">
        <v>0</v>
      </c>
      <c r="Q90" s="15">
        <v>0</v>
      </c>
      <c r="R90" s="15">
        <v>0</v>
      </c>
      <c r="S90" s="15">
        <f>$G$90*$G$8+$H$90*$H$8+$I$90*$I$8+$J$90*$J$8+$K$90*$K$8+$L$90*$L$8+$M$90*$M$8+$N$90*$N$8+$O$90*$O$8+$P$90*$P$8</f>
        <v>0</v>
      </c>
      <c r="T90" s="15">
        <f>SUM($Q$90:$R$90)</f>
        <v>0</v>
      </c>
      <c r="U90" s="15">
        <f>$S$90+$T$90</f>
        <v>0</v>
      </c>
    </row>
    <row r="91" spans="1:21" x14ac:dyDescent="0.3">
      <c r="A91" s="10" t="s">
        <v>325</v>
      </c>
      <c r="B91" s="11" t="s">
        <v>326</v>
      </c>
      <c r="C91" s="11" t="s">
        <v>243</v>
      </c>
      <c r="D91" s="11" t="s">
        <v>327</v>
      </c>
      <c r="E91" s="11">
        <f xml:space="preserve"> IF($U$91,1,0)</f>
        <v>0</v>
      </c>
      <c r="F91" s="11" t="s">
        <v>328</v>
      </c>
      <c r="G91" s="11">
        <v>0</v>
      </c>
      <c r="H91" s="11">
        <v>0</v>
      </c>
      <c r="I91" s="11">
        <v>0</v>
      </c>
      <c r="J91" s="11">
        <v>0</v>
      </c>
      <c r="K91" s="11">
        <v>0</v>
      </c>
      <c r="L91" s="11">
        <v>0</v>
      </c>
      <c r="M91" s="11">
        <v>0</v>
      </c>
      <c r="N91" s="11">
        <v>0</v>
      </c>
      <c r="O91" s="11">
        <v>0</v>
      </c>
      <c r="P91" s="11">
        <v>0</v>
      </c>
      <c r="Q91" s="12">
        <v>0</v>
      </c>
      <c r="R91" s="12">
        <v>0</v>
      </c>
      <c r="S91" s="12">
        <f>$G$91*$G$8+$H$91*$H$8+$I$91*$I$8+$J$91*$J$8+$K$91*$K$8+$L$91*$L$8+$M$91*$M$8+$N$91*$N$8+$O$91*$O$8+$P$91*$P$8</f>
        <v>0</v>
      </c>
      <c r="T91" s="12">
        <f>SUM($Q$91:$R$91)</f>
        <v>0</v>
      </c>
      <c r="U91" s="12">
        <f>$S$91+$T$91</f>
        <v>0</v>
      </c>
    </row>
    <row r="92" spans="1:21" x14ac:dyDescent="0.3">
      <c r="A92" s="13" t="s">
        <v>329</v>
      </c>
      <c r="B92" s="14" t="s">
        <v>330</v>
      </c>
      <c r="C92" s="14"/>
      <c r="D92" s="14" t="s">
        <v>331</v>
      </c>
      <c r="E92" s="14">
        <f xml:space="preserve"> IF($U$92,1,0)</f>
        <v>0</v>
      </c>
      <c r="F92" s="14" t="s">
        <v>332</v>
      </c>
      <c r="G92" s="14">
        <v>0</v>
      </c>
      <c r="H92" s="14">
        <v>0</v>
      </c>
      <c r="I92" s="14">
        <v>0</v>
      </c>
      <c r="J92" s="14">
        <v>0</v>
      </c>
      <c r="K92" s="14">
        <v>0</v>
      </c>
      <c r="L92" s="14">
        <v>0</v>
      </c>
      <c r="M92" s="14">
        <v>0</v>
      </c>
      <c r="N92" s="14">
        <v>0</v>
      </c>
      <c r="O92" s="14">
        <v>0</v>
      </c>
      <c r="P92" s="14">
        <v>0</v>
      </c>
      <c r="Q92" s="15">
        <v>0</v>
      </c>
      <c r="R92" s="15">
        <v>0</v>
      </c>
      <c r="S92" s="15">
        <f>$G$92*$G$8+$H$92*$H$8+$I$92*$I$8+$J$92*$J$8+$K$92*$K$8+$L$92*$L$8+$M$92*$M$8+$N$92*$N$8+$O$92*$O$8+$P$92*$P$8</f>
        <v>0</v>
      </c>
      <c r="T92" s="15">
        <f>SUM($Q$92:$R$92)</f>
        <v>0</v>
      </c>
      <c r="U92" s="15">
        <f>$S$92+$T$92</f>
        <v>0</v>
      </c>
    </row>
    <row r="93" spans="1:21" x14ac:dyDescent="0.3">
      <c r="A93" s="10" t="s">
        <v>333</v>
      </c>
      <c r="B93" s="11" t="s">
        <v>334</v>
      </c>
      <c r="C93" s="11"/>
      <c r="D93" s="11" t="s">
        <v>335</v>
      </c>
      <c r="E93" s="11">
        <f xml:space="preserve"> IF($U$93,1,0)</f>
        <v>0</v>
      </c>
      <c r="F93" s="11" t="s">
        <v>336</v>
      </c>
      <c r="G93" s="11">
        <v>0</v>
      </c>
      <c r="H93" s="11">
        <v>0</v>
      </c>
      <c r="I93" s="11">
        <v>0</v>
      </c>
      <c r="J93" s="11">
        <v>0</v>
      </c>
      <c r="K93" s="11">
        <v>0</v>
      </c>
      <c r="L93" s="11">
        <v>0</v>
      </c>
      <c r="M93" s="11">
        <v>0</v>
      </c>
      <c r="N93" s="11">
        <v>0</v>
      </c>
      <c r="O93" s="11">
        <v>0</v>
      </c>
      <c r="P93" s="11">
        <v>0</v>
      </c>
      <c r="Q93" s="12">
        <v>0</v>
      </c>
      <c r="R93" s="12">
        <v>0</v>
      </c>
      <c r="S93" s="12">
        <f>$G$93*$G$8+$H$93*$H$8+$I$93*$I$8+$J$93*$J$8+$K$93*$K$8+$L$93*$L$8+$M$93*$M$8+$N$93*$N$8+$O$93*$O$8+$P$93*$P$8</f>
        <v>0</v>
      </c>
      <c r="T93" s="12">
        <f>SUM($Q$93:$R$93)</f>
        <v>0</v>
      </c>
      <c r="U93" s="12">
        <f>$S$93+$T$93</f>
        <v>0</v>
      </c>
    </row>
    <row r="94" spans="1:21" x14ac:dyDescent="0.3">
      <c r="A94" s="13" t="s">
        <v>337</v>
      </c>
      <c r="B94" s="14" t="s">
        <v>334</v>
      </c>
      <c r="C94" s="14"/>
      <c r="D94" s="14" t="s">
        <v>338</v>
      </c>
      <c r="E94" s="14">
        <f xml:space="preserve"> IF($U$94,1,0)</f>
        <v>0</v>
      </c>
      <c r="F94" s="14" t="s">
        <v>339</v>
      </c>
      <c r="G94" s="14">
        <v>0</v>
      </c>
      <c r="H94" s="14">
        <v>0</v>
      </c>
      <c r="I94" s="14">
        <v>0</v>
      </c>
      <c r="J94" s="14">
        <v>0</v>
      </c>
      <c r="K94" s="14">
        <v>0</v>
      </c>
      <c r="L94" s="14">
        <v>0</v>
      </c>
      <c r="M94" s="14">
        <v>0</v>
      </c>
      <c r="N94" s="14">
        <v>0</v>
      </c>
      <c r="O94" s="14">
        <v>0</v>
      </c>
      <c r="P94" s="14">
        <v>0</v>
      </c>
      <c r="Q94" s="15">
        <v>0</v>
      </c>
      <c r="R94" s="15">
        <v>0</v>
      </c>
      <c r="S94" s="15">
        <f>$G$94*$G$8+$H$94*$H$8+$I$94*$I$8+$J$94*$J$8+$K$94*$K$8+$L$94*$L$8+$M$94*$M$8+$N$94*$N$8+$O$94*$O$8+$P$94*$P$8</f>
        <v>0</v>
      </c>
      <c r="T94" s="15">
        <f>SUM($Q$94:$R$94)</f>
        <v>0</v>
      </c>
      <c r="U94" s="15">
        <f>$S$94+$T$94</f>
        <v>0</v>
      </c>
    </row>
    <row r="95" spans="1:21" x14ac:dyDescent="0.3">
      <c r="A95" s="10" t="s">
        <v>340</v>
      </c>
      <c r="B95" s="11" t="s">
        <v>341</v>
      </c>
      <c r="C95" s="11" t="s">
        <v>342</v>
      </c>
      <c r="D95" s="11" t="s">
        <v>343</v>
      </c>
      <c r="E95" s="11">
        <f xml:space="preserve"> IF($U$95,1,0)</f>
        <v>0</v>
      </c>
      <c r="F95" s="11" t="s">
        <v>344</v>
      </c>
      <c r="G95" s="11">
        <v>0</v>
      </c>
      <c r="H95" s="11">
        <v>0</v>
      </c>
      <c r="I95" s="11">
        <v>0</v>
      </c>
      <c r="J95" s="11">
        <v>0</v>
      </c>
      <c r="K95" s="11">
        <v>0</v>
      </c>
      <c r="L95" s="11">
        <v>0</v>
      </c>
      <c r="M95" s="11">
        <v>0</v>
      </c>
      <c r="N95" s="11">
        <v>0</v>
      </c>
      <c r="O95" s="11">
        <v>0</v>
      </c>
      <c r="P95" s="11">
        <v>0</v>
      </c>
      <c r="Q95" s="12">
        <v>0</v>
      </c>
      <c r="R95" s="12">
        <v>0</v>
      </c>
      <c r="S95" s="12">
        <f>$G$95*$G$8+$H$95*$H$8+$I$95*$I$8+$J$95*$J$8+$K$95*$K$8+$L$95*$L$8+$M$95*$M$8+$N$95*$N$8+$O$95*$O$8+$P$95*$P$8</f>
        <v>0</v>
      </c>
      <c r="T95" s="12">
        <f>SUM($Q$95:$R$95)</f>
        <v>0</v>
      </c>
      <c r="U95" s="12">
        <f>$S$95+$T$95</f>
        <v>0</v>
      </c>
    </row>
    <row r="96" spans="1:21" x14ac:dyDescent="0.3">
      <c r="A96" s="13" t="s">
        <v>345</v>
      </c>
      <c r="B96" s="14" t="s">
        <v>346</v>
      </c>
      <c r="C96" s="14"/>
      <c r="D96" s="14" t="s">
        <v>347</v>
      </c>
      <c r="E96" s="14">
        <f xml:space="preserve"> IF($U$96,1,0)</f>
        <v>0</v>
      </c>
      <c r="F96" s="14" t="s">
        <v>348</v>
      </c>
      <c r="G96" s="14">
        <v>0</v>
      </c>
      <c r="H96" s="14">
        <v>0</v>
      </c>
      <c r="I96" s="14">
        <v>0</v>
      </c>
      <c r="J96" s="14">
        <v>0</v>
      </c>
      <c r="K96" s="14">
        <v>0</v>
      </c>
      <c r="L96" s="14">
        <v>0</v>
      </c>
      <c r="M96" s="14">
        <v>0</v>
      </c>
      <c r="N96" s="14">
        <v>0</v>
      </c>
      <c r="O96" s="14">
        <v>0</v>
      </c>
      <c r="P96" s="14">
        <v>0</v>
      </c>
      <c r="Q96" s="15">
        <v>0</v>
      </c>
      <c r="R96" s="15">
        <v>0</v>
      </c>
      <c r="S96" s="15">
        <f>$G$96*$G$8+$H$96*$H$8+$I$96*$I$8+$J$96*$J$8+$K$96*$K$8+$L$96*$L$8+$M$96*$M$8+$N$96*$N$8+$O$96*$O$8+$P$96*$P$8</f>
        <v>0</v>
      </c>
      <c r="T96" s="15">
        <f>SUM($Q$96:$R$96)</f>
        <v>0</v>
      </c>
      <c r="U96" s="15">
        <f>$S$96+$T$96</f>
        <v>0</v>
      </c>
    </row>
    <row r="97" spans="1:21" x14ac:dyDescent="0.3">
      <c r="A97" s="10" t="s">
        <v>349</v>
      </c>
      <c r="B97" s="11" t="s">
        <v>350</v>
      </c>
      <c r="C97" s="11"/>
      <c r="D97" s="11" t="s">
        <v>351</v>
      </c>
      <c r="E97" s="11">
        <f xml:space="preserve"> IF($U$97,1,0)</f>
        <v>0</v>
      </c>
      <c r="F97" s="11" t="s">
        <v>352</v>
      </c>
      <c r="G97" s="11">
        <v>0</v>
      </c>
      <c r="H97" s="11">
        <v>0</v>
      </c>
      <c r="I97" s="11">
        <v>0</v>
      </c>
      <c r="J97" s="11">
        <v>0</v>
      </c>
      <c r="K97" s="11">
        <v>0</v>
      </c>
      <c r="L97" s="11">
        <v>0</v>
      </c>
      <c r="M97" s="11">
        <v>0</v>
      </c>
      <c r="N97" s="11">
        <v>0</v>
      </c>
      <c r="O97" s="11">
        <v>0</v>
      </c>
      <c r="P97" s="11">
        <v>0</v>
      </c>
      <c r="Q97" s="12">
        <v>0</v>
      </c>
      <c r="R97" s="12">
        <v>0</v>
      </c>
      <c r="S97" s="12">
        <f>$G$97*$G$8+$H$97*$H$8+$I$97*$I$8+$J$97*$J$8+$K$97*$K$8+$L$97*$L$8+$M$97*$M$8+$N$97*$N$8+$O$97*$O$8+$P$97*$P$8</f>
        <v>0</v>
      </c>
      <c r="T97" s="12">
        <f>SUM($Q$97:$R$97)</f>
        <v>0</v>
      </c>
      <c r="U97" s="12">
        <f>$S$97+$T$97</f>
        <v>0</v>
      </c>
    </row>
    <row r="98" spans="1:21" x14ac:dyDescent="0.3">
      <c r="A98" s="13" t="s">
        <v>353</v>
      </c>
      <c r="B98" s="14" t="s">
        <v>354</v>
      </c>
      <c r="C98" s="14"/>
      <c r="D98" s="14" t="s">
        <v>355</v>
      </c>
      <c r="E98" s="14">
        <f xml:space="preserve"> IF($U$98,1,0)</f>
        <v>0</v>
      </c>
      <c r="F98" s="14" t="s">
        <v>356</v>
      </c>
      <c r="G98" s="14">
        <v>0</v>
      </c>
      <c r="H98" s="14">
        <v>0</v>
      </c>
      <c r="I98" s="14">
        <v>0</v>
      </c>
      <c r="J98" s="14">
        <v>0</v>
      </c>
      <c r="K98" s="14">
        <v>0</v>
      </c>
      <c r="L98" s="14">
        <v>0</v>
      </c>
      <c r="M98" s="14">
        <v>0</v>
      </c>
      <c r="N98" s="14">
        <v>0</v>
      </c>
      <c r="O98" s="14">
        <v>0</v>
      </c>
      <c r="P98" s="14">
        <v>0</v>
      </c>
      <c r="Q98" s="15">
        <v>0</v>
      </c>
      <c r="R98" s="15">
        <v>0</v>
      </c>
      <c r="S98" s="15">
        <f>$G$98*$G$8+$H$98*$H$8+$I$98*$I$8+$J$98*$J$8+$K$98*$K$8+$L$98*$L$8+$M$98*$M$8+$N$98*$N$8+$O$98*$O$8+$P$98*$P$8</f>
        <v>0</v>
      </c>
      <c r="T98" s="15">
        <f>SUM($Q$98:$R$98)</f>
        <v>0</v>
      </c>
      <c r="U98" s="15">
        <f>$S$98+$T$98</f>
        <v>0</v>
      </c>
    </row>
    <row r="99" spans="1:21" x14ac:dyDescent="0.3">
      <c r="A99" s="10" t="s">
        <v>357</v>
      </c>
      <c r="B99" s="11" t="s">
        <v>358</v>
      </c>
      <c r="C99" s="11" t="s">
        <v>34</v>
      </c>
      <c r="D99" s="11" t="s">
        <v>359</v>
      </c>
      <c r="E99" s="11">
        <f xml:space="preserve"> IF($U$99,1,0)</f>
        <v>0</v>
      </c>
      <c r="F99" s="11" t="s">
        <v>360</v>
      </c>
      <c r="G99" s="11">
        <v>0</v>
      </c>
      <c r="H99" s="11">
        <v>0</v>
      </c>
      <c r="I99" s="11">
        <v>0</v>
      </c>
      <c r="J99" s="11">
        <v>0</v>
      </c>
      <c r="K99" s="11">
        <v>0</v>
      </c>
      <c r="L99" s="11">
        <v>0</v>
      </c>
      <c r="M99" s="11">
        <v>0</v>
      </c>
      <c r="N99" s="11">
        <v>0</v>
      </c>
      <c r="O99" s="11">
        <v>0</v>
      </c>
      <c r="P99" s="11">
        <v>0</v>
      </c>
      <c r="Q99" s="12">
        <v>0</v>
      </c>
      <c r="R99" s="12">
        <v>0</v>
      </c>
      <c r="S99" s="12">
        <f>$G$99*$G$8+$H$99*$H$8+$I$99*$I$8+$J$99*$J$8+$K$99*$K$8+$L$99*$L$8+$M$99*$M$8+$N$99*$N$8+$O$99*$O$8+$P$99*$P$8</f>
        <v>0</v>
      </c>
      <c r="T99" s="12">
        <f>SUM($Q$99:$R$99)</f>
        <v>0</v>
      </c>
      <c r="U99" s="12">
        <f>$S$99+$T$99</f>
        <v>0</v>
      </c>
    </row>
    <row r="100" spans="1:21" x14ac:dyDescent="0.3">
      <c r="A100" s="13" t="s">
        <v>361</v>
      </c>
      <c r="B100" s="14" t="s">
        <v>358</v>
      </c>
      <c r="C100" s="14" t="s">
        <v>34</v>
      </c>
      <c r="D100" s="14" t="s">
        <v>362</v>
      </c>
      <c r="E100" s="14">
        <f xml:space="preserve"> IF($U$100,1,0)</f>
        <v>0</v>
      </c>
      <c r="F100" s="14" t="s">
        <v>363</v>
      </c>
      <c r="G100" s="14">
        <v>0</v>
      </c>
      <c r="H100" s="14">
        <v>0</v>
      </c>
      <c r="I100" s="14">
        <v>0</v>
      </c>
      <c r="J100" s="14">
        <v>0</v>
      </c>
      <c r="K100" s="14">
        <v>0</v>
      </c>
      <c r="L100" s="14">
        <v>0</v>
      </c>
      <c r="M100" s="14">
        <v>0</v>
      </c>
      <c r="N100" s="14">
        <v>0</v>
      </c>
      <c r="O100" s="14">
        <v>0</v>
      </c>
      <c r="P100" s="14">
        <v>0</v>
      </c>
      <c r="Q100" s="15">
        <v>0</v>
      </c>
      <c r="R100" s="15">
        <v>0</v>
      </c>
      <c r="S100" s="15">
        <f>$G$100*$G$8+$H$100*$H$8+$I$100*$I$8+$J$100*$J$8+$K$100*$K$8+$L$100*$L$8+$M$100*$M$8+$N$100*$N$8+$O$100*$O$8+$P$100*$P$8</f>
        <v>0</v>
      </c>
      <c r="T100" s="15">
        <f>SUM($Q$100:$R$100)</f>
        <v>0</v>
      </c>
      <c r="U100" s="15">
        <f>$S$100+$T$100</f>
        <v>0</v>
      </c>
    </row>
    <row r="101" spans="1:21" x14ac:dyDescent="0.3">
      <c r="A101" s="10" t="s">
        <v>364</v>
      </c>
      <c r="B101" s="11" t="s">
        <v>358</v>
      </c>
      <c r="C101" s="11"/>
      <c r="D101" s="11" t="s">
        <v>365</v>
      </c>
      <c r="E101" s="11">
        <f xml:space="preserve"> IF($U$101,1,0)</f>
        <v>0</v>
      </c>
      <c r="F101" s="11" t="s">
        <v>366</v>
      </c>
      <c r="G101" s="11">
        <v>0</v>
      </c>
      <c r="H101" s="11">
        <v>0</v>
      </c>
      <c r="I101" s="11">
        <v>0</v>
      </c>
      <c r="J101" s="11">
        <v>0</v>
      </c>
      <c r="K101" s="11">
        <v>0</v>
      </c>
      <c r="L101" s="11">
        <v>0</v>
      </c>
      <c r="M101" s="11">
        <v>0</v>
      </c>
      <c r="N101" s="11">
        <v>0</v>
      </c>
      <c r="O101" s="11">
        <v>0</v>
      </c>
      <c r="P101" s="11">
        <v>0</v>
      </c>
      <c r="Q101" s="12">
        <v>0</v>
      </c>
      <c r="R101" s="12">
        <v>0</v>
      </c>
      <c r="S101" s="12">
        <f>$G$101*$G$8+$H$101*$H$8+$I$101*$I$8+$J$101*$J$8+$K$101*$K$8+$L$101*$L$8+$M$101*$M$8+$N$101*$N$8+$O$101*$O$8+$P$101*$P$8</f>
        <v>0</v>
      </c>
      <c r="T101" s="12">
        <f>SUM($Q$101:$R$101)</f>
        <v>0</v>
      </c>
      <c r="U101" s="12">
        <f>$S$101+$T$101</f>
        <v>0</v>
      </c>
    </row>
    <row r="102" spans="1:21" x14ac:dyDescent="0.3">
      <c r="A102" s="13" t="s">
        <v>1287</v>
      </c>
      <c r="B102" s="14" t="s">
        <v>1288</v>
      </c>
      <c r="C102" s="14"/>
      <c r="D102" s="14" t="s">
        <v>1285</v>
      </c>
      <c r="E102" s="14">
        <f xml:space="preserve"> IF($U$102,1,0)</f>
        <v>0</v>
      </c>
      <c r="F102" s="14" t="s">
        <v>1289</v>
      </c>
      <c r="G102" s="14">
        <v>0</v>
      </c>
      <c r="H102" s="14">
        <v>0</v>
      </c>
      <c r="I102" s="14">
        <v>0</v>
      </c>
      <c r="J102" s="14">
        <v>0</v>
      </c>
      <c r="K102" s="14">
        <v>0</v>
      </c>
      <c r="L102" s="14">
        <v>0</v>
      </c>
      <c r="M102" s="14">
        <v>0</v>
      </c>
      <c r="N102" s="14">
        <v>0</v>
      </c>
      <c r="O102" s="14">
        <v>0</v>
      </c>
      <c r="P102" s="14">
        <v>0</v>
      </c>
      <c r="Q102" s="15">
        <v>0</v>
      </c>
      <c r="R102" s="15">
        <v>0</v>
      </c>
      <c r="S102" s="15">
        <f>$G$102*$G$8+$H$102*$H$8+$I$102*$I$8+$J$102*$J$8+$K$102*$K$8+$L$102*$L$8+$M$102*$M$8+$N$102*$N$8+$O$102*$O$8+$P$102*$P$8</f>
        <v>0</v>
      </c>
      <c r="T102" s="15">
        <f>SUM($Q$102:$R$102)</f>
        <v>0</v>
      </c>
      <c r="U102" s="15">
        <f>$S$102+$T$102</f>
        <v>0</v>
      </c>
    </row>
    <row r="103" spans="1:21" x14ac:dyDescent="0.3">
      <c r="A103" s="10" t="s">
        <v>367</v>
      </c>
      <c r="B103" s="11" t="s">
        <v>368</v>
      </c>
      <c r="C103" s="11" t="s">
        <v>34</v>
      </c>
      <c r="D103" s="11" t="s">
        <v>118</v>
      </c>
      <c r="E103" s="11">
        <f xml:space="preserve"> IF($U$103,1,0)</f>
        <v>0</v>
      </c>
      <c r="F103" s="11" t="s">
        <v>369</v>
      </c>
      <c r="G103" s="11">
        <v>0</v>
      </c>
      <c r="H103" s="11">
        <v>0</v>
      </c>
      <c r="I103" s="11">
        <v>0</v>
      </c>
      <c r="J103" s="11">
        <v>0</v>
      </c>
      <c r="K103" s="11">
        <v>0</v>
      </c>
      <c r="L103" s="11">
        <v>0</v>
      </c>
      <c r="M103" s="11">
        <v>0</v>
      </c>
      <c r="N103" s="11">
        <v>0</v>
      </c>
      <c r="O103" s="11">
        <v>0</v>
      </c>
      <c r="P103" s="11">
        <v>0</v>
      </c>
      <c r="Q103" s="12">
        <v>0</v>
      </c>
      <c r="R103" s="12">
        <v>0</v>
      </c>
      <c r="S103" s="12">
        <f>$G$103*$G$8+$H$103*$H$8+$I$103*$I$8+$J$103*$J$8+$K$103*$K$8+$L$103*$L$8+$M$103*$M$8+$N$103*$N$8+$O$103*$O$8+$P$103*$P$8</f>
        <v>0</v>
      </c>
      <c r="T103" s="12">
        <f>SUM($Q$103:$R$103)</f>
        <v>0</v>
      </c>
      <c r="U103" s="12">
        <f>$S$103+$T$103</f>
        <v>0</v>
      </c>
    </row>
    <row r="104" spans="1:21" x14ac:dyDescent="0.3">
      <c r="A104" s="13" t="s">
        <v>370</v>
      </c>
      <c r="B104" s="14" t="s">
        <v>371</v>
      </c>
      <c r="C104" s="14"/>
      <c r="D104" s="14" t="s">
        <v>372</v>
      </c>
      <c r="E104" s="14">
        <f xml:space="preserve"> IF($U$104,1,0)</f>
        <v>0</v>
      </c>
      <c r="F104" s="14" t="s">
        <v>373</v>
      </c>
      <c r="G104" s="14">
        <v>0</v>
      </c>
      <c r="H104" s="14">
        <v>0</v>
      </c>
      <c r="I104" s="14">
        <v>0</v>
      </c>
      <c r="J104" s="14">
        <v>0</v>
      </c>
      <c r="K104" s="14">
        <v>0</v>
      </c>
      <c r="L104" s="14">
        <v>0</v>
      </c>
      <c r="M104" s="14">
        <v>0</v>
      </c>
      <c r="N104" s="14">
        <v>0</v>
      </c>
      <c r="O104" s="14">
        <v>0</v>
      </c>
      <c r="P104" s="14">
        <v>0</v>
      </c>
      <c r="Q104" s="15">
        <v>0</v>
      </c>
      <c r="R104" s="15">
        <v>0</v>
      </c>
      <c r="S104" s="15">
        <f>$G$104*$G$8+$H$104*$H$8+$I$104*$I$8+$J$104*$J$8+$K$104*$K$8+$L$104*$L$8+$M$104*$M$8+$N$104*$N$8+$O$104*$O$8+$P$104*$P$8</f>
        <v>0</v>
      </c>
      <c r="T104" s="15">
        <f>SUM($Q$104:$R$104)</f>
        <v>0</v>
      </c>
      <c r="U104" s="15">
        <f>$S$104+$T$104</f>
        <v>0</v>
      </c>
    </row>
    <row r="105" spans="1:21" x14ac:dyDescent="0.3">
      <c r="A105" s="10" t="s">
        <v>374</v>
      </c>
      <c r="B105" s="11" t="s">
        <v>375</v>
      </c>
      <c r="C105" s="11"/>
      <c r="D105" s="11" t="s">
        <v>376</v>
      </c>
      <c r="E105" s="11">
        <f xml:space="preserve"> IF($U$105,1,0)</f>
        <v>0</v>
      </c>
      <c r="F105" s="11" t="s">
        <v>377</v>
      </c>
      <c r="G105" s="11">
        <v>0</v>
      </c>
      <c r="H105" s="11">
        <v>0</v>
      </c>
      <c r="I105" s="11">
        <v>0</v>
      </c>
      <c r="J105" s="11">
        <v>0</v>
      </c>
      <c r="K105" s="11">
        <v>0</v>
      </c>
      <c r="L105" s="11">
        <v>0</v>
      </c>
      <c r="M105" s="11">
        <v>0</v>
      </c>
      <c r="N105" s="11">
        <v>0</v>
      </c>
      <c r="O105" s="11">
        <v>0</v>
      </c>
      <c r="P105" s="11">
        <v>0</v>
      </c>
      <c r="Q105" s="12">
        <v>0</v>
      </c>
      <c r="R105" s="12">
        <v>0</v>
      </c>
      <c r="S105" s="12">
        <f>$G$105*$G$8+$H$105*$H$8+$I$105*$I$8+$J$105*$J$8+$K$105*$K$8+$L$105*$L$8+$M$105*$M$8+$N$105*$N$8+$O$105*$O$8+$P$105*$P$8</f>
        <v>0</v>
      </c>
      <c r="T105" s="12">
        <f>SUM($Q$105:$R$105)</f>
        <v>0</v>
      </c>
      <c r="U105" s="12">
        <f>$S$105+$T$105</f>
        <v>0</v>
      </c>
    </row>
    <row r="106" spans="1:21" x14ac:dyDescent="0.3">
      <c r="A106" s="13" t="s">
        <v>378</v>
      </c>
      <c r="B106" s="14" t="s">
        <v>379</v>
      </c>
      <c r="C106" s="14"/>
      <c r="D106" s="14" t="s">
        <v>380</v>
      </c>
      <c r="E106" s="14">
        <f xml:space="preserve"> IF($U$106,1,0)</f>
        <v>0</v>
      </c>
      <c r="F106" s="14" t="s">
        <v>381</v>
      </c>
      <c r="G106" s="14">
        <v>0</v>
      </c>
      <c r="H106" s="14">
        <v>0</v>
      </c>
      <c r="I106" s="14">
        <v>0</v>
      </c>
      <c r="J106" s="14">
        <v>0</v>
      </c>
      <c r="K106" s="14">
        <v>0</v>
      </c>
      <c r="L106" s="14">
        <v>0</v>
      </c>
      <c r="M106" s="14">
        <v>0</v>
      </c>
      <c r="N106" s="14">
        <v>0</v>
      </c>
      <c r="O106" s="14">
        <v>0</v>
      </c>
      <c r="P106" s="14">
        <v>0</v>
      </c>
      <c r="Q106" s="15">
        <v>0</v>
      </c>
      <c r="R106" s="15">
        <v>0</v>
      </c>
      <c r="S106" s="15">
        <f>$G$106*$G$8+$H$106*$H$8+$I$106*$I$8+$J$106*$J$8+$K$106*$K$8+$L$106*$L$8+$M$106*$M$8+$N$106*$N$8+$O$106*$O$8+$P$106*$P$8</f>
        <v>0</v>
      </c>
      <c r="T106" s="15">
        <f>SUM($Q$106:$R$106)</f>
        <v>0</v>
      </c>
      <c r="U106" s="15">
        <f>$S$106+$T$106</f>
        <v>0</v>
      </c>
    </row>
    <row r="107" spans="1:21" x14ac:dyDescent="0.3">
      <c r="A107" s="10" t="s">
        <v>382</v>
      </c>
      <c r="B107" s="11" t="s">
        <v>383</v>
      </c>
      <c r="C107" s="11"/>
      <c r="D107" s="11" t="s">
        <v>384</v>
      </c>
      <c r="E107" s="11">
        <f xml:space="preserve"> IF($U$107,1,0)</f>
        <v>0</v>
      </c>
      <c r="F107" s="11" t="s">
        <v>385</v>
      </c>
      <c r="G107" s="11">
        <v>0</v>
      </c>
      <c r="H107" s="11">
        <v>0</v>
      </c>
      <c r="I107" s="11">
        <v>0</v>
      </c>
      <c r="J107" s="11">
        <v>0</v>
      </c>
      <c r="K107" s="11">
        <v>0</v>
      </c>
      <c r="L107" s="11">
        <v>0</v>
      </c>
      <c r="M107" s="11">
        <v>0</v>
      </c>
      <c r="N107" s="11">
        <v>0</v>
      </c>
      <c r="O107" s="11">
        <v>0</v>
      </c>
      <c r="P107" s="11">
        <v>0</v>
      </c>
      <c r="Q107" s="12">
        <v>0</v>
      </c>
      <c r="R107" s="12">
        <v>0</v>
      </c>
      <c r="S107" s="12">
        <f>$G$107*$G$8+$H$107*$H$8+$I$107*$I$8+$J$107*$J$8+$K$107*$K$8+$L$107*$L$8+$M$107*$M$8+$N$107*$N$8+$O$107*$O$8+$P$107*$P$8</f>
        <v>0</v>
      </c>
      <c r="T107" s="12">
        <f>SUM($Q$107:$R$107)</f>
        <v>0</v>
      </c>
      <c r="U107" s="12">
        <f>$S$107+$T$107</f>
        <v>0</v>
      </c>
    </row>
    <row r="108" spans="1:21" x14ac:dyDescent="0.3">
      <c r="A108" s="13" t="s">
        <v>386</v>
      </c>
      <c r="B108" s="14" t="s">
        <v>387</v>
      </c>
      <c r="C108" s="14" t="s">
        <v>278</v>
      </c>
      <c r="D108" s="14" t="s">
        <v>388</v>
      </c>
      <c r="E108" s="14">
        <f xml:space="preserve"> IF($U$108,1,0)</f>
        <v>0</v>
      </c>
      <c r="F108" s="14" t="s">
        <v>389</v>
      </c>
      <c r="G108" s="14">
        <v>0</v>
      </c>
      <c r="H108" s="14">
        <v>0</v>
      </c>
      <c r="I108" s="14">
        <v>0</v>
      </c>
      <c r="J108" s="14">
        <v>0</v>
      </c>
      <c r="K108" s="14">
        <v>0</v>
      </c>
      <c r="L108" s="14">
        <v>0</v>
      </c>
      <c r="M108" s="14">
        <v>0</v>
      </c>
      <c r="N108" s="14">
        <v>0</v>
      </c>
      <c r="O108" s="14">
        <v>0</v>
      </c>
      <c r="P108" s="14">
        <v>0</v>
      </c>
      <c r="Q108" s="15">
        <v>0</v>
      </c>
      <c r="R108" s="15">
        <v>0</v>
      </c>
      <c r="S108" s="15">
        <f>$G$108*$G$8+$H$108*$H$8+$I$108*$I$8+$J$108*$J$8+$K$108*$K$8+$L$108*$L$8+$M$108*$M$8+$N$108*$N$8+$O$108*$O$8+$P$108*$P$8</f>
        <v>0</v>
      </c>
      <c r="T108" s="15">
        <f>SUM($Q$108:$R$108)</f>
        <v>0</v>
      </c>
      <c r="U108" s="15">
        <f>$S$108+$T$108</f>
        <v>0</v>
      </c>
    </row>
    <row r="109" spans="1:21" x14ac:dyDescent="0.3">
      <c r="A109" s="10" t="s">
        <v>390</v>
      </c>
      <c r="B109" s="11" t="s">
        <v>387</v>
      </c>
      <c r="C109" s="11" t="s">
        <v>34</v>
      </c>
      <c r="D109" s="11" t="s">
        <v>391</v>
      </c>
      <c r="E109" s="11">
        <f xml:space="preserve"> IF($U$109,1,0)</f>
        <v>0</v>
      </c>
      <c r="F109" s="11" t="s">
        <v>392</v>
      </c>
      <c r="G109" s="11">
        <v>0</v>
      </c>
      <c r="H109" s="11">
        <v>0</v>
      </c>
      <c r="I109" s="11">
        <v>0</v>
      </c>
      <c r="J109" s="11">
        <v>0</v>
      </c>
      <c r="K109" s="11">
        <v>0</v>
      </c>
      <c r="L109" s="11">
        <v>0</v>
      </c>
      <c r="M109" s="11">
        <v>0</v>
      </c>
      <c r="N109" s="11">
        <v>0</v>
      </c>
      <c r="O109" s="11">
        <v>0</v>
      </c>
      <c r="P109" s="11">
        <v>0</v>
      </c>
      <c r="Q109" s="12">
        <v>0</v>
      </c>
      <c r="R109" s="12">
        <v>0</v>
      </c>
      <c r="S109" s="12">
        <f>$G$109*$G$8+$H$109*$H$8+$I$109*$I$8+$J$109*$J$8+$K$109*$K$8+$L$109*$L$8+$M$109*$M$8+$N$109*$N$8+$O$109*$O$8+$P$109*$P$8</f>
        <v>0</v>
      </c>
      <c r="T109" s="12">
        <f>SUM($Q$109:$R$109)</f>
        <v>0</v>
      </c>
      <c r="U109" s="12">
        <f>$S$109+$T$109</f>
        <v>0</v>
      </c>
    </row>
    <row r="110" spans="1:21" x14ac:dyDescent="0.3">
      <c r="A110" s="13" t="s">
        <v>393</v>
      </c>
      <c r="B110" s="14" t="s">
        <v>394</v>
      </c>
      <c r="C110" s="14"/>
      <c r="D110" s="14" t="s">
        <v>395</v>
      </c>
      <c r="E110" s="14">
        <f xml:space="preserve"> IF($U$110,1,0)</f>
        <v>0</v>
      </c>
      <c r="F110" s="14" t="s">
        <v>396</v>
      </c>
      <c r="G110" s="14">
        <v>0</v>
      </c>
      <c r="H110" s="14">
        <v>0</v>
      </c>
      <c r="I110" s="14">
        <v>0</v>
      </c>
      <c r="J110" s="14">
        <v>0</v>
      </c>
      <c r="K110" s="14">
        <v>0</v>
      </c>
      <c r="L110" s="14">
        <v>0</v>
      </c>
      <c r="M110" s="14">
        <v>0</v>
      </c>
      <c r="N110" s="14">
        <v>0</v>
      </c>
      <c r="O110" s="14">
        <v>0</v>
      </c>
      <c r="P110" s="14">
        <v>0</v>
      </c>
      <c r="Q110" s="15">
        <v>0</v>
      </c>
      <c r="R110" s="15">
        <v>0</v>
      </c>
      <c r="S110" s="15">
        <f>$G$110*$G$8+$H$110*$H$8+$I$110*$I$8+$J$110*$J$8+$K$110*$K$8+$L$110*$L$8+$M$110*$M$8+$N$110*$N$8+$O$110*$O$8+$P$110*$P$8</f>
        <v>0</v>
      </c>
      <c r="T110" s="15">
        <f>SUM($Q$110:$R$110)</f>
        <v>0</v>
      </c>
      <c r="U110" s="15">
        <f>$S$110+$T$110</f>
        <v>0</v>
      </c>
    </row>
    <row r="111" spans="1:21" x14ac:dyDescent="0.3">
      <c r="A111" s="10" t="s">
        <v>397</v>
      </c>
      <c r="B111" s="11" t="s">
        <v>398</v>
      </c>
      <c r="C111" s="11" t="s">
        <v>243</v>
      </c>
      <c r="D111" s="11" t="s">
        <v>399</v>
      </c>
      <c r="E111" s="11">
        <f xml:space="preserve"> IF($U$111,1,0)</f>
        <v>0</v>
      </c>
      <c r="F111" s="11" t="s">
        <v>400</v>
      </c>
      <c r="G111" s="11">
        <v>0</v>
      </c>
      <c r="H111" s="11">
        <v>0</v>
      </c>
      <c r="I111" s="11">
        <v>0</v>
      </c>
      <c r="J111" s="11">
        <v>0</v>
      </c>
      <c r="K111" s="11">
        <v>0</v>
      </c>
      <c r="L111" s="11">
        <v>0</v>
      </c>
      <c r="M111" s="11">
        <v>0</v>
      </c>
      <c r="N111" s="11">
        <v>0</v>
      </c>
      <c r="O111" s="11">
        <v>0</v>
      </c>
      <c r="P111" s="11">
        <v>0</v>
      </c>
      <c r="Q111" s="12">
        <v>0</v>
      </c>
      <c r="R111" s="12">
        <v>0</v>
      </c>
      <c r="S111" s="12">
        <f>$G$111*$G$8+$H$111*$H$8+$I$111*$I$8+$J$111*$J$8+$K$111*$K$8+$L$111*$L$8+$M$111*$M$8+$N$111*$N$8+$O$111*$O$8+$P$111*$P$8</f>
        <v>0</v>
      </c>
      <c r="T111" s="12">
        <f>SUM($Q$111:$R$111)</f>
        <v>0</v>
      </c>
      <c r="U111" s="12">
        <f>$S$111+$T$111</f>
        <v>0</v>
      </c>
    </row>
    <row r="112" spans="1:21" x14ac:dyDescent="0.3">
      <c r="A112" s="13" t="s">
        <v>401</v>
      </c>
      <c r="B112" s="14" t="s">
        <v>402</v>
      </c>
      <c r="C112" s="14"/>
      <c r="D112" s="14" t="s">
        <v>403</v>
      </c>
      <c r="E112" s="14">
        <f xml:space="preserve"> IF($U$112,1,0)</f>
        <v>0</v>
      </c>
      <c r="F112" s="14" t="s">
        <v>404</v>
      </c>
      <c r="G112" s="14">
        <v>0</v>
      </c>
      <c r="H112" s="14">
        <v>0</v>
      </c>
      <c r="I112" s="14">
        <v>0</v>
      </c>
      <c r="J112" s="14">
        <v>0</v>
      </c>
      <c r="K112" s="14">
        <v>0</v>
      </c>
      <c r="L112" s="14">
        <v>0</v>
      </c>
      <c r="M112" s="14">
        <v>0</v>
      </c>
      <c r="N112" s="14">
        <v>0</v>
      </c>
      <c r="O112" s="14">
        <v>0</v>
      </c>
      <c r="P112" s="14">
        <v>0</v>
      </c>
      <c r="Q112" s="15">
        <v>0</v>
      </c>
      <c r="R112" s="15">
        <v>0</v>
      </c>
      <c r="S112" s="15">
        <f>$G$112*$G$8+$H$112*$H$8+$I$112*$I$8+$J$112*$J$8+$K$112*$K$8+$L$112*$L$8+$M$112*$M$8+$N$112*$N$8+$O$112*$O$8+$P$112*$P$8</f>
        <v>0</v>
      </c>
      <c r="T112" s="15">
        <f>SUM($Q$112:$R$112)</f>
        <v>0</v>
      </c>
      <c r="U112" s="15">
        <f>$S$112+$T$112</f>
        <v>0</v>
      </c>
    </row>
    <row r="113" spans="1:21" x14ac:dyDescent="0.3">
      <c r="A113" s="10" t="s">
        <v>405</v>
      </c>
      <c r="B113" s="11" t="s">
        <v>406</v>
      </c>
      <c r="C113" s="11"/>
      <c r="D113" s="11" t="s">
        <v>407</v>
      </c>
      <c r="E113" s="11">
        <f xml:space="preserve"> IF($U$113,1,0)</f>
        <v>0</v>
      </c>
      <c r="F113" s="11" t="s">
        <v>408</v>
      </c>
      <c r="G113" s="11">
        <v>0</v>
      </c>
      <c r="H113" s="11">
        <v>0</v>
      </c>
      <c r="I113" s="11">
        <v>0</v>
      </c>
      <c r="J113" s="11">
        <v>0</v>
      </c>
      <c r="K113" s="11">
        <v>0</v>
      </c>
      <c r="L113" s="11">
        <v>0</v>
      </c>
      <c r="M113" s="11">
        <v>0</v>
      </c>
      <c r="N113" s="11">
        <v>0</v>
      </c>
      <c r="O113" s="11">
        <v>0</v>
      </c>
      <c r="P113" s="11">
        <v>0</v>
      </c>
      <c r="Q113" s="12">
        <v>0</v>
      </c>
      <c r="R113" s="12">
        <v>0</v>
      </c>
      <c r="S113" s="12">
        <f>$G$113*$G$8+$H$113*$H$8+$I$113*$I$8+$J$113*$J$8+$K$113*$K$8+$L$113*$L$8+$M$113*$M$8+$N$113*$N$8+$O$113*$O$8+$P$113*$P$8</f>
        <v>0</v>
      </c>
      <c r="T113" s="12">
        <f>SUM($Q$113:$R$113)</f>
        <v>0</v>
      </c>
      <c r="U113" s="12">
        <f>$S$113+$T$113</f>
        <v>0</v>
      </c>
    </row>
    <row r="114" spans="1:21" x14ac:dyDescent="0.3">
      <c r="A114" s="13" t="s">
        <v>409</v>
      </c>
      <c r="B114" s="14" t="s">
        <v>410</v>
      </c>
      <c r="C114" s="14"/>
      <c r="D114" s="14" t="s">
        <v>411</v>
      </c>
      <c r="E114" s="14">
        <f xml:space="preserve"> IF($U$114,1,0)</f>
        <v>0</v>
      </c>
      <c r="F114" s="14" t="s">
        <v>412</v>
      </c>
      <c r="G114" s="14">
        <v>0</v>
      </c>
      <c r="H114" s="14">
        <v>0</v>
      </c>
      <c r="I114" s="14">
        <v>0</v>
      </c>
      <c r="J114" s="14">
        <v>0</v>
      </c>
      <c r="K114" s="14">
        <v>0</v>
      </c>
      <c r="L114" s="14">
        <v>0</v>
      </c>
      <c r="M114" s="14">
        <v>0</v>
      </c>
      <c r="N114" s="14">
        <v>0</v>
      </c>
      <c r="O114" s="14">
        <v>0</v>
      </c>
      <c r="P114" s="14">
        <v>0</v>
      </c>
      <c r="Q114" s="15">
        <v>0</v>
      </c>
      <c r="R114" s="15">
        <v>0</v>
      </c>
      <c r="S114" s="15">
        <f>$G$114*$G$8+$H$114*$H$8+$I$114*$I$8+$J$114*$J$8+$K$114*$K$8+$L$114*$L$8+$M$114*$M$8+$N$114*$N$8+$O$114*$O$8+$P$114*$P$8</f>
        <v>0</v>
      </c>
      <c r="T114" s="15">
        <f>SUM($Q$114:$R$114)</f>
        <v>0</v>
      </c>
      <c r="U114" s="15">
        <f>$S$114+$T$114</f>
        <v>0</v>
      </c>
    </row>
    <row r="115" spans="1:21" x14ac:dyDescent="0.3">
      <c r="A115" s="10" t="s">
        <v>413</v>
      </c>
      <c r="B115" s="11" t="s">
        <v>414</v>
      </c>
      <c r="C115" s="11"/>
      <c r="D115" s="11" t="s">
        <v>415</v>
      </c>
      <c r="E115" s="11">
        <f xml:space="preserve"> IF($U$115,1,0)</f>
        <v>0</v>
      </c>
      <c r="F115" s="11" t="s">
        <v>416</v>
      </c>
      <c r="G115" s="11">
        <v>0</v>
      </c>
      <c r="H115" s="11">
        <v>0</v>
      </c>
      <c r="I115" s="11">
        <v>0</v>
      </c>
      <c r="J115" s="11">
        <v>0</v>
      </c>
      <c r="K115" s="11">
        <v>0</v>
      </c>
      <c r="L115" s="11">
        <v>0</v>
      </c>
      <c r="M115" s="11">
        <v>0</v>
      </c>
      <c r="N115" s="11">
        <v>0</v>
      </c>
      <c r="O115" s="11">
        <v>0</v>
      </c>
      <c r="P115" s="11">
        <v>0</v>
      </c>
      <c r="Q115" s="12">
        <v>0</v>
      </c>
      <c r="R115" s="12">
        <v>0</v>
      </c>
      <c r="S115" s="12">
        <f>$G$115*$G$8+$H$115*$H$8+$I$115*$I$8+$J$115*$J$8+$K$115*$K$8+$L$115*$L$8+$M$115*$M$8+$N$115*$N$8+$O$115*$O$8+$P$115*$P$8</f>
        <v>0</v>
      </c>
      <c r="T115" s="12">
        <f>SUM($Q$115:$R$115)</f>
        <v>0</v>
      </c>
      <c r="U115" s="12">
        <f>$S$115+$T$115</f>
        <v>0</v>
      </c>
    </row>
    <row r="116" spans="1:21" x14ac:dyDescent="0.3">
      <c r="A116" s="13" t="s">
        <v>417</v>
      </c>
      <c r="B116" s="14" t="s">
        <v>418</v>
      </c>
      <c r="C116" s="14"/>
      <c r="D116" s="14" t="s">
        <v>419</v>
      </c>
      <c r="E116" s="14">
        <f xml:space="preserve"> IF($U$116,1,0)</f>
        <v>0</v>
      </c>
      <c r="F116" s="14" t="s">
        <v>420</v>
      </c>
      <c r="G116" s="14">
        <v>0</v>
      </c>
      <c r="H116" s="14">
        <v>0</v>
      </c>
      <c r="I116" s="14">
        <v>0</v>
      </c>
      <c r="J116" s="14">
        <v>0</v>
      </c>
      <c r="K116" s="14">
        <v>0</v>
      </c>
      <c r="L116" s="14">
        <v>0</v>
      </c>
      <c r="M116" s="14">
        <v>0</v>
      </c>
      <c r="N116" s="14">
        <v>0</v>
      </c>
      <c r="O116" s="14">
        <v>0</v>
      </c>
      <c r="P116" s="14">
        <v>0</v>
      </c>
      <c r="Q116" s="15">
        <v>0</v>
      </c>
      <c r="R116" s="15">
        <v>0</v>
      </c>
      <c r="S116" s="15">
        <f>$G$116*$G$8+$H$116*$H$8+$I$116*$I$8+$J$116*$J$8+$K$116*$K$8+$L$116*$L$8+$M$116*$M$8+$N$116*$N$8+$O$116*$O$8+$P$116*$P$8</f>
        <v>0</v>
      </c>
      <c r="T116" s="15">
        <f>SUM($Q$116:$R$116)</f>
        <v>0</v>
      </c>
      <c r="U116" s="15">
        <f>$S$116+$T$116</f>
        <v>0</v>
      </c>
    </row>
    <row r="117" spans="1:21" x14ac:dyDescent="0.3">
      <c r="A117" s="10" t="s">
        <v>421</v>
      </c>
      <c r="B117" s="11" t="s">
        <v>422</v>
      </c>
      <c r="C117" s="11"/>
      <c r="D117" s="11" t="s">
        <v>423</v>
      </c>
      <c r="E117" s="11">
        <f xml:space="preserve"> IF($U$117,1,0)</f>
        <v>0</v>
      </c>
      <c r="F117" s="11" t="s">
        <v>424</v>
      </c>
      <c r="G117" s="11">
        <v>0</v>
      </c>
      <c r="H117" s="11">
        <v>0</v>
      </c>
      <c r="I117" s="11">
        <v>0</v>
      </c>
      <c r="J117" s="11">
        <v>0</v>
      </c>
      <c r="K117" s="11">
        <v>0</v>
      </c>
      <c r="L117" s="11">
        <v>0</v>
      </c>
      <c r="M117" s="11">
        <v>0</v>
      </c>
      <c r="N117" s="11">
        <v>0</v>
      </c>
      <c r="O117" s="11">
        <v>0</v>
      </c>
      <c r="P117" s="11">
        <v>0</v>
      </c>
      <c r="Q117" s="12">
        <v>0</v>
      </c>
      <c r="R117" s="12">
        <v>0</v>
      </c>
      <c r="S117" s="12">
        <f>$G$117*$G$8+$H$117*$H$8+$I$117*$I$8+$J$117*$J$8+$K$117*$K$8+$L$117*$L$8+$M$117*$M$8+$N$117*$N$8+$O$117*$O$8+$P$117*$P$8</f>
        <v>0</v>
      </c>
      <c r="T117" s="12">
        <f>SUM($Q$117:$R$117)</f>
        <v>0</v>
      </c>
      <c r="U117" s="12">
        <f>$S$117+$T$117</f>
        <v>0</v>
      </c>
    </row>
    <row r="118" spans="1:21" x14ac:dyDescent="0.3">
      <c r="A118" s="13" t="s">
        <v>425</v>
      </c>
      <c r="B118" s="14" t="s">
        <v>426</v>
      </c>
      <c r="C118" s="14" t="s">
        <v>34</v>
      </c>
      <c r="D118" s="14" t="s">
        <v>427</v>
      </c>
      <c r="E118" s="14">
        <f xml:space="preserve"> IF($U$118,1,0)</f>
        <v>0</v>
      </c>
      <c r="F118" s="14" t="s">
        <v>428</v>
      </c>
      <c r="G118" s="14">
        <v>0</v>
      </c>
      <c r="H118" s="14">
        <v>0</v>
      </c>
      <c r="I118" s="14">
        <v>0</v>
      </c>
      <c r="J118" s="14">
        <v>0</v>
      </c>
      <c r="K118" s="14">
        <v>0</v>
      </c>
      <c r="L118" s="14">
        <v>0</v>
      </c>
      <c r="M118" s="14">
        <v>0</v>
      </c>
      <c r="N118" s="14">
        <v>0</v>
      </c>
      <c r="O118" s="14">
        <v>0</v>
      </c>
      <c r="P118" s="14">
        <v>0</v>
      </c>
      <c r="Q118" s="15">
        <v>0</v>
      </c>
      <c r="R118" s="15">
        <v>0</v>
      </c>
      <c r="S118" s="15">
        <f>$G$118*$G$8+$H$118*$H$8+$I$118*$I$8+$J$118*$J$8+$K$118*$K$8+$L$118*$L$8+$M$118*$M$8+$N$118*$N$8+$O$118*$O$8+$P$118*$P$8</f>
        <v>0</v>
      </c>
      <c r="T118" s="15">
        <f>SUM($Q$118:$R$118)</f>
        <v>0</v>
      </c>
      <c r="U118" s="15">
        <f>$S$118+$T$118</f>
        <v>0</v>
      </c>
    </row>
    <row r="119" spans="1:21" x14ac:dyDescent="0.3">
      <c r="A119" s="10" t="s">
        <v>429</v>
      </c>
      <c r="B119" s="11" t="s">
        <v>430</v>
      </c>
      <c r="C119" s="11"/>
      <c r="D119" s="11" t="s">
        <v>431</v>
      </c>
      <c r="E119" s="11">
        <f xml:space="preserve"> IF($U$119,1,0)</f>
        <v>0</v>
      </c>
      <c r="F119" s="11" t="s">
        <v>432</v>
      </c>
      <c r="G119" s="11">
        <v>0</v>
      </c>
      <c r="H119" s="11">
        <v>0</v>
      </c>
      <c r="I119" s="11">
        <v>0</v>
      </c>
      <c r="J119" s="11">
        <v>0</v>
      </c>
      <c r="K119" s="11">
        <v>0</v>
      </c>
      <c r="L119" s="11">
        <v>0</v>
      </c>
      <c r="M119" s="11">
        <v>0</v>
      </c>
      <c r="N119" s="11">
        <v>0</v>
      </c>
      <c r="O119" s="11">
        <v>0</v>
      </c>
      <c r="P119" s="11">
        <v>0</v>
      </c>
      <c r="Q119" s="12">
        <v>0</v>
      </c>
      <c r="R119" s="12">
        <v>0</v>
      </c>
      <c r="S119" s="12">
        <f>$G$119*$G$8+$H$119*$H$8+$I$119*$I$8+$J$119*$J$8+$K$119*$K$8+$L$119*$L$8+$M$119*$M$8+$N$119*$N$8+$O$119*$O$8+$P$119*$P$8</f>
        <v>0</v>
      </c>
      <c r="T119" s="12">
        <f>SUM($Q$119:$R$119)</f>
        <v>0</v>
      </c>
      <c r="U119" s="12">
        <f>$S$119+$T$119</f>
        <v>0</v>
      </c>
    </row>
    <row r="120" spans="1:21" x14ac:dyDescent="0.3">
      <c r="A120" s="13" t="s">
        <v>1252</v>
      </c>
      <c r="B120" s="14" t="s">
        <v>1253</v>
      </c>
      <c r="C120" s="14"/>
      <c r="D120" s="14" t="s">
        <v>1254</v>
      </c>
      <c r="E120" s="14">
        <f xml:space="preserve"> IF($U$120,1,0)</f>
        <v>0</v>
      </c>
      <c r="F120" s="14" t="s">
        <v>1255</v>
      </c>
      <c r="G120" s="14">
        <v>0</v>
      </c>
      <c r="H120" s="14">
        <v>0</v>
      </c>
      <c r="I120" s="14">
        <v>0</v>
      </c>
      <c r="J120" s="14">
        <v>0</v>
      </c>
      <c r="K120" s="14">
        <v>0</v>
      </c>
      <c r="L120" s="14">
        <v>0</v>
      </c>
      <c r="M120" s="14">
        <v>0</v>
      </c>
      <c r="N120" s="14">
        <v>0</v>
      </c>
      <c r="O120" s="14">
        <v>0</v>
      </c>
      <c r="P120" s="14">
        <v>0</v>
      </c>
      <c r="Q120" s="15">
        <v>0</v>
      </c>
      <c r="R120" s="15">
        <v>0</v>
      </c>
      <c r="S120" s="15">
        <f>$G$120*$G$8+$H$120*$H$8+$I$120*$I$8+$J$120*$J$8+$K$120*$K$8+$L$120*$L$8+$M$120*$M$8+$N$120*$N$8+$O$120*$O$8+$P$120*$P$8</f>
        <v>0</v>
      </c>
      <c r="T120" s="15">
        <f>SUM($Q$120:$R$120)</f>
        <v>0</v>
      </c>
      <c r="U120" s="15">
        <f>$S$120+$T$120</f>
        <v>0</v>
      </c>
    </row>
    <row r="121" spans="1:21" x14ac:dyDescent="0.3">
      <c r="A121" s="10" t="s">
        <v>433</v>
      </c>
      <c r="B121" s="11" t="s">
        <v>434</v>
      </c>
      <c r="C121" s="11" t="s">
        <v>202</v>
      </c>
      <c r="D121" s="11" t="s">
        <v>435</v>
      </c>
      <c r="E121" s="11">
        <f xml:space="preserve"> IF($U$121,1,0)</f>
        <v>0</v>
      </c>
      <c r="F121" s="11" t="s">
        <v>436</v>
      </c>
      <c r="G121" s="11">
        <v>0</v>
      </c>
      <c r="H121" s="11">
        <v>0</v>
      </c>
      <c r="I121" s="11">
        <v>0</v>
      </c>
      <c r="J121" s="11">
        <v>0</v>
      </c>
      <c r="K121" s="11">
        <v>0</v>
      </c>
      <c r="L121" s="11">
        <v>0</v>
      </c>
      <c r="M121" s="11">
        <v>0</v>
      </c>
      <c r="N121" s="11">
        <v>0</v>
      </c>
      <c r="O121" s="11">
        <v>0</v>
      </c>
      <c r="P121" s="11">
        <v>0</v>
      </c>
      <c r="Q121" s="12">
        <v>0</v>
      </c>
      <c r="R121" s="12">
        <v>0</v>
      </c>
      <c r="S121" s="12">
        <f>$G$121*$G$8+$H$121*$H$8+$I$121*$I$8+$J$121*$J$8+$K$121*$K$8+$L$121*$L$8+$M$121*$M$8+$N$121*$N$8+$O$121*$O$8+$P$121*$P$8</f>
        <v>0</v>
      </c>
      <c r="T121" s="12">
        <f>SUM($Q$121:$R$121)</f>
        <v>0</v>
      </c>
      <c r="U121" s="12">
        <f>$S$121+$T$121</f>
        <v>0</v>
      </c>
    </row>
    <row r="122" spans="1:21" x14ac:dyDescent="0.3">
      <c r="A122" s="13" t="s">
        <v>437</v>
      </c>
      <c r="B122" s="14" t="s">
        <v>434</v>
      </c>
      <c r="C122" s="14"/>
      <c r="D122" s="14" t="s">
        <v>438</v>
      </c>
      <c r="E122" s="14">
        <f xml:space="preserve"> IF($U$122,1,0)</f>
        <v>0</v>
      </c>
      <c r="F122" s="14" t="s">
        <v>439</v>
      </c>
      <c r="G122" s="14">
        <v>0</v>
      </c>
      <c r="H122" s="14">
        <v>0</v>
      </c>
      <c r="I122" s="14">
        <v>0</v>
      </c>
      <c r="J122" s="14">
        <v>0</v>
      </c>
      <c r="K122" s="14">
        <v>0</v>
      </c>
      <c r="L122" s="14">
        <v>0</v>
      </c>
      <c r="M122" s="14">
        <v>0</v>
      </c>
      <c r="N122" s="14">
        <v>0</v>
      </c>
      <c r="O122" s="14">
        <v>0</v>
      </c>
      <c r="P122" s="14">
        <v>0</v>
      </c>
      <c r="Q122" s="15">
        <v>0</v>
      </c>
      <c r="R122" s="15">
        <v>0</v>
      </c>
      <c r="S122" s="15">
        <f>$G$122*$G$8+$H$122*$H$8+$I$122*$I$8+$J$122*$J$8+$K$122*$K$8+$L$122*$L$8+$M$122*$M$8+$N$122*$N$8+$O$122*$O$8+$P$122*$P$8</f>
        <v>0</v>
      </c>
      <c r="T122" s="15">
        <f>SUM($Q$122:$R$122)</f>
        <v>0</v>
      </c>
      <c r="U122" s="15">
        <f>$S$122+$T$122</f>
        <v>0</v>
      </c>
    </row>
    <row r="123" spans="1:21" x14ac:dyDescent="0.3">
      <c r="A123" s="10" t="s">
        <v>440</v>
      </c>
      <c r="B123" s="11" t="s">
        <v>441</v>
      </c>
      <c r="C123" s="11" t="s">
        <v>202</v>
      </c>
      <c r="D123" s="11" t="s">
        <v>442</v>
      </c>
      <c r="E123" s="11">
        <f xml:space="preserve"> IF($U$123,1,0)</f>
        <v>0</v>
      </c>
      <c r="F123" s="11" t="s">
        <v>443</v>
      </c>
      <c r="G123" s="11">
        <v>0</v>
      </c>
      <c r="H123" s="11">
        <v>0</v>
      </c>
      <c r="I123" s="11">
        <v>0</v>
      </c>
      <c r="J123" s="11">
        <v>0</v>
      </c>
      <c r="K123" s="11">
        <v>0</v>
      </c>
      <c r="L123" s="11">
        <v>0</v>
      </c>
      <c r="M123" s="11">
        <v>0</v>
      </c>
      <c r="N123" s="11">
        <v>0</v>
      </c>
      <c r="O123" s="11">
        <v>0</v>
      </c>
      <c r="P123" s="11">
        <v>0</v>
      </c>
      <c r="Q123" s="12">
        <v>0</v>
      </c>
      <c r="R123" s="12">
        <v>0</v>
      </c>
      <c r="S123" s="12">
        <f>$G$123*$G$8+$H$123*$H$8+$I$123*$I$8+$J$123*$J$8+$K$123*$K$8+$L$123*$L$8+$M$123*$M$8+$N$123*$N$8+$O$123*$O$8+$P$123*$P$8</f>
        <v>0</v>
      </c>
      <c r="T123" s="12">
        <f>SUM($Q$123:$R$123)</f>
        <v>0</v>
      </c>
      <c r="U123" s="12">
        <f>$S$123+$T$123</f>
        <v>0</v>
      </c>
    </row>
    <row r="124" spans="1:21" x14ac:dyDescent="0.3">
      <c r="A124" s="13" t="s">
        <v>444</v>
      </c>
      <c r="B124" s="14" t="s">
        <v>445</v>
      </c>
      <c r="C124" s="14"/>
      <c r="D124" s="14" t="s">
        <v>446</v>
      </c>
      <c r="E124" s="14">
        <f xml:space="preserve"> IF($U$124,1,0)</f>
        <v>0</v>
      </c>
      <c r="F124" s="14" t="s">
        <v>447</v>
      </c>
      <c r="G124" s="14">
        <v>0</v>
      </c>
      <c r="H124" s="14">
        <v>0</v>
      </c>
      <c r="I124" s="14">
        <v>0</v>
      </c>
      <c r="J124" s="14">
        <v>0</v>
      </c>
      <c r="K124" s="14">
        <v>0</v>
      </c>
      <c r="L124" s="14">
        <v>0</v>
      </c>
      <c r="M124" s="14">
        <v>0</v>
      </c>
      <c r="N124" s="14">
        <v>0</v>
      </c>
      <c r="O124" s="14">
        <v>0</v>
      </c>
      <c r="P124" s="14">
        <v>0</v>
      </c>
      <c r="Q124" s="15">
        <v>0</v>
      </c>
      <c r="R124" s="15">
        <v>0</v>
      </c>
      <c r="S124" s="15">
        <f>$G$124*$G$8+$H$124*$H$8+$I$124*$I$8+$J$124*$J$8+$K$124*$K$8+$L$124*$L$8+$M$124*$M$8+$N$124*$N$8+$O$124*$O$8+$P$124*$P$8</f>
        <v>0</v>
      </c>
      <c r="T124" s="15">
        <f>SUM($Q$124:$R$124)</f>
        <v>0</v>
      </c>
      <c r="U124" s="15">
        <f>$S$124+$T$124</f>
        <v>0</v>
      </c>
    </row>
    <row r="125" spans="1:21" x14ac:dyDescent="0.3">
      <c r="A125" s="10" t="s">
        <v>448</v>
      </c>
      <c r="B125" s="11" t="s">
        <v>449</v>
      </c>
      <c r="C125" s="11"/>
      <c r="D125" s="11" t="s">
        <v>450</v>
      </c>
      <c r="E125" s="11">
        <f xml:space="preserve"> IF($U$125,1,0)</f>
        <v>0</v>
      </c>
      <c r="F125" s="11" t="s">
        <v>451</v>
      </c>
      <c r="G125" s="11">
        <v>0</v>
      </c>
      <c r="H125" s="11">
        <v>0</v>
      </c>
      <c r="I125" s="11">
        <v>0</v>
      </c>
      <c r="J125" s="11">
        <v>0</v>
      </c>
      <c r="K125" s="11">
        <v>0</v>
      </c>
      <c r="L125" s="11">
        <v>0</v>
      </c>
      <c r="M125" s="11">
        <v>0</v>
      </c>
      <c r="N125" s="11">
        <v>0</v>
      </c>
      <c r="O125" s="11">
        <v>0</v>
      </c>
      <c r="P125" s="11">
        <v>0</v>
      </c>
      <c r="Q125" s="12">
        <v>0</v>
      </c>
      <c r="R125" s="12">
        <v>0</v>
      </c>
      <c r="S125" s="12">
        <f>$G$125*$G$8+$H$125*$H$8+$I$125*$I$8+$J$125*$J$8+$K$125*$K$8+$L$125*$L$8+$M$125*$M$8+$N$125*$N$8+$O$125*$O$8+$P$125*$P$8</f>
        <v>0</v>
      </c>
      <c r="T125" s="12">
        <f>SUM($Q$125:$R$125)</f>
        <v>0</v>
      </c>
      <c r="U125" s="12">
        <f>$S$125+$T$125</f>
        <v>0</v>
      </c>
    </row>
    <row r="126" spans="1:21" x14ac:dyDescent="0.3">
      <c r="A126" s="13" t="s">
        <v>452</v>
      </c>
      <c r="B126" s="14" t="s">
        <v>453</v>
      </c>
      <c r="C126" s="14"/>
      <c r="D126" s="14" t="s">
        <v>454</v>
      </c>
      <c r="E126" s="14">
        <f xml:space="preserve"> IF($U$126,1,0)</f>
        <v>0</v>
      </c>
      <c r="F126" s="14" t="s">
        <v>455</v>
      </c>
      <c r="G126" s="14">
        <v>0</v>
      </c>
      <c r="H126" s="14">
        <v>0</v>
      </c>
      <c r="I126" s="14">
        <v>0</v>
      </c>
      <c r="J126" s="14">
        <v>0</v>
      </c>
      <c r="K126" s="14">
        <v>0</v>
      </c>
      <c r="L126" s="14">
        <v>0</v>
      </c>
      <c r="M126" s="14">
        <v>0</v>
      </c>
      <c r="N126" s="14">
        <v>0</v>
      </c>
      <c r="O126" s="14">
        <v>0</v>
      </c>
      <c r="P126" s="14">
        <v>0</v>
      </c>
      <c r="Q126" s="15">
        <v>0</v>
      </c>
      <c r="R126" s="15">
        <v>0</v>
      </c>
      <c r="S126" s="15">
        <f>$G$126*$G$8+$H$126*$H$8+$I$126*$I$8+$J$126*$J$8+$K$126*$K$8+$L$126*$L$8+$M$126*$M$8+$N$126*$N$8+$O$126*$O$8+$P$126*$P$8</f>
        <v>0</v>
      </c>
      <c r="T126" s="15">
        <f>SUM($Q$126:$R$126)</f>
        <v>0</v>
      </c>
      <c r="U126" s="15">
        <f>$S$126+$T$126</f>
        <v>0</v>
      </c>
    </row>
    <row r="127" spans="1:21" x14ac:dyDescent="0.3">
      <c r="A127" s="10" t="s">
        <v>456</v>
      </c>
      <c r="B127" s="11" t="s">
        <v>457</v>
      </c>
      <c r="C127" s="11"/>
      <c r="D127" s="11" t="s">
        <v>458</v>
      </c>
      <c r="E127" s="11">
        <f xml:space="preserve"> IF($U$127,1,0)</f>
        <v>0</v>
      </c>
      <c r="F127" s="11" t="s">
        <v>459</v>
      </c>
      <c r="G127" s="11">
        <v>0</v>
      </c>
      <c r="H127" s="11">
        <v>0</v>
      </c>
      <c r="I127" s="11">
        <v>0</v>
      </c>
      <c r="J127" s="11">
        <v>0</v>
      </c>
      <c r="K127" s="11">
        <v>0</v>
      </c>
      <c r="L127" s="11">
        <v>0</v>
      </c>
      <c r="M127" s="11">
        <v>0</v>
      </c>
      <c r="N127" s="11">
        <v>0</v>
      </c>
      <c r="O127" s="11">
        <v>0</v>
      </c>
      <c r="P127" s="11">
        <v>0</v>
      </c>
      <c r="Q127" s="12">
        <v>0</v>
      </c>
      <c r="R127" s="12">
        <v>0</v>
      </c>
      <c r="S127" s="12">
        <f>$G$127*$G$8+$H$127*$H$8+$I$127*$I$8+$J$127*$J$8+$K$127*$K$8+$L$127*$L$8+$M$127*$M$8+$N$127*$N$8+$O$127*$O$8+$P$127*$P$8</f>
        <v>0</v>
      </c>
      <c r="T127" s="12">
        <f>SUM($Q$127:$R$127)</f>
        <v>0</v>
      </c>
      <c r="U127" s="12">
        <f>$S$127+$T$127</f>
        <v>0</v>
      </c>
    </row>
    <row r="128" spans="1:21" x14ac:dyDescent="0.3">
      <c r="A128" s="13" t="s">
        <v>460</v>
      </c>
      <c r="B128" s="14" t="s">
        <v>457</v>
      </c>
      <c r="C128" s="14"/>
      <c r="D128" s="14" t="s">
        <v>461</v>
      </c>
      <c r="E128" s="14">
        <f xml:space="preserve"> IF($U$128,1,0)</f>
        <v>0</v>
      </c>
      <c r="F128" s="14" t="s">
        <v>462</v>
      </c>
      <c r="G128" s="14">
        <v>0</v>
      </c>
      <c r="H128" s="14">
        <v>0</v>
      </c>
      <c r="I128" s="14">
        <v>0</v>
      </c>
      <c r="J128" s="14">
        <v>0</v>
      </c>
      <c r="K128" s="14">
        <v>0</v>
      </c>
      <c r="L128" s="14">
        <v>0</v>
      </c>
      <c r="M128" s="14">
        <v>0</v>
      </c>
      <c r="N128" s="14">
        <v>0</v>
      </c>
      <c r="O128" s="14">
        <v>0</v>
      </c>
      <c r="P128" s="14">
        <v>0</v>
      </c>
      <c r="Q128" s="15">
        <v>0</v>
      </c>
      <c r="R128" s="15">
        <v>0</v>
      </c>
      <c r="S128" s="15">
        <f>$G$128*$G$8+$H$128*$H$8+$I$128*$I$8+$J$128*$J$8+$K$128*$K$8+$L$128*$L$8+$M$128*$M$8+$N$128*$N$8+$O$128*$O$8+$P$128*$P$8</f>
        <v>0</v>
      </c>
      <c r="T128" s="15">
        <f>SUM($Q$128:$R$128)</f>
        <v>0</v>
      </c>
      <c r="U128" s="15">
        <f>$S$128+$T$128</f>
        <v>0</v>
      </c>
    </row>
    <row r="129" spans="1:21" x14ac:dyDescent="0.3">
      <c r="A129" s="10" t="s">
        <v>463</v>
      </c>
      <c r="B129" s="11" t="s">
        <v>457</v>
      </c>
      <c r="C129" s="11" t="s">
        <v>34</v>
      </c>
      <c r="D129" s="11" t="s">
        <v>464</v>
      </c>
      <c r="E129" s="11">
        <f xml:space="preserve"> IF($U$129,1,0)</f>
        <v>0</v>
      </c>
      <c r="F129" s="11" t="s">
        <v>465</v>
      </c>
      <c r="G129" s="11">
        <v>0</v>
      </c>
      <c r="H129" s="11">
        <v>0</v>
      </c>
      <c r="I129" s="11">
        <v>0</v>
      </c>
      <c r="J129" s="11">
        <v>0</v>
      </c>
      <c r="K129" s="11">
        <v>0</v>
      </c>
      <c r="L129" s="11">
        <v>0</v>
      </c>
      <c r="M129" s="11">
        <v>0</v>
      </c>
      <c r="N129" s="11">
        <v>0</v>
      </c>
      <c r="O129" s="11">
        <v>0</v>
      </c>
      <c r="P129" s="11">
        <v>0</v>
      </c>
      <c r="Q129" s="12">
        <v>0</v>
      </c>
      <c r="R129" s="12">
        <v>0</v>
      </c>
      <c r="S129" s="12">
        <f>$G$129*$G$8+$H$129*$H$8+$I$129*$I$8+$J$129*$J$8+$K$129*$K$8+$L$129*$L$8+$M$129*$M$8+$N$129*$N$8+$O$129*$O$8+$P$129*$P$8</f>
        <v>0</v>
      </c>
      <c r="T129" s="12">
        <f>SUM($Q$129:$R$129)</f>
        <v>0</v>
      </c>
      <c r="U129" s="12">
        <f>$S$129+$T$129</f>
        <v>0</v>
      </c>
    </row>
    <row r="130" spans="1:21" x14ac:dyDescent="0.3">
      <c r="A130" s="13" t="s">
        <v>466</v>
      </c>
      <c r="B130" s="14" t="s">
        <v>457</v>
      </c>
      <c r="C130" s="14"/>
      <c r="D130" s="14" t="s">
        <v>467</v>
      </c>
      <c r="E130" s="14">
        <f xml:space="preserve"> IF($U$130,1,0)</f>
        <v>0</v>
      </c>
      <c r="F130" s="14" t="s">
        <v>468</v>
      </c>
      <c r="G130" s="14">
        <v>0</v>
      </c>
      <c r="H130" s="14">
        <v>0</v>
      </c>
      <c r="I130" s="14">
        <v>0</v>
      </c>
      <c r="J130" s="14">
        <v>0</v>
      </c>
      <c r="K130" s="14">
        <v>0</v>
      </c>
      <c r="L130" s="14">
        <v>0</v>
      </c>
      <c r="M130" s="14">
        <v>0</v>
      </c>
      <c r="N130" s="14">
        <v>0</v>
      </c>
      <c r="O130" s="14">
        <v>0</v>
      </c>
      <c r="P130" s="14">
        <v>0</v>
      </c>
      <c r="Q130" s="15">
        <v>0</v>
      </c>
      <c r="R130" s="15">
        <v>0</v>
      </c>
      <c r="S130" s="15">
        <f>$G$130*$G$8+$H$130*$H$8+$I$130*$I$8+$J$130*$J$8+$K$130*$K$8+$L$130*$L$8+$M$130*$M$8+$N$130*$N$8+$O$130*$O$8+$P$130*$P$8</f>
        <v>0</v>
      </c>
      <c r="T130" s="15">
        <f>SUM($Q$130:$R$130)</f>
        <v>0</v>
      </c>
      <c r="U130" s="15">
        <f>$S$130+$T$130</f>
        <v>0</v>
      </c>
    </row>
    <row r="131" spans="1:21" x14ac:dyDescent="0.3">
      <c r="A131" s="10" t="s">
        <v>469</v>
      </c>
      <c r="B131" s="11" t="s">
        <v>470</v>
      </c>
      <c r="C131" s="11"/>
      <c r="D131" s="11" t="s">
        <v>471</v>
      </c>
      <c r="E131" s="11">
        <f xml:space="preserve"> IF($U$131,1,0)</f>
        <v>0</v>
      </c>
      <c r="F131" s="11" t="s">
        <v>472</v>
      </c>
      <c r="G131" s="11">
        <v>0</v>
      </c>
      <c r="H131" s="11">
        <v>0</v>
      </c>
      <c r="I131" s="11">
        <v>0</v>
      </c>
      <c r="J131" s="11">
        <v>0</v>
      </c>
      <c r="K131" s="11">
        <v>0</v>
      </c>
      <c r="L131" s="11">
        <v>0</v>
      </c>
      <c r="M131" s="11">
        <v>0</v>
      </c>
      <c r="N131" s="11">
        <v>0</v>
      </c>
      <c r="O131" s="11">
        <v>0</v>
      </c>
      <c r="P131" s="11">
        <v>0</v>
      </c>
      <c r="Q131" s="12">
        <v>0</v>
      </c>
      <c r="R131" s="12">
        <v>0</v>
      </c>
      <c r="S131" s="12">
        <f>$G$131*$G$8+$H$131*$H$8+$I$131*$I$8+$J$131*$J$8+$K$131*$K$8+$L$131*$L$8+$M$131*$M$8+$N$131*$N$8+$O$131*$O$8+$P$131*$P$8</f>
        <v>0</v>
      </c>
      <c r="T131" s="12">
        <f>SUM($Q$131:$R$131)</f>
        <v>0</v>
      </c>
      <c r="U131" s="12">
        <f>$S$131+$T$131</f>
        <v>0</v>
      </c>
    </row>
    <row r="132" spans="1:21" x14ac:dyDescent="0.3">
      <c r="A132" s="13" t="s">
        <v>473</v>
      </c>
      <c r="B132" s="14" t="s">
        <v>474</v>
      </c>
      <c r="C132" s="14"/>
      <c r="D132" s="14" t="s">
        <v>475</v>
      </c>
      <c r="E132" s="14">
        <f xml:space="preserve"> IF($U$132,1,0)</f>
        <v>0</v>
      </c>
      <c r="F132" s="14" t="s">
        <v>476</v>
      </c>
      <c r="G132" s="14">
        <v>0</v>
      </c>
      <c r="H132" s="14">
        <v>0</v>
      </c>
      <c r="I132" s="14">
        <v>0</v>
      </c>
      <c r="J132" s="14">
        <v>0</v>
      </c>
      <c r="K132" s="14">
        <v>0</v>
      </c>
      <c r="L132" s="14">
        <v>0</v>
      </c>
      <c r="M132" s="14">
        <v>0</v>
      </c>
      <c r="N132" s="14">
        <v>0</v>
      </c>
      <c r="O132" s="14">
        <v>0</v>
      </c>
      <c r="P132" s="14">
        <v>0</v>
      </c>
      <c r="Q132" s="15">
        <v>0</v>
      </c>
      <c r="R132" s="15">
        <v>0</v>
      </c>
      <c r="S132" s="15">
        <f>$G$132*$G$8+$H$132*$H$8+$I$132*$I$8+$J$132*$J$8+$K$132*$K$8+$L$132*$L$8+$M$132*$M$8+$N$132*$N$8+$O$132*$O$8+$P$132*$P$8</f>
        <v>0</v>
      </c>
      <c r="T132" s="15">
        <f>SUM($Q$132:$R$132)</f>
        <v>0</v>
      </c>
      <c r="U132" s="15">
        <f>$S$132+$T$132</f>
        <v>0</v>
      </c>
    </row>
    <row r="133" spans="1:21" x14ac:dyDescent="0.3">
      <c r="A133" s="10" t="s">
        <v>477</v>
      </c>
      <c r="B133" s="11" t="s">
        <v>478</v>
      </c>
      <c r="C133" s="11"/>
      <c r="D133" s="11" t="s">
        <v>479</v>
      </c>
      <c r="E133" s="11">
        <f xml:space="preserve"> IF($U$133,1,0)</f>
        <v>0</v>
      </c>
      <c r="F133" s="11" t="s">
        <v>480</v>
      </c>
      <c r="G133" s="11">
        <v>0</v>
      </c>
      <c r="H133" s="11">
        <v>0</v>
      </c>
      <c r="I133" s="11">
        <v>0</v>
      </c>
      <c r="J133" s="11">
        <v>0</v>
      </c>
      <c r="K133" s="11">
        <v>0</v>
      </c>
      <c r="L133" s="11">
        <v>0</v>
      </c>
      <c r="M133" s="11">
        <v>0</v>
      </c>
      <c r="N133" s="11">
        <v>0</v>
      </c>
      <c r="O133" s="11">
        <v>0</v>
      </c>
      <c r="P133" s="11">
        <v>0</v>
      </c>
      <c r="Q133" s="12">
        <v>0</v>
      </c>
      <c r="R133" s="12">
        <v>0</v>
      </c>
      <c r="S133" s="12">
        <f>$G$133*$G$8+$H$133*$H$8+$I$133*$I$8+$J$133*$J$8+$K$133*$K$8+$L$133*$L$8+$M$133*$M$8+$N$133*$N$8+$O$133*$O$8+$P$133*$P$8</f>
        <v>0</v>
      </c>
      <c r="T133" s="12">
        <f>SUM($Q$133:$R$133)</f>
        <v>0</v>
      </c>
      <c r="U133" s="12">
        <f>$S$133+$T$133</f>
        <v>0</v>
      </c>
    </row>
    <row r="134" spans="1:21" x14ac:dyDescent="0.3">
      <c r="A134" s="13" t="s">
        <v>481</v>
      </c>
      <c r="B134" s="14" t="s">
        <v>482</v>
      </c>
      <c r="C134" s="14"/>
      <c r="D134" s="14" t="s">
        <v>483</v>
      </c>
      <c r="E134" s="14">
        <f xml:space="preserve"> IF($U$134,1,0)</f>
        <v>1</v>
      </c>
      <c r="F134" s="14" t="s">
        <v>484</v>
      </c>
      <c r="G134" s="14">
        <v>1</v>
      </c>
      <c r="H134" s="14">
        <v>1</v>
      </c>
      <c r="I134" s="14">
        <v>1</v>
      </c>
      <c r="J134" s="14">
        <v>1</v>
      </c>
      <c r="K134" s="14">
        <v>1</v>
      </c>
      <c r="L134" s="14">
        <v>1</v>
      </c>
      <c r="M134" s="14">
        <v>0</v>
      </c>
      <c r="N134" s="14">
        <v>1</v>
      </c>
      <c r="O134" s="14">
        <v>1</v>
      </c>
      <c r="P134" s="14">
        <v>0</v>
      </c>
      <c r="Q134" s="15">
        <v>0</v>
      </c>
      <c r="R134" s="15">
        <v>0</v>
      </c>
      <c r="S134" s="15">
        <f>$G$134*$G$8+$H$134*$H$8+$I$134*$I$8+$J$134*$J$8+$K$134*$K$8+$L$134*$L$8+$M$134*$M$8+$N$134*$N$8+$O$134*$O$8+$P$134*$P$8</f>
        <v>19.149999999999999</v>
      </c>
      <c r="T134" s="15">
        <f>SUM($Q$134:$R$134)</f>
        <v>0</v>
      </c>
      <c r="U134" s="15">
        <f>$S$134+$T$134</f>
        <v>19.149999999999999</v>
      </c>
    </row>
    <row r="135" spans="1:21" x14ac:dyDescent="0.3">
      <c r="A135" s="10" t="s">
        <v>485</v>
      </c>
      <c r="B135" s="11" t="s">
        <v>486</v>
      </c>
      <c r="C135" s="11"/>
      <c r="D135" s="11" t="s">
        <v>487</v>
      </c>
      <c r="E135" s="11">
        <f xml:space="preserve"> IF($U$135,1,0)</f>
        <v>0</v>
      </c>
      <c r="F135" s="11" t="s">
        <v>488</v>
      </c>
      <c r="G135" s="11">
        <v>0</v>
      </c>
      <c r="H135" s="11">
        <v>0</v>
      </c>
      <c r="I135" s="11">
        <v>0</v>
      </c>
      <c r="J135" s="11">
        <v>0</v>
      </c>
      <c r="K135" s="11">
        <v>0</v>
      </c>
      <c r="L135" s="11">
        <v>0</v>
      </c>
      <c r="M135" s="11">
        <v>0</v>
      </c>
      <c r="N135" s="11">
        <v>0</v>
      </c>
      <c r="O135" s="11">
        <v>0</v>
      </c>
      <c r="P135" s="11">
        <v>0</v>
      </c>
      <c r="Q135" s="12">
        <v>0</v>
      </c>
      <c r="R135" s="12">
        <v>0</v>
      </c>
      <c r="S135" s="12">
        <f>$G$135*$G$8+$H$135*$H$8+$I$135*$I$8+$J$135*$J$8+$K$135*$K$8+$L$135*$L$8+$M$135*$M$8+$N$135*$N$8+$O$135*$O$8+$P$135*$P$8</f>
        <v>0</v>
      </c>
      <c r="T135" s="12">
        <f>SUM($Q$135:$R$135)</f>
        <v>0</v>
      </c>
      <c r="U135" s="12">
        <f>$S$135+$T$135</f>
        <v>0</v>
      </c>
    </row>
    <row r="136" spans="1:21" x14ac:dyDescent="0.3">
      <c r="A136" s="13" t="s">
        <v>489</v>
      </c>
      <c r="B136" s="14" t="s">
        <v>490</v>
      </c>
      <c r="C136" s="14"/>
      <c r="D136" s="14" t="s">
        <v>491</v>
      </c>
      <c r="E136" s="14">
        <f xml:space="preserve"> IF($U$136,1,0)</f>
        <v>0</v>
      </c>
      <c r="F136" s="14" t="s">
        <v>492</v>
      </c>
      <c r="G136" s="14">
        <v>0</v>
      </c>
      <c r="H136" s="14">
        <v>0</v>
      </c>
      <c r="I136" s="14">
        <v>0</v>
      </c>
      <c r="J136" s="14">
        <v>0</v>
      </c>
      <c r="K136" s="14">
        <v>0</v>
      </c>
      <c r="L136" s="14">
        <v>0</v>
      </c>
      <c r="M136" s="14">
        <v>0</v>
      </c>
      <c r="N136" s="14">
        <v>0</v>
      </c>
      <c r="O136" s="14">
        <v>0</v>
      </c>
      <c r="P136" s="14">
        <v>0</v>
      </c>
      <c r="Q136" s="15">
        <v>0</v>
      </c>
      <c r="R136" s="15">
        <v>0</v>
      </c>
      <c r="S136" s="15">
        <f>$G$136*$G$8+$H$136*$H$8+$I$136*$I$8+$J$136*$J$8+$K$136*$K$8+$L$136*$L$8+$M$136*$M$8+$N$136*$N$8+$O$136*$O$8+$P$136*$P$8</f>
        <v>0</v>
      </c>
      <c r="T136" s="15">
        <f>SUM($Q$136:$R$136)</f>
        <v>0</v>
      </c>
      <c r="U136" s="15">
        <f>$S$136+$T$136</f>
        <v>0</v>
      </c>
    </row>
    <row r="137" spans="1:21" x14ac:dyDescent="0.3">
      <c r="A137" s="10" t="s">
        <v>493</v>
      </c>
      <c r="B137" s="11" t="s">
        <v>494</v>
      </c>
      <c r="C137" s="11" t="s">
        <v>34</v>
      </c>
      <c r="D137" s="11" t="s">
        <v>495</v>
      </c>
      <c r="E137" s="11">
        <f xml:space="preserve"> IF($U$137,1,0)</f>
        <v>0</v>
      </c>
      <c r="F137" s="11" t="s">
        <v>496</v>
      </c>
      <c r="G137" s="11">
        <v>0</v>
      </c>
      <c r="H137" s="11">
        <v>0</v>
      </c>
      <c r="I137" s="11">
        <v>0</v>
      </c>
      <c r="J137" s="11">
        <v>0</v>
      </c>
      <c r="K137" s="11">
        <v>0</v>
      </c>
      <c r="L137" s="11">
        <v>0</v>
      </c>
      <c r="M137" s="11">
        <v>0</v>
      </c>
      <c r="N137" s="11">
        <v>0</v>
      </c>
      <c r="O137" s="11">
        <v>0</v>
      </c>
      <c r="P137" s="11">
        <v>0</v>
      </c>
      <c r="Q137" s="12">
        <v>0</v>
      </c>
      <c r="R137" s="12">
        <v>0</v>
      </c>
      <c r="S137" s="12">
        <f>$G$137*$G$8+$H$137*$H$8+$I$137*$I$8+$J$137*$J$8+$K$137*$K$8+$L$137*$L$8+$M$137*$M$8+$N$137*$N$8+$O$137*$O$8+$P$137*$P$8</f>
        <v>0</v>
      </c>
      <c r="T137" s="12">
        <f>SUM($Q$137:$R$137)</f>
        <v>0</v>
      </c>
      <c r="U137" s="12">
        <f>$S$137+$T$137</f>
        <v>0</v>
      </c>
    </row>
    <row r="138" spans="1:21" x14ac:dyDescent="0.3">
      <c r="A138" s="13" t="s">
        <v>497</v>
      </c>
      <c r="B138" s="14" t="s">
        <v>498</v>
      </c>
      <c r="C138" s="14"/>
      <c r="D138" s="14" t="s">
        <v>499</v>
      </c>
      <c r="E138" s="14">
        <f xml:space="preserve"> IF($U$138,1,0)</f>
        <v>0</v>
      </c>
      <c r="F138" s="14" t="s">
        <v>500</v>
      </c>
      <c r="G138" s="14">
        <v>0</v>
      </c>
      <c r="H138" s="14">
        <v>0</v>
      </c>
      <c r="I138" s="14">
        <v>0</v>
      </c>
      <c r="J138" s="14">
        <v>0</v>
      </c>
      <c r="K138" s="14">
        <v>0</v>
      </c>
      <c r="L138" s="14">
        <v>0</v>
      </c>
      <c r="M138" s="14">
        <v>0</v>
      </c>
      <c r="N138" s="14">
        <v>0</v>
      </c>
      <c r="O138" s="14">
        <v>0</v>
      </c>
      <c r="P138" s="14">
        <v>0</v>
      </c>
      <c r="Q138" s="15">
        <v>0</v>
      </c>
      <c r="R138" s="15">
        <v>0</v>
      </c>
      <c r="S138" s="15">
        <f>$G$138*$G$8+$H$138*$H$8+$I$138*$I$8+$J$138*$J$8+$K$138*$K$8+$L$138*$L$8+$M$138*$M$8+$N$138*$N$8+$O$138*$O$8+$P$138*$P$8</f>
        <v>0</v>
      </c>
      <c r="T138" s="15">
        <f>SUM($Q$138:$R$138)</f>
        <v>0</v>
      </c>
      <c r="U138" s="15">
        <f>$S$138+$T$138</f>
        <v>0</v>
      </c>
    </row>
    <row r="139" spans="1:21" x14ac:dyDescent="0.3">
      <c r="A139" s="10" t="s">
        <v>501</v>
      </c>
      <c r="B139" s="11" t="s">
        <v>502</v>
      </c>
      <c r="C139" s="11" t="s">
        <v>34</v>
      </c>
      <c r="D139" s="11" t="s">
        <v>503</v>
      </c>
      <c r="E139" s="11">
        <f xml:space="preserve"> IF($U$139,1,0)</f>
        <v>0</v>
      </c>
      <c r="F139" s="11" t="s">
        <v>504</v>
      </c>
      <c r="G139" s="11">
        <v>0</v>
      </c>
      <c r="H139" s="11">
        <v>0</v>
      </c>
      <c r="I139" s="11">
        <v>0</v>
      </c>
      <c r="J139" s="11">
        <v>0</v>
      </c>
      <c r="K139" s="11">
        <v>0</v>
      </c>
      <c r="L139" s="11">
        <v>0</v>
      </c>
      <c r="M139" s="11">
        <v>0</v>
      </c>
      <c r="N139" s="11">
        <v>0</v>
      </c>
      <c r="O139" s="11">
        <v>0</v>
      </c>
      <c r="P139" s="11">
        <v>0</v>
      </c>
      <c r="Q139" s="12">
        <v>0</v>
      </c>
      <c r="R139" s="12">
        <v>0</v>
      </c>
      <c r="S139" s="12">
        <f>$G$139*$G$8+$H$139*$H$8+$I$139*$I$8+$J$139*$J$8+$K$139*$K$8+$L$139*$L$8+$M$139*$M$8+$N$139*$N$8+$O$139*$O$8+$P$139*$P$8</f>
        <v>0</v>
      </c>
      <c r="T139" s="12">
        <f>SUM($Q$139:$R$139)</f>
        <v>0</v>
      </c>
      <c r="U139" s="12">
        <f>$S$139+$T$139</f>
        <v>0</v>
      </c>
    </row>
    <row r="140" spans="1:21" x14ac:dyDescent="0.3">
      <c r="A140" s="13" t="s">
        <v>505</v>
      </c>
      <c r="B140" s="14" t="s">
        <v>502</v>
      </c>
      <c r="C140" s="14"/>
      <c r="D140" s="14" t="s">
        <v>232</v>
      </c>
      <c r="E140" s="14">
        <f xml:space="preserve"> IF($U$140,1,0)</f>
        <v>0</v>
      </c>
      <c r="F140" s="14" t="s">
        <v>506</v>
      </c>
      <c r="G140" s="14">
        <v>0</v>
      </c>
      <c r="H140" s="14">
        <v>0</v>
      </c>
      <c r="I140" s="14">
        <v>0</v>
      </c>
      <c r="J140" s="14">
        <v>0</v>
      </c>
      <c r="K140" s="14">
        <v>0</v>
      </c>
      <c r="L140" s="14">
        <v>0</v>
      </c>
      <c r="M140" s="14">
        <v>0</v>
      </c>
      <c r="N140" s="14">
        <v>0</v>
      </c>
      <c r="O140" s="14">
        <v>0</v>
      </c>
      <c r="P140" s="14">
        <v>0</v>
      </c>
      <c r="Q140" s="15">
        <v>0</v>
      </c>
      <c r="R140" s="15">
        <v>0</v>
      </c>
      <c r="S140" s="15">
        <f>$G$140*$G$8+$H$140*$H$8+$I$140*$I$8+$J$140*$J$8+$K$140*$K$8+$L$140*$L$8+$M$140*$M$8+$N$140*$N$8+$O$140*$O$8+$P$140*$P$8</f>
        <v>0</v>
      </c>
      <c r="T140" s="15">
        <f>SUM($Q$140:$R$140)</f>
        <v>0</v>
      </c>
      <c r="U140" s="15">
        <f>$S$140+$T$140</f>
        <v>0</v>
      </c>
    </row>
    <row r="141" spans="1:21" x14ac:dyDescent="0.3">
      <c r="A141" s="10" t="s">
        <v>507</v>
      </c>
      <c r="B141" s="11" t="s">
        <v>508</v>
      </c>
      <c r="C141" s="11" t="s">
        <v>65</v>
      </c>
      <c r="D141" s="11" t="s">
        <v>509</v>
      </c>
      <c r="E141" s="11">
        <f xml:space="preserve"> IF($U$141,1,0)</f>
        <v>0</v>
      </c>
      <c r="F141" s="11" t="s">
        <v>510</v>
      </c>
      <c r="G141" s="11">
        <v>0</v>
      </c>
      <c r="H141" s="11">
        <v>0</v>
      </c>
      <c r="I141" s="11">
        <v>0</v>
      </c>
      <c r="J141" s="11">
        <v>0</v>
      </c>
      <c r="K141" s="11">
        <v>0</v>
      </c>
      <c r="L141" s="11">
        <v>0</v>
      </c>
      <c r="M141" s="11">
        <v>0</v>
      </c>
      <c r="N141" s="11">
        <v>0</v>
      </c>
      <c r="O141" s="11">
        <v>0</v>
      </c>
      <c r="P141" s="11">
        <v>0</v>
      </c>
      <c r="Q141" s="12">
        <v>0</v>
      </c>
      <c r="R141" s="12">
        <v>0</v>
      </c>
      <c r="S141" s="12">
        <f>$G$141*$G$8+$H$141*$H$8+$I$141*$I$8+$J$141*$J$8+$K$141*$K$8+$L$141*$L$8+$M$141*$M$8+$N$141*$N$8+$O$141*$O$8+$P$141*$P$8</f>
        <v>0</v>
      </c>
      <c r="T141" s="12">
        <f>SUM($Q$141:$R$141)</f>
        <v>0</v>
      </c>
      <c r="U141" s="12">
        <f>$S$141+$T$141</f>
        <v>0</v>
      </c>
    </row>
    <row r="142" spans="1:21" x14ac:dyDescent="0.3">
      <c r="A142" s="13" t="s">
        <v>511</v>
      </c>
      <c r="B142" s="14" t="s">
        <v>512</v>
      </c>
      <c r="C142" s="14" t="s">
        <v>513</v>
      </c>
      <c r="D142" s="14" t="s">
        <v>514</v>
      </c>
      <c r="E142" s="14">
        <f xml:space="preserve"> IF($U$142,1,0)</f>
        <v>0</v>
      </c>
      <c r="F142" s="14" t="s">
        <v>515</v>
      </c>
      <c r="G142" s="14">
        <v>0</v>
      </c>
      <c r="H142" s="14">
        <v>0</v>
      </c>
      <c r="I142" s="14">
        <v>0</v>
      </c>
      <c r="J142" s="14">
        <v>0</v>
      </c>
      <c r="K142" s="14">
        <v>0</v>
      </c>
      <c r="L142" s="14">
        <v>0</v>
      </c>
      <c r="M142" s="14">
        <v>0</v>
      </c>
      <c r="N142" s="14">
        <v>0</v>
      </c>
      <c r="O142" s="14">
        <v>0</v>
      </c>
      <c r="P142" s="14">
        <v>0</v>
      </c>
      <c r="Q142" s="15">
        <v>0</v>
      </c>
      <c r="R142" s="15">
        <v>0</v>
      </c>
      <c r="S142" s="15">
        <f>$G$142*$G$8+$H$142*$H$8+$I$142*$I$8+$J$142*$J$8+$K$142*$K$8+$L$142*$L$8+$M$142*$M$8+$N$142*$N$8+$O$142*$O$8+$P$142*$P$8</f>
        <v>0</v>
      </c>
      <c r="T142" s="15">
        <f>SUM($Q$142:$R$142)</f>
        <v>0</v>
      </c>
      <c r="U142" s="15">
        <f>$S$142+$T$142</f>
        <v>0</v>
      </c>
    </row>
    <row r="143" spans="1:21" x14ac:dyDescent="0.3">
      <c r="A143" s="10" t="s">
        <v>516</v>
      </c>
      <c r="B143" s="11" t="s">
        <v>517</v>
      </c>
      <c r="C143" s="11" t="s">
        <v>65</v>
      </c>
      <c r="D143" s="11" t="s">
        <v>518</v>
      </c>
      <c r="E143" s="11">
        <f xml:space="preserve"> IF($U$143,1,0)</f>
        <v>0</v>
      </c>
      <c r="F143" s="11" t="s">
        <v>519</v>
      </c>
      <c r="G143" s="11">
        <v>0</v>
      </c>
      <c r="H143" s="11">
        <v>0</v>
      </c>
      <c r="I143" s="11">
        <v>0</v>
      </c>
      <c r="J143" s="11">
        <v>0</v>
      </c>
      <c r="K143" s="11">
        <v>0</v>
      </c>
      <c r="L143" s="11">
        <v>0</v>
      </c>
      <c r="M143" s="11">
        <v>0</v>
      </c>
      <c r="N143" s="11">
        <v>0</v>
      </c>
      <c r="O143" s="11">
        <v>0</v>
      </c>
      <c r="P143" s="11">
        <v>0</v>
      </c>
      <c r="Q143" s="12">
        <v>0</v>
      </c>
      <c r="R143" s="12">
        <v>0</v>
      </c>
      <c r="S143" s="12">
        <f>$G$143*$G$8+$H$143*$H$8+$I$143*$I$8+$J$143*$J$8+$K$143*$K$8+$L$143*$L$8+$M$143*$M$8+$N$143*$N$8+$O$143*$O$8+$P$143*$P$8</f>
        <v>0</v>
      </c>
      <c r="T143" s="12">
        <f>SUM($Q$143:$R$143)</f>
        <v>0</v>
      </c>
      <c r="U143" s="12">
        <f>$S$143+$T$143</f>
        <v>0</v>
      </c>
    </row>
    <row r="144" spans="1:21" x14ac:dyDescent="0.3">
      <c r="A144" s="13" t="s">
        <v>520</v>
      </c>
      <c r="B144" s="14" t="s">
        <v>517</v>
      </c>
      <c r="C144" s="14"/>
      <c r="D144" s="14" t="s">
        <v>521</v>
      </c>
      <c r="E144" s="14">
        <f xml:space="preserve"> IF($U$144,1,0)</f>
        <v>0</v>
      </c>
      <c r="F144" s="14" t="s">
        <v>522</v>
      </c>
      <c r="G144" s="14">
        <v>0</v>
      </c>
      <c r="H144" s="14">
        <v>0</v>
      </c>
      <c r="I144" s="14">
        <v>0</v>
      </c>
      <c r="J144" s="14">
        <v>0</v>
      </c>
      <c r="K144" s="14">
        <v>0</v>
      </c>
      <c r="L144" s="14">
        <v>0</v>
      </c>
      <c r="M144" s="14">
        <v>0</v>
      </c>
      <c r="N144" s="14">
        <v>0</v>
      </c>
      <c r="O144" s="14">
        <v>0</v>
      </c>
      <c r="P144" s="14">
        <v>0</v>
      </c>
      <c r="Q144" s="15">
        <v>0</v>
      </c>
      <c r="R144" s="15">
        <v>0</v>
      </c>
      <c r="S144" s="15">
        <f>$G$144*$G$8+$H$144*$H$8+$I$144*$I$8+$J$144*$J$8+$K$144*$K$8+$L$144*$L$8+$M$144*$M$8+$N$144*$N$8+$O$144*$O$8+$P$144*$P$8</f>
        <v>0</v>
      </c>
      <c r="T144" s="15">
        <f>SUM($Q$144:$R$144)</f>
        <v>0</v>
      </c>
      <c r="U144" s="15">
        <f>$S$144+$T$144</f>
        <v>0</v>
      </c>
    </row>
    <row r="145" spans="1:21" x14ac:dyDescent="0.3">
      <c r="A145" s="10" t="s">
        <v>523</v>
      </c>
      <c r="B145" s="11" t="s">
        <v>524</v>
      </c>
      <c r="C145" s="11" t="s">
        <v>65</v>
      </c>
      <c r="D145" s="11" t="s">
        <v>327</v>
      </c>
      <c r="E145" s="11">
        <f xml:space="preserve"> IF($U$145,1,0)</f>
        <v>0</v>
      </c>
      <c r="F145" s="11" t="s">
        <v>525</v>
      </c>
      <c r="G145" s="11">
        <v>0</v>
      </c>
      <c r="H145" s="11">
        <v>0</v>
      </c>
      <c r="I145" s="11">
        <v>0</v>
      </c>
      <c r="J145" s="11">
        <v>0</v>
      </c>
      <c r="K145" s="11">
        <v>0</v>
      </c>
      <c r="L145" s="11">
        <v>0</v>
      </c>
      <c r="M145" s="11">
        <v>0</v>
      </c>
      <c r="N145" s="11">
        <v>0</v>
      </c>
      <c r="O145" s="11">
        <v>0</v>
      </c>
      <c r="P145" s="11">
        <v>0</v>
      </c>
      <c r="Q145" s="12">
        <v>0</v>
      </c>
      <c r="R145" s="12">
        <v>0</v>
      </c>
      <c r="S145" s="12">
        <f>$G$145*$G$8+$H$145*$H$8+$I$145*$I$8+$J$145*$J$8+$K$145*$K$8+$L$145*$L$8+$M$145*$M$8+$N$145*$N$8+$O$145*$O$8+$P$145*$P$8</f>
        <v>0</v>
      </c>
      <c r="T145" s="12">
        <f>SUM($Q$145:$R$145)</f>
        <v>0</v>
      </c>
      <c r="U145" s="12">
        <f>$S$145+$T$145</f>
        <v>0</v>
      </c>
    </row>
    <row r="146" spans="1:21" x14ac:dyDescent="0.3">
      <c r="A146" s="13" t="s">
        <v>526</v>
      </c>
      <c r="B146" s="14" t="s">
        <v>527</v>
      </c>
      <c r="C146" s="14"/>
      <c r="D146" s="14" t="s">
        <v>528</v>
      </c>
      <c r="E146" s="14">
        <f xml:space="preserve"> IF($U$146,1,0)</f>
        <v>0</v>
      </c>
      <c r="F146" s="14" t="s">
        <v>529</v>
      </c>
      <c r="G146" s="14">
        <v>0</v>
      </c>
      <c r="H146" s="14">
        <v>0</v>
      </c>
      <c r="I146" s="14">
        <v>0</v>
      </c>
      <c r="J146" s="14">
        <v>0</v>
      </c>
      <c r="K146" s="14">
        <v>0</v>
      </c>
      <c r="L146" s="14">
        <v>0</v>
      </c>
      <c r="M146" s="14">
        <v>0</v>
      </c>
      <c r="N146" s="14">
        <v>0</v>
      </c>
      <c r="O146" s="14">
        <v>0</v>
      </c>
      <c r="P146" s="14">
        <v>0</v>
      </c>
      <c r="Q146" s="15">
        <v>0</v>
      </c>
      <c r="R146" s="15">
        <v>0</v>
      </c>
      <c r="S146" s="15">
        <f>$G$146*$G$8+$H$146*$H$8+$I$146*$I$8+$J$146*$J$8+$K$146*$K$8+$L$146*$L$8+$M$146*$M$8+$N$146*$N$8+$O$146*$O$8+$P$146*$P$8</f>
        <v>0</v>
      </c>
      <c r="T146" s="15">
        <f>SUM($Q$146:$R$146)</f>
        <v>0</v>
      </c>
      <c r="U146" s="15">
        <f>$S$146+$T$146</f>
        <v>0</v>
      </c>
    </row>
    <row r="147" spans="1:21" x14ac:dyDescent="0.3">
      <c r="A147" s="10" t="s">
        <v>530</v>
      </c>
      <c r="B147" s="11" t="s">
        <v>531</v>
      </c>
      <c r="C147" s="11"/>
      <c r="D147" s="11" t="s">
        <v>532</v>
      </c>
      <c r="E147" s="11">
        <f xml:space="preserve"> IF($U$147,1,0)</f>
        <v>0</v>
      </c>
      <c r="F147" s="11" t="s">
        <v>533</v>
      </c>
      <c r="G147" s="11">
        <v>0</v>
      </c>
      <c r="H147" s="11">
        <v>0</v>
      </c>
      <c r="I147" s="11">
        <v>0</v>
      </c>
      <c r="J147" s="11">
        <v>0</v>
      </c>
      <c r="K147" s="11">
        <v>0</v>
      </c>
      <c r="L147" s="11">
        <v>0</v>
      </c>
      <c r="M147" s="11">
        <v>0</v>
      </c>
      <c r="N147" s="11">
        <v>0</v>
      </c>
      <c r="O147" s="11">
        <v>0</v>
      </c>
      <c r="P147" s="11">
        <v>0</v>
      </c>
      <c r="Q147" s="12">
        <v>0</v>
      </c>
      <c r="R147" s="12">
        <v>0</v>
      </c>
      <c r="S147" s="12">
        <f>$G$147*$G$8+$H$147*$H$8+$I$147*$I$8+$J$147*$J$8+$K$147*$K$8+$L$147*$L$8+$M$147*$M$8+$N$147*$N$8+$O$147*$O$8+$P$147*$P$8</f>
        <v>0</v>
      </c>
      <c r="T147" s="12">
        <f>SUM($Q$147:$R$147)</f>
        <v>0</v>
      </c>
      <c r="U147" s="12">
        <f>$S$147+$T$147</f>
        <v>0</v>
      </c>
    </row>
    <row r="148" spans="1:21" x14ac:dyDescent="0.3">
      <c r="A148" s="13" t="s">
        <v>534</v>
      </c>
      <c r="B148" s="14" t="s">
        <v>535</v>
      </c>
      <c r="C148" s="14"/>
      <c r="D148" s="14" t="s">
        <v>536</v>
      </c>
      <c r="E148" s="14">
        <f xml:space="preserve"> IF($U$148,1,0)</f>
        <v>0</v>
      </c>
      <c r="F148" s="14" t="s">
        <v>537</v>
      </c>
      <c r="G148" s="14">
        <v>0</v>
      </c>
      <c r="H148" s="14">
        <v>0</v>
      </c>
      <c r="I148" s="14">
        <v>0</v>
      </c>
      <c r="J148" s="14">
        <v>0</v>
      </c>
      <c r="K148" s="14">
        <v>0</v>
      </c>
      <c r="L148" s="14">
        <v>0</v>
      </c>
      <c r="M148" s="14">
        <v>0</v>
      </c>
      <c r="N148" s="14">
        <v>0</v>
      </c>
      <c r="O148" s="14">
        <v>0</v>
      </c>
      <c r="P148" s="14">
        <v>0</v>
      </c>
      <c r="Q148" s="15">
        <v>0</v>
      </c>
      <c r="R148" s="15">
        <v>0</v>
      </c>
      <c r="S148" s="15">
        <f>$G$148*$G$8+$H$148*$H$8+$I$148*$I$8+$J$148*$J$8+$K$148*$K$8+$L$148*$L$8+$M$148*$M$8+$N$148*$N$8+$O$148*$O$8+$P$148*$P$8</f>
        <v>0</v>
      </c>
      <c r="T148" s="15">
        <f>SUM($Q$148:$R$148)</f>
        <v>0</v>
      </c>
      <c r="U148" s="15">
        <f>$S$148+$T$148</f>
        <v>0</v>
      </c>
    </row>
    <row r="149" spans="1:21" x14ac:dyDescent="0.3">
      <c r="A149" s="10" t="s">
        <v>538</v>
      </c>
      <c r="B149" s="11" t="s">
        <v>535</v>
      </c>
      <c r="C149" s="11"/>
      <c r="D149" s="11" t="s">
        <v>539</v>
      </c>
      <c r="E149" s="11">
        <f xml:space="preserve"> IF($U$149,1,0)</f>
        <v>0</v>
      </c>
      <c r="F149" s="11" t="s">
        <v>540</v>
      </c>
      <c r="G149" s="11">
        <v>0</v>
      </c>
      <c r="H149" s="11">
        <v>0</v>
      </c>
      <c r="I149" s="11">
        <v>0</v>
      </c>
      <c r="J149" s="11">
        <v>0</v>
      </c>
      <c r="K149" s="11">
        <v>0</v>
      </c>
      <c r="L149" s="11">
        <v>0</v>
      </c>
      <c r="M149" s="11">
        <v>0</v>
      </c>
      <c r="N149" s="11">
        <v>0</v>
      </c>
      <c r="O149" s="11">
        <v>0</v>
      </c>
      <c r="P149" s="11">
        <v>0</v>
      </c>
      <c r="Q149" s="12">
        <v>0</v>
      </c>
      <c r="R149" s="12">
        <v>0</v>
      </c>
      <c r="S149" s="12">
        <f>$G$149*$G$8+$H$149*$H$8+$I$149*$I$8+$J$149*$J$8+$K$149*$K$8+$L$149*$L$8+$M$149*$M$8+$N$149*$N$8+$O$149*$O$8+$P$149*$P$8</f>
        <v>0</v>
      </c>
      <c r="T149" s="12">
        <f>SUM($Q$149:$R$149)</f>
        <v>0</v>
      </c>
      <c r="U149" s="12">
        <f>$S$149+$T$149</f>
        <v>0</v>
      </c>
    </row>
    <row r="150" spans="1:21" x14ac:dyDescent="0.3">
      <c r="A150" s="13" t="s">
        <v>541</v>
      </c>
      <c r="B150" s="14" t="s">
        <v>542</v>
      </c>
      <c r="C150" s="14"/>
      <c r="D150" s="14" t="s">
        <v>543</v>
      </c>
      <c r="E150" s="14">
        <f xml:space="preserve"> IF($U$150,1,0)</f>
        <v>0</v>
      </c>
      <c r="F150" s="14" t="s">
        <v>544</v>
      </c>
      <c r="G150" s="14">
        <v>0</v>
      </c>
      <c r="H150" s="14">
        <v>0</v>
      </c>
      <c r="I150" s="14">
        <v>0</v>
      </c>
      <c r="J150" s="14">
        <v>0</v>
      </c>
      <c r="K150" s="14">
        <v>0</v>
      </c>
      <c r="L150" s="14">
        <v>0</v>
      </c>
      <c r="M150" s="14">
        <v>0</v>
      </c>
      <c r="N150" s="14">
        <v>0</v>
      </c>
      <c r="O150" s="14">
        <v>0</v>
      </c>
      <c r="P150" s="14">
        <v>0</v>
      </c>
      <c r="Q150" s="15">
        <v>0</v>
      </c>
      <c r="R150" s="15">
        <v>0</v>
      </c>
      <c r="S150" s="15">
        <f>$G$150*$G$8+$H$150*$H$8+$I$150*$I$8+$J$150*$J$8+$K$150*$K$8+$L$150*$L$8+$M$150*$M$8+$N$150*$N$8+$O$150*$O$8+$P$150*$P$8</f>
        <v>0</v>
      </c>
      <c r="T150" s="15">
        <f>SUM($Q$150:$R$150)</f>
        <v>0</v>
      </c>
      <c r="U150" s="15">
        <f>$S$150+$T$150</f>
        <v>0</v>
      </c>
    </row>
    <row r="151" spans="1:21" x14ac:dyDescent="0.3">
      <c r="A151" s="10" t="s">
        <v>545</v>
      </c>
      <c r="B151" s="11" t="s">
        <v>546</v>
      </c>
      <c r="C151" s="11"/>
      <c r="D151" s="11" t="s">
        <v>547</v>
      </c>
      <c r="E151" s="11">
        <f xml:space="preserve"> IF($U$151,1,0)</f>
        <v>0</v>
      </c>
      <c r="F151" s="11" t="s">
        <v>548</v>
      </c>
      <c r="G151" s="11">
        <v>0</v>
      </c>
      <c r="H151" s="11">
        <v>0</v>
      </c>
      <c r="I151" s="11">
        <v>0</v>
      </c>
      <c r="J151" s="11">
        <v>0</v>
      </c>
      <c r="K151" s="11">
        <v>0</v>
      </c>
      <c r="L151" s="11">
        <v>0</v>
      </c>
      <c r="M151" s="11">
        <v>0</v>
      </c>
      <c r="N151" s="11">
        <v>0</v>
      </c>
      <c r="O151" s="11">
        <v>0</v>
      </c>
      <c r="P151" s="11">
        <v>0</v>
      </c>
      <c r="Q151" s="12">
        <v>0</v>
      </c>
      <c r="R151" s="12">
        <v>0</v>
      </c>
      <c r="S151" s="12">
        <f>$G$151*$G$8+$H$151*$H$8+$I$151*$I$8+$J$151*$J$8+$K$151*$K$8+$L$151*$L$8+$M$151*$M$8+$N$151*$N$8+$O$151*$O$8+$P$151*$P$8</f>
        <v>0</v>
      </c>
      <c r="T151" s="12">
        <f>SUM($Q$151:$R$151)</f>
        <v>0</v>
      </c>
      <c r="U151" s="12">
        <f>$S$151+$T$151</f>
        <v>0</v>
      </c>
    </row>
    <row r="152" spans="1:21" x14ac:dyDescent="0.3">
      <c r="A152" s="13" t="s">
        <v>549</v>
      </c>
      <c r="B152" s="14" t="s">
        <v>550</v>
      </c>
      <c r="C152" s="14" t="s">
        <v>34</v>
      </c>
      <c r="D152" s="14" t="s">
        <v>551</v>
      </c>
      <c r="E152" s="14">
        <f xml:space="preserve"> IF($U$152,1,0)</f>
        <v>0</v>
      </c>
      <c r="F152" s="14" t="s">
        <v>552</v>
      </c>
      <c r="G152" s="14">
        <v>0</v>
      </c>
      <c r="H152" s="14">
        <v>0</v>
      </c>
      <c r="I152" s="14">
        <v>0</v>
      </c>
      <c r="J152" s="14">
        <v>0</v>
      </c>
      <c r="K152" s="14">
        <v>0</v>
      </c>
      <c r="L152" s="14">
        <v>0</v>
      </c>
      <c r="M152" s="14">
        <v>0</v>
      </c>
      <c r="N152" s="14">
        <v>0</v>
      </c>
      <c r="O152" s="14">
        <v>0</v>
      </c>
      <c r="P152" s="14">
        <v>0</v>
      </c>
      <c r="Q152" s="15">
        <v>0</v>
      </c>
      <c r="R152" s="15">
        <v>0</v>
      </c>
      <c r="S152" s="15">
        <f>$G$152*$G$8+$H$152*$H$8+$I$152*$I$8+$J$152*$J$8+$K$152*$K$8+$L$152*$L$8+$M$152*$M$8+$N$152*$N$8+$O$152*$O$8+$P$152*$P$8</f>
        <v>0</v>
      </c>
      <c r="T152" s="15">
        <f>SUM($Q$152:$R$152)</f>
        <v>0</v>
      </c>
      <c r="U152" s="15">
        <f>$S$152+$T$152</f>
        <v>0</v>
      </c>
    </row>
    <row r="153" spans="1:21" x14ac:dyDescent="0.3">
      <c r="A153" s="10" t="s">
        <v>553</v>
      </c>
      <c r="B153" s="11" t="s">
        <v>554</v>
      </c>
      <c r="C153" s="11"/>
      <c r="D153" s="11" t="s">
        <v>555</v>
      </c>
      <c r="E153" s="11">
        <f xml:space="preserve"> IF($U$153,1,0)</f>
        <v>0</v>
      </c>
      <c r="F153" s="11" t="s">
        <v>556</v>
      </c>
      <c r="G153" s="11">
        <v>0</v>
      </c>
      <c r="H153" s="11">
        <v>0</v>
      </c>
      <c r="I153" s="11">
        <v>0</v>
      </c>
      <c r="J153" s="11">
        <v>0</v>
      </c>
      <c r="K153" s="11">
        <v>0</v>
      </c>
      <c r="L153" s="11">
        <v>0</v>
      </c>
      <c r="M153" s="11">
        <v>0</v>
      </c>
      <c r="N153" s="11">
        <v>0</v>
      </c>
      <c r="O153" s="11">
        <v>0</v>
      </c>
      <c r="P153" s="11">
        <v>0</v>
      </c>
      <c r="Q153" s="12">
        <v>0</v>
      </c>
      <c r="R153" s="12">
        <v>0</v>
      </c>
      <c r="S153" s="12">
        <f>$G$153*$G$8+$H$153*$H$8+$I$153*$I$8+$J$153*$J$8+$K$153*$K$8+$L$153*$L$8+$M$153*$M$8+$N$153*$N$8+$O$153*$O$8+$P$153*$P$8</f>
        <v>0</v>
      </c>
      <c r="T153" s="12">
        <f>SUM($Q$153:$R$153)</f>
        <v>0</v>
      </c>
      <c r="U153" s="12">
        <f>$S$153+$T$153</f>
        <v>0</v>
      </c>
    </row>
    <row r="154" spans="1:21" x14ac:dyDescent="0.3">
      <c r="A154" s="13" t="s">
        <v>557</v>
      </c>
      <c r="B154" s="14" t="s">
        <v>554</v>
      </c>
      <c r="C154" s="14"/>
      <c r="D154" s="14" t="s">
        <v>558</v>
      </c>
      <c r="E154" s="14">
        <f xml:space="preserve"> IF($U$154,1,0)</f>
        <v>0</v>
      </c>
      <c r="F154" s="14" t="s">
        <v>559</v>
      </c>
      <c r="G154" s="14">
        <v>0</v>
      </c>
      <c r="H154" s="14">
        <v>0</v>
      </c>
      <c r="I154" s="14">
        <v>0</v>
      </c>
      <c r="J154" s="14">
        <v>0</v>
      </c>
      <c r="K154" s="14">
        <v>0</v>
      </c>
      <c r="L154" s="14">
        <v>0</v>
      </c>
      <c r="M154" s="14">
        <v>0</v>
      </c>
      <c r="N154" s="14">
        <v>0</v>
      </c>
      <c r="O154" s="14">
        <v>0</v>
      </c>
      <c r="P154" s="14">
        <v>0</v>
      </c>
      <c r="Q154" s="15">
        <v>0</v>
      </c>
      <c r="R154" s="15">
        <v>0</v>
      </c>
      <c r="S154" s="15">
        <f>$G$154*$G$8+$H$154*$H$8+$I$154*$I$8+$J$154*$J$8+$K$154*$K$8+$L$154*$L$8+$M$154*$M$8+$N$154*$N$8+$O$154*$O$8+$P$154*$P$8</f>
        <v>0</v>
      </c>
      <c r="T154" s="15">
        <f>SUM($Q$154:$R$154)</f>
        <v>0</v>
      </c>
      <c r="U154" s="15">
        <f>$S$154+$T$154</f>
        <v>0</v>
      </c>
    </row>
    <row r="155" spans="1:21" x14ac:dyDescent="0.3">
      <c r="A155" s="10" t="s">
        <v>560</v>
      </c>
      <c r="B155" s="11" t="s">
        <v>561</v>
      </c>
      <c r="C155" s="11"/>
      <c r="D155" s="11" t="s">
        <v>562</v>
      </c>
      <c r="E155" s="11">
        <f xml:space="preserve"> IF($U$155,1,0)</f>
        <v>0</v>
      </c>
      <c r="F155" s="11" t="s">
        <v>563</v>
      </c>
      <c r="G155" s="11">
        <v>0</v>
      </c>
      <c r="H155" s="11">
        <v>0</v>
      </c>
      <c r="I155" s="11">
        <v>0</v>
      </c>
      <c r="J155" s="11">
        <v>0</v>
      </c>
      <c r="K155" s="11">
        <v>0</v>
      </c>
      <c r="L155" s="11">
        <v>0</v>
      </c>
      <c r="M155" s="11">
        <v>0</v>
      </c>
      <c r="N155" s="11">
        <v>0</v>
      </c>
      <c r="O155" s="11">
        <v>0</v>
      </c>
      <c r="P155" s="11">
        <v>0</v>
      </c>
      <c r="Q155" s="12">
        <v>0</v>
      </c>
      <c r="R155" s="12">
        <v>0</v>
      </c>
      <c r="S155" s="12">
        <f>$G$155*$G$8+$H$155*$H$8+$I$155*$I$8+$J$155*$J$8+$K$155*$K$8+$L$155*$L$8+$M$155*$M$8+$N$155*$N$8+$O$155*$O$8+$P$155*$P$8</f>
        <v>0</v>
      </c>
      <c r="T155" s="12">
        <f>SUM($Q$155:$R$155)</f>
        <v>0</v>
      </c>
      <c r="U155" s="12">
        <f>$S$155+$T$155</f>
        <v>0</v>
      </c>
    </row>
    <row r="156" spans="1:21" x14ac:dyDescent="0.3">
      <c r="A156" s="13" t="s">
        <v>564</v>
      </c>
      <c r="B156" s="14" t="s">
        <v>565</v>
      </c>
      <c r="C156" s="14"/>
      <c r="D156" s="14" t="s">
        <v>566</v>
      </c>
      <c r="E156" s="14">
        <f xml:space="preserve"> IF($U$156,1,0)</f>
        <v>0</v>
      </c>
      <c r="F156" s="14" t="s">
        <v>567</v>
      </c>
      <c r="G156" s="14">
        <v>0</v>
      </c>
      <c r="H156" s="14">
        <v>0</v>
      </c>
      <c r="I156" s="14">
        <v>0</v>
      </c>
      <c r="J156" s="14">
        <v>0</v>
      </c>
      <c r="K156" s="14">
        <v>0</v>
      </c>
      <c r="L156" s="14">
        <v>0</v>
      </c>
      <c r="M156" s="14">
        <v>0</v>
      </c>
      <c r="N156" s="14">
        <v>0</v>
      </c>
      <c r="O156" s="14">
        <v>0</v>
      </c>
      <c r="P156" s="14">
        <v>0</v>
      </c>
      <c r="Q156" s="15">
        <v>0</v>
      </c>
      <c r="R156" s="15">
        <v>0</v>
      </c>
      <c r="S156" s="15">
        <f>$G$156*$G$8+$H$156*$H$8+$I$156*$I$8+$J$156*$J$8+$K$156*$K$8+$L$156*$L$8+$M$156*$M$8+$N$156*$N$8+$O$156*$O$8+$P$156*$P$8</f>
        <v>0</v>
      </c>
      <c r="T156" s="15">
        <f>SUM($Q$156:$R$156)</f>
        <v>0</v>
      </c>
      <c r="U156" s="15">
        <f>$S$156+$T$156</f>
        <v>0</v>
      </c>
    </row>
    <row r="157" spans="1:21" x14ac:dyDescent="0.3">
      <c r="A157" s="10" t="s">
        <v>568</v>
      </c>
      <c r="B157" s="11" t="s">
        <v>569</v>
      </c>
      <c r="C157" s="11"/>
      <c r="D157" s="11" t="s">
        <v>570</v>
      </c>
      <c r="E157" s="11">
        <f xml:space="preserve"> IF($U$157,1,0)</f>
        <v>0</v>
      </c>
      <c r="F157" s="11" t="s">
        <v>571</v>
      </c>
      <c r="G157" s="11">
        <v>0</v>
      </c>
      <c r="H157" s="11">
        <v>0</v>
      </c>
      <c r="I157" s="11">
        <v>0</v>
      </c>
      <c r="J157" s="11">
        <v>0</v>
      </c>
      <c r="K157" s="11">
        <v>0</v>
      </c>
      <c r="L157" s="11">
        <v>0</v>
      </c>
      <c r="M157" s="11">
        <v>0</v>
      </c>
      <c r="N157" s="11">
        <v>0</v>
      </c>
      <c r="O157" s="11">
        <v>0</v>
      </c>
      <c r="P157" s="11">
        <v>0</v>
      </c>
      <c r="Q157" s="12">
        <v>0</v>
      </c>
      <c r="R157" s="12">
        <v>0</v>
      </c>
      <c r="S157" s="12">
        <f>$G$157*$G$8+$H$157*$H$8+$I$157*$I$8+$J$157*$J$8+$K$157*$K$8+$L$157*$L$8+$M$157*$M$8+$N$157*$N$8+$O$157*$O$8+$P$157*$P$8</f>
        <v>0</v>
      </c>
      <c r="T157" s="12">
        <f>SUM($Q$157:$R$157)</f>
        <v>0</v>
      </c>
      <c r="U157" s="12">
        <f>$S$157+$T$157</f>
        <v>0</v>
      </c>
    </row>
    <row r="158" spans="1:21" x14ac:dyDescent="0.3">
      <c r="A158" s="13" t="s">
        <v>572</v>
      </c>
      <c r="B158" s="14" t="s">
        <v>573</v>
      </c>
      <c r="C158" s="14" t="s">
        <v>34</v>
      </c>
      <c r="D158" s="14" t="s">
        <v>574</v>
      </c>
      <c r="E158" s="14">
        <f xml:space="preserve"> IF($U$158,1,0)</f>
        <v>0</v>
      </c>
      <c r="F158" s="14" t="s">
        <v>575</v>
      </c>
      <c r="G158" s="14">
        <v>0</v>
      </c>
      <c r="H158" s="14">
        <v>0</v>
      </c>
      <c r="I158" s="14">
        <v>0</v>
      </c>
      <c r="J158" s="14">
        <v>0</v>
      </c>
      <c r="K158" s="14">
        <v>0</v>
      </c>
      <c r="L158" s="14">
        <v>0</v>
      </c>
      <c r="M158" s="14">
        <v>0</v>
      </c>
      <c r="N158" s="14">
        <v>0</v>
      </c>
      <c r="O158" s="14">
        <v>0</v>
      </c>
      <c r="P158" s="14">
        <v>0</v>
      </c>
      <c r="Q158" s="15">
        <v>0</v>
      </c>
      <c r="R158" s="15">
        <v>0</v>
      </c>
      <c r="S158" s="15">
        <f>$G$158*$G$8+$H$158*$H$8+$I$158*$I$8+$J$158*$J$8+$K$158*$K$8+$L$158*$L$8+$M$158*$M$8+$N$158*$N$8+$O$158*$O$8+$P$158*$P$8</f>
        <v>0</v>
      </c>
      <c r="T158" s="15">
        <f>SUM($Q$158:$R$158)</f>
        <v>0</v>
      </c>
      <c r="U158" s="15">
        <f>$S$158+$T$158</f>
        <v>0</v>
      </c>
    </row>
    <row r="159" spans="1:21" x14ac:dyDescent="0.3">
      <c r="A159" s="10" t="s">
        <v>576</v>
      </c>
      <c r="B159" s="11" t="s">
        <v>577</v>
      </c>
      <c r="C159" s="11"/>
      <c r="D159" s="11" t="s">
        <v>578</v>
      </c>
      <c r="E159" s="11">
        <f xml:space="preserve"> IF($U$159,1,0)</f>
        <v>0</v>
      </c>
      <c r="F159" s="11" t="s">
        <v>579</v>
      </c>
      <c r="G159" s="11">
        <v>0</v>
      </c>
      <c r="H159" s="11">
        <v>0</v>
      </c>
      <c r="I159" s="11">
        <v>0</v>
      </c>
      <c r="J159" s="11">
        <v>0</v>
      </c>
      <c r="K159" s="11">
        <v>0</v>
      </c>
      <c r="L159" s="11">
        <v>0</v>
      </c>
      <c r="M159" s="11">
        <v>0</v>
      </c>
      <c r="N159" s="11">
        <v>0</v>
      </c>
      <c r="O159" s="11">
        <v>0</v>
      </c>
      <c r="P159" s="11">
        <v>0</v>
      </c>
      <c r="Q159" s="12">
        <v>0</v>
      </c>
      <c r="R159" s="12">
        <v>0</v>
      </c>
      <c r="S159" s="12">
        <f>$G$159*$G$8+$H$159*$H$8+$I$159*$I$8+$J$159*$J$8+$K$159*$K$8+$L$159*$L$8+$M$159*$M$8+$N$159*$N$8+$O$159*$O$8+$P$159*$P$8</f>
        <v>0</v>
      </c>
      <c r="T159" s="12">
        <f>SUM($Q$159:$R$159)</f>
        <v>0</v>
      </c>
      <c r="U159" s="12">
        <f>$S$159+$T$159</f>
        <v>0</v>
      </c>
    </row>
    <row r="160" spans="1:21" x14ac:dyDescent="0.3">
      <c r="A160" s="13" t="s">
        <v>580</v>
      </c>
      <c r="B160" s="14" t="s">
        <v>581</v>
      </c>
      <c r="C160" s="14"/>
      <c r="D160" s="14" t="s">
        <v>582</v>
      </c>
      <c r="E160" s="14">
        <f xml:space="preserve"> IF($U$160,1,0)</f>
        <v>0</v>
      </c>
      <c r="F160" s="14" t="s">
        <v>583</v>
      </c>
      <c r="G160" s="14">
        <v>0</v>
      </c>
      <c r="H160" s="14">
        <v>0</v>
      </c>
      <c r="I160" s="14">
        <v>0</v>
      </c>
      <c r="J160" s="14">
        <v>0</v>
      </c>
      <c r="K160" s="14">
        <v>0</v>
      </c>
      <c r="L160" s="14">
        <v>0</v>
      </c>
      <c r="M160" s="14">
        <v>0</v>
      </c>
      <c r="N160" s="14">
        <v>0</v>
      </c>
      <c r="O160" s="14">
        <v>0</v>
      </c>
      <c r="P160" s="14">
        <v>0</v>
      </c>
      <c r="Q160" s="15">
        <v>0</v>
      </c>
      <c r="R160" s="15">
        <v>0</v>
      </c>
      <c r="S160" s="15">
        <f>$G$160*$G$8+$H$160*$H$8+$I$160*$I$8+$J$160*$J$8+$K$160*$K$8+$L$160*$L$8+$M$160*$M$8+$N$160*$N$8+$O$160*$O$8+$P$160*$P$8</f>
        <v>0</v>
      </c>
      <c r="T160" s="15">
        <f>SUM($Q$160:$R$160)</f>
        <v>0</v>
      </c>
      <c r="U160" s="15">
        <f>$S$160+$T$160</f>
        <v>0</v>
      </c>
    </row>
    <row r="161" spans="1:21" x14ac:dyDescent="0.3">
      <c r="A161" s="10" t="s">
        <v>584</v>
      </c>
      <c r="B161" s="11" t="s">
        <v>585</v>
      </c>
      <c r="C161" s="11"/>
      <c r="D161" s="11" t="s">
        <v>586</v>
      </c>
      <c r="E161" s="11">
        <f xml:space="preserve"> IF($U$161,1,0)</f>
        <v>0</v>
      </c>
      <c r="F161" s="11" t="s">
        <v>587</v>
      </c>
      <c r="G161" s="11">
        <v>0</v>
      </c>
      <c r="H161" s="11">
        <v>0</v>
      </c>
      <c r="I161" s="11">
        <v>0</v>
      </c>
      <c r="J161" s="11">
        <v>0</v>
      </c>
      <c r="K161" s="11">
        <v>0</v>
      </c>
      <c r="L161" s="11">
        <v>0</v>
      </c>
      <c r="M161" s="11">
        <v>0</v>
      </c>
      <c r="N161" s="11">
        <v>0</v>
      </c>
      <c r="O161" s="11">
        <v>0</v>
      </c>
      <c r="P161" s="11">
        <v>0</v>
      </c>
      <c r="Q161" s="12">
        <v>0</v>
      </c>
      <c r="R161" s="12">
        <v>0</v>
      </c>
      <c r="S161" s="12">
        <f>$G$161*$G$8+$H$161*$H$8+$I$161*$I$8+$J$161*$J$8+$K$161*$K$8+$L$161*$L$8+$M$161*$M$8+$N$161*$N$8+$O$161*$O$8+$P$161*$P$8</f>
        <v>0</v>
      </c>
      <c r="T161" s="12">
        <f>SUM($Q$161:$R$161)</f>
        <v>0</v>
      </c>
      <c r="U161" s="12">
        <f>$S$161+$T$161</f>
        <v>0</v>
      </c>
    </row>
    <row r="162" spans="1:21" x14ac:dyDescent="0.3">
      <c r="A162" s="13" t="s">
        <v>588</v>
      </c>
      <c r="B162" s="14" t="s">
        <v>589</v>
      </c>
      <c r="C162" s="14"/>
      <c r="D162" s="14" t="s">
        <v>590</v>
      </c>
      <c r="E162" s="14">
        <f xml:space="preserve"> IF($U$162,1,0)</f>
        <v>0</v>
      </c>
      <c r="F162" s="14" t="s">
        <v>591</v>
      </c>
      <c r="G162" s="14">
        <v>0</v>
      </c>
      <c r="H162" s="14">
        <v>0</v>
      </c>
      <c r="I162" s="14">
        <v>0</v>
      </c>
      <c r="J162" s="14">
        <v>0</v>
      </c>
      <c r="K162" s="14">
        <v>0</v>
      </c>
      <c r="L162" s="14">
        <v>0</v>
      </c>
      <c r="M162" s="14">
        <v>0</v>
      </c>
      <c r="N162" s="14">
        <v>0</v>
      </c>
      <c r="O162" s="14">
        <v>0</v>
      </c>
      <c r="P162" s="14">
        <v>0</v>
      </c>
      <c r="Q162" s="15">
        <v>0</v>
      </c>
      <c r="R162" s="15">
        <v>0</v>
      </c>
      <c r="S162" s="15">
        <f>$G$162*$G$8+$H$162*$H$8+$I$162*$I$8+$J$162*$J$8+$K$162*$K$8+$L$162*$L$8+$M$162*$M$8+$N$162*$N$8+$O$162*$O$8+$P$162*$P$8</f>
        <v>0</v>
      </c>
      <c r="T162" s="15">
        <f>SUM($Q$162:$R$162)</f>
        <v>0</v>
      </c>
      <c r="U162" s="15">
        <f>$S$162+$T$162</f>
        <v>0</v>
      </c>
    </row>
    <row r="163" spans="1:21" x14ac:dyDescent="0.3">
      <c r="A163" s="10" t="s">
        <v>592</v>
      </c>
      <c r="B163" s="11" t="s">
        <v>593</v>
      </c>
      <c r="C163" s="11"/>
      <c r="D163" s="11" t="s">
        <v>594</v>
      </c>
      <c r="E163" s="11">
        <f xml:space="preserve"> IF($U$163,1,0)</f>
        <v>0</v>
      </c>
      <c r="F163" s="11" t="s">
        <v>595</v>
      </c>
      <c r="G163" s="11">
        <v>0</v>
      </c>
      <c r="H163" s="11">
        <v>0</v>
      </c>
      <c r="I163" s="11">
        <v>0</v>
      </c>
      <c r="J163" s="11">
        <v>0</v>
      </c>
      <c r="K163" s="11">
        <v>0</v>
      </c>
      <c r="L163" s="11">
        <v>0</v>
      </c>
      <c r="M163" s="11">
        <v>0</v>
      </c>
      <c r="N163" s="11">
        <v>0</v>
      </c>
      <c r="O163" s="11">
        <v>0</v>
      </c>
      <c r="P163" s="11">
        <v>0</v>
      </c>
      <c r="Q163" s="12">
        <v>0</v>
      </c>
      <c r="R163" s="12">
        <v>0</v>
      </c>
      <c r="S163" s="12">
        <f>$G$163*$G$8+$H$163*$H$8+$I$163*$I$8+$J$163*$J$8+$K$163*$K$8+$L$163*$L$8+$M$163*$M$8+$N$163*$N$8+$O$163*$O$8+$P$163*$P$8</f>
        <v>0</v>
      </c>
      <c r="T163" s="12">
        <f>SUM($Q$163:$R$163)</f>
        <v>0</v>
      </c>
      <c r="U163" s="12">
        <f>$S$163+$T$163</f>
        <v>0</v>
      </c>
    </row>
    <row r="164" spans="1:21" x14ac:dyDescent="0.3">
      <c r="A164" s="13" t="s">
        <v>596</v>
      </c>
      <c r="B164" s="14" t="s">
        <v>597</v>
      </c>
      <c r="C164" s="14"/>
      <c r="D164" s="14" t="s">
        <v>598</v>
      </c>
      <c r="E164" s="14">
        <f xml:space="preserve"> IF($U$164,1,0)</f>
        <v>0</v>
      </c>
      <c r="F164" s="14" t="s">
        <v>599</v>
      </c>
      <c r="G164" s="14">
        <v>0</v>
      </c>
      <c r="H164" s="14">
        <v>0</v>
      </c>
      <c r="I164" s="14">
        <v>0</v>
      </c>
      <c r="J164" s="14">
        <v>0</v>
      </c>
      <c r="K164" s="14">
        <v>0</v>
      </c>
      <c r="L164" s="14">
        <v>0</v>
      </c>
      <c r="M164" s="14">
        <v>0</v>
      </c>
      <c r="N164" s="14">
        <v>0</v>
      </c>
      <c r="O164" s="14">
        <v>0</v>
      </c>
      <c r="P164" s="14">
        <v>0</v>
      </c>
      <c r="Q164" s="15">
        <v>0</v>
      </c>
      <c r="R164" s="15">
        <v>0</v>
      </c>
      <c r="S164" s="15">
        <f>$G$164*$G$8+$H$164*$H$8+$I$164*$I$8+$J$164*$J$8+$K$164*$K$8+$L$164*$L$8+$M$164*$M$8+$N$164*$N$8+$O$164*$O$8+$P$164*$P$8</f>
        <v>0</v>
      </c>
      <c r="T164" s="15">
        <f>SUM($Q$164:$R$164)</f>
        <v>0</v>
      </c>
      <c r="U164" s="15">
        <f>$S$164+$T$164</f>
        <v>0</v>
      </c>
    </row>
    <row r="165" spans="1:21" x14ac:dyDescent="0.3">
      <c r="A165" s="10" t="s">
        <v>600</v>
      </c>
      <c r="B165" s="11" t="s">
        <v>601</v>
      </c>
      <c r="C165" s="11"/>
      <c r="D165" s="11" t="s">
        <v>70</v>
      </c>
      <c r="E165" s="11">
        <f xml:space="preserve"> IF($U$165,1,0)</f>
        <v>0</v>
      </c>
      <c r="F165" s="11" t="s">
        <v>602</v>
      </c>
      <c r="G165" s="11">
        <v>0</v>
      </c>
      <c r="H165" s="11">
        <v>0</v>
      </c>
      <c r="I165" s="11">
        <v>0</v>
      </c>
      <c r="J165" s="11">
        <v>0</v>
      </c>
      <c r="K165" s="11">
        <v>0</v>
      </c>
      <c r="L165" s="11">
        <v>0</v>
      </c>
      <c r="M165" s="11">
        <v>0</v>
      </c>
      <c r="N165" s="11">
        <v>0</v>
      </c>
      <c r="O165" s="11">
        <v>0</v>
      </c>
      <c r="P165" s="11">
        <v>0</v>
      </c>
      <c r="Q165" s="12">
        <v>0</v>
      </c>
      <c r="R165" s="12">
        <v>0</v>
      </c>
      <c r="S165" s="12">
        <f>$G$165*$G$8+$H$165*$H$8+$I$165*$I$8+$J$165*$J$8+$K$165*$K$8+$L$165*$L$8+$M$165*$M$8+$N$165*$N$8+$O$165*$O$8+$P$165*$P$8</f>
        <v>0</v>
      </c>
      <c r="T165" s="12">
        <f>SUM($Q$165:$R$165)</f>
        <v>0</v>
      </c>
      <c r="U165" s="12">
        <f>$S$165+$T$165</f>
        <v>0</v>
      </c>
    </row>
    <row r="166" spans="1:21" x14ac:dyDescent="0.3">
      <c r="A166" s="13" t="s">
        <v>603</v>
      </c>
      <c r="B166" s="14" t="s">
        <v>604</v>
      </c>
      <c r="C166" s="14"/>
      <c r="D166" s="14" t="s">
        <v>605</v>
      </c>
      <c r="E166" s="14">
        <f xml:space="preserve"> IF($U$166,1,0)</f>
        <v>0</v>
      </c>
      <c r="F166" s="14" t="s">
        <v>606</v>
      </c>
      <c r="G166" s="14">
        <v>0</v>
      </c>
      <c r="H166" s="14">
        <v>0</v>
      </c>
      <c r="I166" s="14">
        <v>0</v>
      </c>
      <c r="J166" s="14">
        <v>0</v>
      </c>
      <c r="K166" s="14">
        <v>0</v>
      </c>
      <c r="L166" s="14">
        <v>0</v>
      </c>
      <c r="M166" s="14">
        <v>0</v>
      </c>
      <c r="N166" s="14">
        <v>0</v>
      </c>
      <c r="O166" s="14">
        <v>0</v>
      </c>
      <c r="P166" s="14">
        <v>0</v>
      </c>
      <c r="Q166" s="15">
        <v>0</v>
      </c>
      <c r="R166" s="15">
        <v>0</v>
      </c>
      <c r="S166" s="15">
        <f>$G$166*$G$8+$H$166*$H$8+$I$166*$I$8+$J$166*$J$8+$K$166*$K$8+$L$166*$L$8+$M$166*$M$8+$N$166*$N$8+$O$166*$O$8+$P$166*$P$8</f>
        <v>0</v>
      </c>
      <c r="T166" s="15">
        <f>SUM($Q$166:$R$166)</f>
        <v>0</v>
      </c>
      <c r="U166" s="15">
        <f>$S$166+$T$166</f>
        <v>0</v>
      </c>
    </row>
    <row r="167" spans="1:21" x14ac:dyDescent="0.3">
      <c r="A167" s="10" t="s">
        <v>607</v>
      </c>
      <c r="B167" s="11" t="s">
        <v>608</v>
      </c>
      <c r="C167" s="11"/>
      <c r="D167" s="11" t="s">
        <v>609</v>
      </c>
      <c r="E167" s="11">
        <f xml:space="preserve"> IF($U$167,1,0)</f>
        <v>0</v>
      </c>
      <c r="F167" s="11" t="s">
        <v>610</v>
      </c>
      <c r="G167" s="11">
        <v>0</v>
      </c>
      <c r="H167" s="11">
        <v>0</v>
      </c>
      <c r="I167" s="11">
        <v>0</v>
      </c>
      <c r="J167" s="11">
        <v>0</v>
      </c>
      <c r="K167" s="11">
        <v>0</v>
      </c>
      <c r="L167" s="11">
        <v>0</v>
      </c>
      <c r="M167" s="11">
        <v>0</v>
      </c>
      <c r="N167" s="11">
        <v>0</v>
      </c>
      <c r="O167" s="11">
        <v>0</v>
      </c>
      <c r="P167" s="11">
        <v>0</v>
      </c>
      <c r="Q167" s="12">
        <v>0</v>
      </c>
      <c r="R167" s="12">
        <v>0</v>
      </c>
      <c r="S167" s="12">
        <f>$G$167*$G$8+$H$167*$H$8+$I$167*$I$8+$J$167*$J$8+$K$167*$K$8+$L$167*$L$8+$M$167*$M$8+$N$167*$N$8+$O$167*$O$8+$P$167*$P$8</f>
        <v>0</v>
      </c>
      <c r="T167" s="12">
        <f>SUM($Q$167:$R$167)</f>
        <v>0</v>
      </c>
      <c r="U167" s="12">
        <f>$S$167+$T$167</f>
        <v>0</v>
      </c>
    </row>
    <row r="168" spans="1:21" x14ac:dyDescent="0.3">
      <c r="A168" s="13" t="s">
        <v>611</v>
      </c>
      <c r="B168" s="14" t="s">
        <v>612</v>
      </c>
      <c r="C168" s="14"/>
      <c r="D168" s="14" t="s">
        <v>613</v>
      </c>
      <c r="E168" s="14">
        <f xml:space="preserve"> IF($U$168,1,0)</f>
        <v>0</v>
      </c>
      <c r="F168" s="14" t="s">
        <v>614</v>
      </c>
      <c r="G168" s="14">
        <v>0</v>
      </c>
      <c r="H168" s="14">
        <v>0</v>
      </c>
      <c r="I168" s="14">
        <v>0</v>
      </c>
      <c r="J168" s="14">
        <v>0</v>
      </c>
      <c r="K168" s="14">
        <v>0</v>
      </c>
      <c r="L168" s="14">
        <v>0</v>
      </c>
      <c r="M168" s="14">
        <v>0</v>
      </c>
      <c r="N168" s="14">
        <v>0</v>
      </c>
      <c r="O168" s="14">
        <v>0</v>
      </c>
      <c r="P168" s="14">
        <v>0</v>
      </c>
      <c r="Q168" s="15">
        <v>0</v>
      </c>
      <c r="R168" s="15">
        <v>0</v>
      </c>
      <c r="S168" s="15">
        <f>$G$168*$G$8+$H$168*$H$8+$I$168*$I$8+$J$168*$J$8+$K$168*$K$8+$L$168*$L$8+$M$168*$M$8+$N$168*$N$8+$O$168*$O$8+$P$168*$P$8</f>
        <v>0</v>
      </c>
      <c r="T168" s="15">
        <f>SUM($Q$168:$R$168)</f>
        <v>0</v>
      </c>
      <c r="U168" s="15">
        <f>$S$168+$T$168</f>
        <v>0</v>
      </c>
    </row>
    <row r="169" spans="1:21" x14ac:dyDescent="0.3">
      <c r="A169" s="10" t="s">
        <v>615</v>
      </c>
      <c r="B169" s="11" t="s">
        <v>616</v>
      </c>
      <c r="C169" s="11"/>
      <c r="D169" s="11" t="s">
        <v>617</v>
      </c>
      <c r="E169" s="11">
        <f xml:space="preserve"> IF($U$169,1,0)</f>
        <v>0</v>
      </c>
      <c r="F169" s="11" t="s">
        <v>618</v>
      </c>
      <c r="G169" s="11">
        <v>0</v>
      </c>
      <c r="H169" s="11">
        <v>0</v>
      </c>
      <c r="I169" s="11">
        <v>0</v>
      </c>
      <c r="J169" s="11">
        <v>0</v>
      </c>
      <c r="K169" s="11">
        <v>0</v>
      </c>
      <c r="L169" s="11">
        <v>0</v>
      </c>
      <c r="M169" s="11">
        <v>0</v>
      </c>
      <c r="N169" s="11">
        <v>0</v>
      </c>
      <c r="O169" s="11">
        <v>0</v>
      </c>
      <c r="P169" s="11">
        <v>0</v>
      </c>
      <c r="Q169" s="12">
        <v>0</v>
      </c>
      <c r="R169" s="12">
        <v>0</v>
      </c>
      <c r="S169" s="12">
        <f>$G$169*$G$8+$H$169*$H$8+$I$169*$I$8+$J$169*$J$8+$K$169*$K$8+$L$169*$L$8+$M$169*$M$8+$N$169*$N$8+$O$169*$O$8+$P$169*$P$8</f>
        <v>0</v>
      </c>
      <c r="T169" s="12">
        <f>SUM($Q$169:$R$169)</f>
        <v>0</v>
      </c>
      <c r="U169" s="12">
        <f>$S$169+$T$169</f>
        <v>0</v>
      </c>
    </row>
    <row r="170" spans="1:21" x14ac:dyDescent="0.3">
      <c r="A170" s="13" t="s">
        <v>619</v>
      </c>
      <c r="B170" s="14" t="s">
        <v>620</v>
      </c>
      <c r="C170" s="14" t="s">
        <v>34</v>
      </c>
      <c r="D170" s="14" t="s">
        <v>621</v>
      </c>
      <c r="E170" s="14">
        <f xml:space="preserve"> IF($U$170,1,0)</f>
        <v>0</v>
      </c>
      <c r="F170" s="14" t="s">
        <v>622</v>
      </c>
      <c r="G170" s="14">
        <v>0</v>
      </c>
      <c r="H170" s="14">
        <v>0</v>
      </c>
      <c r="I170" s="14">
        <v>0</v>
      </c>
      <c r="J170" s="14">
        <v>0</v>
      </c>
      <c r="K170" s="14">
        <v>0</v>
      </c>
      <c r="L170" s="14">
        <v>0</v>
      </c>
      <c r="M170" s="14">
        <v>0</v>
      </c>
      <c r="N170" s="14">
        <v>0</v>
      </c>
      <c r="O170" s="14">
        <v>0</v>
      </c>
      <c r="P170" s="14">
        <v>0</v>
      </c>
      <c r="Q170" s="15">
        <v>0</v>
      </c>
      <c r="R170" s="15">
        <v>0</v>
      </c>
      <c r="S170" s="15">
        <f>$G$170*$G$8+$H$170*$H$8+$I$170*$I$8+$J$170*$J$8+$K$170*$K$8+$L$170*$L$8+$M$170*$M$8+$N$170*$N$8+$O$170*$O$8+$P$170*$P$8</f>
        <v>0</v>
      </c>
      <c r="T170" s="15">
        <f>SUM($Q$170:$R$170)</f>
        <v>0</v>
      </c>
      <c r="U170" s="15">
        <f>$S$170+$T$170</f>
        <v>0</v>
      </c>
    </row>
    <row r="171" spans="1:21" x14ac:dyDescent="0.3">
      <c r="A171" s="10" t="s">
        <v>623</v>
      </c>
      <c r="B171" s="11" t="s">
        <v>624</v>
      </c>
      <c r="C171" s="11"/>
      <c r="D171" s="11" t="s">
        <v>625</v>
      </c>
      <c r="E171" s="11">
        <f xml:space="preserve"> IF($U$171,1,0)</f>
        <v>0</v>
      </c>
      <c r="F171" s="11" t="s">
        <v>626</v>
      </c>
      <c r="G171" s="11">
        <v>0</v>
      </c>
      <c r="H171" s="11">
        <v>0</v>
      </c>
      <c r="I171" s="11">
        <v>0</v>
      </c>
      <c r="J171" s="11">
        <v>0</v>
      </c>
      <c r="K171" s="11">
        <v>0</v>
      </c>
      <c r="L171" s="11">
        <v>0</v>
      </c>
      <c r="M171" s="11">
        <v>0</v>
      </c>
      <c r="N171" s="11">
        <v>0</v>
      </c>
      <c r="O171" s="11">
        <v>0</v>
      </c>
      <c r="P171" s="11">
        <v>0</v>
      </c>
      <c r="Q171" s="12">
        <v>0</v>
      </c>
      <c r="R171" s="12">
        <v>0</v>
      </c>
      <c r="S171" s="12">
        <f>$G$171*$G$8+$H$171*$H$8+$I$171*$I$8+$J$171*$J$8+$K$171*$K$8+$L$171*$L$8+$M$171*$M$8+$N$171*$N$8+$O$171*$O$8+$P$171*$P$8</f>
        <v>0</v>
      </c>
      <c r="T171" s="12">
        <f>SUM($Q$171:$R$171)</f>
        <v>0</v>
      </c>
      <c r="U171" s="12">
        <f>$S$171+$T$171</f>
        <v>0</v>
      </c>
    </row>
    <row r="172" spans="1:21" x14ac:dyDescent="0.3">
      <c r="A172" s="13" t="s">
        <v>627</v>
      </c>
      <c r="B172" s="14" t="s">
        <v>624</v>
      </c>
      <c r="C172" s="14"/>
      <c r="D172" s="14" t="s">
        <v>628</v>
      </c>
      <c r="E172" s="14">
        <f xml:space="preserve"> IF($U$172,1,0)</f>
        <v>0</v>
      </c>
      <c r="F172" s="14" t="s">
        <v>629</v>
      </c>
      <c r="G172" s="14">
        <v>0</v>
      </c>
      <c r="H172" s="14">
        <v>0</v>
      </c>
      <c r="I172" s="14">
        <v>0</v>
      </c>
      <c r="J172" s="14">
        <v>0</v>
      </c>
      <c r="K172" s="14">
        <v>0</v>
      </c>
      <c r="L172" s="14">
        <v>0</v>
      </c>
      <c r="M172" s="14">
        <v>0</v>
      </c>
      <c r="N172" s="14">
        <v>0</v>
      </c>
      <c r="O172" s="14">
        <v>0</v>
      </c>
      <c r="P172" s="14">
        <v>0</v>
      </c>
      <c r="Q172" s="15">
        <v>0</v>
      </c>
      <c r="R172" s="15">
        <v>0</v>
      </c>
      <c r="S172" s="15">
        <f>$G$172*$G$8+$H$172*$H$8+$I$172*$I$8+$J$172*$J$8+$K$172*$K$8+$L$172*$L$8+$M$172*$M$8+$N$172*$N$8+$O$172*$O$8+$P$172*$P$8</f>
        <v>0</v>
      </c>
      <c r="T172" s="15">
        <f>SUM($Q$172:$R$172)</f>
        <v>0</v>
      </c>
      <c r="U172" s="15">
        <f>$S$172+$T$172</f>
        <v>0</v>
      </c>
    </row>
    <row r="173" spans="1:21" x14ac:dyDescent="0.3">
      <c r="A173" s="10" t="s">
        <v>630</v>
      </c>
      <c r="B173" s="11" t="s">
        <v>631</v>
      </c>
      <c r="C173" s="11"/>
      <c r="D173" s="11" t="s">
        <v>632</v>
      </c>
      <c r="E173" s="11">
        <f xml:space="preserve"> IF($U$173,1,0)</f>
        <v>0</v>
      </c>
      <c r="F173" s="11" t="s">
        <v>633</v>
      </c>
      <c r="G173" s="11">
        <v>0</v>
      </c>
      <c r="H173" s="11">
        <v>0</v>
      </c>
      <c r="I173" s="11">
        <v>0</v>
      </c>
      <c r="J173" s="11">
        <v>0</v>
      </c>
      <c r="K173" s="11">
        <v>0</v>
      </c>
      <c r="L173" s="11">
        <v>0</v>
      </c>
      <c r="M173" s="11">
        <v>0</v>
      </c>
      <c r="N173" s="11">
        <v>0</v>
      </c>
      <c r="O173" s="11">
        <v>0</v>
      </c>
      <c r="P173" s="11">
        <v>0</v>
      </c>
      <c r="Q173" s="12">
        <v>0</v>
      </c>
      <c r="R173" s="12">
        <v>0</v>
      </c>
      <c r="S173" s="12">
        <f>$G$173*$G$8+$H$173*$H$8+$I$173*$I$8+$J$173*$J$8+$K$173*$K$8+$L$173*$L$8+$M$173*$M$8+$N$173*$N$8+$O$173*$O$8+$P$173*$P$8</f>
        <v>0</v>
      </c>
      <c r="T173" s="12">
        <f>SUM($Q$173:$R$173)</f>
        <v>0</v>
      </c>
      <c r="U173" s="12">
        <f>$S$173+$T$173</f>
        <v>0</v>
      </c>
    </row>
    <row r="174" spans="1:21" x14ac:dyDescent="0.3">
      <c r="A174" s="13" t="s">
        <v>634</v>
      </c>
      <c r="B174" s="14" t="s">
        <v>635</v>
      </c>
      <c r="C174" s="14"/>
      <c r="D174" s="14" t="s">
        <v>636</v>
      </c>
      <c r="E174" s="14">
        <f xml:space="preserve"> IF($U$174,1,0)</f>
        <v>0</v>
      </c>
      <c r="F174" s="14" t="s">
        <v>637</v>
      </c>
      <c r="G174" s="14">
        <v>0</v>
      </c>
      <c r="H174" s="14">
        <v>0</v>
      </c>
      <c r="I174" s="14">
        <v>0</v>
      </c>
      <c r="J174" s="14">
        <v>0</v>
      </c>
      <c r="K174" s="14">
        <v>0</v>
      </c>
      <c r="L174" s="14">
        <v>0</v>
      </c>
      <c r="M174" s="14">
        <v>0</v>
      </c>
      <c r="N174" s="14">
        <v>0</v>
      </c>
      <c r="O174" s="14">
        <v>0</v>
      </c>
      <c r="P174" s="14">
        <v>0</v>
      </c>
      <c r="Q174" s="15">
        <v>0</v>
      </c>
      <c r="R174" s="15">
        <v>0</v>
      </c>
      <c r="S174" s="15">
        <f>$G$174*$G$8+$H$174*$H$8+$I$174*$I$8+$J$174*$J$8+$K$174*$K$8+$L$174*$L$8+$M$174*$M$8+$N$174*$N$8+$O$174*$O$8+$P$174*$P$8</f>
        <v>0</v>
      </c>
      <c r="T174" s="15">
        <f>SUM($Q$174:$R$174)</f>
        <v>0</v>
      </c>
      <c r="U174" s="15">
        <f>$S$174+$T$174</f>
        <v>0</v>
      </c>
    </row>
    <row r="175" spans="1:21" x14ac:dyDescent="0.3">
      <c r="A175" s="10" t="s">
        <v>638</v>
      </c>
      <c r="B175" s="11" t="s">
        <v>639</v>
      </c>
      <c r="C175" s="11"/>
      <c r="D175" s="11" t="s">
        <v>274</v>
      </c>
      <c r="E175" s="11">
        <f xml:space="preserve"> IF($U$175,1,0)</f>
        <v>0</v>
      </c>
      <c r="F175" s="11" t="s">
        <v>640</v>
      </c>
      <c r="G175" s="11">
        <v>0</v>
      </c>
      <c r="H175" s="11">
        <v>0</v>
      </c>
      <c r="I175" s="11">
        <v>0</v>
      </c>
      <c r="J175" s="11">
        <v>0</v>
      </c>
      <c r="K175" s="11">
        <v>0</v>
      </c>
      <c r="L175" s="11">
        <v>0</v>
      </c>
      <c r="M175" s="11">
        <v>0</v>
      </c>
      <c r="N175" s="11">
        <v>0</v>
      </c>
      <c r="O175" s="11">
        <v>0</v>
      </c>
      <c r="P175" s="11">
        <v>0</v>
      </c>
      <c r="Q175" s="12">
        <v>0</v>
      </c>
      <c r="R175" s="12">
        <v>0</v>
      </c>
      <c r="S175" s="12">
        <f>$G$175*$G$8+$H$175*$H$8+$I$175*$I$8+$J$175*$J$8+$K$175*$K$8+$L$175*$L$8+$M$175*$M$8+$N$175*$N$8+$O$175*$O$8+$P$175*$P$8</f>
        <v>0</v>
      </c>
      <c r="T175" s="12">
        <f>SUM($Q$175:$R$175)</f>
        <v>0</v>
      </c>
      <c r="U175" s="12">
        <f>$S$175+$T$175</f>
        <v>0</v>
      </c>
    </row>
    <row r="176" spans="1:21" x14ac:dyDescent="0.3">
      <c r="A176" s="13" t="s">
        <v>641</v>
      </c>
      <c r="B176" s="14" t="s">
        <v>642</v>
      </c>
      <c r="C176" s="14"/>
      <c r="D176" s="14" t="s">
        <v>643</v>
      </c>
      <c r="E176" s="14">
        <f xml:space="preserve"> IF($U$176,1,0)</f>
        <v>0</v>
      </c>
      <c r="F176" s="14" t="s">
        <v>644</v>
      </c>
      <c r="G176" s="14">
        <v>0</v>
      </c>
      <c r="H176" s="14">
        <v>0</v>
      </c>
      <c r="I176" s="14">
        <v>0</v>
      </c>
      <c r="J176" s="14">
        <v>0</v>
      </c>
      <c r="K176" s="14">
        <v>0</v>
      </c>
      <c r="L176" s="14">
        <v>0</v>
      </c>
      <c r="M176" s="14">
        <v>0</v>
      </c>
      <c r="N176" s="14">
        <v>0</v>
      </c>
      <c r="O176" s="14">
        <v>0</v>
      </c>
      <c r="P176" s="14">
        <v>0</v>
      </c>
      <c r="Q176" s="15">
        <v>0</v>
      </c>
      <c r="R176" s="15">
        <v>0</v>
      </c>
      <c r="S176" s="15">
        <f>$G$176*$G$8+$H$176*$H$8+$I$176*$I$8+$J$176*$J$8+$K$176*$K$8+$L$176*$L$8+$M$176*$M$8+$N$176*$N$8+$O$176*$O$8+$P$176*$P$8</f>
        <v>0</v>
      </c>
      <c r="T176" s="15">
        <f>SUM($Q$176:$R$176)</f>
        <v>0</v>
      </c>
      <c r="U176" s="15">
        <f>$S$176+$T$176</f>
        <v>0</v>
      </c>
    </row>
    <row r="177" spans="1:21" x14ac:dyDescent="0.3">
      <c r="A177" s="10" t="s">
        <v>645</v>
      </c>
      <c r="B177" s="11" t="s">
        <v>646</v>
      </c>
      <c r="C177" s="11"/>
      <c r="D177" s="11" t="s">
        <v>647</v>
      </c>
      <c r="E177" s="11">
        <f xml:space="preserve"> IF($U$177,1,0)</f>
        <v>0</v>
      </c>
      <c r="F177" s="11" t="s">
        <v>648</v>
      </c>
      <c r="G177" s="11">
        <v>0</v>
      </c>
      <c r="H177" s="11">
        <v>0</v>
      </c>
      <c r="I177" s="11">
        <v>0</v>
      </c>
      <c r="J177" s="11">
        <v>0</v>
      </c>
      <c r="K177" s="11">
        <v>0</v>
      </c>
      <c r="L177" s="11">
        <v>0</v>
      </c>
      <c r="M177" s="11">
        <v>0</v>
      </c>
      <c r="N177" s="11">
        <v>0</v>
      </c>
      <c r="O177" s="11">
        <v>0</v>
      </c>
      <c r="P177" s="11">
        <v>0</v>
      </c>
      <c r="Q177" s="12">
        <v>0</v>
      </c>
      <c r="R177" s="12">
        <v>0</v>
      </c>
      <c r="S177" s="12">
        <f>$G$177*$G$8+$H$177*$H$8+$I$177*$I$8+$J$177*$J$8+$K$177*$K$8+$L$177*$L$8+$M$177*$M$8+$N$177*$N$8+$O$177*$O$8+$P$177*$P$8</f>
        <v>0</v>
      </c>
      <c r="T177" s="12">
        <f>SUM($Q$177:$R$177)</f>
        <v>0</v>
      </c>
      <c r="U177" s="12">
        <f>$S$177+$T$177</f>
        <v>0</v>
      </c>
    </row>
    <row r="178" spans="1:21" x14ac:dyDescent="0.3">
      <c r="A178" s="13" t="s">
        <v>649</v>
      </c>
      <c r="B178" s="14" t="s">
        <v>650</v>
      </c>
      <c r="C178" s="14"/>
      <c r="D178" s="14" t="s">
        <v>651</v>
      </c>
      <c r="E178" s="14">
        <f xml:space="preserve"> IF($U$178,1,0)</f>
        <v>0</v>
      </c>
      <c r="F178" s="14" t="s">
        <v>652</v>
      </c>
      <c r="G178" s="14">
        <v>0</v>
      </c>
      <c r="H178" s="14">
        <v>0</v>
      </c>
      <c r="I178" s="14">
        <v>0</v>
      </c>
      <c r="J178" s="14">
        <v>0</v>
      </c>
      <c r="K178" s="14">
        <v>0</v>
      </c>
      <c r="L178" s="14">
        <v>0</v>
      </c>
      <c r="M178" s="14">
        <v>0</v>
      </c>
      <c r="N178" s="14">
        <v>0</v>
      </c>
      <c r="O178" s="14">
        <v>0</v>
      </c>
      <c r="P178" s="14">
        <v>0</v>
      </c>
      <c r="Q178" s="15">
        <v>0</v>
      </c>
      <c r="R178" s="15">
        <v>0</v>
      </c>
      <c r="S178" s="15">
        <f>$G$178*$G$8+$H$178*$H$8+$I$178*$I$8+$J$178*$J$8+$K$178*$K$8+$L$178*$L$8+$M$178*$M$8+$N$178*$N$8+$O$178*$O$8+$P$178*$P$8</f>
        <v>0</v>
      </c>
      <c r="T178" s="15">
        <f>SUM($Q$178:$R$178)</f>
        <v>0</v>
      </c>
      <c r="U178" s="15">
        <f>$S$178+$T$178</f>
        <v>0</v>
      </c>
    </row>
    <row r="179" spans="1:21" x14ac:dyDescent="0.3">
      <c r="A179" s="10" t="s">
        <v>653</v>
      </c>
      <c r="B179" s="11" t="s">
        <v>654</v>
      </c>
      <c r="C179" s="11"/>
      <c r="D179" s="11" t="s">
        <v>655</v>
      </c>
      <c r="E179" s="11">
        <f xml:space="preserve"> IF($U$179,1,0)</f>
        <v>0</v>
      </c>
      <c r="F179" s="11" t="s">
        <v>656</v>
      </c>
      <c r="G179" s="11">
        <v>0</v>
      </c>
      <c r="H179" s="11">
        <v>0</v>
      </c>
      <c r="I179" s="11">
        <v>0</v>
      </c>
      <c r="J179" s="11">
        <v>0</v>
      </c>
      <c r="K179" s="11">
        <v>0</v>
      </c>
      <c r="L179" s="11">
        <v>0</v>
      </c>
      <c r="M179" s="11">
        <v>0</v>
      </c>
      <c r="N179" s="11">
        <v>0</v>
      </c>
      <c r="O179" s="11">
        <v>0</v>
      </c>
      <c r="P179" s="11">
        <v>0</v>
      </c>
      <c r="Q179" s="12">
        <v>0</v>
      </c>
      <c r="R179" s="12">
        <v>0</v>
      </c>
      <c r="S179" s="12">
        <f>$G$179*$G$8+$H$179*$H$8+$I$179*$I$8+$J$179*$J$8+$K$179*$K$8+$L$179*$L$8+$M$179*$M$8+$N$179*$N$8+$O$179*$O$8+$P$179*$P$8</f>
        <v>0</v>
      </c>
      <c r="T179" s="12">
        <f>SUM($Q$179:$R$179)</f>
        <v>0</v>
      </c>
      <c r="U179" s="12">
        <f>$S$179+$T$179</f>
        <v>0</v>
      </c>
    </row>
    <row r="180" spans="1:21" x14ac:dyDescent="0.3">
      <c r="A180" s="13" t="s">
        <v>657</v>
      </c>
      <c r="B180" s="14" t="s">
        <v>658</v>
      </c>
      <c r="C180" s="14"/>
      <c r="D180" s="14" t="s">
        <v>659</v>
      </c>
      <c r="E180" s="14">
        <f xml:space="preserve"> IF($U$180,1,0)</f>
        <v>0</v>
      </c>
      <c r="F180" s="14" t="s">
        <v>660</v>
      </c>
      <c r="G180" s="14">
        <v>0</v>
      </c>
      <c r="H180" s="14">
        <v>0</v>
      </c>
      <c r="I180" s="14">
        <v>0</v>
      </c>
      <c r="J180" s="14">
        <v>0</v>
      </c>
      <c r="K180" s="14">
        <v>0</v>
      </c>
      <c r="L180" s="14">
        <v>0</v>
      </c>
      <c r="M180" s="14">
        <v>0</v>
      </c>
      <c r="N180" s="14">
        <v>0</v>
      </c>
      <c r="O180" s="14">
        <v>0</v>
      </c>
      <c r="P180" s="14">
        <v>0</v>
      </c>
      <c r="Q180" s="15">
        <v>0</v>
      </c>
      <c r="R180" s="15">
        <v>0</v>
      </c>
      <c r="S180" s="15">
        <f>$G$180*$G$8+$H$180*$H$8+$I$180*$I$8+$J$180*$J$8+$K$180*$K$8+$L$180*$L$8+$M$180*$M$8+$N$180*$N$8+$O$180*$O$8+$P$180*$P$8</f>
        <v>0</v>
      </c>
      <c r="T180" s="15">
        <f>SUM($Q$180:$R$180)</f>
        <v>0</v>
      </c>
      <c r="U180" s="15">
        <f>$S$180+$T$180</f>
        <v>0</v>
      </c>
    </row>
    <row r="181" spans="1:21" x14ac:dyDescent="0.3">
      <c r="A181" s="10" t="s">
        <v>661</v>
      </c>
      <c r="B181" s="11" t="s">
        <v>658</v>
      </c>
      <c r="C181" s="11" t="s">
        <v>202</v>
      </c>
      <c r="D181" s="11" t="s">
        <v>662</v>
      </c>
      <c r="E181" s="11">
        <f xml:space="preserve"> IF($U$181,1,0)</f>
        <v>0</v>
      </c>
      <c r="F181" s="11" t="s">
        <v>663</v>
      </c>
      <c r="G181" s="11">
        <v>0</v>
      </c>
      <c r="H181" s="11">
        <v>0</v>
      </c>
      <c r="I181" s="11">
        <v>0</v>
      </c>
      <c r="J181" s="11">
        <v>0</v>
      </c>
      <c r="K181" s="11">
        <v>0</v>
      </c>
      <c r="L181" s="11">
        <v>0</v>
      </c>
      <c r="M181" s="11">
        <v>0</v>
      </c>
      <c r="N181" s="11">
        <v>0</v>
      </c>
      <c r="O181" s="11">
        <v>0</v>
      </c>
      <c r="P181" s="11">
        <v>0</v>
      </c>
      <c r="Q181" s="12">
        <v>0</v>
      </c>
      <c r="R181" s="12">
        <v>0</v>
      </c>
      <c r="S181" s="12">
        <f>$G$181*$G$8+$H$181*$H$8+$I$181*$I$8+$J$181*$J$8+$K$181*$K$8+$L$181*$L$8+$M$181*$M$8+$N$181*$N$8+$O$181*$O$8+$P$181*$P$8</f>
        <v>0</v>
      </c>
      <c r="T181" s="12">
        <f>SUM($Q$181:$R$181)</f>
        <v>0</v>
      </c>
      <c r="U181" s="12">
        <f>$S$181+$T$181</f>
        <v>0</v>
      </c>
    </row>
    <row r="182" spans="1:21" x14ac:dyDescent="0.3">
      <c r="A182" s="13" t="s">
        <v>664</v>
      </c>
      <c r="B182" s="14" t="s">
        <v>665</v>
      </c>
      <c r="C182" s="14"/>
      <c r="D182" s="14" t="s">
        <v>666</v>
      </c>
      <c r="E182" s="14">
        <f xml:space="preserve"> IF($U$182,1,0)</f>
        <v>0</v>
      </c>
      <c r="F182" s="14" t="s">
        <v>667</v>
      </c>
      <c r="G182" s="14">
        <v>0</v>
      </c>
      <c r="H182" s="14">
        <v>0</v>
      </c>
      <c r="I182" s="14">
        <v>0</v>
      </c>
      <c r="J182" s="14">
        <v>0</v>
      </c>
      <c r="K182" s="14">
        <v>0</v>
      </c>
      <c r="L182" s="14">
        <v>0</v>
      </c>
      <c r="M182" s="14">
        <v>0</v>
      </c>
      <c r="N182" s="14">
        <v>0</v>
      </c>
      <c r="O182" s="14">
        <v>0</v>
      </c>
      <c r="P182" s="14">
        <v>0</v>
      </c>
      <c r="Q182" s="15">
        <v>0</v>
      </c>
      <c r="R182" s="15">
        <v>0</v>
      </c>
      <c r="S182" s="15">
        <f>$G$182*$G$8+$H$182*$H$8+$I$182*$I$8+$J$182*$J$8+$K$182*$K$8+$L$182*$L$8+$M$182*$M$8+$N$182*$N$8+$O$182*$O$8+$P$182*$P$8</f>
        <v>0</v>
      </c>
      <c r="T182" s="15">
        <f>SUM($Q$182:$R$182)</f>
        <v>0</v>
      </c>
      <c r="U182" s="15">
        <f>$S$182+$T$182</f>
        <v>0</v>
      </c>
    </row>
    <row r="183" spans="1:21" x14ac:dyDescent="0.3">
      <c r="A183" s="10" t="s">
        <v>668</v>
      </c>
      <c r="B183" s="11" t="s">
        <v>669</v>
      </c>
      <c r="C183" s="11"/>
      <c r="D183" s="11" t="s">
        <v>670</v>
      </c>
      <c r="E183" s="11">
        <f xml:space="preserve"> IF($U$183,1,0)</f>
        <v>0</v>
      </c>
      <c r="F183" s="11" t="s">
        <v>671</v>
      </c>
      <c r="G183" s="11">
        <v>0</v>
      </c>
      <c r="H183" s="11">
        <v>0</v>
      </c>
      <c r="I183" s="11">
        <v>0</v>
      </c>
      <c r="J183" s="11">
        <v>0</v>
      </c>
      <c r="K183" s="11">
        <v>0</v>
      </c>
      <c r="L183" s="11">
        <v>0</v>
      </c>
      <c r="M183" s="11">
        <v>0</v>
      </c>
      <c r="N183" s="11">
        <v>0</v>
      </c>
      <c r="O183" s="11">
        <v>0</v>
      </c>
      <c r="P183" s="11">
        <v>0</v>
      </c>
      <c r="Q183" s="12">
        <v>0</v>
      </c>
      <c r="R183" s="12">
        <v>0</v>
      </c>
      <c r="S183" s="12">
        <f>$G$183*$G$8+$H$183*$H$8+$I$183*$I$8+$J$183*$J$8+$K$183*$K$8+$L$183*$L$8+$M$183*$M$8+$N$183*$N$8+$O$183*$O$8+$P$183*$P$8</f>
        <v>0</v>
      </c>
      <c r="T183" s="12">
        <f>SUM($Q$183:$R$183)</f>
        <v>0</v>
      </c>
      <c r="U183" s="12">
        <f>$S$183+$T$183</f>
        <v>0</v>
      </c>
    </row>
    <row r="184" spans="1:21" x14ac:dyDescent="0.3">
      <c r="A184" s="13" t="s">
        <v>672</v>
      </c>
      <c r="B184" s="14" t="s">
        <v>673</v>
      </c>
      <c r="C184" s="14"/>
      <c r="D184" s="14" t="s">
        <v>674</v>
      </c>
      <c r="E184" s="14">
        <f xml:space="preserve"> IF($U$184,1,0)</f>
        <v>0</v>
      </c>
      <c r="F184" s="14" t="s">
        <v>675</v>
      </c>
      <c r="G184" s="14">
        <v>0</v>
      </c>
      <c r="H184" s="14">
        <v>0</v>
      </c>
      <c r="I184" s="14">
        <v>0</v>
      </c>
      <c r="J184" s="14">
        <v>0</v>
      </c>
      <c r="K184" s="14">
        <v>0</v>
      </c>
      <c r="L184" s="14">
        <v>0</v>
      </c>
      <c r="M184" s="14">
        <v>0</v>
      </c>
      <c r="N184" s="14">
        <v>0</v>
      </c>
      <c r="O184" s="14">
        <v>0</v>
      </c>
      <c r="P184" s="14">
        <v>0</v>
      </c>
      <c r="Q184" s="15">
        <v>0</v>
      </c>
      <c r="R184" s="15">
        <v>0</v>
      </c>
      <c r="S184" s="15">
        <f>$G$184*$G$8+$H$184*$H$8+$I$184*$I$8+$J$184*$J$8+$K$184*$K$8+$L$184*$L$8+$M$184*$M$8+$N$184*$N$8+$O$184*$O$8+$P$184*$P$8</f>
        <v>0</v>
      </c>
      <c r="T184" s="15">
        <f>SUM($Q$184:$R$184)</f>
        <v>0</v>
      </c>
      <c r="U184" s="15">
        <f>$S$184+$T$184</f>
        <v>0</v>
      </c>
    </row>
    <row r="185" spans="1:21" x14ac:dyDescent="0.3">
      <c r="A185" s="10" t="s">
        <v>676</v>
      </c>
      <c r="B185" s="11" t="s">
        <v>677</v>
      </c>
      <c r="C185" s="11"/>
      <c r="D185" s="11" t="s">
        <v>678</v>
      </c>
      <c r="E185" s="11">
        <f xml:space="preserve"> IF($U$185,1,0)</f>
        <v>0</v>
      </c>
      <c r="F185" s="11" t="s">
        <v>679</v>
      </c>
      <c r="G185" s="11">
        <v>0</v>
      </c>
      <c r="H185" s="11">
        <v>0</v>
      </c>
      <c r="I185" s="11">
        <v>0</v>
      </c>
      <c r="J185" s="11">
        <v>0</v>
      </c>
      <c r="K185" s="11">
        <v>0</v>
      </c>
      <c r="L185" s="11">
        <v>0</v>
      </c>
      <c r="M185" s="11">
        <v>0</v>
      </c>
      <c r="N185" s="11">
        <v>0</v>
      </c>
      <c r="O185" s="11">
        <v>0</v>
      </c>
      <c r="P185" s="11">
        <v>0</v>
      </c>
      <c r="Q185" s="12">
        <v>0</v>
      </c>
      <c r="R185" s="12">
        <v>0</v>
      </c>
      <c r="S185" s="12">
        <f>$G$185*$G$8+$H$185*$H$8+$I$185*$I$8+$J$185*$J$8+$K$185*$K$8+$L$185*$L$8+$M$185*$M$8+$N$185*$N$8+$O$185*$O$8+$P$185*$P$8</f>
        <v>0</v>
      </c>
      <c r="T185" s="12">
        <f>SUM($Q$185:$R$185)</f>
        <v>0</v>
      </c>
      <c r="U185" s="12">
        <f>$S$185+$T$185</f>
        <v>0</v>
      </c>
    </row>
    <row r="186" spans="1:21" x14ac:dyDescent="0.3">
      <c r="A186" s="13" t="s">
        <v>680</v>
      </c>
      <c r="B186" s="14" t="s">
        <v>681</v>
      </c>
      <c r="C186" s="14"/>
      <c r="D186" s="14" t="s">
        <v>682</v>
      </c>
      <c r="E186" s="14">
        <f xml:space="preserve"> IF($U$186,1,0)</f>
        <v>0</v>
      </c>
      <c r="F186" s="14" t="s">
        <v>683</v>
      </c>
      <c r="G186" s="14">
        <v>0</v>
      </c>
      <c r="H186" s="14">
        <v>0</v>
      </c>
      <c r="I186" s="14">
        <v>0</v>
      </c>
      <c r="J186" s="14">
        <v>0</v>
      </c>
      <c r="K186" s="14">
        <v>0</v>
      </c>
      <c r="L186" s="14">
        <v>0</v>
      </c>
      <c r="M186" s="14">
        <v>0</v>
      </c>
      <c r="N186" s="14">
        <v>0</v>
      </c>
      <c r="O186" s="14">
        <v>0</v>
      </c>
      <c r="P186" s="14">
        <v>0</v>
      </c>
      <c r="Q186" s="15">
        <v>0</v>
      </c>
      <c r="R186" s="15">
        <v>0</v>
      </c>
      <c r="S186" s="15">
        <f>$G$186*$G$8+$H$186*$H$8+$I$186*$I$8+$J$186*$J$8+$K$186*$K$8+$L$186*$L$8+$M$186*$M$8+$N$186*$N$8+$O$186*$O$8+$P$186*$P$8</f>
        <v>0</v>
      </c>
      <c r="T186" s="15">
        <f>SUM($Q$186:$R$186)</f>
        <v>0</v>
      </c>
      <c r="U186" s="15">
        <f>$S$186+$T$186</f>
        <v>0</v>
      </c>
    </row>
    <row r="187" spans="1:21" x14ac:dyDescent="0.3">
      <c r="A187" s="10" t="s">
        <v>684</v>
      </c>
      <c r="B187" s="11" t="s">
        <v>685</v>
      </c>
      <c r="C187" s="11"/>
      <c r="D187" s="11" t="s">
        <v>686</v>
      </c>
      <c r="E187" s="11">
        <f xml:space="preserve"> IF($U$187,1,0)</f>
        <v>0</v>
      </c>
      <c r="F187" s="11" t="s">
        <v>687</v>
      </c>
      <c r="G187" s="11">
        <v>0</v>
      </c>
      <c r="H187" s="11">
        <v>0</v>
      </c>
      <c r="I187" s="11">
        <v>0</v>
      </c>
      <c r="J187" s="11">
        <v>0</v>
      </c>
      <c r="K187" s="11">
        <v>0</v>
      </c>
      <c r="L187" s="11">
        <v>0</v>
      </c>
      <c r="M187" s="11">
        <v>0</v>
      </c>
      <c r="N187" s="11">
        <v>0</v>
      </c>
      <c r="O187" s="11">
        <v>0</v>
      </c>
      <c r="P187" s="11">
        <v>0</v>
      </c>
      <c r="Q187" s="12">
        <v>0</v>
      </c>
      <c r="R187" s="12">
        <v>0</v>
      </c>
      <c r="S187" s="12">
        <f>$G$187*$G$8+$H$187*$H$8+$I$187*$I$8+$J$187*$J$8+$K$187*$K$8+$L$187*$L$8+$M$187*$M$8+$N$187*$N$8+$O$187*$O$8+$P$187*$P$8</f>
        <v>0</v>
      </c>
      <c r="T187" s="12">
        <f>SUM($Q$187:$R$187)</f>
        <v>0</v>
      </c>
      <c r="U187" s="12">
        <f>$S$187+$T$187</f>
        <v>0</v>
      </c>
    </row>
    <row r="188" spans="1:21" x14ac:dyDescent="0.3">
      <c r="A188" s="13" t="s">
        <v>688</v>
      </c>
      <c r="B188" s="14" t="s">
        <v>689</v>
      </c>
      <c r="C188" s="14"/>
      <c r="D188" s="14" t="s">
        <v>690</v>
      </c>
      <c r="E188" s="14">
        <f xml:space="preserve"> IF($U$188,1,0)</f>
        <v>0</v>
      </c>
      <c r="F188" s="14" t="s">
        <v>691</v>
      </c>
      <c r="G188" s="14">
        <v>0</v>
      </c>
      <c r="H188" s="14">
        <v>0</v>
      </c>
      <c r="I188" s="14">
        <v>0</v>
      </c>
      <c r="J188" s="14">
        <v>0</v>
      </c>
      <c r="K188" s="14">
        <v>0</v>
      </c>
      <c r="L188" s="14">
        <v>0</v>
      </c>
      <c r="M188" s="14">
        <v>0</v>
      </c>
      <c r="N188" s="14">
        <v>0</v>
      </c>
      <c r="O188" s="14">
        <v>0</v>
      </c>
      <c r="P188" s="14">
        <v>0</v>
      </c>
      <c r="Q188" s="15">
        <v>0</v>
      </c>
      <c r="R188" s="15">
        <v>0</v>
      </c>
      <c r="S188" s="15">
        <f>$G$188*$G$8+$H$188*$H$8+$I$188*$I$8+$J$188*$J$8+$K$188*$K$8+$L$188*$L$8+$M$188*$M$8+$N$188*$N$8+$O$188*$O$8+$P$188*$P$8</f>
        <v>0</v>
      </c>
      <c r="T188" s="15">
        <f>SUM($Q$188:$R$188)</f>
        <v>0</v>
      </c>
      <c r="U188" s="15">
        <f>$S$188+$T$188</f>
        <v>0</v>
      </c>
    </row>
    <row r="189" spans="1:21" x14ac:dyDescent="0.3">
      <c r="A189" s="10" t="s">
        <v>692</v>
      </c>
      <c r="B189" s="11" t="s">
        <v>693</v>
      </c>
      <c r="C189" s="11" t="s">
        <v>65</v>
      </c>
      <c r="D189" s="11" t="s">
        <v>694</v>
      </c>
      <c r="E189" s="11">
        <f xml:space="preserve"> IF($U$189,1,0)</f>
        <v>0</v>
      </c>
      <c r="F189" s="11" t="s">
        <v>695</v>
      </c>
      <c r="G189" s="11">
        <v>0</v>
      </c>
      <c r="H189" s="11">
        <v>0</v>
      </c>
      <c r="I189" s="11">
        <v>0</v>
      </c>
      <c r="J189" s="11">
        <v>0</v>
      </c>
      <c r="K189" s="11">
        <v>0</v>
      </c>
      <c r="L189" s="11">
        <v>0</v>
      </c>
      <c r="M189" s="11">
        <v>0</v>
      </c>
      <c r="N189" s="11">
        <v>0</v>
      </c>
      <c r="O189" s="11">
        <v>0</v>
      </c>
      <c r="P189" s="11">
        <v>0</v>
      </c>
      <c r="Q189" s="12">
        <v>0</v>
      </c>
      <c r="R189" s="12">
        <v>0</v>
      </c>
      <c r="S189" s="12">
        <f>$G$189*$G$8+$H$189*$H$8+$I$189*$I$8+$J$189*$J$8+$K$189*$K$8+$L$189*$L$8+$M$189*$M$8+$N$189*$N$8+$O$189*$O$8+$P$189*$P$8</f>
        <v>0</v>
      </c>
      <c r="T189" s="12">
        <f>SUM($Q$189:$R$189)</f>
        <v>0</v>
      </c>
      <c r="U189" s="12">
        <f>$S$189+$T$189</f>
        <v>0</v>
      </c>
    </row>
    <row r="190" spans="1:21" x14ac:dyDescent="0.3">
      <c r="A190" s="13" t="s">
        <v>696</v>
      </c>
      <c r="B190" s="14" t="s">
        <v>697</v>
      </c>
      <c r="C190" s="14"/>
      <c r="D190" s="14" t="s">
        <v>698</v>
      </c>
      <c r="E190" s="14">
        <f xml:space="preserve"> IF($U$190,1,0)</f>
        <v>0</v>
      </c>
      <c r="F190" s="14" t="s">
        <v>699</v>
      </c>
      <c r="G190" s="14">
        <v>0</v>
      </c>
      <c r="H190" s="14">
        <v>0</v>
      </c>
      <c r="I190" s="14">
        <v>0</v>
      </c>
      <c r="J190" s="14">
        <v>0</v>
      </c>
      <c r="K190" s="14">
        <v>0</v>
      </c>
      <c r="L190" s="14">
        <v>0</v>
      </c>
      <c r="M190" s="14">
        <v>0</v>
      </c>
      <c r="N190" s="14">
        <v>0</v>
      </c>
      <c r="O190" s="14">
        <v>0</v>
      </c>
      <c r="P190" s="14">
        <v>0</v>
      </c>
      <c r="Q190" s="15">
        <v>0</v>
      </c>
      <c r="R190" s="15">
        <v>0</v>
      </c>
      <c r="S190" s="15">
        <f>$G$190*$G$8+$H$190*$H$8+$I$190*$I$8+$J$190*$J$8+$K$190*$K$8+$L$190*$L$8+$M$190*$M$8+$N$190*$N$8+$O$190*$O$8+$P$190*$P$8</f>
        <v>0</v>
      </c>
      <c r="T190" s="15">
        <f>SUM($Q$190:$R$190)</f>
        <v>0</v>
      </c>
      <c r="U190" s="15">
        <f>$S$190+$T$190</f>
        <v>0</v>
      </c>
    </row>
    <row r="191" spans="1:21" x14ac:dyDescent="0.3">
      <c r="A191" s="10" t="s">
        <v>700</v>
      </c>
      <c r="B191" s="11" t="s">
        <v>697</v>
      </c>
      <c r="C191" s="11"/>
      <c r="D191" s="11" t="s">
        <v>701</v>
      </c>
      <c r="E191" s="11">
        <f xml:space="preserve"> IF($U$191,1,0)</f>
        <v>0</v>
      </c>
      <c r="F191" s="11" t="s">
        <v>702</v>
      </c>
      <c r="G191" s="11">
        <v>0</v>
      </c>
      <c r="H191" s="11">
        <v>0</v>
      </c>
      <c r="I191" s="11">
        <v>0</v>
      </c>
      <c r="J191" s="11">
        <v>0</v>
      </c>
      <c r="K191" s="11">
        <v>0</v>
      </c>
      <c r="L191" s="11">
        <v>0</v>
      </c>
      <c r="M191" s="11">
        <v>0</v>
      </c>
      <c r="N191" s="11">
        <v>0</v>
      </c>
      <c r="O191" s="11">
        <v>0</v>
      </c>
      <c r="P191" s="11">
        <v>0</v>
      </c>
      <c r="Q191" s="12">
        <v>0</v>
      </c>
      <c r="R191" s="12">
        <v>0</v>
      </c>
      <c r="S191" s="12">
        <f>$G$191*$G$8+$H$191*$H$8+$I$191*$I$8+$J$191*$J$8+$K$191*$K$8+$L$191*$L$8+$M$191*$M$8+$N$191*$N$8+$O$191*$O$8+$P$191*$P$8</f>
        <v>0</v>
      </c>
      <c r="T191" s="12">
        <f>SUM($Q$191:$R$191)</f>
        <v>0</v>
      </c>
      <c r="U191" s="12">
        <f>$S$191+$T$191</f>
        <v>0</v>
      </c>
    </row>
    <row r="192" spans="1:21" x14ac:dyDescent="0.3">
      <c r="A192" s="13" t="s">
        <v>703</v>
      </c>
      <c r="B192" s="14" t="s">
        <v>704</v>
      </c>
      <c r="C192" s="14"/>
      <c r="D192" s="14" t="s">
        <v>705</v>
      </c>
      <c r="E192" s="14">
        <f xml:space="preserve"> IF($U$192,1,0)</f>
        <v>0</v>
      </c>
      <c r="F192" s="14" t="s">
        <v>706</v>
      </c>
      <c r="G192" s="14">
        <v>0</v>
      </c>
      <c r="H192" s="14">
        <v>0</v>
      </c>
      <c r="I192" s="14">
        <v>0</v>
      </c>
      <c r="J192" s="14">
        <v>0</v>
      </c>
      <c r="K192" s="14">
        <v>0</v>
      </c>
      <c r="L192" s="14">
        <v>0</v>
      </c>
      <c r="M192" s="14">
        <v>0</v>
      </c>
      <c r="N192" s="14">
        <v>0</v>
      </c>
      <c r="O192" s="14">
        <v>0</v>
      </c>
      <c r="P192" s="14">
        <v>0</v>
      </c>
      <c r="Q192" s="15">
        <v>0</v>
      </c>
      <c r="R192" s="15">
        <v>0</v>
      </c>
      <c r="S192" s="15">
        <f>$G$192*$G$8+$H$192*$H$8+$I$192*$I$8+$J$192*$J$8+$K$192*$K$8+$L$192*$L$8+$M$192*$M$8+$N$192*$N$8+$O$192*$O$8+$P$192*$P$8</f>
        <v>0</v>
      </c>
      <c r="T192" s="15">
        <f>SUM($Q$192:$R$192)</f>
        <v>0</v>
      </c>
      <c r="U192" s="15">
        <f>$S$192+$T$192</f>
        <v>0</v>
      </c>
    </row>
    <row r="193" spans="1:21" x14ac:dyDescent="0.3">
      <c r="A193" s="10" t="s">
        <v>707</v>
      </c>
      <c r="B193" s="11" t="s">
        <v>708</v>
      </c>
      <c r="C193" s="11"/>
      <c r="D193" s="11" t="s">
        <v>222</v>
      </c>
      <c r="E193" s="11">
        <f xml:space="preserve"> IF($U$193,1,0)</f>
        <v>0</v>
      </c>
      <c r="F193" s="11" t="s">
        <v>709</v>
      </c>
      <c r="G193" s="11">
        <v>0</v>
      </c>
      <c r="H193" s="11">
        <v>0</v>
      </c>
      <c r="I193" s="11">
        <v>0</v>
      </c>
      <c r="J193" s="11">
        <v>0</v>
      </c>
      <c r="K193" s="11">
        <v>0</v>
      </c>
      <c r="L193" s="11">
        <v>0</v>
      </c>
      <c r="M193" s="11">
        <v>0</v>
      </c>
      <c r="N193" s="11">
        <v>0</v>
      </c>
      <c r="O193" s="11">
        <v>0</v>
      </c>
      <c r="P193" s="11">
        <v>0</v>
      </c>
      <c r="Q193" s="12">
        <v>0</v>
      </c>
      <c r="R193" s="12">
        <v>0</v>
      </c>
      <c r="S193" s="12">
        <f>$G$193*$G$8+$H$193*$H$8+$I$193*$I$8+$J$193*$J$8+$K$193*$K$8+$L$193*$L$8+$M$193*$M$8+$N$193*$N$8+$O$193*$O$8+$P$193*$P$8</f>
        <v>0</v>
      </c>
      <c r="T193" s="12">
        <f>SUM($Q$193:$R$193)</f>
        <v>0</v>
      </c>
      <c r="U193" s="12">
        <f>$S$193+$T$193</f>
        <v>0</v>
      </c>
    </row>
    <row r="194" spans="1:21" x14ac:dyDescent="0.3">
      <c r="A194" s="13" t="s">
        <v>710</v>
      </c>
      <c r="B194" s="14" t="s">
        <v>708</v>
      </c>
      <c r="C194" s="14"/>
      <c r="D194" s="14" t="s">
        <v>711</v>
      </c>
      <c r="E194" s="14">
        <f xml:space="preserve"> IF($U$194,1,0)</f>
        <v>0</v>
      </c>
      <c r="F194" s="14" t="s">
        <v>712</v>
      </c>
      <c r="G194" s="14">
        <v>0</v>
      </c>
      <c r="H194" s="14">
        <v>0</v>
      </c>
      <c r="I194" s="14">
        <v>0</v>
      </c>
      <c r="J194" s="14">
        <v>0</v>
      </c>
      <c r="K194" s="14">
        <v>0</v>
      </c>
      <c r="L194" s="14">
        <v>0</v>
      </c>
      <c r="M194" s="14">
        <v>0</v>
      </c>
      <c r="N194" s="14">
        <v>0</v>
      </c>
      <c r="O194" s="14">
        <v>0</v>
      </c>
      <c r="P194" s="14">
        <v>0</v>
      </c>
      <c r="Q194" s="15">
        <v>0</v>
      </c>
      <c r="R194" s="15">
        <v>0</v>
      </c>
      <c r="S194" s="15">
        <f>$G$194*$G$8+$H$194*$H$8+$I$194*$I$8+$J$194*$J$8+$K$194*$K$8+$L$194*$L$8+$M$194*$M$8+$N$194*$N$8+$O$194*$O$8+$P$194*$P$8</f>
        <v>0</v>
      </c>
      <c r="T194" s="15">
        <f>SUM($Q$194:$R$194)</f>
        <v>0</v>
      </c>
      <c r="U194" s="15">
        <f>$S$194+$T$194</f>
        <v>0</v>
      </c>
    </row>
    <row r="195" spans="1:21" x14ac:dyDescent="0.3">
      <c r="A195" s="10" t="s">
        <v>713</v>
      </c>
      <c r="B195" s="11" t="s">
        <v>708</v>
      </c>
      <c r="C195" s="11"/>
      <c r="D195" s="11" t="s">
        <v>714</v>
      </c>
      <c r="E195" s="11">
        <f xml:space="preserve"> IF($U$195,1,0)</f>
        <v>0</v>
      </c>
      <c r="F195" s="11" t="s">
        <v>715</v>
      </c>
      <c r="G195" s="11">
        <v>0</v>
      </c>
      <c r="H195" s="11">
        <v>0</v>
      </c>
      <c r="I195" s="11">
        <v>0</v>
      </c>
      <c r="J195" s="11">
        <v>0</v>
      </c>
      <c r="K195" s="11">
        <v>0</v>
      </c>
      <c r="L195" s="11">
        <v>0</v>
      </c>
      <c r="M195" s="11">
        <v>0</v>
      </c>
      <c r="N195" s="11">
        <v>0</v>
      </c>
      <c r="O195" s="11">
        <v>0</v>
      </c>
      <c r="P195" s="11">
        <v>0</v>
      </c>
      <c r="Q195" s="12">
        <v>0</v>
      </c>
      <c r="R195" s="12">
        <v>0</v>
      </c>
      <c r="S195" s="12">
        <f>$G$195*$G$8+$H$195*$H$8+$I$195*$I$8+$J$195*$J$8+$K$195*$K$8+$L$195*$L$8+$M$195*$M$8+$N$195*$N$8+$O$195*$O$8+$P$195*$P$8</f>
        <v>0</v>
      </c>
      <c r="T195" s="12">
        <f>SUM($Q$195:$R$195)</f>
        <v>0</v>
      </c>
      <c r="U195" s="12">
        <f>$S$195+$T$195</f>
        <v>0</v>
      </c>
    </row>
    <row r="196" spans="1:21" x14ac:dyDescent="0.3">
      <c r="A196" s="13" t="s">
        <v>716</v>
      </c>
      <c r="B196" s="14" t="s">
        <v>717</v>
      </c>
      <c r="C196" s="14"/>
      <c r="D196" s="14" t="s">
        <v>718</v>
      </c>
      <c r="E196" s="14">
        <f xml:space="preserve"> IF($U$196,1,0)</f>
        <v>0</v>
      </c>
      <c r="F196" s="14" t="s">
        <v>719</v>
      </c>
      <c r="G196" s="14">
        <v>0</v>
      </c>
      <c r="H196" s="14">
        <v>0</v>
      </c>
      <c r="I196" s="14">
        <v>0</v>
      </c>
      <c r="J196" s="14">
        <v>0</v>
      </c>
      <c r="K196" s="14">
        <v>0</v>
      </c>
      <c r="L196" s="14">
        <v>0</v>
      </c>
      <c r="M196" s="14">
        <v>0</v>
      </c>
      <c r="N196" s="14">
        <v>0</v>
      </c>
      <c r="O196" s="14">
        <v>0</v>
      </c>
      <c r="P196" s="14">
        <v>0</v>
      </c>
      <c r="Q196" s="15">
        <v>0</v>
      </c>
      <c r="R196" s="15">
        <v>0</v>
      </c>
      <c r="S196" s="15">
        <f>$G$196*$G$8+$H$196*$H$8+$I$196*$I$8+$J$196*$J$8+$K$196*$K$8+$L$196*$L$8+$M$196*$M$8+$N$196*$N$8+$O$196*$O$8+$P$196*$P$8</f>
        <v>0</v>
      </c>
      <c r="T196" s="15">
        <f>SUM($Q$196:$R$196)</f>
        <v>0</v>
      </c>
      <c r="U196" s="15">
        <f>$S$196+$T$196</f>
        <v>0</v>
      </c>
    </row>
    <row r="197" spans="1:21" x14ac:dyDescent="0.3">
      <c r="A197" s="10" t="s">
        <v>720</v>
      </c>
      <c r="B197" s="11" t="s">
        <v>721</v>
      </c>
      <c r="C197" s="11"/>
      <c r="D197" s="11" t="s">
        <v>722</v>
      </c>
      <c r="E197" s="11">
        <f xml:space="preserve"> IF($U$197,1,0)</f>
        <v>0</v>
      </c>
      <c r="F197" s="11" t="s">
        <v>723</v>
      </c>
      <c r="G197" s="11">
        <v>0</v>
      </c>
      <c r="H197" s="11">
        <v>0</v>
      </c>
      <c r="I197" s="11">
        <v>0</v>
      </c>
      <c r="J197" s="11">
        <v>0</v>
      </c>
      <c r="K197" s="11">
        <v>0</v>
      </c>
      <c r="L197" s="11">
        <v>0</v>
      </c>
      <c r="M197" s="11">
        <v>0</v>
      </c>
      <c r="N197" s="11">
        <v>0</v>
      </c>
      <c r="O197" s="11">
        <v>0</v>
      </c>
      <c r="P197" s="11">
        <v>0</v>
      </c>
      <c r="Q197" s="12">
        <v>0</v>
      </c>
      <c r="R197" s="12">
        <v>0</v>
      </c>
      <c r="S197" s="12">
        <f>$G$197*$G$8+$H$197*$H$8+$I$197*$I$8+$J$197*$J$8+$K$197*$K$8+$L$197*$L$8+$M$197*$M$8+$N$197*$N$8+$O$197*$O$8+$P$197*$P$8</f>
        <v>0</v>
      </c>
      <c r="T197" s="12">
        <f>SUM($Q$197:$R$197)</f>
        <v>0</v>
      </c>
      <c r="U197" s="12">
        <f>$S$197+$T$197</f>
        <v>0</v>
      </c>
    </row>
    <row r="198" spans="1:21" x14ac:dyDescent="0.3">
      <c r="A198" s="13" t="s">
        <v>724</v>
      </c>
      <c r="B198" s="14" t="s">
        <v>721</v>
      </c>
      <c r="C198" s="14"/>
      <c r="D198" s="14" t="s">
        <v>725</v>
      </c>
      <c r="E198" s="14">
        <f xml:space="preserve"> IF($U$198,1,0)</f>
        <v>0</v>
      </c>
      <c r="F198" s="14" t="s">
        <v>726</v>
      </c>
      <c r="G198" s="14">
        <v>0</v>
      </c>
      <c r="H198" s="14">
        <v>0</v>
      </c>
      <c r="I198" s="14">
        <v>0</v>
      </c>
      <c r="J198" s="14">
        <v>0</v>
      </c>
      <c r="K198" s="14">
        <v>0</v>
      </c>
      <c r="L198" s="14">
        <v>0</v>
      </c>
      <c r="M198" s="14">
        <v>0</v>
      </c>
      <c r="N198" s="14">
        <v>0</v>
      </c>
      <c r="O198" s="14">
        <v>0</v>
      </c>
      <c r="P198" s="14">
        <v>0</v>
      </c>
      <c r="Q198" s="15">
        <v>0</v>
      </c>
      <c r="R198" s="15">
        <v>0</v>
      </c>
      <c r="S198" s="15">
        <f>$G$198*$G$8+$H$198*$H$8+$I$198*$I$8+$J$198*$J$8+$K$198*$K$8+$L$198*$L$8+$M$198*$M$8+$N$198*$N$8+$O$198*$O$8+$P$198*$P$8</f>
        <v>0</v>
      </c>
      <c r="T198" s="15">
        <f>SUM($Q$198:$R$198)</f>
        <v>0</v>
      </c>
      <c r="U198" s="15">
        <f>$S$198+$T$198</f>
        <v>0</v>
      </c>
    </row>
    <row r="199" spans="1:21" x14ac:dyDescent="0.3">
      <c r="A199" s="10" t="s">
        <v>727</v>
      </c>
      <c r="B199" s="11" t="s">
        <v>728</v>
      </c>
      <c r="C199" s="11"/>
      <c r="D199" s="11" t="s">
        <v>729</v>
      </c>
      <c r="E199" s="11">
        <f xml:space="preserve"> IF($U$199,1,0)</f>
        <v>0</v>
      </c>
      <c r="F199" s="11" t="s">
        <v>730</v>
      </c>
      <c r="G199" s="11">
        <v>0</v>
      </c>
      <c r="H199" s="11">
        <v>0</v>
      </c>
      <c r="I199" s="11">
        <v>0</v>
      </c>
      <c r="J199" s="11">
        <v>0</v>
      </c>
      <c r="K199" s="11">
        <v>0</v>
      </c>
      <c r="L199" s="11">
        <v>0</v>
      </c>
      <c r="M199" s="11">
        <v>0</v>
      </c>
      <c r="N199" s="11">
        <v>0</v>
      </c>
      <c r="O199" s="11">
        <v>0</v>
      </c>
      <c r="P199" s="11">
        <v>0</v>
      </c>
      <c r="Q199" s="12">
        <v>0</v>
      </c>
      <c r="R199" s="12">
        <v>0</v>
      </c>
      <c r="S199" s="12">
        <f>$G$199*$G$8+$H$199*$H$8+$I$199*$I$8+$J$199*$J$8+$K$199*$K$8+$L$199*$L$8+$M$199*$M$8+$N$199*$N$8+$O$199*$O$8+$P$199*$P$8</f>
        <v>0</v>
      </c>
      <c r="T199" s="12">
        <f>SUM($Q$199:$R$199)</f>
        <v>0</v>
      </c>
      <c r="U199" s="12">
        <f>$S$199+$T$199</f>
        <v>0</v>
      </c>
    </row>
    <row r="200" spans="1:21" x14ac:dyDescent="0.3">
      <c r="A200" s="13" t="s">
        <v>731</v>
      </c>
      <c r="B200" s="14" t="s">
        <v>732</v>
      </c>
      <c r="C200" s="14"/>
      <c r="D200" s="14" t="s">
        <v>733</v>
      </c>
      <c r="E200" s="14">
        <f xml:space="preserve"> IF($U$200,1,0)</f>
        <v>0</v>
      </c>
      <c r="F200" s="14" t="s">
        <v>734</v>
      </c>
      <c r="G200" s="14">
        <v>0</v>
      </c>
      <c r="H200" s="14">
        <v>0</v>
      </c>
      <c r="I200" s="14">
        <v>0</v>
      </c>
      <c r="J200" s="14">
        <v>0</v>
      </c>
      <c r="K200" s="14">
        <v>0</v>
      </c>
      <c r="L200" s="14">
        <v>0</v>
      </c>
      <c r="M200" s="14">
        <v>0</v>
      </c>
      <c r="N200" s="14">
        <v>0</v>
      </c>
      <c r="O200" s="14">
        <v>0</v>
      </c>
      <c r="P200" s="14">
        <v>0</v>
      </c>
      <c r="Q200" s="15">
        <v>0</v>
      </c>
      <c r="R200" s="15">
        <v>0</v>
      </c>
      <c r="S200" s="15">
        <f>$G$200*$G$8+$H$200*$H$8+$I$200*$I$8+$J$200*$J$8+$K$200*$K$8+$L$200*$L$8+$M$200*$M$8+$N$200*$N$8+$O$200*$O$8+$P$200*$P$8</f>
        <v>0</v>
      </c>
      <c r="T200" s="15">
        <f>SUM($Q$200:$R$200)</f>
        <v>0</v>
      </c>
      <c r="U200" s="15">
        <f>$S$200+$T$200</f>
        <v>0</v>
      </c>
    </row>
    <row r="201" spans="1:21" x14ac:dyDescent="0.3">
      <c r="A201" s="10" t="s">
        <v>735</v>
      </c>
      <c r="B201" s="11" t="s">
        <v>736</v>
      </c>
      <c r="C201" s="11"/>
      <c r="D201" s="11" t="s">
        <v>737</v>
      </c>
      <c r="E201" s="11">
        <f xml:space="preserve"> IF($U$201,1,0)</f>
        <v>0</v>
      </c>
      <c r="F201" s="11" t="s">
        <v>738</v>
      </c>
      <c r="G201" s="11">
        <v>0</v>
      </c>
      <c r="H201" s="11">
        <v>0</v>
      </c>
      <c r="I201" s="11">
        <v>0</v>
      </c>
      <c r="J201" s="11">
        <v>0</v>
      </c>
      <c r="K201" s="11">
        <v>0</v>
      </c>
      <c r="L201" s="11">
        <v>0</v>
      </c>
      <c r="M201" s="11">
        <v>0</v>
      </c>
      <c r="N201" s="11">
        <v>0</v>
      </c>
      <c r="O201" s="11">
        <v>0</v>
      </c>
      <c r="P201" s="11">
        <v>0</v>
      </c>
      <c r="Q201" s="12">
        <v>0</v>
      </c>
      <c r="R201" s="12">
        <v>0</v>
      </c>
      <c r="S201" s="12">
        <f>$G$201*$G$8+$H$201*$H$8+$I$201*$I$8+$J$201*$J$8+$K$201*$K$8+$L$201*$L$8+$M$201*$M$8+$N$201*$N$8+$O$201*$O$8+$P$201*$P$8</f>
        <v>0</v>
      </c>
      <c r="T201" s="12">
        <f>SUM($Q$201:$R$201)</f>
        <v>0</v>
      </c>
      <c r="U201" s="12">
        <f>$S$201+$T$201</f>
        <v>0</v>
      </c>
    </row>
    <row r="202" spans="1:21" x14ac:dyDescent="0.3">
      <c r="A202" s="13" t="s">
        <v>739</v>
      </c>
      <c r="B202" s="14" t="s">
        <v>740</v>
      </c>
      <c r="C202" s="14" t="s">
        <v>65</v>
      </c>
      <c r="D202" s="14" t="s">
        <v>239</v>
      </c>
      <c r="E202" s="14">
        <f xml:space="preserve"> IF($U$202,1,0)</f>
        <v>0</v>
      </c>
      <c r="F202" s="14" t="s">
        <v>741</v>
      </c>
      <c r="G202" s="14">
        <v>0</v>
      </c>
      <c r="H202" s="14">
        <v>0</v>
      </c>
      <c r="I202" s="14">
        <v>0</v>
      </c>
      <c r="J202" s="14">
        <v>0</v>
      </c>
      <c r="K202" s="14">
        <v>0</v>
      </c>
      <c r="L202" s="14">
        <v>0</v>
      </c>
      <c r="M202" s="14">
        <v>0</v>
      </c>
      <c r="N202" s="14">
        <v>0</v>
      </c>
      <c r="O202" s="14">
        <v>0</v>
      </c>
      <c r="P202" s="14">
        <v>0</v>
      </c>
      <c r="Q202" s="15">
        <v>0</v>
      </c>
      <c r="R202" s="15">
        <v>0</v>
      </c>
      <c r="S202" s="15">
        <f>$G$202*$G$8+$H$202*$H$8+$I$202*$I$8+$J$202*$J$8+$K$202*$K$8+$L$202*$L$8+$M$202*$M$8+$N$202*$N$8+$O$202*$O$8+$P$202*$P$8</f>
        <v>0</v>
      </c>
      <c r="T202" s="15">
        <f>SUM($Q$202:$R$202)</f>
        <v>0</v>
      </c>
      <c r="U202" s="15">
        <f>$S$202+$T$202</f>
        <v>0</v>
      </c>
    </row>
    <row r="203" spans="1:21" x14ac:dyDescent="0.3">
      <c r="A203" s="10" t="s">
        <v>742</v>
      </c>
      <c r="B203" s="11" t="s">
        <v>743</v>
      </c>
      <c r="C203" s="11"/>
      <c r="D203" s="11" t="s">
        <v>744</v>
      </c>
      <c r="E203" s="11">
        <f xml:space="preserve"> IF($U$203,1,0)</f>
        <v>0</v>
      </c>
      <c r="F203" s="11" t="s">
        <v>745</v>
      </c>
      <c r="G203" s="11">
        <v>0</v>
      </c>
      <c r="H203" s="11">
        <v>0</v>
      </c>
      <c r="I203" s="11">
        <v>0</v>
      </c>
      <c r="J203" s="11">
        <v>0</v>
      </c>
      <c r="K203" s="11">
        <v>0</v>
      </c>
      <c r="L203" s="11">
        <v>0</v>
      </c>
      <c r="M203" s="11">
        <v>0</v>
      </c>
      <c r="N203" s="11">
        <v>0</v>
      </c>
      <c r="O203" s="11">
        <v>0</v>
      </c>
      <c r="P203" s="11">
        <v>0</v>
      </c>
      <c r="Q203" s="12">
        <v>0</v>
      </c>
      <c r="R203" s="12">
        <v>0</v>
      </c>
      <c r="S203" s="12">
        <f>$G$203*$G$8+$H$203*$H$8+$I$203*$I$8+$J$203*$J$8+$K$203*$K$8+$L$203*$L$8+$M$203*$M$8+$N$203*$N$8+$O$203*$O$8+$P$203*$P$8</f>
        <v>0</v>
      </c>
      <c r="T203" s="12">
        <f>SUM($Q$203:$R$203)</f>
        <v>0</v>
      </c>
      <c r="U203" s="12">
        <f>$S$203+$T$203</f>
        <v>0</v>
      </c>
    </row>
    <row r="204" spans="1:21" x14ac:dyDescent="0.3">
      <c r="A204" s="13" t="s">
        <v>746</v>
      </c>
      <c r="B204" s="14" t="s">
        <v>747</v>
      </c>
      <c r="C204" s="14"/>
      <c r="D204" s="14" t="s">
        <v>748</v>
      </c>
      <c r="E204" s="14">
        <f xml:space="preserve"> IF($U$204,1,0)</f>
        <v>0</v>
      </c>
      <c r="F204" s="14" t="s">
        <v>749</v>
      </c>
      <c r="G204" s="14">
        <v>0</v>
      </c>
      <c r="H204" s="14">
        <v>0</v>
      </c>
      <c r="I204" s="14">
        <v>0</v>
      </c>
      <c r="J204" s="14">
        <v>0</v>
      </c>
      <c r="K204" s="14">
        <v>0</v>
      </c>
      <c r="L204" s="14">
        <v>0</v>
      </c>
      <c r="M204" s="14">
        <v>0</v>
      </c>
      <c r="N204" s="14">
        <v>0</v>
      </c>
      <c r="O204" s="14">
        <v>0</v>
      </c>
      <c r="P204" s="14">
        <v>0</v>
      </c>
      <c r="Q204" s="15">
        <v>0</v>
      </c>
      <c r="R204" s="15">
        <v>0</v>
      </c>
      <c r="S204" s="15">
        <f>$G$204*$G$8+$H$204*$H$8+$I$204*$I$8+$J$204*$J$8+$K$204*$K$8+$L$204*$L$8+$M$204*$M$8+$N$204*$N$8+$O$204*$O$8+$P$204*$P$8</f>
        <v>0</v>
      </c>
      <c r="T204" s="15">
        <f>SUM($Q$204:$R$204)</f>
        <v>0</v>
      </c>
      <c r="U204" s="15">
        <f>$S$204+$T$204</f>
        <v>0</v>
      </c>
    </row>
    <row r="205" spans="1:21" x14ac:dyDescent="0.3">
      <c r="A205" s="10" t="s">
        <v>750</v>
      </c>
      <c r="B205" s="11" t="s">
        <v>751</v>
      </c>
      <c r="C205" s="11"/>
      <c r="D205" s="11" t="s">
        <v>752</v>
      </c>
      <c r="E205" s="11">
        <f xml:space="preserve"> IF($U$205,1,0)</f>
        <v>0</v>
      </c>
      <c r="F205" s="11" t="s">
        <v>753</v>
      </c>
      <c r="G205" s="11">
        <v>0</v>
      </c>
      <c r="H205" s="11">
        <v>0</v>
      </c>
      <c r="I205" s="11">
        <v>0</v>
      </c>
      <c r="J205" s="11">
        <v>0</v>
      </c>
      <c r="K205" s="11">
        <v>0</v>
      </c>
      <c r="L205" s="11">
        <v>0</v>
      </c>
      <c r="M205" s="11">
        <v>0</v>
      </c>
      <c r="N205" s="11">
        <v>0</v>
      </c>
      <c r="O205" s="11">
        <v>0</v>
      </c>
      <c r="P205" s="11">
        <v>0</v>
      </c>
      <c r="Q205" s="12">
        <v>0</v>
      </c>
      <c r="R205" s="12">
        <v>0</v>
      </c>
      <c r="S205" s="12">
        <f>$G$205*$G$8+$H$205*$H$8+$I$205*$I$8+$J$205*$J$8+$K$205*$K$8+$L$205*$L$8+$M$205*$M$8+$N$205*$N$8+$O$205*$O$8+$P$205*$P$8</f>
        <v>0</v>
      </c>
      <c r="T205" s="12">
        <f>SUM($Q$205:$R$205)</f>
        <v>0</v>
      </c>
      <c r="U205" s="12">
        <f>$S$205+$T$205</f>
        <v>0</v>
      </c>
    </row>
    <row r="206" spans="1:21" x14ac:dyDescent="0.3">
      <c r="A206" s="13" t="s">
        <v>754</v>
      </c>
      <c r="B206" s="14" t="s">
        <v>755</v>
      </c>
      <c r="C206" s="14"/>
      <c r="D206" s="14" t="s">
        <v>756</v>
      </c>
      <c r="E206" s="14">
        <f xml:space="preserve"> IF($U$206,1,0)</f>
        <v>0</v>
      </c>
      <c r="F206" s="14" t="s">
        <v>757</v>
      </c>
      <c r="G206" s="14">
        <v>0</v>
      </c>
      <c r="H206" s="14">
        <v>0</v>
      </c>
      <c r="I206" s="14">
        <v>0</v>
      </c>
      <c r="J206" s="14">
        <v>0</v>
      </c>
      <c r="K206" s="14">
        <v>0</v>
      </c>
      <c r="L206" s="14">
        <v>0</v>
      </c>
      <c r="M206" s="14">
        <v>0</v>
      </c>
      <c r="N206" s="14">
        <v>0</v>
      </c>
      <c r="O206" s="14">
        <v>0</v>
      </c>
      <c r="P206" s="14">
        <v>0</v>
      </c>
      <c r="Q206" s="15">
        <v>0</v>
      </c>
      <c r="R206" s="15">
        <v>0</v>
      </c>
      <c r="S206" s="15">
        <f>$G$206*$G$8+$H$206*$H$8+$I$206*$I$8+$J$206*$J$8+$K$206*$K$8+$L$206*$L$8+$M$206*$M$8+$N$206*$N$8+$O$206*$O$8+$P$206*$P$8</f>
        <v>0</v>
      </c>
      <c r="T206" s="15">
        <f>SUM($Q$206:$R$206)</f>
        <v>0</v>
      </c>
      <c r="U206" s="15">
        <f>$S$206+$T$206</f>
        <v>0</v>
      </c>
    </row>
    <row r="207" spans="1:21" x14ac:dyDescent="0.3">
      <c r="A207" s="10" t="s">
        <v>758</v>
      </c>
      <c r="B207" s="11" t="s">
        <v>759</v>
      </c>
      <c r="C207" s="11"/>
      <c r="D207" s="11" t="s">
        <v>760</v>
      </c>
      <c r="E207" s="11">
        <f xml:space="preserve"> IF($U$207,1,0)</f>
        <v>0</v>
      </c>
      <c r="F207" s="11" t="s">
        <v>761</v>
      </c>
      <c r="G207" s="11">
        <v>0</v>
      </c>
      <c r="H207" s="11">
        <v>0</v>
      </c>
      <c r="I207" s="11">
        <v>0</v>
      </c>
      <c r="J207" s="11">
        <v>0</v>
      </c>
      <c r="K207" s="11">
        <v>0</v>
      </c>
      <c r="L207" s="11">
        <v>0</v>
      </c>
      <c r="M207" s="11">
        <v>0</v>
      </c>
      <c r="N207" s="11">
        <v>0</v>
      </c>
      <c r="O207" s="11">
        <v>0</v>
      </c>
      <c r="P207" s="11">
        <v>0</v>
      </c>
      <c r="Q207" s="12">
        <v>0</v>
      </c>
      <c r="R207" s="12">
        <v>0</v>
      </c>
      <c r="S207" s="12">
        <f>$G$207*$G$8+$H$207*$H$8+$I$207*$I$8+$J$207*$J$8+$K$207*$K$8+$L$207*$L$8+$M$207*$M$8+$N$207*$N$8+$O$207*$O$8+$P$207*$P$8</f>
        <v>0</v>
      </c>
      <c r="T207" s="12">
        <f>SUM($Q$207:$R$207)</f>
        <v>0</v>
      </c>
      <c r="U207" s="12">
        <f>$S$207+$T$207</f>
        <v>0</v>
      </c>
    </row>
    <row r="208" spans="1:21" x14ac:dyDescent="0.3">
      <c r="A208" s="13" t="s">
        <v>762</v>
      </c>
      <c r="B208" s="14" t="s">
        <v>763</v>
      </c>
      <c r="C208" s="14"/>
      <c r="D208" s="14" t="s">
        <v>764</v>
      </c>
      <c r="E208" s="14">
        <f xml:space="preserve"> IF($U$208,1,0)</f>
        <v>0</v>
      </c>
      <c r="F208" s="14" t="s">
        <v>765</v>
      </c>
      <c r="G208" s="14">
        <v>0</v>
      </c>
      <c r="H208" s="14">
        <v>0</v>
      </c>
      <c r="I208" s="14">
        <v>0</v>
      </c>
      <c r="J208" s="14">
        <v>0</v>
      </c>
      <c r="K208" s="14">
        <v>0</v>
      </c>
      <c r="L208" s="14">
        <v>0</v>
      </c>
      <c r="M208" s="14">
        <v>0</v>
      </c>
      <c r="N208" s="14">
        <v>0</v>
      </c>
      <c r="O208" s="14">
        <v>0</v>
      </c>
      <c r="P208" s="14">
        <v>0</v>
      </c>
      <c r="Q208" s="15">
        <v>0</v>
      </c>
      <c r="R208" s="15">
        <v>0</v>
      </c>
      <c r="S208" s="15">
        <f>$G$208*$G$8+$H$208*$H$8+$I$208*$I$8+$J$208*$J$8+$K$208*$K$8+$L$208*$L$8+$M$208*$M$8+$N$208*$N$8+$O$208*$O$8+$P$208*$P$8</f>
        <v>0</v>
      </c>
      <c r="T208" s="15">
        <f>SUM($Q$208:$R$208)</f>
        <v>0</v>
      </c>
      <c r="U208" s="15">
        <f>$S$208+$T$208</f>
        <v>0</v>
      </c>
    </row>
    <row r="209" spans="1:21" x14ac:dyDescent="0.3">
      <c r="A209" s="10" t="s">
        <v>766</v>
      </c>
      <c r="B209" s="11" t="s">
        <v>767</v>
      </c>
      <c r="C209" s="11"/>
      <c r="D209" s="11" t="s">
        <v>768</v>
      </c>
      <c r="E209" s="11">
        <f xml:space="preserve"> IF($U$209,1,0)</f>
        <v>0</v>
      </c>
      <c r="F209" s="11" t="s">
        <v>769</v>
      </c>
      <c r="G209" s="11">
        <v>0</v>
      </c>
      <c r="H209" s="11">
        <v>0</v>
      </c>
      <c r="I209" s="11">
        <v>0</v>
      </c>
      <c r="J209" s="11">
        <v>0</v>
      </c>
      <c r="K209" s="11">
        <v>0</v>
      </c>
      <c r="L209" s="11">
        <v>0</v>
      </c>
      <c r="M209" s="11">
        <v>0</v>
      </c>
      <c r="N209" s="11">
        <v>0</v>
      </c>
      <c r="O209" s="11">
        <v>0</v>
      </c>
      <c r="P209" s="11">
        <v>0</v>
      </c>
      <c r="Q209" s="12">
        <v>0</v>
      </c>
      <c r="R209" s="12">
        <v>0</v>
      </c>
      <c r="S209" s="12">
        <f>$G$209*$G$8+$H$209*$H$8+$I$209*$I$8+$J$209*$J$8+$K$209*$K$8+$L$209*$L$8+$M$209*$M$8+$N$209*$N$8+$O$209*$O$8+$P$209*$P$8</f>
        <v>0</v>
      </c>
      <c r="T209" s="12">
        <f>SUM($Q$209:$R$209)</f>
        <v>0</v>
      </c>
      <c r="U209" s="12">
        <f>$S$209+$T$209</f>
        <v>0</v>
      </c>
    </row>
    <row r="210" spans="1:21" x14ac:dyDescent="0.3">
      <c r="A210" s="13" t="s">
        <v>770</v>
      </c>
      <c r="B210" s="14" t="s">
        <v>771</v>
      </c>
      <c r="C210" s="14"/>
      <c r="D210" s="14" t="s">
        <v>772</v>
      </c>
      <c r="E210" s="14">
        <f xml:space="preserve"> IF($U$210,1,0)</f>
        <v>0</v>
      </c>
      <c r="F210" s="14" t="s">
        <v>773</v>
      </c>
      <c r="G210" s="14">
        <v>0</v>
      </c>
      <c r="H210" s="14">
        <v>0</v>
      </c>
      <c r="I210" s="14">
        <v>0</v>
      </c>
      <c r="J210" s="14">
        <v>0</v>
      </c>
      <c r="K210" s="14">
        <v>0</v>
      </c>
      <c r="L210" s="14">
        <v>0</v>
      </c>
      <c r="M210" s="14">
        <v>0</v>
      </c>
      <c r="N210" s="14">
        <v>0</v>
      </c>
      <c r="O210" s="14">
        <v>0</v>
      </c>
      <c r="P210" s="14">
        <v>0</v>
      </c>
      <c r="Q210" s="15">
        <v>0</v>
      </c>
      <c r="R210" s="15">
        <v>0</v>
      </c>
      <c r="S210" s="15">
        <f>$G$210*$G$8+$H$210*$H$8+$I$210*$I$8+$J$210*$J$8+$K$210*$K$8+$L$210*$L$8+$M$210*$M$8+$N$210*$N$8+$O$210*$O$8+$P$210*$P$8</f>
        <v>0</v>
      </c>
      <c r="T210" s="15">
        <f>SUM($Q$210:$R$210)</f>
        <v>0</v>
      </c>
      <c r="U210" s="15">
        <f>$S$210+$T$210</f>
        <v>0</v>
      </c>
    </row>
    <row r="211" spans="1:21" x14ac:dyDescent="0.3">
      <c r="A211" s="10" t="s">
        <v>774</v>
      </c>
      <c r="B211" s="11" t="s">
        <v>775</v>
      </c>
      <c r="C211" s="11"/>
      <c r="D211" s="11" t="s">
        <v>776</v>
      </c>
      <c r="E211" s="11">
        <f xml:space="preserve"> IF($U$211,1,0)</f>
        <v>0</v>
      </c>
      <c r="F211" s="11" t="s">
        <v>777</v>
      </c>
      <c r="G211" s="11">
        <v>0</v>
      </c>
      <c r="H211" s="11">
        <v>0</v>
      </c>
      <c r="I211" s="11">
        <v>0</v>
      </c>
      <c r="J211" s="11">
        <v>0</v>
      </c>
      <c r="K211" s="11">
        <v>0</v>
      </c>
      <c r="L211" s="11">
        <v>0</v>
      </c>
      <c r="M211" s="11">
        <v>0</v>
      </c>
      <c r="N211" s="11">
        <v>0</v>
      </c>
      <c r="O211" s="11">
        <v>0</v>
      </c>
      <c r="P211" s="11">
        <v>0</v>
      </c>
      <c r="Q211" s="12">
        <v>0</v>
      </c>
      <c r="R211" s="12">
        <v>0</v>
      </c>
      <c r="S211" s="12">
        <f>$G$211*$G$8+$H$211*$H$8+$I$211*$I$8+$J$211*$J$8+$K$211*$K$8+$L$211*$L$8+$M$211*$M$8+$N$211*$N$8+$O$211*$O$8+$P$211*$P$8</f>
        <v>0</v>
      </c>
      <c r="T211" s="12">
        <f>SUM($Q$211:$R$211)</f>
        <v>0</v>
      </c>
      <c r="U211" s="12">
        <f>$S$211+$T$211</f>
        <v>0</v>
      </c>
    </row>
    <row r="212" spans="1:21" x14ac:dyDescent="0.3">
      <c r="A212" s="13" t="s">
        <v>778</v>
      </c>
      <c r="B212" s="14" t="s">
        <v>779</v>
      </c>
      <c r="C212" s="14"/>
      <c r="D212" s="14" t="s">
        <v>780</v>
      </c>
      <c r="E212" s="14">
        <f xml:space="preserve"> IF($U$212,1,0)</f>
        <v>0</v>
      </c>
      <c r="F212" s="14" t="s">
        <v>781</v>
      </c>
      <c r="G212" s="14">
        <v>0</v>
      </c>
      <c r="H212" s="14">
        <v>0</v>
      </c>
      <c r="I212" s="14">
        <v>0</v>
      </c>
      <c r="J212" s="14">
        <v>0</v>
      </c>
      <c r="K212" s="14">
        <v>0</v>
      </c>
      <c r="L212" s="14">
        <v>0</v>
      </c>
      <c r="M212" s="14">
        <v>0</v>
      </c>
      <c r="N212" s="14">
        <v>0</v>
      </c>
      <c r="O212" s="14">
        <v>0</v>
      </c>
      <c r="P212" s="14">
        <v>0</v>
      </c>
      <c r="Q212" s="15">
        <v>0</v>
      </c>
      <c r="R212" s="15">
        <v>0</v>
      </c>
      <c r="S212" s="15">
        <f>$G$212*$G$8+$H$212*$H$8+$I$212*$I$8+$J$212*$J$8+$K$212*$K$8+$L$212*$L$8+$M$212*$M$8+$N$212*$N$8+$O$212*$O$8+$P$212*$P$8</f>
        <v>0</v>
      </c>
      <c r="T212" s="15">
        <f>SUM($Q$212:$R$212)</f>
        <v>0</v>
      </c>
      <c r="U212" s="15">
        <f>$S$212+$T$212</f>
        <v>0</v>
      </c>
    </row>
    <row r="213" spans="1:21" x14ac:dyDescent="0.3">
      <c r="A213" s="10" t="s">
        <v>782</v>
      </c>
      <c r="B213" s="11" t="s">
        <v>779</v>
      </c>
      <c r="C213" s="11"/>
      <c r="D213" s="11" t="s">
        <v>783</v>
      </c>
      <c r="E213" s="11">
        <f xml:space="preserve"> IF($U$213,1,0)</f>
        <v>0</v>
      </c>
      <c r="F213" s="11" t="s">
        <v>784</v>
      </c>
      <c r="G213" s="11">
        <v>0</v>
      </c>
      <c r="H213" s="11">
        <v>0</v>
      </c>
      <c r="I213" s="11">
        <v>0</v>
      </c>
      <c r="J213" s="11">
        <v>0</v>
      </c>
      <c r="K213" s="11">
        <v>0</v>
      </c>
      <c r="L213" s="11">
        <v>0</v>
      </c>
      <c r="M213" s="11">
        <v>0</v>
      </c>
      <c r="N213" s="11">
        <v>0</v>
      </c>
      <c r="O213" s="11">
        <v>0</v>
      </c>
      <c r="P213" s="11">
        <v>0</v>
      </c>
      <c r="Q213" s="12">
        <v>0</v>
      </c>
      <c r="R213" s="12">
        <v>0</v>
      </c>
      <c r="S213" s="12">
        <f>$G$213*$G$8+$H$213*$H$8+$I$213*$I$8+$J$213*$J$8+$K$213*$K$8+$L$213*$L$8+$M$213*$M$8+$N$213*$N$8+$O$213*$O$8+$P$213*$P$8</f>
        <v>0</v>
      </c>
      <c r="T213" s="12">
        <f>SUM($Q$213:$R$213)</f>
        <v>0</v>
      </c>
      <c r="U213" s="12">
        <f>$S$213+$T$213</f>
        <v>0</v>
      </c>
    </row>
    <row r="214" spans="1:21" x14ac:dyDescent="0.3">
      <c r="A214" s="13" t="s">
        <v>785</v>
      </c>
      <c r="B214" s="14" t="s">
        <v>779</v>
      </c>
      <c r="C214" s="14"/>
      <c r="D214" s="14" t="s">
        <v>786</v>
      </c>
      <c r="E214" s="14">
        <f xml:space="preserve"> IF($U$214,1,0)</f>
        <v>0</v>
      </c>
      <c r="F214" s="14" t="s">
        <v>787</v>
      </c>
      <c r="G214" s="14">
        <v>0</v>
      </c>
      <c r="H214" s="14">
        <v>0</v>
      </c>
      <c r="I214" s="14">
        <v>0</v>
      </c>
      <c r="J214" s="14">
        <v>0</v>
      </c>
      <c r="K214" s="14">
        <v>0</v>
      </c>
      <c r="L214" s="14">
        <v>0</v>
      </c>
      <c r="M214" s="14">
        <v>0</v>
      </c>
      <c r="N214" s="14">
        <v>0</v>
      </c>
      <c r="O214" s="14">
        <v>0</v>
      </c>
      <c r="P214" s="14">
        <v>0</v>
      </c>
      <c r="Q214" s="15">
        <v>0</v>
      </c>
      <c r="R214" s="15">
        <v>0</v>
      </c>
      <c r="S214" s="15">
        <f>$G$214*$G$8+$H$214*$H$8+$I$214*$I$8+$J$214*$J$8+$K$214*$K$8+$L$214*$L$8+$M$214*$M$8+$N$214*$N$8+$O$214*$O$8+$P$214*$P$8</f>
        <v>0</v>
      </c>
      <c r="T214" s="15">
        <f>SUM($Q$214:$R$214)</f>
        <v>0</v>
      </c>
      <c r="U214" s="15">
        <f>$S$214+$T$214</f>
        <v>0</v>
      </c>
    </row>
    <row r="215" spans="1:21" x14ac:dyDescent="0.3">
      <c r="A215" s="10" t="s">
        <v>788</v>
      </c>
      <c r="B215" s="11" t="s">
        <v>789</v>
      </c>
      <c r="C215" s="11"/>
      <c r="D215" s="11" t="s">
        <v>790</v>
      </c>
      <c r="E215" s="11">
        <f xml:space="preserve"> IF($U$215,1,0)</f>
        <v>0</v>
      </c>
      <c r="F215" s="11" t="s">
        <v>791</v>
      </c>
      <c r="G215" s="11">
        <v>0</v>
      </c>
      <c r="H215" s="11">
        <v>0</v>
      </c>
      <c r="I215" s="11">
        <v>0</v>
      </c>
      <c r="J215" s="11">
        <v>0</v>
      </c>
      <c r="K215" s="11">
        <v>0</v>
      </c>
      <c r="L215" s="11">
        <v>0</v>
      </c>
      <c r="M215" s="11">
        <v>0</v>
      </c>
      <c r="N215" s="11">
        <v>0</v>
      </c>
      <c r="O215" s="11">
        <v>0</v>
      </c>
      <c r="P215" s="11">
        <v>0</v>
      </c>
      <c r="Q215" s="12">
        <v>0</v>
      </c>
      <c r="R215" s="12">
        <v>0</v>
      </c>
      <c r="S215" s="12">
        <f>$G$215*$G$8+$H$215*$H$8+$I$215*$I$8+$J$215*$J$8+$K$215*$K$8+$L$215*$L$8+$M$215*$M$8+$N$215*$N$8+$O$215*$O$8+$P$215*$P$8</f>
        <v>0</v>
      </c>
      <c r="T215" s="12">
        <f>SUM($Q$215:$R$215)</f>
        <v>0</v>
      </c>
      <c r="U215" s="12">
        <f>$S$215+$T$215</f>
        <v>0</v>
      </c>
    </row>
    <row r="216" spans="1:21" x14ac:dyDescent="0.3">
      <c r="A216" s="13" t="s">
        <v>792</v>
      </c>
      <c r="B216" s="14" t="s">
        <v>793</v>
      </c>
      <c r="C216" s="14"/>
      <c r="D216" s="14" t="s">
        <v>794</v>
      </c>
      <c r="E216" s="14">
        <f xml:space="preserve"> IF($U$216,1,0)</f>
        <v>0</v>
      </c>
      <c r="F216" s="14" t="s">
        <v>795</v>
      </c>
      <c r="G216" s="14">
        <v>0</v>
      </c>
      <c r="H216" s="14">
        <v>0</v>
      </c>
      <c r="I216" s="14">
        <v>0</v>
      </c>
      <c r="J216" s="14">
        <v>0</v>
      </c>
      <c r="K216" s="14">
        <v>0</v>
      </c>
      <c r="L216" s="14">
        <v>0</v>
      </c>
      <c r="M216" s="14">
        <v>0</v>
      </c>
      <c r="N216" s="14">
        <v>0</v>
      </c>
      <c r="O216" s="14">
        <v>0</v>
      </c>
      <c r="P216" s="14">
        <v>0</v>
      </c>
      <c r="Q216" s="15">
        <v>0</v>
      </c>
      <c r="R216" s="15">
        <v>0</v>
      </c>
      <c r="S216" s="15">
        <f>$G$216*$G$8+$H$216*$H$8+$I$216*$I$8+$J$216*$J$8+$K$216*$K$8+$L$216*$L$8+$M$216*$M$8+$N$216*$N$8+$O$216*$O$8+$P$216*$P$8</f>
        <v>0</v>
      </c>
      <c r="T216" s="15">
        <f>SUM($Q$216:$R$216)</f>
        <v>0</v>
      </c>
      <c r="U216" s="15">
        <f>$S$216+$T$216</f>
        <v>0</v>
      </c>
    </row>
    <row r="217" spans="1:21" x14ac:dyDescent="0.3">
      <c r="A217" s="10" t="s">
        <v>796</v>
      </c>
      <c r="B217" s="11" t="s">
        <v>797</v>
      </c>
      <c r="C217" s="11"/>
      <c r="D217" s="11" t="s">
        <v>798</v>
      </c>
      <c r="E217" s="11">
        <f xml:space="preserve"> IF($U$217,1,0)</f>
        <v>0</v>
      </c>
      <c r="F217" s="11" t="s">
        <v>799</v>
      </c>
      <c r="G217" s="11">
        <v>0</v>
      </c>
      <c r="H217" s="11">
        <v>0</v>
      </c>
      <c r="I217" s="11">
        <v>0</v>
      </c>
      <c r="J217" s="11">
        <v>0</v>
      </c>
      <c r="K217" s="11">
        <v>0</v>
      </c>
      <c r="L217" s="11">
        <v>0</v>
      </c>
      <c r="M217" s="11">
        <v>0</v>
      </c>
      <c r="N217" s="11">
        <v>0</v>
      </c>
      <c r="O217" s="11">
        <v>0</v>
      </c>
      <c r="P217" s="11">
        <v>0</v>
      </c>
      <c r="Q217" s="12">
        <v>0</v>
      </c>
      <c r="R217" s="12">
        <v>0</v>
      </c>
      <c r="S217" s="12">
        <f>$G$217*$G$8+$H$217*$H$8+$I$217*$I$8+$J$217*$J$8+$K$217*$K$8+$L$217*$L$8+$M$217*$M$8+$N$217*$N$8+$O$217*$O$8+$P$217*$P$8</f>
        <v>0</v>
      </c>
      <c r="T217" s="12">
        <f>SUM($Q$217:$R$217)</f>
        <v>0</v>
      </c>
      <c r="U217" s="12">
        <f>$S$217+$T$217</f>
        <v>0</v>
      </c>
    </row>
    <row r="218" spans="1:21" x14ac:dyDescent="0.3">
      <c r="A218" s="13" t="s">
        <v>800</v>
      </c>
      <c r="B218" s="14" t="s">
        <v>797</v>
      </c>
      <c r="C218" s="14" t="s">
        <v>34</v>
      </c>
      <c r="D218" s="14" t="s">
        <v>801</v>
      </c>
      <c r="E218" s="14">
        <f xml:space="preserve"> IF($U$218,1,0)</f>
        <v>0</v>
      </c>
      <c r="F218" s="14" t="s">
        <v>802</v>
      </c>
      <c r="G218" s="14">
        <v>0</v>
      </c>
      <c r="H218" s="14">
        <v>0</v>
      </c>
      <c r="I218" s="14">
        <v>0</v>
      </c>
      <c r="J218" s="14">
        <v>0</v>
      </c>
      <c r="K218" s="14">
        <v>0</v>
      </c>
      <c r="L218" s="14">
        <v>0</v>
      </c>
      <c r="M218" s="14">
        <v>0</v>
      </c>
      <c r="N218" s="14">
        <v>0</v>
      </c>
      <c r="O218" s="14">
        <v>0</v>
      </c>
      <c r="P218" s="14">
        <v>0</v>
      </c>
      <c r="Q218" s="15">
        <v>0</v>
      </c>
      <c r="R218" s="15">
        <v>0</v>
      </c>
      <c r="S218" s="15">
        <f>$G$218*$G$8+$H$218*$H$8+$I$218*$I$8+$J$218*$J$8+$K$218*$K$8+$L$218*$L$8+$M$218*$M$8+$N$218*$N$8+$O$218*$O$8+$P$218*$P$8</f>
        <v>0</v>
      </c>
      <c r="T218" s="15">
        <f>SUM($Q$218:$R$218)</f>
        <v>0</v>
      </c>
      <c r="U218" s="15">
        <f>$S$218+$T$218</f>
        <v>0</v>
      </c>
    </row>
    <row r="219" spans="1:21" x14ac:dyDescent="0.3">
      <c r="A219" s="10" t="s">
        <v>803</v>
      </c>
      <c r="B219" s="11" t="s">
        <v>804</v>
      </c>
      <c r="C219" s="11" t="s">
        <v>34</v>
      </c>
      <c r="D219" s="11" t="s">
        <v>805</v>
      </c>
      <c r="E219" s="11">
        <f xml:space="preserve"> IF($U$219,1,0)</f>
        <v>0</v>
      </c>
      <c r="F219" s="11" t="s">
        <v>806</v>
      </c>
      <c r="G219" s="11">
        <v>0</v>
      </c>
      <c r="H219" s="11">
        <v>0</v>
      </c>
      <c r="I219" s="11">
        <v>0</v>
      </c>
      <c r="J219" s="11">
        <v>0</v>
      </c>
      <c r="K219" s="11">
        <v>0</v>
      </c>
      <c r="L219" s="11">
        <v>0</v>
      </c>
      <c r="M219" s="11">
        <v>0</v>
      </c>
      <c r="N219" s="11">
        <v>0</v>
      </c>
      <c r="O219" s="11">
        <v>0</v>
      </c>
      <c r="P219" s="11">
        <v>0</v>
      </c>
      <c r="Q219" s="12">
        <v>0</v>
      </c>
      <c r="R219" s="12">
        <v>0</v>
      </c>
      <c r="S219" s="12">
        <f>$G$219*$G$8+$H$219*$H$8+$I$219*$I$8+$J$219*$J$8+$K$219*$K$8+$L$219*$L$8+$M$219*$M$8+$N$219*$N$8+$O$219*$O$8+$P$219*$P$8</f>
        <v>0</v>
      </c>
      <c r="T219" s="12">
        <f>SUM($Q$219:$R$219)</f>
        <v>0</v>
      </c>
      <c r="U219" s="12">
        <f>$S$219+$T$219</f>
        <v>0</v>
      </c>
    </row>
    <row r="220" spans="1:21" x14ac:dyDescent="0.3">
      <c r="A220" s="13" t="s">
        <v>807</v>
      </c>
      <c r="B220" s="14" t="s">
        <v>808</v>
      </c>
      <c r="C220" s="14"/>
      <c r="D220" s="14" t="s">
        <v>809</v>
      </c>
      <c r="E220" s="14">
        <f xml:space="preserve"> IF($U$220,1,0)</f>
        <v>0</v>
      </c>
      <c r="F220" s="14" t="s">
        <v>810</v>
      </c>
      <c r="G220" s="14">
        <v>0</v>
      </c>
      <c r="H220" s="14">
        <v>0</v>
      </c>
      <c r="I220" s="14">
        <v>0</v>
      </c>
      <c r="J220" s="14">
        <v>0</v>
      </c>
      <c r="K220" s="14">
        <v>0</v>
      </c>
      <c r="L220" s="14">
        <v>0</v>
      </c>
      <c r="M220" s="14">
        <v>0</v>
      </c>
      <c r="N220" s="14">
        <v>0</v>
      </c>
      <c r="O220" s="14">
        <v>0</v>
      </c>
      <c r="P220" s="14">
        <v>0</v>
      </c>
      <c r="Q220" s="15">
        <v>0</v>
      </c>
      <c r="R220" s="15">
        <v>0</v>
      </c>
      <c r="S220" s="15">
        <f>$G$220*$G$8+$H$220*$H$8+$I$220*$I$8+$J$220*$J$8+$K$220*$K$8+$L$220*$L$8+$M$220*$M$8+$N$220*$N$8+$O$220*$O$8+$P$220*$P$8</f>
        <v>0</v>
      </c>
      <c r="T220" s="15">
        <f>SUM($Q$220:$R$220)</f>
        <v>0</v>
      </c>
      <c r="U220" s="15">
        <f>$S$220+$T$220</f>
        <v>0</v>
      </c>
    </row>
    <row r="221" spans="1:21" x14ac:dyDescent="0.3">
      <c r="A221" s="10" t="s">
        <v>811</v>
      </c>
      <c r="B221" s="11" t="s">
        <v>812</v>
      </c>
      <c r="C221" s="11"/>
      <c r="D221" s="11" t="s">
        <v>813</v>
      </c>
      <c r="E221" s="11">
        <f xml:space="preserve"> IF($U$221,1,0)</f>
        <v>0</v>
      </c>
      <c r="F221" s="11" t="s">
        <v>814</v>
      </c>
      <c r="G221" s="11">
        <v>0</v>
      </c>
      <c r="H221" s="11">
        <v>0</v>
      </c>
      <c r="I221" s="11">
        <v>0</v>
      </c>
      <c r="J221" s="11">
        <v>0</v>
      </c>
      <c r="K221" s="11">
        <v>0</v>
      </c>
      <c r="L221" s="11">
        <v>0</v>
      </c>
      <c r="M221" s="11">
        <v>0</v>
      </c>
      <c r="N221" s="11">
        <v>0</v>
      </c>
      <c r="O221" s="11">
        <v>0</v>
      </c>
      <c r="P221" s="11">
        <v>0</v>
      </c>
      <c r="Q221" s="12">
        <v>0</v>
      </c>
      <c r="R221" s="12">
        <v>0</v>
      </c>
      <c r="S221" s="12">
        <f>$G$221*$G$8+$H$221*$H$8+$I$221*$I$8+$J$221*$J$8+$K$221*$K$8+$L$221*$L$8+$M$221*$M$8+$N$221*$N$8+$O$221*$O$8+$P$221*$P$8</f>
        <v>0</v>
      </c>
      <c r="T221" s="12">
        <f>SUM($Q$221:$R$221)</f>
        <v>0</v>
      </c>
      <c r="U221" s="12">
        <f>$S$221+$T$221</f>
        <v>0</v>
      </c>
    </row>
    <row r="222" spans="1:21" x14ac:dyDescent="0.3">
      <c r="A222" s="13" t="s">
        <v>815</v>
      </c>
      <c r="B222" s="14" t="s">
        <v>816</v>
      </c>
      <c r="C222" s="14"/>
      <c r="D222" s="14" t="s">
        <v>817</v>
      </c>
      <c r="E222" s="14">
        <f xml:space="preserve"> IF($U$222,1,0)</f>
        <v>0</v>
      </c>
      <c r="F222" s="14" t="s">
        <v>818</v>
      </c>
      <c r="G222" s="14">
        <v>0</v>
      </c>
      <c r="H222" s="14">
        <v>0</v>
      </c>
      <c r="I222" s="14">
        <v>0</v>
      </c>
      <c r="J222" s="14">
        <v>0</v>
      </c>
      <c r="K222" s="14">
        <v>0</v>
      </c>
      <c r="L222" s="14">
        <v>0</v>
      </c>
      <c r="M222" s="14">
        <v>0</v>
      </c>
      <c r="N222" s="14">
        <v>0</v>
      </c>
      <c r="O222" s="14">
        <v>0</v>
      </c>
      <c r="P222" s="14">
        <v>0</v>
      </c>
      <c r="Q222" s="15">
        <v>0</v>
      </c>
      <c r="R222" s="15">
        <v>0</v>
      </c>
      <c r="S222" s="15">
        <f>$G$222*$G$8+$H$222*$H$8+$I$222*$I$8+$J$222*$J$8+$K$222*$K$8+$L$222*$L$8+$M$222*$M$8+$N$222*$N$8+$O$222*$O$8+$P$222*$P$8</f>
        <v>0</v>
      </c>
      <c r="T222" s="15">
        <f>SUM($Q$222:$R$222)</f>
        <v>0</v>
      </c>
      <c r="U222" s="15">
        <f>$S$222+$T$222</f>
        <v>0</v>
      </c>
    </row>
    <row r="223" spans="1:21" x14ac:dyDescent="0.3">
      <c r="A223" s="10" t="s">
        <v>819</v>
      </c>
      <c r="B223" s="11" t="s">
        <v>820</v>
      </c>
      <c r="C223" s="11"/>
      <c r="D223" s="11" t="s">
        <v>821</v>
      </c>
      <c r="E223" s="11">
        <f xml:space="preserve"> IF($U$223,1,0)</f>
        <v>0</v>
      </c>
      <c r="F223" s="11" t="s">
        <v>822</v>
      </c>
      <c r="G223" s="11">
        <v>0</v>
      </c>
      <c r="H223" s="11">
        <v>0</v>
      </c>
      <c r="I223" s="11">
        <v>0</v>
      </c>
      <c r="J223" s="11">
        <v>0</v>
      </c>
      <c r="K223" s="11">
        <v>0</v>
      </c>
      <c r="L223" s="11">
        <v>0</v>
      </c>
      <c r="M223" s="11">
        <v>0</v>
      </c>
      <c r="N223" s="11">
        <v>0</v>
      </c>
      <c r="O223" s="11">
        <v>0</v>
      </c>
      <c r="P223" s="11">
        <v>0</v>
      </c>
      <c r="Q223" s="12">
        <v>0</v>
      </c>
      <c r="R223" s="12">
        <v>0</v>
      </c>
      <c r="S223" s="12">
        <f>$G$223*$G$8+$H$223*$H$8+$I$223*$I$8+$J$223*$J$8+$K$223*$K$8+$L$223*$L$8+$M$223*$M$8+$N$223*$N$8+$O$223*$O$8+$P$223*$P$8</f>
        <v>0</v>
      </c>
      <c r="T223" s="12">
        <f>SUM($Q$223:$R$223)</f>
        <v>0</v>
      </c>
      <c r="U223" s="12">
        <f>$S$223+$T$223</f>
        <v>0</v>
      </c>
    </row>
    <row r="224" spans="1:21" x14ac:dyDescent="0.3">
      <c r="A224" s="13" t="s">
        <v>823</v>
      </c>
      <c r="B224" s="14" t="s">
        <v>824</v>
      </c>
      <c r="C224" s="14"/>
      <c r="D224" s="14" t="s">
        <v>825</v>
      </c>
      <c r="E224" s="14">
        <f xml:space="preserve"> IF($U$224,1,0)</f>
        <v>0</v>
      </c>
      <c r="F224" s="14" t="s">
        <v>826</v>
      </c>
      <c r="G224" s="14">
        <v>0</v>
      </c>
      <c r="H224" s="14">
        <v>0</v>
      </c>
      <c r="I224" s="14">
        <v>0</v>
      </c>
      <c r="J224" s="14">
        <v>0</v>
      </c>
      <c r="K224" s="14">
        <v>0</v>
      </c>
      <c r="L224" s="14">
        <v>0</v>
      </c>
      <c r="M224" s="14">
        <v>0</v>
      </c>
      <c r="N224" s="14">
        <v>0</v>
      </c>
      <c r="O224" s="14">
        <v>0</v>
      </c>
      <c r="P224" s="14">
        <v>0</v>
      </c>
      <c r="Q224" s="15">
        <v>0</v>
      </c>
      <c r="R224" s="15">
        <v>0</v>
      </c>
      <c r="S224" s="15">
        <f>$G$224*$G$8+$H$224*$H$8+$I$224*$I$8+$J$224*$J$8+$K$224*$K$8+$L$224*$L$8+$M$224*$M$8+$N$224*$N$8+$O$224*$O$8+$P$224*$P$8</f>
        <v>0</v>
      </c>
      <c r="T224" s="15">
        <f>SUM($Q$224:$R$224)</f>
        <v>0</v>
      </c>
      <c r="U224" s="15">
        <f>$S$224+$T$224</f>
        <v>0</v>
      </c>
    </row>
    <row r="225" spans="1:21" x14ac:dyDescent="0.3">
      <c r="A225" s="10" t="s">
        <v>827</v>
      </c>
      <c r="B225" s="11" t="s">
        <v>828</v>
      </c>
      <c r="C225" s="11"/>
      <c r="D225" s="11" t="s">
        <v>829</v>
      </c>
      <c r="E225" s="11">
        <f xml:space="preserve"> IF($U$225,1,0)</f>
        <v>0</v>
      </c>
      <c r="F225" s="11" t="s">
        <v>830</v>
      </c>
      <c r="G225" s="11">
        <v>0</v>
      </c>
      <c r="H225" s="11">
        <v>0</v>
      </c>
      <c r="I225" s="11">
        <v>0</v>
      </c>
      <c r="J225" s="11">
        <v>0</v>
      </c>
      <c r="K225" s="11">
        <v>0</v>
      </c>
      <c r="L225" s="11">
        <v>0</v>
      </c>
      <c r="M225" s="11">
        <v>0</v>
      </c>
      <c r="N225" s="11">
        <v>0</v>
      </c>
      <c r="O225" s="11">
        <v>0</v>
      </c>
      <c r="P225" s="11">
        <v>0</v>
      </c>
      <c r="Q225" s="12">
        <v>0</v>
      </c>
      <c r="R225" s="12">
        <v>0</v>
      </c>
      <c r="S225" s="12">
        <f>$G$225*$G$8+$H$225*$H$8+$I$225*$I$8+$J$225*$J$8+$K$225*$K$8+$L$225*$L$8+$M$225*$M$8+$N$225*$N$8+$O$225*$O$8+$P$225*$P$8</f>
        <v>0</v>
      </c>
      <c r="T225" s="12">
        <f>SUM($Q$225:$R$225)</f>
        <v>0</v>
      </c>
      <c r="U225" s="12">
        <f>$S$225+$T$225</f>
        <v>0</v>
      </c>
    </row>
    <row r="226" spans="1:21" x14ac:dyDescent="0.3">
      <c r="A226" s="13" t="s">
        <v>831</v>
      </c>
      <c r="B226" s="14" t="s">
        <v>832</v>
      </c>
      <c r="C226" s="14"/>
      <c r="D226" s="14" t="s">
        <v>833</v>
      </c>
      <c r="E226" s="14">
        <f xml:space="preserve"> IF($U$226,1,0)</f>
        <v>0</v>
      </c>
      <c r="F226" s="14" t="s">
        <v>834</v>
      </c>
      <c r="G226" s="14">
        <v>0</v>
      </c>
      <c r="H226" s="14">
        <v>0</v>
      </c>
      <c r="I226" s="14">
        <v>0</v>
      </c>
      <c r="J226" s="14">
        <v>0</v>
      </c>
      <c r="K226" s="14">
        <v>0</v>
      </c>
      <c r="L226" s="14">
        <v>0</v>
      </c>
      <c r="M226" s="14">
        <v>0</v>
      </c>
      <c r="N226" s="14">
        <v>0</v>
      </c>
      <c r="O226" s="14">
        <v>0</v>
      </c>
      <c r="P226" s="14">
        <v>0</v>
      </c>
      <c r="Q226" s="15">
        <v>0</v>
      </c>
      <c r="R226" s="15">
        <v>0</v>
      </c>
      <c r="S226" s="15">
        <f>$G$226*$G$8+$H$226*$H$8+$I$226*$I$8+$J$226*$J$8+$K$226*$K$8+$L$226*$L$8+$M$226*$M$8+$N$226*$N$8+$O$226*$O$8+$P$226*$P$8</f>
        <v>0</v>
      </c>
      <c r="T226" s="15">
        <f>SUM($Q$226:$R$226)</f>
        <v>0</v>
      </c>
      <c r="U226" s="15">
        <f>$S$226+$T$226</f>
        <v>0</v>
      </c>
    </row>
    <row r="227" spans="1:21" x14ac:dyDescent="0.3">
      <c r="A227" s="10" t="s">
        <v>835</v>
      </c>
      <c r="B227" s="11" t="s">
        <v>836</v>
      </c>
      <c r="C227" s="11"/>
      <c r="D227" s="11" t="s">
        <v>837</v>
      </c>
      <c r="E227" s="11">
        <f xml:space="preserve"> IF($U$227,1,0)</f>
        <v>0</v>
      </c>
      <c r="F227" s="11" t="s">
        <v>838</v>
      </c>
      <c r="G227" s="11">
        <v>0</v>
      </c>
      <c r="H227" s="11">
        <v>0</v>
      </c>
      <c r="I227" s="11">
        <v>0</v>
      </c>
      <c r="J227" s="11">
        <v>0</v>
      </c>
      <c r="K227" s="11">
        <v>0</v>
      </c>
      <c r="L227" s="11">
        <v>0</v>
      </c>
      <c r="M227" s="11">
        <v>0</v>
      </c>
      <c r="N227" s="11">
        <v>0</v>
      </c>
      <c r="O227" s="11">
        <v>0</v>
      </c>
      <c r="P227" s="11">
        <v>0</v>
      </c>
      <c r="Q227" s="12">
        <v>0</v>
      </c>
      <c r="R227" s="12">
        <v>0</v>
      </c>
      <c r="S227" s="12">
        <f>$G$227*$G$8+$H$227*$H$8+$I$227*$I$8+$J$227*$J$8+$K$227*$K$8+$L$227*$L$8+$M$227*$M$8+$N$227*$N$8+$O$227*$O$8+$P$227*$P$8</f>
        <v>0</v>
      </c>
      <c r="T227" s="12">
        <f>SUM($Q$227:$R$227)</f>
        <v>0</v>
      </c>
      <c r="U227" s="12">
        <f>$S$227+$T$227</f>
        <v>0</v>
      </c>
    </row>
    <row r="228" spans="1:21" x14ac:dyDescent="0.3">
      <c r="A228" s="13" t="s">
        <v>839</v>
      </c>
      <c r="B228" s="14" t="s">
        <v>840</v>
      </c>
      <c r="C228" s="14"/>
      <c r="D228" s="14" t="s">
        <v>841</v>
      </c>
      <c r="E228" s="14">
        <f xml:space="preserve"> IF($U$228,1,0)</f>
        <v>0</v>
      </c>
      <c r="F228" s="14" t="s">
        <v>842</v>
      </c>
      <c r="G228" s="14">
        <v>0</v>
      </c>
      <c r="H228" s="14">
        <v>0</v>
      </c>
      <c r="I228" s="14">
        <v>0</v>
      </c>
      <c r="J228" s="14">
        <v>0</v>
      </c>
      <c r="K228" s="14">
        <v>0</v>
      </c>
      <c r="L228" s="14">
        <v>0</v>
      </c>
      <c r="M228" s="14">
        <v>0</v>
      </c>
      <c r="N228" s="14">
        <v>0</v>
      </c>
      <c r="O228" s="14">
        <v>0</v>
      </c>
      <c r="P228" s="14">
        <v>0</v>
      </c>
      <c r="Q228" s="15">
        <v>0</v>
      </c>
      <c r="R228" s="15">
        <v>0</v>
      </c>
      <c r="S228" s="15">
        <f>$G$228*$G$8+$H$228*$H$8+$I$228*$I$8+$J$228*$J$8+$K$228*$K$8+$L$228*$L$8+$M$228*$M$8+$N$228*$N$8+$O$228*$O$8+$P$228*$P$8</f>
        <v>0</v>
      </c>
      <c r="T228" s="15">
        <f>SUM($Q$228:$R$228)</f>
        <v>0</v>
      </c>
      <c r="U228" s="15">
        <f>$S$228+$T$228</f>
        <v>0</v>
      </c>
    </row>
    <row r="229" spans="1:21" x14ac:dyDescent="0.3">
      <c r="A229" s="10" t="s">
        <v>843</v>
      </c>
      <c r="B229" s="11" t="s">
        <v>844</v>
      </c>
      <c r="C229" s="11"/>
      <c r="D229" s="11" t="s">
        <v>845</v>
      </c>
      <c r="E229" s="11">
        <f xml:space="preserve"> IF($U$229,1,0)</f>
        <v>0</v>
      </c>
      <c r="F229" s="11" t="s">
        <v>846</v>
      </c>
      <c r="G229" s="11">
        <v>0</v>
      </c>
      <c r="H229" s="11">
        <v>0</v>
      </c>
      <c r="I229" s="11">
        <v>0</v>
      </c>
      <c r="J229" s="11">
        <v>0</v>
      </c>
      <c r="K229" s="11">
        <v>0</v>
      </c>
      <c r="L229" s="11">
        <v>0</v>
      </c>
      <c r="M229" s="11">
        <v>0</v>
      </c>
      <c r="N229" s="11">
        <v>0</v>
      </c>
      <c r="O229" s="11">
        <v>0</v>
      </c>
      <c r="P229" s="11">
        <v>0</v>
      </c>
      <c r="Q229" s="12">
        <v>0</v>
      </c>
      <c r="R229" s="12">
        <v>0</v>
      </c>
      <c r="S229" s="12">
        <f>$G$229*$G$8+$H$229*$H$8+$I$229*$I$8+$J$229*$J$8+$K$229*$K$8+$L$229*$L$8+$M$229*$M$8+$N$229*$N$8+$O$229*$O$8+$P$229*$P$8</f>
        <v>0</v>
      </c>
      <c r="T229" s="12">
        <f>SUM($Q$229:$R$229)</f>
        <v>0</v>
      </c>
      <c r="U229" s="12">
        <f>$S$229+$T$229</f>
        <v>0</v>
      </c>
    </row>
    <row r="230" spans="1:21" x14ac:dyDescent="0.3">
      <c r="A230" s="13" t="s">
        <v>847</v>
      </c>
      <c r="B230" s="14" t="s">
        <v>848</v>
      </c>
      <c r="C230" s="14" t="s">
        <v>202</v>
      </c>
      <c r="D230" s="14" t="s">
        <v>849</v>
      </c>
      <c r="E230" s="14">
        <f xml:space="preserve"> IF($U$230,1,0)</f>
        <v>0</v>
      </c>
      <c r="F230" s="14" t="s">
        <v>850</v>
      </c>
      <c r="G230" s="14">
        <v>0</v>
      </c>
      <c r="H230" s="14">
        <v>0</v>
      </c>
      <c r="I230" s="14">
        <v>0</v>
      </c>
      <c r="J230" s="14">
        <v>0</v>
      </c>
      <c r="K230" s="14">
        <v>0</v>
      </c>
      <c r="L230" s="14">
        <v>0</v>
      </c>
      <c r="M230" s="14">
        <v>0</v>
      </c>
      <c r="N230" s="14">
        <v>0</v>
      </c>
      <c r="O230" s="14">
        <v>0</v>
      </c>
      <c r="P230" s="14">
        <v>0</v>
      </c>
      <c r="Q230" s="15">
        <v>0</v>
      </c>
      <c r="R230" s="15">
        <v>0</v>
      </c>
      <c r="S230" s="15">
        <f>$G$230*$G$8+$H$230*$H$8+$I$230*$I$8+$J$230*$J$8+$K$230*$K$8+$L$230*$L$8+$M$230*$M$8+$N$230*$N$8+$O$230*$O$8+$P$230*$P$8</f>
        <v>0</v>
      </c>
      <c r="T230" s="15">
        <f>SUM($Q$230:$R$230)</f>
        <v>0</v>
      </c>
      <c r="U230" s="15">
        <f>$S$230+$T$230</f>
        <v>0</v>
      </c>
    </row>
    <row r="231" spans="1:21" x14ac:dyDescent="0.3">
      <c r="A231" s="10" t="s">
        <v>851</v>
      </c>
      <c r="B231" s="11" t="s">
        <v>852</v>
      </c>
      <c r="C231" s="11"/>
      <c r="D231" s="11" t="s">
        <v>853</v>
      </c>
      <c r="E231" s="11">
        <f xml:space="preserve"> IF($U$231,1,0)</f>
        <v>0</v>
      </c>
      <c r="F231" s="11" t="s">
        <v>854</v>
      </c>
      <c r="G231" s="11">
        <v>0</v>
      </c>
      <c r="H231" s="11">
        <v>0</v>
      </c>
      <c r="I231" s="11">
        <v>0</v>
      </c>
      <c r="J231" s="11">
        <v>0</v>
      </c>
      <c r="K231" s="11">
        <v>0</v>
      </c>
      <c r="L231" s="11">
        <v>0</v>
      </c>
      <c r="M231" s="11">
        <v>0</v>
      </c>
      <c r="N231" s="11">
        <v>0</v>
      </c>
      <c r="O231" s="11">
        <v>0</v>
      </c>
      <c r="P231" s="11">
        <v>0</v>
      </c>
      <c r="Q231" s="12">
        <v>0</v>
      </c>
      <c r="R231" s="12">
        <v>0</v>
      </c>
      <c r="S231" s="12">
        <f>$G$231*$G$8+$H$231*$H$8+$I$231*$I$8+$J$231*$J$8+$K$231*$K$8+$L$231*$L$8+$M$231*$M$8+$N$231*$N$8+$O$231*$O$8+$P$231*$P$8</f>
        <v>0</v>
      </c>
      <c r="T231" s="12">
        <f>SUM($Q$231:$R$231)</f>
        <v>0</v>
      </c>
      <c r="U231" s="12">
        <f>$S$231+$T$231</f>
        <v>0</v>
      </c>
    </row>
    <row r="232" spans="1:21" x14ac:dyDescent="0.3">
      <c r="A232" s="13" t="s">
        <v>855</v>
      </c>
      <c r="B232" s="14" t="s">
        <v>856</v>
      </c>
      <c r="C232" s="14"/>
      <c r="D232" s="14" t="s">
        <v>790</v>
      </c>
      <c r="E232" s="14">
        <f xml:space="preserve"> IF($U$232,1,0)</f>
        <v>0</v>
      </c>
      <c r="F232" s="14" t="s">
        <v>857</v>
      </c>
      <c r="G232" s="14">
        <v>0</v>
      </c>
      <c r="H232" s="14">
        <v>0</v>
      </c>
      <c r="I232" s="14">
        <v>0</v>
      </c>
      <c r="J232" s="14">
        <v>0</v>
      </c>
      <c r="K232" s="14">
        <v>0</v>
      </c>
      <c r="L232" s="14">
        <v>0</v>
      </c>
      <c r="M232" s="14">
        <v>0</v>
      </c>
      <c r="N232" s="14">
        <v>0</v>
      </c>
      <c r="O232" s="14">
        <v>0</v>
      </c>
      <c r="P232" s="14">
        <v>0</v>
      </c>
      <c r="Q232" s="15">
        <v>0</v>
      </c>
      <c r="R232" s="15">
        <v>0</v>
      </c>
      <c r="S232" s="15">
        <f>$G$232*$G$8+$H$232*$H$8+$I$232*$I$8+$J$232*$J$8+$K$232*$K$8+$L$232*$L$8+$M$232*$M$8+$N$232*$N$8+$O$232*$O$8+$P$232*$P$8</f>
        <v>0</v>
      </c>
      <c r="T232" s="15">
        <f>SUM($Q$232:$R$232)</f>
        <v>0</v>
      </c>
      <c r="U232" s="15">
        <f>$S$232+$T$232</f>
        <v>0</v>
      </c>
    </row>
    <row r="233" spans="1:21" x14ac:dyDescent="0.3">
      <c r="A233" s="10" t="s">
        <v>858</v>
      </c>
      <c r="B233" s="11" t="s">
        <v>859</v>
      </c>
      <c r="C233" s="11"/>
      <c r="D233" s="11" t="s">
        <v>860</v>
      </c>
      <c r="E233" s="11">
        <f xml:space="preserve"> IF($U$233,1,0)</f>
        <v>0</v>
      </c>
      <c r="F233" s="11" t="s">
        <v>861</v>
      </c>
      <c r="G233" s="11">
        <v>0</v>
      </c>
      <c r="H233" s="11">
        <v>0</v>
      </c>
      <c r="I233" s="11">
        <v>0</v>
      </c>
      <c r="J233" s="11">
        <v>0</v>
      </c>
      <c r="K233" s="11">
        <v>0</v>
      </c>
      <c r="L233" s="11">
        <v>0</v>
      </c>
      <c r="M233" s="11">
        <v>0</v>
      </c>
      <c r="N233" s="11">
        <v>0</v>
      </c>
      <c r="O233" s="11">
        <v>0</v>
      </c>
      <c r="P233" s="11">
        <v>0</v>
      </c>
      <c r="Q233" s="12">
        <v>0</v>
      </c>
      <c r="R233" s="12">
        <v>0</v>
      </c>
      <c r="S233" s="12">
        <f>$G$233*$G$8+$H$233*$H$8+$I$233*$I$8+$J$233*$J$8+$K$233*$K$8+$L$233*$L$8+$M$233*$M$8+$N$233*$N$8+$O$233*$O$8+$P$233*$P$8</f>
        <v>0</v>
      </c>
      <c r="T233" s="12">
        <f>SUM($Q$233:$R$233)</f>
        <v>0</v>
      </c>
      <c r="U233" s="12">
        <f>$S$233+$T$233</f>
        <v>0</v>
      </c>
    </row>
    <row r="234" spans="1:21" x14ac:dyDescent="0.3">
      <c r="A234" s="13" t="s">
        <v>862</v>
      </c>
      <c r="B234" s="14" t="s">
        <v>863</v>
      </c>
      <c r="C234" s="14"/>
      <c r="D234" s="14" t="s">
        <v>864</v>
      </c>
      <c r="E234" s="14">
        <f xml:space="preserve"> IF($U$234,1,0)</f>
        <v>0</v>
      </c>
      <c r="F234" s="14" t="s">
        <v>865</v>
      </c>
      <c r="G234" s="14">
        <v>0</v>
      </c>
      <c r="H234" s="14">
        <v>0</v>
      </c>
      <c r="I234" s="14">
        <v>0</v>
      </c>
      <c r="J234" s="14">
        <v>0</v>
      </c>
      <c r="K234" s="14">
        <v>0</v>
      </c>
      <c r="L234" s="14">
        <v>0</v>
      </c>
      <c r="M234" s="14">
        <v>0</v>
      </c>
      <c r="N234" s="14">
        <v>0</v>
      </c>
      <c r="O234" s="14">
        <v>0</v>
      </c>
      <c r="P234" s="14">
        <v>0</v>
      </c>
      <c r="Q234" s="15">
        <v>0</v>
      </c>
      <c r="R234" s="15">
        <v>0</v>
      </c>
      <c r="S234" s="15">
        <f>$G$234*$G$8+$H$234*$H$8+$I$234*$I$8+$J$234*$J$8+$K$234*$K$8+$L$234*$L$8+$M$234*$M$8+$N$234*$N$8+$O$234*$O$8+$P$234*$P$8</f>
        <v>0</v>
      </c>
      <c r="T234" s="15">
        <f>SUM($Q$234:$R$234)</f>
        <v>0</v>
      </c>
      <c r="U234" s="15">
        <f>$S$234+$T$234</f>
        <v>0</v>
      </c>
    </row>
    <row r="235" spans="1:21" x14ac:dyDescent="0.3">
      <c r="A235" s="10" t="s">
        <v>866</v>
      </c>
      <c r="B235" s="11" t="s">
        <v>867</v>
      </c>
      <c r="C235" s="11"/>
      <c r="D235" s="11" t="s">
        <v>868</v>
      </c>
      <c r="E235" s="11">
        <f xml:space="preserve"> IF($U$235,1,0)</f>
        <v>0</v>
      </c>
      <c r="F235" s="11" t="s">
        <v>869</v>
      </c>
      <c r="G235" s="11">
        <v>0</v>
      </c>
      <c r="H235" s="11">
        <v>0</v>
      </c>
      <c r="I235" s="11">
        <v>0</v>
      </c>
      <c r="J235" s="11">
        <v>0</v>
      </c>
      <c r="K235" s="11">
        <v>0</v>
      </c>
      <c r="L235" s="11">
        <v>0</v>
      </c>
      <c r="M235" s="11">
        <v>0</v>
      </c>
      <c r="N235" s="11">
        <v>0</v>
      </c>
      <c r="O235" s="11">
        <v>0</v>
      </c>
      <c r="P235" s="11">
        <v>0</v>
      </c>
      <c r="Q235" s="12">
        <v>0</v>
      </c>
      <c r="R235" s="12">
        <v>0</v>
      </c>
      <c r="S235" s="12">
        <f>$G$235*$G$8+$H$235*$H$8+$I$235*$I$8+$J$235*$J$8+$K$235*$K$8+$L$235*$L$8+$M$235*$M$8+$N$235*$N$8+$O$235*$O$8+$P$235*$P$8</f>
        <v>0</v>
      </c>
      <c r="T235" s="12">
        <f>SUM($Q$235:$R$235)</f>
        <v>0</v>
      </c>
      <c r="U235" s="12">
        <f>$S$235+$T$235</f>
        <v>0</v>
      </c>
    </row>
    <row r="236" spans="1:21" x14ac:dyDescent="0.3">
      <c r="A236" s="13" t="s">
        <v>870</v>
      </c>
      <c r="B236" s="14" t="s">
        <v>871</v>
      </c>
      <c r="C236" s="14" t="s">
        <v>243</v>
      </c>
      <c r="D236" s="14" t="s">
        <v>399</v>
      </c>
      <c r="E236" s="14">
        <f xml:space="preserve"> IF($U$236,1,0)</f>
        <v>0</v>
      </c>
      <c r="F236" s="14" t="s">
        <v>872</v>
      </c>
      <c r="G236" s="14">
        <v>0</v>
      </c>
      <c r="H236" s="14">
        <v>0</v>
      </c>
      <c r="I236" s="14">
        <v>0</v>
      </c>
      <c r="J236" s="14">
        <v>0</v>
      </c>
      <c r="K236" s="14">
        <v>0</v>
      </c>
      <c r="L236" s="14">
        <v>0</v>
      </c>
      <c r="M236" s="14">
        <v>0</v>
      </c>
      <c r="N236" s="14">
        <v>0</v>
      </c>
      <c r="O236" s="14">
        <v>0</v>
      </c>
      <c r="P236" s="14">
        <v>0</v>
      </c>
      <c r="Q236" s="15">
        <v>0</v>
      </c>
      <c r="R236" s="15">
        <v>0</v>
      </c>
      <c r="S236" s="15">
        <f>$G$236*$G$8+$H$236*$H$8+$I$236*$I$8+$J$236*$J$8+$K$236*$K$8+$L$236*$L$8+$M$236*$M$8+$N$236*$N$8+$O$236*$O$8+$P$236*$P$8</f>
        <v>0</v>
      </c>
      <c r="T236" s="15">
        <f>SUM($Q$236:$R$236)</f>
        <v>0</v>
      </c>
      <c r="U236" s="15">
        <f>$S$236+$T$236</f>
        <v>0</v>
      </c>
    </row>
    <row r="237" spans="1:21" x14ac:dyDescent="0.3">
      <c r="A237" s="10" t="s">
        <v>873</v>
      </c>
      <c r="B237" s="11" t="s">
        <v>874</v>
      </c>
      <c r="C237" s="11"/>
      <c r="D237" s="11" t="s">
        <v>875</v>
      </c>
      <c r="E237" s="11">
        <f xml:space="preserve"> IF($U$237,1,0)</f>
        <v>0</v>
      </c>
      <c r="F237" s="11" t="s">
        <v>876</v>
      </c>
      <c r="G237" s="11">
        <v>0</v>
      </c>
      <c r="H237" s="11">
        <v>0</v>
      </c>
      <c r="I237" s="11">
        <v>0</v>
      </c>
      <c r="J237" s="11">
        <v>0</v>
      </c>
      <c r="K237" s="11">
        <v>0</v>
      </c>
      <c r="L237" s="11">
        <v>0</v>
      </c>
      <c r="M237" s="11">
        <v>0</v>
      </c>
      <c r="N237" s="11">
        <v>0</v>
      </c>
      <c r="O237" s="11">
        <v>0</v>
      </c>
      <c r="P237" s="11">
        <v>0</v>
      </c>
      <c r="Q237" s="12">
        <v>0</v>
      </c>
      <c r="R237" s="12">
        <v>0</v>
      </c>
      <c r="S237" s="12">
        <f>$G$237*$G$8+$H$237*$H$8+$I$237*$I$8+$J$237*$J$8+$K$237*$K$8+$L$237*$L$8+$M$237*$M$8+$N$237*$N$8+$O$237*$O$8+$P$237*$P$8</f>
        <v>0</v>
      </c>
      <c r="T237" s="12">
        <f>SUM($Q$237:$R$237)</f>
        <v>0</v>
      </c>
      <c r="U237" s="12">
        <f>$S$237+$T$237</f>
        <v>0</v>
      </c>
    </row>
    <row r="238" spans="1:21" x14ac:dyDescent="0.3">
      <c r="A238" s="13" t="s">
        <v>877</v>
      </c>
      <c r="B238" s="14" t="s">
        <v>878</v>
      </c>
      <c r="C238" s="14"/>
      <c r="D238" s="14" t="s">
        <v>879</v>
      </c>
      <c r="E238" s="14">
        <f xml:space="preserve"> IF($U$238,1,0)</f>
        <v>0</v>
      </c>
      <c r="F238" s="14" t="s">
        <v>880</v>
      </c>
      <c r="G238" s="14">
        <v>0</v>
      </c>
      <c r="H238" s="14">
        <v>0</v>
      </c>
      <c r="I238" s="14">
        <v>0</v>
      </c>
      <c r="J238" s="14">
        <v>0</v>
      </c>
      <c r="K238" s="14">
        <v>0</v>
      </c>
      <c r="L238" s="14">
        <v>0</v>
      </c>
      <c r="M238" s="14">
        <v>0</v>
      </c>
      <c r="N238" s="14">
        <v>0</v>
      </c>
      <c r="O238" s="14">
        <v>0</v>
      </c>
      <c r="P238" s="14">
        <v>0</v>
      </c>
      <c r="Q238" s="15">
        <v>0</v>
      </c>
      <c r="R238" s="15">
        <v>0</v>
      </c>
      <c r="S238" s="15">
        <f>$G$238*$G$8+$H$238*$H$8+$I$238*$I$8+$J$238*$J$8+$K$238*$K$8+$L$238*$L$8+$M$238*$M$8+$N$238*$N$8+$O$238*$O$8+$P$238*$P$8</f>
        <v>0</v>
      </c>
      <c r="T238" s="15">
        <f>SUM($Q$238:$R$238)</f>
        <v>0</v>
      </c>
      <c r="U238" s="15">
        <f>$S$238+$T$238</f>
        <v>0</v>
      </c>
    </row>
    <row r="239" spans="1:21" x14ac:dyDescent="0.3">
      <c r="A239" s="10" t="s">
        <v>881</v>
      </c>
      <c r="B239" s="11" t="s">
        <v>882</v>
      </c>
      <c r="C239" s="11"/>
      <c r="D239" s="11" t="s">
        <v>883</v>
      </c>
      <c r="E239" s="11">
        <f xml:space="preserve"> IF($U$239,1,0)</f>
        <v>0</v>
      </c>
      <c r="F239" s="11" t="s">
        <v>884</v>
      </c>
      <c r="G239" s="11">
        <v>0</v>
      </c>
      <c r="H239" s="11">
        <v>0</v>
      </c>
      <c r="I239" s="11">
        <v>0</v>
      </c>
      <c r="J239" s="11">
        <v>0</v>
      </c>
      <c r="K239" s="11">
        <v>0</v>
      </c>
      <c r="L239" s="11">
        <v>0</v>
      </c>
      <c r="M239" s="11">
        <v>0</v>
      </c>
      <c r="N239" s="11">
        <v>0</v>
      </c>
      <c r="O239" s="11">
        <v>0</v>
      </c>
      <c r="P239" s="11">
        <v>0</v>
      </c>
      <c r="Q239" s="12">
        <v>0</v>
      </c>
      <c r="R239" s="12">
        <v>0</v>
      </c>
      <c r="S239" s="12">
        <f>$G$239*$G$8+$H$239*$H$8+$I$239*$I$8+$J$239*$J$8+$K$239*$K$8+$L$239*$L$8+$M$239*$M$8+$N$239*$N$8+$O$239*$O$8+$P$239*$P$8</f>
        <v>0</v>
      </c>
      <c r="T239" s="12">
        <f>SUM($Q$239:$R$239)</f>
        <v>0</v>
      </c>
      <c r="U239" s="12">
        <f>$S$239+$T$239</f>
        <v>0</v>
      </c>
    </row>
    <row r="240" spans="1:21" x14ac:dyDescent="0.3">
      <c r="A240" s="13" t="s">
        <v>885</v>
      </c>
      <c r="B240" s="14" t="s">
        <v>886</v>
      </c>
      <c r="C240" s="14" t="s">
        <v>887</v>
      </c>
      <c r="D240" s="14" t="s">
        <v>888</v>
      </c>
      <c r="E240" s="14">
        <f xml:space="preserve"> IF($U$240,1,0)</f>
        <v>0</v>
      </c>
      <c r="F240" s="14" t="s">
        <v>889</v>
      </c>
      <c r="G240" s="14">
        <v>0</v>
      </c>
      <c r="H240" s="14">
        <v>0</v>
      </c>
      <c r="I240" s="14">
        <v>0</v>
      </c>
      <c r="J240" s="14">
        <v>0</v>
      </c>
      <c r="K240" s="14">
        <v>0</v>
      </c>
      <c r="L240" s="14">
        <v>0</v>
      </c>
      <c r="M240" s="14">
        <v>0</v>
      </c>
      <c r="N240" s="14">
        <v>0</v>
      </c>
      <c r="O240" s="14">
        <v>0</v>
      </c>
      <c r="P240" s="14">
        <v>0</v>
      </c>
      <c r="Q240" s="15">
        <v>0</v>
      </c>
      <c r="R240" s="15">
        <v>0</v>
      </c>
      <c r="S240" s="15">
        <f>$G$240*$G$8+$H$240*$H$8+$I$240*$I$8+$J$240*$J$8+$K$240*$K$8+$L$240*$L$8+$M$240*$M$8+$N$240*$N$8+$O$240*$O$8+$P$240*$P$8</f>
        <v>0</v>
      </c>
      <c r="T240" s="15">
        <f>SUM($Q$240:$R$240)</f>
        <v>0</v>
      </c>
      <c r="U240" s="15">
        <f>$S$240+$T$240</f>
        <v>0</v>
      </c>
    </row>
    <row r="241" spans="1:21" x14ac:dyDescent="0.3">
      <c r="A241" s="10" t="s">
        <v>890</v>
      </c>
      <c r="B241" s="11" t="s">
        <v>886</v>
      </c>
      <c r="C241" s="11"/>
      <c r="D241" s="11" t="s">
        <v>891</v>
      </c>
      <c r="E241" s="11">
        <f xml:space="preserve"> IF($U$241,1,0)</f>
        <v>0</v>
      </c>
      <c r="F241" s="11" t="s">
        <v>892</v>
      </c>
      <c r="G241" s="11">
        <v>0</v>
      </c>
      <c r="H241" s="11">
        <v>0</v>
      </c>
      <c r="I241" s="11">
        <v>0</v>
      </c>
      <c r="J241" s="11">
        <v>0</v>
      </c>
      <c r="K241" s="11">
        <v>0</v>
      </c>
      <c r="L241" s="11">
        <v>0</v>
      </c>
      <c r="M241" s="11">
        <v>0</v>
      </c>
      <c r="N241" s="11">
        <v>0</v>
      </c>
      <c r="O241" s="11">
        <v>0</v>
      </c>
      <c r="P241" s="11">
        <v>0</v>
      </c>
      <c r="Q241" s="12">
        <v>0</v>
      </c>
      <c r="R241" s="12">
        <v>0</v>
      </c>
      <c r="S241" s="12">
        <f>$G$241*$G$8+$H$241*$H$8+$I$241*$I$8+$J$241*$J$8+$K$241*$K$8+$L$241*$L$8+$M$241*$M$8+$N$241*$N$8+$O$241*$O$8+$P$241*$P$8</f>
        <v>0</v>
      </c>
      <c r="T241" s="12">
        <f>SUM($Q$241:$R$241)</f>
        <v>0</v>
      </c>
      <c r="U241" s="12">
        <f>$S$241+$T$241</f>
        <v>0</v>
      </c>
    </row>
    <row r="242" spans="1:21" x14ac:dyDescent="0.3">
      <c r="A242" s="13" t="s">
        <v>893</v>
      </c>
      <c r="B242" s="14" t="s">
        <v>894</v>
      </c>
      <c r="C242" s="14"/>
      <c r="D242" s="14" t="s">
        <v>895</v>
      </c>
      <c r="E242" s="14">
        <f xml:space="preserve"> IF($U$242,1,0)</f>
        <v>0</v>
      </c>
      <c r="F242" s="14" t="s">
        <v>896</v>
      </c>
      <c r="G242" s="14">
        <v>0</v>
      </c>
      <c r="H242" s="14">
        <v>0</v>
      </c>
      <c r="I242" s="14">
        <v>0</v>
      </c>
      <c r="J242" s="14">
        <v>0</v>
      </c>
      <c r="K242" s="14">
        <v>0</v>
      </c>
      <c r="L242" s="14">
        <v>0</v>
      </c>
      <c r="M242" s="14">
        <v>0</v>
      </c>
      <c r="N242" s="14">
        <v>0</v>
      </c>
      <c r="O242" s="14">
        <v>0</v>
      </c>
      <c r="P242" s="14">
        <v>0</v>
      </c>
      <c r="Q242" s="15">
        <v>0</v>
      </c>
      <c r="R242" s="15">
        <v>0</v>
      </c>
      <c r="S242" s="15">
        <f>$G$242*$G$8+$H$242*$H$8+$I$242*$I$8+$J$242*$J$8+$K$242*$K$8+$L$242*$L$8+$M$242*$M$8+$N$242*$N$8+$O$242*$O$8+$P$242*$P$8</f>
        <v>0</v>
      </c>
      <c r="T242" s="15">
        <f>SUM($Q$242:$R$242)</f>
        <v>0</v>
      </c>
      <c r="U242" s="15">
        <f>$S$242+$T$242</f>
        <v>0</v>
      </c>
    </row>
    <row r="243" spans="1:21" x14ac:dyDescent="0.3">
      <c r="A243" s="10" t="s">
        <v>1290</v>
      </c>
      <c r="B243" s="11" t="s">
        <v>1291</v>
      </c>
      <c r="C243" s="11"/>
      <c r="D243" s="11" t="s">
        <v>1292</v>
      </c>
      <c r="E243" s="11">
        <f xml:space="preserve"> IF($U$243,1,0)</f>
        <v>0</v>
      </c>
      <c r="F243" s="11" t="s">
        <v>1293</v>
      </c>
      <c r="G243" s="11">
        <v>0</v>
      </c>
      <c r="H243" s="11">
        <v>0</v>
      </c>
      <c r="I243" s="11">
        <v>0</v>
      </c>
      <c r="J243" s="11">
        <v>0</v>
      </c>
      <c r="K243" s="11">
        <v>0</v>
      </c>
      <c r="L243" s="11">
        <v>0</v>
      </c>
      <c r="M243" s="11">
        <v>0</v>
      </c>
      <c r="N243" s="11">
        <v>0</v>
      </c>
      <c r="O243" s="11">
        <v>0</v>
      </c>
      <c r="P243" s="11">
        <v>0</v>
      </c>
      <c r="Q243" s="12">
        <v>0</v>
      </c>
      <c r="R243" s="12">
        <v>0</v>
      </c>
      <c r="S243" s="12">
        <f>$G$243*$G$8+$H$243*$H$8+$I$243*$I$8+$J$243*$J$8+$K$243*$K$8+$L$243*$L$8+$M$243*$M$8+$N$243*$N$8+$O$243*$O$8+$P$243*$P$8</f>
        <v>0</v>
      </c>
      <c r="T243" s="12">
        <f>SUM($Q$243:$R$243)</f>
        <v>0</v>
      </c>
      <c r="U243" s="12">
        <f>$S$243+$T$243</f>
        <v>0</v>
      </c>
    </row>
    <row r="244" spans="1:21" x14ac:dyDescent="0.3">
      <c r="A244" s="13" t="s">
        <v>897</v>
      </c>
      <c r="B244" s="14" t="s">
        <v>898</v>
      </c>
      <c r="C244" s="14"/>
      <c r="D244" s="14" t="s">
        <v>899</v>
      </c>
      <c r="E244" s="14">
        <f xml:space="preserve"> IF($U$244,1,0)</f>
        <v>0</v>
      </c>
      <c r="F244" s="14" t="s">
        <v>900</v>
      </c>
      <c r="G244" s="14">
        <v>0</v>
      </c>
      <c r="H244" s="14">
        <v>0</v>
      </c>
      <c r="I244" s="14">
        <v>0</v>
      </c>
      <c r="J244" s="14">
        <v>0</v>
      </c>
      <c r="K244" s="14">
        <v>0</v>
      </c>
      <c r="L244" s="14">
        <v>0</v>
      </c>
      <c r="M244" s="14">
        <v>0</v>
      </c>
      <c r="N244" s="14">
        <v>0</v>
      </c>
      <c r="O244" s="14">
        <v>0</v>
      </c>
      <c r="P244" s="14">
        <v>0</v>
      </c>
      <c r="Q244" s="15">
        <v>0</v>
      </c>
      <c r="R244" s="15">
        <v>0</v>
      </c>
      <c r="S244" s="15">
        <f>$G$244*$G$8+$H$244*$H$8+$I$244*$I$8+$J$244*$J$8+$K$244*$K$8+$L$244*$L$8+$M$244*$M$8+$N$244*$N$8+$O$244*$O$8+$P$244*$P$8</f>
        <v>0</v>
      </c>
      <c r="T244" s="15">
        <f>SUM($Q$244:$R$244)</f>
        <v>0</v>
      </c>
      <c r="U244" s="15">
        <f>$S$244+$T$244</f>
        <v>0</v>
      </c>
    </row>
    <row r="245" spans="1:21" x14ac:dyDescent="0.3">
      <c r="A245" s="10" t="s">
        <v>901</v>
      </c>
      <c r="B245" s="11" t="s">
        <v>902</v>
      </c>
      <c r="C245" s="11"/>
      <c r="D245" s="11" t="s">
        <v>903</v>
      </c>
      <c r="E245" s="11">
        <f xml:space="preserve"> IF($U$245,1,0)</f>
        <v>0</v>
      </c>
      <c r="F245" s="11" t="s">
        <v>904</v>
      </c>
      <c r="G245" s="11">
        <v>0</v>
      </c>
      <c r="H245" s="11">
        <v>0</v>
      </c>
      <c r="I245" s="11">
        <v>0</v>
      </c>
      <c r="J245" s="11">
        <v>0</v>
      </c>
      <c r="K245" s="11">
        <v>0</v>
      </c>
      <c r="L245" s="11">
        <v>0</v>
      </c>
      <c r="M245" s="11">
        <v>0</v>
      </c>
      <c r="N245" s="11">
        <v>0</v>
      </c>
      <c r="O245" s="11">
        <v>0</v>
      </c>
      <c r="P245" s="11">
        <v>0</v>
      </c>
      <c r="Q245" s="12">
        <v>0</v>
      </c>
      <c r="R245" s="12">
        <v>0</v>
      </c>
      <c r="S245" s="12">
        <f>$G$245*$G$8+$H$245*$H$8+$I$245*$I$8+$J$245*$J$8+$K$245*$K$8+$L$245*$L$8+$M$245*$M$8+$N$245*$N$8+$O$245*$O$8+$P$245*$P$8</f>
        <v>0</v>
      </c>
      <c r="T245" s="12">
        <f>SUM($Q$245:$R$245)</f>
        <v>0</v>
      </c>
      <c r="U245" s="12">
        <f>$S$245+$T$245</f>
        <v>0</v>
      </c>
    </row>
    <row r="246" spans="1:21" x14ac:dyDescent="0.3">
      <c r="A246" s="13" t="s">
        <v>905</v>
      </c>
      <c r="B246" s="14" t="s">
        <v>906</v>
      </c>
      <c r="C246" s="14" t="s">
        <v>283</v>
      </c>
      <c r="D246" s="14" t="s">
        <v>296</v>
      </c>
      <c r="E246" s="14">
        <f xml:space="preserve"> IF($U$246,1,0)</f>
        <v>0</v>
      </c>
      <c r="F246" s="14" t="s">
        <v>907</v>
      </c>
      <c r="G246" s="14">
        <v>0</v>
      </c>
      <c r="H246" s="14">
        <v>0</v>
      </c>
      <c r="I246" s="14">
        <v>0</v>
      </c>
      <c r="J246" s="14">
        <v>0</v>
      </c>
      <c r="K246" s="14">
        <v>0</v>
      </c>
      <c r="L246" s="14">
        <v>0</v>
      </c>
      <c r="M246" s="14">
        <v>0</v>
      </c>
      <c r="N246" s="14">
        <v>0</v>
      </c>
      <c r="O246" s="14">
        <v>0</v>
      </c>
      <c r="P246" s="14">
        <v>0</v>
      </c>
      <c r="Q246" s="15">
        <v>0</v>
      </c>
      <c r="R246" s="15">
        <v>0</v>
      </c>
      <c r="S246" s="15">
        <f>$G$246*$G$8+$H$246*$H$8+$I$246*$I$8+$J$246*$J$8+$K$246*$K$8+$L$246*$L$8+$M$246*$M$8+$N$246*$N$8+$O$246*$O$8+$P$246*$P$8</f>
        <v>0</v>
      </c>
      <c r="T246" s="15">
        <f>SUM($Q$246:$R$246)</f>
        <v>0</v>
      </c>
      <c r="U246" s="15">
        <f>$S$246+$T$246</f>
        <v>0</v>
      </c>
    </row>
    <row r="247" spans="1:21" x14ac:dyDescent="0.3">
      <c r="A247" s="10" t="s">
        <v>908</v>
      </c>
      <c r="B247" s="11" t="s">
        <v>909</v>
      </c>
      <c r="C247" s="11"/>
      <c r="D247" s="11" t="s">
        <v>910</v>
      </c>
      <c r="E247" s="11">
        <f xml:space="preserve"> IF($U$247,1,0)</f>
        <v>0</v>
      </c>
      <c r="F247" s="11" t="s">
        <v>911</v>
      </c>
      <c r="G247" s="11">
        <v>0</v>
      </c>
      <c r="H247" s="11">
        <v>0</v>
      </c>
      <c r="I247" s="11">
        <v>0</v>
      </c>
      <c r="J247" s="11">
        <v>0</v>
      </c>
      <c r="K247" s="11">
        <v>0</v>
      </c>
      <c r="L247" s="11">
        <v>0</v>
      </c>
      <c r="M247" s="11">
        <v>0</v>
      </c>
      <c r="N247" s="11">
        <v>0</v>
      </c>
      <c r="O247" s="11">
        <v>0</v>
      </c>
      <c r="P247" s="11">
        <v>0</v>
      </c>
      <c r="Q247" s="12">
        <v>0</v>
      </c>
      <c r="R247" s="12">
        <v>0</v>
      </c>
      <c r="S247" s="12">
        <f>$G$247*$G$8+$H$247*$H$8+$I$247*$I$8+$J$247*$J$8+$K$247*$K$8+$L$247*$L$8+$M$247*$M$8+$N$247*$N$8+$O$247*$O$8+$P$247*$P$8</f>
        <v>0</v>
      </c>
      <c r="T247" s="12">
        <f>SUM($Q$247:$R$247)</f>
        <v>0</v>
      </c>
      <c r="U247" s="12">
        <f>$S$247+$T$247</f>
        <v>0</v>
      </c>
    </row>
    <row r="248" spans="1:21" x14ac:dyDescent="0.3">
      <c r="A248" s="13" t="s">
        <v>912</v>
      </c>
      <c r="B248" s="14" t="s">
        <v>913</v>
      </c>
      <c r="C248" s="14" t="s">
        <v>65</v>
      </c>
      <c r="D248" s="14" t="s">
        <v>914</v>
      </c>
      <c r="E248" s="14">
        <f xml:space="preserve"> IF($U$248,1,0)</f>
        <v>0</v>
      </c>
      <c r="F248" s="14" t="s">
        <v>915</v>
      </c>
      <c r="G248" s="14">
        <v>0</v>
      </c>
      <c r="H248" s="14">
        <v>0</v>
      </c>
      <c r="I248" s="14">
        <v>0</v>
      </c>
      <c r="J248" s="14">
        <v>0</v>
      </c>
      <c r="K248" s="14">
        <v>0</v>
      </c>
      <c r="L248" s="14">
        <v>0</v>
      </c>
      <c r="M248" s="14">
        <v>0</v>
      </c>
      <c r="N248" s="14">
        <v>0</v>
      </c>
      <c r="O248" s="14">
        <v>0</v>
      </c>
      <c r="P248" s="14">
        <v>0</v>
      </c>
      <c r="Q248" s="15">
        <v>0</v>
      </c>
      <c r="R248" s="15">
        <v>0</v>
      </c>
      <c r="S248" s="15">
        <f>$G$248*$G$8+$H$248*$H$8+$I$248*$I$8+$J$248*$J$8+$K$248*$K$8+$L$248*$L$8+$M$248*$M$8+$N$248*$N$8+$O$248*$O$8+$P$248*$P$8</f>
        <v>0</v>
      </c>
      <c r="T248" s="15">
        <f>SUM($Q$248:$R$248)</f>
        <v>0</v>
      </c>
      <c r="U248" s="15">
        <f>$S$248+$T$248</f>
        <v>0</v>
      </c>
    </row>
    <row r="249" spans="1:21" x14ac:dyDescent="0.3">
      <c r="A249" s="10" t="s">
        <v>916</v>
      </c>
      <c r="B249" s="11" t="s">
        <v>917</v>
      </c>
      <c r="C249" s="11"/>
      <c r="D249" s="11" t="s">
        <v>918</v>
      </c>
      <c r="E249" s="11">
        <f xml:space="preserve"> IF($U$249,1,0)</f>
        <v>0</v>
      </c>
      <c r="F249" s="11" t="s">
        <v>919</v>
      </c>
      <c r="G249" s="11">
        <v>0</v>
      </c>
      <c r="H249" s="11">
        <v>0</v>
      </c>
      <c r="I249" s="11">
        <v>0</v>
      </c>
      <c r="J249" s="11">
        <v>0</v>
      </c>
      <c r="K249" s="11">
        <v>0</v>
      </c>
      <c r="L249" s="11">
        <v>0</v>
      </c>
      <c r="M249" s="11">
        <v>0</v>
      </c>
      <c r="N249" s="11">
        <v>0</v>
      </c>
      <c r="O249" s="11">
        <v>0</v>
      </c>
      <c r="P249" s="11">
        <v>0</v>
      </c>
      <c r="Q249" s="12">
        <v>0</v>
      </c>
      <c r="R249" s="12">
        <v>0</v>
      </c>
      <c r="S249" s="12">
        <f>$G$249*$G$8+$H$249*$H$8+$I$249*$I$8+$J$249*$J$8+$K$249*$K$8+$L$249*$L$8+$M$249*$M$8+$N$249*$N$8+$O$249*$O$8+$P$249*$P$8</f>
        <v>0</v>
      </c>
      <c r="T249" s="12">
        <f>SUM($Q$249:$R$249)</f>
        <v>0</v>
      </c>
      <c r="U249" s="12">
        <f>$S$249+$T$249</f>
        <v>0</v>
      </c>
    </row>
    <row r="250" spans="1:21" x14ac:dyDescent="0.3">
      <c r="A250" s="13" t="s">
        <v>920</v>
      </c>
      <c r="B250" s="14" t="s">
        <v>917</v>
      </c>
      <c r="C250" s="14"/>
      <c r="D250" s="14" t="s">
        <v>921</v>
      </c>
      <c r="E250" s="14">
        <f xml:space="preserve"> IF($U$250,1,0)</f>
        <v>0</v>
      </c>
      <c r="F250" s="14" t="s">
        <v>922</v>
      </c>
      <c r="G250" s="14">
        <v>0</v>
      </c>
      <c r="H250" s="14">
        <v>0</v>
      </c>
      <c r="I250" s="14">
        <v>0</v>
      </c>
      <c r="J250" s="14">
        <v>0</v>
      </c>
      <c r="K250" s="14">
        <v>0</v>
      </c>
      <c r="L250" s="14">
        <v>0</v>
      </c>
      <c r="M250" s="14">
        <v>0</v>
      </c>
      <c r="N250" s="14">
        <v>0</v>
      </c>
      <c r="O250" s="14">
        <v>0</v>
      </c>
      <c r="P250" s="14">
        <v>0</v>
      </c>
      <c r="Q250" s="15">
        <v>0</v>
      </c>
      <c r="R250" s="15">
        <v>0</v>
      </c>
      <c r="S250" s="15">
        <f>$G$250*$G$8+$H$250*$H$8+$I$250*$I$8+$J$250*$J$8+$K$250*$K$8+$L$250*$L$8+$M$250*$M$8+$N$250*$N$8+$O$250*$O$8+$P$250*$P$8</f>
        <v>0</v>
      </c>
      <c r="T250" s="15">
        <f>SUM($Q$250:$R$250)</f>
        <v>0</v>
      </c>
      <c r="U250" s="15">
        <f>$S$250+$T$250</f>
        <v>0</v>
      </c>
    </row>
    <row r="251" spans="1:21" x14ac:dyDescent="0.3">
      <c r="A251" s="10" t="s">
        <v>923</v>
      </c>
      <c r="B251" s="11" t="s">
        <v>917</v>
      </c>
      <c r="C251" s="11" t="s">
        <v>34</v>
      </c>
      <c r="D251" s="11" t="s">
        <v>924</v>
      </c>
      <c r="E251" s="11">
        <f xml:space="preserve"> IF($U$251,1,0)</f>
        <v>0</v>
      </c>
      <c r="F251" s="11" t="s">
        <v>925</v>
      </c>
      <c r="G251" s="11">
        <v>0</v>
      </c>
      <c r="H251" s="11">
        <v>0</v>
      </c>
      <c r="I251" s="11">
        <v>0</v>
      </c>
      <c r="J251" s="11">
        <v>0</v>
      </c>
      <c r="K251" s="11">
        <v>0</v>
      </c>
      <c r="L251" s="11">
        <v>0</v>
      </c>
      <c r="M251" s="11">
        <v>0</v>
      </c>
      <c r="N251" s="11">
        <v>0</v>
      </c>
      <c r="O251" s="11">
        <v>0</v>
      </c>
      <c r="P251" s="11">
        <v>0</v>
      </c>
      <c r="Q251" s="12">
        <v>0</v>
      </c>
      <c r="R251" s="12">
        <v>0</v>
      </c>
      <c r="S251" s="12">
        <f>$G$251*$G$8+$H$251*$H$8+$I$251*$I$8+$J$251*$J$8+$K$251*$K$8+$L$251*$L$8+$M$251*$M$8+$N$251*$N$8+$O$251*$O$8+$P$251*$P$8</f>
        <v>0</v>
      </c>
      <c r="T251" s="12">
        <f>SUM($Q$251:$R$251)</f>
        <v>0</v>
      </c>
      <c r="U251" s="12">
        <f>$S$251+$T$251</f>
        <v>0</v>
      </c>
    </row>
    <row r="252" spans="1:21" x14ac:dyDescent="0.3">
      <c r="A252" s="13" t="s">
        <v>926</v>
      </c>
      <c r="B252" s="14" t="s">
        <v>927</v>
      </c>
      <c r="C252" s="14"/>
      <c r="D252" s="14" t="s">
        <v>928</v>
      </c>
      <c r="E252" s="14">
        <f xml:space="preserve"> IF($U$252,1,0)</f>
        <v>0</v>
      </c>
      <c r="F252" s="14" t="s">
        <v>929</v>
      </c>
      <c r="G252" s="14">
        <v>0</v>
      </c>
      <c r="H252" s="14">
        <v>0</v>
      </c>
      <c r="I252" s="14">
        <v>0</v>
      </c>
      <c r="J252" s="14">
        <v>0</v>
      </c>
      <c r="K252" s="14">
        <v>0</v>
      </c>
      <c r="L252" s="14">
        <v>0</v>
      </c>
      <c r="M252" s="14">
        <v>0</v>
      </c>
      <c r="N252" s="14">
        <v>0</v>
      </c>
      <c r="O252" s="14">
        <v>0</v>
      </c>
      <c r="P252" s="14">
        <v>0</v>
      </c>
      <c r="Q252" s="15">
        <v>0</v>
      </c>
      <c r="R252" s="15">
        <v>0</v>
      </c>
      <c r="S252" s="15">
        <f>$G$252*$G$8+$H$252*$H$8+$I$252*$I$8+$J$252*$J$8+$K$252*$K$8+$L$252*$L$8+$M$252*$M$8+$N$252*$N$8+$O$252*$O$8+$P$252*$P$8</f>
        <v>0</v>
      </c>
      <c r="T252" s="15">
        <f>SUM($Q$252:$R$252)</f>
        <v>0</v>
      </c>
      <c r="U252" s="15">
        <f>$S$252+$T$252</f>
        <v>0</v>
      </c>
    </row>
    <row r="253" spans="1:21" x14ac:dyDescent="0.3">
      <c r="A253" s="10" t="s">
        <v>930</v>
      </c>
      <c r="B253" s="11" t="s">
        <v>931</v>
      </c>
      <c r="C253" s="11"/>
      <c r="D253" s="11" t="s">
        <v>932</v>
      </c>
      <c r="E253" s="11">
        <f xml:space="preserve"> IF($U$253,1,0)</f>
        <v>0</v>
      </c>
      <c r="F253" s="11" t="s">
        <v>933</v>
      </c>
      <c r="G253" s="11">
        <v>0</v>
      </c>
      <c r="H253" s="11">
        <v>0</v>
      </c>
      <c r="I253" s="11">
        <v>0</v>
      </c>
      <c r="J253" s="11">
        <v>0</v>
      </c>
      <c r="K253" s="11">
        <v>0</v>
      </c>
      <c r="L253" s="11">
        <v>0</v>
      </c>
      <c r="M253" s="11">
        <v>0</v>
      </c>
      <c r="N253" s="11">
        <v>0</v>
      </c>
      <c r="O253" s="11">
        <v>0</v>
      </c>
      <c r="P253" s="11">
        <v>0</v>
      </c>
      <c r="Q253" s="12">
        <v>0</v>
      </c>
      <c r="R253" s="12">
        <v>0</v>
      </c>
      <c r="S253" s="12">
        <f>$G$253*$G$8+$H$253*$H$8+$I$253*$I$8+$J$253*$J$8+$K$253*$K$8+$L$253*$L$8+$M$253*$M$8+$N$253*$N$8+$O$253*$O$8+$P$253*$P$8</f>
        <v>0</v>
      </c>
      <c r="T253" s="12">
        <f>SUM($Q$253:$R$253)</f>
        <v>0</v>
      </c>
      <c r="U253" s="12">
        <f>$S$253+$T$253</f>
        <v>0</v>
      </c>
    </row>
    <row r="254" spans="1:21" x14ac:dyDescent="0.3">
      <c r="A254" s="13" t="s">
        <v>934</v>
      </c>
      <c r="B254" s="14" t="s">
        <v>935</v>
      </c>
      <c r="C254" s="14"/>
      <c r="D254" s="14" t="s">
        <v>936</v>
      </c>
      <c r="E254" s="14">
        <f xml:space="preserve"> IF($U$254,1,0)</f>
        <v>0</v>
      </c>
      <c r="F254" s="14" t="s">
        <v>937</v>
      </c>
      <c r="G254" s="14">
        <v>0</v>
      </c>
      <c r="H254" s="14">
        <v>0</v>
      </c>
      <c r="I254" s="14">
        <v>0</v>
      </c>
      <c r="J254" s="14">
        <v>0</v>
      </c>
      <c r="K254" s="14">
        <v>0</v>
      </c>
      <c r="L254" s="14">
        <v>0</v>
      </c>
      <c r="M254" s="14">
        <v>0</v>
      </c>
      <c r="N254" s="14">
        <v>0</v>
      </c>
      <c r="O254" s="14">
        <v>0</v>
      </c>
      <c r="P254" s="14">
        <v>0</v>
      </c>
      <c r="Q254" s="15">
        <v>0</v>
      </c>
      <c r="R254" s="15">
        <v>0</v>
      </c>
      <c r="S254" s="15">
        <f>$G$254*$G$8+$H$254*$H$8+$I$254*$I$8+$J$254*$J$8+$K$254*$K$8+$L$254*$L$8+$M$254*$M$8+$N$254*$N$8+$O$254*$O$8+$P$254*$P$8</f>
        <v>0</v>
      </c>
      <c r="T254" s="15">
        <f>SUM($Q$254:$R$254)</f>
        <v>0</v>
      </c>
      <c r="U254" s="15">
        <f>$S$254+$T$254</f>
        <v>0</v>
      </c>
    </row>
    <row r="255" spans="1:21" x14ac:dyDescent="0.3">
      <c r="A255" s="10" t="s">
        <v>938</v>
      </c>
      <c r="B255" s="11" t="s">
        <v>939</v>
      </c>
      <c r="C255" s="11"/>
      <c r="D255" s="11" t="s">
        <v>940</v>
      </c>
      <c r="E255" s="11">
        <f xml:space="preserve"> IF($U$255,1,0)</f>
        <v>0</v>
      </c>
      <c r="F255" s="11" t="s">
        <v>941</v>
      </c>
      <c r="G255" s="11">
        <v>0</v>
      </c>
      <c r="H255" s="11">
        <v>0</v>
      </c>
      <c r="I255" s="11">
        <v>0</v>
      </c>
      <c r="J255" s="11">
        <v>0</v>
      </c>
      <c r="K255" s="11">
        <v>0</v>
      </c>
      <c r="L255" s="11">
        <v>0</v>
      </c>
      <c r="M255" s="11">
        <v>0</v>
      </c>
      <c r="N255" s="11">
        <v>0</v>
      </c>
      <c r="O255" s="11">
        <v>0</v>
      </c>
      <c r="P255" s="11">
        <v>0</v>
      </c>
      <c r="Q255" s="12">
        <v>0</v>
      </c>
      <c r="R255" s="12">
        <v>0</v>
      </c>
      <c r="S255" s="12">
        <f>$G$255*$G$8+$H$255*$H$8+$I$255*$I$8+$J$255*$J$8+$K$255*$K$8+$L$255*$L$8+$M$255*$M$8+$N$255*$N$8+$O$255*$O$8+$P$255*$P$8</f>
        <v>0</v>
      </c>
      <c r="T255" s="12">
        <f>SUM($Q$255:$R$255)</f>
        <v>0</v>
      </c>
      <c r="U255" s="12">
        <f>$S$255+$T$255</f>
        <v>0</v>
      </c>
    </row>
    <row r="256" spans="1:21" x14ac:dyDescent="0.3">
      <c r="A256" s="13" t="s">
        <v>942</v>
      </c>
      <c r="B256" s="14" t="s">
        <v>943</v>
      </c>
      <c r="C256" s="14"/>
      <c r="D256" s="14" t="s">
        <v>944</v>
      </c>
      <c r="E256" s="14">
        <f xml:space="preserve"> IF($U$256,1,0)</f>
        <v>0</v>
      </c>
      <c r="F256" s="14" t="s">
        <v>945</v>
      </c>
      <c r="G256" s="14">
        <v>0</v>
      </c>
      <c r="H256" s="14">
        <v>0</v>
      </c>
      <c r="I256" s="14">
        <v>0</v>
      </c>
      <c r="J256" s="14">
        <v>0</v>
      </c>
      <c r="K256" s="14">
        <v>0</v>
      </c>
      <c r="L256" s="14">
        <v>0</v>
      </c>
      <c r="M256" s="14">
        <v>0</v>
      </c>
      <c r="N256" s="14">
        <v>0</v>
      </c>
      <c r="O256" s="14">
        <v>0</v>
      </c>
      <c r="P256" s="14">
        <v>0</v>
      </c>
      <c r="Q256" s="15">
        <v>0</v>
      </c>
      <c r="R256" s="15">
        <v>0</v>
      </c>
      <c r="S256" s="15">
        <f>$G$256*$G$8+$H$256*$H$8+$I$256*$I$8+$J$256*$J$8+$K$256*$K$8+$L$256*$L$8+$M$256*$M$8+$N$256*$N$8+$O$256*$O$8+$P$256*$P$8</f>
        <v>0</v>
      </c>
      <c r="T256" s="15">
        <f>SUM($Q$256:$R$256)</f>
        <v>0</v>
      </c>
      <c r="U256" s="15">
        <f>$S$256+$T$256</f>
        <v>0</v>
      </c>
    </row>
    <row r="257" spans="1:21" x14ac:dyDescent="0.3">
      <c r="A257" s="10" t="s">
        <v>946</v>
      </c>
      <c r="B257" s="11" t="s">
        <v>947</v>
      </c>
      <c r="C257" s="11"/>
      <c r="D257" s="11" t="s">
        <v>948</v>
      </c>
      <c r="E257" s="11">
        <f xml:space="preserve"> IF($U$257,1,0)</f>
        <v>0</v>
      </c>
      <c r="F257" s="11" t="s">
        <v>949</v>
      </c>
      <c r="G257" s="11">
        <v>0</v>
      </c>
      <c r="H257" s="11">
        <v>0</v>
      </c>
      <c r="I257" s="11">
        <v>0</v>
      </c>
      <c r="J257" s="11">
        <v>0</v>
      </c>
      <c r="K257" s="11">
        <v>0</v>
      </c>
      <c r="L257" s="11">
        <v>0</v>
      </c>
      <c r="M257" s="11">
        <v>0</v>
      </c>
      <c r="N257" s="11">
        <v>0</v>
      </c>
      <c r="O257" s="11">
        <v>0</v>
      </c>
      <c r="P257" s="11">
        <v>0</v>
      </c>
      <c r="Q257" s="12">
        <v>0</v>
      </c>
      <c r="R257" s="12">
        <v>0</v>
      </c>
      <c r="S257" s="12">
        <f>$G$257*$G$8+$H$257*$H$8+$I$257*$I$8+$J$257*$J$8+$K$257*$K$8+$L$257*$L$8+$M$257*$M$8+$N$257*$N$8+$O$257*$O$8+$P$257*$P$8</f>
        <v>0</v>
      </c>
      <c r="T257" s="12">
        <f>SUM($Q$257:$R$257)</f>
        <v>0</v>
      </c>
      <c r="U257" s="12">
        <f>$S$257+$T$257</f>
        <v>0</v>
      </c>
    </row>
    <row r="258" spans="1:21" x14ac:dyDescent="0.3">
      <c r="A258" s="13" t="s">
        <v>950</v>
      </c>
      <c r="B258" s="14" t="s">
        <v>951</v>
      </c>
      <c r="C258" s="14" t="s">
        <v>34</v>
      </c>
      <c r="D258" s="14" t="s">
        <v>118</v>
      </c>
      <c r="E258" s="14">
        <f xml:space="preserve"> IF($U$258,1,0)</f>
        <v>0</v>
      </c>
      <c r="F258" s="14" t="s">
        <v>952</v>
      </c>
      <c r="G258" s="14">
        <v>0</v>
      </c>
      <c r="H258" s="14">
        <v>0</v>
      </c>
      <c r="I258" s="14">
        <v>0</v>
      </c>
      <c r="J258" s="14">
        <v>0</v>
      </c>
      <c r="K258" s="14">
        <v>0</v>
      </c>
      <c r="L258" s="14">
        <v>0</v>
      </c>
      <c r="M258" s="14">
        <v>0</v>
      </c>
      <c r="N258" s="14">
        <v>0</v>
      </c>
      <c r="O258" s="14">
        <v>0</v>
      </c>
      <c r="P258" s="14">
        <v>0</v>
      </c>
      <c r="Q258" s="15">
        <v>0</v>
      </c>
      <c r="R258" s="15">
        <v>0</v>
      </c>
      <c r="S258" s="15">
        <f>$G$258*$G$8+$H$258*$H$8+$I$258*$I$8+$J$258*$J$8+$K$258*$K$8+$L$258*$L$8+$M$258*$M$8+$N$258*$N$8+$O$258*$O$8+$P$258*$P$8</f>
        <v>0</v>
      </c>
      <c r="T258" s="15">
        <f>SUM($Q$258:$R$258)</f>
        <v>0</v>
      </c>
      <c r="U258" s="15">
        <f>$S$258+$T$258</f>
        <v>0</v>
      </c>
    </row>
    <row r="259" spans="1:21" x14ac:dyDescent="0.3">
      <c r="A259" s="10" t="s">
        <v>953</v>
      </c>
      <c r="B259" s="11" t="s">
        <v>954</v>
      </c>
      <c r="C259" s="11"/>
      <c r="D259" s="11" t="s">
        <v>955</v>
      </c>
      <c r="E259" s="11">
        <f xml:space="preserve"> IF($U$259,1,0)</f>
        <v>0</v>
      </c>
      <c r="F259" s="11" t="s">
        <v>956</v>
      </c>
      <c r="G259" s="11">
        <v>0</v>
      </c>
      <c r="H259" s="11">
        <v>0</v>
      </c>
      <c r="I259" s="11">
        <v>0</v>
      </c>
      <c r="J259" s="11">
        <v>0</v>
      </c>
      <c r="K259" s="11">
        <v>0</v>
      </c>
      <c r="L259" s="11">
        <v>0</v>
      </c>
      <c r="M259" s="11">
        <v>0</v>
      </c>
      <c r="N259" s="11">
        <v>0</v>
      </c>
      <c r="O259" s="11">
        <v>0</v>
      </c>
      <c r="P259" s="11">
        <v>0</v>
      </c>
      <c r="Q259" s="12">
        <v>0</v>
      </c>
      <c r="R259" s="12">
        <v>0</v>
      </c>
      <c r="S259" s="12">
        <f>$G$259*$G$8+$H$259*$H$8+$I$259*$I$8+$J$259*$J$8+$K$259*$K$8+$L$259*$L$8+$M$259*$M$8+$N$259*$N$8+$O$259*$O$8+$P$259*$P$8</f>
        <v>0</v>
      </c>
      <c r="T259" s="12">
        <f>SUM($Q$259:$R$259)</f>
        <v>0</v>
      </c>
      <c r="U259" s="12">
        <f>$S$259+$T$259</f>
        <v>0</v>
      </c>
    </row>
    <row r="260" spans="1:21" x14ac:dyDescent="0.3">
      <c r="A260" s="13" t="s">
        <v>957</v>
      </c>
      <c r="B260" s="14" t="s">
        <v>958</v>
      </c>
      <c r="C260" s="14" t="s">
        <v>65</v>
      </c>
      <c r="D260" s="14" t="s">
        <v>959</v>
      </c>
      <c r="E260" s="14">
        <f xml:space="preserve"> IF($U$260,1,0)</f>
        <v>0</v>
      </c>
      <c r="F260" s="14" t="s">
        <v>960</v>
      </c>
      <c r="G260" s="14">
        <v>0</v>
      </c>
      <c r="H260" s="14">
        <v>0</v>
      </c>
      <c r="I260" s="14">
        <v>0</v>
      </c>
      <c r="J260" s="14">
        <v>0</v>
      </c>
      <c r="K260" s="14">
        <v>0</v>
      </c>
      <c r="L260" s="14">
        <v>0</v>
      </c>
      <c r="M260" s="14">
        <v>0</v>
      </c>
      <c r="N260" s="14">
        <v>0</v>
      </c>
      <c r="O260" s="14">
        <v>0</v>
      </c>
      <c r="P260" s="14">
        <v>0</v>
      </c>
      <c r="Q260" s="15">
        <v>0</v>
      </c>
      <c r="R260" s="15">
        <v>0</v>
      </c>
      <c r="S260" s="15">
        <f>$G$260*$G$8+$H$260*$H$8+$I$260*$I$8+$J$260*$J$8+$K$260*$K$8+$L$260*$L$8+$M$260*$M$8+$N$260*$N$8+$O$260*$O$8+$P$260*$P$8</f>
        <v>0</v>
      </c>
      <c r="T260" s="15">
        <f>SUM($Q$260:$R$260)</f>
        <v>0</v>
      </c>
      <c r="U260" s="15">
        <f>$S$260+$T$260</f>
        <v>0</v>
      </c>
    </row>
    <row r="261" spans="1:21" x14ac:dyDescent="0.3">
      <c r="A261" s="10" t="s">
        <v>961</v>
      </c>
      <c r="B261" s="11" t="s">
        <v>962</v>
      </c>
      <c r="C261" s="11" t="s">
        <v>202</v>
      </c>
      <c r="D261" s="11" t="s">
        <v>963</v>
      </c>
      <c r="E261" s="11">
        <f xml:space="preserve"> IF($U$261,1,0)</f>
        <v>0</v>
      </c>
      <c r="F261" s="11" t="s">
        <v>964</v>
      </c>
      <c r="G261" s="11">
        <v>0</v>
      </c>
      <c r="H261" s="11">
        <v>0</v>
      </c>
      <c r="I261" s="11">
        <v>0</v>
      </c>
      <c r="J261" s="11">
        <v>0</v>
      </c>
      <c r="K261" s="11">
        <v>0</v>
      </c>
      <c r="L261" s="11">
        <v>0</v>
      </c>
      <c r="M261" s="11">
        <v>0</v>
      </c>
      <c r="N261" s="11">
        <v>0</v>
      </c>
      <c r="O261" s="11">
        <v>0</v>
      </c>
      <c r="P261" s="11">
        <v>0</v>
      </c>
      <c r="Q261" s="12">
        <v>0</v>
      </c>
      <c r="R261" s="12">
        <v>0</v>
      </c>
      <c r="S261" s="12">
        <f>$G$261*$G$8+$H$261*$H$8+$I$261*$I$8+$J$261*$J$8+$K$261*$K$8+$L$261*$L$8+$M$261*$M$8+$N$261*$N$8+$O$261*$O$8+$P$261*$P$8</f>
        <v>0</v>
      </c>
      <c r="T261" s="12">
        <f>SUM($Q$261:$R$261)</f>
        <v>0</v>
      </c>
      <c r="U261" s="12">
        <f>$S$261+$T$261</f>
        <v>0</v>
      </c>
    </row>
    <row r="262" spans="1:21" x14ac:dyDescent="0.3">
      <c r="A262" s="13" t="s">
        <v>965</v>
      </c>
      <c r="B262" s="14" t="s">
        <v>966</v>
      </c>
      <c r="C262" s="14"/>
      <c r="D262" s="14" t="s">
        <v>609</v>
      </c>
      <c r="E262" s="14">
        <f xml:space="preserve"> IF($U$262,1,0)</f>
        <v>0</v>
      </c>
      <c r="F262" s="14" t="s">
        <v>967</v>
      </c>
      <c r="G262" s="14">
        <v>0</v>
      </c>
      <c r="H262" s="14">
        <v>0</v>
      </c>
      <c r="I262" s="14">
        <v>0</v>
      </c>
      <c r="J262" s="14">
        <v>0</v>
      </c>
      <c r="K262" s="14">
        <v>0</v>
      </c>
      <c r="L262" s="14">
        <v>0</v>
      </c>
      <c r="M262" s="14">
        <v>0</v>
      </c>
      <c r="N262" s="14">
        <v>0</v>
      </c>
      <c r="O262" s="14">
        <v>0</v>
      </c>
      <c r="P262" s="14">
        <v>0</v>
      </c>
      <c r="Q262" s="15">
        <v>0</v>
      </c>
      <c r="R262" s="15">
        <v>0</v>
      </c>
      <c r="S262" s="15">
        <f>$G$262*$G$8+$H$262*$H$8+$I$262*$I$8+$J$262*$J$8+$K$262*$K$8+$L$262*$L$8+$M$262*$M$8+$N$262*$N$8+$O$262*$O$8+$P$262*$P$8</f>
        <v>0</v>
      </c>
      <c r="T262" s="15">
        <f>SUM($Q$262:$R$262)</f>
        <v>0</v>
      </c>
      <c r="U262" s="15">
        <f>$S$262+$T$262</f>
        <v>0</v>
      </c>
    </row>
    <row r="263" spans="1:21" x14ac:dyDescent="0.3">
      <c r="A263" s="10" t="s">
        <v>968</v>
      </c>
      <c r="B263" s="11" t="s">
        <v>969</v>
      </c>
      <c r="C263" s="11"/>
      <c r="D263" s="11" t="s">
        <v>970</v>
      </c>
      <c r="E263" s="11">
        <f xml:space="preserve"> IF($U$263,1,0)</f>
        <v>0</v>
      </c>
      <c r="F263" s="11" t="s">
        <v>971</v>
      </c>
      <c r="G263" s="11">
        <v>0</v>
      </c>
      <c r="H263" s="11">
        <v>0</v>
      </c>
      <c r="I263" s="11">
        <v>0</v>
      </c>
      <c r="J263" s="11">
        <v>0</v>
      </c>
      <c r="K263" s="11">
        <v>0</v>
      </c>
      <c r="L263" s="11">
        <v>0</v>
      </c>
      <c r="M263" s="11">
        <v>0</v>
      </c>
      <c r="N263" s="11">
        <v>0</v>
      </c>
      <c r="O263" s="11">
        <v>0</v>
      </c>
      <c r="P263" s="11">
        <v>0</v>
      </c>
      <c r="Q263" s="12">
        <v>0</v>
      </c>
      <c r="R263" s="12">
        <v>0</v>
      </c>
      <c r="S263" s="12">
        <f>$G$263*$G$8+$H$263*$H$8+$I$263*$I$8+$J$263*$J$8+$K$263*$K$8+$L$263*$L$8+$M$263*$M$8+$N$263*$N$8+$O$263*$O$8+$P$263*$P$8</f>
        <v>0</v>
      </c>
      <c r="T263" s="12">
        <f>SUM($Q$263:$R$263)</f>
        <v>0</v>
      </c>
      <c r="U263" s="12">
        <f>$S$263+$T$263</f>
        <v>0</v>
      </c>
    </row>
    <row r="264" spans="1:21" x14ac:dyDescent="0.3">
      <c r="A264" s="13" t="s">
        <v>972</v>
      </c>
      <c r="B264" s="14" t="s">
        <v>973</v>
      </c>
      <c r="C264" s="14"/>
      <c r="D264" s="14" t="s">
        <v>974</v>
      </c>
      <c r="E264" s="14">
        <f xml:space="preserve"> IF($U$264,1,0)</f>
        <v>0</v>
      </c>
      <c r="F264" s="14" t="s">
        <v>975</v>
      </c>
      <c r="G264" s="14">
        <v>0</v>
      </c>
      <c r="H264" s="14">
        <v>0</v>
      </c>
      <c r="I264" s="14">
        <v>0</v>
      </c>
      <c r="J264" s="14">
        <v>0</v>
      </c>
      <c r="K264" s="14">
        <v>0</v>
      </c>
      <c r="L264" s="14">
        <v>0</v>
      </c>
      <c r="M264" s="14">
        <v>0</v>
      </c>
      <c r="N264" s="14">
        <v>0</v>
      </c>
      <c r="O264" s="14">
        <v>0</v>
      </c>
      <c r="P264" s="14">
        <v>0</v>
      </c>
      <c r="Q264" s="15">
        <v>0</v>
      </c>
      <c r="R264" s="15">
        <v>0</v>
      </c>
      <c r="S264" s="15">
        <f>$G$264*$G$8+$H$264*$H$8+$I$264*$I$8+$J$264*$J$8+$K$264*$K$8+$L$264*$L$8+$M$264*$M$8+$N$264*$N$8+$O$264*$O$8+$P$264*$P$8</f>
        <v>0</v>
      </c>
      <c r="T264" s="15">
        <f>SUM($Q$264:$R$264)</f>
        <v>0</v>
      </c>
      <c r="U264" s="15">
        <f>$S$264+$T$264</f>
        <v>0</v>
      </c>
    </row>
    <row r="265" spans="1:21" x14ac:dyDescent="0.3">
      <c r="A265" s="10" t="s">
        <v>976</v>
      </c>
      <c r="B265" s="11" t="s">
        <v>977</v>
      </c>
      <c r="C265" s="11"/>
      <c r="D265" s="11" t="s">
        <v>978</v>
      </c>
      <c r="E265" s="11">
        <f xml:space="preserve"> IF($U$265,1,0)</f>
        <v>0</v>
      </c>
      <c r="F265" s="11" t="s">
        <v>979</v>
      </c>
      <c r="G265" s="11">
        <v>0</v>
      </c>
      <c r="H265" s="11">
        <v>0</v>
      </c>
      <c r="I265" s="11">
        <v>0</v>
      </c>
      <c r="J265" s="11">
        <v>0</v>
      </c>
      <c r="K265" s="11">
        <v>0</v>
      </c>
      <c r="L265" s="11">
        <v>0</v>
      </c>
      <c r="M265" s="11">
        <v>0</v>
      </c>
      <c r="N265" s="11">
        <v>0</v>
      </c>
      <c r="O265" s="11">
        <v>0</v>
      </c>
      <c r="P265" s="11">
        <v>0</v>
      </c>
      <c r="Q265" s="12">
        <v>0</v>
      </c>
      <c r="R265" s="12">
        <v>0</v>
      </c>
      <c r="S265" s="12">
        <f>$G$265*$G$8+$H$265*$H$8+$I$265*$I$8+$J$265*$J$8+$K$265*$K$8+$L$265*$L$8+$M$265*$M$8+$N$265*$N$8+$O$265*$O$8+$P$265*$P$8</f>
        <v>0</v>
      </c>
      <c r="T265" s="12">
        <f>SUM($Q$265:$R$265)</f>
        <v>0</v>
      </c>
      <c r="U265" s="12">
        <f>$S$265+$T$265</f>
        <v>0</v>
      </c>
    </row>
    <row r="266" spans="1:21" x14ac:dyDescent="0.3">
      <c r="A266" s="13" t="s">
        <v>980</v>
      </c>
      <c r="B266" s="14" t="s">
        <v>981</v>
      </c>
      <c r="C266" s="14" t="s">
        <v>34</v>
      </c>
      <c r="D266" s="14" t="s">
        <v>982</v>
      </c>
      <c r="E266" s="14">
        <f xml:space="preserve"> IF($U$266,1,0)</f>
        <v>0</v>
      </c>
      <c r="F266" s="14" t="s">
        <v>983</v>
      </c>
      <c r="G266" s="14">
        <v>0</v>
      </c>
      <c r="H266" s="14">
        <v>0</v>
      </c>
      <c r="I266" s="14">
        <v>0</v>
      </c>
      <c r="J266" s="14">
        <v>0</v>
      </c>
      <c r="K266" s="14">
        <v>0</v>
      </c>
      <c r="L266" s="14">
        <v>0</v>
      </c>
      <c r="M266" s="14">
        <v>0</v>
      </c>
      <c r="N266" s="14">
        <v>0</v>
      </c>
      <c r="O266" s="14">
        <v>0</v>
      </c>
      <c r="P266" s="14">
        <v>0</v>
      </c>
      <c r="Q266" s="15">
        <v>0</v>
      </c>
      <c r="R266" s="15">
        <v>0</v>
      </c>
      <c r="S266" s="15">
        <f>$G$266*$G$8+$H$266*$H$8+$I$266*$I$8+$J$266*$J$8+$K$266*$K$8+$L$266*$L$8+$M$266*$M$8+$N$266*$N$8+$O$266*$O$8+$P$266*$P$8</f>
        <v>0</v>
      </c>
      <c r="T266" s="15">
        <f>SUM($Q$266:$R$266)</f>
        <v>0</v>
      </c>
      <c r="U266" s="15">
        <f>$S$266+$T$266</f>
        <v>0</v>
      </c>
    </row>
    <row r="267" spans="1:21" x14ac:dyDescent="0.3">
      <c r="A267" s="10" t="s">
        <v>984</v>
      </c>
      <c r="B267" s="11" t="s">
        <v>985</v>
      </c>
      <c r="C267" s="11" t="s">
        <v>202</v>
      </c>
      <c r="D267" s="11" t="s">
        <v>986</v>
      </c>
      <c r="E267" s="11">
        <f xml:space="preserve"> IF($U$267,1,0)</f>
        <v>0</v>
      </c>
      <c r="F267" s="11" t="s">
        <v>987</v>
      </c>
      <c r="G267" s="11">
        <v>0</v>
      </c>
      <c r="H267" s="11">
        <v>0</v>
      </c>
      <c r="I267" s="11">
        <v>0</v>
      </c>
      <c r="J267" s="11">
        <v>0</v>
      </c>
      <c r="K267" s="11">
        <v>0</v>
      </c>
      <c r="L267" s="11">
        <v>0</v>
      </c>
      <c r="M267" s="11">
        <v>0</v>
      </c>
      <c r="N267" s="11">
        <v>0</v>
      </c>
      <c r="O267" s="11">
        <v>0</v>
      </c>
      <c r="P267" s="11">
        <v>0</v>
      </c>
      <c r="Q267" s="12">
        <v>0</v>
      </c>
      <c r="R267" s="12">
        <v>0</v>
      </c>
      <c r="S267" s="12">
        <f>$G$267*$G$8+$H$267*$H$8+$I$267*$I$8+$J$267*$J$8+$K$267*$K$8+$L$267*$L$8+$M$267*$M$8+$N$267*$N$8+$O$267*$O$8+$P$267*$P$8</f>
        <v>0</v>
      </c>
      <c r="T267" s="12">
        <f>SUM($Q$267:$R$267)</f>
        <v>0</v>
      </c>
      <c r="U267" s="12">
        <f>$S$267+$T$267</f>
        <v>0</v>
      </c>
    </row>
    <row r="268" spans="1:21" x14ac:dyDescent="0.3">
      <c r="A268" s="13" t="s">
        <v>1261</v>
      </c>
      <c r="B268" s="14" t="s">
        <v>1262</v>
      </c>
      <c r="C268" s="14"/>
      <c r="D268" s="14" t="s">
        <v>1263</v>
      </c>
      <c r="E268" s="14">
        <f xml:space="preserve"> IF($U$268,1,0)</f>
        <v>0</v>
      </c>
      <c r="F268" s="14" t="s">
        <v>1264</v>
      </c>
      <c r="G268" s="14">
        <v>0</v>
      </c>
      <c r="H268" s="14">
        <v>0</v>
      </c>
      <c r="I268" s="14">
        <v>0</v>
      </c>
      <c r="J268" s="14">
        <v>0</v>
      </c>
      <c r="K268" s="14">
        <v>0</v>
      </c>
      <c r="L268" s="14">
        <v>0</v>
      </c>
      <c r="M268" s="14">
        <v>0</v>
      </c>
      <c r="N268" s="14">
        <v>0</v>
      </c>
      <c r="O268" s="14">
        <v>0</v>
      </c>
      <c r="P268" s="14">
        <v>0</v>
      </c>
      <c r="Q268" s="15">
        <v>0</v>
      </c>
      <c r="R268" s="15">
        <v>0</v>
      </c>
      <c r="S268" s="15">
        <f>$G$268*$G$8+$H$268*$H$8+$I$268*$I$8+$J$268*$J$8+$K$268*$K$8+$L$268*$L$8+$M$268*$M$8+$N$268*$N$8+$O$268*$O$8+$P$268*$P$8</f>
        <v>0</v>
      </c>
      <c r="T268" s="15">
        <f>SUM($Q$268:$R$268)</f>
        <v>0</v>
      </c>
      <c r="U268" s="15">
        <f>$S$268+$T$268</f>
        <v>0</v>
      </c>
    </row>
    <row r="269" spans="1:21" x14ac:dyDescent="0.3">
      <c r="A269" s="10" t="s">
        <v>988</v>
      </c>
      <c r="B269" s="11" t="s">
        <v>989</v>
      </c>
      <c r="C269" s="11" t="s">
        <v>887</v>
      </c>
      <c r="D269" s="11" t="s">
        <v>1060</v>
      </c>
      <c r="E269" s="11">
        <f xml:space="preserve"> IF($U$269,1,0)</f>
        <v>0</v>
      </c>
      <c r="F269" s="11" t="s">
        <v>1256</v>
      </c>
      <c r="G269" s="11">
        <v>0</v>
      </c>
      <c r="H269" s="11">
        <v>0</v>
      </c>
      <c r="I269" s="11">
        <v>0</v>
      </c>
      <c r="J269" s="11">
        <v>0</v>
      </c>
      <c r="K269" s="11">
        <v>0</v>
      </c>
      <c r="L269" s="11">
        <v>0</v>
      </c>
      <c r="M269" s="11">
        <v>0</v>
      </c>
      <c r="N269" s="11">
        <v>0</v>
      </c>
      <c r="O269" s="11">
        <v>0</v>
      </c>
      <c r="P269" s="11">
        <v>0</v>
      </c>
      <c r="Q269" s="12">
        <v>0</v>
      </c>
      <c r="R269" s="12">
        <v>0</v>
      </c>
      <c r="S269" s="12">
        <f>$G$269*$G$8+$H$269*$H$8+$I$269*$I$8+$J$269*$J$8+$K$269*$K$8+$L$269*$L$8+$M$269*$M$8+$N$269*$N$8+$O$269*$O$8+$P$269*$P$8</f>
        <v>0</v>
      </c>
      <c r="T269" s="12">
        <f>SUM($Q$269:$R$269)</f>
        <v>0</v>
      </c>
      <c r="U269" s="12">
        <f>$S$269+$T$269</f>
        <v>0</v>
      </c>
    </row>
    <row r="270" spans="1:21" x14ac:dyDescent="0.3">
      <c r="A270" s="13" t="s">
        <v>992</v>
      </c>
      <c r="B270" s="14" t="s">
        <v>343</v>
      </c>
      <c r="C270" s="14"/>
      <c r="D270" s="14" t="s">
        <v>1294</v>
      </c>
      <c r="E270" s="14">
        <f xml:space="preserve"> IF($U$270,1,0)</f>
        <v>0</v>
      </c>
      <c r="F270" s="14" t="s">
        <v>1295</v>
      </c>
      <c r="G270" s="14">
        <v>0</v>
      </c>
      <c r="H270" s="14">
        <v>0</v>
      </c>
      <c r="I270" s="14">
        <v>0</v>
      </c>
      <c r="J270" s="14">
        <v>0</v>
      </c>
      <c r="K270" s="14">
        <v>0</v>
      </c>
      <c r="L270" s="14">
        <v>0</v>
      </c>
      <c r="M270" s="14">
        <v>0</v>
      </c>
      <c r="N270" s="14">
        <v>0</v>
      </c>
      <c r="O270" s="14">
        <v>0</v>
      </c>
      <c r="P270" s="14">
        <v>0</v>
      </c>
      <c r="Q270" s="15">
        <v>0</v>
      </c>
      <c r="R270" s="15">
        <v>0</v>
      </c>
      <c r="S270" s="15">
        <f>$G$270*$G$8+$H$270*$H$8+$I$270*$I$8+$J$270*$J$8+$K$270*$K$8+$L$270*$L$8+$M$270*$M$8+$N$270*$N$8+$O$270*$O$8+$P$270*$P$8</f>
        <v>0</v>
      </c>
      <c r="T270" s="15">
        <f>SUM($Q$270:$R$270)</f>
        <v>0</v>
      </c>
      <c r="U270" s="15">
        <f>$S$270+$T$270</f>
        <v>0</v>
      </c>
    </row>
    <row r="271" spans="1:21" x14ac:dyDescent="0.3">
      <c r="A271" s="10" t="s">
        <v>995</v>
      </c>
      <c r="B271" s="11" t="s">
        <v>996</v>
      </c>
      <c r="C271" s="11"/>
      <c r="D271" s="11" t="s">
        <v>997</v>
      </c>
      <c r="E271" s="11">
        <f xml:space="preserve"> IF($U$271,1,0)</f>
        <v>0</v>
      </c>
      <c r="F271" s="11" t="s">
        <v>998</v>
      </c>
      <c r="G271" s="11">
        <v>0</v>
      </c>
      <c r="H271" s="11">
        <v>0</v>
      </c>
      <c r="I271" s="11">
        <v>0</v>
      </c>
      <c r="J271" s="11">
        <v>0</v>
      </c>
      <c r="K271" s="11">
        <v>0</v>
      </c>
      <c r="L271" s="11">
        <v>0</v>
      </c>
      <c r="M271" s="11">
        <v>0</v>
      </c>
      <c r="N271" s="11">
        <v>0</v>
      </c>
      <c r="O271" s="11">
        <v>0</v>
      </c>
      <c r="P271" s="11">
        <v>0</v>
      </c>
      <c r="Q271" s="12">
        <v>0</v>
      </c>
      <c r="R271" s="12">
        <v>0</v>
      </c>
      <c r="S271" s="12">
        <f>$G$271*$G$8+$H$271*$H$8+$I$271*$I$8+$J$271*$J$8+$K$271*$K$8+$L$271*$L$8+$M$271*$M$8+$N$271*$N$8+$O$271*$O$8+$P$271*$P$8</f>
        <v>0</v>
      </c>
      <c r="T271" s="12">
        <f>SUM($Q$271:$R$271)</f>
        <v>0</v>
      </c>
      <c r="U271" s="12">
        <f>$S$271+$T$271</f>
        <v>0</v>
      </c>
    </row>
    <row r="272" spans="1:21" x14ac:dyDescent="0.3">
      <c r="A272" s="13" t="s">
        <v>999</v>
      </c>
      <c r="B272" s="14" t="s">
        <v>1000</v>
      </c>
      <c r="C272" s="14" t="s">
        <v>202</v>
      </c>
      <c r="D272" s="14" t="s">
        <v>1001</v>
      </c>
      <c r="E272" s="14">
        <f xml:space="preserve"> IF($U$272,1,0)</f>
        <v>0</v>
      </c>
      <c r="F272" s="14" t="s">
        <v>1002</v>
      </c>
      <c r="G272" s="14">
        <v>0</v>
      </c>
      <c r="H272" s="14">
        <v>0</v>
      </c>
      <c r="I272" s="14">
        <v>0</v>
      </c>
      <c r="J272" s="14">
        <v>0</v>
      </c>
      <c r="K272" s="14">
        <v>0</v>
      </c>
      <c r="L272" s="14">
        <v>0</v>
      </c>
      <c r="M272" s="14">
        <v>0</v>
      </c>
      <c r="N272" s="14">
        <v>0</v>
      </c>
      <c r="O272" s="14">
        <v>0</v>
      </c>
      <c r="P272" s="14">
        <v>0</v>
      </c>
      <c r="Q272" s="15">
        <v>0</v>
      </c>
      <c r="R272" s="15">
        <v>0</v>
      </c>
      <c r="S272" s="15">
        <f>$G$272*$G$8+$H$272*$H$8+$I$272*$I$8+$J$272*$J$8+$K$272*$K$8+$L$272*$L$8+$M$272*$M$8+$N$272*$N$8+$O$272*$O$8+$P$272*$P$8</f>
        <v>0</v>
      </c>
      <c r="T272" s="15">
        <f>SUM($Q$272:$R$272)</f>
        <v>0</v>
      </c>
      <c r="U272" s="15">
        <f>$S$272+$T$272</f>
        <v>0</v>
      </c>
    </row>
    <row r="273" spans="1:21" x14ac:dyDescent="0.3">
      <c r="A273" s="10" t="s">
        <v>1003</v>
      </c>
      <c r="B273" s="11" t="s">
        <v>1004</v>
      </c>
      <c r="C273" s="11"/>
      <c r="D273" s="11" t="s">
        <v>1005</v>
      </c>
      <c r="E273" s="11">
        <f xml:space="preserve"> IF($U$273,1,0)</f>
        <v>0</v>
      </c>
      <c r="F273" s="11" t="s">
        <v>1006</v>
      </c>
      <c r="G273" s="11">
        <v>0</v>
      </c>
      <c r="H273" s="11">
        <v>0</v>
      </c>
      <c r="I273" s="11">
        <v>0</v>
      </c>
      <c r="J273" s="11">
        <v>0</v>
      </c>
      <c r="K273" s="11">
        <v>0</v>
      </c>
      <c r="L273" s="11">
        <v>0</v>
      </c>
      <c r="M273" s="11">
        <v>0</v>
      </c>
      <c r="N273" s="11">
        <v>0</v>
      </c>
      <c r="O273" s="11">
        <v>0</v>
      </c>
      <c r="P273" s="11">
        <v>0</v>
      </c>
      <c r="Q273" s="12">
        <v>0</v>
      </c>
      <c r="R273" s="12">
        <v>0</v>
      </c>
      <c r="S273" s="12">
        <f>$G$273*$G$8+$H$273*$H$8+$I$273*$I$8+$J$273*$J$8+$K$273*$K$8+$L$273*$L$8+$M$273*$M$8+$N$273*$N$8+$O$273*$O$8+$P$273*$P$8</f>
        <v>0</v>
      </c>
      <c r="T273" s="12">
        <f>SUM($Q$273:$R$273)</f>
        <v>0</v>
      </c>
      <c r="U273" s="12">
        <f>$S$273+$T$273</f>
        <v>0</v>
      </c>
    </row>
    <row r="274" spans="1:21" x14ac:dyDescent="0.3">
      <c r="A274" s="13" t="s">
        <v>1007</v>
      </c>
      <c r="B274" s="14" t="s">
        <v>1004</v>
      </c>
      <c r="C274" s="14"/>
      <c r="D274" s="14" t="s">
        <v>1008</v>
      </c>
      <c r="E274" s="14">
        <f xml:space="preserve"> IF($U$274,1,0)</f>
        <v>0</v>
      </c>
      <c r="F274" s="14" t="s">
        <v>1009</v>
      </c>
      <c r="G274" s="14">
        <v>0</v>
      </c>
      <c r="H274" s="14">
        <v>0</v>
      </c>
      <c r="I274" s="14">
        <v>0</v>
      </c>
      <c r="J274" s="14">
        <v>0</v>
      </c>
      <c r="K274" s="14">
        <v>0</v>
      </c>
      <c r="L274" s="14">
        <v>0</v>
      </c>
      <c r="M274" s="14">
        <v>0</v>
      </c>
      <c r="N274" s="14">
        <v>0</v>
      </c>
      <c r="O274" s="14">
        <v>0</v>
      </c>
      <c r="P274" s="14">
        <v>0</v>
      </c>
      <c r="Q274" s="15">
        <v>0</v>
      </c>
      <c r="R274" s="15">
        <v>0</v>
      </c>
      <c r="S274" s="15">
        <f>$G$274*$G$8+$H$274*$H$8+$I$274*$I$8+$J$274*$J$8+$K$274*$K$8+$L$274*$L$8+$M$274*$M$8+$N$274*$N$8+$O$274*$O$8+$P$274*$P$8</f>
        <v>0</v>
      </c>
      <c r="T274" s="15">
        <f>SUM($Q$274:$R$274)</f>
        <v>0</v>
      </c>
      <c r="U274" s="15">
        <f>$S$274+$T$274</f>
        <v>0</v>
      </c>
    </row>
    <row r="275" spans="1:21" x14ac:dyDescent="0.3">
      <c r="A275" s="10" t="s">
        <v>1010</v>
      </c>
      <c r="B275" s="11" t="s">
        <v>1011</v>
      </c>
      <c r="C275" s="11"/>
      <c r="D275" s="11" t="s">
        <v>1012</v>
      </c>
      <c r="E275" s="11">
        <f xml:space="preserve"> IF($U$275,1,0)</f>
        <v>0</v>
      </c>
      <c r="F275" s="11" t="s">
        <v>1013</v>
      </c>
      <c r="G275" s="11">
        <v>0</v>
      </c>
      <c r="H275" s="11">
        <v>0</v>
      </c>
      <c r="I275" s="11">
        <v>0</v>
      </c>
      <c r="J275" s="11">
        <v>0</v>
      </c>
      <c r="K275" s="11">
        <v>0</v>
      </c>
      <c r="L275" s="11">
        <v>0</v>
      </c>
      <c r="M275" s="11">
        <v>0</v>
      </c>
      <c r="N275" s="11">
        <v>0</v>
      </c>
      <c r="O275" s="11">
        <v>0</v>
      </c>
      <c r="P275" s="11">
        <v>0</v>
      </c>
      <c r="Q275" s="12">
        <v>0</v>
      </c>
      <c r="R275" s="12">
        <v>0</v>
      </c>
      <c r="S275" s="12">
        <f>$G$275*$G$8+$H$275*$H$8+$I$275*$I$8+$J$275*$J$8+$K$275*$K$8+$L$275*$L$8+$M$275*$M$8+$N$275*$N$8+$O$275*$O$8+$P$275*$P$8</f>
        <v>0</v>
      </c>
      <c r="T275" s="12">
        <f>SUM($Q$275:$R$275)</f>
        <v>0</v>
      </c>
      <c r="U275" s="12">
        <f>$S$275+$T$275</f>
        <v>0</v>
      </c>
    </row>
    <row r="276" spans="1:21" x14ac:dyDescent="0.3">
      <c r="A276" s="13" t="s">
        <v>1014</v>
      </c>
      <c r="B276" s="14" t="s">
        <v>1015</v>
      </c>
      <c r="C276" s="14"/>
      <c r="D276" s="14" t="s">
        <v>1016</v>
      </c>
      <c r="E276" s="14">
        <f xml:space="preserve"> IF($U$276,1,0)</f>
        <v>0</v>
      </c>
      <c r="F276" s="14" t="s">
        <v>1017</v>
      </c>
      <c r="G276" s="14">
        <v>0</v>
      </c>
      <c r="H276" s="14">
        <v>0</v>
      </c>
      <c r="I276" s="14">
        <v>0</v>
      </c>
      <c r="J276" s="14">
        <v>0</v>
      </c>
      <c r="K276" s="14">
        <v>0</v>
      </c>
      <c r="L276" s="14">
        <v>0</v>
      </c>
      <c r="M276" s="14">
        <v>0</v>
      </c>
      <c r="N276" s="14">
        <v>0</v>
      </c>
      <c r="O276" s="14">
        <v>0</v>
      </c>
      <c r="P276" s="14">
        <v>0</v>
      </c>
      <c r="Q276" s="15">
        <v>0</v>
      </c>
      <c r="R276" s="15">
        <v>0</v>
      </c>
      <c r="S276" s="15">
        <f>$G$276*$G$8+$H$276*$H$8+$I$276*$I$8+$J$276*$J$8+$K$276*$K$8+$L$276*$L$8+$M$276*$M$8+$N$276*$N$8+$O$276*$O$8+$P$276*$P$8</f>
        <v>0</v>
      </c>
      <c r="T276" s="15">
        <f>SUM($Q$276:$R$276)</f>
        <v>0</v>
      </c>
      <c r="U276" s="15">
        <f>$S$276+$T$276</f>
        <v>0</v>
      </c>
    </row>
    <row r="277" spans="1:21" x14ac:dyDescent="0.3">
      <c r="A277" s="10" t="s">
        <v>1018</v>
      </c>
      <c r="B277" s="11" t="s">
        <v>1015</v>
      </c>
      <c r="C277" s="11"/>
      <c r="D277" s="11" t="s">
        <v>1019</v>
      </c>
      <c r="E277" s="11">
        <f xml:space="preserve"> IF($U$277,1,0)</f>
        <v>0</v>
      </c>
      <c r="F277" s="11" t="s">
        <v>1020</v>
      </c>
      <c r="G277" s="11">
        <v>0</v>
      </c>
      <c r="H277" s="11">
        <v>0</v>
      </c>
      <c r="I277" s="11">
        <v>0</v>
      </c>
      <c r="J277" s="11">
        <v>0</v>
      </c>
      <c r="K277" s="11">
        <v>0</v>
      </c>
      <c r="L277" s="11">
        <v>0</v>
      </c>
      <c r="M277" s="11">
        <v>0</v>
      </c>
      <c r="N277" s="11">
        <v>0</v>
      </c>
      <c r="O277" s="11">
        <v>0</v>
      </c>
      <c r="P277" s="11">
        <v>0</v>
      </c>
      <c r="Q277" s="12">
        <v>0</v>
      </c>
      <c r="R277" s="12">
        <v>0</v>
      </c>
      <c r="S277" s="12">
        <f>$G$277*$G$8+$H$277*$H$8+$I$277*$I$8+$J$277*$J$8+$K$277*$K$8+$L$277*$L$8+$M$277*$M$8+$N$277*$N$8+$O$277*$O$8+$P$277*$P$8</f>
        <v>0</v>
      </c>
      <c r="T277" s="12">
        <f>SUM($Q$277:$R$277)</f>
        <v>0</v>
      </c>
      <c r="U277" s="12">
        <f>$S$277+$T$277</f>
        <v>0</v>
      </c>
    </row>
    <row r="278" spans="1:21" x14ac:dyDescent="0.3">
      <c r="A278" s="13" t="s">
        <v>1021</v>
      </c>
      <c r="B278" s="14" t="s">
        <v>1022</v>
      </c>
      <c r="C278" s="14" t="s">
        <v>283</v>
      </c>
      <c r="D278" s="14" t="s">
        <v>1023</v>
      </c>
      <c r="E278" s="14">
        <f xml:space="preserve"> IF($U$278,1,0)</f>
        <v>0</v>
      </c>
      <c r="F278" s="14" t="s">
        <v>1024</v>
      </c>
      <c r="G278" s="14">
        <v>0</v>
      </c>
      <c r="H278" s="14">
        <v>0</v>
      </c>
      <c r="I278" s="14">
        <v>0</v>
      </c>
      <c r="J278" s="14">
        <v>0</v>
      </c>
      <c r="K278" s="14">
        <v>0</v>
      </c>
      <c r="L278" s="14">
        <v>0</v>
      </c>
      <c r="M278" s="14">
        <v>0</v>
      </c>
      <c r="N278" s="14">
        <v>0</v>
      </c>
      <c r="O278" s="14">
        <v>0</v>
      </c>
      <c r="P278" s="14">
        <v>0</v>
      </c>
      <c r="Q278" s="15">
        <v>0</v>
      </c>
      <c r="R278" s="15">
        <v>0</v>
      </c>
      <c r="S278" s="15">
        <f>$G$278*$G$8+$H$278*$H$8+$I$278*$I$8+$J$278*$J$8+$K$278*$K$8+$L$278*$L$8+$M$278*$M$8+$N$278*$N$8+$O$278*$O$8+$P$278*$P$8</f>
        <v>0</v>
      </c>
      <c r="T278" s="15">
        <f>SUM($Q$278:$R$278)</f>
        <v>0</v>
      </c>
      <c r="U278" s="15">
        <f>$S$278+$T$278</f>
        <v>0</v>
      </c>
    </row>
    <row r="279" spans="1:21" x14ac:dyDescent="0.3">
      <c r="A279" s="10" t="s">
        <v>1025</v>
      </c>
      <c r="B279" s="11" t="s">
        <v>1026</v>
      </c>
      <c r="C279" s="11"/>
      <c r="D279" s="11" t="s">
        <v>1027</v>
      </c>
      <c r="E279" s="11">
        <f xml:space="preserve"> IF($U$279,1,0)</f>
        <v>0</v>
      </c>
      <c r="F279" s="11" t="s">
        <v>1028</v>
      </c>
      <c r="G279" s="11">
        <v>0</v>
      </c>
      <c r="H279" s="11">
        <v>0</v>
      </c>
      <c r="I279" s="11">
        <v>0</v>
      </c>
      <c r="J279" s="11">
        <v>0</v>
      </c>
      <c r="K279" s="11">
        <v>0</v>
      </c>
      <c r="L279" s="11">
        <v>0</v>
      </c>
      <c r="M279" s="11">
        <v>0</v>
      </c>
      <c r="N279" s="11">
        <v>0</v>
      </c>
      <c r="O279" s="11">
        <v>0</v>
      </c>
      <c r="P279" s="11">
        <v>0</v>
      </c>
      <c r="Q279" s="12">
        <v>0</v>
      </c>
      <c r="R279" s="12">
        <v>0</v>
      </c>
      <c r="S279" s="12">
        <f>$G$279*$G$8+$H$279*$H$8+$I$279*$I$8+$J$279*$J$8+$K$279*$K$8+$L$279*$L$8+$M$279*$M$8+$N$279*$N$8+$O$279*$O$8+$P$279*$P$8</f>
        <v>0</v>
      </c>
      <c r="T279" s="12">
        <f>SUM($Q$279:$R$279)</f>
        <v>0</v>
      </c>
      <c r="U279" s="12">
        <f>$S$279+$T$279</f>
        <v>0</v>
      </c>
    </row>
    <row r="280" spans="1:21" x14ac:dyDescent="0.3">
      <c r="A280" s="13" t="s">
        <v>1029</v>
      </c>
      <c r="B280" s="14" t="s">
        <v>1030</v>
      </c>
      <c r="C280" s="14" t="s">
        <v>34</v>
      </c>
      <c r="D280" s="14" t="s">
        <v>1031</v>
      </c>
      <c r="E280" s="14">
        <f xml:space="preserve"> IF($U$280,1,0)</f>
        <v>0</v>
      </c>
      <c r="F280" s="14" t="s">
        <v>1032</v>
      </c>
      <c r="G280" s="14">
        <v>0</v>
      </c>
      <c r="H280" s="14">
        <v>0</v>
      </c>
      <c r="I280" s="14">
        <v>0</v>
      </c>
      <c r="J280" s="14">
        <v>0</v>
      </c>
      <c r="K280" s="14">
        <v>0</v>
      </c>
      <c r="L280" s="14">
        <v>0</v>
      </c>
      <c r="M280" s="14">
        <v>0</v>
      </c>
      <c r="N280" s="14">
        <v>0</v>
      </c>
      <c r="O280" s="14">
        <v>0</v>
      </c>
      <c r="P280" s="14">
        <v>0</v>
      </c>
      <c r="Q280" s="15">
        <v>0</v>
      </c>
      <c r="R280" s="15">
        <v>0</v>
      </c>
      <c r="S280" s="15">
        <f>$G$280*$G$8+$H$280*$H$8+$I$280*$I$8+$J$280*$J$8+$K$280*$K$8+$L$280*$L$8+$M$280*$M$8+$N$280*$N$8+$O$280*$O$8+$P$280*$P$8</f>
        <v>0</v>
      </c>
      <c r="T280" s="15">
        <f>SUM($Q$280:$R$280)</f>
        <v>0</v>
      </c>
      <c r="U280" s="15">
        <f>$S$280+$T$280</f>
        <v>0</v>
      </c>
    </row>
    <row r="281" spans="1:21" x14ac:dyDescent="0.3">
      <c r="A281" s="10" t="s">
        <v>1033</v>
      </c>
      <c r="B281" s="11" t="s">
        <v>1030</v>
      </c>
      <c r="C281" s="11"/>
      <c r="D281" s="11" t="s">
        <v>1034</v>
      </c>
      <c r="E281" s="11">
        <f xml:space="preserve"> IF($U$281,1,0)</f>
        <v>0</v>
      </c>
      <c r="F281" s="11" t="s">
        <v>1035</v>
      </c>
      <c r="G281" s="11">
        <v>0</v>
      </c>
      <c r="H281" s="11">
        <v>0</v>
      </c>
      <c r="I281" s="11">
        <v>0</v>
      </c>
      <c r="J281" s="11">
        <v>0</v>
      </c>
      <c r="K281" s="11">
        <v>0</v>
      </c>
      <c r="L281" s="11">
        <v>0</v>
      </c>
      <c r="M281" s="11">
        <v>0</v>
      </c>
      <c r="N281" s="11">
        <v>0</v>
      </c>
      <c r="O281" s="11">
        <v>0</v>
      </c>
      <c r="P281" s="11">
        <v>0</v>
      </c>
      <c r="Q281" s="12">
        <v>0</v>
      </c>
      <c r="R281" s="12">
        <v>0</v>
      </c>
      <c r="S281" s="12">
        <f>$G$281*$G$8+$H$281*$H$8+$I$281*$I$8+$J$281*$J$8+$K$281*$K$8+$L$281*$L$8+$M$281*$M$8+$N$281*$N$8+$O$281*$O$8+$P$281*$P$8</f>
        <v>0</v>
      </c>
      <c r="T281" s="12">
        <f>SUM($Q$281:$R$281)</f>
        <v>0</v>
      </c>
      <c r="U281" s="12">
        <f>$S$281+$T$281</f>
        <v>0</v>
      </c>
    </row>
    <row r="282" spans="1:21" x14ac:dyDescent="0.3">
      <c r="A282" s="13" t="s">
        <v>1036</v>
      </c>
      <c r="B282" s="14" t="s">
        <v>1037</v>
      </c>
      <c r="C282" s="14"/>
      <c r="D282" s="14" t="s">
        <v>1038</v>
      </c>
      <c r="E282" s="14">
        <f xml:space="preserve"> IF($U$282,1,0)</f>
        <v>0</v>
      </c>
      <c r="F282" s="14" t="s">
        <v>1039</v>
      </c>
      <c r="G282" s="14">
        <v>0</v>
      </c>
      <c r="H282" s="14">
        <v>0</v>
      </c>
      <c r="I282" s="14">
        <v>0</v>
      </c>
      <c r="J282" s="14">
        <v>0</v>
      </c>
      <c r="K282" s="14">
        <v>0</v>
      </c>
      <c r="L282" s="14">
        <v>0</v>
      </c>
      <c r="M282" s="14">
        <v>0</v>
      </c>
      <c r="N282" s="14">
        <v>0</v>
      </c>
      <c r="O282" s="14">
        <v>0</v>
      </c>
      <c r="P282" s="14">
        <v>0</v>
      </c>
      <c r="Q282" s="15">
        <v>0</v>
      </c>
      <c r="R282" s="15">
        <v>0</v>
      </c>
      <c r="S282" s="15">
        <f>$G$282*$G$8+$H$282*$H$8+$I$282*$I$8+$J$282*$J$8+$K$282*$K$8+$L$282*$L$8+$M$282*$M$8+$N$282*$N$8+$O$282*$O$8+$P$282*$P$8</f>
        <v>0</v>
      </c>
      <c r="T282" s="15">
        <f>SUM($Q$282:$R$282)</f>
        <v>0</v>
      </c>
      <c r="U282" s="15">
        <f>$S$282+$T$282</f>
        <v>0</v>
      </c>
    </row>
    <row r="283" spans="1:21" x14ac:dyDescent="0.3">
      <c r="A283" s="10" t="s">
        <v>1040</v>
      </c>
      <c r="B283" s="11" t="s">
        <v>1037</v>
      </c>
      <c r="C283" s="11" t="s">
        <v>202</v>
      </c>
      <c r="D283" s="11" t="s">
        <v>1041</v>
      </c>
      <c r="E283" s="11">
        <f xml:space="preserve"> IF($U$283,1,0)</f>
        <v>0</v>
      </c>
      <c r="F283" s="11" t="s">
        <v>1042</v>
      </c>
      <c r="G283" s="11">
        <v>0</v>
      </c>
      <c r="H283" s="11">
        <v>0</v>
      </c>
      <c r="I283" s="11">
        <v>0</v>
      </c>
      <c r="J283" s="11">
        <v>0</v>
      </c>
      <c r="K283" s="11">
        <v>0</v>
      </c>
      <c r="L283" s="11">
        <v>0</v>
      </c>
      <c r="M283" s="11">
        <v>0</v>
      </c>
      <c r="N283" s="11">
        <v>0</v>
      </c>
      <c r="O283" s="11">
        <v>0</v>
      </c>
      <c r="P283" s="11">
        <v>0</v>
      </c>
      <c r="Q283" s="12">
        <v>0</v>
      </c>
      <c r="R283" s="12">
        <v>0</v>
      </c>
      <c r="S283" s="12">
        <f>$G$283*$G$8+$H$283*$H$8+$I$283*$I$8+$J$283*$J$8+$K$283*$K$8+$L$283*$L$8+$M$283*$M$8+$N$283*$N$8+$O$283*$O$8+$P$283*$P$8</f>
        <v>0</v>
      </c>
      <c r="T283" s="12">
        <f>SUM($Q$283:$R$283)</f>
        <v>0</v>
      </c>
      <c r="U283" s="12">
        <f>$S$283+$T$283</f>
        <v>0</v>
      </c>
    </row>
    <row r="284" spans="1:21" x14ac:dyDescent="0.3">
      <c r="A284" s="13" t="s">
        <v>1043</v>
      </c>
      <c r="B284" s="14" t="s">
        <v>1044</v>
      </c>
      <c r="C284" s="14"/>
      <c r="D284" s="14" t="s">
        <v>1045</v>
      </c>
      <c r="E284" s="14">
        <f xml:space="preserve"> IF($U$284,1,0)</f>
        <v>0</v>
      </c>
      <c r="F284" s="14" t="s">
        <v>1046</v>
      </c>
      <c r="G284" s="14">
        <v>0</v>
      </c>
      <c r="H284" s="14">
        <v>0</v>
      </c>
      <c r="I284" s="14">
        <v>0</v>
      </c>
      <c r="J284" s="14">
        <v>0</v>
      </c>
      <c r="K284" s="14">
        <v>0</v>
      </c>
      <c r="L284" s="14">
        <v>0</v>
      </c>
      <c r="M284" s="14">
        <v>0</v>
      </c>
      <c r="N284" s="14">
        <v>0</v>
      </c>
      <c r="O284" s="14">
        <v>0</v>
      </c>
      <c r="P284" s="14">
        <v>0</v>
      </c>
      <c r="Q284" s="15">
        <v>0</v>
      </c>
      <c r="R284" s="15">
        <v>0</v>
      </c>
      <c r="S284" s="15">
        <f>$G$284*$G$8+$H$284*$H$8+$I$284*$I$8+$J$284*$J$8+$K$284*$K$8+$L$284*$L$8+$M$284*$M$8+$N$284*$N$8+$O$284*$O$8+$P$284*$P$8</f>
        <v>0</v>
      </c>
      <c r="T284" s="15">
        <f>SUM($Q$284:$R$284)</f>
        <v>0</v>
      </c>
      <c r="U284" s="15">
        <f>$S$284+$T$284</f>
        <v>0</v>
      </c>
    </row>
    <row r="285" spans="1:21" x14ac:dyDescent="0.3">
      <c r="A285" s="10" t="s">
        <v>1047</v>
      </c>
      <c r="B285" s="11" t="s">
        <v>1048</v>
      </c>
      <c r="C285" s="11"/>
      <c r="D285" s="11" t="s">
        <v>1049</v>
      </c>
      <c r="E285" s="11">
        <f xml:space="preserve"> IF($U$285,1,0)</f>
        <v>0</v>
      </c>
      <c r="F285" s="11" t="s">
        <v>1050</v>
      </c>
      <c r="G285" s="11">
        <v>0</v>
      </c>
      <c r="H285" s="11">
        <v>0</v>
      </c>
      <c r="I285" s="11">
        <v>0</v>
      </c>
      <c r="J285" s="11">
        <v>0</v>
      </c>
      <c r="K285" s="11">
        <v>0</v>
      </c>
      <c r="L285" s="11">
        <v>0</v>
      </c>
      <c r="M285" s="11">
        <v>0</v>
      </c>
      <c r="N285" s="11">
        <v>0</v>
      </c>
      <c r="O285" s="11">
        <v>0</v>
      </c>
      <c r="P285" s="11">
        <v>0</v>
      </c>
      <c r="Q285" s="12">
        <v>0</v>
      </c>
      <c r="R285" s="12">
        <v>0</v>
      </c>
      <c r="S285" s="12">
        <f>$G$285*$G$8+$H$285*$H$8+$I$285*$I$8+$J$285*$J$8+$K$285*$K$8+$L$285*$L$8+$M$285*$M$8+$N$285*$N$8+$O$285*$O$8+$P$285*$P$8</f>
        <v>0</v>
      </c>
      <c r="T285" s="12">
        <f>SUM($Q$285:$R$285)</f>
        <v>0</v>
      </c>
      <c r="U285" s="12">
        <f>$S$285+$T$285</f>
        <v>0</v>
      </c>
    </row>
    <row r="286" spans="1:21" x14ac:dyDescent="0.3">
      <c r="A286" s="13" t="s">
        <v>1051</v>
      </c>
      <c r="B286" s="14" t="s">
        <v>1052</v>
      </c>
      <c r="C286" s="14" t="s">
        <v>34</v>
      </c>
      <c r="D286" s="14" t="s">
        <v>1053</v>
      </c>
      <c r="E286" s="14">
        <f xml:space="preserve"> IF($U$286,1,0)</f>
        <v>0</v>
      </c>
      <c r="F286" s="14" t="s">
        <v>1054</v>
      </c>
      <c r="G286" s="14">
        <v>0</v>
      </c>
      <c r="H286" s="14">
        <v>0</v>
      </c>
      <c r="I286" s="14">
        <v>0</v>
      </c>
      <c r="J286" s="14">
        <v>0</v>
      </c>
      <c r="K286" s="14">
        <v>0</v>
      </c>
      <c r="L286" s="14">
        <v>0</v>
      </c>
      <c r="M286" s="14">
        <v>0</v>
      </c>
      <c r="N286" s="14">
        <v>0</v>
      </c>
      <c r="O286" s="14">
        <v>0</v>
      </c>
      <c r="P286" s="14">
        <v>0</v>
      </c>
      <c r="Q286" s="15">
        <v>0</v>
      </c>
      <c r="R286" s="15">
        <v>0</v>
      </c>
      <c r="S286" s="15">
        <f>$G$286*$G$8+$H$286*$H$8+$I$286*$I$8+$J$286*$J$8+$K$286*$K$8+$L$286*$L$8+$M$286*$M$8+$N$286*$N$8+$O$286*$O$8+$P$286*$P$8</f>
        <v>0</v>
      </c>
      <c r="T286" s="15">
        <f>SUM($Q$286:$R$286)</f>
        <v>0</v>
      </c>
      <c r="U286" s="15">
        <f>$S$286+$T$286</f>
        <v>0</v>
      </c>
    </row>
    <row r="287" spans="1:21" x14ac:dyDescent="0.3">
      <c r="A287" s="10" t="s">
        <v>1055</v>
      </c>
      <c r="B287" s="11" t="s">
        <v>1056</v>
      </c>
      <c r="C287" s="11" t="s">
        <v>243</v>
      </c>
      <c r="D287" s="11" t="s">
        <v>1057</v>
      </c>
      <c r="E287" s="11">
        <f xml:space="preserve"> IF($U$287,1,0)</f>
        <v>0</v>
      </c>
      <c r="F287" s="11" t="s">
        <v>1058</v>
      </c>
      <c r="G287" s="11">
        <v>0</v>
      </c>
      <c r="H287" s="11">
        <v>0</v>
      </c>
      <c r="I287" s="11">
        <v>0</v>
      </c>
      <c r="J287" s="11">
        <v>0</v>
      </c>
      <c r="K287" s="11">
        <v>0</v>
      </c>
      <c r="L287" s="11">
        <v>0</v>
      </c>
      <c r="M287" s="11">
        <v>0</v>
      </c>
      <c r="N287" s="11">
        <v>0</v>
      </c>
      <c r="O287" s="11">
        <v>0</v>
      </c>
      <c r="P287" s="11">
        <v>0</v>
      </c>
      <c r="Q287" s="12">
        <v>0</v>
      </c>
      <c r="R287" s="12">
        <v>0</v>
      </c>
      <c r="S287" s="12">
        <f>$G$287*$G$8+$H$287*$H$8+$I$287*$I$8+$J$287*$J$8+$K$287*$K$8+$L$287*$L$8+$M$287*$M$8+$N$287*$N$8+$O$287*$O$8+$P$287*$P$8</f>
        <v>0</v>
      </c>
      <c r="T287" s="12">
        <f>SUM($Q$287:$R$287)</f>
        <v>0</v>
      </c>
      <c r="U287" s="12">
        <f>$S$287+$T$287</f>
        <v>0</v>
      </c>
    </row>
    <row r="288" spans="1:21" x14ac:dyDescent="0.3">
      <c r="A288" s="13" t="s">
        <v>1059</v>
      </c>
      <c r="B288" s="14" t="s">
        <v>1056</v>
      </c>
      <c r="C288" s="14" t="s">
        <v>278</v>
      </c>
      <c r="D288" s="14" t="s">
        <v>1060</v>
      </c>
      <c r="E288" s="14">
        <f xml:space="preserve"> IF($U$288,1,0)</f>
        <v>0</v>
      </c>
      <c r="F288" s="14" t="s">
        <v>1061</v>
      </c>
      <c r="G288" s="14">
        <v>0</v>
      </c>
      <c r="H288" s="14">
        <v>0</v>
      </c>
      <c r="I288" s="14">
        <v>0</v>
      </c>
      <c r="J288" s="14">
        <v>0</v>
      </c>
      <c r="K288" s="14">
        <v>0</v>
      </c>
      <c r="L288" s="14">
        <v>0</v>
      </c>
      <c r="M288" s="14">
        <v>0</v>
      </c>
      <c r="N288" s="14">
        <v>0</v>
      </c>
      <c r="O288" s="14">
        <v>0</v>
      </c>
      <c r="P288" s="14">
        <v>0</v>
      </c>
      <c r="Q288" s="15">
        <v>0</v>
      </c>
      <c r="R288" s="15">
        <v>0</v>
      </c>
      <c r="S288" s="15">
        <f>$G$288*$G$8+$H$288*$H$8+$I$288*$I$8+$J$288*$J$8+$K$288*$K$8+$L$288*$L$8+$M$288*$M$8+$N$288*$N$8+$O$288*$O$8+$P$288*$P$8</f>
        <v>0</v>
      </c>
      <c r="T288" s="15">
        <f>SUM($Q$288:$R$288)</f>
        <v>0</v>
      </c>
      <c r="U288" s="15">
        <f>$S$288+$T$288</f>
        <v>0</v>
      </c>
    </row>
    <row r="289" spans="1:21" x14ac:dyDescent="0.3">
      <c r="A289" s="10" t="s">
        <v>1062</v>
      </c>
      <c r="B289" s="11" t="s">
        <v>1063</v>
      </c>
      <c r="C289" s="11"/>
      <c r="D289" s="11" t="s">
        <v>1064</v>
      </c>
      <c r="E289" s="11">
        <f xml:space="preserve"> IF($U$289,1,0)</f>
        <v>0</v>
      </c>
      <c r="F289" s="11" t="s">
        <v>1065</v>
      </c>
      <c r="G289" s="11">
        <v>0</v>
      </c>
      <c r="H289" s="11">
        <v>0</v>
      </c>
      <c r="I289" s="11">
        <v>0</v>
      </c>
      <c r="J289" s="11">
        <v>0</v>
      </c>
      <c r="K289" s="11">
        <v>0</v>
      </c>
      <c r="L289" s="11">
        <v>0</v>
      </c>
      <c r="M289" s="11">
        <v>0</v>
      </c>
      <c r="N289" s="11">
        <v>0</v>
      </c>
      <c r="O289" s="11">
        <v>0</v>
      </c>
      <c r="P289" s="11">
        <v>0</v>
      </c>
      <c r="Q289" s="12">
        <v>0</v>
      </c>
      <c r="R289" s="12">
        <v>0</v>
      </c>
      <c r="S289" s="12">
        <f>$G$289*$G$8+$H$289*$H$8+$I$289*$I$8+$J$289*$J$8+$K$289*$K$8+$L$289*$L$8+$M$289*$M$8+$N$289*$N$8+$O$289*$O$8+$P$289*$P$8</f>
        <v>0</v>
      </c>
      <c r="T289" s="12">
        <f>SUM($Q$289:$R$289)</f>
        <v>0</v>
      </c>
      <c r="U289" s="12">
        <f>$S$289+$T$289</f>
        <v>0</v>
      </c>
    </row>
    <row r="290" spans="1:21" x14ac:dyDescent="0.3">
      <c r="A290" s="13" t="s">
        <v>1066</v>
      </c>
      <c r="B290" s="14" t="s">
        <v>1067</v>
      </c>
      <c r="C290" s="14" t="s">
        <v>202</v>
      </c>
      <c r="D290" s="14" t="s">
        <v>1068</v>
      </c>
      <c r="E290" s="14">
        <f xml:space="preserve"> IF($U$290,1,0)</f>
        <v>0</v>
      </c>
      <c r="F290" s="14" t="s">
        <v>1069</v>
      </c>
      <c r="G290" s="14">
        <v>0</v>
      </c>
      <c r="H290" s="14">
        <v>0</v>
      </c>
      <c r="I290" s="14">
        <v>0</v>
      </c>
      <c r="J290" s="14">
        <v>0</v>
      </c>
      <c r="K290" s="14">
        <v>0</v>
      </c>
      <c r="L290" s="14">
        <v>0</v>
      </c>
      <c r="M290" s="14">
        <v>0</v>
      </c>
      <c r="N290" s="14">
        <v>0</v>
      </c>
      <c r="O290" s="14">
        <v>0</v>
      </c>
      <c r="P290" s="14">
        <v>0</v>
      </c>
      <c r="Q290" s="15">
        <v>0</v>
      </c>
      <c r="R290" s="15">
        <v>0</v>
      </c>
      <c r="S290" s="15">
        <f>$G$290*$G$8+$H$290*$H$8+$I$290*$I$8+$J$290*$J$8+$K$290*$K$8+$L$290*$L$8+$M$290*$M$8+$N$290*$N$8+$O$290*$O$8+$P$290*$P$8</f>
        <v>0</v>
      </c>
      <c r="T290" s="15">
        <f>SUM($Q$290:$R$290)</f>
        <v>0</v>
      </c>
      <c r="U290" s="15">
        <f>$S$290+$T$290</f>
        <v>0</v>
      </c>
    </row>
    <row r="291" spans="1:21" x14ac:dyDescent="0.3">
      <c r="A291" s="10" t="s">
        <v>1070</v>
      </c>
      <c r="B291" s="11" t="s">
        <v>1071</v>
      </c>
      <c r="C291" s="11"/>
      <c r="D291" s="11" t="s">
        <v>1072</v>
      </c>
      <c r="E291" s="11">
        <f xml:space="preserve"> IF($U$291,1,0)</f>
        <v>0</v>
      </c>
      <c r="F291" s="11" t="s">
        <v>1073</v>
      </c>
      <c r="G291" s="11">
        <v>0</v>
      </c>
      <c r="H291" s="11">
        <v>0</v>
      </c>
      <c r="I291" s="11">
        <v>0</v>
      </c>
      <c r="J291" s="11">
        <v>0</v>
      </c>
      <c r="K291" s="11">
        <v>0</v>
      </c>
      <c r="L291" s="11">
        <v>0</v>
      </c>
      <c r="M291" s="11">
        <v>0</v>
      </c>
      <c r="N291" s="11">
        <v>0</v>
      </c>
      <c r="O291" s="11">
        <v>0</v>
      </c>
      <c r="P291" s="11">
        <v>0</v>
      </c>
      <c r="Q291" s="12">
        <v>0</v>
      </c>
      <c r="R291" s="12">
        <v>0</v>
      </c>
      <c r="S291" s="12">
        <f>$G$291*$G$8+$H$291*$H$8+$I$291*$I$8+$J$291*$J$8+$K$291*$K$8+$L$291*$L$8+$M$291*$M$8+$N$291*$N$8+$O$291*$O$8+$P$291*$P$8</f>
        <v>0</v>
      </c>
      <c r="T291" s="12">
        <f>SUM($Q$291:$R$291)</f>
        <v>0</v>
      </c>
      <c r="U291" s="12">
        <f>$S$291+$T$291</f>
        <v>0</v>
      </c>
    </row>
    <row r="292" spans="1:21" x14ac:dyDescent="0.3">
      <c r="A292" s="13" t="s">
        <v>1074</v>
      </c>
      <c r="B292" s="14" t="s">
        <v>1071</v>
      </c>
      <c r="C292" s="14"/>
      <c r="D292" s="14" t="s">
        <v>1075</v>
      </c>
      <c r="E292" s="14">
        <f xml:space="preserve"> IF($U$292,1,0)</f>
        <v>0</v>
      </c>
      <c r="F292" s="14" t="s">
        <v>1076</v>
      </c>
      <c r="G292" s="14">
        <v>0</v>
      </c>
      <c r="H292" s="14">
        <v>0</v>
      </c>
      <c r="I292" s="14">
        <v>0</v>
      </c>
      <c r="J292" s="14">
        <v>0</v>
      </c>
      <c r="K292" s="14">
        <v>0</v>
      </c>
      <c r="L292" s="14">
        <v>0</v>
      </c>
      <c r="M292" s="14">
        <v>0</v>
      </c>
      <c r="N292" s="14">
        <v>0</v>
      </c>
      <c r="O292" s="14">
        <v>0</v>
      </c>
      <c r="P292" s="14">
        <v>0</v>
      </c>
      <c r="Q292" s="15">
        <v>0</v>
      </c>
      <c r="R292" s="15">
        <v>0</v>
      </c>
      <c r="S292" s="15">
        <f>$G$292*$G$8+$H$292*$H$8+$I$292*$I$8+$J$292*$J$8+$K$292*$K$8+$L$292*$L$8+$M$292*$M$8+$N$292*$N$8+$O$292*$O$8+$P$292*$P$8</f>
        <v>0</v>
      </c>
      <c r="T292" s="15">
        <f>SUM($Q$292:$R$292)</f>
        <v>0</v>
      </c>
      <c r="U292" s="15">
        <f>$S$292+$T$292</f>
        <v>0</v>
      </c>
    </row>
    <row r="293" spans="1:21" x14ac:dyDescent="0.3">
      <c r="A293" s="10" t="s">
        <v>1077</v>
      </c>
      <c r="B293" s="11" t="s">
        <v>1078</v>
      </c>
      <c r="C293" s="11"/>
      <c r="D293" s="11" t="s">
        <v>1079</v>
      </c>
      <c r="E293" s="11">
        <f xml:space="preserve"> IF($U$293,1,0)</f>
        <v>0</v>
      </c>
      <c r="F293" s="11" t="s">
        <v>1080</v>
      </c>
      <c r="G293" s="11">
        <v>0</v>
      </c>
      <c r="H293" s="11">
        <v>0</v>
      </c>
      <c r="I293" s="11">
        <v>0</v>
      </c>
      <c r="J293" s="11">
        <v>0</v>
      </c>
      <c r="K293" s="11">
        <v>0</v>
      </c>
      <c r="L293" s="11">
        <v>0</v>
      </c>
      <c r="M293" s="11">
        <v>0</v>
      </c>
      <c r="N293" s="11">
        <v>0</v>
      </c>
      <c r="O293" s="11">
        <v>0</v>
      </c>
      <c r="P293" s="11">
        <v>0</v>
      </c>
      <c r="Q293" s="12">
        <v>0</v>
      </c>
      <c r="R293" s="12">
        <v>0</v>
      </c>
      <c r="S293" s="12">
        <f>$G$293*$G$8+$H$293*$H$8+$I$293*$I$8+$J$293*$J$8+$K$293*$K$8+$L$293*$L$8+$M$293*$M$8+$N$293*$N$8+$O$293*$O$8+$P$293*$P$8</f>
        <v>0</v>
      </c>
      <c r="T293" s="12">
        <f>SUM($Q$293:$R$293)</f>
        <v>0</v>
      </c>
      <c r="U293" s="12">
        <f>$S$293+$T$293</f>
        <v>0</v>
      </c>
    </row>
    <row r="294" spans="1:21" x14ac:dyDescent="0.3">
      <c r="A294" s="13" t="s">
        <v>1081</v>
      </c>
      <c r="B294" s="14" t="s">
        <v>1082</v>
      </c>
      <c r="C294" s="14"/>
      <c r="D294" s="14" t="s">
        <v>1083</v>
      </c>
      <c r="E294" s="14">
        <f xml:space="preserve"> IF($U$294,1,0)</f>
        <v>0</v>
      </c>
      <c r="F294" s="14" t="s">
        <v>1084</v>
      </c>
      <c r="G294" s="14">
        <v>0</v>
      </c>
      <c r="H294" s="14">
        <v>0</v>
      </c>
      <c r="I294" s="14">
        <v>0</v>
      </c>
      <c r="J294" s="14">
        <v>0</v>
      </c>
      <c r="K294" s="14">
        <v>0</v>
      </c>
      <c r="L294" s="14">
        <v>0</v>
      </c>
      <c r="M294" s="14">
        <v>0</v>
      </c>
      <c r="N294" s="14">
        <v>0</v>
      </c>
      <c r="O294" s="14">
        <v>0</v>
      </c>
      <c r="P294" s="14">
        <v>0</v>
      </c>
      <c r="Q294" s="15">
        <v>0</v>
      </c>
      <c r="R294" s="15">
        <v>0</v>
      </c>
      <c r="S294" s="15">
        <f>$G$294*$G$8+$H$294*$H$8+$I$294*$I$8+$J$294*$J$8+$K$294*$K$8+$L$294*$L$8+$M$294*$M$8+$N$294*$N$8+$O$294*$O$8+$P$294*$P$8</f>
        <v>0</v>
      </c>
      <c r="T294" s="15">
        <f>SUM($Q$294:$R$294)</f>
        <v>0</v>
      </c>
      <c r="U294" s="15">
        <f>$S$294+$T$294</f>
        <v>0</v>
      </c>
    </row>
    <row r="295" spans="1:21" x14ac:dyDescent="0.3">
      <c r="A295" s="10" t="s">
        <v>1085</v>
      </c>
      <c r="B295" s="11" t="s">
        <v>1082</v>
      </c>
      <c r="C295" s="11"/>
      <c r="D295" s="11" t="s">
        <v>1086</v>
      </c>
      <c r="E295" s="11">
        <f xml:space="preserve"> IF($U$295,1,0)</f>
        <v>0</v>
      </c>
      <c r="F295" s="11" t="s">
        <v>1087</v>
      </c>
      <c r="G295" s="11">
        <v>0</v>
      </c>
      <c r="H295" s="11">
        <v>0</v>
      </c>
      <c r="I295" s="11">
        <v>0</v>
      </c>
      <c r="J295" s="11">
        <v>0</v>
      </c>
      <c r="K295" s="11">
        <v>0</v>
      </c>
      <c r="L295" s="11">
        <v>0</v>
      </c>
      <c r="M295" s="11">
        <v>0</v>
      </c>
      <c r="N295" s="11">
        <v>0</v>
      </c>
      <c r="O295" s="11">
        <v>0</v>
      </c>
      <c r="P295" s="11">
        <v>0</v>
      </c>
      <c r="Q295" s="12">
        <v>0</v>
      </c>
      <c r="R295" s="12">
        <v>0</v>
      </c>
      <c r="S295" s="12">
        <f>$G$295*$G$8+$H$295*$H$8+$I$295*$I$8+$J$295*$J$8+$K$295*$K$8+$L$295*$L$8+$M$295*$M$8+$N$295*$N$8+$O$295*$O$8+$P$295*$P$8</f>
        <v>0</v>
      </c>
      <c r="T295" s="12">
        <f>SUM($Q$295:$R$295)</f>
        <v>0</v>
      </c>
      <c r="U295" s="12">
        <f>$S$295+$T$295</f>
        <v>0</v>
      </c>
    </row>
    <row r="296" spans="1:21" x14ac:dyDescent="0.3">
      <c r="A296" s="13" t="s">
        <v>1088</v>
      </c>
      <c r="B296" s="14" t="s">
        <v>1082</v>
      </c>
      <c r="C296" s="14" t="s">
        <v>65</v>
      </c>
      <c r="D296" s="14" t="s">
        <v>1089</v>
      </c>
      <c r="E296" s="14">
        <f xml:space="preserve"> IF($U$296,1,0)</f>
        <v>0</v>
      </c>
      <c r="F296" s="14" t="s">
        <v>1090</v>
      </c>
      <c r="G296" s="14">
        <v>0</v>
      </c>
      <c r="H296" s="14">
        <v>0</v>
      </c>
      <c r="I296" s="14">
        <v>0</v>
      </c>
      <c r="J296" s="14">
        <v>0</v>
      </c>
      <c r="K296" s="14">
        <v>0</v>
      </c>
      <c r="L296" s="14">
        <v>0</v>
      </c>
      <c r="M296" s="14">
        <v>0</v>
      </c>
      <c r="N296" s="14">
        <v>0</v>
      </c>
      <c r="O296" s="14">
        <v>0</v>
      </c>
      <c r="P296" s="14">
        <v>0</v>
      </c>
      <c r="Q296" s="15">
        <v>0</v>
      </c>
      <c r="R296" s="15">
        <v>0</v>
      </c>
      <c r="S296" s="15">
        <f>$G$296*$G$8+$H$296*$H$8+$I$296*$I$8+$J$296*$J$8+$K$296*$K$8+$L$296*$L$8+$M$296*$M$8+$N$296*$N$8+$O$296*$O$8+$P$296*$P$8</f>
        <v>0</v>
      </c>
      <c r="T296" s="15">
        <f>SUM($Q$296:$R$296)</f>
        <v>0</v>
      </c>
      <c r="U296" s="15">
        <f>$S$296+$T$296</f>
        <v>0</v>
      </c>
    </row>
    <row r="297" spans="1:21" x14ac:dyDescent="0.3">
      <c r="A297" s="10" t="s">
        <v>1091</v>
      </c>
      <c r="B297" s="11" t="s">
        <v>1082</v>
      </c>
      <c r="C297" s="11"/>
      <c r="D297" s="11" t="s">
        <v>1092</v>
      </c>
      <c r="E297" s="11">
        <f xml:space="preserve"> IF($U$297,1,0)</f>
        <v>0</v>
      </c>
      <c r="F297" s="11" t="s">
        <v>1093</v>
      </c>
      <c r="G297" s="11">
        <v>0</v>
      </c>
      <c r="H297" s="11">
        <v>0</v>
      </c>
      <c r="I297" s="11">
        <v>0</v>
      </c>
      <c r="J297" s="11">
        <v>0</v>
      </c>
      <c r="K297" s="11">
        <v>0</v>
      </c>
      <c r="L297" s="11">
        <v>0</v>
      </c>
      <c r="M297" s="11">
        <v>0</v>
      </c>
      <c r="N297" s="11">
        <v>0</v>
      </c>
      <c r="O297" s="11">
        <v>0</v>
      </c>
      <c r="P297" s="11">
        <v>0</v>
      </c>
      <c r="Q297" s="12">
        <v>0</v>
      </c>
      <c r="R297" s="12">
        <v>0</v>
      </c>
      <c r="S297" s="12">
        <f>$G$297*$G$8+$H$297*$H$8+$I$297*$I$8+$J$297*$J$8+$K$297*$K$8+$L$297*$L$8+$M$297*$M$8+$N$297*$N$8+$O$297*$O$8+$P$297*$P$8</f>
        <v>0</v>
      </c>
      <c r="T297" s="12">
        <f>SUM($Q$297:$R$297)</f>
        <v>0</v>
      </c>
      <c r="U297" s="12">
        <f>$S$297+$T$297</f>
        <v>0</v>
      </c>
    </row>
    <row r="298" spans="1:21" x14ac:dyDescent="0.3">
      <c r="A298" s="13" t="s">
        <v>1094</v>
      </c>
      <c r="B298" s="14" t="s">
        <v>1095</v>
      </c>
      <c r="C298" s="14" t="s">
        <v>34</v>
      </c>
      <c r="D298" s="14" t="s">
        <v>1096</v>
      </c>
      <c r="E298" s="14">
        <f xml:space="preserve"> IF($U$298,1,0)</f>
        <v>0</v>
      </c>
      <c r="F298" s="14" t="s">
        <v>1097</v>
      </c>
      <c r="G298" s="14">
        <v>0</v>
      </c>
      <c r="H298" s="14">
        <v>0</v>
      </c>
      <c r="I298" s="14">
        <v>0</v>
      </c>
      <c r="J298" s="14">
        <v>0</v>
      </c>
      <c r="K298" s="14">
        <v>0</v>
      </c>
      <c r="L298" s="14">
        <v>0</v>
      </c>
      <c r="M298" s="14">
        <v>0</v>
      </c>
      <c r="N298" s="14">
        <v>0</v>
      </c>
      <c r="O298" s="14">
        <v>0</v>
      </c>
      <c r="P298" s="14">
        <v>0</v>
      </c>
      <c r="Q298" s="15">
        <v>0</v>
      </c>
      <c r="R298" s="15">
        <v>0</v>
      </c>
      <c r="S298" s="15">
        <f>$G$298*$G$8+$H$298*$H$8+$I$298*$I$8+$J$298*$J$8+$K$298*$K$8+$L$298*$L$8+$M$298*$M$8+$N$298*$N$8+$O$298*$O$8+$P$298*$P$8</f>
        <v>0</v>
      </c>
      <c r="T298" s="15">
        <f>SUM($Q$298:$R$298)</f>
        <v>0</v>
      </c>
      <c r="U298" s="15">
        <f>$S$298+$T$298</f>
        <v>0</v>
      </c>
    </row>
    <row r="299" spans="1:21" x14ac:dyDescent="0.3">
      <c r="A299" s="10" t="s">
        <v>1098</v>
      </c>
      <c r="B299" s="11" t="s">
        <v>1099</v>
      </c>
      <c r="C299" s="11"/>
      <c r="D299" s="11" t="s">
        <v>1100</v>
      </c>
      <c r="E299" s="11">
        <f xml:space="preserve"> IF($U$299,1,0)</f>
        <v>0</v>
      </c>
      <c r="F299" s="11" t="s">
        <v>1101</v>
      </c>
      <c r="G299" s="11">
        <v>0</v>
      </c>
      <c r="H299" s="11">
        <v>0</v>
      </c>
      <c r="I299" s="11">
        <v>0</v>
      </c>
      <c r="J299" s="11">
        <v>0</v>
      </c>
      <c r="K299" s="11">
        <v>0</v>
      </c>
      <c r="L299" s="11">
        <v>0</v>
      </c>
      <c r="M299" s="11">
        <v>0</v>
      </c>
      <c r="N299" s="11">
        <v>0</v>
      </c>
      <c r="O299" s="11">
        <v>0</v>
      </c>
      <c r="P299" s="11">
        <v>0</v>
      </c>
      <c r="Q299" s="12">
        <v>0</v>
      </c>
      <c r="R299" s="12">
        <v>0</v>
      </c>
      <c r="S299" s="12">
        <f>$G$299*$G$8+$H$299*$H$8+$I$299*$I$8+$J$299*$J$8+$K$299*$K$8+$L$299*$L$8+$M$299*$M$8+$N$299*$N$8+$O$299*$O$8+$P$299*$P$8</f>
        <v>0</v>
      </c>
      <c r="T299" s="12">
        <f>SUM($Q$299:$R$299)</f>
        <v>0</v>
      </c>
      <c r="U299" s="12">
        <f>$S$299+$T$299</f>
        <v>0</v>
      </c>
    </row>
    <row r="300" spans="1:21" x14ac:dyDescent="0.3">
      <c r="A300" s="13" t="s">
        <v>1102</v>
      </c>
      <c r="B300" s="14" t="s">
        <v>1103</v>
      </c>
      <c r="C300" s="14"/>
      <c r="D300" s="14" t="s">
        <v>1104</v>
      </c>
      <c r="E300" s="14">
        <f xml:space="preserve"> IF($U$300,1,0)</f>
        <v>0</v>
      </c>
      <c r="F300" s="14" t="s">
        <v>1105</v>
      </c>
      <c r="G300" s="14">
        <v>0</v>
      </c>
      <c r="H300" s="14">
        <v>0</v>
      </c>
      <c r="I300" s="14">
        <v>0</v>
      </c>
      <c r="J300" s="14">
        <v>0</v>
      </c>
      <c r="K300" s="14">
        <v>0</v>
      </c>
      <c r="L300" s="14">
        <v>0</v>
      </c>
      <c r="M300" s="14">
        <v>0</v>
      </c>
      <c r="N300" s="14">
        <v>0</v>
      </c>
      <c r="O300" s="14">
        <v>0</v>
      </c>
      <c r="P300" s="14">
        <v>0</v>
      </c>
      <c r="Q300" s="15">
        <v>0</v>
      </c>
      <c r="R300" s="15">
        <v>0</v>
      </c>
      <c r="S300" s="15">
        <f>$G$300*$G$8+$H$300*$H$8+$I$300*$I$8+$J$300*$J$8+$K$300*$K$8+$L$300*$L$8+$M$300*$M$8+$N$300*$N$8+$O$300*$O$8+$P$300*$P$8</f>
        <v>0</v>
      </c>
      <c r="T300" s="15">
        <f>SUM($Q$300:$R$300)</f>
        <v>0</v>
      </c>
      <c r="U300" s="15">
        <f>$S$300+$T$300</f>
        <v>0</v>
      </c>
    </row>
    <row r="301" spans="1:21" x14ac:dyDescent="0.3">
      <c r="A301" s="10" t="s">
        <v>1106</v>
      </c>
      <c r="B301" s="11" t="s">
        <v>1107</v>
      </c>
      <c r="C301" s="11"/>
      <c r="D301" s="11" t="s">
        <v>1107</v>
      </c>
      <c r="E301" s="11">
        <f xml:space="preserve"> IF($U$301,1,0)</f>
        <v>0</v>
      </c>
      <c r="F301" s="11" t="s">
        <v>1108</v>
      </c>
      <c r="G301" s="11">
        <v>0</v>
      </c>
      <c r="H301" s="11">
        <v>0</v>
      </c>
      <c r="I301" s="11">
        <v>0</v>
      </c>
      <c r="J301" s="11">
        <v>0</v>
      </c>
      <c r="K301" s="11">
        <v>0</v>
      </c>
      <c r="L301" s="11">
        <v>0</v>
      </c>
      <c r="M301" s="11">
        <v>0</v>
      </c>
      <c r="N301" s="11">
        <v>0</v>
      </c>
      <c r="O301" s="11">
        <v>0</v>
      </c>
      <c r="P301" s="11">
        <v>0</v>
      </c>
      <c r="Q301" s="12">
        <v>0</v>
      </c>
      <c r="R301" s="12">
        <v>0</v>
      </c>
      <c r="S301" s="12">
        <f>$G$301*$G$8+$H$301*$H$8+$I$301*$I$8+$J$301*$J$8+$K$301*$K$8+$L$301*$L$8+$M$301*$M$8+$N$301*$N$8+$O$301*$O$8+$P$301*$P$8</f>
        <v>0</v>
      </c>
      <c r="T301" s="12">
        <f>SUM($Q$301:$R$301)</f>
        <v>0</v>
      </c>
      <c r="U301" s="12">
        <f>$S$301+$T$301</f>
        <v>0</v>
      </c>
    </row>
    <row r="302" spans="1:21" x14ac:dyDescent="0.3">
      <c r="A302" s="13" t="s">
        <v>1109</v>
      </c>
      <c r="B302" s="14" t="s">
        <v>1110</v>
      </c>
      <c r="C302" s="14" t="s">
        <v>34</v>
      </c>
      <c r="D302" s="14" t="s">
        <v>1111</v>
      </c>
      <c r="E302" s="14">
        <f xml:space="preserve"> IF($U$302,1,0)</f>
        <v>0</v>
      </c>
      <c r="F302" s="14" t="s">
        <v>1112</v>
      </c>
      <c r="G302" s="14">
        <v>0</v>
      </c>
      <c r="H302" s="14">
        <v>0</v>
      </c>
      <c r="I302" s="14">
        <v>0</v>
      </c>
      <c r="J302" s="14">
        <v>0</v>
      </c>
      <c r="K302" s="14">
        <v>0</v>
      </c>
      <c r="L302" s="14">
        <v>0</v>
      </c>
      <c r="M302" s="14">
        <v>0</v>
      </c>
      <c r="N302" s="14">
        <v>0</v>
      </c>
      <c r="O302" s="14">
        <v>0</v>
      </c>
      <c r="P302" s="14">
        <v>0</v>
      </c>
      <c r="Q302" s="15">
        <v>0</v>
      </c>
      <c r="R302" s="15">
        <v>0</v>
      </c>
      <c r="S302" s="15">
        <f>$G$302*$G$8+$H$302*$H$8+$I$302*$I$8+$J$302*$J$8+$K$302*$K$8+$L$302*$L$8+$M$302*$M$8+$N$302*$N$8+$O$302*$O$8+$P$302*$P$8</f>
        <v>0</v>
      </c>
      <c r="T302" s="15">
        <f>SUM($Q$302:$R$302)</f>
        <v>0</v>
      </c>
      <c r="U302" s="15">
        <f>$S$302+$T$302</f>
        <v>0</v>
      </c>
    </row>
    <row r="303" spans="1:21" x14ac:dyDescent="0.3">
      <c r="A303" s="10" t="s">
        <v>1113</v>
      </c>
      <c r="B303" s="11" t="s">
        <v>1114</v>
      </c>
      <c r="C303" s="11" t="s">
        <v>34</v>
      </c>
      <c r="D303" s="11" t="s">
        <v>239</v>
      </c>
      <c r="E303" s="11">
        <f xml:space="preserve"> IF($U$303,1,0)</f>
        <v>0</v>
      </c>
      <c r="F303" s="11" t="s">
        <v>1115</v>
      </c>
      <c r="G303" s="11">
        <v>0</v>
      </c>
      <c r="H303" s="11">
        <v>0</v>
      </c>
      <c r="I303" s="11">
        <v>0</v>
      </c>
      <c r="J303" s="11">
        <v>0</v>
      </c>
      <c r="K303" s="11">
        <v>0</v>
      </c>
      <c r="L303" s="11">
        <v>0</v>
      </c>
      <c r="M303" s="11">
        <v>0</v>
      </c>
      <c r="N303" s="11">
        <v>0</v>
      </c>
      <c r="O303" s="11">
        <v>0</v>
      </c>
      <c r="P303" s="11">
        <v>0</v>
      </c>
      <c r="Q303" s="12">
        <v>0</v>
      </c>
      <c r="R303" s="12">
        <v>0</v>
      </c>
      <c r="S303" s="12">
        <f>$G$303*$G$8+$H$303*$H$8+$I$303*$I$8+$J$303*$J$8+$K$303*$K$8+$L$303*$L$8+$M$303*$M$8+$N$303*$N$8+$O$303*$O$8+$P$303*$P$8</f>
        <v>0</v>
      </c>
      <c r="T303" s="12">
        <f>SUM($Q$303:$R$303)</f>
        <v>0</v>
      </c>
      <c r="U303" s="12">
        <f>$S$303+$T$303</f>
        <v>0</v>
      </c>
    </row>
    <row r="304" spans="1:21" x14ac:dyDescent="0.3">
      <c r="A304" s="13" t="s">
        <v>1257</v>
      </c>
      <c r="B304" s="14" t="s">
        <v>1117</v>
      </c>
      <c r="C304" s="14" t="s">
        <v>202</v>
      </c>
      <c r="D304" s="14" t="s">
        <v>442</v>
      </c>
      <c r="E304" s="14">
        <f xml:space="preserve"> IF($U$304,1,0)</f>
        <v>0</v>
      </c>
      <c r="F304" s="14" t="s">
        <v>1258</v>
      </c>
      <c r="G304" s="14">
        <v>0</v>
      </c>
      <c r="H304" s="14">
        <v>0</v>
      </c>
      <c r="I304" s="14">
        <v>0</v>
      </c>
      <c r="J304" s="14">
        <v>0</v>
      </c>
      <c r="K304" s="14">
        <v>0</v>
      </c>
      <c r="L304" s="14">
        <v>0</v>
      </c>
      <c r="M304" s="14">
        <v>0</v>
      </c>
      <c r="N304" s="14">
        <v>0</v>
      </c>
      <c r="O304" s="14">
        <v>0</v>
      </c>
      <c r="P304" s="14">
        <v>0</v>
      </c>
      <c r="Q304" s="15">
        <v>0</v>
      </c>
      <c r="R304" s="15">
        <v>0</v>
      </c>
      <c r="S304" s="15">
        <f>$G$304*$G$8+$H$304*$H$8+$I$304*$I$8+$J$304*$J$8+$K$304*$K$8+$L$304*$L$8+$M$304*$M$8+$N$304*$N$8+$O$304*$O$8+$P$304*$P$8</f>
        <v>0</v>
      </c>
      <c r="T304" s="15">
        <f>SUM($Q$304:$R$304)</f>
        <v>0</v>
      </c>
      <c r="U304" s="15">
        <f>$S$304+$T$304</f>
        <v>0</v>
      </c>
    </row>
    <row r="305" spans="1:21" x14ac:dyDescent="0.3">
      <c r="A305" s="10" t="s">
        <v>1116</v>
      </c>
      <c r="B305" s="11" t="s">
        <v>1117</v>
      </c>
      <c r="C305" s="11"/>
      <c r="D305" s="11" t="s">
        <v>1118</v>
      </c>
      <c r="E305" s="11">
        <f xml:space="preserve"> IF($U$305,1,0)</f>
        <v>0</v>
      </c>
      <c r="F305" s="11" t="s">
        <v>1119</v>
      </c>
      <c r="G305" s="11">
        <v>0</v>
      </c>
      <c r="H305" s="11">
        <v>0</v>
      </c>
      <c r="I305" s="11">
        <v>0</v>
      </c>
      <c r="J305" s="11">
        <v>0</v>
      </c>
      <c r="K305" s="11">
        <v>0</v>
      </c>
      <c r="L305" s="11">
        <v>0</v>
      </c>
      <c r="M305" s="11">
        <v>0</v>
      </c>
      <c r="N305" s="11">
        <v>0</v>
      </c>
      <c r="O305" s="11">
        <v>0</v>
      </c>
      <c r="P305" s="11">
        <v>0</v>
      </c>
      <c r="Q305" s="12">
        <v>0</v>
      </c>
      <c r="R305" s="12">
        <v>0</v>
      </c>
      <c r="S305" s="12">
        <f>$G$305*$G$8+$H$305*$H$8+$I$305*$I$8+$J$305*$J$8+$K$305*$K$8+$L$305*$L$8+$M$305*$M$8+$N$305*$N$8+$O$305*$O$8+$P$305*$P$8</f>
        <v>0</v>
      </c>
      <c r="T305" s="12">
        <f>SUM($Q$305:$R$305)</f>
        <v>0</v>
      </c>
      <c r="U305" s="12">
        <f>$S$305+$T$305</f>
        <v>0</v>
      </c>
    </row>
    <row r="306" spans="1:21" x14ac:dyDescent="0.3">
      <c r="A306" s="13" t="s">
        <v>1120</v>
      </c>
      <c r="B306" s="14" t="s">
        <v>1117</v>
      </c>
      <c r="C306" s="14"/>
      <c r="D306" s="14" t="s">
        <v>1121</v>
      </c>
      <c r="E306" s="14">
        <f xml:space="preserve"> IF($U$306,1,0)</f>
        <v>0</v>
      </c>
      <c r="F306" s="14" t="s">
        <v>1122</v>
      </c>
      <c r="G306" s="14">
        <v>0</v>
      </c>
      <c r="H306" s="14">
        <v>0</v>
      </c>
      <c r="I306" s="14">
        <v>0</v>
      </c>
      <c r="J306" s="14">
        <v>0</v>
      </c>
      <c r="K306" s="14">
        <v>0</v>
      </c>
      <c r="L306" s="14">
        <v>0</v>
      </c>
      <c r="M306" s="14">
        <v>0</v>
      </c>
      <c r="N306" s="14">
        <v>0</v>
      </c>
      <c r="O306" s="14">
        <v>0</v>
      </c>
      <c r="P306" s="14">
        <v>0</v>
      </c>
      <c r="Q306" s="15">
        <v>0</v>
      </c>
      <c r="R306" s="15">
        <v>0</v>
      </c>
      <c r="S306" s="15">
        <f>$G$306*$G$8+$H$306*$H$8+$I$306*$I$8+$J$306*$J$8+$K$306*$K$8+$L$306*$L$8+$M$306*$M$8+$N$306*$N$8+$O$306*$O$8+$P$306*$P$8</f>
        <v>0</v>
      </c>
      <c r="T306" s="15">
        <f>SUM($Q$306:$R$306)</f>
        <v>0</v>
      </c>
      <c r="U306" s="15">
        <f>$S$306+$T$306</f>
        <v>0</v>
      </c>
    </row>
    <row r="307" spans="1:21" x14ac:dyDescent="0.3">
      <c r="A307" s="10" t="s">
        <v>1123</v>
      </c>
      <c r="B307" s="11" t="s">
        <v>1117</v>
      </c>
      <c r="C307" s="11"/>
      <c r="D307" s="11" t="s">
        <v>1124</v>
      </c>
      <c r="E307" s="11">
        <f xml:space="preserve"> IF($U$307,1,0)</f>
        <v>0</v>
      </c>
      <c r="F307" s="11" t="s">
        <v>1125</v>
      </c>
      <c r="G307" s="11">
        <v>0</v>
      </c>
      <c r="H307" s="11">
        <v>0</v>
      </c>
      <c r="I307" s="11">
        <v>0</v>
      </c>
      <c r="J307" s="11">
        <v>0</v>
      </c>
      <c r="K307" s="11">
        <v>0</v>
      </c>
      <c r="L307" s="11">
        <v>0</v>
      </c>
      <c r="M307" s="11">
        <v>0</v>
      </c>
      <c r="N307" s="11">
        <v>0</v>
      </c>
      <c r="O307" s="11">
        <v>0</v>
      </c>
      <c r="P307" s="11">
        <v>0</v>
      </c>
      <c r="Q307" s="12">
        <v>0</v>
      </c>
      <c r="R307" s="12">
        <v>0</v>
      </c>
      <c r="S307" s="12">
        <f>$G$307*$G$8+$H$307*$H$8+$I$307*$I$8+$J$307*$J$8+$K$307*$K$8+$L$307*$L$8+$M$307*$M$8+$N$307*$N$8+$O$307*$O$8+$P$307*$P$8</f>
        <v>0</v>
      </c>
      <c r="T307" s="12">
        <f>SUM($Q$307:$R$307)</f>
        <v>0</v>
      </c>
      <c r="U307" s="12">
        <f>$S$307+$T$307</f>
        <v>0</v>
      </c>
    </row>
    <row r="308" spans="1:21" x14ac:dyDescent="0.3">
      <c r="A308" s="13" t="s">
        <v>1126</v>
      </c>
      <c r="B308" s="14" t="s">
        <v>1117</v>
      </c>
      <c r="C308" s="14"/>
      <c r="D308" s="14" t="s">
        <v>1127</v>
      </c>
      <c r="E308" s="14">
        <f xml:space="preserve"> IF($U$308,1,0)</f>
        <v>0</v>
      </c>
      <c r="F308" s="14" t="s">
        <v>1128</v>
      </c>
      <c r="G308" s="14">
        <v>0</v>
      </c>
      <c r="H308" s="14">
        <v>0</v>
      </c>
      <c r="I308" s="14">
        <v>0</v>
      </c>
      <c r="J308" s="14">
        <v>0</v>
      </c>
      <c r="K308" s="14">
        <v>0</v>
      </c>
      <c r="L308" s="14">
        <v>0</v>
      </c>
      <c r="M308" s="14">
        <v>0</v>
      </c>
      <c r="N308" s="14">
        <v>0</v>
      </c>
      <c r="O308" s="14">
        <v>0</v>
      </c>
      <c r="P308" s="14">
        <v>0</v>
      </c>
      <c r="Q308" s="15">
        <v>0</v>
      </c>
      <c r="R308" s="15">
        <v>0</v>
      </c>
      <c r="S308" s="15">
        <f>$G$308*$G$8+$H$308*$H$8+$I$308*$I$8+$J$308*$J$8+$K$308*$K$8+$L$308*$L$8+$M$308*$M$8+$N$308*$N$8+$O$308*$O$8+$P$308*$P$8</f>
        <v>0</v>
      </c>
      <c r="T308" s="15">
        <f>SUM($Q$308:$R$308)</f>
        <v>0</v>
      </c>
      <c r="U308" s="15">
        <f>$S$308+$T$308</f>
        <v>0</v>
      </c>
    </row>
    <row r="309" spans="1:21" x14ac:dyDescent="0.3">
      <c r="A309" s="10" t="s">
        <v>1129</v>
      </c>
      <c r="B309" s="11" t="s">
        <v>1130</v>
      </c>
      <c r="C309" s="11" t="s">
        <v>34</v>
      </c>
      <c r="D309" s="11" t="s">
        <v>1131</v>
      </c>
      <c r="E309" s="11">
        <f xml:space="preserve"> IF($U$309,1,0)</f>
        <v>0</v>
      </c>
      <c r="F309" s="11" t="s">
        <v>1132</v>
      </c>
      <c r="G309" s="11">
        <v>0</v>
      </c>
      <c r="H309" s="11">
        <v>0</v>
      </c>
      <c r="I309" s="11">
        <v>0</v>
      </c>
      <c r="J309" s="11">
        <v>0</v>
      </c>
      <c r="K309" s="11">
        <v>0</v>
      </c>
      <c r="L309" s="11">
        <v>0</v>
      </c>
      <c r="M309" s="11">
        <v>0</v>
      </c>
      <c r="N309" s="11">
        <v>0</v>
      </c>
      <c r="O309" s="11">
        <v>0</v>
      </c>
      <c r="P309" s="11">
        <v>0</v>
      </c>
      <c r="Q309" s="12">
        <v>0</v>
      </c>
      <c r="R309" s="12">
        <v>0</v>
      </c>
      <c r="S309" s="12">
        <f>$G$309*$G$8+$H$309*$H$8+$I$309*$I$8+$J$309*$J$8+$K$309*$K$8+$L$309*$L$8+$M$309*$M$8+$N$309*$N$8+$O$309*$O$8+$P$309*$P$8</f>
        <v>0</v>
      </c>
      <c r="T309" s="12">
        <f>SUM($Q$309:$R$309)</f>
        <v>0</v>
      </c>
      <c r="U309" s="12">
        <f>$S$309+$T$309</f>
        <v>0</v>
      </c>
    </row>
    <row r="310" spans="1:21" x14ac:dyDescent="0.3">
      <c r="A310" s="13" t="s">
        <v>1133</v>
      </c>
      <c r="B310" s="14" t="s">
        <v>1134</v>
      </c>
      <c r="C310" s="14"/>
      <c r="D310" s="14" t="s">
        <v>1135</v>
      </c>
      <c r="E310" s="14">
        <f xml:space="preserve"> IF($U$310,1,0)</f>
        <v>0</v>
      </c>
      <c r="F310" s="14" t="s">
        <v>1136</v>
      </c>
      <c r="G310" s="14">
        <v>0</v>
      </c>
      <c r="H310" s="14">
        <v>0</v>
      </c>
      <c r="I310" s="14">
        <v>0</v>
      </c>
      <c r="J310" s="14">
        <v>0</v>
      </c>
      <c r="K310" s="14">
        <v>0</v>
      </c>
      <c r="L310" s="14">
        <v>0</v>
      </c>
      <c r="M310" s="14">
        <v>0</v>
      </c>
      <c r="N310" s="14">
        <v>0</v>
      </c>
      <c r="O310" s="14">
        <v>0</v>
      </c>
      <c r="P310" s="14">
        <v>0</v>
      </c>
      <c r="Q310" s="15">
        <v>0</v>
      </c>
      <c r="R310" s="15">
        <v>0</v>
      </c>
      <c r="S310" s="15">
        <f>$G$310*$G$8+$H$310*$H$8+$I$310*$I$8+$J$310*$J$8+$K$310*$K$8+$L$310*$L$8+$M$310*$M$8+$N$310*$N$8+$O$310*$O$8+$P$310*$P$8</f>
        <v>0</v>
      </c>
      <c r="T310" s="15">
        <f>SUM($Q$310:$R$310)</f>
        <v>0</v>
      </c>
      <c r="U310" s="15">
        <f>$S$310+$T$310</f>
        <v>0</v>
      </c>
    </row>
    <row r="311" spans="1:21" x14ac:dyDescent="0.3">
      <c r="A311" s="10" t="s">
        <v>1137</v>
      </c>
      <c r="B311" s="11" t="s">
        <v>1138</v>
      </c>
      <c r="C311" s="11" t="s">
        <v>1296</v>
      </c>
      <c r="D311" s="11" t="s">
        <v>1139</v>
      </c>
      <c r="E311" s="11">
        <f xml:space="preserve"> IF($U$311,1,0)</f>
        <v>0</v>
      </c>
      <c r="F311" s="11" t="s">
        <v>1297</v>
      </c>
      <c r="G311" s="11">
        <v>0</v>
      </c>
      <c r="H311" s="11">
        <v>0</v>
      </c>
      <c r="I311" s="11">
        <v>0</v>
      </c>
      <c r="J311" s="11">
        <v>0</v>
      </c>
      <c r="K311" s="11">
        <v>0</v>
      </c>
      <c r="L311" s="11">
        <v>0</v>
      </c>
      <c r="M311" s="11">
        <v>0</v>
      </c>
      <c r="N311" s="11">
        <v>0</v>
      </c>
      <c r="O311" s="11">
        <v>0</v>
      </c>
      <c r="P311" s="11">
        <v>0</v>
      </c>
      <c r="Q311" s="12">
        <v>0</v>
      </c>
      <c r="R311" s="12">
        <v>0</v>
      </c>
      <c r="S311" s="12">
        <f>$G$311*$G$8+$H$311*$H$8+$I$311*$I$8+$J$311*$J$8+$K$311*$K$8+$L$311*$L$8+$M$311*$M$8+$N$311*$N$8+$O$311*$O$8+$P$311*$P$8</f>
        <v>0</v>
      </c>
      <c r="T311" s="12">
        <f>SUM($Q$311:$R$311)</f>
        <v>0</v>
      </c>
      <c r="U311" s="12">
        <f>$S$311+$T$311</f>
        <v>0</v>
      </c>
    </row>
    <row r="312" spans="1:21" x14ac:dyDescent="0.3">
      <c r="A312" s="13" t="s">
        <v>1141</v>
      </c>
      <c r="B312" s="14" t="s">
        <v>1142</v>
      </c>
      <c r="C312" s="14" t="s">
        <v>202</v>
      </c>
      <c r="D312" s="14" t="s">
        <v>442</v>
      </c>
      <c r="E312" s="14">
        <f xml:space="preserve"> IF($U$312,1,0)</f>
        <v>0</v>
      </c>
      <c r="F312" s="14" t="s">
        <v>1143</v>
      </c>
      <c r="G312" s="14">
        <v>0</v>
      </c>
      <c r="H312" s="14">
        <v>0</v>
      </c>
      <c r="I312" s="14">
        <v>0</v>
      </c>
      <c r="J312" s="14">
        <v>0</v>
      </c>
      <c r="K312" s="14">
        <v>0</v>
      </c>
      <c r="L312" s="14">
        <v>0</v>
      </c>
      <c r="M312" s="14">
        <v>0</v>
      </c>
      <c r="N312" s="14">
        <v>0</v>
      </c>
      <c r="O312" s="14">
        <v>0</v>
      </c>
      <c r="P312" s="14">
        <v>0</v>
      </c>
      <c r="Q312" s="15">
        <v>0</v>
      </c>
      <c r="R312" s="15">
        <v>0</v>
      </c>
      <c r="S312" s="15">
        <f>$G$312*$G$8+$H$312*$H$8+$I$312*$I$8+$J$312*$J$8+$K$312*$K$8+$L$312*$L$8+$M$312*$M$8+$N$312*$N$8+$O$312*$O$8+$P$312*$P$8</f>
        <v>0</v>
      </c>
      <c r="T312" s="15">
        <f>SUM($Q$312:$R$312)</f>
        <v>0</v>
      </c>
      <c r="U312" s="15">
        <f>$S$312+$T$312</f>
        <v>0</v>
      </c>
    </row>
    <row r="313" spans="1:21" x14ac:dyDescent="0.3">
      <c r="A313" s="10" t="s">
        <v>1144</v>
      </c>
      <c r="B313" s="11" t="s">
        <v>1142</v>
      </c>
      <c r="C313" s="11"/>
      <c r="D313" s="11" t="s">
        <v>1145</v>
      </c>
      <c r="E313" s="11">
        <f xml:space="preserve"> IF($U$313,1,0)</f>
        <v>0</v>
      </c>
      <c r="F313" s="11" t="s">
        <v>1146</v>
      </c>
      <c r="G313" s="11">
        <v>0</v>
      </c>
      <c r="H313" s="11">
        <v>0</v>
      </c>
      <c r="I313" s="11">
        <v>0</v>
      </c>
      <c r="J313" s="11">
        <v>0</v>
      </c>
      <c r="K313" s="11">
        <v>0</v>
      </c>
      <c r="L313" s="11">
        <v>0</v>
      </c>
      <c r="M313" s="11">
        <v>0</v>
      </c>
      <c r="N313" s="11">
        <v>0</v>
      </c>
      <c r="O313" s="11">
        <v>0</v>
      </c>
      <c r="P313" s="11">
        <v>0</v>
      </c>
      <c r="Q313" s="12">
        <v>0</v>
      </c>
      <c r="R313" s="12">
        <v>0</v>
      </c>
      <c r="S313" s="12">
        <f>$G$313*$G$8+$H$313*$H$8+$I$313*$I$8+$J$313*$J$8+$K$313*$K$8+$L$313*$L$8+$M$313*$M$8+$N$313*$N$8+$O$313*$O$8+$P$313*$P$8</f>
        <v>0</v>
      </c>
      <c r="T313" s="12">
        <f>SUM($Q$313:$R$313)</f>
        <v>0</v>
      </c>
      <c r="U313" s="12">
        <f>$S$313+$T$313</f>
        <v>0</v>
      </c>
    </row>
    <row r="314" spans="1:21" x14ac:dyDescent="0.3">
      <c r="A314" s="13" t="s">
        <v>1147</v>
      </c>
      <c r="B314" s="14" t="s">
        <v>1142</v>
      </c>
      <c r="C314" s="14"/>
      <c r="D314" s="14" t="s">
        <v>138</v>
      </c>
      <c r="E314" s="14">
        <f xml:space="preserve"> IF($U$314,1,0)</f>
        <v>0</v>
      </c>
      <c r="F314" s="14" t="s">
        <v>1148</v>
      </c>
      <c r="G314" s="14">
        <v>0</v>
      </c>
      <c r="H314" s="14">
        <v>0</v>
      </c>
      <c r="I314" s="14">
        <v>0</v>
      </c>
      <c r="J314" s="14">
        <v>0</v>
      </c>
      <c r="K314" s="14">
        <v>0</v>
      </c>
      <c r="L314" s="14">
        <v>0</v>
      </c>
      <c r="M314" s="14">
        <v>0</v>
      </c>
      <c r="N314" s="14">
        <v>0</v>
      </c>
      <c r="O314" s="14">
        <v>0</v>
      </c>
      <c r="P314" s="14">
        <v>0</v>
      </c>
      <c r="Q314" s="15">
        <v>0</v>
      </c>
      <c r="R314" s="15">
        <v>0</v>
      </c>
      <c r="S314" s="15">
        <f>$G$314*$G$8+$H$314*$H$8+$I$314*$I$8+$J$314*$J$8+$K$314*$K$8+$L$314*$L$8+$M$314*$M$8+$N$314*$N$8+$O$314*$O$8+$P$314*$P$8</f>
        <v>0</v>
      </c>
      <c r="T314" s="15">
        <f>SUM($Q$314:$R$314)</f>
        <v>0</v>
      </c>
      <c r="U314" s="15">
        <f>$S$314+$T$314</f>
        <v>0</v>
      </c>
    </row>
    <row r="315" spans="1:21" x14ac:dyDescent="0.3">
      <c r="A315" s="10" t="s">
        <v>1149</v>
      </c>
      <c r="B315" s="11" t="s">
        <v>1142</v>
      </c>
      <c r="C315" s="11"/>
      <c r="D315" s="11" t="s">
        <v>1150</v>
      </c>
      <c r="E315" s="11">
        <f xml:space="preserve"> IF($U$315,1,0)</f>
        <v>0</v>
      </c>
      <c r="F315" s="11" t="s">
        <v>1151</v>
      </c>
      <c r="G315" s="11">
        <v>0</v>
      </c>
      <c r="H315" s="11">
        <v>0</v>
      </c>
      <c r="I315" s="11">
        <v>0</v>
      </c>
      <c r="J315" s="11">
        <v>0</v>
      </c>
      <c r="K315" s="11">
        <v>0</v>
      </c>
      <c r="L315" s="11">
        <v>0</v>
      </c>
      <c r="M315" s="11">
        <v>0</v>
      </c>
      <c r="N315" s="11">
        <v>0</v>
      </c>
      <c r="O315" s="11">
        <v>0</v>
      </c>
      <c r="P315" s="11">
        <v>0</v>
      </c>
      <c r="Q315" s="12">
        <v>0</v>
      </c>
      <c r="R315" s="12">
        <v>0</v>
      </c>
      <c r="S315" s="12">
        <f>$G$315*$G$8+$H$315*$H$8+$I$315*$I$8+$J$315*$J$8+$K$315*$K$8+$L$315*$L$8+$M$315*$M$8+$N$315*$N$8+$O$315*$O$8+$P$315*$P$8</f>
        <v>0</v>
      </c>
      <c r="T315" s="12">
        <f>SUM($Q$315:$R$315)</f>
        <v>0</v>
      </c>
      <c r="U315" s="12">
        <f>$S$315+$T$315</f>
        <v>0</v>
      </c>
    </row>
    <row r="316" spans="1:21" x14ac:dyDescent="0.3">
      <c r="A316" s="13" t="s">
        <v>1152</v>
      </c>
      <c r="B316" s="14" t="s">
        <v>1142</v>
      </c>
      <c r="C316" s="14"/>
      <c r="D316" s="14" t="s">
        <v>1153</v>
      </c>
      <c r="E316" s="14">
        <f xml:space="preserve"> IF($U$316,1,0)</f>
        <v>0</v>
      </c>
      <c r="F316" s="14" t="s">
        <v>1154</v>
      </c>
      <c r="G316" s="14">
        <v>0</v>
      </c>
      <c r="H316" s="14">
        <v>0</v>
      </c>
      <c r="I316" s="14">
        <v>0</v>
      </c>
      <c r="J316" s="14">
        <v>0</v>
      </c>
      <c r="K316" s="14">
        <v>0</v>
      </c>
      <c r="L316" s="14">
        <v>0</v>
      </c>
      <c r="M316" s="14">
        <v>0</v>
      </c>
      <c r="N316" s="14">
        <v>0</v>
      </c>
      <c r="O316" s="14">
        <v>0</v>
      </c>
      <c r="P316" s="14">
        <v>0</v>
      </c>
      <c r="Q316" s="15">
        <v>0</v>
      </c>
      <c r="R316" s="15">
        <v>0</v>
      </c>
      <c r="S316" s="15">
        <f>$G$316*$G$8+$H$316*$H$8+$I$316*$I$8+$J$316*$J$8+$K$316*$K$8+$L$316*$L$8+$M$316*$M$8+$N$316*$N$8+$O$316*$O$8+$P$316*$P$8</f>
        <v>0</v>
      </c>
      <c r="T316" s="15">
        <f>SUM($Q$316:$R$316)</f>
        <v>0</v>
      </c>
      <c r="U316" s="15">
        <f>$S$316+$T$316</f>
        <v>0</v>
      </c>
    </row>
    <row r="317" spans="1:21" x14ac:dyDescent="0.3">
      <c r="A317" s="10" t="s">
        <v>1155</v>
      </c>
      <c r="B317" s="11" t="s">
        <v>1156</v>
      </c>
      <c r="C317" s="11"/>
      <c r="D317" s="11" t="s">
        <v>1157</v>
      </c>
      <c r="E317" s="11">
        <f xml:space="preserve"> IF($U$317,1,0)</f>
        <v>0</v>
      </c>
      <c r="F317" s="11" t="s">
        <v>1158</v>
      </c>
      <c r="G317" s="11">
        <v>0</v>
      </c>
      <c r="H317" s="11">
        <v>0</v>
      </c>
      <c r="I317" s="11">
        <v>0</v>
      </c>
      <c r="J317" s="11">
        <v>0</v>
      </c>
      <c r="K317" s="11">
        <v>0</v>
      </c>
      <c r="L317" s="11">
        <v>0</v>
      </c>
      <c r="M317" s="11">
        <v>0</v>
      </c>
      <c r="N317" s="11">
        <v>0</v>
      </c>
      <c r="O317" s="11">
        <v>0</v>
      </c>
      <c r="P317" s="11">
        <v>0</v>
      </c>
      <c r="Q317" s="12">
        <v>0</v>
      </c>
      <c r="R317" s="12">
        <v>0</v>
      </c>
      <c r="S317" s="12">
        <f>$G$317*$G$8+$H$317*$H$8+$I$317*$I$8+$J$317*$J$8+$K$317*$K$8+$L$317*$L$8+$M$317*$M$8+$N$317*$N$8+$O$317*$O$8+$P$317*$P$8</f>
        <v>0</v>
      </c>
      <c r="T317" s="12">
        <f>SUM($Q$317:$R$317)</f>
        <v>0</v>
      </c>
      <c r="U317" s="12">
        <f>$S$317+$T$317</f>
        <v>0</v>
      </c>
    </row>
    <row r="318" spans="1:21" x14ac:dyDescent="0.3">
      <c r="A318" s="13" t="s">
        <v>1159</v>
      </c>
      <c r="B318" s="14" t="s">
        <v>1160</v>
      </c>
      <c r="C318" s="14"/>
      <c r="D318" s="14" t="s">
        <v>1161</v>
      </c>
      <c r="E318" s="14">
        <f xml:space="preserve"> IF($U$318,1,0)</f>
        <v>0</v>
      </c>
      <c r="F318" s="14" t="s">
        <v>1162</v>
      </c>
      <c r="G318" s="14">
        <v>0</v>
      </c>
      <c r="H318" s="14">
        <v>0</v>
      </c>
      <c r="I318" s="14">
        <v>0</v>
      </c>
      <c r="J318" s="14">
        <v>0</v>
      </c>
      <c r="K318" s="14">
        <v>0</v>
      </c>
      <c r="L318" s="14">
        <v>0</v>
      </c>
      <c r="M318" s="14">
        <v>0</v>
      </c>
      <c r="N318" s="14">
        <v>0</v>
      </c>
      <c r="O318" s="14">
        <v>0</v>
      </c>
      <c r="P318" s="14">
        <v>0</v>
      </c>
      <c r="Q318" s="15">
        <v>0</v>
      </c>
      <c r="R318" s="15">
        <v>0</v>
      </c>
      <c r="S318" s="15">
        <f>$G$318*$G$8+$H$318*$H$8+$I$318*$I$8+$J$318*$J$8+$K$318*$K$8+$L$318*$L$8+$M$318*$M$8+$N$318*$N$8+$O$318*$O$8+$P$318*$P$8</f>
        <v>0</v>
      </c>
      <c r="T318" s="15">
        <f>SUM($Q$318:$R$318)</f>
        <v>0</v>
      </c>
      <c r="U318" s="15">
        <f>$S$318+$T$318</f>
        <v>0</v>
      </c>
    </row>
    <row r="319" spans="1:21" x14ac:dyDescent="0.3">
      <c r="A319" s="10" t="s">
        <v>1163</v>
      </c>
      <c r="B319" s="11" t="s">
        <v>1160</v>
      </c>
      <c r="C319" s="11"/>
      <c r="D319" s="11" t="s">
        <v>1164</v>
      </c>
      <c r="E319" s="11">
        <f xml:space="preserve"> IF($U$319,1,0)</f>
        <v>0</v>
      </c>
      <c r="F319" s="11" t="s">
        <v>1165</v>
      </c>
      <c r="G319" s="11">
        <v>0</v>
      </c>
      <c r="H319" s="11">
        <v>0</v>
      </c>
      <c r="I319" s="11">
        <v>0</v>
      </c>
      <c r="J319" s="11">
        <v>0</v>
      </c>
      <c r="K319" s="11">
        <v>0</v>
      </c>
      <c r="L319" s="11">
        <v>0</v>
      </c>
      <c r="M319" s="11">
        <v>0</v>
      </c>
      <c r="N319" s="11">
        <v>0</v>
      </c>
      <c r="O319" s="11">
        <v>0</v>
      </c>
      <c r="P319" s="11">
        <v>0</v>
      </c>
      <c r="Q319" s="12">
        <v>0</v>
      </c>
      <c r="R319" s="12">
        <v>0</v>
      </c>
      <c r="S319" s="12">
        <f>$G$319*$G$8+$H$319*$H$8+$I$319*$I$8+$J$319*$J$8+$K$319*$K$8+$L$319*$L$8+$M$319*$M$8+$N$319*$N$8+$O$319*$O$8+$P$319*$P$8</f>
        <v>0</v>
      </c>
      <c r="T319" s="12">
        <f>SUM($Q$319:$R$319)</f>
        <v>0</v>
      </c>
      <c r="U319" s="12">
        <f>$S$319+$T$319</f>
        <v>0</v>
      </c>
    </row>
    <row r="320" spans="1:21" x14ac:dyDescent="0.3">
      <c r="A320" s="13" t="s">
        <v>1166</v>
      </c>
      <c r="B320" s="14" t="s">
        <v>1160</v>
      </c>
      <c r="C320" s="14" t="s">
        <v>243</v>
      </c>
      <c r="D320" s="14" t="s">
        <v>1167</v>
      </c>
      <c r="E320" s="14">
        <f xml:space="preserve"> IF($U$320,1,0)</f>
        <v>0</v>
      </c>
      <c r="F320" s="14" t="s">
        <v>1168</v>
      </c>
      <c r="G320" s="14">
        <v>0</v>
      </c>
      <c r="H320" s="14">
        <v>0</v>
      </c>
      <c r="I320" s="14">
        <v>0</v>
      </c>
      <c r="J320" s="14">
        <v>0</v>
      </c>
      <c r="K320" s="14">
        <v>0</v>
      </c>
      <c r="L320" s="14">
        <v>0</v>
      </c>
      <c r="M320" s="14">
        <v>0</v>
      </c>
      <c r="N320" s="14">
        <v>0</v>
      </c>
      <c r="O320" s="14">
        <v>0</v>
      </c>
      <c r="P320" s="14">
        <v>0</v>
      </c>
      <c r="Q320" s="15">
        <v>0</v>
      </c>
      <c r="R320" s="15">
        <v>0</v>
      </c>
      <c r="S320" s="15">
        <f>$G$320*$G$8+$H$320*$H$8+$I$320*$I$8+$J$320*$J$8+$K$320*$K$8+$L$320*$L$8+$M$320*$M$8+$N$320*$N$8+$O$320*$O$8+$P$320*$P$8</f>
        <v>0</v>
      </c>
      <c r="T320" s="15">
        <f>SUM($Q$320:$R$320)</f>
        <v>0</v>
      </c>
      <c r="U320" s="15">
        <f>$S$320+$T$320</f>
        <v>0</v>
      </c>
    </row>
    <row r="321" spans="1:21" x14ac:dyDescent="0.3">
      <c r="A321" s="10" t="s">
        <v>1169</v>
      </c>
      <c r="B321" s="11" t="s">
        <v>1170</v>
      </c>
      <c r="C321" s="11"/>
      <c r="D321" s="11" t="s">
        <v>1171</v>
      </c>
      <c r="E321" s="11">
        <f xml:space="preserve"> IF($U$321,1,0)</f>
        <v>0</v>
      </c>
      <c r="F321" s="11" t="s">
        <v>1172</v>
      </c>
      <c r="G321" s="11">
        <v>0</v>
      </c>
      <c r="H321" s="11">
        <v>0</v>
      </c>
      <c r="I321" s="11">
        <v>0</v>
      </c>
      <c r="J321" s="11">
        <v>0</v>
      </c>
      <c r="K321" s="11">
        <v>0</v>
      </c>
      <c r="L321" s="11">
        <v>0</v>
      </c>
      <c r="M321" s="11">
        <v>0</v>
      </c>
      <c r="N321" s="11">
        <v>0</v>
      </c>
      <c r="O321" s="11">
        <v>0</v>
      </c>
      <c r="P321" s="11">
        <v>0</v>
      </c>
      <c r="Q321" s="12">
        <v>0</v>
      </c>
      <c r="R321" s="12">
        <v>0</v>
      </c>
      <c r="S321" s="12">
        <f>$G$321*$G$8+$H$321*$H$8+$I$321*$I$8+$J$321*$J$8+$K$321*$K$8+$L$321*$L$8+$M$321*$M$8+$N$321*$N$8+$O$321*$O$8+$P$321*$P$8</f>
        <v>0</v>
      </c>
      <c r="T321" s="12">
        <f>SUM($Q$321:$R$321)</f>
        <v>0</v>
      </c>
      <c r="U321" s="12">
        <f>$S$321+$T$321</f>
        <v>0</v>
      </c>
    </row>
    <row r="322" spans="1:21" x14ac:dyDescent="0.3">
      <c r="A322" s="13" t="s">
        <v>1173</v>
      </c>
      <c r="B322" s="14" t="s">
        <v>1174</v>
      </c>
      <c r="C322" s="14"/>
      <c r="D322" s="14" t="s">
        <v>1175</v>
      </c>
      <c r="E322" s="14">
        <f xml:space="preserve"> IF($U$322,1,0)</f>
        <v>0</v>
      </c>
      <c r="F322" s="14" t="s">
        <v>1176</v>
      </c>
      <c r="G322" s="14">
        <v>0</v>
      </c>
      <c r="H322" s="14">
        <v>0</v>
      </c>
      <c r="I322" s="14">
        <v>0</v>
      </c>
      <c r="J322" s="14">
        <v>0</v>
      </c>
      <c r="K322" s="14">
        <v>0</v>
      </c>
      <c r="L322" s="14">
        <v>0</v>
      </c>
      <c r="M322" s="14">
        <v>0</v>
      </c>
      <c r="N322" s="14">
        <v>0</v>
      </c>
      <c r="O322" s="14">
        <v>0</v>
      </c>
      <c r="P322" s="14">
        <v>0</v>
      </c>
      <c r="Q322" s="15">
        <v>0</v>
      </c>
      <c r="R322" s="15">
        <v>0</v>
      </c>
      <c r="S322" s="15">
        <f>$G$322*$G$8+$H$322*$H$8+$I$322*$I$8+$J$322*$J$8+$K$322*$K$8+$L$322*$L$8+$M$322*$M$8+$N$322*$N$8+$O$322*$O$8+$P$322*$P$8</f>
        <v>0</v>
      </c>
      <c r="T322" s="15">
        <f>SUM($Q$322:$R$322)</f>
        <v>0</v>
      </c>
      <c r="U322" s="15">
        <f>$S$322+$T$322</f>
        <v>0</v>
      </c>
    </row>
    <row r="323" spans="1:21" x14ac:dyDescent="0.3">
      <c r="A323" s="10" t="s">
        <v>1177</v>
      </c>
      <c r="B323" s="11" t="s">
        <v>1174</v>
      </c>
      <c r="C323" s="11" t="s">
        <v>65</v>
      </c>
      <c r="D323" s="11" t="s">
        <v>1178</v>
      </c>
      <c r="E323" s="11">
        <f xml:space="preserve"> IF($U$323,1,0)</f>
        <v>0</v>
      </c>
      <c r="F323" s="11" t="s">
        <v>1179</v>
      </c>
      <c r="G323" s="11">
        <v>0</v>
      </c>
      <c r="H323" s="11">
        <v>0</v>
      </c>
      <c r="I323" s="11">
        <v>0</v>
      </c>
      <c r="J323" s="11">
        <v>0</v>
      </c>
      <c r="K323" s="11">
        <v>0</v>
      </c>
      <c r="L323" s="11">
        <v>0</v>
      </c>
      <c r="M323" s="11">
        <v>0</v>
      </c>
      <c r="N323" s="11">
        <v>0</v>
      </c>
      <c r="O323" s="11">
        <v>0</v>
      </c>
      <c r="P323" s="11">
        <v>0</v>
      </c>
      <c r="Q323" s="12">
        <v>0</v>
      </c>
      <c r="R323" s="12">
        <v>0</v>
      </c>
      <c r="S323" s="12">
        <f>$G$323*$G$8+$H$323*$H$8+$I$323*$I$8+$J$323*$J$8+$K$323*$K$8+$L$323*$L$8+$M$323*$M$8+$N$323*$N$8+$O$323*$O$8+$P$323*$P$8</f>
        <v>0</v>
      </c>
      <c r="T323" s="12">
        <f>SUM($Q$323:$R$323)</f>
        <v>0</v>
      </c>
      <c r="U323" s="12">
        <f>$S$323+$T$323</f>
        <v>0</v>
      </c>
    </row>
    <row r="324" spans="1:21" x14ac:dyDescent="0.3">
      <c r="A324" s="13" t="s">
        <v>1180</v>
      </c>
      <c r="B324" s="14" t="s">
        <v>1181</v>
      </c>
      <c r="C324" s="14"/>
      <c r="D324" s="14" t="s">
        <v>1182</v>
      </c>
      <c r="E324" s="14">
        <f xml:space="preserve"> IF($U$324,1,0)</f>
        <v>0</v>
      </c>
      <c r="F324" s="14" t="s">
        <v>1183</v>
      </c>
      <c r="G324" s="14">
        <v>0</v>
      </c>
      <c r="H324" s="14">
        <v>0</v>
      </c>
      <c r="I324" s="14">
        <v>0</v>
      </c>
      <c r="J324" s="14">
        <v>0</v>
      </c>
      <c r="K324" s="14">
        <v>0</v>
      </c>
      <c r="L324" s="14">
        <v>0</v>
      </c>
      <c r="M324" s="14">
        <v>0</v>
      </c>
      <c r="N324" s="14">
        <v>0</v>
      </c>
      <c r="O324" s="14">
        <v>0</v>
      </c>
      <c r="P324" s="14">
        <v>0</v>
      </c>
      <c r="Q324" s="15">
        <v>0</v>
      </c>
      <c r="R324" s="15">
        <v>0</v>
      </c>
      <c r="S324" s="15">
        <f>$G$324*$G$8+$H$324*$H$8+$I$324*$I$8+$J$324*$J$8+$K$324*$K$8+$L$324*$L$8+$M$324*$M$8+$N$324*$N$8+$O$324*$O$8+$P$324*$P$8</f>
        <v>0</v>
      </c>
      <c r="T324" s="15">
        <f>SUM($Q$324:$R$324)</f>
        <v>0</v>
      </c>
      <c r="U324" s="15">
        <f>$S$324+$T$324</f>
        <v>0</v>
      </c>
    </row>
    <row r="325" spans="1:21" x14ac:dyDescent="0.3">
      <c r="A325" s="10" t="s">
        <v>1184</v>
      </c>
      <c r="B325" s="11" t="s">
        <v>1185</v>
      </c>
      <c r="C325" s="11" t="s">
        <v>65</v>
      </c>
      <c r="D325" s="11" t="s">
        <v>1186</v>
      </c>
      <c r="E325" s="11">
        <f xml:space="preserve"> IF($U$325,1,0)</f>
        <v>0</v>
      </c>
      <c r="F325" s="11" t="s">
        <v>1187</v>
      </c>
      <c r="G325" s="11">
        <v>0</v>
      </c>
      <c r="H325" s="11">
        <v>0</v>
      </c>
      <c r="I325" s="11">
        <v>0</v>
      </c>
      <c r="J325" s="11">
        <v>0</v>
      </c>
      <c r="K325" s="11">
        <v>0</v>
      </c>
      <c r="L325" s="11">
        <v>0</v>
      </c>
      <c r="M325" s="11">
        <v>0</v>
      </c>
      <c r="N325" s="11">
        <v>0</v>
      </c>
      <c r="O325" s="11">
        <v>0</v>
      </c>
      <c r="P325" s="11">
        <v>0</v>
      </c>
      <c r="Q325" s="12">
        <v>0</v>
      </c>
      <c r="R325" s="12">
        <v>0</v>
      </c>
      <c r="S325" s="12">
        <f>$G$325*$G$8+$H$325*$H$8+$I$325*$I$8+$J$325*$J$8+$K$325*$K$8+$L$325*$L$8+$M$325*$M$8+$N$325*$N$8+$O$325*$O$8+$P$325*$P$8</f>
        <v>0</v>
      </c>
      <c r="T325" s="12">
        <f>SUM($Q$325:$R$325)</f>
        <v>0</v>
      </c>
      <c r="U325" s="12">
        <f>$S$325+$T$325</f>
        <v>0</v>
      </c>
    </row>
    <row r="326" spans="1:21" x14ac:dyDescent="0.3">
      <c r="A326" s="13" t="s">
        <v>1188</v>
      </c>
      <c r="B326" s="14" t="s">
        <v>1189</v>
      </c>
      <c r="C326" s="14"/>
      <c r="D326" s="14" t="s">
        <v>1190</v>
      </c>
      <c r="E326" s="14">
        <f xml:space="preserve"> IF($U$326,1,0)</f>
        <v>0</v>
      </c>
      <c r="F326" s="14" t="s">
        <v>1191</v>
      </c>
      <c r="G326" s="14">
        <v>0</v>
      </c>
      <c r="H326" s="14">
        <v>0</v>
      </c>
      <c r="I326" s="14">
        <v>0</v>
      </c>
      <c r="J326" s="14">
        <v>0</v>
      </c>
      <c r="K326" s="14">
        <v>0</v>
      </c>
      <c r="L326" s="14">
        <v>0</v>
      </c>
      <c r="M326" s="14">
        <v>0</v>
      </c>
      <c r="N326" s="14">
        <v>0</v>
      </c>
      <c r="O326" s="14">
        <v>0</v>
      </c>
      <c r="P326" s="14">
        <v>0</v>
      </c>
      <c r="Q326" s="15">
        <v>0</v>
      </c>
      <c r="R326" s="15">
        <v>0</v>
      </c>
      <c r="S326" s="15">
        <f>$G$326*$G$8+$H$326*$H$8+$I$326*$I$8+$J$326*$J$8+$K$326*$K$8+$L$326*$L$8+$M$326*$M$8+$N$326*$N$8+$O$326*$O$8+$P$326*$P$8</f>
        <v>0</v>
      </c>
      <c r="T326" s="15">
        <f>SUM($Q$326:$R$326)</f>
        <v>0</v>
      </c>
      <c r="U326" s="15">
        <f>$S$326+$T$326</f>
        <v>0</v>
      </c>
    </row>
    <row r="327" spans="1:21" x14ac:dyDescent="0.3">
      <c r="A327" s="10" t="s">
        <v>1192</v>
      </c>
      <c r="B327" s="11" t="s">
        <v>1193</v>
      </c>
      <c r="C327" s="11"/>
      <c r="D327" s="11" t="s">
        <v>1194</v>
      </c>
      <c r="E327" s="11">
        <f xml:space="preserve"> IF($U$327,1,0)</f>
        <v>0</v>
      </c>
      <c r="F327" s="11" t="s">
        <v>1195</v>
      </c>
      <c r="G327" s="11">
        <v>0</v>
      </c>
      <c r="H327" s="11">
        <v>0</v>
      </c>
      <c r="I327" s="11">
        <v>0</v>
      </c>
      <c r="J327" s="11">
        <v>0</v>
      </c>
      <c r="K327" s="11">
        <v>0</v>
      </c>
      <c r="L327" s="11">
        <v>0</v>
      </c>
      <c r="M327" s="11">
        <v>0</v>
      </c>
      <c r="N327" s="11">
        <v>0</v>
      </c>
      <c r="O327" s="11">
        <v>0</v>
      </c>
      <c r="P327" s="11">
        <v>0</v>
      </c>
      <c r="Q327" s="12">
        <v>0</v>
      </c>
      <c r="R327" s="12">
        <v>0</v>
      </c>
      <c r="S327" s="12">
        <f>$G$327*$G$8+$H$327*$H$8+$I$327*$I$8+$J$327*$J$8+$K$327*$K$8+$L$327*$L$8+$M$327*$M$8+$N$327*$N$8+$O$327*$O$8+$P$327*$P$8</f>
        <v>0</v>
      </c>
      <c r="T327" s="12">
        <f>SUM($Q$327:$R$327)</f>
        <v>0</v>
      </c>
      <c r="U327" s="12">
        <f>$S$327+$T$327</f>
        <v>0</v>
      </c>
    </row>
    <row r="328" spans="1:21" x14ac:dyDescent="0.3">
      <c r="A328" s="13" t="s">
        <v>1196</v>
      </c>
      <c r="B328" s="14" t="s">
        <v>1197</v>
      </c>
      <c r="C328" s="14"/>
      <c r="D328" s="14" t="s">
        <v>1198</v>
      </c>
      <c r="E328" s="14">
        <f xml:space="preserve"> IF($U$328,1,0)</f>
        <v>0</v>
      </c>
      <c r="F328" s="14" t="s">
        <v>1199</v>
      </c>
      <c r="G328" s="14">
        <v>0</v>
      </c>
      <c r="H328" s="14">
        <v>0</v>
      </c>
      <c r="I328" s="14">
        <v>0</v>
      </c>
      <c r="J328" s="14">
        <v>0</v>
      </c>
      <c r="K328" s="14">
        <v>0</v>
      </c>
      <c r="L328" s="14">
        <v>0</v>
      </c>
      <c r="M328" s="14">
        <v>0</v>
      </c>
      <c r="N328" s="14">
        <v>0</v>
      </c>
      <c r="O328" s="14">
        <v>0</v>
      </c>
      <c r="P328" s="14">
        <v>0</v>
      </c>
      <c r="Q328" s="15">
        <v>0</v>
      </c>
      <c r="R328" s="15">
        <v>0</v>
      </c>
      <c r="S328" s="15">
        <f>$G$328*$G$8+$H$328*$H$8+$I$328*$I$8+$J$328*$J$8+$K$328*$K$8+$L$328*$L$8+$M$328*$M$8+$N$328*$N$8+$O$328*$O$8+$P$328*$P$8</f>
        <v>0</v>
      </c>
      <c r="T328" s="15">
        <f>SUM($Q$328:$R$328)</f>
        <v>0</v>
      </c>
      <c r="U328" s="15">
        <f>$S$328+$T$328</f>
        <v>0</v>
      </c>
    </row>
    <row r="329" spans="1:21" x14ac:dyDescent="0.3">
      <c r="A329" s="10" t="s">
        <v>1200</v>
      </c>
      <c r="B329" s="11" t="s">
        <v>1201</v>
      </c>
      <c r="C329" s="11"/>
      <c r="D329" s="11" t="s">
        <v>1202</v>
      </c>
      <c r="E329" s="11">
        <f xml:space="preserve"> IF($U$329,1,0)</f>
        <v>0</v>
      </c>
      <c r="F329" s="11" t="s">
        <v>1203</v>
      </c>
      <c r="G329" s="11">
        <v>0</v>
      </c>
      <c r="H329" s="11">
        <v>0</v>
      </c>
      <c r="I329" s="11">
        <v>0</v>
      </c>
      <c r="J329" s="11">
        <v>0</v>
      </c>
      <c r="K329" s="11">
        <v>0</v>
      </c>
      <c r="L329" s="11">
        <v>0</v>
      </c>
      <c r="M329" s="11">
        <v>0</v>
      </c>
      <c r="N329" s="11">
        <v>0</v>
      </c>
      <c r="O329" s="11">
        <v>0</v>
      </c>
      <c r="P329" s="11">
        <v>0</v>
      </c>
      <c r="Q329" s="12">
        <v>0</v>
      </c>
      <c r="R329" s="12">
        <v>0</v>
      </c>
      <c r="S329" s="12">
        <f>$G$329*$G$8+$H$329*$H$8+$I$329*$I$8+$J$329*$J$8+$K$329*$K$8+$L$329*$L$8+$M$329*$M$8+$N$329*$N$8+$O$329*$O$8+$P$329*$P$8</f>
        <v>0</v>
      </c>
      <c r="T329" s="12">
        <f>SUM($Q$329:$R$329)</f>
        <v>0</v>
      </c>
      <c r="U329" s="12">
        <f>$S$329+$T$329</f>
        <v>0</v>
      </c>
    </row>
    <row r="330" spans="1:21" x14ac:dyDescent="0.3">
      <c r="A330" s="13" t="s">
        <v>1204</v>
      </c>
      <c r="B330" s="14" t="s">
        <v>1205</v>
      </c>
      <c r="C330" s="14"/>
      <c r="D330" s="14" t="s">
        <v>1206</v>
      </c>
      <c r="E330" s="14">
        <f xml:space="preserve"> IF($U$330,1,0)</f>
        <v>0</v>
      </c>
      <c r="F330" s="14" t="s">
        <v>1207</v>
      </c>
      <c r="G330" s="14">
        <v>0</v>
      </c>
      <c r="H330" s="14">
        <v>0</v>
      </c>
      <c r="I330" s="14">
        <v>0</v>
      </c>
      <c r="J330" s="14">
        <v>0</v>
      </c>
      <c r="K330" s="14">
        <v>0</v>
      </c>
      <c r="L330" s="14">
        <v>0</v>
      </c>
      <c r="M330" s="14">
        <v>0</v>
      </c>
      <c r="N330" s="14">
        <v>0</v>
      </c>
      <c r="O330" s="14">
        <v>0</v>
      </c>
      <c r="P330" s="14">
        <v>0</v>
      </c>
      <c r="Q330" s="15">
        <v>0</v>
      </c>
      <c r="R330" s="15">
        <v>0</v>
      </c>
      <c r="S330" s="15">
        <f>$G$330*$G$8+$H$330*$H$8+$I$330*$I$8+$J$330*$J$8+$K$330*$K$8+$L$330*$L$8+$M$330*$M$8+$N$330*$N$8+$O$330*$O$8+$P$330*$P$8</f>
        <v>0</v>
      </c>
      <c r="T330" s="15">
        <f>SUM($Q$330:$R$330)</f>
        <v>0</v>
      </c>
      <c r="U330" s="15">
        <f>$S$330+$T$330</f>
        <v>0</v>
      </c>
    </row>
    <row r="331" spans="1:21" x14ac:dyDescent="0.3">
      <c r="A331" s="10" t="s">
        <v>1208</v>
      </c>
      <c r="B331" s="11" t="s">
        <v>1205</v>
      </c>
      <c r="C331" s="11"/>
      <c r="D331" s="11" t="s">
        <v>1209</v>
      </c>
      <c r="E331" s="11">
        <f xml:space="preserve"> IF($U$331,1,0)</f>
        <v>0</v>
      </c>
      <c r="F331" s="11" t="s">
        <v>1210</v>
      </c>
      <c r="G331" s="11">
        <v>0</v>
      </c>
      <c r="H331" s="11">
        <v>0</v>
      </c>
      <c r="I331" s="11">
        <v>0</v>
      </c>
      <c r="J331" s="11">
        <v>0</v>
      </c>
      <c r="K331" s="11">
        <v>0</v>
      </c>
      <c r="L331" s="11">
        <v>0</v>
      </c>
      <c r="M331" s="11">
        <v>0</v>
      </c>
      <c r="N331" s="11">
        <v>0</v>
      </c>
      <c r="O331" s="11">
        <v>0</v>
      </c>
      <c r="P331" s="11">
        <v>0</v>
      </c>
      <c r="Q331" s="12">
        <v>0</v>
      </c>
      <c r="R331" s="12">
        <v>0</v>
      </c>
      <c r="S331" s="12">
        <f>$G$331*$G$8+$H$331*$H$8+$I$331*$I$8+$J$331*$J$8+$K$331*$K$8+$L$331*$L$8+$M$331*$M$8+$N$331*$N$8+$O$331*$O$8+$P$331*$P$8</f>
        <v>0</v>
      </c>
      <c r="T331" s="12">
        <f>SUM($Q$331:$R$331)</f>
        <v>0</v>
      </c>
      <c r="U331" s="12">
        <f>$S$331+$T$331</f>
        <v>0</v>
      </c>
    </row>
    <row r="332" spans="1:21" x14ac:dyDescent="0.3">
      <c r="A332" s="13" t="s">
        <v>1211</v>
      </c>
      <c r="B332" s="14" t="s">
        <v>1212</v>
      </c>
      <c r="C332" s="14"/>
      <c r="D332" s="14" t="s">
        <v>670</v>
      </c>
      <c r="E332" s="14">
        <f xml:space="preserve"> IF($U$332,1,0)</f>
        <v>0</v>
      </c>
      <c r="F332" s="14" t="s">
        <v>1213</v>
      </c>
      <c r="G332" s="14">
        <v>0</v>
      </c>
      <c r="H332" s="14">
        <v>0</v>
      </c>
      <c r="I332" s="14">
        <v>0</v>
      </c>
      <c r="J332" s="14">
        <v>0</v>
      </c>
      <c r="K332" s="14">
        <v>0</v>
      </c>
      <c r="L332" s="14">
        <v>0</v>
      </c>
      <c r="M332" s="14">
        <v>0</v>
      </c>
      <c r="N332" s="14">
        <v>0</v>
      </c>
      <c r="O332" s="14">
        <v>0</v>
      </c>
      <c r="P332" s="14">
        <v>0</v>
      </c>
      <c r="Q332" s="15">
        <v>0</v>
      </c>
      <c r="R332" s="15">
        <v>0</v>
      </c>
      <c r="S332" s="15">
        <f>$G$332*$G$8+$H$332*$H$8+$I$332*$I$8+$J$332*$J$8+$K$332*$K$8+$L$332*$L$8+$M$332*$M$8+$N$332*$N$8+$O$332*$O$8+$P$332*$P$8</f>
        <v>0</v>
      </c>
      <c r="T332" s="15">
        <f>SUM($Q$332:$R$332)</f>
        <v>0</v>
      </c>
      <c r="U332" s="15">
        <f>$S$332+$T$332</f>
        <v>0</v>
      </c>
    </row>
    <row r="333" spans="1:21" x14ac:dyDescent="0.3">
      <c r="A333" s="10" t="s">
        <v>1214</v>
      </c>
      <c r="B333" s="11" t="s">
        <v>1215</v>
      </c>
      <c r="C333" s="11"/>
      <c r="D333" s="11" t="s">
        <v>1216</v>
      </c>
      <c r="E333" s="11">
        <f xml:space="preserve"> IF($U$333,1,0)</f>
        <v>0</v>
      </c>
      <c r="F333" s="11" t="s">
        <v>1217</v>
      </c>
      <c r="G333" s="11">
        <v>0</v>
      </c>
      <c r="H333" s="11">
        <v>0</v>
      </c>
      <c r="I333" s="11">
        <v>0</v>
      </c>
      <c r="J333" s="11">
        <v>0</v>
      </c>
      <c r="K333" s="11">
        <v>0</v>
      </c>
      <c r="L333" s="11">
        <v>0</v>
      </c>
      <c r="M333" s="11">
        <v>0</v>
      </c>
      <c r="N333" s="11">
        <v>0</v>
      </c>
      <c r="O333" s="11">
        <v>0</v>
      </c>
      <c r="P333" s="11">
        <v>0</v>
      </c>
      <c r="Q333" s="12">
        <v>0</v>
      </c>
      <c r="R333" s="12">
        <v>0</v>
      </c>
      <c r="S333" s="12">
        <f>$G$333*$G$8+$H$333*$H$8+$I$333*$I$8+$J$333*$J$8+$K$333*$K$8+$L$333*$L$8+$M$333*$M$8+$N$333*$N$8+$O$333*$O$8+$P$333*$P$8</f>
        <v>0</v>
      </c>
      <c r="T333" s="12">
        <f>SUM($Q$333:$R$333)</f>
        <v>0</v>
      </c>
      <c r="U333" s="12">
        <f>$S$333+$T$333</f>
        <v>0</v>
      </c>
    </row>
    <row r="334" spans="1:21" x14ac:dyDescent="0.3">
      <c r="A334" s="13" t="s">
        <v>1218</v>
      </c>
      <c r="B334" s="14" t="s">
        <v>1219</v>
      </c>
      <c r="C334" s="14" t="s">
        <v>202</v>
      </c>
      <c r="D334" s="14" t="s">
        <v>1068</v>
      </c>
      <c r="E334" s="14">
        <f xml:space="preserve"> IF($U$334,1,0)</f>
        <v>0</v>
      </c>
      <c r="F334" s="14" t="s">
        <v>1220</v>
      </c>
      <c r="G334" s="14">
        <v>0</v>
      </c>
      <c r="H334" s="14">
        <v>0</v>
      </c>
      <c r="I334" s="14">
        <v>0</v>
      </c>
      <c r="J334" s="14">
        <v>0</v>
      </c>
      <c r="K334" s="14">
        <v>0</v>
      </c>
      <c r="L334" s="14">
        <v>0</v>
      </c>
      <c r="M334" s="14">
        <v>0</v>
      </c>
      <c r="N334" s="14">
        <v>0</v>
      </c>
      <c r="O334" s="14">
        <v>0</v>
      </c>
      <c r="P334" s="14">
        <v>0</v>
      </c>
      <c r="Q334" s="15">
        <v>0</v>
      </c>
      <c r="R334" s="15">
        <v>0</v>
      </c>
      <c r="S334" s="15">
        <f>$G$334*$G$8+$H$334*$H$8+$I$334*$I$8+$J$334*$J$8+$K$334*$K$8+$L$334*$L$8+$M$334*$M$8+$N$334*$N$8+$O$334*$O$8+$P$334*$P$8</f>
        <v>0</v>
      </c>
      <c r="T334" s="15">
        <f>SUM($Q$334:$R$334)</f>
        <v>0</v>
      </c>
      <c r="U334" s="15">
        <f>$S$334+$T$334</f>
        <v>0</v>
      </c>
    </row>
    <row r="335" spans="1:21" x14ac:dyDescent="0.3">
      <c r="A335" s="10" t="s">
        <v>1221</v>
      </c>
      <c r="B335" s="11" t="s">
        <v>1222</v>
      </c>
      <c r="C335" s="11"/>
      <c r="D335" s="11" t="s">
        <v>1223</v>
      </c>
      <c r="E335" s="11">
        <f xml:space="preserve"> IF($U$335,1,0)</f>
        <v>0</v>
      </c>
      <c r="F335" s="11" t="s">
        <v>1224</v>
      </c>
      <c r="G335" s="11">
        <v>0</v>
      </c>
      <c r="H335" s="11">
        <v>0</v>
      </c>
      <c r="I335" s="11">
        <v>0</v>
      </c>
      <c r="J335" s="11">
        <v>0</v>
      </c>
      <c r="K335" s="11">
        <v>0</v>
      </c>
      <c r="L335" s="11">
        <v>0</v>
      </c>
      <c r="M335" s="11">
        <v>0</v>
      </c>
      <c r="N335" s="11">
        <v>0</v>
      </c>
      <c r="O335" s="11">
        <v>0</v>
      </c>
      <c r="P335" s="11">
        <v>0</v>
      </c>
      <c r="Q335" s="12">
        <v>0</v>
      </c>
      <c r="R335" s="12">
        <v>0</v>
      </c>
      <c r="S335" s="12">
        <f>$G$335*$G$8+$H$335*$H$8+$I$335*$I$8+$J$335*$J$8+$K$335*$K$8+$L$335*$L$8+$M$335*$M$8+$N$335*$N$8+$O$335*$O$8+$P$335*$P$8</f>
        <v>0</v>
      </c>
      <c r="T335" s="12">
        <f>SUM($Q$335:$R$335)</f>
        <v>0</v>
      </c>
      <c r="U335" s="12">
        <f>$S$335+$T$335</f>
        <v>0</v>
      </c>
    </row>
    <row r="336" spans="1:21" x14ac:dyDescent="0.3">
      <c r="A336" s="13" t="s">
        <v>1225</v>
      </c>
      <c r="B336" s="14" t="s">
        <v>1226</v>
      </c>
      <c r="C336" s="14" t="s">
        <v>34</v>
      </c>
      <c r="D336" s="14" t="s">
        <v>1227</v>
      </c>
      <c r="E336" s="14">
        <f xml:space="preserve"> IF($U$336,1,0)</f>
        <v>0</v>
      </c>
      <c r="F336" s="14" t="s">
        <v>1228</v>
      </c>
      <c r="G336" s="14">
        <v>0</v>
      </c>
      <c r="H336" s="14">
        <v>0</v>
      </c>
      <c r="I336" s="14">
        <v>0</v>
      </c>
      <c r="J336" s="14">
        <v>0</v>
      </c>
      <c r="K336" s="14">
        <v>0</v>
      </c>
      <c r="L336" s="14">
        <v>0</v>
      </c>
      <c r="M336" s="14">
        <v>0</v>
      </c>
      <c r="N336" s="14">
        <v>0</v>
      </c>
      <c r="O336" s="14">
        <v>0</v>
      </c>
      <c r="P336" s="14">
        <v>0</v>
      </c>
      <c r="Q336" s="15">
        <v>0</v>
      </c>
      <c r="R336" s="15">
        <v>0</v>
      </c>
      <c r="S336" s="15">
        <f>$G$336*$G$8+$H$336*$H$8+$I$336*$I$8+$J$336*$J$8+$K$336*$K$8+$L$336*$L$8+$M$336*$M$8+$N$336*$N$8+$O$336*$O$8+$P$336*$P$8</f>
        <v>0</v>
      </c>
      <c r="T336" s="15">
        <f>SUM($Q$336:$R$336)</f>
        <v>0</v>
      </c>
      <c r="U336" s="15">
        <f>$S$336+$T$336</f>
        <v>0</v>
      </c>
    </row>
    <row r="337" spans="1:21" x14ac:dyDescent="0.3">
      <c r="A337" s="10" t="s">
        <v>1229</v>
      </c>
      <c r="B337" s="11" t="s">
        <v>1230</v>
      </c>
      <c r="C337" s="11"/>
      <c r="D337" s="11" t="s">
        <v>1231</v>
      </c>
      <c r="E337" s="11">
        <f xml:space="preserve"> IF($U$337,1,0)</f>
        <v>0</v>
      </c>
      <c r="F337" s="11" t="s">
        <v>1232</v>
      </c>
      <c r="G337" s="11">
        <v>0</v>
      </c>
      <c r="H337" s="11">
        <v>0</v>
      </c>
      <c r="I337" s="11">
        <v>0</v>
      </c>
      <c r="J337" s="11">
        <v>0</v>
      </c>
      <c r="K337" s="11">
        <v>0</v>
      </c>
      <c r="L337" s="11">
        <v>0</v>
      </c>
      <c r="M337" s="11">
        <v>0</v>
      </c>
      <c r="N337" s="11">
        <v>0</v>
      </c>
      <c r="O337" s="11">
        <v>0</v>
      </c>
      <c r="P337" s="11">
        <v>0</v>
      </c>
      <c r="Q337" s="12">
        <v>0</v>
      </c>
      <c r="R337" s="12">
        <v>0</v>
      </c>
      <c r="S337" s="12">
        <f>$G$337*$G$8+$H$337*$H$8+$I$337*$I$8+$J$337*$J$8+$K$337*$K$8+$L$337*$L$8+$M$337*$M$8+$N$337*$N$8+$O$337*$O$8+$P$337*$P$8</f>
        <v>0</v>
      </c>
      <c r="T337" s="12">
        <f>SUM($Q$337:$R$337)</f>
        <v>0</v>
      </c>
      <c r="U337" s="12">
        <f>$S$337+$T$337</f>
        <v>0</v>
      </c>
    </row>
    <row r="338" spans="1:21" x14ac:dyDescent="0.3">
      <c r="A338" s="13" t="s">
        <v>1233</v>
      </c>
      <c r="B338" s="14" t="s">
        <v>1230</v>
      </c>
      <c r="C338" s="14"/>
      <c r="D338" s="14" t="s">
        <v>1234</v>
      </c>
      <c r="E338" s="14">
        <f xml:space="preserve"> IF($U$338,1,0)</f>
        <v>0</v>
      </c>
      <c r="F338" s="14" t="s">
        <v>1235</v>
      </c>
      <c r="G338" s="14">
        <v>0</v>
      </c>
      <c r="H338" s="14">
        <v>0</v>
      </c>
      <c r="I338" s="14">
        <v>0</v>
      </c>
      <c r="J338" s="14">
        <v>0</v>
      </c>
      <c r="K338" s="14">
        <v>0</v>
      </c>
      <c r="L338" s="14">
        <v>0</v>
      </c>
      <c r="M338" s="14">
        <v>0</v>
      </c>
      <c r="N338" s="14">
        <v>0</v>
      </c>
      <c r="O338" s="14">
        <v>0</v>
      </c>
      <c r="P338" s="14">
        <v>0</v>
      </c>
      <c r="Q338" s="15">
        <v>0</v>
      </c>
      <c r="R338" s="15">
        <v>0</v>
      </c>
      <c r="S338" s="15">
        <f>$G$338*$G$8+$H$338*$H$8+$I$338*$I$8+$J$338*$J$8+$K$338*$K$8+$L$338*$L$8+$M$338*$M$8+$N$338*$N$8+$O$338*$O$8+$P$338*$P$8</f>
        <v>0</v>
      </c>
      <c r="T338" s="15">
        <f>SUM($Q$338:$R$338)</f>
        <v>0</v>
      </c>
      <c r="U338" s="15">
        <f>$S$338+$T$338</f>
        <v>0</v>
      </c>
    </row>
    <row r="339" spans="1:21" x14ac:dyDescent="0.3">
      <c r="A339" s="10" t="s">
        <v>1236</v>
      </c>
      <c r="B339" s="11" t="s">
        <v>1237</v>
      </c>
      <c r="C339" s="11"/>
      <c r="D339" s="11" t="s">
        <v>1237</v>
      </c>
      <c r="E339" s="11">
        <f xml:space="preserve"> IF($U$339,1,0)</f>
        <v>0</v>
      </c>
      <c r="F339" s="11" t="s">
        <v>1238</v>
      </c>
      <c r="G339" s="11">
        <v>0</v>
      </c>
      <c r="H339" s="11">
        <v>0</v>
      </c>
      <c r="I339" s="11">
        <v>0</v>
      </c>
      <c r="J339" s="11">
        <v>0</v>
      </c>
      <c r="K339" s="11">
        <v>0</v>
      </c>
      <c r="L339" s="11">
        <v>0</v>
      </c>
      <c r="M339" s="11">
        <v>0</v>
      </c>
      <c r="N339" s="11">
        <v>0</v>
      </c>
      <c r="O339" s="11">
        <v>0</v>
      </c>
      <c r="P339" s="11">
        <v>0</v>
      </c>
      <c r="Q339" s="12">
        <v>0</v>
      </c>
      <c r="R339" s="12">
        <v>0</v>
      </c>
      <c r="S339" s="12">
        <f>$G$339*$G$8+$H$339*$H$8+$I$339*$I$8+$J$339*$J$8+$K$339*$K$8+$L$339*$L$8+$M$339*$M$8+$N$339*$N$8+$O$339*$O$8+$P$339*$P$8</f>
        <v>0</v>
      </c>
      <c r="T339" s="12">
        <f>SUM($Q$339:$R$339)</f>
        <v>0</v>
      </c>
      <c r="U339" s="12">
        <f>$S$339+$T$339</f>
        <v>0</v>
      </c>
    </row>
    <row r="341" spans="1:21" ht="15" thickBot="1" x14ac:dyDescent="0.35">
      <c r="E341" s="5" t="s">
        <v>18</v>
      </c>
      <c r="F341" s="6" t="s">
        <v>19</v>
      </c>
      <c r="G341" s="6" t="s">
        <v>4</v>
      </c>
      <c r="H341" s="6" t="s">
        <v>1245</v>
      </c>
      <c r="I341" s="6" t="s">
        <v>7</v>
      </c>
      <c r="J341" s="6" t="s">
        <v>6</v>
      </c>
      <c r="K341" s="6" t="s">
        <v>8</v>
      </c>
      <c r="L341" s="6" t="s">
        <v>9</v>
      </c>
      <c r="M341" s="6" t="s">
        <v>10</v>
      </c>
      <c r="N341" s="6" t="s">
        <v>11</v>
      </c>
      <c r="O341" s="6" t="s">
        <v>12</v>
      </c>
      <c r="P341" s="6" t="s">
        <v>1277</v>
      </c>
      <c r="Q341" s="6" t="s">
        <v>1259</v>
      </c>
      <c r="R341" s="6" t="s">
        <v>1260</v>
      </c>
      <c r="S341" s="6" t="s">
        <v>23</v>
      </c>
      <c r="T341" s="6" t="s">
        <v>26</v>
      </c>
      <c r="U341" s="6" t="s">
        <v>25</v>
      </c>
    </row>
    <row r="342" spans="1:21" ht="15" thickTop="1" x14ac:dyDescent="0.3">
      <c r="E342" s="7">
        <f xml:space="preserve"> IF($U$342,1,0)</f>
        <v>0</v>
      </c>
      <c r="F342" s="8" t="s">
        <v>1247</v>
      </c>
      <c r="G342" s="8">
        <v>0</v>
      </c>
      <c r="H342" s="8">
        <v>0</v>
      </c>
      <c r="I342" s="8">
        <v>0</v>
      </c>
      <c r="J342" s="8">
        <v>0</v>
      </c>
      <c r="K342" s="8">
        <v>0</v>
      </c>
      <c r="L342" s="8">
        <v>0</v>
      </c>
      <c r="M342" s="8">
        <v>0</v>
      </c>
      <c r="N342" s="8">
        <v>0</v>
      </c>
      <c r="O342" s="8">
        <v>0</v>
      </c>
      <c r="P342" s="8">
        <v>0</v>
      </c>
      <c r="Q342" s="8"/>
      <c r="R342" s="8"/>
      <c r="S342" s="9">
        <f>$G$342*$G$8+$H$342*$H$8+$I$342*$I$8+$J$342*$J$8+$K$342*$K$8+$L$342*$L$8+$M$342*$M$8+$N$342*$N$8+$O$342*$O$8+$P$342*$P$8</f>
        <v>0</v>
      </c>
      <c r="T342" s="9">
        <f>$U$342/2</f>
        <v>0</v>
      </c>
      <c r="U342" s="9">
        <f>$G$342*$G$8+$H$342*$H$8+$I$342*$I$8+$J$342*$J$8+$K$342*$K$8+$L$342*$L$8+$M$342*$M$8+$N$342*$N$8+$O$342*$O$8+$P$342*$P$8</f>
        <v>0</v>
      </c>
    </row>
    <row r="343" spans="1:21" x14ac:dyDescent="0.3">
      <c r="E343" s="10">
        <f xml:space="preserve"> IF($U$343,1,0)</f>
        <v>1</v>
      </c>
      <c r="F343" s="11" t="s">
        <v>1278</v>
      </c>
      <c r="G343" s="11">
        <v>0</v>
      </c>
      <c r="H343" s="11">
        <v>0</v>
      </c>
      <c r="I343" s="11">
        <v>0</v>
      </c>
      <c r="J343" s="11">
        <v>0</v>
      </c>
      <c r="K343" s="11">
        <v>2</v>
      </c>
      <c r="L343" s="11">
        <v>2</v>
      </c>
      <c r="M343" s="11">
        <v>0</v>
      </c>
      <c r="N343" s="11">
        <v>0</v>
      </c>
      <c r="O343" s="11">
        <v>0</v>
      </c>
      <c r="P343" s="11">
        <v>0</v>
      </c>
      <c r="Q343" s="11"/>
      <c r="R343" s="11"/>
      <c r="S343" s="12">
        <f>$G$343*$G$8+$H$343*$H$8+$I$343*$I$8+$J$343*$J$8+$K$343*$K$8+$L$343*$L$8+$M$343*$M$8+$N$343*$N$8+$O$343*$O$8+$P$343*$P$8</f>
        <v>10</v>
      </c>
      <c r="T343" s="12">
        <f>$U$343/4</f>
        <v>2.5</v>
      </c>
      <c r="U343" s="12">
        <f>$G$343*$G$8+$H$343*$H$8+$I$343*$I$8+$J$343*$J$8+$K$343*$K$8+$L$343*$L$8+$M$343*$M$8+$N$343*$N$8+$O$343*$O$8+$P$343*$P$8</f>
        <v>10</v>
      </c>
    </row>
    <row r="344" spans="1:21" x14ac:dyDescent="0.3">
      <c r="E344" s="13">
        <f xml:space="preserve"> IF($U$344,1,0)</f>
        <v>1</v>
      </c>
      <c r="F344" s="14" t="s">
        <v>1279</v>
      </c>
      <c r="G344" s="14">
        <v>10</v>
      </c>
      <c r="H344" s="14">
        <v>0</v>
      </c>
      <c r="I344" s="14">
        <v>0</v>
      </c>
      <c r="J344" s="14">
        <v>0</v>
      </c>
      <c r="K344" s="14">
        <v>1</v>
      </c>
      <c r="L344" s="14">
        <v>1</v>
      </c>
      <c r="M344" s="14">
        <v>1</v>
      </c>
      <c r="N344" s="14">
        <v>1</v>
      </c>
      <c r="O344" s="14">
        <v>0</v>
      </c>
      <c r="P344" s="14">
        <v>0</v>
      </c>
      <c r="Q344" s="14"/>
      <c r="R344" s="14"/>
      <c r="S344" s="15">
        <f>$G$344*$G$8+$H$344*$H$8+$I$344*$I$8+$J$344*$J$8+$K$344*$K$8+$L$344*$L$8+$M$344*$M$8+$N$344*$N$8+$O$344*$O$8+$P$344*$P$8</f>
        <v>25</v>
      </c>
      <c r="T344" s="15">
        <f>$U$344/14</f>
        <v>1.7857142857142858</v>
      </c>
      <c r="U344" s="15">
        <f>$G$344*$G$8+$H$344*$H$8+$I$344*$I$8+$J$344*$J$8+$K$344*$K$8+$L$344*$L$8+$M$344*$M$8+$N$344*$N$8+$O$344*$O$8+$P$344*$P$8</f>
        <v>25</v>
      </c>
    </row>
    <row r="345" spans="1:21" x14ac:dyDescent="0.3">
      <c r="E345" s="10">
        <f xml:space="preserve"> IF($U$345,1,0)</f>
        <v>0</v>
      </c>
      <c r="F345" s="11" t="s">
        <v>27</v>
      </c>
      <c r="G345" s="11">
        <v>0</v>
      </c>
      <c r="H345" s="11">
        <v>0</v>
      </c>
      <c r="I345" s="11">
        <v>0</v>
      </c>
      <c r="J345" s="11">
        <v>0</v>
      </c>
      <c r="K345" s="11">
        <v>0</v>
      </c>
      <c r="L345" s="11">
        <v>0</v>
      </c>
      <c r="M345" s="11">
        <v>0</v>
      </c>
      <c r="N345" s="11">
        <v>0</v>
      </c>
      <c r="O345" s="11">
        <v>0</v>
      </c>
      <c r="P345" s="11">
        <v>0</v>
      </c>
      <c r="Q345" s="11"/>
      <c r="R345" s="11"/>
      <c r="S345" s="12">
        <f>$G$345*$G$8+$H$345*$H$8+$I$345*$I$8+$J$345*$J$8+$K$345*$K$8+$L$345*$L$8+$M$345*$M$8+$N$345*$N$8+$O$345*$O$8+$P$345*$P$8</f>
        <v>0</v>
      </c>
      <c r="T345" s="12">
        <f>$U$345/2</f>
        <v>0</v>
      </c>
      <c r="U345" s="12">
        <f>$G$345*$G$8+$H$345*$H$8+$I$345*$I$8+$J$345*$J$8+$K$345*$K$8+$L$345*$L$8+$M$345*$M$8+$N$345*$N$8+$O$345*$O$8+$P$345*$P$8</f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A7F0C-597F-4959-821F-76463D49CCB4}">
  <sheetPr codeName="Blad11"/>
  <dimension ref="A2:U345"/>
  <sheetViews>
    <sheetView topLeftCell="G35" workbookViewId="0">
      <selection activeCell="R57" sqref="R57"/>
    </sheetView>
  </sheetViews>
  <sheetFormatPr defaultRowHeight="14.4" x14ac:dyDescent="0.3"/>
  <cols>
    <col min="2" max="2" width="14.77734375" customWidth="1"/>
    <col min="3" max="3" width="18.77734375" customWidth="1"/>
    <col min="4" max="4" width="20.77734375" customWidth="1"/>
    <col min="5" max="5" width="14.77734375" customWidth="1"/>
    <col min="6" max="6" width="25.77734375" customWidth="1"/>
    <col min="8" max="8" width="11.109375" customWidth="1"/>
    <col min="11" max="14" width="11.44140625" customWidth="1"/>
    <col min="16" max="16" width="11.88671875" customWidth="1"/>
    <col min="17" max="17" width="9.6640625" customWidth="1"/>
    <col min="18" max="18" width="15.88671875" customWidth="1"/>
    <col min="19" max="19" width="22.109375" customWidth="1"/>
    <col min="20" max="20" width="18.6640625" customWidth="1"/>
  </cols>
  <sheetData>
    <row r="2" spans="1:21" x14ac:dyDescent="0.3">
      <c r="A2" t="s">
        <v>1239</v>
      </c>
      <c r="F2" t="s">
        <v>20</v>
      </c>
      <c r="G2">
        <f>SUM($G$10:$G$339)+ SUM($G$342:$G$345)</f>
        <v>12</v>
      </c>
      <c r="H2">
        <f>SUM($H$10:$H$339)+ SUM($H$342:$H$345)</f>
        <v>3</v>
      </c>
      <c r="I2">
        <f>SUM($I$10:$I$339)+ SUM($I$342:$I$345)</f>
        <v>2</v>
      </c>
      <c r="J2">
        <f>SUM($J$10:$J$339)+ SUM($J$342:$J$345)</f>
        <v>5</v>
      </c>
      <c r="K2">
        <f>SUM($K$10:$K$339)+ SUM($K$342:$K$345)</f>
        <v>5</v>
      </c>
      <c r="L2">
        <f>SUM($L$10:$L$339)+ SUM($L$342:$L$345)</f>
        <v>4</v>
      </c>
      <c r="M2">
        <f>SUM($M$10:$M$339)+ SUM($M$342:$M$345)</f>
        <v>2</v>
      </c>
      <c r="N2">
        <f>SUM($N$10:$N$339)+ SUM($N$342:$N$345)</f>
        <v>6</v>
      </c>
      <c r="O2">
        <f>SUM($O$10:$O$339)+ SUM($O$342:$O$345)</f>
        <v>2</v>
      </c>
      <c r="P2">
        <f>SUM($P$10:$P$339)+ SUM($P$342:$P$345)</f>
        <v>2</v>
      </c>
    </row>
    <row r="3" spans="1:21" x14ac:dyDescent="0.3">
      <c r="A3">
        <f>SUM($E$10:$E$339)</f>
        <v>18</v>
      </c>
      <c r="F3" t="s">
        <v>21</v>
      </c>
      <c r="G3" s="3">
        <f>$G$8*G2</f>
        <v>13.200000000000001</v>
      </c>
      <c r="H3" s="3">
        <f>$H$8*H2</f>
        <v>5.4</v>
      </c>
      <c r="I3" s="3">
        <f>$I$8*I2</f>
        <v>9.5</v>
      </c>
      <c r="J3" s="3">
        <f>$J$8*J2</f>
        <v>5</v>
      </c>
      <c r="K3" s="3">
        <f>$K$8*K2</f>
        <v>10</v>
      </c>
      <c r="L3" s="3">
        <f>$L$8*L2</f>
        <v>12</v>
      </c>
      <c r="M3" s="3">
        <f>$M$8*M2</f>
        <v>8</v>
      </c>
      <c r="N3" s="3">
        <f>$N$8*N2</f>
        <v>30</v>
      </c>
      <c r="O3" s="3">
        <f>$O$8*O2</f>
        <v>1</v>
      </c>
      <c r="P3" s="3">
        <f>$P$8*P2</f>
        <v>0.8</v>
      </c>
    </row>
    <row r="8" spans="1:21" x14ac:dyDescent="0.3">
      <c r="F8" t="s">
        <v>22</v>
      </c>
      <c r="G8" s="4">
        <v>1.1000000000000001</v>
      </c>
      <c r="H8" s="4">
        <v>1.8</v>
      </c>
      <c r="I8" s="4">
        <v>4.75</v>
      </c>
      <c r="J8" s="4">
        <v>1</v>
      </c>
      <c r="K8" s="4">
        <v>2</v>
      </c>
      <c r="L8" s="4">
        <v>3</v>
      </c>
      <c r="M8" s="4">
        <v>4</v>
      </c>
      <c r="N8" s="4">
        <v>5</v>
      </c>
      <c r="O8" s="4">
        <v>0.5</v>
      </c>
      <c r="P8" s="4">
        <v>0.4</v>
      </c>
      <c r="S8" s="3">
        <f>SUM($S$10:$S$339)</f>
        <v>84.899999999999977</v>
      </c>
      <c r="T8" s="3">
        <f>SUM($T$10:$T$339)</f>
        <v>0</v>
      </c>
      <c r="U8" s="3">
        <f>SUM($U$10:$U$339)</f>
        <v>84.899999999999977</v>
      </c>
    </row>
    <row r="9" spans="1:21" ht="15" thickBot="1" x14ac:dyDescent="0.35">
      <c r="A9" s="5" t="s">
        <v>14</v>
      </c>
      <c r="B9" s="6" t="s">
        <v>15</v>
      </c>
      <c r="C9" s="6" t="s">
        <v>16</v>
      </c>
      <c r="D9" s="6" t="s">
        <v>17</v>
      </c>
      <c r="E9" s="6" t="s">
        <v>18</v>
      </c>
      <c r="F9" s="6" t="s">
        <v>19</v>
      </c>
      <c r="G9" s="6" t="s">
        <v>4</v>
      </c>
      <c r="H9" s="6" t="s">
        <v>1245</v>
      </c>
      <c r="I9" s="6" t="s">
        <v>7</v>
      </c>
      <c r="J9" s="6" t="s">
        <v>6</v>
      </c>
      <c r="K9" s="6" t="s">
        <v>8</v>
      </c>
      <c r="L9" s="6" t="s">
        <v>9</v>
      </c>
      <c r="M9" s="6" t="s">
        <v>10</v>
      </c>
      <c r="N9" s="6" t="s">
        <v>11</v>
      </c>
      <c r="O9" s="6" t="s">
        <v>12</v>
      </c>
      <c r="P9" s="6" t="s">
        <v>1277</v>
      </c>
      <c r="Q9" s="6" t="s">
        <v>1278</v>
      </c>
      <c r="R9" s="6" t="s">
        <v>1279</v>
      </c>
      <c r="S9" s="6" t="s">
        <v>23</v>
      </c>
      <c r="T9" s="6" t="s">
        <v>24</v>
      </c>
      <c r="U9" s="6" t="s">
        <v>25</v>
      </c>
    </row>
    <row r="10" spans="1:21" ht="15" thickTop="1" x14ac:dyDescent="0.3">
      <c r="A10" s="7" t="s">
        <v>28</v>
      </c>
      <c r="B10" s="8" t="s">
        <v>29</v>
      </c>
      <c r="C10" s="8"/>
      <c r="D10" s="8" t="s">
        <v>30</v>
      </c>
      <c r="E10" s="8">
        <f xml:space="preserve"> IF($U$10,1,0)</f>
        <v>0</v>
      </c>
      <c r="F10" s="8" t="s">
        <v>31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9">
        <v>0</v>
      </c>
      <c r="R10" s="9">
        <v>0</v>
      </c>
      <c r="S10" s="9">
        <f>$G$10*$G$8+$H$10*$H$8+$I$10*$I$8+$J$10*$J$8+$K$10*$K$8+$L$10*$L$8+$M$10*$M$8+$N$10*$N$8+$O$10*$O$8+$P$10*$P$8</f>
        <v>0</v>
      </c>
      <c r="T10" s="9">
        <f>SUM($Q$10:$R$10)</f>
        <v>0</v>
      </c>
      <c r="U10" s="9">
        <f>$S$10+$T$10</f>
        <v>0</v>
      </c>
    </row>
    <row r="11" spans="1:21" x14ac:dyDescent="0.3">
      <c r="A11" s="10" t="s">
        <v>32</v>
      </c>
      <c r="B11" s="11" t="s">
        <v>33</v>
      </c>
      <c r="C11" s="11" t="s">
        <v>34</v>
      </c>
      <c r="D11" s="11" t="s">
        <v>35</v>
      </c>
      <c r="E11" s="11">
        <f xml:space="preserve"> IF($U$11,1,0)</f>
        <v>0</v>
      </c>
      <c r="F11" s="11" t="s">
        <v>36</v>
      </c>
      <c r="G11" s="11">
        <v>0</v>
      </c>
      <c r="H11" s="11">
        <v>0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2">
        <v>0</v>
      </c>
      <c r="R11" s="12">
        <v>0</v>
      </c>
      <c r="S11" s="12">
        <f>$G$11*$G$8+$H$11*$H$8+$I$11*$I$8+$J$11*$J$8+$K$11*$K$8+$L$11*$L$8+$M$11*$M$8+$N$11*$N$8+$O$11*$O$8+$P$11*$P$8</f>
        <v>0</v>
      </c>
      <c r="T11" s="12">
        <f>SUM($Q$11:$R$11)</f>
        <v>0</v>
      </c>
      <c r="U11" s="12">
        <f>$S$11+$T$11</f>
        <v>0</v>
      </c>
    </row>
    <row r="12" spans="1:21" x14ac:dyDescent="0.3">
      <c r="A12" s="13" t="s">
        <v>37</v>
      </c>
      <c r="B12" s="14" t="s">
        <v>38</v>
      </c>
      <c r="C12" s="14"/>
      <c r="D12" s="14" t="s">
        <v>39</v>
      </c>
      <c r="E12" s="14">
        <f xml:space="preserve"> IF($U$12,1,0)</f>
        <v>0</v>
      </c>
      <c r="F12" s="14" t="s">
        <v>40</v>
      </c>
      <c r="G12" s="14">
        <v>0</v>
      </c>
      <c r="H12" s="14">
        <v>0</v>
      </c>
      <c r="I12" s="14">
        <v>0</v>
      </c>
      <c r="J12" s="14">
        <v>0</v>
      </c>
      <c r="K12" s="14">
        <v>0</v>
      </c>
      <c r="L12" s="14">
        <v>0</v>
      </c>
      <c r="M12" s="14">
        <v>0</v>
      </c>
      <c r="N12" s="14">
        <v>0</v>
      </c>
      <c r="O12" s="14">
        <v>0</v>
      </c>
      <c r="P12" s="14">
        <v>0</v>
      </c>
      <c r="Q12" s="15">
        <v>0</v>
      </c>
      <c r="R12" s="15">
        <v>0</v>
      </c>
      <c r="S12" s="15">
        <f>$G$12*$G$8+$H$12*$H$8+$I$12*$I$8+$J$12*$J$8+$K$12*$K$8+$L$12*$L$8+$M$12*$M$8+$N$12*$N$8+$O$12*$O$8+$P$12*$P$8</f>
        <v>0</v>
      </c>
      <c r="T12" s="15">
        <f>SUM($Q$12:$R$12)</f>
        <v>0</v>
      </c>
      <c r="U12" s="15">
        <f>$S$12+$T$12</f>
        <v>0</v>
      </c>
    </row>
    <row r="13" spans="1:21" x14ac:dyDescent="0.3">
      <c r="A13" s="10" t="s">
        <v>41</v>
      </c>
      <c r="B13" s="11" t="s">
        <v>38</v>
      </c>
      <c r="C13" s="11"/>
      <c r="D13" s="11" t="s">
        <v>42</v>
      </c>
      <c r="E13" s="11">
        <f xml:space="preserve"> IF($U$13,1,0)</f>
        <v>0</v>
      </c>
      <c r="F13" s="11" t="s">
        <v>43</v>
      </c>
      <c r="G13" s="11">
        <v>0</v>
      </c>
      <c r="H13" s="11">
        <v>0</v>
      </c>
      <c r="I13" s="11">
        <v>0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2">
        <v>0</v>
      </c>
      <c r="R13" s="12">
        <v>0</v>
      </c>
      <c r="S13" s="12">
        <f>$G$13*$G$8+$H$13*$H$8+$I$13*$I$8+$J$13*$J$8+$K$13*$K$8+$L$13*$L$8+$M$13*$M$8+$N$13*$N$8+$O$13*$O$8+$P$13*$P$8</f>
        <v>0</v>
      </c>
      <c r="T13" s="12">
        <f>SUM($Q$13:$R$13)</f>
        <v>0</v>
      </c>
      <c r="U13" s="12">
        <f>$S$13+$T$13</f>
        <v>0</v>
      </c>
    </row>
    <row r="14" spans="1:21" x14ac:dyDescent="0.3">
      <c r="A14" s="13" t="s">
        <v>44</v>
      </c>
      <c r="B14" s="14" t="s">
        <v>45</v>
      </c>
      <c r="C14" s="14"/>
      <c r="D14" s="14" t="s">
        <v>46</v>
      </c>
      <c r="E14" s="14">
        <f xml:space="preserve"> IF($U$14,1,0)</f>
        <v>1</v>
      </c>
      <c r="F14" s="14" t="s">
        <v>47</v>
      </c>
      <c r="G14" s="14">
        <v>1</v>
      </c>
      <c r="H14" s="14">
        <v>0</v>
      </c>
      <c r="I14" s="14">
        <v>1</v>
      </c>
      <c r="J14" s="14">
        <v>2</v>
      </c>
      <c r="K14" s="14">
        <v>1</v>
      </c>
      <c r="L14" s="14">
        <v>0</v>
      </c>
      <c r="M14" s="14">
        <v>1</v>
      </c>
      <c r="N14" s="14">
        <v>1</v>
      </c>
      <c r="O14" s="14">
        <v>1</v>
      </c>
      <c r="P14" s="14">
        <v>0</v>
      </c>
      <c r="Q14" s="15">
        <v>0</v>
      </c>
      <c r="R14" s="15">
        <v>0</v>
      </c>
      <c r="S14" s="15">
        <f>$G$14*$G$8+$H$14*$H$8+$I$14*$I$8+$J$14*$J$8+$K$14*$K$8+$L$14*$L$8+$M$14*$M$8+$N$14*$N$8+$O$14*$O$8+$P$14*$P$8</f>
        <v>19.350000000000001</v>
      </c>
      <c r="T14" s="15">
        <f>SUM($Q$14:$R$14)</f>
        <v>0</v>
      </c>
      <c r="U14" s="15">
        <f>$S$14+$T$14</f>
        <v>19.350000000000001</v>
      </c>
    </row>
    <row r="15" spans="1:21" x14ac:dyDescent="0.3">
      <c r="A15" s="10" t="s">
        <v>48</v>
      </c>
      <c r="B15" s="11" t="s">
        <v>45</v>
      </c>
      <c r="C15" s="11"/>
      <c r="D15" s="11" t="s">
        <v>49</v>
      </c>
      <c r="E15" s="11">
        <f xml:space="preserve"> IF($U$15,1,0)</f>
        <v>1</v>
      </c>
      <c r="F15" s="11" t="s">
        <v>50</v>
      </c>
      <c r="G15" s="11">
        <v>0</v>
      </c>
      <c r="H15" s="11">
        <v>0</v>
      </c>
      <c r="I15" s="11">
        <v>0</v>
      </c>
      <c r="J15" s="11">
        <v>0</v>
      </c>
      <c r="K15" s="11">
        <v>0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2">
        <v>0</v>
      </c>
      <c r="R15" s="12">
        <v>0</v>
      </c>
      <c r="S15" s="12">
        <f>$T$344</f>
        <v>1.7857142857142858</v>
      </c>
      <c r="T15" s="12">
        <f>SUM($Q$15:$R$15)</f>
        <v>0</v>
      </c>
      <c r="U15" s="12">
        <f>$S$15+$T$15</f>
        <v>1.7857142857142858</v>
      </c>
    </row>
    <row r="16" spans="1:21" x14ac:dyDescent="0.3">
      <c r="A16" s="13" t="s">
        <v>51</v>
      </c>
      <c r="B16" s="14" t="s">
        <v>52</v>
      </c>
      <c r="C16" s="14"/>
      <c r="D16" s="14" t="s">
        <v>53</v>
      </c>
      <c r="E16" s="14">
        <f xml:space="preserve"> IF($U$16,1,0)</f>
        <v>0</v>
      </c>
      <c r="F16" s="14" t="s">
        <v>54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4">
        <v>0</v>
      </c>
      <c r="O16" s="14">
        <v>0</v>
      </c>
      <c r="P16" s="14">
        <v>0</v>
      </c>
      <c r="Q16" s="15">
        <v>0</v>
      </c>
      <c r="R16" s="15">
        <v>0</v>
      </c>
      <c r="S16" s="15">
        <f>$G$16*$G$8+$H$16*$H$8+$I$16*$I$8+$J$16*$J$8+$K$16*$K$8+$L$16*$L$8+$M$16*$M$8+$N$16*$N$8+$O$16*$O$8+$P$16*$P$8</f>
        <v>0</v>
      </c>
      <c r="T16" s="15">
        <f>SUM($Q$16:$R$16)</f>
        <v>0</v>
      </c>
      <c r="U16" s="15">
        <f>$S$16+$T$16</f>
        <v>0</v>
      </c>
    </row>
    <row r="17" spans="1:21" x14ac:dyDescent="0.3">
      <c r="A17" s="10" t="s">
        <v>55</v>
      </c>
      <c r="B17" s="11" t="s">
        <v>56</v>
      </c>
      <c r="C17" s="11"/>
      <c r="D17" s="11" t="s">
        <v>57</v>
      </c>
      <c r="E17" s="11">
        <f xml:space="preserve"> IF($U$17,1,0)</f>
        <v>1</v>
      </c>
      <c r="F17" s="11" t="s">
        <v>58</v>
      </c>
      <c r="G17" s="11">
        <v>0</v>
      </c>
      <c r="H17" s="11">
        <v>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2">
        <v>0</v>
      </c>
      <c r="R17" s="12">
        <v>0</v>
      </c>
      <c r="S17" s="12">
        <f>$T$344</f>
        <v>1.7857142857142858</v>
      </c>
      <c r="T17" s="12">
        <f>SUM($Q$17:$R$17)</f>
        <v>0</v>
      </c>
      <c r="U17" s="12">
        <f>$S$17+$T$17</f>
        <v>1.7857142857142858</v>
      </c>
    </row>
    <row r="18" spans="1:21" x14ac:dyDescent="0.3">
      <c r="A18" s="13" t="s">
        <v>59</v>
      </c>
      <c r="B18" s="14" t="s">
        <v>60</v>
      </c>
      <c r="C18" s="14"/>
      <c r="D18" s="14" t="s">
        <v>61</v>
      </c>
      <c r="E18" s="14">
        <f xml:space="preserve"> IF($U$18,1,0)</f>
        <v>1</v>
      </c>
      <c r="F18" s="14" t="s">
        <v>62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5">
        <v>0</v>
      </c>
      <c r="R18" s="15">
        <v>0</v>
      </c>
      <c r="S18" s="15">
        <f>$T$344</f>
        <v>1.7857142857142858</v>
      </c>
      <c r="T18" s="15">
        <f>SUM($Q$18:$R$18)</f>
        <v>0</v>
      </c>
      <c r="U18" s="15">
        <f>$S$18+$T$18</f>
        <v>1.7857142857142858</v>
      </c>
    </row>
    <row r="19" spans="1:21" x14ac:dyDescent="0.3">
      <c r="A19" s="10" t="s">
        <v>63</v>
      </c>
      <c r="B19" s="11" t="s">
        <v>64</v>
      </c>
      <c r="C19" s="11" t="s">
        <v>65</v>
      </c>
      <c r="D19" s="11" t="s">
        <v>66</v>
      </c>
      <c r="E19" s="11">
        <f xml:space="preserve"> IF($U$19,1,0)</f>
        <v>1</v>
      </c>
      <c r="F19" s="11" t="s">
        <v>67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2">
        <v>0</v>
      </c>
      <c r="R19" s="12">
        <v>0</v>
      </c>
      <c r="S19" s="12">
        <f>$T$344</f>
        <v>1.7857142857142858</v>
      </c>
      <c r="T19" s="12">
        <f>SUM($Q$19:$R$19)</f>
        <v>0</v>
      </c>
      <c r="U19" s="12">
        <f>$S$19+$T$19</f>
        <v>1.7857142857142858</v>
      </c>
    </row>
    <row r="20" spans="1:21" x14ac:dyDescent="0.3">
      <c r="A20" s="13" t="s">
        <v>68</v>
      </c>
      <c r="B20" s="14" t="s">
        <v>69</v>
      </c>
      <c r="C20" s="14"/>
      <c r="D20" s="14" t="s">
        <v>70</v>
      </c>
      <c r="E20" s="14">
        <f xml:space="preserve"> IF($U$20,1,0)</f>
        <v>1</v>
      </c>
      <c r="F20" s="14" t="s">
        <v>71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4">
        <v>0</v>
      </c>
      <c r="N20" s="14">
        <v>0</v>
      </c>
      <c r="O20" s="14">
        <v>0</v>
      </c>
      <c r="P20" s="14">
        <v>0</v>
      </c>
      <c r="Q20" s="15">
        <v>0</v>
      </c>
      <c r="R20" s="15">
        <v>0</v>
      </c>
      <c r="S20" s="15">
        <f>$T$344</f>
        <v>1.7857142857142858</v>
      </c>
      <c r="T20" s="15">
        <f>SUM($Q$20:$R$20)</f>
        <v>0</v>
      </c>
      <c r="U20" s="15">
        <f>$S$20+$T$20</f>
        <v>1.7857142857142858</v>
      </c>
    </row>
    <row r="21" spans="1:21" x14ac:dyDescent="0.3">
      <c r="A21" s="10" t="s">
        <v>72</v>
      </c>
      <c r="B21" s="11" t="s">
        <v>73</v>
      </c>
      <c r="C21" s="11"/>
      <c r="D21" s="11" t="s">
        <v>74</v>
      </c>
      <c r="E21" s="11">
        <f xml:space="preserve"> IF($U$21,1,0)</f>
        <v>0</v>
      </c>
      <c r="F21" s="11" t="s">
        <v>75</v>
      </c>
      <c r="G21" s="11">
        <v>0</v>
      </c>
      <c r="H21" s="11">
        <v>0</v>
      </c>
      <c r="I21" s="11">
        <v>0</v>
      </c>
      <c r="J21" s="11">
        <v>0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2">
        <v>0</v>
      </c>
      <c r="R21" s="12">
        <v>0</v>
      </c>
      <c r="S21" s="12">
        <f>$G$21*$G$8+$H$21*$H$8+$I$21*$I$8+$J$21*$J$8+$K$21*$K$8+$L$21*$L$8+$M$21*$M$8+$N$21*$N$8+$O$21*$O$8+$P$21*$P$8</f>
        <v>0</v>
      </c>
      <c r="T21" s="12">
        <f>SUM($Q$21:$R$21)</f>
        <v>0</v>
      </c>
      <c r="U21" s="12">
        <f>$S$21+$T$21</f>
        <v>0</v>
      </c>
    </row>
    <row r="22" spans="1:21" x14ac:dyDescent="0.3">
      <c r="A22" s="13" t="s">
        <v>76</v>
      </c>
      <c r="B22" s="14" t="s">
        <v>77</v>
      </c>
      <c r="C22" s="14"/>
      <c r="D22" s="14" t="s">
        <v>78</v>
      </c>
      <c r="E22" s="14">
        <f xml:space="preserve"> IF($U$22,1,0)</f>
        <v>1</v>
      </c>
      <c r="F22" s="14" t="s">
        <v>79</v>
      </c>
      <c r="G22" s="14">
        <v>0</v>
      </c>
      <c r="H22" s="14">
        <v>2</v>
      </c>
      <c r="I22" s="14">
        <v>0</v>
      </c>
      <c r="J22" s="14">
        <v>2</v>
      </c>
      <c r="K22" s="14">
        <v>0</v>
      </c>
      <c r="L22" s="14">
        <v>0</v>
      </c>
      <c r="M22" s="14">
        <v>0</v>
      </c>
      <c r="N22" s="14">
        <v>0</v>
      </c>
      <c r="O22" s="14">
        <v>0</v>
      </c>
      <c r="P22" s="14">
        <v>0</v>
      </c>
      <c r="Q22" s="15">
        <v>0</v>
      </c>
      <c r="R22" s="15">
        <v>0</v>
      </c>
      <c r="S22" s="15">
        <f>$G$22*$G$8+$H$22*$H$8+$I$22*$I$8+$J$22*$J$8+$K$22*$K$8+$L$22*$L$8+$M$22*$M$8+$N$22*$N$8+$O$22*$O$8+$P$22*$P$8</f>
        <v>5.6</v>
      </c>
      <c r="T22" s="15">
        <f>SUM($Q$22:$R$22)</f>
        <v>0</v>
      </c>
      <c r="U22" s="15">
        <f>$S$22+$T$22</f>
        <v>5.6</v>
      </c>
    </row>
    <row r="23" spans="1:21" x14ac:dyDescent="0.3">
      <c r="A23" s="10" t="s">
        <v>80</v>
      </c>
      <c r="B23" s="11" t="s">
        <v>77</v>
      </c>
      <c r="C23" s="11" t="s">
        <v>65</v>
      </c>
      <c r="D23" s="11" t="s">
        <v>81</v>
      </c>
      <c r="E23" s="11">
        <f xml:space="preserve"> IF($U$23,1,0)</f>
        <v>0</v>
      </c>
      <c r="F23" s="11" t="s">
        <v>82</v>
      </c>
      <c r="G23" s="11">
        <v>0</v>
      </c>
      <c r="H23" s="11">
        <v>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2">
        <v>0</v>
      </c>
      <c r="R23" s="12">
        <v>0</v>
      </c>
      <c r="S23" s="12">
        <f>$G$23*$G$8+$H$23*$H$8+$I$23*$I$8+$J$23*$J$8+$K$23*$K$8+$L$23*$L$8+$M$23*$M$8+$N$23*$N$8+$O$23*$O$8+$P$23*$P$8</f>
        <v>0</v>
      </c>
      <c r="T23" s="12">
        <f>SUM($Q$23:$R$23)</f>
        <v>0</v>
      </c>
      <c r="U23" s="12">
        <f>$S$23+$T$23</f>
        <v>0</v>
      </c>
    </row>
    <row r="24" spans="1:21" x14ac:dyDescent="0.3">
      <c r="A24" s="13" t="s">
        <v>83</v>
      </c>
      <c r="B24" s="14" t="s">
        <v>84</v>
      </c>
      <c r="C24" s="14"/>
      <c r="D24" s="14" t="s">
        <v>81</v>
      </c>
      <c r="E24" s="14">
        <f xml:space="preserve"> IF($U$24,1,0)</f>
        <v>0</v>
      </c>
      <c r="F24" s="14" t="s">
        <v>85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5">
        <v>0</v>
      </c>
      <c r="R24" s="15">
        <v>0</v>
      </c>
      <c r="S24" s="15">
        <f>$G$24*$G$8+$H$24*$H$8+$I$24*$I$8+$J$24*$J$8+$K$24*$K$8+$L$24*$L$8+$M$24*$M$8+$N$24*$N$8+$O$24*$O$8+$P$24*$P$8</f>
        <v>0</v>
      </c>
      <c r="T24" s="15">
        <f>SUM($Q$24:$R$24)</f>
        <v>0</v>
      </c>
      <c r="U24" s="15">
        <f>$S$24+$T$24</f>
        <v>0</v>
      </c>
    </row>
    <row r="25" spans="1:21" x14ac:dyDescent="0.3">
      <c r="A25" s="10" t="s">
        <v>86</v>
      </c>
      <c r="B25" s="11" t="s">
        <v>87</v>
      </c>
      <c r="C25" s="11"/>
      <c r="D25" s="11" t="s">
        <v>88</v>
      </c>
      <c r="E25" s="11">
        <f xml:space="preserve"> IF($U$25,1,0)</f>
        <v>1</v>
      </c>
      <c r="F25" s="11" t="s">
        <v>89</v>
      </c>
      <c r="G25" s="11">
        <v>0</v>
      </c>
      <c r="H25" s="11">
        <v>0</v>
      </c>
      <c r="I25" s="11">
        <v>0</v>
      </c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2">
        <v>0</v>
      </c>
      <c r="R25" s="12">
        <v>0</v>
      </c>
      <c r="S25" s="12">
        <f>$T$344</f>
        <v>1.7857142857142858</v>
      </c>
      <c r="T25" s="12">
        <f>SUM($Q$25:$R$25)</f>
        <v>0</v>
      </c>
      <c r="U25" s="12">
        <f>$S$25+$T$25</f>
        <v>1.7857142857142858</v>
      </c>
    </row>
    <row r="26" spans="1:21" x14ac:dyDescent="0.3">
      <c r="A26" s="13" t="s">
        <v>90</v>
      </c>
      <c r="B26" s="14" t="s">
        <v>91</v>
      </c>
      <c r="C26" s="14"/>
      <c r="D26" s="14" t="s">
        <v>92</v>
      </c>
      <c r="E26" s="14">
        <f xml:space="preserve"> IF($U$26,1,0)</f>
        <v>0</v>
      </c>
      <c r="F26" s="14" t="s">
        <v>93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5">
        <v>0</v>
      </c>
      <c r="R26" s="15">
        <v>0</v>
      </c>
      <c r="S26" s="15">
        <f>$G$26*$G$8+$H$26*$H$8+$I$26*$I$8+$J$26*$J$8+$K$26*$K$8+$L$26*$L$8+$M$26*$M$8+$N$26*$N$8+$O$26*$O$8+$P$26*$P$8</f>
        <v>0</v>
      </c>
      <c r="T26" s="15">
        <f>SUM($Q$26:$R$26)</f>
        <v>0</v>
      </c>
      <c r="U26" s="15">
        <f>$S$26+$T$26</f>
        <v>0</v>
      </c>
    </row>
    <row r="27" spans="1:21" x14ac:dyDescent="0.3">
      <c r="A27" s="10" t="s">
        <v>94</v>
      </c>
      <c r="B27" s="11" t="s">
        <v>95</v>
      </c>
      <c r="C27" s="11"/>
      <c r="D27" s="11" t="s">
        <v>96</v>
      </c>
      <c r="E27" s="11">
        <f xml:space="preserve"> IF($U$27,1,0)</f>
        <v>0</v>
      </c>
      <c r="F27" s="11" t="s">
        <v>97</v>
      </c>
      <c r="G27" s="11">
        <v>0</v>
      </c>
      <c r="H27" s="11">
        <v>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2">
        <v>0</v>
      </c>
      <c r="R27" s="12">
        <v>0</v>
      </c>
      <c r="S27" s="12">
        <f>$G$27*$G$8+$H$27*$H$8+$I$27*$I$8+$J$27*$J$8+$K$27*$K$8+$L$27*$L$8+$M$27*$M$8+$N$27*$N$8+$O$27*$O$8+$P$27*$P$8</f>
        <v>0</v>
      </c>
      <c r="T27" s="12">
        <f>SUM($Q$27:$R$27)</f>
        <v>0</v>
      </c>
      <c r="U27" s="12">
        <f>$S$27+$T$27</f>
        <v>0</v>
      </c>
    </row>
    <row r="28" spans="1:21" x14ac:dyDescent="0.3">
      <c r="A28" s="13" t="s">
        <v>98</v>
      </c>
      <c r="B28" s="14" t="s">
        <v>99</v>
      </c>
      <c r="C28" s="14"/>
      <c r="D28" s="14" t="s">
        <v>100</v>
      </c>
      <c r="E28" s="14">
        <f xml:space="preserve"> IF($U$28,1,0)</f>
        <v>1</v>
      </c>
      <c r="F28" s="14" t="s">
        <v>101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5">
        <v>0</v>
      </c>
      <c r="R28" s="15">
        <v>0</v>
      </c>
      <c r="S28" s="15">
        <f>$T$344</f>
        <v>1.7857142857142858</v>
      </c>
      <c r="T28" s="15">
        <f>SUM($Q$28:$R$28)</f>
        <v>0</v>
      </c>
      <c r="U28" s="15">
        <f>$S$28+$T$28</f>
        <v>1.7857142857142858</v>
      </c>
    </row>
    <row r="29" spans="1:21" x14ac:dyDescent="0.3">
      <c r="A29" s="10" t="s">
        <v>102</v>
      </c>
      <c r="B29" s="11" t="s">
        <v>103</v>
      </c>
      <c r="C29" s="11"/>
      <c r="D29" s="11" t="s">
        <v>104</v>
      </c>
      <c r="E29" s="11">
        <f xml:space="preserve"> IF($U$29,1,0)</f>
        <v>1</v>
      </c>
      <c r="F29" s="11" t="s">
        <v>105</v>
      </c>
      <c r="G29" s="11">
        <v>0</v>
      </c>
      <c r="H29" s="11">
        <v>0</v>
      </c>
      <c r="I29" s="11">
        <v>0</v>
      </c>
      <c r="J29" s="11">
        <v>0</v>
      </c>
      <c r="K29" s="11">
        <v>0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2">
        <v>0</v>
      </c>
      <c r="R29" s="12">
        <v>0</v>
      </c>
      <c r="S29" s="12">
        <f>$T$344</f>
        <v>1.7857142857142858</v>
      </c>
      <c r="T29" s="12">
        <f>SUM($Q$29:$R$29)</f>
        <v>0</v>
      </c>
      <c r="U29" s="12">
        <f>$S$29+$T$29</f>
        <v>1.7857142857142858</v>
      </c>
    </row>
    <row r="30" spans="1:21" x14ac:dyDescent="0.3">
      <c r="A30" s="13" t="s">
        <v>106</v>
      </c>
      <c r="B30" s="14" t="s">
        <v>103</v>
      </c>
      <c r="C30" s="14"/>
      <c r="D30" s="14" t="s">
        <v>107</v>
      </c>
      <c r="E30" s="14">
        <f xml:space="preserve"> IF($U$30,1,0)</f>
        <v>0</v>
      </c>
      <c r="F30" s="14" t="s">
        <v>108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5">
        <v>0</v>
      </c>
      <c r="R30" s="15">
        <v>0</v>
      </c>
      <c r="S30" s="15">
        <f>$G$30*$G$8+$H$30*$H$8+$I$30*$I$8+$J$30*$J$8+$K$30*$K$8+$L$30*$L$8+$M$30*$M$8+$N$30*$N$8+$O$30*$O$8+$P$30*$P$8</f>
        <v>0</v>
      </c>
      <c r="T30" s="15">
        <f>SUM($Q$30:$R$30)</f>
        <v>0</v>
      </c>
      <c r="U30" s="15">
        <f>$S$30+$T$30</f>
        <v>0</v>
      </c>
    </row>
    <row r="31" spans="1:21" x14ac:dyDescent="0.3">
      <c r="A31" s="10" t="s">
        <v>109</v>
      </c>
      <c r="B31" s="11" t="s">
        <v>103</v>
      </c>
      <c r="C31" s="11"/>
      <c r="D31" s="11" t="s">
        <v>110</v>
      </c>
      <c r="E31" s="11">
        <f xml:space="preserve"> IF($U$31,1,0)</f>
        <v>0</v>
      </c>
      <c r="F31" s="11" t="s">
        <v>111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2">
        <v>0</v>
      </c>
      <c r="R31" s="12">
        <v>0</v>
      </c>
      <c r="S31" s="12">
        <f>$G$31*$G$8+$H$31*$H$8+$I$31*$I$8+$J$31*$J$8+$K$31*$K$8+$L$31*$L$8+$M$31*$M$8+$N$31*$N$8+$O$31*$O$8+$P$31*$P$8</f>
        <v>0</v>
      </c>
      <c r="T31" s="12">
        <f>SUM($Q$31:$R$31)</f>
        <v>0</v>
      </c>
      <c r="U31" s="12">
        <f>$S$31+$T$31</f>
        <v>0</v>
      </c>
    </row>
    <row r="32" spans="1:21" x14ac:dyDescent="0.3">
      <c r="A32" s="13" t="s">
        <v>112</v>
      </c>
      <c r="B32" s="14" t="s">
        <v>113</v>
      </c>
      <c r="C32" s="14"/>
      <c r="D32" s="14" t="s">
        <v>114</v>
      </c>
      <c r="E32" s="14">
        <f xml:space="preserve"> IF($U$32,1,0)</f>
        <v>1</v>
      </c>
      <c r="F32" s="14" t="s">
        <v>115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5">
        <v>0</v>
      </c>
      <c r="R32" s="15">
        <v>0</v>
      </c>
      <c r="S32" s="15">
        <f>$T$344</f>
        <v>1.7857142857142858</v>
      </c>
      <c r="T32" s="15">
        <f>SUM($Q$32:$R$32)</f>
        <v>0</v>
      </c>
      <c r="U32" s="15">
        <f>$S$32+$T$32</f>
        <v>1.7857142857142858</v>
      </c>
    </row>
    <row r="33" spans="1:21" x14ac:dyDescent="0.3">
      <c r="A33" s="10" t="s">
        <v>116</v>
      </c>
      <c r="B33" s="11" t="s">
        <v>117</v>
      </c>
      <c r="C33" s="11" t="s">
        <v>34</v>
      </c>
      <c r="D33" s="11" t="s">
        <v>118</v>
      </c>
      <c r="E33" s="11">
        <f xml:space="preserve"> IF($U$33,1,0)</f>
        <v>1</v>
      </c>
      <c r="F33" s="11" t="s">
        <v>119</v>
      </c>
      <c r="G33" s="11">
        <v>0</v>
      </c>
      <c r="H33" s="11">
        <v>0</v>
      </c>
      <c r="I33" s="11">
        <v>0</v>
      </c>
      <c r="J33" s="11">
        <v>0</v>
      </c>
      <c r="K33" s="11">
        <v>0</v>
      </c>
      <c r="L33" s="11">
        <v>0</v>
      </c>
      <c r="M33" s="11">
        <v>0</v>
      </c>
      <c r="N33" s="11">
        <v>0</v>
      </c>
      <c r="O33" s="11">
        <v>0</v>
      </c>
      <c r="P33" s="11">
        <v>0</v>
      </c>
      <c r="Q33" s="12">
        <v>0</v>
      </c>
      <c r="R33" s="12">
        <v>0</v>
      </c>
      <c r="S33" s="12">
        <f>$T$344</f>
        <v>1.7857142857142858</v>
      </c>
      <c r="T33" s="12">
        <f>SUM($Q$33:$R$33)</f>
        <v>0</v>
      </c>
      <c r="U33" s="12">
        <f>$S$33+$T$33</f>
        <v>1.7857142857142858</v>
      </c>
    </row>
    <row r="34" spans="1:21" x14ac:dyDescent="0.3">
      <c r="A34" s="13" t="s">
        <v>120</v>
      </c>
      <c r="B34" s="14" t="s">
        <v>121</v>
      </c>
      <c r="C34" s="14"/>
      <c r="D34" s="14" t="s">
        <v>122</v>
      </c>
      <c r="E34" s="14">
        <f xml:space="preserve"> IF($U$34,1,0)</f>
        <v>1</v>
      </c>
      <c r="F34" s="14" t="s">
        <v>123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5">
        <v>0</v>
      </c>
      <c r="R34" s="15">
        <v>0</v>
      </c>
      <c r="S34" s="15">
        <f>$T$344</f>
        <v>1.7857142857142858</v>
      </c>
      <c r="T34" s="15">
        <f>SUM($Q$34:$R$34)</f>
        <v>0</v>
      </c>
      <c r="U34" s="15">
        <f>$S$34+$T$34</f>
        <v>1.7857142857142858</v>
      </c>
    </row>
    <row r="35" spans="1:21" x14ac:dyDescent="0.3">
      <c r="A35" s="10" t="s">
        <v>124</v>
      </c>
      <c r="B35" s="11" t="s">
        <v>125</v>
      </c>
      <c r="C35" s="11"/>
      <c r="D35" s="11" t="s">
        <v>126</v>
      </c>
      <c r="E35" s="11">
        <f xml:space="preserve"> IF($U$35,1,0)</f>
        <v>0</v>
      </c>
      <c r="F35" s="11" t="s">
        <v>127</v>
      </c>
      <c r="G35" s="11">
        <v>0</v>
      </c>
      <c r="H35" s="11">
        <v>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0</v>
      </c>
      <c r="Q35" s="12">
        <v>0</v>
      </c>
      <c r="R35" s="12">
        <v>0</v>
      </c>
      <c r="S35" s="12">
        <f>$G$35*$G$8+$H$35*$H$8+$I$35*$I$8+$J$35*$J$8+$K$35*$K$8+$L$35*$L$8+$M$35*$M$8+$N$35*$N$8+$O$35*$O$8+$P$35*$P$8</f>
        <v>0</v>
      </c>
      <c r="T35" s="12">
        <f>SUM($Q$35:$R$35)</f>
        <v>0</v>
      </c>
      <c r="U35" s="12">
        <f>$S$35+$T$35</f>
        <v>0</v>
      </c>
    </row>
    <row r="36" spans="1:21" x14ac:dyDescent="0.3">
      <c r="A36" s="13" t="s">
        <v>128</v>
      </c>
      <c r="B36" s="14" t="s">
        <v>129</v>
      </c>
      <c r="C36" s="14" t="s">
        <v>34</v>
      </c>
      <c r="D36" s="14" t="s">
        <v>130</v>
      </c>
      <c r="E36" s="14">
        <f xml:space="preserve"> IF($U$36,1,0)</f>
        <v>0</v>
      </c>
      <c r="F36" s="14" t="s">
        <v>131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5">
        <v>0</v>
      </c>
      <c r="R36" s="15">
        <v>0</v>
      </c>
      <c r="S36" s="15">
        <f>$G$36*$G$8+$H$36*$H$8+$I$36*$I$8+$J$36*$J$8+$K$36*$K$8+$L$36*$L$8+$M$36*$M$8+$N$36*$N$8+$O$36*$O$8+$P$36*$P$8</f>
        <v>0</v>
      </c>
      <c r="T36" s="15">
        <f>SUM($Q$36:$R$36)</f>
        <v>0</v>
      </c>
      <c r="U36" s="15">
        <f>$S$36+$T$36</f>
        <v>0</v>
      </c>
    </row>
    <row r="37" spans="1:21" x14ac:dyDescent="0.3">
      <c r="A37" s="10" t="s">
        <v>132</v>
      </c>
      <c r="B37" s="11" t="s">
        <v>133</v>
      </c>
      <c r="C37" s="11"/>
      <c r="D37" s="11" t="s">
        <v>134</v>
      </c>
      <c r="E37" s="11">
        <f xml:space="preserve"> IF($U$37,1,0)</f>
        <v>0</v>
      </c>
      <c r="F37" s="11" t="s">
        <v>135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2">
        <v>0</v>
      </c>
      <c r="R37" s="12">
        <v>0</v>
      </c>
      <c r="S37" s="12">
        <f>$G$37*$G$8+$H$37*$H$8+$I$37*$I$8+$J$37*$J$8+$K$37*$K$8+$L$37*$L$8+$M$37*$M$8+$N$37*$N$8+$O$37*$O$8+$P$37*$P$8</f>
        <v>0</v>
      </c>
      <c r="T37" s="12">
        <f>SUM($Q$37:$R$37)</f>
        <v>0</v>
      </c>
      <c r="U37" s="12">
        <f>$S$37+$T$37</f>
        <v>0</v>
      </c>
    </row>
    <row r="38" spans="1:21" x14ac:dyDescent="0.3">
      <c r="A38" s="13" t="s">
        <v>1280</v>
      </c>
      <c r="B38" s="14" t="s">
        <v>1281</v>
      </c>
      <c r="C38" s="14"/>
      <c r="D38" s="14" t="s">
        <v>1250</v>
      </c>
      <c r="E38" s="14">
        <f xml:space="preserve"> IF($U$38,1,0)</f>
        <v>1</v>
      </c>
      <c r="F38" s="14" t="s">
        <v>1282</v>
      </c>
      <c r="G38" s="14">
        <v>0</v>
      </c>
      <c r="H38" s="14">
        <v>0</v>
      </c>
      <c r="I38" s="14">
        <v>0</v>
      </c>
      <c r="J38" s="14">
        <v>0</v>
      </c>
      <c r="K38" s="14">
        <v>0</v>
      </c>
      <c r="L38" s="14">
        <v>0</v>
      </c>
      <c r="M38" s="14">
        <v>0</v>
      </c>
      <c r="N38" s="14">
        <v>0</v>
      </c>
      <c r="O38" s="14">
        <v>0</v>
      </c>
      <c r="P38" s="14">
        <v>0</v>
      </c>
      <c r="Q38" s="15">
        <v>0</v>
      </c>
      <c r="R38" s="15">
        <v>0</v>
      </c>
      <c r="S38" s="15">
        <f>$T$344</f>
        <v>1.7857142857142858</v>
      </c>
      <c r="T38" s="15">
        <f>SUM($Q$38:$R$38)</f>
        <v>0</v>
      </c>
      <c r="U38" s="15">
        <f>$S$38+$T$38</f>
        <v>1.7857142857142858</v>
      </c>
    </row>
    <row r="39" spans="1:21" x14ac:dyDescent="0.3">
      <c r="A39" s="10" t="s">
        <v>136</v>
      </c>
      <c r="B39" s="11" t="s">
        <v>137</v>
      </c>
      <c r="C39" s="11"/>
      <c r="D39" s="11" t="s">
        <v>138</v>
      </c>
      <c r="E39" s="11">
        <f xml:space="preserve"> IF($U$39,1,0)</f>
        <v>0</v>
      </c>
      <c r="F39" s="11" t="s">
        <v>139</v>
      </c>
      <c r="G39" s="11">
        <v>0</v>
      </c>
      <c r="H39" s="11">
        <v>0</v>
      </c>
      <c r="I39" s="11">
        <v>0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2">
        <v>0</v>
      </c>
      <c r="R39" s="12">
        <v>0</v>
      </c>
      <c r="S39" s="12">
        <f>$G$39*$G$8+$H$39*$H$8+$I$39*$I$8+$J$39*$J$8+$K$39*$K$8+$L$39*$L$8+$M$39*$M$8+$N$39*$N$8+$O$39*$O$8+$P$39*$P$8</f>
        <v>0</v>
      </c>
      <c r="T39" s="12">
        <f>SUM($Q$39:$R$39)</f>
        <v>0</v>
      </c>
      <c r="U39" s="12">
        <f>$S$39+$T$39</f>
        <v>0</v>
      </c>
    </row>
    <row r="40" spans="1:21" x14ac:dyDescent="0.3">
      <c r="A40" s="13" t="s">
        <v>140</v>
      </c>
      <c r="B40" s="14" t="s">
        <v>141</v>
      </c>
      <c r="C40" s="14"/>
      <c r="D40" s="14" t="s">
        <v>142</v>
      </c>
      <c r="E40" s="14">
        <f xml:space="preserve"> IF($U$40,1,0)</f>
        <v>0</v>
      </c>
      <c r="F40" s="14" t="s">
        <v>143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5">
        <v>0</v>
      </c>
      <c r="R40" s="15">
        <v>0</v>
      </c>
      <c r="S40" s="15">
        <f>$G$40*$G$8+$H$40*$H$8+$I$40*$I$8+$J$40*$J$8+$K$40*$K$8+$L$40*$L$8+$M$40*$M$8+$N$40*$N$8+$O$40*$O$8+$P$40*$P$8</f>
        <v>0</v>
      </c>
      <c r="T40" s="15">
        <f>SUM($Q$40:$R$40)</f>
        <v>0</v>
      </c>
      <c r="U40" s="15">
        <f>$S$40+$T$40</f>
        <v>0</v>
      </c>
    </row>
    <row r="41" spans="1:21" x14ac:dyDescent="0.3">
      <c r="A41" s="10" t="s">
        <v>144</v>
      </c>
      <c r="B41" s="11" t="s">
        <v>145</v>
      </c>
      <c r="C41" s="11"/>
      <c r="D41" s="11" t="s">
        <v>146</v>
      </c>
      <c r="E41" s="11">
        <f xml:space="preserve"> IF($U$41,1,0)</f>
        <v>0</v>
      </c>
      <c r="F41" s="11" t="s">
        <v>147</v>
      </c>
      <c r="G41" s="11">
        <v>0</v>
      </c>
      <c r="H41" s="11">
        <v>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2">
        <v>0</v>
      </c>
      <c r="R41" s="12">
        <v>0</v>
      </c>
      <c r="S41" s="12">
        <f>$G$41*$G$8+$H$41*$H$8+$I$41*$I$8+$J$41*$J$8+$K$41*$K$8+$L$41*$L$8+$M$41*$M$8+$N$41*$N$8+$O$41*$O$8+$P$41*$P$8</f>
        <v>0</v>
      </c>
      <c r="T41" s="12">
        <f>SUM($Q$41:$R$41)</f>
        <v>0</v>
      </c>
      <c r="U41" s="12">
        <f>$S$41+$T$41</f>
        <v>0</v>
      </c>
    </row>
    <row r="42" spans="1:21" x14ac:dyDescent="0.3">
      <c r="A42" s="13" t="s">
        <v>148</v>
      </c>
      <c r="B42" s="14" t="s">
        <v>149</v>
      </c>
      <c r="C42" s="14"/>
      <c r="D42" s="14" t="s">
        <v>150</v>
      </c>
      <c r="E42" s="14">
        <f xml:space="preserve"> IF($U$42,1,0)</f>
        <v>1</v>
      </c>
      <c r="F42" s="14" t="s">
        <v>151</v>
      </c>
      <c r="G42" s="14">
        <v>0</v>
      </c>
      <c r="H42" s="14">
        <v>0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0</v>
      </c>
      <c r="Q42" s="15">
        <v>0</v>
      </c>
      <c r="R42" s="15">
        <v>0</v>
      </c>
      <c r="S42" s="15">
        <f>$T$344</f>
        <v>1.7857142857142858</v>
      </c>
      <c r="T42" s="15">
        <f>SUM($Q$42:$R$42)</f>
        <v>0</v>
      </c>
      <c r="U42" s="15">
        <f>$S$42+$T$42</f>
        <v>1.7857142857142858</v>
      </c>
    </row>
    <row r="43" spans="1:21" x14ac:dyDescent="0.3">
      <c r="A43" s="10" t="s">
        <v>152</v>
      </c>
      <c r="B43" s="11" t="s">
        <v>153</v>
      </c>
      <c r="C43" s="11"/>
      <c r="D43" s="11" t="s">
        <v>154</v>
      </c>
      <c r="E43" s="11">
        <f xml:space="preserve"> IF($U$43,1,0)</f>
        <v>0</v>
      </c>
      <c r="F43" s="11" t="s">
        <v>155</v>
      </c>
      <c r="G43" s="11">
        <v>0</v>
      </c>
      <c r="H43" s="11">
        <v>0</v>
      </c>
      <c r="I43" s="11">
        <v>0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2">
        <v>0</v>
      </c>
      <c r="R43" s="12">
        <v>0</v>
      </c>
      <c r="S43" s="12">
        <f>$G$43*$G$8+$H$43*$H$8+$I$43*$I$8+$J$43*$J$8+$K$43*$K$8+$L$43*$L$8+$M$43*$M$8+$N$43*$N$8+$O$43*$O$8+$P$43*$P$8</f>
        <v>0</v>
      </c>
      <c r="T43" s="12">
        <f>SUM($Q$43:$R$43)</f>
        <v>0</v>
      </c>
      <c r="U43" s="12">
        <f>$S$43+$T$43</f>
        <v>0</v>
      </c>
    </row>
    <row r="44" spans="1:21" x14ac:dyDescent="0.3">
      <c r="A44" s="13" t="s">
        <v>156</v>
      </c>
      <c r="B44" s="14" t="s">
        <v>157</v>
      </c>
      <c r="C44" s="14" t="s">
        <v>65</v>
      </c>
      <c r="D44" s="14" t="s">
        <v>158</v>
      </c>
      <c r="E44" s="14">
        <f xml:space="preserve"> IF($U$44,1,0)</f>
        <v>0</v>
      </c>
      <c r="F44" s="14" t="s">
        <v>159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14">
        <v>0</v>
      </c>
      <c r="P44" s="14">
        <v>0</v>
      </c>
      <c r="Q44" s="15">
        <v>0</v>
      </c>
      <c r="R44" s="15">
        <v>0</v>
      </c>
      <c r="S44" s="15">
        <f>$G$44*$G$8+$H$44*$H$8+$I$44*$I$8+$J$44*$J$8+$K$44*$K$8+$L$44*$L$8+$M$44*$M$8+$N$44*$N$8+$O$44*$O$8+$P$44*$P$8</f>
        <v>0</v>
      </c>
      <c r="T44" s="15">
        <f>SUM($Q$44:$R$44)</f>
        <v>0</v>
      </c>
      <c r="U44" s="15">
        <f>$S$44+$T$44</f>
        <v>0</v>
      </c>
    </row>
    <row r="45" spans="1:21" x14ac:dyDescent="0.3">
      <c r="A45" s="10" t="s">
        <v>160</v>
      </c>
      <c r="B45" s="11" t="s">
        <v>161</v>
      </c>
      <c r="C45" s="11"/>
      <c r="D45" s="11" t="s">
        <v>162</v>
      </c>
      <c r="E45" s="11">
        <f xml:space="preserve"> IF($U$45,1,0)</f>
        <v>0</v>
      </c>
      <c r="F45" s="11" t="s">
        <v>163</v>
      </c>
      <c r="G45" s="11">
        <v>0</v>
      </c>
      <c r="H45" s="11">
        <v>0</v>
      </c>
      <c r="I45" s="11">
        <v>0</v>
      </c>
      <c r="J45" s="11">
        <v>0</v>
      </c>
      <c r="K45" s="11">
        <v>0</v>
      </c>
      <c r="L45" s="11">
        <v>0</v>
      </c>
      <c r="M45" s="11">
        <v>0</v>
      </c>
      <c r="N45" s="11">
        <v>0</v>
      </c>
      <c r="O45" s="11">
        <v>0</v>
      </c>
      <c r="P45" s="11">
        <v>0</v>
      </c>
      <c r="Q45" s="12">
        <v>0</v>
      </c>
      <c r="R45" s="12">
        <v>0</v>
      </c>
      <c r="S45" s="12">
        <f>$G$45*$G$8+$H$45*$H$8+$I$45*$I$8+$J$45*$J$8+$K$45*$K$8+$L$45*$L$8+$M$45*$M$8+$N$45*$N$8+$O$45*$O$8+$P$45*$P$8</f>
        <v>0</v>
      </c>
      <c r="T45" s="12">
        <f>SUM($Q$45:$R$45)</f>
        <v>0</v>
      </c>
      <c r="U45" s="12">
        <f>$S$45+$T$45</f>
        <v>0</v>
      </c>
    </row>
    <row r="46" spans="1:21" x14ac:dyDescent="0.3">
      <c r="A46" s="13" t="s">
        <v>164</v>
      </c>
      <c r="B46" s="14" t="s">
        <v>165</v>
      </c>
      <c r="C46" s="14"/>
      <c r="D46" s="14" t="s">
        <v>166</v>
      </c>
      <c r="E46" s="14">
        <f xml:space="preserve"> IF($U$46,1,0)</f>
        <v>0</v>
      </c>
      <c r="F46" s="14" t="s">
        <v>167</v>
      </c>
      <c r="G46" s="14">
        <v>0</v>
      </c>
      <c r="H46" s="14">
        <v>0</v>
      </c>
      <c r="I46" s="14">
        <v>0</v>
      </c>
      <c r="J46" s="14">
        <v>0</v>
      </c>
      <c r="K46" s="14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5">
        <v>0</v>
      </c>
      <c r="R46" s="15">
        <v>0</v>
      </c>
      <c r="S46" s="15">
        <f>$G$46*$G$8+$H$46*$H$8+$I$46*$I$8+$J$46*$J$8+$K$46*$K$8+$L$46*$L$8+$M$46*$M$8+$N$46*$N$8+$O$46*$O$8+$P$46*$P$8</f>
        <v>0</v>
      </c>
      <c r="T46" s="15">
        <f>SUM($Q$46:$R$46)</f>
        <v>0</v>
      </c>
      <c r="U46" s="15">
        <f>$S$46+$T$46</f>
        <v>0</v>
      </c>
    </row>
    <row r="47" spans="1:21" x14ac:dyDescent="0.3">
      <c r="A47" s="10" t="s">
        <v>168</v>
      </c>
      <c r="B47" s="11" t="s">
        <v>169</v>
      </c>
      <c r="C47" s="11" t="s">
        <v>65</v>
      </c>
      <c r="D47" s="11" t="s">
        <v>170</v>
      </c>
      <c r="E47" s="11">
        <f xml:space="preserve"> IF($U$47,1,0)</f>
        <v>0</v>
      </c>
      <c r="F47" s="11" t="s">
        <v>171</v>
      </c>
      <c r="G47" s="11">
        <v>0</v>
      </c>
      <c r="H47" s="11">
        <v>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2">
        <v>0</v>
      </c>
      <c r="R47" s="12">
        <v>0</v>
      </c>
      <c r="S47" s="12">
        <f>$G$47*$G$8+$H$47*$H$8+$I$47*$I$8+$J$47*$J$8+$K$47*$K$8+$L$47*$L$8+$M$47*$M$8+$N$47*$N$8+$O$47*$O$8+$P$47*$P$8</f>
        <v>0</v>
      </c>
      <c r="T47" s="12">
        <f>SUM($Q$47:$R$47)</f>
        <v>0</v>
      </c>
      <c r="U47" s="12">
        <f>$S$47+$T$47</f>
        <v>0</v>
      </c>
    </row>
    <row r="48" spans="1:21" x14ac:dyDescent="0.3">
      <c r="A48" s="13" t="s">
        <v>172</v>
      </c>
      <c r="B48" s="14" t="s">
        <v>173</v>
      </c>
      <c r="C48" s="14"/>
      <c r="D48" s="14" t="s">
        <v>174</v>
      </c>
      <c r="E48" s="14">
        <f xml:space="preserve"> IF($U$48,1,0)</f>
        <v>0</v>
      </c>
      <c r="F48" s="14" t="s">
        <v>175</v>
      </c>
      <c r="G48" s="14">
        <v>0</v>
      </c>
      <c r="H48" s="14">
        <v>0</v>
      </c>
      <c r="I48" s="14">
        <v>0</v>
      </c>
      <c r="J48" s="14">
        <v>0</v>
      </c>
      <c r="K48" s="14">
        <v>0</v>
      </c>
      <c r="L48" s="14">
        <v>0</v>
      </c>
      <c r="M48" s="14">
        <v>0</v>
      </c>
      <c r="N48" s="14">
        <v>0</v>
      </c>
      <c r="O48" s="14">
        <v>0</v>
      </c>
      <c r="P48" s="14">
        <v>0</v>
      </c>
      <c r="Q48" s="15">
        <v>0</v>
      </c>
      <c r="R48" s="15">
        <v>0</v>
      </c>
      <c r="S48" s="15">
        <f>$G$48*$G$8+$H$48*$H$8+$I$48*$I$8+$J$48*$J$8+$K$48*$K$8+$L$48*$L$8+$M$48*$M$8+$N$48*$N$8+$O$48*$O$8+$P$48*$P$8</f>
        <v>0</v>
      </c>
      <c r="T48" s="15">
        <f>SUM($Q$48:$R$48)</f>
        <v>0</v>
      </c>
      <c r="U48" s="15">
        <f>$S$48+$T$48</f>
        <v>0</v>
      </c>
    </row>
    <row r="49" spans="1:21" x14ac:dyDescent="0.3">
      <c r="A49" s="10" t="s">
        <v>176</v>
      </c>
      <c r="B49" s="11" t="s">
        <v>177</v>
      </c>
      <c r="C49" s="11"/>
      <c r="D49" s="11" t="s">
        <v>178</v>
      </c>
      <c r="E49" s="11">
        <f xml:space="preserve"> IF($U$49,1,0)</f>
        <v>1</v>
      </c>
      <c r="F49" s="11" t="s">
        <v>179</v>
      </c>
      <c r="G49" s="11">
        <v>0</v>
      </c>
      <c r="H49" s="11">
        <v>0</v>
      </c>
      <c r="I49" s="11">
        <v>0</v>
      </c>
      <c r="J49" s="11">
        <v>0</v>
      </c>
      <c r="K49" s="11">
        <v>0</v>
      </c>
      <c r="L49" s="11">
        <v>0</v>
      </c>
      <c r="M49" s="11">
        <v>0</v>
      </c>
      <c r="N49" s="11">
        <v>0</v>
      </c>
      <c r="O49" s="11">
        <v>0</v>
      </c>
      <c r="P49" s="11">
        <v>0</v>
      </c>
      <c r="Q49" s="12">
        <v>0</v>
      </c>
      <c r="R49" s="12">
        <v>0</v>
      </c>
      <c r="S49" s="12">
        <f>$T$344</f>
        <v>1.7857142857142858</v>
      </c>
      <c r="T49" s="12">
        <f>SUM($Q$49:$R$49)</f>
        <v>0</v>
      </c>
      <c r="U49" s="12">
        <f>$S$49+$T$49</f>
        <v>1.7857142857142858</v>
      </c>
    </row>
    <row r="50" spans="1:21" x14ac:dyDescent="0.3">
      <c r="A50" s="13" t="s">
        <v>180</v>
      </c>
      <c r="B50" s="14" t="s">
        <v>177</v>
      </c>
      <c r="C50" s="14"/>
      <c r="D50" s="14" t="s">
        <v>181</v>
      </c>
      <c r="E50" s="14">
        <f xml:space="preserve"> IF($U$50,1,0)</f>
        <v>1</v>
      </c>
      <c r="F50" s="14" t="s">
        <v>182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  <c r="M50" s="14">
        <v>0</v>
      </c>
      <c r="N50" s="14">
        <v>3</v>
      </c>
      <c r="O50" s="14">
        <v>0</v>
      </c>
      <c r="P50" s="14">
        <v>2</v>
      </c>
      <c r="Q50" s="15">
        <v>0</v>
      </c>
      <c r="R50" s="15">
        <v>0</v>
      </c>
      <c r="S50" s="15">
        <f>$G$50*$G$8+$H$50*$H$8+$I$50*$I$8+$J$50*$J$8+$K$50*$K$8+$L$50*$L$8+$M$50*$M$8+$N$50*$N$8+$O$50*$O$8+$P$50*$P$8</f>
        <v>15.8</v>
      </c>
      <c r="T50" s="15">
        <f>SUM($Q$50:$R$50)</f>
        <v>0</v>
      </c>
      <c r="U50" s="15">
        <f>$S$50+$T$50</f>
        <v>15.8</v>
      </c>
    </row>
    <row r="51" spans="1:21" x14ac:dyDescent="0.3">
      <c r="A51" s="10" t="s">
        <v>183</v>
      </c>
      <c r="B51" s="11" t="s">
        <v>177</v>
      </c>
      <c r="C51" s="11"/>
      <c r="D51" s="11" t="s">
        <v>184</v>
      </c>
      <c r="E51" s="11">
        <f xml:space="preserve"> IF($U$51,1,0)</f>
        <v>0</v>
      </c>
      <c r="F51" s="11" t="s">
        <v>185</v>
      </c>
      <c r="G51" s="11">
        <v>0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2">
        <v>0</v>
      </c>
      <c r="R51" s="12">
        <v>0</v>
      </c>
      <c r="S51" s="12">
        <f>$G$51*$G$8+$H$51*$H$8+$I$51*$I$8+$J$51*$J$8+$K$51*$K$8+$L$51*$L$8+$M$51*$M$8+$N$51*$N$8+$O$51*$O$8+$P$51*$P$8</f>
        <v>0</v>
      </c>
      <c r="T51" s="12">
        <f>SUM($Q$51:$R$51)</f>
        <v>0</v>
      </c>
      <c r="U51" s="12">
        <f>$S$51+$T$51</f>
        <v>0</v>
      </c>
    </row>
    <row r="52" spans="1:21" x14ac:dyDescent="0.3">
      <c r="A52" s="13" t="s">
        <v>186</v>
      </c>
      <c r="B52" s="14" t="s">
        <v>177</v>
      </c>
      <c r="C52" s="14"/>
      <c r="D52" s="14" t="s">
        <v>187</v>
      </c>
      <c r="E52" s="14">
        <f xml:space="preserve"> IF($U$52,1,0)</f>
        <v>0</v>
      </c>
      <c r="F52" s="14" t="s">
        <v>188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5">
        <v>0</v>
      </c>
      <c r="R52" s="15">
        <v>0</v>
      </c>
      <c r="S52" s="15">
        <f>$G$52*$G$8+$H$52*$H$8+$I$52*$I$8+$J$52*$J$8+$K$52*$K$8+$L$52*$L$8+$M$52*$M$8+$N$52*$N$8+$O$52*$O$8+$P$52*$P$8</f>
        <v>0</v>
      </c>
      <c r="T52" s="15">
        <f>SUM($Q$52:$R$52)</f>
        <v>0</v>
      </c>
      <c r="U52" s="15">
        <f>$S$52+$T$52</f>
        <v>0</v>
      </c>
    </row>
    <row r="53" spans="1:21" x14ac:dyDescent="0.3">
      <c r="A53" s="10" t="s">
        <v>189</v>
      </c>
      <c r="B53" s="11" t="s">
        <v>177</v>
      </c>
      <c r="C53" s="11"/>
      <c r="D53" s="11" t="s">
        <v>190</v>
      </c>
      <c r="E53" s="11">
        <f xml:space="preserve"> IF($U$53,1,0)</f>
        <v>0</v>
      </c>
      <c r="F53" s="11" t="s">
        <v>191</v>
      </c>
      <c r="G53" s="11">
        <v>0</v>
      </c>
      <c r="H53" s="11">
        <v>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2">
        <v>0</v>
      </c>
      <c r="R53" s="12">
        <v>0</v>
      </c>
      <c r="S53" s="12">
        <f>$G$53*$G$8+$H$53*$H$8+$I$53*$I$8+$J$53*$J$8+$K$53*$K$8+$L$53*$L$8+$M$53*$M$8+$N$53*$N$8+$O$53*$O$8+$P$53*$P$8</f>
        <v>0</v>
      </c>
      <c r="T53" s="12">
        <f>SUM($Q$53:$R$53)</f>
        <v>0</v>
      </c>
      <c r="U53" s="12">
        <f>$S$53+$T$53</f>
        <v>0</v>
      </c>
    </row>
    <row r="54" spans="1:21" x14ac:dyDescent="0.3">
      <c r="A54" s="13" t="s">
        <v>192</v>
      </c>
      <c r="B54" s="14" t="s">
        <v>177</v>
      </c>
      <c r="C54" s="14"/>
      <c r="D54" s="14" t="s">
        <v>193</v>
      </c>
      <c r="E54" s="14">
        <f xml:space="preserve"> IF($U$54,1,0)</f>
        <v>0</v>
      </c>
      <c r="F54" s="14" t="s">
        <v>194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5">
        <v>0</v>
      </c>
      <c r="R54" s="15">
        <v>0</v>
      </c>
      <c r="S54" s="15">
        <f>$G$54*$G$8+$H$54*$H$8+$I$54*$I$8+$J$54*$J$8+$K$54*$K$8+$L$54*$L$8+$M$54*$M$8+$N$54*$N$8+$O$54*$O$8+$P$54*$P$8</f>
        <v>0</v>
      </c>
      <c r="T54" s="15">
        <f>SUM($Q$54:$R$54)</f>
        <v>0</v>
      </c>
      <c r="U54" s="15">
        <f>$S$54+$T$54</f>
        <v>0</v>
      </c>
    </row>
    <row r="55" spans="1:21" x14ac:dyDescent="0.3">
      <c r="A55" s="10" t="s">
        <v>195</v>
      </c>
      <c r="B55" s="11" t="s">
        <v>177</v>
      </c>
      <c r="C55" s="11"/>
      <c r="D55" s="11" t="s">
        <v>196</v>
      </c>
      <c r="E55" s="11">
        <f xml:space="preserve"> IF($U$55,1,0)</f>
        <v>0</v>
      </c>
      <c r="F55" s="11" t="s">
        <v>197</v>
      </c>
      <c r="G55" s="11">
        <v>0</v>
      </c>
      <c r="H55" s="11">
        <v>0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2">
        <v>0</v>
      </c>
      <c r="R55" s="12">
        <v>0</v>
      </c>
      <c r="S55" s="12">
        <f>$G$55*$G$8+$H$55*$H$8+$I$55*$I$8+$J$55*$J$8+$K$55*$K$8+$L$55*$L$8+$M$55*$M$8+$N$55*$N$8+$O$55*$O$8+$P$55*$P$8</f>
        <v>0</v>
      </c>
      <c r="T55" s="12">
        <f>SUM($Q$55:$R$55)</f>
        <v>0</v>
      </c>
      <c r="U55" s="12">
        <f>$S$55+$T$55</f>
        <v>0</v>
      </c>
    </row>
    <row r="56" spans="1:21" x14ac:dyDescent="0.3">
      <c r="A56" s="13" t="s">
        <v>198</v>
      </c>
      <c r="B56" s="14" t="s">
        <v>177</v>
      </c>
      <c r="C56" s="14" t="s">
        <v>65</v>
      </c>
      <c r="D56" s="14" t="s">
        <v>199</v>
      </c>
      <c r="E56" s="14">
        <f xml:space="preserve"> IF($U$56,1,0)</f>
        <v>0</v>
      </c>
      <c r="F56" s="14" t="s">
        <v>200</v>
      </c>
      <c r="G56" s="14">
        <v>0</v>
      </c>
      <c r="H56" s="14">
        <v>0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5">
        <v>0</v>
      </c>
      <c r="R56" s="15">
        <v>0</v>
      </c>
      <c r="S56" s="15">
        <f>$G$56*$G$8+$H$56*$H$8+$I$56*$I$8+$J$56*$J$8+$K$56*$K$8+$L$56*$L$8+$M$56*$M$8+$N$56*$N$8+$O$56*$O$8+$P$56*$P$8</f>
        <v>0</v>
      </c>
      <c r="T56" s="15">
        <f>SUM($Q$56:$R$56)</f>
        <v>0</v>
      </c>
      <c r="U56" s="15">
        <f>$S$56+$T$56</f>
        <v>0</v>
      </c>
    </row>
    <row r="57" spans="1:21" x14ac:dyDescent="0.3">
      <c r="A57" s="10" t="s">
        <v>201</v>
      </c>
      <c r="B57" s="11" t="s">
        <v>177</v>
      </c>
      <c r="C57" s="11" t="s">
        <v>202</v>
      </c>
      <c r="D57" s="11" t="s">
        <v>203</v>
      </c>
      <c r="E57" s="11">
        <f xml:space="preserve"> IF($U$57,1,0)</f>
        <v>0</v>
      </c>
      <c r="F57" s="11" t="s">
        <v>204</v>
      </c>
      <c r="G57" s="11">
        <v>0</v>
      </c>
      <c r="H57" s="11">
        <v>0</v>
      </c>
      <c r="I57" s="11">
        <v>0</v>
      </c>
      <c r="J57" s="11">
        <v>0</v>
      </c>
      <c r="K57" s="11">
        <v>0</v>
      </c>
      <c r="L57" s="11">
        <v>0</v>
      </c>
      <c r="M57" s="11">
        <v>0</v>
      </c>
      <c r="N57" s="11">
        <v>0</v>
      </c>
      <c r="O57" s="11">
        <v>0</v>
      </c>
      <c r="P57" s="11">
        <v>0</v>
      </c>
      <c r="Q57" s="12">
        <v>0</v>
      </c>
      <c r="R57" s="12">
        <v>0</v>
      </c>
      <c r="S57" s="12">
        <f>$G$57*$G$8+$H$57*$H$8+$I$57*$I$8+$J$57*$J$8+$K$57*$K$8+$L$57*$L$8+$M$57*$M$8+$N$57*$N$8+$O$57*$O$8+$P$57*$P$8</f>
        <v>0</v>
      </c>
      <c r="T57" s="12">
        <f>SUM($Q$57:$R$57)</f>
        <v>0</v>
      </c>
      <c r="U57" s="12">
        <f>$S$57+$T$57</f>
        <v>0</v>
      </c>
    </row>
    <row r="58" spans="1:21" x14ac:dyDescent="0.3">
      <c r="A58" s="13" t="s">
        <v>205</v>
      </c>
      <c r="B58" s="14" t="s">
        <v>206</v>
      </c>
      <c r="C58" s="14"/>
      <c r="D58" s="14" t="s">
        <v>207</v>
      </c>
      <c r="E58" s="14">
        <f xml:space="preserve"> IF($U$58,1,0)</f>
        <v>0</v>
      </c>
      <c r="F58" s="14" t="s">
        <v>208</v>
      </c>
      <c r="G58" s="14">
        <v>0</v>
      </c>
      <c r="H58" s="14">
        <v>0</v>
      </c>
      <c r="I58" s="14">
        <v>0</v>
      </c>
      <c r="J58" s="14">
        <v>0</v>
      </c>
      <c r="K58" s="14">
        <v>0</v>
      </c>
      <c r="L58" s="14">
        <v>0</v>
      </c>
      <c r="M58" s="14">
        <v>0</v>
      </c>
      <c r="N58" s="14">
        <v>0</v>
      </c>
      <c r="O58" s="14">
        <v>0</v>
      </c>
      <c r="P58" s="14">
        <v>0</v>
      </c>
      <c r="Q58" s="15">
        <v>0</v>
      </c>
      <c r="R58" s="15">
        <v>0</v>
      </c>
      <c r="S58" s="15">
        <f>$G$58*$G$8+$H$58*$H$8+$I$58*$I$8+$J$58*$J$8+$K$58*$K$8+$L$58*$L$8+$M$58*$M$8+$N$58*$N$8+$O$58*$O$8+$P$58*$P$8</f>
        <v>0</v>
      </c>
      <c r="T58" s="15">
        <f>SUM($Q$58:$R$58)</f>
        <v>0</v>
      </c>
      <c r="U58" s="15">
        <f>$S$58+$T$58</f>
        <v>0</v>
      </c>
    </row>
    <row r="59" spans="1:21" x14ac:dyDescent="0.3">
      <c r="A59" s="10" t="s">
        <v>209</v>
      </c>
      <c r="B59" s="11" t="s">
        <v>210</v>
      </c>
      <c r="C59" s="11"/>
      <c r="D59" s="11" t="s">
        <v>211</v>
      </c>
      <c r="E59" s="11">
        <f xml:space="preserve"> IF($U$59,1,0)</f>
        <v>0</v>
      </c>
      <c r="F59" s="11" t="s">
        <v>212</v>
      </c>
      <c r="G59" s="11">
        <v>0</v>
      </c>
      <c r="H59" s="11">
        <v>0</v>
      </c>
      <c r="I59" s="11">
        <v>0</v>
      </c>
      <c r="J59" s="11">
        <v>0</v>
      </c>
      <c r="K59" s="11">
        <v>0</v>
      </c>
      <c r="L59" s="11">
        <v>0</v>
      </c>
      <c r="M59" s="11">
        <v>0</v>
      </c>
      <c r="N59" s="11">
        <v>0</v>
      </c>
      <c r="O59" s="11">
        <v>0</v>
      </c>
      <c r="P59" s="11">
        <v>0</v>
      </c>
      <c r="Q59" s="12">
        <v>0</v>
      </c>
      <c r="R59" s="12">
        <v>0</v>
      </c>
      <c r="S59" s="12">
        <f>$G$59*$G$8+$H$59*$H$8+$I$59*$I$8+$J$59*$J$8+$K$59*$K$8+$L$59*$L$8+$M$59*$M$8+$N$59*$N$8+$O$59*$O$8+$P$59*$P$8</f>
        <v>0</v>
      </c>
      <c r="T59" s="12">
        <f>SUM($Q$59:$R$59)</f>
        <v>0</v>
      </c>
      <c r="U59" s="12">
        <f>$S$59+$T$59</f>
        <v>0</v>
      </c>
    </row>
    <row r="60" spans="1:21" x14ac:dyDescent="0.3">
      <c r="A60" s="13" t="s">
        <v>213</v>
      </c>
      <c r="B60" s="14" t="s">
        <v>210</v>
      </c>
      <c r="C60" s="14"/>
      <c r="D60" s="14" t="s">
        <v>214</v>
      </c>
      <c r="E60" s="14">
        <f xml:space="preserve"> IF($U$60,1,0)</f>
        <v>0</v>
      </c>
      <c r="F60" s="14" t="s">
        <v>215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0</v>
      </c>
      <c r="M60" s="14">
        <v>0</v>
      </c>
      <c r="N60" s="14">
        <v>0</v>
      </c>
      <c r="O60" s="14">
        <v>0</v>
      </c>
      <c r="P60" s="14">
        <v>0</v>
      </c>
      <c r="Q60" s="15">
        <v>0</v>
      </c>
      <c r="R60" s="15">
        <v>0</v>
      </c>
      <c r="S60" s="15">
        <f>$G$60*$G$8+$H$60*$H$8+$I$60*$I$8+$J$60*$J$8+$K$60*$K$8+$L$60*$L$8+$M$60*$M$8+$N$60*$N$8+$O$60*$O$8+$P$60*$P$8</f>
        <v>0</v>
      </c>
      <c r="T60" s="15">
        <f>SUM($Q$60:$R$60)</f>
        <v>0</v>
      </c>
      <c r="U60" s="15">
        <f>$S$60+$T$60</f>
        <v>0</v>
      </c>
    </row>
    <row r="61" spans="1:21" x14ac:dyDescent="0.3">
      <c r="A61" s="10" t="s">
        <v>216</v>
      </c>
      <c r="B61" s="11" t="s">
        <v>217</v>
      </c>
      <c r="C61" s="11"/>
      <c r="D61" s="11" t="s">
        <v>218</v>
      </c>
      <c r="E61" s="11">
        <f xml:space="preserve"> IF($U$61,1,0)</f>
        <v>0</v>
      </c>
      <c r="F61" s="11" t="s">
        <v>219</v>
      </c>
      <c r="G61" s="11">
        <v>0</v>
      </c>
      <c r="H61" s="11">
        <v>0</v>
      </c>
      <c r="I61" s="11">
        <v>0</v>
      </c>
      <c r="J61" s="11">
        <v>0</v>
      </c>
      <c r="K61" s="11">
        <v>0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2">
        <v>0</v>
      </c>
      <c r="R61" s="12">
        <v>0</v>
      </c>
      <c r="S61" s="12">
        <f>$G$61*$G$8+$H$61*$H$8+$I$61*$I$8+$J$61*$J$8+$K$61*$K$8+$L$61*$L$8+$M$61*$M$8+$N$61*$N$8+$O$61*$O$8+$P$61*$P$8</f>
        <v>0</v>
      </c>
      <c r="T61" s="12">
        <f>SUM($Q$61:$R$61)</f>
        <v>0</v>
      </c>
      <c r="U61" s="12">
        <f>$S$61+$T$61</f>
        <v>0</v>
      </c>
    </row>
    <row r="62" spans="1:21" x14ac:dyDescent="0.3">
      <c r="A62" s="13" t="s">
        <v>220</v>
      </c>
      <c r="B62" s="14" t="s">
        <v>221</v>
      </c>
      <c r="C62" s="14" t="s">
        <v>34</v>
      </c>
      <c r="D62" s="14" t="s">
        <v>222</v>
      </c>
      <c r="E62" s="14">
        <f xml:space="preserve"> IF($U$62,1,0)</f>
        <v>0</v>
      </c>
      <c r="F62" s="14" t="s">
        <v>223</v>
      </c>
      <c r="G62" s="14">
        <v>0</v>
      </c>
      <c r="H62" s="14">
        <v>0</v>
      </c>
      <c r="I62" s="14">
        <v>0</v>
      </c>
      <c r="J62" s="14">
        <v>0</v>
      </c>
      <c r="K62" s="14">
        <v>0</v>
      </c>
      <c r="L62" s="14">
        <v>0</v>
      </c>
      <c r="M62" s="14">
        <v>0</v>
      </c>
      <c r="N62" s="14">
        <v>0</v>
      </c>
      <c r="O62" s="14">
        <v>0</v>
      </c>
      <c r="P62" s="14">
        <v>0</v>
      </c>
      <c r="Q62" s="15">
        <v>0</v>
      </c>
      <c r="R62" s="15">
        <v>0</v>
      </c>
      <c r="S62" s="15">
        <f>$G$62*$G$8+$H$62*$H$8+$I$62*$I$8+$J$62*$J$8+$K$62*$K$8+$L$62*$L$8+$M$62*$M$8+$N$62*$N$8+$O$62*$O$8+$P$62*$P$8</f>
        <v>0</v>
      </c>
      <c r="T62" s="15">
        <f>SUM($Q$62:$R$62)</f>
        <v>0</v>
      </c>
      <c r="U62" s="15">
        <f>$S$62+$T$62</f>
        <v>0</v>
      </c>
    </row>
    <row r="63" spans="1:21" x14ac:dyDescent="0.3">
      <c r="A63" s="10" t="s">
        <v>224</v>
      </c>
      <c r="B63" s="11" t="s">
        <v>225</v>
      </c>
      <c r="C63" s="11"/>
      <c r="D63" s="11" t="s">
        <v>226</v>
      </c>
      <c r="E63" s="11">
        <f xml:space="preserve"> IF($U$63,1,0)</f>
        <v>0</v>
      </c>
      <c r="F63" s="11" t="s">
        <v>227</v>
      </c>
      <c r="G63" s="11">
        <v>0</v>
      </c>
      <c r="H63" s="11">
        <v>0</v>
      </c>
      <c r="I63" s="11">
        <v>0</v>
      </c>
      <c r="J63" s="11">
        <v>0</v>
      </c>
      <c r="K63" s="11">
        <v>0</v>
      </c>
      <c r="L63" s="11">
        <v>0</v>
      </c>
      <c r="M63" s="11">
        <v>0</v>
      </c>
      <c r="N63" s="11">
        <v>0</v>
      </c>
      <c r="O63" s="11">
        <v>0</v>
      </c>
      <c r="P63" s="11">
        <v>0</v>
      </c>
      <c r="Q63" s="12">
        <v>0</v>
      </c>
      <c r="R63" s="12">
        <v>0</v>
      </c>
      <c r="S63" s="12">
        <f>$G$63*$G$8+$H$63*$H$8+$I$63*$I$8+$J$63*$J$8+$K$63*$K$8+$L$63*$L$8+$M$63*$M$8+$N$63*$N$8+$O$63*$O$8+$P$63*$P$8</f>
        <v>0</v>
      </c>
      <c r="T63" s="12">
        <f>SUM($Q$63:$R$63)</f>
        <v>0</v>
      </c>
      <c r="U63" s="12">
        <f>$S$63+$T$63</f>
        <v>0</v>
      </c>
    </row>
    <row r="64" spans="1:21" x14ac:dyDescent="0.3">
      <c r="A64" s="13" t="s">
        <v>228</v>
      </c>
      <c r="B64" s="14" t="s">
        <v>225</v>
      </c>
      <c r="C64" s="14"/>
      <c r="D64" s="14" t="s">
        <v>229</v>
      </c>
      <c r="E64" s="14">
        <f xml:space="preserve"> IF($U$64,1,0)</f>
        <v>0</v>
      </c>
      <c r="F64" s="14" t="s">
        <v>230</v>
      </c>
      <c r="G64" s="14">
        <v>0</v>
      </c>
      <c r="H64" s="14">
        <v>0</v>
      </c>
      <c r="I64" s="14">
        <v>0</v>
      </c>
      <c r="J64" s="14">
        <v>0</v>
      </c>
      <c r="K64" s="14">
        <v>0</v>
      </c>
      <c r="L64" s="14">
        <v>0</v>
      </c>
      <c r="M64" s="14">
        <v>0</v>
      </c>
      <c r="N64" s="14">
        <v>0</v>
      </c>
      <c r="O64" s="14">
        <v>0</v>
      </c>
      <c r="P64" s="14">
        <v>0</v>
      </c>
      <c r="Q64" s="15">
        <v>0</v>
      </c>
      <c r="R64" s="15">
        <v>0</v>
      </c>
      <c r="S64" s="15">
        <f>$G$64*$G$8+$H$64*$H$8+$I$64*$I$8+$J$64*$J$8+$K$64*$K$8+$L$64*$L$8+$M$64*$M$8+$N$64*$N$8+$O$64*$O$8+$P$64*$P$8</f>
        <v>0</v>
      </c>
      <c r="T64" s="15">
        <f>SUM($Q$64:$R$64)</f>
        <v>0</v>
      </c>
      <c r="U64" s="15">
        <f>$S$64+$T$64</f>
        <v>0</v>
      </c>
    </row>
    <row r="65" spans="1:21" x14ac:dyDescent="0.3">
      <c r="A65" s="10" t="s">
        <v>231</v>
      </c>
      <c r="B65" s="11" t="s">
        <v>225</v>
      </c>
      <c r="C65" s="11"/>
      <c r="D65" s="11" t="s">
        <v>232</v>
      </c>
      <c r="E65" s="11">
        <f xml:space="preserve"> IF($U$65,1,0)</f>
        <v>0</v>
      </c>
      <c r="F65" s="11" t="s">
        <v>233</v>
      </c>
      <c r="G65" s="11">
        <v>0</v>
      </c>
      <c r="H65" s="11">
        <v>0</v>
      </c>
      <c r="I65" s="11">
        <v>0</v>
      </c>
      <c r="J65" s="11">
        <v>0</v>
      </c>
      <c r="K65" s="11">
        <v>0</v>
      </c>
      <c r="L65" s="11">
        <v>0</v>
      </c>
      <c r="M65" s="11">
        <v>0</v>
      </c>
      <c r="N65" s="11">
        <v>0</v>
      </c>
      <c r="O65" s="11">
        <v>0</v>
      </c>
      <c r="P65" s="11">
        <v>0</v>
      </c>
      <c r="Q65" s="12">
        <v>0</v>
      </c>
      <c r="R65" s="12">
        <v>0</v>
      </c>
      <c r="S65" s="12">
        <f>$G$65*$G$8+$H$65*$H$8+$I$65*$I$8+$J$65*$J$8+$K$65*$K$8+$L$65*$L$8+$M$65*$M$8+$N$65*$N$8+$O$65*$O$8+$P$65*$P$8</f>
        <v>0</v>
      </c>
      <c r="T65" s="12">
        <f>SUM($Q$65:$R$65)</f>
        <v>0</v>
      </c>
      <c r="U65" s="12">
        <f>$S$65+$T$65</f>
        <v>0</v>
      </c>
    </row>
    <row r="66" spans="1:21" x14ac:dyDescent="0.3">
      <c r="A66" s="13" t="s">
        <v>234</v>
      </c>
      <c r="B66" s="14" t="s">
        <v>235</v>
      </c>
      <c r="C66" s="14"/>
      <c r="D66" s="14" t="s">
        <v>236</v>
      </c>
      <c r="E66" s="14">
        <f xml:space="preserve"> IF($U$66,1,0)</f>
        <v>0</v>
      </c>
      <c r="F66" s="14" t="s">
        <v>237</v>
      </c>
      <c r="G66" s="14">
        <v>0</v>
      </c>
      <c r="H66" s="14">
        <v>0</v>
      </c>
      <c r="I66" s="14">
        <v>0</v>
      </c>
      <c r="J66" s="14">
        <v>0</v>
      </c>
      <c r="K66" s="14">
        <v>0</v>
      </c>
      <c r="L66" s="14">
        <v>0</v>
      </c>
      <c r="M66" s="14">
        <v>0</v>
      </c>
      <c r="N66" s="14">
        <v>0</v>
      </c>
      <c r="O66" s="14">
        <v>0</v>
      </c>
      <c r="P66" s="14">
        <v>0</v>
      </c>
      <c r="Q66" s="15">
        <v>0</v>
      </c>
      <c r="R66" s="15">
        <v>0</v>
      </c>
      <c r="S66" s="15">
        <f>$G$66*$G$8+$H$66*$H$8+$I$66*$I$8+$J$66*$J$8+$K$66*$K$8+$L$66*$L$8+$M$66*$M$8+$N$66*$N$8+$O$66*$O$8+$P$66*$P$8</f>
        <v>0</v>
      </c>
      <c r="T66" s="15">
        <f>SUM($Q$66:$R$66)</f>
        <v>0</v>
      </c>
      <c r="U66" s="15">
        <f>$S$66+$T$66</f>
        <v>0</v>
      </c>
    </row>
    <row r="67" spans="1:21" x14ac:dyDescent="0.3">
      <c r="A67" s="10" t="s">
        <v>238</v>
      </c>
      <c r="B67" s="11" t="s">
        <v>235</v>
      </c>
      <c r="C67" s="11" t="s">
        <v>34</v>
      </c>
      <c r="D67" s="11" t="s">
        <v>239</v>
      </c>
      <c r="E67" s="11">
        <f xml:space="preserve"> IF($U$67,1,0)</f>
        <v>0</v>
      </c>
      <c r="F67" s="11" t="s">
        <v>240</v>
      </c>
      <c r="G67" s="11">
        <v>0</v>
      </c>
      <c r="H67" s="11">
        <v>0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2">
        <v>0</v>
      </c>
      <c r="R67" s="12">
        <v>0</v>
      </c>
      <c r="S67" s="12">
        <f>$G$67*$G$8+$H$67*$H$8+$I$67*$I$8+$J$67*$J$8+$K$67*$K$8+$L$67*$L$8+$M$67*$M$8+$N$67*$N$8+$O$67*$O$8+$P$67*$P$8</f>
        <v>0</v>
      </c>
      <c r="T67" s="12">
        <f>SUM($Q$67:$R$67)</f>
        <v>0</v>
      </c>
      <c r="U67" s="12">
        <f>$S$67+$T$67</f>
        <v>0</v>
      </c>
    </row>
    <row r="68" spans="1:21" x14ac:dyDescent="0.3">
      <c r="A68" s="13" t="s">
        <v>241</v>
      </c>
      <c r="B68" s="14" t="s">
        <v>242</v>
      </c>
      <c r="C68" s="14" t="s">
        <v>243</v>
      </c>
      <c r="D68" s="14" t="s">
        <v>244</v>
      </c>
      <c r="E68" s="14">
        <f xml:space="preserve"> IF($U$68,1,0)</f>
        <v>0</v>
      </c>
      <c r="F68" s="14" t="s">
        <v>245</v>
      </c>
      <c r="G68" s="14">
        <v>0</v>
      </c>
      <c r="H68" s="14">
        <v>0</v>
      </c>
      <c r="I68" s="14">
        <v>0</v>
      </c>
      <c r="J68" s="14">
        <v>0</v>
      </c>
      <c r="K68" s="14">
        <v>0</v>
      </c>
      <c r="L68" s="14">
        <v>0</v>
      </c>
      <c r="M68" s="14">
        <v>0</v>
      </c>
      <c r="N68" s="14">
        <v>0</v>
      </c>
      <c r="O68" s="14">
        <v>0</v>
      </c>
      <c r="P68" s="14">
        <v>0</v>
      </c>
      <c r="Q68" s="15">
        <v>0</v>
      </c>
      <c r="R68" s="15">
        <v>0</v>
      </c>
      <c r="S68" s="15">
        <f>$G$68*$G$8+$H$68*$H$8+$I$68*$I$8+$J$68*$J$8+$K$68*$K$8+$L$68*$L$8+$M$68*$M$8+$N$68*$N$8+$O$68*$O$8+$P$68*$P$8</f>
        <v>0</v>
      </c>
      <c r="T68" s="15">
        <f>SUM($Q$68:$R$68)</f>
        <v>0</v>
      </c>
      <c r="U68" s="15">
        <f>$S$68+$T$68</f>
        <v>0</v>
      </c>
    </row>
    <row r="69" spans="1:21" x14ac:dyDescent="0.3">
      <c r="A69" s="10" t="s">
        <v>246</v>
      </c>
      <c r="B69" s="11" t="s">
        <v>242</v>
      </c>
      <c r="C69" s="11"/>
      <c r="D69" s="11" t="s">
        <v>247</v>
      </c>
      <c r="E69" s="11">
        <f xml:space="preserve"> IF($U$69,1,0)</f>
        <v>0</v>
      </c>
      <c r="F69" s="11" t="s">
        <v>248</v>
      </c>
      <c r="G69" s="11">
        <v>0</v>
      </c>
      <c r="H69" s="11">
        <v>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2">
        <v>0</v>
      </c>
      <c r="R69" s="12">
        <v>0</v>
      </c>
      <c r="S69" s="12">
        <f>$G$69*$G$8+$H$69*$H$8+$I$69*$I$8+$J$69*$J$8+$K$69*$K$8+$L$69*$L$8+$M$69*$M$8+$N$69*$N$8+$O$69*$O$8+$P$69*$P$8</f>
        <v>0</v>
      </c>
      <c r="T69" s="12">
        <f>SUM($Q$69:$R$69)</f>
        <v>0</v>
      </c>
      <c r="U69" s="12">
        <f>$S$69+$T$69</f>
        <v>0</v>
      </c>
    </row>
    <row r="70" spans="1:21" x14ac:dyDescent="0.3">
      <c r="A70" s="13" t="s">
        <v>249</v>
      </c>
      <c r="B70" s="14" t="s">
        <v>242</v>
      </c>
      <c r="C70" s="14" t="s">
        <v>34</v>
      </c>
      <c r="D70" s="14" t="s">
        <v>250</v>
      </c>
      <c r="E70" s="14">
        <f xml:space="preserve"> IF($U$70,1,0)</f>
        <v>0</v>
      </c>
      <c r="F70" s="14" t="s">
        <v>251</v>
      </c>
      <c r="G70" s="14">
        <v>0</v>
      </c>
      <c r="H70" s="14">
        <v>0</v>
      </c>
      <c r="I70" s="14">
        <v>0</v>
      </c>
      <c r="J70" s="14">
        <v>0</v>
      </c>
      <c r="K70" s="14">
        <v>0</v>
      </c>
      <c r="L70" s="14">
        <v>0</v>
      </c>
      <c r="M70" s="14">
        <v>0</v>
      </c>
      <c r="N70" s="14">
        <v>0</v>
      </c>
      <c r="O70" s="14">
        <v>0</v>
      </c>
      <c r="P70" s="14">
        <v>0</v>
      </c>
      <c r="Q70" s="15">
        <v>0</v>
      </c>
      <c r="R70" s="15">
        <v>0</v>
      </c>
      <c r="S70" s="15">
        <f>$G$70*$G$8+$H$70*$H$8+$I$70*$I$8+$J$70*$J$8+$K$70*$K$8+$L$70*$L$8+$M$70*$M$8+$N$70*$N$8+$O$70*$O$8+$P$70*$P$8</f>
        <v>0</v>
      </c>
      <c r="T70" s="15">
        <f>SUM($Q$70:$R$70)</f>
        <v>0</v>
      </c>
      <c r="U70" s="15">
        <f>$S$70+$T$70</f>
        <v>0</v>
      </c>
    </row>
    <row r="71" spans="1:21" x14ac:dyDescent="0.3">
      <c r="A71" s="10" t="s">
        <v>252</v>
      </c>
      <c r="B71" s="11" t="s">
        <v>253</v>
      </c>
      <c r="C71" s="11"/>
      <c r="D71" s="11" t="s">
        <v>254</v>
      </c>
      <c r="E71" s="11">
        <f xml:space="preserve"> IF($U$71,1,0)</f>
        <v>0</v>
      </c>
      <c r="F71" s="11" t="s">
        <v>255</v>
      </c>
      <c r="G71" s="11">
        <v>0</v>
      </c>
      <c r="H71" s="11">
        <v>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0</v>
      </c>
      <c r="O71" s="11">
        <v>0</v>
      </c>
      <c r="P71" s="11">
        <v>0</v>
      </c>
      <c r="Q71" s="12">
        <v>0</v>
      </c>
      <c r="R71" s="12">
        <v>0</v>
      </c>
      <c r="S71" s="12">
        <f>$G$71*$G$8+$H$71*$H$8+$I$71*$I$8+$J$71*$J$8+$K$71*$K$8+$L$71*$L$8+$M$71*$M$8+$N$71*$N$8+$O$71*$O$8+$P$71*$P$8</f>
        <v>0</v>
      </c>
      <c r="T71" s="12">
        <f>SUM($Q$71:$R$71)</f>
        <v>0</v>
      </c>
      <c r="U71" s="12">
        <f>$S$71+$T$71</f>
        <v>0</v>
      </c>
    </row>
    <row r="72" spans="1:21" x14ac:dyDescent="0.3">
      <c r="A72" s="13" t="s">
        <v>1283</v>
      </c>
      <c r="B72" s="14" t="s">
        <v>1284</v>
      </c>
      <c r="C72" s="14"/>
      <c r="D72" s="14" t="s">
        <v>1285</v>
      </c>
      <c r="E72" s="14">
        <f xml:space="preserve"> IF($U$72,1,0)</f>
        <v>0</v>
      </c>
      <c r="F72" s="14" t="s">
        <v>1286</v>
      </c>
      <c r="G72" s="14">
        <v>0</v>
      </c>
      <c r="H72" s="14">
        <v>0</v>
      </c>
      <c r="I72" s="14">
        <v>0</v>
      </c>
      <c r="J72" s="14">
        <v>0</v>
      </c>
      <c r="K72" s="14">
        <v>0</v>
      </c>
      <c r="L72" s="14">
        <v>0</v>
      </c>
      <c r="M72" s="14">
        <v>0</v>
      </c>
      <c r="N72" s="14">
        <v>0</v>
      </c>
      <c r="O72" s="14">
        <v>0</v>
      </c>
      <c r="P72" s="14">
        <v>0</v>
      </c>
      <c r="Q72" s="15">
        <v>0</v>
      </c>
      <c r="R72" s="15">
        <v>0</v>
      </c>
      <c r="S72" s="15">
        <f>$G$72*$G$8+$H$72*$H$8+$I$72*$I$8+$J$72*$J$8+$K$72*$K$8+$L$72*$L$8+$M$72*$M$8+$N$72*$N$8+$O$72*$O$8+$P$72*$P$8</f>
        <v>0</v>
      </c>
      <c r="T72" s="15">
        <f>SUM($Q$72:$R$72)</f>
        <v>0</v>
      </c>
      <c r="U72" s="15">
        <f>$S$72+$T$72</f>
        <v>0</v>
      </c>
    </row>
    <row r="73" spans="1:21" x14ac:dyDescent="0.3">
      <c r="A73" s="10" t="s">
        <v>256</v>
      </c>
      <c r="B73" s="11" t="s">
        <v>257</v>
      </c>
      <c r="C73" s="11"/>
      <c r="D73" s="11" t="s">
        <v>258</v>
      </c>
      <c r="E73" s="11">
        <f xml:space="preserve"> IF($U$73,1,0)</f>
        <v>0</v>
      </c>
      <c r="F73" s="11" t="s">
        <v>259</v>
      </c>
      <c r="G73" s="11">
        <v>0</v>
      </c>
      <c r="H73" s="11">
        <v>0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2">
        <v>0</v>
      </c>
      <c r="R73" s="12">
        <v>0</v>
      </c>
      <c r="S73" s="12">
        <f>$G$73*$G$8+$H$73*$H$8+$I$73*$I$8+$J$73*$J$8+$K$73*$K$8+$L$73*$L$8+$M$73*$M$8+$N$73*$N$8+$O$73*$O$8+$P$73*$P$8</f>
        <v>0</v>
      </c>
      <c r="T73" s="12">
        <f>SUM($Q$73:$R$73)</f>
        <v>0</v>
      </c>
      <c r="U73" s="12">
        <f>$S$73+$T$73</f>
        <v>0</v>
      </c>
    </row>
    <row r="74" spans="1:21" x14ac:dyDescent="0.3">
      <c r="A74" s="13" t="s">
        <v>1248</v>
      </c>
      <c r="B74" s="14" t="s">
        <v>1249</v>
      </c>
      <c r="C74" s="14"/>
      <c r="D74" s="14" t="s">
        <v>1250</v>
      </c>
      <c r="E74" s="14">
        <f xml:space="preserve"> IF($U$74,1,0)</f>
        <v>0</v>
      </c>
      <c r="F74" s="14" t="s">
        <v>1251</v>
      </c>
      <c r="G74" s="14">
        <v>0</v>
      </c>
      <c r="H74" s="14">
        <v>0</v>
      </c>
      <c r="I74" s="14">
        <v>0</v>
      </c>
      <c r="J74" s="14">
        <v>0</v>
      </c>
      <c r="K74" s="14">
        <v>0</v>
      </c>
      <c r="L74" s="14">
        <v>0</v>
      </c>
      <c r="M74" s="14">
        <v>0</v>
      </c>
      <c r="N74" s="14">
        <v>0</v>
      </c>
      <c r="O74" s="14">
        <v>0</v>
      </c>
      <c r="P74" s="14">
        <v>0</v>
      </c>
      <c r="Q74" s="15">
        <v>0</v>
      </c>
      <c r="R74" s="15">
        <v>0</v>
      </c>
      <c r="S74" s="15">
        <f>$G$74*$G$8+$H$74*$H$8+$I$74*$I$8+$J$74*$J$8+$K$74*$K$8+$L$74*$L$8+$M$74*$M$8+$N$74*$N$8+$O$74*$O$8+$P$74*$P$8</f>
        <v>0</v>
      </c>
      <c r="T74" s="15">
        <f>SUM($Q$74:$R$74)</f>
        <v>0</v>
      </c>
      <c r="U74" s="15">
        <f>$S$74+$T$74</f>
        <v>0</v>
      </c>
    </row>
    <row r="75" spans="1:21" x14ac:dyDescent="0.3">
      <c r="A75" s="10" t="s">
        <v>260</v>
      </c>
      <c r="B75" s="11" t="s">
        <v>261</v>
      </c>
      <c r="C75" s="11"/>
      <c r="D75" s="11" t="s">
        <v>262</v>
      </c>
      <c r="E75" s="11">
        <f xml:space="preserve"> IF($U$75,1,0)</f>
        <v>0</v>
      </c>
      <c r="F75" s="11" t="s">
        <v>263</v>
      </c>
      <c r="G75" s="11">
        <v>0</v>
      </c>
      <c r="H75" s="11">
        <v>0</v>
      </c>
      <c r="I75" s="11">
        <v>0</v>
      </c>
      <c r="J75" s="11">
        <v>0</v>
      </c>
      <c r="K75" s="11">
        <v>0</v>
      </c>
      <c r="L75" s="11">
        <v>0</v>
      </c>
      <c r="M75" s="11">
        <v>0</v>
      </c>
      <c r="N75" s="11">
        <v>0</v>
      </c>
      <c r="O75" s="11">
        <v>0</v>
      </c>
      <c r="P75" s="11">
        <v>0</v>
      </c>
      <c r="Q75" s="12">
        <v>0</v>
      </c>
      <c r="R75" s="12">
        <v>0</v>
      </c>
      <c r="S75" s="12">
        <f>$G$75*$G$8+$H$75*$H$8+$I$75*$I$8+$J$75*$J$8+$K$75*$K$8+$L$75*$L$8+$M$75*$M$8+$N$75*$N$8+$O$75*$O$8+$P$75*$P$8</f>
        <v>0</v>
      </c>
      <c r="T75" s="12">
        <f>SUM($Q$75:$R$75)</f>
        <v>0</v>
      </c>
      <c r="U75" s="12">
        <f>$S$75+$T$75</f>
        <v>0</v>
      </c>
    </row>
    <row r="76" spans="1:21" x14ac:dyDescent="0.3">
      <c r="A76" s="13" t="s">
        <v>264</v>
      </c>
      <c r="B76" s="14" t="s">
        <v>265</v>
      </c>
      <c r="C76" s="14"/>
      <c r="D76" s="14" t="s">
        <v>266</v>
      </c>
      <c r="E76" s="14">
        <f xml:space="preserve"> IF($U$76,1,0)</f>
        <v>0</v>
      </c>
      <c r="F76" s="14" t="s">
        <v>267</v>
      </c>
      <c r="G76" s="14">
        <v>0</v>
      </c>
      <c r="H76" s="14">
        <v>0</v>
      </c>
      <c r="I76" s="14">
        <v>0</v>
      </c>
      <c r="J76" s="14">
        <v>0</v>
      </c>
      <c r="K76" s="14">
        <v>0</v>
      </c>
      <c r="L76" s="14">
        <v>0</v>
      </c>
      <c r="M76" s="14">
        <v>0</v>
      </c>
      <c r="N76" s="14">
        <v>0</v>
      </c>
      <c r="O76" s="14">
        <v>0</v>
      </c>
      <c r="P76" s="14">
        <v>0</v>
      </c>
      <c r="Q76" s="15">
        <v>0</v>
      </c>
      <c r="R76" s="15">
        <v>0</v>
      </c>
      <c r="S76" s="15">
        <f>$G$76*$G$8+$H$76*$H$8+$I$76*$I$8+$J$76*$J$8+$K$76*$K$8+$L$76*$L$8+$M$76*$M$8+$N$76*$N$8+$O$76*$O$8+$P$76*$P$8</f>
        <v>0</v>
      </c>
      <c r="T76" s="15">
        <f>SUM($Q$76:$R$76)</f>
        <v>0</v>
      </c>
      <c r="U76" s="15">
        <f>$S$76+$T$76</f>
        <v>0</v>
      </c>
    </row>
    <row r="77" spans="1:21" x14ac:dyDescent="0.3">
      <c r="A77" s="10" t="s">
        <v>268</v>
      </c>
      <c r="B77" s="11" t="s">
        <v>269</v>
      </c>
      <c r="C77" s="11"/>
      <c r="D77" s="11" t="s">
        <v>270</v>
      </c>
      <c r="E77" s="11">
        <f xml:space="preserve"> IF($U$77,1,0)</f>
        <v>0</v>
      </c>
      <c r="F77" s="11" t="s">
        <v>271</v>
      </c>
      <c r="G77" s="11">
        <v>0</v>
      </c>
      <c r="H77" s="11">
        <v>0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2">
        <v>0</v>
      </c>
      <c r="R77" s="12">
        <v>0</v>
      </c>
      <c r="S77" s="12">
        <f>$G$77*$G$8+$H$77*$H$8+$I$77*$I$8+$J$77*$J$8+$K$77*$K$8+$L$77*$L$8+$M$77*$M$8+$N$77*$N$8+$O$77*$O$8+$P$77*$P$8</f>
        <v>0</v>
      </c>
      <c r="T77" s="12">
        <f>SUM($Q$77:$R$77)</f>
        <v>0</v>
      </c>
      <c r="U77" s="12">
        <f>$S$77+$T$77</f>
        <v>0</v>
      </c>
    </row>
    <row r="78" spans="1:21" x14ac:dyDescent="0.3">
      <c r="A78" s="13" t="s">
        <v>272</v>
      </c>
      <c r="B78" s="14" t="s">
        <v>273</v>
      </c>
      <c r="C78" s="14"/>
      <c r="D78" s="14" t="s">
        <v>274</v>
      </c>
      <c r="E78" s="14">
        <f xml:space="preserve"> IF($U$78,1,0)</f>
        <v>0</v>
      </c>
      <c r="F78" s="14" t="s">
        <v>275</v>
      </c>
      <c r="G78" s="14">
        <v>0</v>
      </c>
      <c r="H78" s="14">
        <v>0</v>
      </c>
      <c r="I78" s="14">
        <v>0</v>
      </c>
      <c r="J78" s="14">
        <v>0</v>
      </c>
      <c r="K78" s="14">
        <v>0</v>
      </c>
      <c r="L78" s="14">
        <v>0</v>
      </c>
      <c r="M78" s="14">
        <v>0</v>
      </c>
      <c r="N78" s="14">
        <v>0</v>
      </c>
      <c r="O78" s="14">
        <v>0</v>
      </c>
      <c r="P78" s="14">
        <v>0</v>
      </c>
      <c r="Q78" s="15">
        <v>0</v>
      </c>
      <c r="R78" s="15">
        <v>0</v>
      </c>
      <c r="S78" s="15">
        <f>$G$78*$G$8+$H$78*$H$8+$I$78*$I$8+$J$78*$J$8+$K$78*$K$8+$L$78*$L$8+$M$78*$M$8+$N$78*$N$8+$O$78*$O$8+$P$78*$P$8</f>
        <v>0</v>
      </c>
      <c r="T78" s="15">
        <f>SUM($Q$78:$R$78)</f>
        <v>0</v>
      </c>
      <c r="U78" s="15">
        <f>$S$78+$T$78</f>
        <v>0</v>
      </c>
    </row>
    <row r="79" spans="1:21" x14ac:dyDescent="0.3">
      <c r="A79" s="10" t="s">
        <v>276</v>
      </c>
      <c r="B79" s="11" t="s">
        <v>277</v>
      </c>
      <c r="C79" s="11" t="s">
        <v>278</v>
      </c>
      <c r="D79" s="11" t="s">
        <v>279</v>
      </c>
      <c r="E79" s="11">
        <f xml:space="preserve"> IF($U$79,1,0)</f>
        <v>0</v>
      </c>
      <c r="F79" s="11" t="s">
        <v>280</v>
      </c>
      <c r="G79" s="11">
        <v>0</v>
      </c>
      <c r="H79" s="11">
        <v>0</v>
      </c>
      <c r="I79" s="11">
        <v>0</v>
      </c>
      <c r="J79" s="11">
        <v>0</v>
      </c>
      <c r="K79" s="11">
        <v>0</v>
      </c>
      <c r="L79" s="11">
        <v>0</v>
      </c>
      <c r="M79" s="11">
        <v>0</v>
      </c>
      <c r="N79" s="11">
        <v>0</v>
      </c>
      <c r="O79" s="11">
        <v>0</v>
      </c>
      <c r="P79" s="11">
        <v>0</v>
      </c>
      <c r="Q79" s="12">
        <v>0</v>
      </c>
      <c r="R79" s="12">
        <v>0</v>
      </c>
      <c r="S79" s="12">
        <f>$G$79*$G$8+$H$79*$H$8+$I$79*$I$8+$J$79*$J$8+$K$79*$K$8+$L$79*$L$8+$M$79*$M$8+$N$79*$N$8+$O$79*$O$8+$P$79*$P$8</f>
        <v>0</v>
      </c>
      <c r="T79" s="12">
        <f>SUM($Q$79:$R$79)</f>
        <v>0</v>
      </c>
      <c r="U79" s="12">
        <f>$S$79+$T$79</f>
        <v>0</v>
      </c>
    </row>
    <row r="80" spans="1:21" x14ac:dyDescent="0.3">
      <c r="A80" s="13" t="s">
        <v>281</v>
      </c>
      <c r="B80" s="14" t="s">
        <v>282</v>
      </c>
      <c r="C80" s="14" t="s">
        <v>283</v>
      </c>
      <c r="D80" s="14" t="s">
        <v>284</v>
      </c>
      <c r="E80" s="14">
        <f xml:space="preserve"> IF($U$80,1,0)</f>
        <v>0</v>
      </c>
      <c r="F80" s="14" t="s">
        <v>285</v>
      </c>
      <c r="G80" s="14">
        <v>0</v>
      </c>
      <c r="H80" s="14">
        <v>0</v>
      </c>
      <c r="I80" s="14">
        <v>0</v>
      </c>
      <c r="J80" s="14">
        <v>0</v>
      </c>
      <c r="K80" s="14">
        <v>0</v>
      </c>
      <c r="L80" s="14">
        <v>0</v>
      </c>
      <c r="M80" s="14">
        <v>0</v>
      </c>
      <c r="N80" s="14">
        <v>0</v>
      </c>
      <c r="O80" s="14">
        <v>0</v>
      </c>
      <c r="P80" s="14">
        <v>0</v>
      </c>
      <c r="Q80" s="15">
        <v>0</v>
      </c>
      <c r="R80" s="15">
        <v>0</v>
      </c>
      <c r="S80" s="15">
        <f>$G$80*$G$8+$H$80*$H$8+$I$80*$I$8+$J$80*$J$8+$K$80*$K$8+$L$80*$L$8+$M$80*$M$8+$N$80*$N$8+$O$80*$O$8+$P$80*$P$8</f>
        <v>0</v>
      </c>
      <c r="T80" s="15">
        <f>SUM($Q$80:$R$80)</f>
        <v>0</v>
      </c>
      <c r="U80" s="15">
        <f>$S$80+$T$80</f>
        <v>0</v>
      </c>
    </row>
    <row r="81" spans="1:21" x14ac:dyDescent="0.3">
      <c r="A81" s="10" t="s">
        <v>286</v>
      </c>
      <c r="B81" s="11" t="s">
        <v>287</v>
      </c>
      <c r="C81" s="11" t="s">
        <v>278</v>
      </c>
      <c r="D81" s="11" t="s">
        <v>288</v>
      </c>
      <c r="E81" s="11">
        <f xml:space="preserve"> IF($U$81,1,0)</f>
        <v>0</v>
      </c>
      <c r="F81" s="11" t="s">
        <v>289</v>
      </c>
      <c r="G81" s="11">
        <v>0</v>
      </c>
      <c r="H81" s="11">
        <v>0</v>
      </c>
      <c r="I81" s="11">
        <v>0</v>
      </c>
      <c r="J81" s="11">
        <v>0</v>
      </c>
      <c r="K81" s="11">
        <v>0</v>
      </c>
      <c r="L81" s="11">
        <v>0</v>
      </c>
      <c r="M81" s="11">
        <v>0</v>
      </c>
      <c r="N81" s="11">
        <v>0</v>
      </c>
      <c r="O81" s="11">
        <v>0</v>
      </c>
      <c r="P81" s="11">
        <v>0</v>
      </c>
      <c r="Q81" s="12">
        <v>0</v>
      </c>
      <c r="R81" s="12">
        <v>0</v>
      </c>
      <c r="S81" s="12">
        <f>$G$81*$G$8+$H$81*$H$8+$I$81*$I$8+$J$81*$J$8+$K$81*$K$8+$L$81*$L$8+$M$81*$M$8+$N$81*$N$8+$O$81*$O$8+$P$81*$P$8</f>
        <v>0</v>
      </c>
      <c r="T81" s="12">
        <f>SUM($Q$81:$R$81)</f>
        <v>0</v>
      </c>
      <c r="U81" s="12">
        <f>$S$81+$T$81</f>
        <v>0</v>
      </c>
    </row>
    <row r="82" spans="1:21" x14ac:dyDescent="0.3">
      <c r="A82" s="13" t="s">
        <v>290</v>
      </c>
      <c r="B82" s="14" t="s">
        <v>291</v>
      </c>
      <c r="C82" s="14"/>
      <c r="D82" s="14" t="s">
        <v>292</v>
      </c>
      <c r="E82" s="14">
        <f xml:space="preserve"> IF($U$82,1,0)</f>
        <v>0</v>
      </c>
      <c r="F82" s="14" t="s">
        <v>293</v>
      </c>
      <c r="G82" s="14">
        <v>0</v>
      </c>
      <c r="H82" s="14">
        <v>0</v>
      </c>
      <c r="I82" s="14">
        <v>0</v>
      </c>
      <c r="J82" s="14">
        <v>0</v>
      </c>
      <c r="K82" s="14">
        <v>0</v>
      </c>
      <c r="L82" s="14">
        <v>0</v>
      </c>
      <c r="M82" s="14">
        <v>0</v>
      </c>
      <c r="N82" s="14">
        <v>0</v>
      </c>
      <c r="O82" s="14">
        <v>0</v>
      </c>
      <c r="P82" s="14">
        <v>0</v>
      </c>
      <c r="Q82" s="15">
        <v>0</v>
      </c>
      <c r="R82" s="15">
        <v>0</v>
      </c>
      <c r="S82" s="15">
        <f>$G$82*$G$8+$H$82*$H$8+$I$82*$I$8+$J$82*$J$8+$K$82*$K$8+$L$82*$L$8+$M$82*$M$8+$N$82*$N$8+$O$82*$O$8+$P$82*$P$8</f>
        <v>0</v>
      </c>
      <c r="T82" s="15">
        <f>SUM($Q$82:$R$82)</f>
        <v>0</v>
      </c>
      <c r="U82" s="15">
        <f>$S$82+$T$82</f>
        <v>0</v>
      </c>
    </row>
    <row r="83" spans="1:21" x14ac:dyDescent="0.3">
      <c r="A83" s="10" t="s">
        <v>294</v>
      </c>
      <c r="B83" s="11" t="s">
        <v>295</v>
      </c>
      <c r="C83" s="11"/>
      <c r="D83" s="11" t="s">
        <v>296</v>
      </c>
      <c r="E83" s="11">
        <f xml:space="preserve"> IF($U$83,1,0)</f>
        <v>0</v>
      </c>
      <c r="F83" s="11" t="s">
        <v>297</v>
      </c>
      <c r="G83" s="11">
        <v>0</v>
      </c>
      <c r="H83" s="11">
        <v>0</v>
      </c>
      <c r="I83" s="11">
        <v>0</v>
      </c>
      <c r="J83" s="11">
        <v>0</v>
      </c>
      <c r="K83" s="11">
        <v>0</v>
      </c>
      <c r="L83" s="11">
        <v>0</v>
      </c>
      <c r="M83" s="11">
        <v>0</v>
      </c>
      <c r="N83" s="11">
        <v>0</v>
      </c>
      <c r="O83" s="11">
        <v>0</v>
      </c>
      <c r="P83" s="11">
        <v>0</v>
      </c>
      <c r="Q83" s="12">
        <v>0</v>
      </c>
      <c r="R83" s="12">
        <v>0</v>
      </c>
      <c r="S83" s="12">
        <f>$G$83*$G$8+$H$83*$H$8+$I$83*$I$8+$J$83*$J$8+$K$83*$K$8+$L$83*$L$8+$M$83*$M$8+$N$83*$N$8+$O$83*$O$8+$P$83*$P$8</f>
        <v>0</v>
      </c>
      <c r="T83" s="12">
        <f>SUM($Q$83:$R$83)</f>
        <v>0</v>
      </c>
      <c r="U83" s="12">
        <f>$S$83+$T$83</f>
        <v>0</v>
      </c>
    </row>
    <row r="84" spans="1:21" x14ac:dyDescent="0.3">
      <c r="A84" s="13" t="s">
        <v>298</v>
      </c>
      <c r="B84" s="14" t="s">
        <v>295</v>
      </c>
      <c r="C84" s="14"/>
      <c r="D84" s="14" t="s">
        <v>299</v>
      </c>
      <c r="E84" s="14">
        <f xml:space="preserve"> IF($U$84,1,0)</f>
        <v>0</v>
      </c>
      <c r="F84" s="14" t="s">
        <v>300</v>
      </c>
      <c r="G84" s="14">
        <v>0</v>
      </c>
      <c r="H84" s="14">
        <v>0</v>
      </c>
      <c r="I84" s="14">
        <v>0</v>
      </c>
      <c r="J84" s="14">
        <v>0</v>
      </c>
      <c r="K84" s="14">
        <v>0</v>
      </c>
      <c r="L84" s="14">
        <v>0</v>
      </c>
      <c r="M84" s="14">
        <v>0</v>
      </c>
      <c r="N84" s="14">
        <v>0</v>
      </c>
      <c r="O84" s="14">
        <v>0</v>
      </c>
      <c r="P84" s="14">
        <v>0</v>
      </c>
      <c r="Q84" s="15">
        <v>0</v>
      </c>
      <c r="R84" s="15">
        <v>0</v>
      </c>
      <c r="S84" s="15">
        <f>$G$84*$G$8+$H$84*$H$8+$I$84*$I$8+$J$84*$J$8+$K$84*$K$8+$L$84*$L$8+$M$84*$M$8+$N$84*$N$8+$O$84*$O$8+$P$84*$P$8</f>
        <v>0</v>
      </c>
      <c r="T84" s="15">
        <f>SUM($Q$84:$R$84)</f>
        <v>0</v>
      </c>
      <c r="U84" s="15">
        <f>$S$84+$T$84</f>
        <v>0</v>
      </c>
    </row>
    <row r="85" spans="1:21" x14ac:dyDescent="0.3">
      <c r="A85" s="10" t="s">
        <v>301</v>
      </c>
      <c r="B85" s="11" t="s">
        <v>302</v>
      </c>
      <c r="C85" s="11"/>
      <c r="D85" s="11" t="s">
        <v>303</v>
      </c>
      <c r="E85" s="11">
        <f xml:space="preserve"> IF($U$85,1,0)</f>
        <v>0</v>
      </c>
      <c r="F85" s="11" t="s">
        <v>304</v>
      </c>
      <c r="G85" s="11">
        <v>0</v>
      </c>
      <c r="H85" s="11">
        <v>0</v>
      </c>
      <c r="I85" s="11">
        <v>0</v>
      </c>
      <c r="J85" s="11">
        <v>0</v>
      </c>
      <c r="K85" s="11">
        <v>0</v>
      </c>
      <c r="L85" s="11">
        <v>0</v>
      </c>
      <c r="M85" s="11">
        <v>0</v>
      </c>
      <c r="N85" s="11">
        <v>0</v>
      </c>
      <c r="O85" s="11">
        <v>0</v>
      </c>
      <c r="P85" s="11">
        <v>0</v>
      </c>
      <c r="Q85" s="12">
        <v>0</v>
      </c>
      <c r="R85" s="12">
        <v>0</v>
      </c>
      <c r="S85" s="12">
        <f>$G$85*$G$8+$H$85*$H$8+$I$85*$I$8+$J$85*$J$8+$K$85*$K$8+$L$85*$L$8+$M$85*$M$8+$N$85*$N$8+$O$85*$O$8+$P$85*$P$8</f>
        <v>0</v>
      </c>
      <c r="T85" s="12">
        <f>SUM($Q$85:$R$85)</f>
        <v>0</v>
      </c>
      <c r="U85" s="12">
        <f>$S$85+$T$85</f>
        <v>0</v>
      </c>
    </row>
    <row r="86" spans="1:21" x14ac:dyDescent="0.3">
      <c r="A86" s="13" t="s">
        <v>305</v>
      </c>
      <c r="B86" s="14" t="s">
        <v>306</v>
      </c>
      <c r="C86" s="14"/>
      <c r="D86" s="14" t="s">
        <v>307</v>
      </c>
      <c r="E86" s="14">
        <f xml:space="preserve"> IF($U$86,1,0)</f>
        <v>0</v>
      </c>
      <c r="F86" s="14" t="s">
        <v>308</v>
      </c>
      <c r="G86" s="14">
        <v>0</v>
      </c>
      <c r="H86" s="14">
        <v>0</v>
      </c>
      <c r="I86" s="14">
        <v>0</v>
      </c>
      <c r="J86" s="14">
        <v>0</v>
      </c>
      <c r="K86" s="14">
        <v>0</v>
      </c>
      <c r="L86" s="14">
        <v>0</v>
      </c>
      <c r="M86" s="14">
        <v>0</v>
      </c>
      <c r="N86" s="14">
        <v>0</v>
      </c>
      <c r="O86" s="14">
        <v>0</v>
      </c>
      <c r="P86" s="14">
        <v>0</v>
      </c>
      <c r="Q86" s="15">
        <v>0</v>
      </c>
      <c r="R86" s="15">
        <v>0</v>
      </c>
      <c r="S86" s="15">
        <f>$G$86*$G$8+$H$86*$H$8+$I$86*$I$8+$J$86*$J$8+$K$86*$K$8+$L$86*$L$8+$M$86*$M$8+$N$86*$N$8+$O$86*$O$8+$P$86*$P$8</f>
        <v>0</v>
      </c>
      <c r="T86" s="15">
        <f>SUM($Q$86:$R$86)</f>
        <v>0</v>
      </c>
      <c r="U86" s="15">
        <f>$S$86+$T$86</f>
        <v>0</v>
      </c>
    </row>
    <row r="87" spans="1:21" x14ac:dyDescent="0.3">
      <c r="A87" s="10" t="s">
        <v>309</v>
      </c>
      <c r="B87" s="11" t="s">
        <v>310</v>
      </c>
      <c r="C87" s="11"/>
      <c r="D87" s="11" t="s">
        <v>311</v>
      </c>
      <c r="E87" s="11">
        <f xml:space="preserve"> IF($U$87,1,0)</f>
        <v>0</v>
      </c>
      <c r="F87" s="11" t="s">
        <v>312</v>
      </c>
      <c r="G87" s="11">
        <v>0</v>
      </c>
      <c r="H87" s="11">
        <v>0</v>
      </c>
      <c r="I87" s="11">
        <v>0</v>
      </c>
      <c r="J87" s="11">
        <v>0</v>
      </c>
      <c r="K87" s="11">
        <v>0</v>
      </c>
      <c r="L87" s="11">
        <v>0</v>
      </c>
      <c r="M87" s="11">
        <v>0</v>
      </c>
      <c r="N87" s="11">
        <v>0</v>
      </c>
      <c r="O87" s="11">
        <v>0</v>
      </c>
      <c r="P87" s="11">
        <v>0</v>
      </c>
      <c r="Q87" s="12">
        <v>0</v>
      </c>
      <c r="R87" s="12">
        <v>0</v>
      </c>
      <c r="S87" s="12">
        <f>$G$87*$G$8+$H$87*$H$8+$I$87*$I$8+$J$87*$J$8+$K$87*$K$8+$L$87*$L$8+$M$87*$M$8+$N$87*$N$8+$O$87*$O$8+$P$87*$P$8</f>
        <v>0</v>
      </c>
      <c r="T87" s="12">
        <f>SUM($Q$87:$R$87)</f>
        <v>0</v>
      </c>
      <c r="U87" s="12">
        <f>$S$87+$T$87</f>
        <v>0</v>
      </c>
    </row>
    <row r="88" spans="1:21" x14ac:dyDescent="0.3">
      <c r="A88" s="13" t="s">
        <v>313</v>
      </c>
      <c r="B88" s="14" t="s">
        <v>314</v>
      </c>
      <c r="C88" s="14"/>
      <c r="D88" s="14" t="s">
        <v>315</v>
      </c>
      <c r="E88" s="14">
        <f xml:space="preserve"> IF($U$88,1,0)</f>
        <v>0</v>
      </c>
      <c r="F88" s="14" t="s">
        <v>316</v>
      </c>
      <c r="G88" s="14">
        <v>0</v>
      </c>
      <c r="H88" s="14">
        <v>0</v>
      </c>
      <c r="I88" s="14">
        <v>0</v>
      </c>
      <c r="J88" s="14">
        <v>0</v>
      </c>
      <c r="K88" s="14">
        <v>0</v>
      </c>
      <c r="L88" s="14">
        <v>0</v>
      </c>
      <c r="M88" s="14">
        <v>0</v>
      </c>
      <c r="N88" s="14">
        <v>0</v>
      </c>
      <c r="O88" s="14">
        <v>0</v>
      </c>
      <c r="P88" s="14">
        <v>0</v>
      </c>
      <c r="Q88" s="15">
        <v>0</v>
      </c>
      <c r="R88" s="15">
        <v>0</v>
      </c>
      <c r="S88" s="15">
        <f>$G$88*$G$8+$H$88*$H$8+$I$88*$I$8+$J$88*$J$8+$K$88*$K$8+$L$88*$L$8+$M$88*$M$8+$N$88*$N$8+$O$88*$O$8+$P$88*$P$8</f>
        <v>0</v>
      </c>
      <c r="T88" s="15">
        <f>SUM($Q$88:$R$88)</f>
        <v>0</v>
      </c>
      <c r="U88" s="15">
        <f>$S$88+$T$88</f>
        <v>0</v>
      </c>
    </row>
    <row r="89" spans="1:21" x14ac:dyDescent="0.3">
      <c r="A89" s="10" t="s">
        <v>317</v>
      </c>
      <c r="B89" s="11" t="s">
        <v>318</v>
      </c>
      <c r="C89" s="11"/>
      <c r="D89" s="11" t="s">
        <v>319</v>
      </c>
      <c r="E89" s="11">
        <f xml:space="preserve"> IF($U$89,1,0)</f>
        <v>0</v>
      </c>
      <c r="F89" s="11" t="s">
        <v>320</v>
      </c>
      <c r="G89" s="11">
        <v>0</v>
      </c>
      <c r="H89" s="11">
        <v>0</v>
      </c>
      <c r="I89" s="11">
        <v>0</v>
      </c>
      <c r="J89" s="11">
        <v>0</v>
      </c>
      <c r="K89" s="11">
        <v>0</v>
      </c>
      <c r="L89" s="11">
        <v>0</v>
      </c>
      <c r="M89" s="11">
        <v>0</v>
      </c>
      <c r="N89" s="11">
        <v>0</v>
      </c>
      <c r="O89" s="11">
        <v>0</v>
      </c>
      <c r="P89" s="11">
        <v>0</v>
      </c>
      <c r="Q89" s="12">
        <v>0</v>
      </c>
      <c r="R89" s="12">
        <v>0</v>
      </c>
      <c r="S89" s="12">
        <f>$G$89*$G$8+$H$89*$H$8+$I$89*$I$8+$J$89*$J$8+$K$89*$K$8+$L$89*$L$8+$M$89*$M$8+$N$89*$N$8+$O$89*$O$8+$P$89*$P$8</f>
        <v>0</v>
      </c>
      <c r="T89" s="12">
        <f>SUM($Q$89:$R$89)</f>
        <v>0</v>
      </c>
      <c r="U89" s="12">
        <f>$S$89+$T$89</f>
        <v>0</v>
      </c>
    </row>
    <row r="90" spans="1:21" x14ac:dyDescent="0.3">
      <c r="A90" s="13" t="s">
        <v>321</v>
      </c>
      <c r="B90" s="14" t="s">
        <v>322</v>
      </c>
      <c r="C90" s="14"/>
      <c r="D90" s="14" t="s">
        <v>323</v>
      </c>
      <c r="E90" s="14">
        <f xml:space="preserve"> IF($U$90,1,0)</f>
        <v>0</v>
      </c>
      <c r="F90" s="14" t="s">
        <v>324</v>
      </c>
      <c r="G90" s="14">
        <v>0</v>
      </c>
      <c r="H90" s="14">
        <v>0</v>
      </c>
      <c r="I90" s="14">
        <v>0</v>
      </c>
      <c r="J90" s="14">
        <v>0</v>
      </c>
      <c r="K90" s="14">
        <v>0</v>
      </c>
      <c r="L90" s="14">
        <v>0</v>
      </c>
      <c r="M90" s="14">
        <v>0</v>
      </c>
      <c r="N90" s="14">
        <v>0</v>
      </c>
      <c r="O90" s="14">
        <v>0</v>
      </c>
      <c r="P90" s="14">
        <v>0</v>
      </c>
      <c r="Q90" s="15">
        <v>0</v>
      </c>
      <c r="R90" s="15">
        <v>0</v>
      </c>
      <c r="S90" s="15">
        <f>$G$90*$G$8+$H$90*$H$8+$I$90*$I$8+$J$90*$J$8+$K$90*$K$8+$L$90*$L$8+$M$90*$M$8+$N$90*$N$8+$O$90*$O$8+$P$90*$P$8</f>
        <v>0</v>
      </c>
      <c r="T90" s="15">
        <f>SUM($Q$90:$R$90)</f>
        <v>0</v>
      </c>
      <c r="U90" s="15">
        <f>$S$90+$T$90</f>
        <v>0</v>
      </c>
    </row>
    <row r="91" spans="1:21" x14ac:dyDescent="0.3">
      <c r="A91" s="10" t="s">
        <v>325</v>
      </c>
      <c r="B91" s="11" t="s">
        <v>326</v>
      </c>
      <c r="C91" s="11" t="s">
        <v>243</v>
      </c>
      <c r="D91" s="11" t="s">
        <v>327</v>
      </c>
      <c r="E91" s="11">
        <f xml:space="preserve"> IF($U$91,1,0)</f>
        <v>0</v>
      </c>
      <c r="F91" s="11" t="s">
        <v>328</v>
      </c>
      <c r="G91" s="11">
        <v>0</v>
      </c>
      <c r="H91" s="11">
        <v>0</v>
      </c>
      <c r="I91" s="11">
        <v>0</v>
      </c>
      <c r="J91" s="11">
        <v>0</v>
      </c>
      <c r="K91" s="11">
        <v>0</v>
      </c>
      <c r="L91" s="11">
        <v>0</v>
      </c>
      <c r="M91" s="11">
        <v>0</v>
      </c>
      <c r="N91" s="11">
        <v>0</v>
      </c>
      <c r="O91" s="11">
        <v>0</v>
      </c>
      <c r="P91" s="11">
        <v>0</v>
      </c>
      <c r="Q91" s="12">
        <v>0</v>
      </c>
      <c r="R91" s="12">
        <v>0</v>
      </c>
      <c r="S91" s="12">
        <f>$G$91*$G$8+$H$91*$H$8+$I$91*$I$8+$J$91*$J$8+$K$91*$K$8+$L$91*$L$8+$M$91*$M$8+$N$91*$N$8+$O$91*$O$8+$P$91*$P$8</f>
        <v>0</v>
      </c>
      <c r="T91" s="12">
        <f>SUM($Q$91:$R$91)</f>
        <v>0</v>
      </c>
      <c r="U91" s="12">
        <f>$S$91+$T$91</f>
        <v>0</v>
      </c>
    </row>
    <row r="92" spans="1:21" x14ac:dyDescent="0.3">
      <c r="A92" s="13" t="s">
        <v>329</v>
      </c>
      <c r="B92" s="14" t="s">
        <v>330</v>
      </c>
      <c r="C92" s="14"/>
      <c r="D92" s="14" t="s">
        <v>331</v>
      </c>
      <c r="E92" s="14">
        <f xml:space="preserve"> IF($U$92,1,0)</f>
        <v>0</v>
      </c>
      <c r="F92" s="14" t="s">
        <v>332</v>
      </c>
      <c r="G92" s="14">
        <v>0</v>
      </c>
      <c r="H92" s="14">
        <v>0</v>
      </c>
      <c r="I92" s="14">
        <v>0</v>
      </c>
      <c r="J92" s="14">
        <v>0</v>
      </c>
      <c r="K92" s="14">
        <v>0</v>
      </c>
      <c r="L92" s="14">
        <v>0</v>
      </c>
      <c r="M92" s="14">
        <v>0</v>
      </c>
      <c r="N92" s="14">
        <v>0</v>
      </c>
      <c r="O92" s="14">
        <v>0</v>
      </c>
      <c r="P92" s="14">
        <v>0</v>
      </c>
      <c r="Q92" s="15">
        <v>0</v>
      </c>
      <c r="R92" s="15">
        <v>0</v>
      </c>
      <c r="S92" s="15">
        <f>$G$92*$G$8+$H$92*$H$8+$I$92*$I$8+$J$92*$J$8+$K$92*$K$8+$L$92*$L$8+$M$92*$M$8+$N$92*$N$8+$O$92*$O$8+$P$92*$P$8</f>
        <v>0</v>
      </c>
      <c r="T92" s="15">
        <f>SUM($Q$92:$R$92)</f>
        <v>0</v>
      </c>
      <c r="U92" s="15">
        <f>$S$92+$T$92</f>
        <v>0</v>
      </c>
    </row>
    <row r="93" spans="1:21" x14ac:dyDescent="0.3">
      <c r="A93" s="10" t="s">
        <v>333</v>
      </c>
      <c r="B93" s="11" t="s">
        <v>334</v>
      </c>
      <c r="C93" s="11"/>
      <c r="D93" s="11" t="s">
        <v>335</v>
      </c>
      <c r="E93" s="11">
        <f xml:space="preserve"> IF($U$93,1,0)</f>
        <v>0</v>
      </c>
      <c r="F93" s="11" t="s">
        <v>336</v>
      </c>
      <c r="G93" s="11">
        <v>0</v>
      </c>
      <c r="H93" s="11">
        <v>0</v>
      </c>
      <c r="I93" s="11">
        <v>0</v>
      </c>
      <c r="J93" s="11">
        <v>0</v>
      </c>
      <c r="K93" s="11">
        <v>0</v>
      </c>
      <c r="L93" s="11">
        <v>0</v>
      </c>
      <c r="M93" s="11">
        <v>0</v>
      </c>
      <c r="N93" s="11">
        <v>0</v>
      </c>
      <c r="O93" s="11">
        <v>0</v>
      </c>
      <c r="P93" s="11">
        <v>0</v>
      </c>
      <c r="Q93" s="12">
        <v>0</v>
      </c>
      <c r="R93" s="12">
        <v>0</v>
      </c>
      <c r="S93" s="12">
        <f>$G$93*$G$8+$H$93*$H$8+$I$93*$I$8+$J$93*$J$8+$K$93*$K$8+$L$93*$L$8+$M$93*$M$8+$N$93*$N$8+$O$93*$O$8+$P$93*$P$8</f>
        <v>0</v>
      </c>
      <c r="T93" s="12">
        <f>SUM($Q$93:$R$93)</f>
        <v>0</v>
      </c>
      <c r="U93" s="12">
        <f>$S$93+$T$93</f>
        <v>0</v>
      </c>
    </row>
    <row r="94" spans="1:21" x14ac:dyDescent="0.3">
      <c r="A94" s="13" t="s">
        <v>337</v>
      </c>
      <c r="B94" s="14" t="s">
        <v>334</v>
      </c>
      <c r="C94" s="14"/>
      <c r="D94" s="14" t="s">
        <v>338</v>
      </c>
      <c r="E94" s="14">
        <f xml:space="preserve"> IF($U$94,1,0)</f>
        <v>0</v>
      </c>
      <c r="F94" s="14" t="s">
        <v>339</v>
      </c>
      <c r="G94" s="14">
        <v>0</v>
      </c>
      <c r="H94" s="14">
        <v>0</v>
      </c>
      <c r="I94" s="14">
        <v>0</v>
      </c>
      <c r="J94" s="14">
        <v>0</v>
      </c>
      <c r="K94" s="14">
        <v>0</v>
      </c>
      <c r="L94" s="14">
        <v>0</v>
      </c>
      <c r="M94" s="14">
        <v>0</v>
      </c>
      <c r="N94" s="14">
        <v>0</v>
      </c>
      <c r="O94" s="14">
        <v>0</v>
      </c>
      <c r="P94" s="14">
        <v>0</v>
      </c>
      <c r="Q94" s="15">
        <v>0</v>
      </c>
      <c r="R94" s="15">
        <v>0</v>
      </c>
      <c r="S94" s="15">
        <f>$G$94*$G$8+$H$94*$H$8+$I$94*$I$8+$J$94*$J$8+$K$94*$K$8+$L$94*$L$8+$M$94*$M$8+$N$94*$N$8+$O$94*$O$8+$P$94*$P$8</f>
        <v>0</v>
      </c>
      <c r="T94" s="15">
        <f>SUM($Q$94:$R$94)</f>
        <v>0</v>
      </c>
      <c r="U94" s="15">
        <f>$S$94+$T$94</f>
        <v>0</v>
      </c>
    </row>
    <row r="95" spans="1:21" x14ac:dyDescent="0.3">
      <c r="A95" s="10" t="s">
        <v>340</v>
      </c>
      <c r="B95" s="11" t="s">
        <v>341</v>
      </c>
      <c r="C95" s="11" t="s">
        <v>342</v>
      </c>
      <c r="D95" s="11" t="s">
        <v>343</v>
      </c>
      <c r="E95" s="11">
        <f xml:space="preserve"> IF($U$95,1,0)</f>
        <v>0</v>
      </c>
      <c r="F95" s="11" t="s">
        <v>344</v>
      </c>
      <c r="G95" s="11">
        <v>0</v>
      </c>
      <c r="H95" s="11">
        <v>0</v>
      </c>
      <c r="I95" s="11">
        <v>0</v>
      </c>
      <c r="J95" s="11">
        <v>0</v>
      </c>
      <c r="K95" s="11">
        <v>0</v>
      </c>
      <c r="L95" s="11">
        <v>0</v>
      </c>
      <c r="M95" s="11">
        <v>0</v>
      </c>
      <c r="N95" s="11">
        <v>0</v>
      </c>
      <c r="O95" s="11">
        <v>0</v>
      </c>
      <c r="P95" s="11">
        <v>0</v>
      </c>
      <c r="Q95" s="12">
        <v>0</v>
      </c>
      <c r="R95" s="12">
        <v>0</v>
      </c>
      <c r="S95" s="12">
        <f>$G$95*$G$8+$H$95*$H$8+$I$95*$I$8+$J$95*$J$8+$K$95*$K$8+$L$95*$L$8+$M$95*$M$8+$N$95*$N$8+$O$95*$O$8+$P$95*$P$8</f>
        <v>0</v>
      </c>
      <c r="T95" s="12">
        <f>SUM($Q$95:$R$95)</f>
        <v>0</v>
      </c>
      <c r="U95" s="12">
        <f>$S$95+$T$95</f>
        <v>0</v>
      </c>
    </row>
    <row r="96" spans="1:21" x14ac:dyDescent="0.3">
      <c r="A96" s="13" t="s">
        <v>345</v>
      </c>
      <c r="B96" s="14" t="s">
        <v>346</v>
      </c>
      <c r="C96" s="14"/>
      <c r="D96" s="14" t="s">
        <v>347</v>
      </c>
      <c r="E96" s="14">
        <f xml:space="preserve"> IF($U$96,1,0)</f>
        <v>0</v>
      </c>
      <c r="F96" s="14" t="s">
        <v>348</v>
      </c>
      <c r="G96" s="14">
        <v>0</v>
      </c>
      <c r="H96" s="14">
        <v>0</v>
      </c>
      <c r="I96" s="14">
        <v>0</v>
      </c>
      <c r="J96" s="14">
        <v>0</v>
      </c>
      <c r="K96" s="14">
        <v>0</v>
      </c>
      <c r="L96" s="14">
        <v>0</v>
      </c>
      <c r="M96" s="14">
        <v>0</v>
      </c>
      <c r="N96" s="14">
        <v>0</v>
      </c>
      <c r="O96" s="14">
        <v>0</v>
      </c>
      <c r="P96" s="14">
        <v>0</v>
      </c>
      <c r="Q96" s="15">
        <v>0</v>
      </c>
      <c r="R96" s="15">
        <v>0</v>
      </c>
      <c r="S96" s="15">
        <f>$G$96*$G$8+$H$96*$H$8+$I$96*$I$8+$J$96*$J$8+$K$96*$K$8+$L$96*$L$8+$M$96*$M$8+$N$96*$N$8+$O$96*$O$8+$P$96*$P$8</f>
        <v>0</v>
      </c>
      <c r="T96" s="15">
        <f>SUM($Q$96:$R$96)</f>
        <v>0</v>
      </c>
      <c r="U96" s="15">
        <f>$S$96+$T$96</f>
        <v>0</v>
      </c>
    </row>
    <row r="97" spans="1:21" x14ac:dyDescent="0.3">
      <c r="A97" s="10" t="s">
        <v>349</v>
      </c>
      <c r="B97" s="11" t="s">
        <v>350</v>
      </c>
      <c r="C97" s="11"/>
      <c r="D97" s="11" t="s">
        <v>351</v>
      </c>
      <c r="E97" s="11">
        <f xml:space="preserve"> IF($U$97,1,0)</f>
        <v>0</v>
      </c>
      <c r="F97" s="11" t="s">
        <v>352</v>
      </c>
      <c r="G97" s="11">
        <v>0</v>
      </c>
      <c r="H97" s="11">
        <v>0</v>
      </c>
      <c r="I97" s="11">
        <v>0</v>
      </c>
      <c r="J97" s="11">
        <v>0</v>
      </c>
      <c r="K97" s="11">
        <v>0</v>
      </c>
      <c r="L97" s="11">
        <v>0</v>
      </c>
      <c r="M97" s="11">
        <v>0</v>
      </c>
      <c r="N97" s="11">
        <v>0</v>
      </c>
      <c r="O97" s="11">
        <v>0</v>
      </c>
      <c r="P97" s="11">
        <v>0</v>
      </c>
      <c r="Q97" s="12">
        <v>0</v>
      </c>
      <c r="R97" s="12">
        <v>0</v>
      </c>
      <c r="S97" s="12">
        <f>$G$97*$G$8+$H$97*$H$8+$I$97*$I$8+$J$97*$J$8+$K$97*$K$8+$L$97*$L$8+$M$97*$M$8+$N$97*$N$8+$O$97*$O$8+$P$97*$P$8</f>
        <v>0</v>
      </c>
      <c r="T97" s="12">
        <f>SUM($Q$97:$R$97)</f>
        <v>0</v>
      </c>
      <c r="U97" s="12">
        <f>$S$97+$T$97</f>
        <v>0</v>
      </c>
    </row>
    <row r="98" spans="1:21" x14ac:dyDescent="0.3">
      <c r="A98" s="13" t="s">
        <v>353</v>
      </c>
      <c r="B98" s="14" t="s">
        <v>354</v>
      </c>
      <c r="C98" s="14"/>
      <c r="D98" s="14" t="s">
        <v>355</v>
      </c>
      <c r="E98" s="14">
        <f xml:space="preserve"> IF($U$98,1,0)</f>
        <v>0</v>
      </c>
      <c r="F98" s="14" t="s">
        <v>356</v>
      </c>
      <c r="G98" s="14">
        <v>0</v>
      </c>
      <c r="H98" s="14">
        <v>0</v>
      </c>
      <c r="I98" s="14">
        <v>0</v>
      </c>
      <c r="J98" s="14">
        <v>0</v>
      </c>
      <c r="K98" s="14">
        <v>0</v>
      </c>
      <c r="L98" s="14">
        <v>0</v>
      </c>
      <c r="M98" s="14">
        <v>0</v>
      </c>
      <c r="N98" s="14">
        <v>0</v>
      </c>
      <c r="O98" s="14">
        <v>0</v>
      </c>
      <c r="P98" s="14">
        <v>0</v>
      </c>
      <c r="Q98" s="15">
        <v>0</v>
      </c>
      <c r="R98" s="15">
        <v>0</v>
      </c>
      <c r="S98" s="15">
        <f>$G$98*$G$8+$H$98*$H$8+$I$98*$I$8+$J$98*$J$8+$K$98*$K$8+$L$98*$L$8+$M$98*$M$8+$N$98*$N$8+$O$98*$O$8+$P$98*$P$8</f>
        <v>0</v>
      </c>
      <c r="T98" s="15">
        <f>SUM($Q$98:$R$98)</f>
        <v>0</v>
      </c>
      <c r="U98" s="15">
        <f>$S$98+$T$98</f>
        <v>0</v>
      </c>
    </row>
    <row r="99" spans="1:21" x14ac:dyDescent="0.3">
      <c r="A99" s="10" t="s">
        <v>357</v>
      </c>
      <c r="B99" s="11" t="s">
        <v>358</v>
      </c>
      <c r="C99" s="11" t="s">
        <v>34</v>
      </c>
      <c r="D99" s="11" t="s">
        <v>359</v>
      </c>
      <c r="E99" s="11">
        <f xml:space="preserve"> IF($U$99,1,0)</f>
        <v>0</v>
      </c>
      <c r="F99" s="11" t="s">
        <v>360</v>
      </c>
      <c r="G99" s="11">
        <v>0</v>
      </c>
      <c r="H99" s="11">
        <v>0</v>
      </c>
      <c r="I99" s="11">
        <v>0</v>
      </c>
      <c r="J99" s="11">
        <v>0</v>
      </c>
      <c r="K99" s="11">
        <v>0</v>
      </c>
      <c r="L99" s="11">
        <v>0</v>
      </c>
      <c r="M99" s="11">
        <v>0</v>
      </c>
      <c r="N99" s="11">
        <v>0</v>
      </c>
      <c r="O99" s="11">
        <v>0</v>
      </c>
      <c r="P99" s="11">
        <v>0</v>
      </c>
      <c r="Q99" s="12">
        <v>0</v>
      </c>
      <c r="R99" s="12">
        <v>0</v>
      </c>
      <c r="S99" s="12">
        <f>$G$99*$G$8+$H$99*$H$8+$I$99*$I$8+$J$99*$J$8+$K$99*$K$8+$L$99*$L$8+$M$99*$M$8+$N$99*$N$8+$O$99*$O$8+$P$99*$P$8</f>
        <v>0</v>
      </c>
      <c r="T99" s="12">
        <f>SUM($Q$99:$R$99)</f>
        <v>0</v>
      </c>
      <c r="U99" s="12">
        <f>$S$99+$T$99</f>
        <v>0</v>
      </c>
    </row>
    <row r="100" spans="1:21" x14ac:dyDescent="0.3">
      <c r="A100" s="13" t="s">
        <v>361</v>
      </c>
      <c r="B100" s="14" t="s">
        <v>358</v>
      </c>
      <c r="C100" s="14" t="s">
        <v>34</v>
      </c>
      <c r="D100" s="14" t="s">
        <v>362</v>
      </c>
      <c r="E100" s="14">
        <f xml:space="preserve"> IF($U$100,1,0)</f>
        <v>0</v>
      </c>
      <c r="F100" s="14" t="s">
        <v>363</v>
      </c>
      <c r="G100" s="14">
        <v>0</v>
      </c>
      <c r="H100" s="14">
        <v>0</v>
      </c>
      <c r="I100" s="14">
        <v>0</v>
      </c>
      <c r="J100" s="14">
        <v>0</v>
      </c>
      <c r="K100" s="14">
        <v>0</v>
      </c>
      <c r="L100" s="14">
        <v>0</v>
      </c>
      <c r="M100" s="14">
        <v>0</v>
      </c>
      <c r="N100" s="14">
        <v>0</v>
      </c>
      <c r="O100" s="14">
        <v>0</v>
      </c>
      <c r="P100" s="14">
        <v>0</v>
      </c>
      <c r="Q100" s="15">
        <v>0</v>
      </c>
      <c r="R100" s="15">
        <v>0</v>
      </c>
      <c r="S100" s="15">
        <f>$G$100*$G$8+$H$100*$H$8+$I$100*$I$8+$J$100*$J$8+$K$100*$K$8+$L$100*$L$8+$M$100*$M$8+$N$100*$N$8+$O$100*$O$8+$P$100*$P$8</f>
        <v>0</v>
      </c>
      <c r="T100" s="15">
        <f>SUM($Q$100:$R$100)</f>
        <v>0</v>
      </c>
      <c r="U100" s="15">
        <f>$S$100+$T$100</f>
        <v>0</v>
      </c>
    </row>
    <row r="101" spans="1:21" x14ac:dyDescent="0.3">
      <c r="A101" s="10" t="s">
        <v>364</v>
      </c>
      <c r="B101" s="11" t="s">
        <v>358</v>
      </c>
      <c r="C101" s="11"/>
      <c r="D101" s="11" t="s">
        <v>365</v>
      </c>
      <c r="E101" s="11">
        <f xml:space="preserve"> IF($U$101,1,0)</f>
        <v>0</v>
      </c>
      <c r="F101" s="11" t="s">
        <v>366</v>
      </c>
      <c r="G101" s="11">
        <v>0</v>
      </c>
      <c r="H101" s="11">
        <v>0</v>
      </c>
      <c r="I101" s="11">
        <v>0</v>
      </c>
      <c r="J101" s="11">
        <v>0</v>
      </c>
      <c r="K101" s="11">
        <v>0</v>
      </c>
      <c r="L101" s="11">
        <v>0</v>
      </c>
      <c r="M101" s="11">
        <v>0</v>
      </c>
      <c r="N101" s="11">
        <v>0</v>
      </c>
      <c r="O101" s="11">
        <v>0</v>
      </c>
      <c r="P101" s="11">
        <v>0</v>
      </c>
      <c r="Q101" s="12">
        <v>0</v>
      </c>
      <c r="R101" s="12">
        <v>0</v>
      </c>
      <c r="S101" s="12">
        <f>$G$101*$G$8+$H$101*$H$8+$I$101*$I$8+$J$101*$J$8+$K$101*$K$8+$L$101*$L$8+$M$101*$M$8+$N$101*$N$8+$O$101*$O$8+$P$101*$P$8</f>
        <v>0</v>
      </c>
      <c r="T101" s="12">
        <f>SUM($Q$101:$R$101)</f>
        <v>0</v>
      </c>
      <c r="U101" s="12">
        <f>$S$101+$T$101</f>
        <v>0</v>
      </c>
    </row>
    <row r="102" spans="1:21" x14ac:dyDescent="0.3">
      <c r="A102" s="13" t="s">
        <v>1287</v>
      </c>
      <c r="B102" s="14" t="s">
        <v>1288</v>
      </c>
      <c r="C102" s="14"/>
      <c r="D102" s="14" t="s">
        <v>1285</v>
      </c>
      <c r="E102" s="14">
        <f xml:space="preserve"> IF($U$102,1,0)</f>
        <v>0</v>
      </c>
      <c r="F102" s="14" t="s">
        <v>1289</v>
      </c>
      <c r="G102" s="14">
        <v>0</v>
      </c>
      <c r="H102" s="14">
        <v>0</v>
      </c>
      <c r="I102" s="14">
        <v>0</v>
      </c>
      <c r="J102" s="14">
        <v>0</v>
      </c>
      <c r="K102" s="14">
        <v>0</v>
      </c>
      <c r="L102" s="14">
        <v>0</v>
      </c>
      <c r="M102" s="14">
        <v>0</v>
      </c>
      <c r="N102" s="14">
        <v>0</v>
      </c>
      <c r="O102" s="14">
        <v>0</v>
      </c>
      <c r="P102" s="14">
        <v>0</v>
      </c>
      <c r="Q102" s="15">
        <v>0</v>
      </c>
      <c r="R102" s="15">
        <v>0</v>
      </c>
      <c r="S102" s="15">
        <f>$G$102*$G$8+$H$102*$H$8+$I$102*$I$8+$J$102*$J$8+$K$102*$K$8+$L$102*$L$8+$M$102*$M$8+$N$102*$N$8+$O$102*$O$8+$P$102*$P$8</f>
        <v>0</v>
      </c>
      <c r="T102" s="15">
        <f>SUM($Q$102:$R$102)</f>
        <v>0</v>
      </c>
      <c r="U102" s="15">
        <f>$S$102+$T$102</f>
        <v>0</v>
      </c>
    </row>
    <row r="103" spans="1:21" x14ac:dyDescent="0.3">
      <c r="A103" s="10" t="s">
        <v>367</v>
      </c>
      <c r="B103" s="11" t="s">
        <v>368</v>
      </c>
      <c r="C103" s="11" t="s">
        <v>34</v>
      </c>
      <c r="D103" s="11" t="s">
        <v>118</v>
      </c>
      <c r="E103" s="11">
        <f xml:space="preserve"> IF($U$103,1,0)</f>
        <v>0</v>
      </c>
      <c r="F103" s="11" t="s">
        <v>369</v>
      </c>
      <c r="G103" s="11">
        <v>0</v>
      </c>
      <c r="H103" s="11">
        <v>0</v>
      </c>
      <c r="I103" s="11">
        <v>0</v>
      </c>
      <c r="J103" s="11">
        <v>0</v>
      </c>
      <c r="K103" s="11">
        <v>0</v>
      </c>
      <c r="L103" s="11">
        <v>0</v>
      </c>
      <c r="M103" s="11">
        <v>0</v>
      </c>
      <c r="N103" s="11">
        <v>0</v>
      </c>
      <c r="O103" s="11">
        <v>0</v>
      </c>
      <c r="P103" s="11">
        <v>0</v>
      </c>
      <c r="Q103" s="12">
        <v>0</v>
      </c>
      <c r="R103" s="12">
        <v>0</v>
      </c>
      <c r="S103" s="12">
        <f>$G$103*$G$8+$H$103*$H$8+$I$103*$I$8+$J$103*$J$8+$K$103*$K$8+$L$103*$L$8+$M$103*$M$8+$N$103*$N$8+$O$103*$O$8+$P$103*$P$8</f>
        <v>0</v>
      </c>
      <c r="T103" s="12">
        <f>SUM($Q$103:$R$103)</f>
        <v>0</v>
      </c>
      <c r="U103" s="12">
        <f>$S$103+$T$103</f>
        <v>0</v>
      </c>
    </row>
    <row r="104" spans="1:21" x14ac:dyDescent="0.3">
      <c r="A104" s="13" t="s">
        <v>370</v>
      </c>
      <c r="B104" s="14" t="s">
        <v>371</v>
      </c>
      <c r="C104" s="14"/>
      <c r="D104" s="14" t="s">
        <v>372</v>
      </c>
      <c r="E104" s="14">
        <f xml:space="preserve"> IF($U$104,1,0)</f>
        <v>0</v>
      </c>
      <c r="F104" s="14" t="s">
        <v>373</v>
      </c>
      <c r="G104" s="14">
        <v>0</v>
      </c>
      <c r="H104" s="14">
        <v>0</v>
      </c>
      <c r="I104" s="14">
        <v>0</v>
      </c>
      <c r="J104" s="14">
        <v>0</v>
      </c>
      <c r="K104" s="14">
        <v>0</v>
      </c>
      <c r="L104" s="14">
        <v>0</v>
      </c>
      <c r="M104" s="14">
        <v>0</v>
      </c>
      <c r="N104" s="14">
        <v>0</v>
      </c>
      <c r="O104" s="14">
        <v>0</v>
      </c>
      <c r="P104" s="14">
        <v>0</v>
      </c>
      <c r="Q104" s="15">
        <v>0</v>
      </c>
      <c r="R104" s="15">
        <v>0</v>
      </c>
      <c r="S104" s="15">
        <f>$G$104*$G$8+$H$104*$H$8+$I$104*$I$8+$J$104*$J$8+$K$104*$K$8+$L$104*$L$8+$M$104*$M$8+$N$104*$N$8+$O$104*$O$8+$P$104*$P$8</f>
        <v>0</v>
      </c>
      <c r="T104" s="15">
        <f>SUM($Q$104:$R$104)</f>
        <v>0</v>
      </c>
      <c r="U104" s="15">
        <f>$S$104+$T$104</f>
        <v>0</v>
      </c>
    </row>
    <row r="105" spans="1:21" x14ac:dyDescent="0.3">
      <c r="A105" s="10" t="s">
        <v>374</v>
      </c>
      <c r="B105" s="11" t="s">
        <v>375</v>
      </c>
      <c r="C105" s="11"/>
      <c r="D105" s="11" t="s">
        <v>376</v>
      </c>
      <c r="E105" s="11">
        <f xml:space="preserve"> IF($U$105,1,0)</f>
        <v>0</v>
      </c>
      <c r="F105" s="11" t="s">
        <v>377</v>
      </c>
      <c r="G105" s="11">
        <v>0</v>
      </c>
      <c r="H105" s="11">
        <v>0</v>
      </c>
      <c r="I105" s="11">
        <v>0</v>
      </c>
      <c r="J105" s="11">
        <v>0</v>
      </c>
      <c r="K105" s="11">
        <v>0</v>
      </c>
      <c r="L105" s="11">
        <v>0</v>
      </c>
      <c r="M105" s="11">
        <v>0</v>
      </c>
      <c r="N105" s="11">
        <v>0</v>
      </c>
      <c r="O105" s="11">
        <v>0</v>
      </c>
      <c r="P105" s="11">
        <v>0</v>
      </c>
      <c r="Q105" s="12">
        <v>0</v>
      </c>
      <c r="R105" s="12">
        <v>0</v>
      </c>
      <c r="S105" s="12">
        <f>$G$105*$G$8+$H$105*$H$8+$I$105*$I$8+$J$105*$J$8+$K$105*$K$8+$L$105*$L$8+$M$105*$M$8+$N$105*$N$8+$O$105*$O$8+$P$105*$P$8</f>
        <v>0</v>
      </c>
      <c r="T105" s="12">
        <f>SUM($Q$105:$R$105)</f>
        <v>0</v>
      </c>
      <c r="U105" s="12">
        <f>$S$105+$T$105</f>
        <v>0</v>
      </c>
    </row>
    <row r="106" spans="1:21" x14ac:dyDescent="0.3">
      <c r="A106" s="13" t="s">
        <v>378</v>
      </c>
      <c r="B106" s="14" t="s">
        <v>379</v>
      </c>
      <c r="C106" s="14"/>
      <c r="D106" s="14" t="s">
        <v>380</v>
      </c>
      <c r="E106" s="14">
        <f xml:space="preserve"> IF($U$106,1,0)</f>
        <v>0</v>
      </c>
      <c r="F106" s="14" t="s">
        <v>381</v>
      </c>
      <c r="G106" s="14">
        <v>0</v>
      </c>
      <c r="H106" s="14">
        <v>0</v>
      </c>
      <c r="I106" s="14">
        <v>0</v>
      </c>
      <c r="J106" s="14">
        <v>0</v>
      </c>
      <c r="K106" s="14">
        <v>0</v>
      </c>
      <c r="L106" s="14">
        <v>0</v>
      </c>
      <c r="M106" s="14">
        <v>0</v>
      </c>
      <c r="N106" s="14">
        <v>0</v>
      </c>
      <c r="O106" s="14">
        <v>0</v>
      </c>
      <c r="P106" s="14">
        <v>0</v>
      </c>
      <c r="Q106" s="15">
        <v>0</v>
      </c>
      <c r="R106" s="15">
        <v>0</v>
      </c>
      <c r="S106" s="15">
        <f>$G$106*$G$8+$H$106*$H$8+$I$106*$I$8+$J$106*$J$8+$K$106*$K$8+$L$106*$L$8+$M$106*$M$8+$N$106*$N$8+$O$106*$O$8+$P$106*$P$8</f>
        <v>0</v>
      </c>
      <c r="T106" s="15">
        <f>SUM($Q$106:$R$106)</f>
        <v>0</v>
      </c>
      <c r="U106" s="15">
        <f>$S$106+$T$106</f>
        <v>0</v>
      </c>
    </row>
    <row r="107" spans="1:21" x14ac:dyDescent="0.3">
      <c r="A107" s="10" t="s">
        <v>382</v>
      </c>
      <c r="B107" s="11" t="s">
        <v>383</v>
      </c>
      <c r="C107" s="11"/>
      <c r="D107" s="11" t="s">
        <v>384</v>
      </c>
      <c r="E107" s="11">
        <f xml:space="preserve"> IF($U$107,1,0)</f>
        <v>0</v>
      </c>
      <c r="F107" s="11" t="s">
        <v>385</v>
      </c>
      <c r="G107" s="11">
        <v>0</v>
      </c>
      <c r="H107" s="11">
        <v>0</v>
      </c>
      <c r="I107" s="11">
        <v>0</v>
      </c>
      <c r="J107" s="11">
        <v>0</v>
      </c>
      <c r="K107" s="11">
        <v>0</v>
      </c>
      <c r="L107" s="11">
        <v>0</v>
      </c>
      <c r="M107" s="11">
        <v>0</v>
      </c>
      <c r="N107" s="11">
        <v>0</v>
      </c>
      <c r="O107" s="11">
        <v>0</v>
      </c>
      <c r="P107" s="11">
        <v>0</v>
      </c>
      <c r="Q107" s="12">
        <v>0</v>
      </c>
      <c r="R107" s="12">
        <v>0</v>
      </c>
      <c r="S107" s="12">
        <f>$G$107*$G$8+$H$107*$H$8+$I$107*$I$8+$J$107*$J$8+$K$107*$K$8+$L$107*$L$8+$M$107*$M$8+$N$107*$N$8+$O$107*$O$8+$P$107*$P$8</f>
        <v>0</v>
      </c>
      <c r="T107" s="12">
        <f>SUM($Q$107:$R$107)</f>
        <v>0</v>
      </c>
      <c r="U107" s="12">
        <f>$S$107+$T$107</f>
        <v>0</v>
      </c>
    </row>
    <row r="108" spans="1:21" x14ac:dyDescent="0.3">
      <c r="A108" s="13" t="s">
        <v>386</v>
      </c>
      <c r="B108" s="14" t="s">
        <v>387</v>
      </c>
      <c r="C108" s="14" t="s">
        <v>278</v>
      </c>
      <c r="D108" s="14" t="s">
        <v>388</v>
      </c>
      <c r="E108" s="14">
        <f xml:space="preserve"> IF($U$108,1,0)</f>
        <v>0</v>
      </c>
      <c r="F108" s="14" t="s">
        <v>389</v>
      </c>
      <c r="G108" s="14">
        <v>0</v>
      </c>
      <c r="H108" s="14">
        <v>0</v>
      </c>
      <c r="I108" s="14">
        <v>0</v>
      </c>
      <c r="J108" s="14">
        <v>0</v>
      </c>
      <c r="K108" s="14">
        <v>0</v>
      </c>
      <c r="L108" s="14">
        <v>0</v>
      </c>
      <c r="M108" s="14">
        <v>0</v>
      </c>
      <c r="N108" s="14">
        <v>0</v>
      </c>
      <c r="O108" s="14">
        <v>0</v>
      </c>
      <c r="P108" s="14">
        <v>0</v>
      </c>
      <c r="Q108" s="15">
        <v>0</v>
      </c>
      <c r="R108" s="15">
        <v>0</v>
      </c>
      <c r="S108" s="15">
        <f>$G$108*$G$8+$H$108*$H$8+$I$108*$I$8+$J$108*$J$8+$K$108*$K$8+$L$108*$L$8+$M$108*$M$8+$N$108*$N$8+$O$108*$O$8+$P$108*$P$8</f>
        <v>0</v>
      </c>
      <c r="T108" s="15">
        <f>SUM($Q$108:$R$108)</f>
        <v>0</v>
      </c>
      <c r="U108" s="15">
        <f>$S$108+$T$108</f>
        <v>0</v>
      </c>
    </row>
    <row r="109" spans="1:21" x14ac:dyDescent="0.3">
      <c r="A109" s="10" t="s">
        <v>390</v>
      </c>
      <c r="B109" s="11" t="s">
        <v>387</v>
      </c>
      <c r="C109" s="11" t="s">
        <v>34</v>
      </c>
      <c r="D109" s="11" t="s">
        <v>391</v>
      </c>
      <c r="E109" s="11">
        <f xml:space="preserve"> IF($U$109,1,0)</f>
        <v>0</v>
      </c>
      <c r="F109" s="11" t="s">
        <v>392</v>
      </c>
      <c r="G109" s="11">
        <v>0</v>
      </c>
      <c r="H109" s="11">
        <v>0</v>
      </c>
      <c r="I109" s="11">
        <v>0</v>
      </c>
      <c r="J109" s="11">
        <v>0</v>
      </c>
      <c r="K109" s="11">
        <v>0</v>
      </c>
      <c r="L109" s="11">
        <v>0</v>
      </c>
      <c r="M109" s="11">
        <v>0</v>
      </c>
      <c r="N109" s="11">
        <v>0</v>
      </c>
      <c r="O109" s="11">
        <v>0</v>
      </c>
      <c r="P109" s="11">
        <v>0</v>
      </c>
      <c r="Q109" s="12">
        <v>0</v>
      </c>
      <c r="R109" s="12">
        <v>0</v>
      </c>
      <c r="S109" s="12">
        <f>$G$109*$G$8+$H$109*$H$8+$I$109*$I$8+$J$109*$J$8+$K$109*$K$8+$L$109*$L$8+$M$109*$M$8+$N$109*$N$8+$O$109*$O$8+$P$109*$P$8</f>
        <v>0</v>
      </c>
      <c r="T109" s="12">
        <f>SUM($Q$109:$R$109)</f>
        <v>0</v>
      </c>
      <c r="U109" s="12">
        <f>$S$109+$T$109</f>
        <v>0</v>
      </c>
    </row>
    <row r="110" spans="1:21" x14ac:dyDescent="0.3">
      <c r="A110" s="13" t="s">
        <v>393</v>
      </c>
      <c r="B110" s="14" t="s">
        <v>394</v>
      </c>
      <c r="C110" s="14"/>
      <c r="D110" s="14" t="s">
        <v>395</v>
      </c>
      <c r="E110" s="14">
        <f xml:space="preserve"> IF($U$110,1,0)</f>
        <v>0</v>
      </c>
      <c r="F110" s="14" t="s">
        <v>396</v>
      </c>
      <c r="G110" s="14">
        <v>0</v>
      </c>
      <c r="H110" s="14">
        <v>0</v>
      </c>
      <c r="I110" s="14">
        <v>0</v>
      </c>
      <c r="J110" s="14">
        <v>0</v>
      </c>
      <c r="K110" s="14">
        <v>0</v>
      </c>
      <c r="L110" s="14">
        <v>0</v>
      </c>
      <c r="M110" s="14">
        <v>0</v>
      </c>
      <c r="N110" s="14">
        <v>0</v>
      </c>
      <c r="O110" s="14">
        <v>0</v>
      </c>
      <c r="P110" s="14">
        <v>0</v>
      </c>
      <c r="Q110" s="15">
        <v>0</v>
      </c>
      <c r="R110" s="15">
        <v>0</v>
      </c>
      <c r="S110" s="15">
        <f>$G$110*$G$8+$H$110*$H$8+$I$110*$I$8+$J$110*$J$8+$K$110*$K$8+$L$110*$L$8+$M$110*$M$8+$N$110*$N$8+$O$110*$O$8+$P$110*$P$8</f>
        <v>0</v>
      </c>
      <c r="T110" s="15">
        <f>SUM($Q$110:$R$110)</f>
        <v>0</v>
      </c>
      <c r="U110" s="15">
        <f>$S$110+$T$110</f>
        <v>0</v>
      </c>
    </row>
    <row r="111" spans="1:21" x14ac:dyDescent="0.3">
      <c r="A111" s="10" t="s">
        <v>397</v>
      </c>
      <c r="B111" s="11" t="s">
        <v>398</v>
      </c>
      <c r="C111" s="11" t="s">
        <v>243</v>
      </c>
      <c r="D111" s="11" t="s">
        <v>399</v>
      </c>
      <c r="E111" s="11">
        <f xml:space="preserve"> IF($U$111,1,0)</f>
        <v>0</v>
      </c>
      <c r="F111" s="11" t="s">
        <v>400</v>
      </c>
      <c r="G111" s="11">
        <v>0</v>
      </c>
      <c r="H111" s="11">
        <v>0</v>
      </c>
      <c r="I111" s="11">
        <v>0</v>
      </c>
      <c r="J111" s="11">
        <v>0</v>
      </c>
      <c r="K111" s="11">
        <v>0</v>
      </c>
      <c r="L111" s="11">
        <v>0</v>
      </c>
      <c r="M111" s="11">
        <v>0</v>
      </c>
      <c r="N111" s="11">
        <v>0</v>
      </c>
      <c r="O111" s="11">
        <v>0</v>
      </c>
      <c r="P111" s="11">
        <v>0</v>
      </c>
      <c r="Q111" s="12">
        <v>0</v>
      </c>
      <c r="R111" s="12">
        <v>0</v>
      </c>
      <c r="S111" s="12">
        <f>$G$111*$G$8+$H$111*$H$8+$I$111*$I$8+$J$111*$J$8+$K$111*$K$8+$L$111*$L$8+$M$111*$M$8+$N$111*$N$8+$O$111*$O$8+$P$111*$P$8</f>
        <v>0</v>
      </c>
      <c r="T111" s="12">
        <f>SUM($Q$111:$R$111)</f>
        <v>0</v>
      </c>
      <c r="U111" s="12">
        <f>$S$111+$T$111</f>
        <v>0</v>
      </c>
    </row>
    <row r="112" spans="1:21" x14ac:dyDescent="0.3">
      <c r="A112" s="13" t="s">
        <v>401</v>
      </c>
      <c r="B112" s="14" t="s">
        <v>402</v>
      </c>
      <c r="C112" s="14"/>
      <c r="D112" s="14" t="s">
        <v>403</v>
      </c>
      <c r="E112" s="14">
        <f xml:space="preserve"> IF($U$112,1,0)</f>
        <v>0</v>
      </c>
      <c r="F112" s="14" t="s">
        <v>404</v>
      </c>
      <c r="G112" s="14">
        <v>0</v>
      </c>
      <c r="H112" s="14">
        <v>0</v>
      </c>
      <c r="I112" s="14">
        <v>0</v>
      </c>
      <c r="J112" s="14">
        <v>0</v>
      </c>
      <c r="K112" s="14">
        <v>0</v>
      </c>
      <c r="L112" s="14">
        <v>0</v>
      </c>
      <c r="M112" s="14">
        <v>0</v>
      </c>
      <c r="N112" s="14">
        <v>0</v>
      </c>
      <c r="O112" s="14">
        <v>0</v>
      </c>
      <c r="P112" s="14">
        <v>0</v>
      </c>
      <c r="Q112" s="15">
        <v>0</v>
      </c>
      <c r="R112" s="15">
        <v>0</v>
      </c>
      <c r="S112" s="15">
        <f>$G$112*$G$8+$H$112*$H$8+$I$112*$I$8+$J$112*$J$8+$K$112*$K$8+$L$112*$L$8+$M$112*$M$8+$N$112*$N$8+$O$112*$O$8+$P$112*$P$8</f>
        <v>0</v>
      </c>
      <c r="T112" s="15">
        <f>SUM($Q$112:$R$112)</f>
        <v>0</v>
      </c>
      <c r="U112" s="15">
        <f>$S$112+$T$112</f>
        <v>0</v>
      </c>
    </row>
    <row r="113" spans="1:21" x14ac:dyDescent="0.3">
      <c r="A113" s="10" t="s">
        <v>405</v>
      </c>
      <c r="B113" s="11" t="s">
        <v>406</v>
      </c>
      <c r="C113" s="11"/>
      <c r="D113" s="11" t="s">
        <v>407</v>
      </c>
      <c r="E113" s="11">
        <f xml:space="preserve"> IF($U$113,1,0)</f>
        <v>0</v>
      </c>
      <c r="F113" s="11" t="s">
        <v>408</v>
      </c>
      <c r="G113" s="11">
        <v>0</v>
      </c>
      <c r="H113" s="11">
        <v>0</v>
      </c>
      <c r="I113" s="11">
        <v>0</v>
      </c>
      <c r="J113" s="11">
        <v>0</v>
      </c>
      <c r="K113" s="11">
        <v>0</v>
      </c>
      <c r="L113" s="11">
        <v>0</v>
      </c>
      <c r="M113" s="11">
        <v>0</v>
      </c>
      <c r="N113" s="11">
        <v>0</v>
      </c>
      <c r="O113" s="11">
        <v>0</v>
      </c>
      <c r="P113" s="11">
        <v>0</v>
      </c>
      <c r="Q113" s="12">
        <v>0</v>
      </c>
      <c r="R113" s="12">
        <v>0</v>
      </c>
      <c r="S113" s="12">
        <f>$G$113*$G$8+$H$113*$H$8+$I$113*$I$8+$J$113*$J$8+$K$113*$K$8+$L$113*$L$8+$M$113*$M$8+$N$113*$N$8+$O$113*$O$8+$P$113*$P$8</f>
        <v>0</v>
      </c>
      <c r="T113" s="12">
        <f>SUM($Q$113:$R$113)</f>
        <v>0</v>
      </c>
      <c r="U113" s="12">
        <f>$S$113+$T$113</f>
        <v>0</v>
      </c>
    </row>
    <row r="114" spans="1:21" x14ac:dyDescent="0.3">
      <c r="A114" s="13" t="s">
        <v>409</v>
      </c>
      <c r="B114" s="14" t="s">
        <v>410</v>
      </c>
      <c r="C114" s="14"/>
      <c r="D114" s="14" t="s">
        <v>411</v>
      </c>
      <c r="E114" s="14">
        <f xml:space="preserve"> IF($U$114,1,0)</f>
        <v>0</v>
      </c>
      <c r="F114" s="14" t="s">
        <v>412</v>
      </c>
      <c r="G114" s="14">
        <v>0</v>
      </c>
      <c r="H114" s="14">
        <v>0</v>
      </c>
      <c r="I114" s="14">
        <v>0</v>
      </c>
      <c r="J114" s="14">
        <v>0</v>
      </c>
      <c r="K114" s="14">
        <v>0</v>
      </c>
      <c r="L114" s="14">
        <v>0</v>
      </c>
      <c r="M114" s="14">
        <v>0</v>
      </c>
      <c r="N114" s="14">
        <v>0</v>
      </c>
      <c r="O114" s="14">
        <v>0</v>
      </c>
      <c r="P114" s="14">
        <v>0</v>
      </c>
      <c r="Q114" s="15">
        <v>0</v>
      </c>
      <c r="R114" s="15">
        <v>0</v>
      </c>
      <c r="S114" s="15">
        <f>$G$114*$G$8+$H$114*$H$8+$I$114*$I$8+$J$114*$J$8+$K$114*$K$8+$L$114*$L$8+$M$114*$M$8+$N$114*$N$8+$O$114*$O$8+$P$114*$P$8</f>
        <v>0</v>
      </c>
      <c r="T114" s="15">
        <f>SUM($Q$114:$R$114)</f>
        <v>0</v>
      </c>
      <c r="U114" s="15">
        <f>$S$114+$T$114</f>
        <v>0</v>
      </c>
    </row>
    <row r="115" spans="1:21" x14ac:dyDescent="0.3">
      <c r="A115" s="10" t="s">
        <v>413</v>
      </c>
      <c r="B115" s="11" t="s">
        <v>414</v>
      </c>
      <c r="C115" s="11"/>
      <c r="D115" s="11" t="s">
        <v>415</v>
      </c>
      <c r="E115" s="11">
        <f xml:space="preserve"> IF($U$115,1,0)</f>
        <v>0</v>
      </c>
      <c r="F115" s="11" t="s">
        <v>416</v>
      </c>
      <c r="G115" s="11">
        <v>0</v>
      </c>
      <c r="H115" s="11">
        <v>0</v>
      </c>
      <c r="I115" s="11">
        <v>0</v>
      </c>
      <c r="J115" s="11">
        <v>0</v>
      </c>
      <c r="K115" s="11">
        <v>0</v>
      </c>
      <c r="L115" s="11">
        <v>0</v>
      </c>
      <c r="M115" s="11">
        <v>0</v>
      </c>
      <c r="N115" s="11">
        <v>0</v>
      </c>
      <c r="O115" s="11">
        <v>0</v>
      </c>
      <c r="P115" s="11">
        <v>0</v>
      </c>
      <c r="Q115" s="12">
        <v>0</v>
      </c>
      <c r="R115" s="12">
        <v>0</v>
      </c>
      <c r="S115" s="12">
        <f>$G$115*$G$8+$H$115*$H$8+$I$115*$I$8+$J$115*$J$8+$K$115*$K$8+$L$115*$L$8+$M$115*$M$8+$N$115*$N$8+$O$115*$O$8+$P$115*$P$8</f>
        <v>0</v>
      </c>
      <c r="T115" s="12">
        <f>SUM($Q$115:$R$115)</f>
        <v>0</v>
      </c>
      <c r="U115" s="12">
        <f>$S$115+$T$115</f>
        <v>0</v>
      </c>
    </row>
    <row r="116" spans="1:21" x14ac:dyDescent="0.3">
      <c r="A116" s="13" t="s">
        <v>417</v>
      </c>
      <c r="B116" s="14" t="s">
        <v>418</v>
      </c>
      <c r="C116" s="14"/>
      <c r="D116" s="14" t="s">
        <v>419</v>
      </c>
      <c r="E116" s="14">
        <f xml:space="preserve"> IF($U$116,1,0)</f>
        <v>0</v>
      </c>
      <c r="F116" s="14" t="s">
        <v>420</v>
      </c>
      <c r="G116" s="14">
        <v>0</v>
      </c>
      <c r="H116" s="14">
        <v>0</v>
      </c>
      <c r="I116" s="14">
        <v>0</v>
      </c>
      <c r="J116" s="14">
        <v>0</v>
      </c>
      <c r="K116" s="14">
        <v>0</v>
      </c>
      <c r="L116" s="14">
        <v>0</v>
      </c>
      <c r="M116" s="14">
        <v>0</v>
      </c>
      <c r="N116" s="14">
        <v>0</v>
      </c>
      <c r="O116" s="14">
        <v>0</v>
      </c>
      <c r="P116" s="14">
        <v>0</v>
      </c>
      <c r="Q116" s="15">
        <v>0</v>
      </c>
      <c r="R116" s="15">
        <v>0</v>
      </c>
      <c r="S116" s="15">
        <f>$G$116*$G$8+$H$116*$H$8+$I$116*$I$8+$J$116*$J$8+$K$116*$K$8+$L$116*$L$8+$M$116*$M$8+$N$116*$N$8+$O$116*$O$8+$P$116*$P$8</f>
        <v>0</v>
      </c>
      <c r="T116" s="15">
        <f>SUM($Q$116:$R$116)</f>
        <v>0</v>
      </c>
      <c r="U116" s="15">
        <f>$S$116+$T$116</f>
        <v>0</v>
      </c>
    </row>
    <row r="117" spans="1:21" x14ac:dyDescent="0.3">
      <c r="A117" s="10" t="s">
        <v>421</v>
      </c>
      <c r="B117" s="11" t="s">
        <v>422</v>
      </c>
      <c r="C117" s="11"/>
      <c r="D117" s="11" t="s">
        <v>423</v>
      </c>
      <c r="E117" s="11">
        <f xml:space="preserve"> IF($U$117,1,0)</f>
        <v>0</v>
      </c>
      <c r="F117" s="11" t="s">
        <v>424</v>
      </c>
      <c r="G117" s="11">
        <v>0</v>
      </c>
      <c r="H117" s="11">
        <v>0</v>
      </c>
      <c r="I117" s="11">
        <v>0</v>
      </c>
      <c r="J117" s="11">
        <v>0</v>
      </c>
      <c r="K117" s="11">
        <v>0</v>
      </c>
      <c r="L117" s="11">
        <v>0</v>
      </c>
      <c r="M117" s="11">
        <v>0</v>
      </c>
      <c r="N117" s="11">
        <v>0</v>
      </c>
      <c r="O117" s="11">
        <v>0</v>
      </c>
      <c r="P117" s="11">
        <v>0</v>
      </c>
      <c r="Q117" s="12">
        <v>0</v>
      </c>
      <c r="R117" s="12">
        <v>0</v>
      </c>
      <c r="S117" s="12">
        <f>$G$117*$G$8+$H$117*$H$8+$I$117*$I$8+$J$117*$J$8+$K$117*$K$8+$L$117*$L$8+$M$117*$M$8+$N$117*$N$8+$O$117*$O$8+$P$117*$P$8</f>
        <v>0</v>
      </c>
      <c r="T117" s="12">
        <f>SUM($Q$117:$R$117)</f>
        <v>0</v>
      </c>
      <c r="U117" s="12">
        <f>$S$117+$T$117</f>
        <v>0</v>
      </c>
    </row>
    <row r="118" spans="1:21" x14ac:dyDescent="0.3">
      <c r="A118" s="13" t="s">
        <v>425</v>
      </c>
      <c r="B118" s="14" t="s">
        <v>426</v>
      </c>
      <c r="C118" s="14" t="s">
        <v>34</v>
      </c>
      <c r="D118" s="14" t="s">
        <v>427</v>
      </c>
      <c r="E118" s="14">
        <f xml:space="preserve"> IF($U$118,1,0)</f>
        <v>0</v>
      </c>
      <c r="F118" s="14" t="s">
        <v>428</v>
      </c>
      <c r="G118" s="14">
        <v>0</v>
      </c>
      <c r="H118" s="14">
        <v>0</v>
      </c>
      <c r="I118" s="14">
        <v>0</v>
      </c>
      <c r="J118" s="14">
        <v>0</v>
      </c>
      <c r="K118" s="14">
        <v>0</v>
      </c>
      <c r="L118" s="14">
        <v>0</v>
      </c>
      <c r="M118" s="14">
        <v>0</v>
      </c>
      <c r="N118" s="14">
        <v>0</v>
      </c>
      <c r="O118" s="14">
        <v>0</v>
      </c>
      <c r="P118" s="14">
        <v>0</v>
      </c>
      <c r="Q118" s="15">
        <v>0</v>
      </c>
      <c r="R118" s="15">
        <v>0</v>
      </c>
      <c r="S118" s="15">
        <f>$G$118*$G$8+$H$118*$H$8+$I$118*$I$8+$J$118*$J$8+$K$118*$K$8+$L$118*$L$8+$M$118*$M$8+$N$118*$N$8+$O$118*$O$8+$P$118*$P$8</f>
        <v>0</v>
      </c>
      <c r="T118" s="15">
        <f>SUM($Q$118:$R$118)</f>
        <v>0</v>
      </c>
      <c r="U118" s="15">
        <f>$S$118+$T$118</f>
        <v>0</v>
      </c>
    </row>
    <row r="119" spans="1:21" x14ac:dyDescent="0.3">
      <c r="A119" s="10" t="s">
        <v>429</v>
      </c>
      <c r="B119" s="11" t="s">
        <v>430</v>
      </c>
      <c r="C119" s="11"/>
      <c r="D119" s="11" t="s">
        <v>431</v>
      </c>
      <c r="E119" s="11">
        <f xml:space="preserve"> IF($U$119,1,0)</f>
        <v>0</v>
      </c>
      <c r="F119" s="11" t="s">
        <v>432</v>
      </c>
      <c r="G119" s="11">
        <v>0</v>
      </c>
      <c r="H119" s="11">
        <v>0</v>
      </c>
      <c r="I119" s="11">
        <v>0</v>
      </c>
      <c r="J119" s="11">
        <v>0</v>
      </c>
      <c r="K119" s="11">
        <v>0</v>
      </c>
      <c r="L119" s="11">
        <v>0</v>
      </c>
      <c r="M119" s="11">
        <v>0</v>
      </c>
      <c r="N119" s="11">
        <v>0</v>
      </c>
      <c r="O119" s="11">
        <v>0</v>
      </c>
      <c r="P119" s="11">
        <v>0</v>
      </c>
      <c r="Q119" s="12">
        <v>0</v>
      </c>
      <c r="R119" s="12">
        <v>0</v>
      </c>
      <c r="S119" s="12">
        <f>$G$119*$G$8+$H$119*$H$8+$I$119*$I$8+$J$119*$J$8+$K$119*$K$8+$L$119*$L$8+$M$119*$M$8+$N$119*$N$8+$O$119*$O$8+$P$119*$P$8</f>
        <v>0</v>
      </c>
      <c r="T119" s="12">
        <f>SUM($Q$119:$R$119)</f>
        <v>0</v>
      </c>
      <c r="U119" s="12">
        <f>$S$119+$T$119</f>
        <v>0</v>
      </c>
    </row>
    <row r="120" spans="1:21" x14ac:dyDescent="0.3">
      <c r="A120" s="13" t="s">
        <v>1252</v>
      </c>
      <c r="B120" s="14" t="s">
        <v>1253</v>
      </c>
      <c r="C120" s="14"/>
      <c r="D120" s="14" t="s">
        <v>1254</v>
      </c>
      <c r="E120" s="14">
        <f xml:space="preserve"> IF($U$120,1,0)</f>
        <v>0</v>
      </c>
      <c r="F120" s="14" t="s">
        <v>1255</v>
      </c>
      <c r="G120" s="14">
        <v>0</v>
      </c>
      <c r="H120" s="14">
        <v>0</v>
      </c>
      <c r="I120" s="14">
        <v>0</v>
      </c>
      <c r="J120" s="14">
        <v>0</v>
      </c>
      <c r="K120" s="14">
        <v>0</v>
      </c>
      <c r="L120" s="14">
        <v>0</v>
      </c>
      <c r="M120" s="14">
        <v>0</v>
      </c>
      <c r="N120" s="14">
        <v>0</v>
      </c>
      <c r="O120" s="14">
        <v>0</v>
      </c>
      <c r="P120" s="14">
        <v>0</v>
      </c>
      <c r="Q120" s="15">
        <v>0</v>
      </c>
      <c r="R120" s="15">
        <v>0</v>
      </c>
      <c r="S120" s="15">
        <f>$G$120*$G$8+$H$120*$H$8+$I$120*$I$8+$J$120*$J$8+$K$120*$K$8+$L$120*$L$8+$M$120*$M$8+$N$120*$N$8+$O$120*$O$8+$P$120*$P$8</f>
        <v>0</v>
      </c>
      <c r="T120" s="15">
        <f>SUM($Q$120:$R$120)</f>
        <v>0</v>
      </c>
      <c r="U120" s="15">
        <f>$S$120+$T$120</f>
        <v>0</v>
      </c>
    </row>
    <row r="121" spans="1:21" x14ac:dyDescent="0.3">
      <c r="A121" s="10" t="s">
        <v>433</v>
      </c>
      <c r="B121" s="11" t="s">
        <v>434</v>
      </c>
      <c r="C121" s="11" t="s">
        <v>202</v>
      </c>
      <c r="D121" s="11" t="s">
        <v>435</v>
      </c>
      <c r="E121" s="11">
        <f xml:space="preserve"> IF($U$121,1,0)</f>
        <v>0</v>
      </c>
      <c r="F121" s="11" t="s">
        <v>436</v>
      </c>
      <c r="G121" s="11">
        <v>0</v>
      </c>
      <c r="H121" s="11">
        <v>0</v>
      </c>
      <c r="I121" s="11">
        <v>0</v>
      </c>
      <c r="J121" s="11">
        <v>0</v>
      </c>
      <c r="K121" s="11">
        <v>0</v>
      </c>
      <c r="L121" s="11">
        <v>0</v>
      </c>
      <c r="M121" s="11">
        <v>0</v>
      </c>
      <c r="N121" s="11">
        <v>0</v>
      </c>
      <c r="O121" s="11">
        <v>0</v>
      </c>
      <c r="P121" s="11">
        <v>0</v>
      </c>
      <c r="Q121" s="12">
        <v>0</v>
      </c>
      <c r="R121" s="12">
        <v>0</v>
      </c>
      <c r="S121" s="12">
        <f>$G$121*$G$8+$H$121*$H$8+$I$121*$I$8+$J$121*$J$8+$K$121*$K$8+$L$121*$L$8+$M$121*$M$8+$N$121*$N$8+$O$121*$O$8+$P$121*$P$8</f>
        <v>0</v>
      </c>
      <c r="T121" s="12">
        <f>SUM($Q$121:$R$121)</f>
        <v>0</v>
      </c>
      <c r="U121" s="12">
        <f>$S$121+$T$121</f>
        <v>0</v>
      </c>
    </row>
    <row r="122" spans="1:21" x14ac:dyDescent="0.3">
      <c r="A122" s="13" t="s">
        <v>437</v>
      </c>
      <c r="B122" s="14" t="s">
        <v>434</v>
      </c>
      <c r="C122" s="14"/>
      <c r="D122" s="14" t="s">
        <v>438</v>
      </c>
      <c r="E122" s="14">
        <f xml:space="preserve"> IF($U$122,1,0)</f>
        <v>0</v>
      </c>
      <c r="F122" s="14" t="s">
        <v>439</v>
      </c>
      <c r="G122" s="14">
        <v>0</v>
      </c>
      <c r="H122" s="14">
        <v>0</v>
      </c>
      <c r="I122" s="14">
        <v>0</v>
      </c>
      <c r="J122" s="14">
        <v>0</v>
      </c>
      <c r="K122" s="14">
        <v>0</v>
      </c>
      <c r="L122" s="14">
        <v>0</v>
      </c>
      <c r="M122" s="14">
        <v>0</v>
      </c>
      <c r="N122" s="14">
        <v>0</v>
      </c>
      <c r="O122" s="14">
        <v>0</v>
      </c>
      <c r="P122" s="14">
        <v>0</v>
      </c>
      <c r="Q122" s="15">
        <v>0</v>
      </c>
      <c r="R122" s="15">
        <v>0</v>
      </c>
      <c r="S122" s="15">
        <f>$G$122*$G$8+$H$122*$H$8+$I$122*$I$8+$J$122*$J$8+$K$122*$K$8+$L$122*$L$8+$M$122*$M$8+$N$122*$N$8+$O$122*$O$8+$P$122*$P$8</f>
        <v>0</v>
      </c>
      <c r="T122" s="15">
        <f>SUM($Q$122:$R$122)</f>
        <v>0</v>
      </c>
      <c r="U122" s="15">
        <f>$S$122+$T$122</f>
        <v>0</v>
      </c>
    </row>
    <row r="123" spans="1:21" x14ac:dyDescent="0.3">
      <c r="A123" s="10" t="s">
        <v>440</v>
      </c>
      <c r="B123" s="11" t="s">
        <v>441</v>
      </c>
      <c r="C123" s="11" t="s">
        <v>202</v>
      </c>
      <c r="D123" s="11" t="s">
        <v>442</v>
      </c>
      <c r="E123" s="11">
        <f xml:space="preserve"> IF($U$123,1,0)</f>
        <v>0</v>
      </c>
      <c r="F123" s="11" t="s">
        <v>443</v>
      </c>
      <c r="G123" s="11">
        <v>0</v>
      </c>
      <c r="H123" s="11">
        <v>0</v>
      </c>
      <c r="I123" s="11">
        <v>0</v>
      </c>
      <c r="J123" s="11">
        <v>0</v>
      </c>
      <c r="K123" s="11">
        <v>0</v>
      </c>
      <c r="L123" s="11">
        <v>0</v>
      </c>
      <c r="M123" s="11">
        <v>0</v>
      </c>
      <c r="N123" s="11">
        <v>0</v>
      </c>
      <c r="O123" s="11">
        <v>0</v>
      </c>
      <c r="P123" s="11">
        <v>0</v>
      </c>
      <c r="Q123" s="12">
        <v>0</v>
      </c>
      <c r="R123" s="12">
        <v>0</v>
      </c>
      <c r="S123" s="12">
        <f>$G$123*$G$8+$H$123*$H$8+$I$123*$I$8+$J$123*$J$8+$K$123*$K$8+$L$123*$L$8+$M$123*$M$8+$N$123*$N$8+$O$123*$O$8+$P$123*$P$8</f>
        <v>0</v>
      </c>
      <c r="T123" s="12">
        <f>SUM($Q$123:$R$123)</f>
        <v>0</v>
      </c>
      <c r="U123" s="12">
        <f>$S$123+$T$123</f>
        <v>0</v>
      </c>
    </row>
    <row r="124" spans="1:21" x14ac:dyDescent="0.3">
      <c r="A124" s="13" t="s">
        <v>444</v>
      </c>
      <c r="B124" s="14" t="s">
        <v>445</v>
      </c>
      <c r="C124" s="14"/>
      <c r="D124" s="14" t="s">
        <v>446</v>
      </c>
      <c r="E124" s="14">
        <f xml:space="preserve"> IF($U$124,1,0)</f>
        <v>0</v>
      </c>
      <c r="F124" s="14" t="s">
        <v>447</v>
      </c>
      <c r="G124" s="14">
        <v>0</v>
      </c>
      <c r="H124" s="14">
        <v>0</v>
      </c>
      <c r="I124" s="14">
        <v>0</v>
      </c>
      <c r="J124" s="14">
        <v>0</v>
      </c>
      <c r="K124" s="14">
        <v>0</v>
      </c>
      <c r="L124" s="14">
        <v>0</v>
      </c>
      <c r="M124" s="14">
        <v>0</v>
      </c>
      <c r="N124" s="14">
        <v>0</v>
      </c>
      <c r="O124" s="14">
        <v>0</v>
      </c>
      <c r="P124" s="14">
        <v>0</v>
      </c>
      <c r="Q124" s="15">
        <v>0</v>
      </c>
      <c r="R124" s="15">
        <v>0</v>
      </c>
      <c r="S124" s="15">
        <f>$G$124*$G$8+$H$124*$H$8+$I$124*$I$8+$J$124*$J$8+$K$124*$K$8+$L$124*$L$8+$M$124*$M$8+$N$124*$N$8+$O$124*$O$8+$P$124*$P$8</f>
        <v>0</v>
      </c>
      <c r="T124" s="15">
        <f>SUM($Q$124:$R$124)</f>
        <v>0</v>
      </c>
      <c r="U124" s="15">
        <f>$S$124+$T$124</f>
        <v>0</v>
      </c>
    </row>
    <row r="125" spans="1:21" x14ac:dyDescent="0.3">
      <c r="A125" s="10" t="s">
        <v>448</v>
      </c>
      <c r="B125" s="11" t="s">
        <v>449</v>
      </c>
      <c r="C125" s="11"/>
      <c r="D125" s="11" t="s">
        <v>450</v>
      </c>
      <c r="E125" s="11">
        <f xml:space="preserve"> IF($U$125,1,0)</f>
        <v>0</v>
      </c>
      <c r="F125" s="11" t="s">
        <v>451</v>
      </c>
      <c r="G125" s="11">
        <v>0</v>
      </c>
      <c r="H125" s="11">
        <v>0</v>
      </c>
      <c r="I125" s="11">
        <v>0</v>
      </c>
      <c r="J125" s="11">
        <v>0</v>
      </c>
      <c r="K125" s="11">
        <v>0</v>
      </c>
      <c r="L125" s="11">
        <v>0</v>
      </c>
      <c r="M125" s="11">
        <v>0</v>
      </c>
      <c r="N125" s="11">
        <v>0</v>
      </c>
      <c r="O125" s="11">
        <v>0</v>
      </c>
      <c r="P125" s="11">
        <v>0</v>
      </c>
      <c r="Q125" s="12">
        <v>0</v>
      </c>
      <c r="R125" s="12">
        <v>0</v>
      </c>
      <c r="S125" s="12">
        <f>$G$125*$G$8+$H$125*$H$8+$I$125*$I$8+$J$125*$J$8+$K$125*$K$8+$L$125*$L$8+$M$125*$M$8+$N$125*$N$8+$O$125*$O$8+$P$125*$P$8</f>
        <v>0</v>
      </c>
      <c r="T125" s="12">
        <f>SUM($Q$125:$R$125)</f>
        <v>0</v>
      </c>
      <c r="U125" s="12">
        <f>$S$125+$T$125</f>
        <v>0</v>
      </c>
    </row>
    <row r="126" spans="1:21" x14ac:dyDescent="0.3">
      <c r="A126" s="13" t="s">
        <v>452</v>
      </c>
      <c r="B126" s="14" t="s">
        <v>453</v>
      </c>
      <c r="C126" s="14"/>
      <c r="D126" s="14" t="s">
        <v>454</v>
      </c>
      <c r="E126" s="14">
        <f xml:space="preserve"> IF($U$126,1,0)</f>
        <v>0</v>
      </c>
      <c r="F126" s="14" t="s">
        <v>455</v>
      </c>
      <c r="G126" s="14">
        <v>0</v>
      </c>
      <c r="H126" s="14">
        <v>0</v>
      </c>
      <c r="I126" s="14">
        <v>0</v>
      </c>
      <c r="J126" s="14">
        <v>0</v>
      </c>
      <c r="K126" s="14">
        <v>0</v>
      </c>
      <c r="L126" s="14">
        <v>0</v>
      </c>
      <c r="M126" s="14">
        <v>0</v>
      </c>
      <c r="N126" s="14">
        <v>0</v>
      </c>
      <c r="O126" s="14">
        <v>0</v>
      </c>
      <c r="P126" s="14">
        <v>0</v>
      </c>
      <c r="Q126" s="15">
        <v>0</v>
      </c>
      <c r="R126" s="15">
        <v>0</v>
      </c>
      <c r="S126" s="15">
        <f>$G$126*$G$8+$H$126*$H$8+$I$126*$I$8+$J$126*$J$8+$K$126*$K$8+$L$126*$L$8+$M$126*$M$8+$N$126*$N$8+$O$126*$O$8+$P$126*$P$8</f>
        <v>0</v>
      </c>
      <c r="T126" s="15">
        <f>SUM($Q$126:$R$126)</f>
        <v>0</v>
      </c>
      <c r="U126" s="15">
        <f>$S$126+$T$126</f>
        <v>0</v>
      </c>
    </row>
    <row r="127" spans="1:21" x14ac:dyDescent="0.3">
      <c r="A127" s="10" t="s">
        <v>456</v>
      </c>
      <c r="B127" s="11" t="s">
        <v>457</v>
      </c>
      <c r="C127" s="11"/>
      <c r="D127" s="11" t="s">
        <v>458</v>
      </c>
      <c r="E127" s="11">
        <f xml:space="preserve"> IF($U$127,1,0)</f>
        <v>0</v>
      </c>
      <c r="F127" s="11" t="s">
        <v>459</v>
      </c>
      <c r="G127" s="11">
        <v>0</v>
      </c>
      <c r="H127" s="11">
        <v>0</v>
      </c>
      <c r="I127" s="11">
        <v>0</v>
      </c>
      <c r="J127" s="11">
        <v>0</v>
      </c>
      <c r="K127" s="11">
        <v>0</v>
      </c>
      <c r="L127" s="11">
        <v>0</v>
      </c>
      <c r="M127" s="11">
        <v>0</v>
      </c>
      <c r="N127" s="11">
        <v>0</v>
      </c>
      <c r="O127" s="11">
        <v>0</v>
      </c>
      <c r="P127" s="11">
        <v>0</v>
      </c>
      <c r="Q127" s="12">
        <v>0</v>
      </c>
      <c r="R127" s="12">
        <v>0</v>
      </c>
      <c r="S127" s="12">
        <f>$G$127*$G$8+$H$127*$H$8+$I$127*$I$8+$J$127*$J$8+$K$127*$K$8+$L$127*$L$8+$M$127*$M$8+$N$127*$N$8+$O$127*$O$8+$P$127*$P$8</f>
        <v>0</v>
      </c>
      <c r="T127" s="12">
        <f>SUM($Q$127:$R$127)</f>
        <v>0</v>
      </c>
      <c r="U127" s="12">
        <f>$S$127+$T$127</f>
        <v>0</v>
      </c>
    </row>
    <row r="128" spans="1:21" x14ac:dyDescent="0.3">
      <c r="A128" s="13" t="s">
        <v>460</v>
      </c>
      <c r="B128" s="14" t="s">
        <v>457</v>
      </c>
      <c r="C128" s="14"/>
      <c r="D128" s="14" t="s">
        <v>461</v>
      </c>
      <c r="E128" s="14">
        <f xml:space="preserve"> IF($U$128,1,0)</f>
        <v>0</v>
      </c>
      <c r="F128" s="14" t="s">
        <v>462</v>
      </c>
      <c r="G128" s="14">
        <v>0</v>
      </c>
      <c r="H128" s="14">
        <v>0</v>
      </c>
      <c r="I128" s="14">
        <v>0</v>
      </c>
      <c r="J128" s="14">
        <v>0</v>
      </c>
      <c r="K128" s="14">
        <v>0</v>
      </c>
      <c r="L128" s="14">
        <v>0</v>
      </c>
      <c r="M128" s="14">
        <v>0</v>
      </c>
      <c r="N128" s="14">
        <v>0</v>
      </c>
      <c r="O128" s="14">
        <v>0</v>
      </c>
      <c r="P128" s="14">
        <v>0</v>
      </c>
      <c r="Q128" s="15">
        <v>0</v>
      </c>
      <c r="R128" s="15">
        <v>0</v>
      </c>
      <c r="S128" s="15">
        <f>$G$128*$G$8+$H$128*$H$8+$I$128*$I$8+$J$128*$J$8+$K$128*$K$8+$L$128*$L$8+$M$128*$M$8+$N$128*$N$8+$O$128*$O$8+$P$128*$P$8</f>
        <v>0</v>
      </c>
      <c r="T128" s="15">
        <f>SUM($Q$128:$R$128)</f>
        <v>0</v>
      </c>
      <c r="U128" s="15">
        <f>$S$128+$T$128</f>
        <v>0</v>
      </c>
    </row>
    <row r="129" spans="1:21" x14ac:dyDescent="0.3">
      <c r="A129" s="10" t="s">
        <v>463</v>
      </c>
      <c r="B129" s="11" t="s">
        <v>457</v>
      </c>
      <c r="C129" s="11" t="s">
        <v>34</v>
      </c>
      <c r="D129" s="11" t="s">
        <v>464</v>
      </c>
      <c r="E129" s="11">
        <f xml:space="preserve"> IF($U$129,1,0)</f>
        <v>0</v>
      </c>
      <c r="F129" s="11" t="s">
        <v>465</v>
      </c>
      <c r="G129" s="11">
        <v>0</v>
      </c>
      <c r="H129" s="11">
        <v>0</v>
      </c>
      <c r="I129" s="11">
        <v>0</v>
      </c>
      <c r="J129" s="11">
        <v>0</v>
      </c>
      <c r="K129" s="11">
        <v>0</v>
      </c>
      <c r="L129" s="11">
        <v>0</v>
      </c>
      <c r="M129" s="11">
        <v>0</v>
      </c>
      <c r="N129" s="11">
        <v>0</v>
      </c>
      <c r="O129" s="11">
        <v>0</v>
      </c>
      <c r="P129" s="11">
        <v>0</v>
      </c>
      <c r="Q129" s="12">
        <v>0</v>
      </c>
      <c r="R129" s="12">
        <v>0</v>
      </c>
      <c r="S129" s="12">
        <f>$G$129*$G$8+$H$129*$H$8+$I$129*$I$8+$J$129*$J$8+$K$129*$K$8+$L$129*$L$8+$M$129*$M$8+$N$129*$N$8+$O$129*$O$8+$P$129*$P$8</f>
        <v>0</v>
      </c>
      <c r="T129" s="12">
        <f>SUM($Q$129:$R$129)</f>
        <v>0</v>
      </c>
      <c r="U129" s="12">
        <f>$S$129+$T$129</f>
        <v>0</v>
      </c>
    </row>
    <row r="130" spans="1:21" x14ac:dyDescent="0.3">
      <c r="A130" s="13" t="s">
        <v>466</v>
      </c>
      <c r="B130" s="14" t="s">
        <v>457</v>
      </c>
      <c r="C130" s="14"/>
      <c r="D130" s="14" t="s">
        <v>467</v>
      </c>
      <c r="E130" s="14">
        <f xml:space="preserve"> IF($U$130,1,0)</f>
        <v>0</v>
      </c>
      <c r="F130" s="14" t="s">
        <v>468</v>
      </c>
      <c r="G130" s="14">
        <v>0</v>
      </c>
      <c r="H130" s="14">
        <v>0</v>
      </c>
      <c r="I130" s="14">
        <v>0</v>
      </c>
      <c r="J130" s="14">
        <v>0</v>
      </c>
      <c r="K130" s="14">
        <v>0</v>
      </c>
      <c r="L130" s="14">
        <v>0</v>
      </c>
      <c r="M130" s="14">
        <v>0</v>
      </c>
      <c r="N130" s="14">
        <v>0</v>
      </c>
      <c r="O130" s="14">
        <v>0</v>
      </c>
      <c r="P130" s="14">
        <v>0</v>
      </c>
      <c r="Q130" s="15">
        <v>0</v>
      </c>
      <c r="R130" s="15">
        <v>0</v>
      </c>
      <c r="S130" s="15">
        <f>$G$130*$G$8+$H$130*$H$8+$I$130*$I$8+$J$130*$J$8+$K$130*$K$8+$L$130*$L$8+$M$130*$M$8+$N$130*$N$8+$O$130*$O$8+$P$130*$P$8</f>
        <v>0</v>
      </c>
      <c r="T130" s="15">
        <f>SUM($Q$130:$R$130)</f>
        <v>0</v>
      </c>
      <c r="U130" s="15">
        <f>$S$130+$T$130</f>
        <v>0</v>
      </c>
    </row>
    <row r="131" spans="1:21" x14ac:dyDescent="0.3">
      <c r="A131" s="10" t="s">
        <v>469</v>
      </c>
      <c r="B131" s="11" t="s">
        <v>470</v>
      </c>
      <c r="C131" s="11"/>
      <c r="D131" s="11" t="s">
        <v>471</v>
      </c>
      <c r="E131" s="11">
        <f xml:space="preserve"> IF($U$131,1,0)</f>
        <v>0</v>
      </c>
      <c r="F131" s="11" t="s">
        <v>472</v>
      </c>
      <c r="G131" s="11">
        <v>0</v>
      </c>
      <c r="H131" s="11">
        <v>0</v>
      </c>
      <c r="I131" s="11">
        <v>0</v>
      </c>
      <c r="J131" s="11">
        <v>0</v>
      </c>
      <c r="K131" s="11">
        <v>0</v>
      </c>
      <c r="L131" s="11">
        <v>0</v>
      </c>
      <c r="M131" s="11">
        <v>0</v>
      </c>
      <c r="N131" s="11">
        <v>0</v>
      </c>
      <c r="O131" s="11">
        <v>0</v>
      </c>
      <c r="P131" s="11">
        <v>0</v>
      </c>
      <c r="Q131" s="12">
        <v>0</v>
      </c>
      <c r="R131" s="12">
        <v>0</v>
      </c>
      <c r="S131" s="12">
        <f>$G$131*$G$8+$H$131*$H$8+$I$131*$I$8+$J$131*$J$8+$K$131*$K$8+$L$131*$L$8+$M$131*$M$8+$N$131*$N$8+$O$131*$O$8+$P$131*$P$8</f>
        <v>0</v>
      </c>
      <c r="T131" s="12">
        <f>SUM($Q$131:$R$131)</f>
        <v>0</v>
      </c>
      <c r="U131" s="12">
        <f>$S$131+$T$131</f>
        <v>0</v>
      </c>
    </row>
    <row r="132" spans="1:21" x14ac:dyDescent="0.3">
      <c r="A132" s="13" t="s">
        <v>473</v>
      </c>
      <c r="B132" s="14" t="s">
        <v>474</v>
      </c>
      <c r="C132" s="14"/>
      <c r="D132" s="14" t="s">
        <v>475</v>
      </c>
      <c r="E132" s="14">
        <f xml:space="preserve"> IF($U$132,1,0)</f>
        <v>0</v>
      </c>
      <c r="F132" s="14" t="s">
        <v>476</v>
      </c>
      <c r="G132" s="14">
        <v>0</v>
      </c>
      <c r="H132" s="14">
        <v>0</v>
      </c>
      <c r="I132" s="14">
        <v>0</v>
      </c>
      <c r="J132" s="14">
        <v>0</v>
      </c>
      <c r="K132" s="14">
        <v>0</v>
      </c>
      <c r="L132" s="14">
        <v>0</v>
      </c>
      <c r="M132" s="14">
        <v>0</v>
      </c>
      <c r="N132" s="14">
        <v>0</v>
      </c>
      <c r="O132" s="14">
        <v>0</v>
      </c>
      <c r="P132" s="14">
        <v>0</v>
      </c>
      <c r="Q132" s="15">
        <v>0</v>
      </c>
      <c r="R132" s="15">
        <v>0</v>
      </c>
      <c r="S132" s="15">
        <f>$G$132*$G$8+$H$132*$H$8+$I$132*$I$8+$J$132*$J$8+$K$132*$K$8+$L$132*$L$8+$M$132*$M$8+$N$132*$N$8+$O$132*$O$8+$P$132*$P$8</f>
        <v>0</v>
      </c>
      <c r="T132" s="15">
        <f>SUM($Q$132:$R$132)</f>
        <v>0</v>
      </c>
      <c r="U132" s="15">
        <f>$S$132+$T$132</f>
        <v>0</v>
      </c>
    </row>
    <row r="133" spans="1:21" x14ac:dyDescent="0.3">
      <c r="A133" s="10" t="s">
        <v>477</v>
      </c>
      <c r="B133" s="11" t="s">
        <v>478</v>
      </c>
      <c r="C133" s="11"/>
      <c r="D133" s="11" t="s">
        <v>479</v>
      </c>
      <c r="E133" s="11">
        <f xml:space="preserve"> IF($U$133,1,0)</f>
        <v>0</v>
      </c>
      <c r="F133" s="11" t="s">
        <v>480</v>
      </c>
      <c r="G133" s="11">
        <v>0</v>
      </c>
      <c r="H133" s="11">
        <v>0</v>
      </c>
      <c r="I133" s="11">
        <v>0</v>
      </c>
      <c r="J133" s="11">
        <v>0</v>
      </c>
      <c r="K133" s="11">
        <v>0</v>
      </c>
      <c r="L133" s="11">
        <v>0</v>
      </c>
      <c r="M133" s="11">
        <v>0</v>
      </c>
      <c r="N133" s="11">
        <v>0</v>
      </c>
      <c r="O133" s="11">
        <v>0</v>
      </c>
      <c r="P133" s="11">
        <v>0</v>
      </c>
      <c r="Q133" s="12">
        <v>0</v>
      </c>
      <c r="R133" s="12">
        <v>0</v>
      </c>
      <c r="S133" s="12">
        <f>$G$133*$G$8+$H$133*$H$8+$I$133*$I$8+$J$133*$J$8+$K$133*$K$8+$L$133*$L$8+$M$133*$M$8+$N$133*$N$8+$O$133*$O$8+$P$133*$P$8</f>
        <v>0</v>
      </c>
      <c r="T133" s="12">
        <f>SUM($Q$133:$R$133)</f>
        <v>0</v>
      </c>
      <c r="U133" s="12">
        <f>$S$133+$T$133</f>
        <v>0</v>
      </c>
    </row>
    <row r="134" spans="1:21" x14ac:dyDescent="0.3">
      <c r="A134" s="13" t="s">
        <v>481</v>
      </c>
      <c r="B134" s="14" t="s">
        <v>482</v>
      </c>
      <c r="C134" s="14"/>
      <c r="D134" s="14" t="s">
        <v>483</v>
      </c>
      <c r="E134" s="14">
        <f xml:space="preserve"> IF($U$134,1,0)</f>
        <v>1</v>
      </c>
      <c r="F134" s="14" t="s">
        <v>484</v>
      </c>
      <c r="G134" s="14">
        <v>1</v>
      </c>
      <c r="H134" s="14">
        <v>1</v>
      </c>
      <c r="I134" s="14">
        <v>1</v>
      </c>
      <c r="J134" s="14">
        <v>1</v>
      </c>
      <c r="K134" s="14">
        <v>1</v>
      </c>
      <c r="L134" s="14">
        <v>1</v>
      </c>
      <c r="M134" s="14">
        <v>0</v>
      </c>
      <c r="N134" s="14">
        <v>1</v>
      </c>
      <c r="O134" s="14">
        <v>1</v>
      </c>
      <c r="P134" s="14">
        <v>0</v>
      </c>
      <c r="Q134" s="15">
        <v>0</v>
      </c>
      <c r="R134" s="15">
        <v>0</v>
      </c>
      <c r="S134" s="15">
        <f>$G$134*$G$8+$H$134*$H$8+$I$134*$I$8+$J$134*$J$8+$K$134*$K$8+$L$134*$L$8+$M$134*$M$8+$N$134*$N$8+$O$134*$O$8+$P$134*$P$8</f>
        <v>19.149999999999999</v>
      </c>
      <c r="T134" s="15">
        <f>SUM($Q$134:$R$134)</f>
        <v>0</v>
      </c>
      <c r="U134" s="15">
        <f>$S$134+$T$134</f>
        <v>19.149999999999999</v>
      </c>
    </row>
    <row r="135" spans="1:21" x14ac:dyDescent="0.3">
      <c r="A135" s="10" t="s">
        <v>485</v>
      </c>
      <c r="B135" s="11" t="s">
        <v>486</v>
      </c>
      <c r="C135" s="11"/>
      <c r="D135" s="11" t="s">
        <v>487</v>
      </c>
      <c r="E135" s="11">
        <f xml:space="preserve"> IF($U$135,1,0)</f>
        <v>0</v>
      </c>
      <c r="F135" s="11" t="s">
        <v>488</v>
      </c>
      <c r="G135" s="11">
        <v>0</v>
      </c>
      <c r="H135" s="11">
        <v>0</v>
      </c>
      <c r="I135" s="11">
        <v>0</v>
      </c>
      <c r="J135" s="11">
        <v>0</v>
      </c>
      <c r="K135" s="11">
        <v>0</v>
      </c>
      <c r="L135" s="11">
        <v>0</v>
      </c>
      <c r="M135" s="11">
        <v>0</v>
      </c>
      <c r="N135" s="11">
        <v>0</v>
      </c>
      <c r="O135" s="11">
        <v>0</v>
      </c>
      <c r="P135" s="11">
        <v>0</v>
      </c>
      <c r="Q135" s="12">
        <v>0</v>
      </c>
      <c r="R135" s="12">
        <v>0</v>
      </c>
      <c r="S135" s="12">
        <f>$G$135*$G$8+$H$135*$H$8+$I$135*$I$8+$J$135*$J$8+$K$135*$K$8+$L$135*$L$8+$M$135*$M$8+$N$135*$N$8+$O$135*$O$8+$P$135*$P$8</f>
        <v>0</v>
      </c>
      <c r="T135" s="12">
        <f>SUM($Q$135:$R$135)</f>
        <v>0</v>
      </c>
      <c r="U135" s="12">
        <f>$S$135+$T$135</f>
        <v>0</v>
      </c>
    </row>
    <row r="136" spans="1:21" x14ac:dyDescent="0.3">
      <c r="A136" s="13" t="s">
        <v>489</v>
      </c>
      <c r="B136" s="14" t="s">
        <v>490</v>
      </c>
      <c r="C136" s="14"/>
      <c r="D136" s="14" t="s">
        <v>491</v>
      </c>
      <c r="E136" s="14">
        <f xml:space="preserve"> IF($U$136,1,0)</f>
        <v>0</v>
      </c>
      <c r="F136" s="14" t="s">
        <v>492</v>
      </c>
      <c r="G136" s="14">
        <v>0</v>
      </c>
      <c r="H136" s="14">
        <v>0</v>
      </c>
      <c r="I136" s="14">
        <v>0</v>
      </c>
      <c r="J136" s="14">
        <v>0</v>
      </c>
      <c r="K136" s="14">
        <v>0</v>
      </c>
      <c r="L136" s="14">
        <v>0</v>
      </c>
      <c r="M136" s="14">
        <v>0</v>
      </c>
      <c r="N136" s="14">
        <v>0</v>
      </c>
      <c r="O136" s="14">
        <v>0</v>
      </c>
      <c r="P136" s="14">
        <v>0</v>
      </c>
      <c r="Q136" s="15">
        <v>0</v>
      </c>
      <c r="R136" s="15">
        <v>0</v>
      </c>
      <c r="S136" s="15">
        <f>$G$136*$G$8+$H$136*$H$8+$I$136*$I$8+$J$136*$J$8+$K$136*$K$8+$L$136*$L$8+$M$136*$M$8+$N$136*$N$8+$O$136*$O$8+$P$136*$P$8</f>
        <v>0</v>
      </c>
      <c r="T136" s="15">
        <f>SUM($Q$136:$R$136)</f>
        <v>0</v>
      </c>
      <c r="U136" s="15">
        <f>$S$136+$T$136</f>
        <v>0</v>
      </c>
    </row>
    <row r="137" spans="1:21" x14ac:dyDescent="0.3">
      <c r="A137" s="10" t="s">
        <v>493</v>
      </c>
      <c r="B137" s="11" t="s">
        <v>494</v>
      </c>
      <c r="C137" s="11" t="s">
        <v>34</v>
      </c>
      <c r="D137" s="11" t="s">
        <v>495</v>
      </c>
      <c r="E137" s="11">
        <f xml:space="preserve"> IF($U$137,1,0)</f>
        <v>0</v>
      </c>
      <c r="F137" s="11" t="s">
        <v>496</v>
      </c>
      <c r="G137" s="11">
        <v>0</v>
      </c>
      <c r="H137" s="11">
        <v>0</v>
      </c>
      <c r="I137" s="11">
        <v>0</v>
      </c>
      <c r="J137" s="11">
        <v>0</v>
      </c>
      <c r="K137" s="11">
        <v>0</v>
      </c>
      <c r="L137" s="11">
        <v>0</v>
      </c>
      <c r="M137" s="11">
        <v>0</v>
      </c>
      <c r="N137" s="11">
        <v>0</v>
      </c>
      <c r="O137" s="11">
        <v>0</v>
      </c>
      <c r="P137" s="11">
        <v>0</v>
      </c>
      <c r="Q137" s="12">
        <v>0</v>
      </c>
      <c r="R137" s="12">
        <v>0</v>
      </c>
      <c r="S137" s="12">
        <f>$G$137*$G$8+$H$137*$H$8+$I$137*$I$8+$J$137*$J$8+$K$137*$K$8+$L$137*$L$8+$M$137*$M$8+$N$137*$N$8+$O$137*$O$8+$P$137*$P$8</f>
        <v>0</v>
      </c>
      <c r="T137" s="12">
        <f>SUM($Q$137:$R$137)</f>
        <v>0</v>
      </c>
      <c r="U137" s="12">
        <f>$S$137+$T$137</f>
        <v>0</v>
      </c>
    </row>
    <row r="138" spans="1:21" x14ac:dyDescent="0.3">
      <c r="A138" s="13" t="s">
        <v>497</v>
      </c>
      <c r="B138" s="14" t="s">
        <v>498</v>
      </c>
      <c r="C138" s="14"/>
      <c r="D138" s="14" t="s">
        <v>499</v>
      </c>
      <c r="E138" s="14">
        <f xml:space="preserve"> IF($U$138,1,0)</f>
        <v>0</v>
      </c>
      <c r="F138" s="14" t="s">
        <v>500</v>
      </c>
      <c r="G138" s="14">
        <v>0</v>
      </c>
      <c r="H138" s="14">
        <v>0</v>
      </c>
      <c r="I138" s="14">
        <v>0</v>
      </c>
      <c r="J138" s="14">
        <v>0</v>
      </c>
      <c r="K138" s="14">
        <v>0</v>
      </c>
      <c r="L138" s="14">
        <v>0</v>
      </c>
      <c r="M138" s="14">
        <v>0</v>
      </c>
      <c r="N138" s="14">
        <v>0</v>
      </c>
      <c r="O138" s="14">
        <v>0</v>
      </c>
      <c r="P138" s="14">
        <v>0</v>
      </c>
      <c r="Q138" s="15">
        <v>0</v>
      </c>
      <c r="R138" s="15">
        <v>0</v>
      </c>
      <c r="S138" s="15">
        <f>$G$138*$G$8+$H$138*$H$8+$I$138*$I$8+$J$138*$J$8+$K$138*$K$8+$L$138*$L$8+$M$138*$M$8+$N$138*$N$8+$O$138*$O$8+$P$138*$P$8</f>
        <v>0</v>
      </c>
      <c r="T138" s="15">
        <f>SUM($Q$138:$R$138)</f>
        <v>0</v>
      </c>
      <c r="U138" s="15">
        <f>$S$138+$T$138</f>
        <v>0</v>
      </c>
    </row>
    <row r="139" spans="1:21" x14ac:dyDescent="0.3">
      <c r="A139" s="10" t="s">
        <v>501</v>
      </c>
      <c r="B139" s="11" t="s">
        <v>502</v>
      </c>
      <c r="C139" s="11" t="s">
        <v>34</v>
      </c>
      <c r="D139" s="11" t="s">
        <v>503</v>
      </c>
      <c r="E139" s="11">
        <f xml:space="preserve"> IF($U$139,1,0)</f>
        <v>0</v>
      </c>
      <c r="F139" s="11" t="s">
        <v>504</v>
      </c>
      <c r="G139" s="11">
        <v>0</v>
      </c>
      <c r="H139" s="11">
        <v>0</v>
      </c>
      <c r="I139" s="11">
        <v>0</v>
      </c>
      <c r="J139" s="11">
        <v>0</v>
      </c>
      <c r="K139" s="11">
        <v>0</v>
      </c>
      <c r="L139" s="11">
        <v>0</v>
      </c>
      <c r="M139" s="11">
        <v>0</v>
      </c>
      <c r="N139" s="11">
        <v>0</v>
      </c>
      <c r="O139" s="11">
        <v>0</v>
      </c>
      <c r="P139" s="11">
        <v>0</v>
      </c>
      <c r="Q139" s="12">
        <v>0</v>
      </c>
      <c r="R139" s="12">
        <v>0</v>
      </c>
      <c r="S139" s="12">
        <f>$G$139*$G$8+$H$139*$H$8+$I$139*$I$8+$J$139*$J$8+$K$139*$K$8+$L$139*$L$8+$M$139*$M$8+$N$139*$N$8+$O$139*$O$8+$P$139*$P$8</f>
        <v>0</v>
      </c>
      <c r="T139" s="12">
        <f>SUM($Q$139:$R$139)</f>
        <v>0</v>
      </c>
      <c r="U139" s="12">
        <f>$S$139+$T$139</f>
        <v>0</v>
      </c>
    </row>
    <row r="140" spans="1:21" x14ac:dyDescent="0.3">
      <c r="A140" s="13" t="s">
        <v>505</v>
      </c>
      <c r="B140" s="14" t="s">
        <v>502</v>
      </c>
      <c r="C140" s="14"/>
      <c r="D140" s="14" t="s">
        <v>232</v>
      </c>
      <c r="E140" s="14">
        <f xml:space="preserve"> IF($U$140,1,0)</f>
        <v>0</v>
      </c>
      <c r="F140" s="14" t="s">
        <v>506</v>
      </c>
      <c r="G140" s="14">
        <v>0</v>
      </c>
      <c r="H140" s="14">
        <v>0</v>
      </c>
      <c r="I140" s="14">
        <v>0</v>
      </c>
      <c r="J140" s="14">
        <v>0</v>
      </c>
      <c r="K140" s="14">
        <v>0</v>
      </c>
      <c r="L140" s="14">
        <v>0</v>
      </c>
      <c r="M140" s="14">
        <v>0</v>
      </c>
      <c r="N140" s="14">
        <v>0</v>
      </c>
      <c r="O140" s="14">
        <v>0</v>
      </c>
      <c r="P140" s="14">
        <v>0</v>
      </c>
      <c r="Q140" s="15">
        <v>0</v>
      </c>
      <c r="R140" s="15">
        <v>0</v>
      </c>
      <c r="S140" s="15">
        <f>$G$140*$G$8+$H$140*$H$8+$I$140*$I$8+$J$140*$J$8+$K$140*$K$8+$L$140*$L$8+$M$140*$M$8+$N$140*$N$8+$O$140*$O$8+$P$140*$P$8</f>
        <v>0</v>
      </c>
      <c r="T140" s="15">
        <f>SUM($Q$140:$R$140)</f>
        <v>0</v>
      </c>
      <c r="U140" s="15">
        <f>$S$140+$T$140</f>
        <v>0</v>
      </c>
    </row>
    <row r="141" spans="1:21" x14ac:dyDescent="0.3">
      <c r="A141" s="10" t="s">
        <v>507</v>
      </c>
      <c r="B141" s="11" t="s">
        <v>508</v>
      </c>
      <c r="C141" s="11" t="s">
        <v>65</v>
      </c>
      <c r="D141" s="11" t="s">
        <v>509</v>
      </c>
      <c r="E141" s="11">
        <f xml:space="preserve"> IF($U$141,1,0)</f>
        <v>0</v>
      </c>
      <c r="F141" s="11" t="s">
        <v>510</v>
      </c>
      <c r="G141" s="11">
        <v>0</v>
      </c>
      <c r="H141" s="11">
        <v>0</v>
      </c>
      <c r="I141" s="11">
        <v>0</v>
      </c>
      <c r="J141" s="11">
        <v>0</v>
      </c>
      <c r="K141" s="11">
        <v>0</v>
      </c>
      <c r="L141" s="11">
        <v>0</v>
      </c>
      <c r="M141" s="11">
        <v>0</v>
      </c>
      <c r="N141" s="11">
        <v>0</v>
      </c>
      <c r="O141" s="11">
        <v>0</v>
      </c>
      <c r="P141" s="11">
        <v>0</v>
      </c>
      <c r="Q141" s="12">
        <v>0</v>
      </c>
      <c r="R141" s="12">
        <v>0</v>
      </c>
      <c r="S141" s="12">
        <f>$G$141*$G$8+$H$141*$H$8+$I$141*$I$8+$J$141*$J$8+$K$141*$K$8+$L$141*$L$8+$M$141*$M$8+$N$141*$N$8+$O$141*$O$8+$P$141*$P$8</f>
        <v>0</v>
      </c>
      <c r="T141" s="12">
        <f>SUM($Q$141:$R$141)</f>
        <v>0</v>
      </c>
      <c r="U141" s="12">
        <f>$S$141+$T$141</f>
        <v>0</v>
      </c>
    </row>
    <row r="142" spans="1:21" x14ac:dyDescent="0.3">
      <c r="A142" s="13" t="s">
        <v>511</v>
      </c>
      <c r="B142" s="14" t="s">
        <v>512</v>
      </c>
      <c r="C142" s="14" t="s">
        <v>513</v>
      </c>
      <c r="D142" s="14" t="s">
        <v>514</v>
      </c>
      <c r="E142" s="14">
        <f xml:space="preserve"> IF($U$142,1,0)</f>
        <v>0</v>
      </c>
      <c r="F142" s="14" t="s">
        <v>515</v>
      </c>
      <c r="G142" s="14">
        <v>0</v>
      </c>
      <c r="H142" s="14">
        <v>0</v>
      </c>
      <c r="I142" s="14">
        <v>0</v>
      </c>
      <c r="J142" s="14">
        <v>0</v>
      </c>
      <c r="K142" s="14">
        <v>0</v>
      </c>
      <c r="L142" s="14">
        <v>0</v>
      </c>
      <c r="M142" s="14">
        <v>0</v>
      </c>
      <c r="N142" s="14">
        <v>0</v>
      </c>
      <c r="O142" s="14">
        <v>0</v>
      </c>
      <c r="P142" s="14">
        <v>0</v>
      </c>
      <c r="Q142" s="15">
        <v>0</v>
      </c>
      <c r="R142" s="15">
        <v>0</v>
      </c>
      <c r="S142" s="15">
        <f>$G$142*$G$8+$H$142*$H$8+$I$142*$I$8+$J$142*$J$8+$K$142*$K$8+$L$142*$L$8+$M$142*$M$8+$N$142*$N$8+$O$142*$O$8+$P$142*$P$8</f>
        <v>0</v>
      </c>
      <c r="T142" s="15">
        <f>SUM($Q$142:$R$142)</f>
        <v>0</v>
      </c>
      <c r="U142" s="15">
        <f>$S$142+$T$142</f>
        <v>0</v>
      </c>
    </row>
    <row r="143" spans="1:21" x14ac:dyDescent="0.3">
      <c r="A143" s="10" t="s">
        <v>516</v>
      </c>
      <c r="B143" s="11" t="s">
        <v>517</v>
      </c>
      <c r="C143" s="11" t="s">
        <v>65</v>
      </c>
      <c r="D143" s="11" t="s">
        <v>518</v>
      </c>
      <c r="E143" s="11">
        <f xml:space="preserve"> IF($U$143,1,0)</f>
        <v>0</v>
      </c>
      <c r="F143" s="11" t="s">
        <v>519</v>
      </c>
      <c r="G143" s="11">
        <v>0</v>
      </c>
      <c r="H143" s="11">
        <v>0</v>
      </c>
      <c r="I143" s="11">
        <v>0</v>
      </c>
      <c r="J143" s="11">
        <v>0</v>
      </c>
      <c r="K143" s="11">
        <v>0</v>
      </c>
      <c r="L143" s="11">
        <v>0</v>
      </c>
      <c r="M143" s="11">
        <v>0</v>
      </c>
      <c r="N143" s="11">
        <v>0</v>
      </c>
      <c r="O143" s="11">
        <v>0</v>
      </c>
      <c r="P143" s="11">
        <v>0</v>
      </c>
      <c r="Q143" s="12">
        <v>0</v>
      </c>
      <c r="R143" s="12">
        <v>0</v>
      </c>
      <c r="S143" s="12">
        <f>$G$143*$G$8+$H$143*$H$8+$I$143*$I$8+$J$143*$J$8+$K$143*$K$8+$L$143*$L$8+$M$143*$M$8+$N$143*$N$8+$O$143*$O$8+$P$143*$P$8</f>
        <v>0</v>
      </c>
      <c r="T143" s="12">
        <f>SUM($Q$143:$R$143)</f>
        <v>0</v>
      </c>
      <c r="U143" s="12">
        <f>$S$143+$T$143</f>
        <v>0</v>
      </c>
    </row>
    <row r="144" spans="1:21" x14ac:dyDescent="0.3">
      <c r="A144" s="13" t="s">
        <v>520</v>
      </c>
      <c r="B144" s="14" t="s">
        <v>517</v>
      </c>
      <c r="C144" s="14"/>
      <c r="D144" s="14" t="s">
        <v>521</v>
      </c>
      <c r="E144" s="14">
        <f xml:space="preserve"> IF($U$144,1,0)</f>
        <v>0</v>
      </c>
      <c r="F144" s="14" t="s">
        <v>522</v>
      </c>
      <c r="G144" s="14">
        <v>0</v>
      </c>
      <c r="H144" s="14">
        <v>0</v>
      </c>
      <c r="I144" s="14">
        <v>0</v>
      </c>
      <c r="J144" s="14">
        <v>0</v>
      </c>
      <c r="K144" s="14">
        <v>0</v>
      </c>
      <c r="L144" s="14">
        <v>0</v>
      </c>
      <c r="M144" s="14">
        <v>0</v>
      </c>
      <c r="N144" s="14">
        <v>0</v>
      </c>
      <c r="O144" s="14">
        <v>0</v>
      </c>
      <c r="P144" s="14">
        <v>0</v>
      </c>
      <c r="Q144" s="15">
        <v>0</v>
      </c>
      <c r="R144" s="15">
        <v>0</v>
      </c>
      <c r="S144" s="15">
        <f>$G$144*$G$8+$H$144*$H$8+$I$144*$I$8+$J$144*$J$8+$K$144*$K$8+$L$144*$L$8+$M$144*$M$8+$N$144*$N$8+$O$144*$O$8+$P$144*$P$8</f>
        <v>0</v>
      </c>
      <c r="T144" s="15">
        <f>SUM($Q$144:$R$144)</f>
        <v>0</v>
      </c>
      <c r="U144" s="15">
        <f>$S$144+$T$144</f>
        <v>0</v>
      </c>
    </row>
    <row r="145" spans="1:21" x14ac:dyDescent="0.3">
      <c r="A145" s="10" t="s">
        <v>523</v>
      </c>
      <c r="B145" s="11" t="s">
        <v>524</v>
      </c>
      <c r="C145" s="11" t="s">
        <v>65</v>
      </c>
      <c r="D145" s="11" t="s">
        <v>327</v>
      </c>
      <c r="E145" s="11">
        <f xml:space="preserve"> IF($U$145,1,0)</f>
        <v>0</v>
      </c>
      <c r="F145" s="11" t="s">
        <v>525</v>
      </c>
      <c r="G145" s="11">
        <v>0</v>
      </c>
      <c r="H145" s="11">
        <v>0</v>
      </c>
      <c r="I145" s="11">
        <v>0</v>
      </c>
      <c r="J145" s="11">
        <v>0</v>
      </c>
      <c r="K145" s="11">
        <v>0</v>
      </c>
      <c r="L145" s="11">
        <v>0</v>
      </c>
      <c r="M145" s="11">
        <v>0</v>
      </c>
      <c r="N145" s="11">
        <v>0</v>
      </c>
      <c r="O145" s="11">
        <v>0</v>
      </c>
      <c r="P145" s="11">
        <v>0</v>
      </c>
      <c r="Q145" s="12">
        <v>0</v>
      </c>
      <c r="R145" s="12">
        <v>0</v>
      </c>
      <c r="S145" s="12">
        <f>$G$145*$G$8+$H$145*$H$8+$I$145*$I$8+$J$145*$J$8+$K$145*$K$8+$L$145*$L$8+$M$145*$M$8+$N$145*$N$8+$O$145*$O$8+$P$145*$P$8</f>
        <v>0</v>
      </c>
      <c r="T145" s="12">
        <f>SUM($Q$145:$R$145)</f>
        <v>0</v>
      </c>
      <c r="U145" s="12">
        <f>$S$145+$T$145</f>
        <v>0</v>
      </c>
    </row>
    <row r="146" spans="1:21" x14ac:dyDescent="0.3">
      <c r="A146" s="13" t="s">
        <v>526</v>
      </c>
      <c r="B146" s="14" t="s">
        <v>527</v>
      </c>
      <c r="C146" s="14"/>
      <c r="D146" s="14" t="s">
        <v>528</v>
      </c>
      <c r="E146" s="14">
        <f xml:space="preserve"> IF($U$146,1,0)</f>
        <v>0</v>
      </c>
      <c r="F146" s="14" t="s">
        <v>529</v>
      </c>
      <c r="G146" s="14">
        <v>0</v>
      </c>
      <c r="H146" s="14">
        <v>0</v>
      </c>
      <c r="I146" s="14">
        <v>0</v>
      </c>
      <c r="J146" s="14">
        <v>0</v>
      </c>
      <c r="K146" s="14">
        <v>0</v>
      </c>
      <c r="L146" s="14">
        <v>0</v>
      </c>
      <c r="M146" s="14">
        <v>0</v>
      </c>
      <c r="N146" s="14">
        <v>0</v>
      </c>
      <c r="O146" s="14">
        <v>0</v>
      </c>
      <c r="P146" s="14">
        <v>0</v>
      </c>
      <c r="Q146" s="15">
        <v>0</v>
      </c>
      <c r="R146" s="15">
        <v>0</v>
      </c>
      <c r="S146" s="15">
        <f>$G$146*$G$8+$H$146*$H$8+$I$146*$I$8+$J$146*$J$8+$K$146*$K$8+$L$146*$L$8+$M$146*$M$8+$N$146*$N$8+$O$146*$O$8+$P$146*$P$8</f>
        <v>0</v>
      </c>
      <c r="T146" s="15">
        <f>SUM($Q$146:$R$146)</f>
        <v>0</v>
      </c>
      <c r="U146" s="15">
        <f>$S$146+$T$146</f>
        <v>0</v>
      </c>
    </row>
    <row r="147" spans="1:21" x14ac:dyDescent="0.3">
      <c r="A147" s="10" t="s">
        <v>530</v>
      </c>
      <c r="B147" s="11" t="s">
        <v>531</v>
      </c>
      <c r="C147" s="11"/>
      <c r="D147" s="11" t="s">
        <v>532</v>
      </c>
      <c r="E147" s="11">
        <f xml:space="preserve"> IF($U$147,1,0)</f>
        <v>0</v>
      </c>
      <c r="F147" s="11" t="s">
        <v>533</v>
      </c>
      <c r="G147" s="11">
        <v>0</v>
      </c>
      <c r="H147" s="11">
        <v>0</v>
      </c>
      <c r="I147" s="11">
        <v>0</v>
      </c>
      <c r="J147" s="11">
        <v>0</v>
      </c>
      <c r="K147" s="11">
        <v>0</v>
      </c>
      <c r="L147" s="11">
        <v>0</v>
      </c>
      <c r="M147" s="11">
        <v>0</v>
      </c>
      <c r="N147" s="11">
        <v>0</v>
      </c>
      <c r="O147" s="11">
        <v>0</v>
      </c>
      <c r="P147" s="11">
        <v>0</v>
      </c>
      <c r="Q147" s="12">
        <v>0</v>
      </c>
      <c r="R147" s="12">
        <v>0</v>
      </c>
      <c r="S147" s="12">
        <f>$G$147*$G$8+$H$147*$H$8+$I$147*$I$8+$J$147*$J$8+$K$147*$K$8+$L$147*$L$8+$M$147*$M$8+$N$147*$N$8+$O$147*$O$8+$P$147*$P$8</f>
        <v>0</v>
      </c>
      <c r="T147" s="12">
        <f>SUM($Q$147:$R$147)</f>
        <v>0</v>
      </c>
      <c r="U147" s="12">
        <f>$S$147+$T$147</f>
        <v>0</v>
      </c>
    </row>
    <row r="148" spans="1:21" x14ac:dyDescent="0.3">
      <c r="A148" s="13" t="s">
        <v>534</v>
      </c>
      <c r="B148" s="14" t="s">
        <v>535</v>
      </c>
      <c r="C148" s="14"/>
      <c r="D148" s="14" t="s">
        <v>536</v>
      </c>
      <c r="E148" s="14">
        <f xml:space="preserve"> IF($U$148,1,0)</f>
        <v>0</v>
      </c>
      <c r="F148" s="14" t="s">
        <v>537</v>
      </c>
      <c r="G148" s="14">
        <v>0</v>
      </c>
      <c r="H148" s="14">
        <v>0</v>
      </c>
      <c r="I148" s="14">
        <v>0</v>
      </c>
      <c r="J148" s="14">
        <v>0</v>
      </c>
      <c r="K148" s="14">
        <v>0</v>
      </c>
      <c r="L148" s="14">
        <v>0</v>
      </c>
      <c r="M148" s="14">
        <v>0</v>
      </c>
      <c r="N148" s="14">
        <v>0</v>
      </c>
      <c r="O148" s="14">
        <v>0</v>
      </c>
      <c r="P148" s="14">
        <v>0</v>
      </c>
      <c r="Q148" s="15">
        <v>0</v>
      </c>
      <c r="R148" s="15">
        <v>0</v>
      </c>
      <c r="S148" s="15">
        <f>$G$148*$G$8+$H$148*$H$8+$I$148*$I$8+$J$148*$J$8+$K$148*$K$8+$L$148*$L$8+$M$148*$M$8+$N$148*$N$8+$O$148*$O$8+$P$148*$P$8</f>
        <v>0</v>
      </c>
      <c r="T148" s="15">
        <f>SUM($Q$148:$R$148)</f>
        <v>0</v>
      </c>
      <c r="U148" s="15">
        <f>$S$148+$T$148</f>
        <v>0</v>
      </c>
    </row>
    <row r="149" spans="1:21" x14ac:dyDescent="0.3">
      <c r="A149" s="10" t="s">
        <v>538</v>
      </c>
      <c r="B149" s="11" t="s">
        <v>535</v>
      </c>
      <c r="C149" s="11"/>
      <c r="D149" s="11" t="s">
        <v>539</v>
      </c>
      <c r="E149" s="11">
        <f xml:space="preserve"> IF($U$149,1,0)</f>
        <v>0</v>
      </c>
      <c r="F149" s="11" t="s">
        <v>540</v>
      </c>
      <c r="G149" s="11">
        <v>0</v>
      </c>
      <c r="H149" s="11">
        <v>0</v>
      </c>
      <c r="I149" s="11">
        <v>0</v>
      </c>
      <c r="J149" s="11">
        <v>0</v>
      </c>
      <c r="K149" s="11">
        <v>0</v>
      </c>
      <c r="L149" s="11">
        <v>0</v>
      </c>
      <c r="M149" s="11">
        <v>0</v>
      </c>
      <c r="N149" s="11">
        <v>0</v>
      </c>
      <c r="O149" s="11">
        <v>0</v>
      </c>
      <c r="P149" s="11">
        <v>0</v>
      </c>
      <c r="Q149" s="12">
        <v>0</v>
      </c>
      <c r="R149" s="12">
        <v>0</v>
      </c>
      <c r="S149" s="12">
        <f>$G$149*$G$8+$H$149*$H$8+$I$149*$I$8+$J$149*$J$8+$K$149*$K$8+$L$149*$L$8+$M$149*$M$8+$N$149*$N$8+$O$149*$O$8+$P$149*$P$8</f>
        <v>0</v>
      </c>
      <c r="T149" s="12">
        <f>SUM($Q$149:$R$149)</f>
        <v>0</v>
      </c>
      <c r="U149" s="12">
        <f>$S$149+$T$149</f>
        <v>0</v>
      </c>
    </row>
    <row r="150" spans="1:21" x14ac:dyDescent="0.3">
      <c r="A150" s="13" t="s">
        <v>541</v>
      </c>
      <c r="B150" s="14" t="s">
        <v>542</v>
      </c>
      <c r="C150" s="14"/>
      <c r="D150" s="14" t="s">
        <v>543</v>
      </c>
      <c r="E150" s="14">
        <f xml:space="preserve"> IF($U$150,1,0)</f>
        <v>0</v>
      </c>
      <c r="F150" s="14" t="s">
        <v>544</v>
      </c>
      <c r="G150" s="14">
        <v>0</v>
      </c>
      <c r="H150" s="14">
        <v>0</v>
      </c>
      <c r="I150" s="14">
        <v>0</v>
      </c>
      <c r="J150" s="14">
        <v>0</v>
      </c>
      <c r="K150" s="14">
        <v>0</v>
      </c>
      <c r="L150" s="14">
        <v>0</v>
      </c>
      <c r="M150" s="14">
        <v>0</v>
      </c>
      <c r="N150" s="14">
        <v>0</v>
      </c>
      <c r="O150" s="14">
        <v>0</v>
      </c>
      <c r="P150" s="14">
        <v>0</v>
      </c>
      <c r="Q150" s="15">
        <v>0</v>
      </c>
      <c r="R150" s="15">
        <v>0</v>
      </c>
      <c r="S150" s="15">
        <f>$G$150*$G$8+$H$150*$H$8+$I$150*$I$8+$J$150*$J$8+$K$150*$K$8+$L$150*$L$8+$M$150*$M$8+$N$150*$N$8+$O$150*$O$8+$P$150*$P$8</f>
        <v>0</v>
      </c>
      <c r="T150" s="15">
        <f>SUM($Q$150:$R$150)</f>
        <v>0</v>
      </c>
      <c r="U150" s="15">
        <f>$S$150+$T$150</f>
        <v>0</v>
      </c>
    </row>
    <row r="151" spans="1:21" x14ac:dyDescent="0.3">
      <c r="A151" s="10" t="s">
        <v>545</v>
      </c>
      <c r="B151" s="11" t="s">
        <v>546</v>
      </c>
      <c r="C151" s="11"/>
      <c r="D151" s="11" t="s">
        <v>547</v>
      </c>
      <c r="E151" s="11">
        <f xml:space="preserve"> IF($U$151,1,0)</f>
        <v>0</v>
      </c>
      <c r="F151" s="11" t="s">
        <v>548</v>
      </c>
      <c r="G151" s="11">
        <v>0</v>
      </c>
      <c r="H151" s="11">
        <v>0</v>
      </c>
      <c r="I151" s="11">
        <v>0</v>
      </c>
      <c r="J151" s="11">
        <v>0</v>
      </c>
      <c r="K151" s="11">
        <v>0</v>
      </c>
      <c r="L151" s="11">
        <v>0</v>
      </c>
      <c r="M151" s="11">
        <v>0</v>
      </c>
      <c r="N151" s="11">
        <v>0</v>
      </c>
      <c r="O151" s="11">
        <v>0</v>
      </c>
      <c r="P151" s="11">
        <v>0</v>
      </c>
      <c r="Q151" s="12">
        <v>0</v>
      </c>
      <c r="R151" s="12">
        <v>0</v>
      </c>
      <c r="S151" s="12">
        <f>$G$151*$G$8+$H$151*$H$8+$I$151*$I$8+$J$151*$J$8+$K$151*$K$8+$L$151*$L$8+$M$151*$M$8+$N$151*$N$8+$O$151*$O$8+$P$151*$P$8</f>
        <v>0</v>
      </c>
      <c r="T151" s="12">
        <f>SUM($Q$151:$R$151)</f>
        <v>0</v>
      </c>
      <c r="U151" s="12">
        <f>$S$151+$T$151</f>
        <v>0</v>
      </c>
    </row>
    <row r="152" spans="1:21" x14ac:dyDescent="0.3">
      <c r="A152" s="13" t="s">
        <v>549</v>
      </c>
      <c r="B152" s="14" t="s">
        <v>550</v>
      </c>
      <c r="C152" s="14" t="s">
        <v>34</v>
      </c>
      <c r="D152" s="14" t="s">
        <v>551</v>
      </c>
      <c r="E152" s="14">
        <f xml:space="preserve"> IF($U$152,1,0)</f>
        <v>0</v>
      </c>
      <c r="F152" s="14" t="s">
        <v>552</v>
      </c>
      <c r="G152" s="14">
        <v>0</v>
      </c>
      <c r="H152" s="14">
        <v>0</v>
      </c>
      <c r="I152" s="14">
        <v>0</v>
      </c>
      <c r="J152" s="14">
        <v>0</v>
      </c>
      <c r="K152" s="14">
        <v>0</v>
      </c>
      <c r="L152" s="14">
        <v>0</v>
      </c>
      <c r="M152" s="14">
        <v>0</v>
      </c>
      <c r="N152" s="14">
        <v>0</v>
      </c>
      <c r="O152" s="14">
        <v>0</v>
      </c>
      <c r="P152" s="14">
        <v>0</v>
      </c>
      <c r="Q152" s="15">
        <v>0</v>
      </c>
      <c r="R152" s="15">
        <v>0</v>
      </c>
      <c r="S152" s="15">
        <f>$G$152*$G$8+$H$152*$H$8+$I$152*$I$8+$J$152*$J$8+$K$152*$K$8+$L$152*$L$8+$M$152*$M$8+$N$152*$N$8+$O$152*$O$8+$P$152*$P$8</f>
        <v>0</v>
      </c>
      <c r="T152" s="15">
        <f>SUM($Q$152:$R$152)</f>
        <v>0</v>
      </c>
      <c r="U152" s="15">
        <f>$S$152+$T$152</f>
        <v>0</v>
      </c>
    </row>
    <row r="153" spans="1:21" x14ac:dyDescent="0.3">
      <c r="A153" s="10" t="s">
        <v>553</v>
      </c>
      <c r="B153" s="11" t="s">
        <v>554</v>
      </c>
      <c r="C153" s="11"/>
      <c r="D153" s="11" t="s">
        <v>555</v>
      </c>
      <c r="E153" s="11">
        <f xml:space="preserve"> IF($U$153,1,0)</f>
        <v>0</v>
      </c>
      <c r="F153" s="11" t="s">
        <v>556</v>
      </c>
      <c r="G153" s="11">
        <v>0</v>
      </c>
      <c r="H153" s="11">
        <v>0</v>
      </c>
      <c r="I153" s="11">
        <v>0</v>
      </c>
      <c r="J153" s="11">
        <v>0</v>
      </c>
      <c r="K153" s="11">
        <v>0</v>
      </c>
      <c r="L153" s="11">
        <v>0</v>
      </c>
      <c r="M153" s="11">
        <v>0</v>
      </c>
      <c r="N153" s="11">
        <v>0</v>
      </c>
      <c r="O153" s="11">
        <v>0</v>
      </c>
      <c r="P153" s="11">
        <v>0</v>
      </c>
      <c r="Q153" s="12">
        <v>0</v>
      </c>
      <c r="R153" s="12">
        <v>0</v>
      </c>
      <c r="S153" s="12">
        <f>$G$153*$G$8+$H$153*$H$8+$I$153*$I$8+$J$153*$J$8+$K$153*$K$8+$L$153*$L$8+$M$153*$M$8+$N$153*$N$8+$O$153*$O$8+$P$153*$P$8</f>
        <v>0</v>
      </c>
      <c r="T153" s="12">
        <f>SUM($Q$153:$R$153)</f>
        <v>0</v>
      </c>
      <c r="U153" s="12">
        <f>$S$153+$T$153</f>
        <v>0</v>
      </c>
    </row>
    <row r="154" spans="1:21" x14ac:dyDescent="0.3">
      <c r="A154" s="13" t="s">
        <v>557</v>
      </c>
      <c r="B154" s="14" t="s">
        <v>554</v>
      </c>
      <c r="C154" s="14"/>
      <c r="D154" s="14" t="s">
        <v>558</v>
      </c>
      <c r="E154" s="14">
        <f xml:space="preserve"> IF($U$154,1,0)</f>
        <v>0</v>
      </c>
      <c r="F154" s="14" t="s">
        <v>559</v>
      </c>
      <c r="G154" s="14">
        <v>0</v>
      </c>
      <c r="H154" s="14">
        <v>0</v>
      </c>
      <c r="I154" s="14">
        <v>0</v>
      </c>
      <c r="J154" s="14">
        <v>0</v>
      </c>
      <c r="K154" s="14">
        <v>0</v>
      </c>
      <c r="L154" s="14">
        <v>0</v>
      </c>
      <c r="M154" s="14">
        <v>0</v>
      </c>
      <c r="N154" s="14">
        <v>0</v>
      </c>
      <c r="O154" s="14">
        <v>0</v>
      </c>
      <c r="P154" s="14">
        <v>0</v>
      </c>
      <c r="Q154" s="15">
        <v>0</v>
      </c>
      <c r="R154" s="15">
        <v>0</v>
      </c>
      <c r="S154" s="15">
        <f>$G$154*$G$8+$H$154*$H$8+$I$154*$I$8+$J$154*$J$8+$K$154*$K$8+$L$154*$L$8+$M$154*$M$8+$N$154*$N$8+$O$154*$O$8+$P$154*$P$8</f>
        <v>0</v>
      </c>
      <c r="T154" s="15">
        <f>SUM($Q$154:$R$154)</f>
        <v>0</v>
      </c>
      <c r="U154" s="15">
        <f>$S$154+$T$154</f>
        <v>0</v>
      </c>
    </row>
    <row r="155" spans="1:21" x14ac:dyDescent="0.3">
      <c r="A155" s="10" t="s">
        <v>560</v>
      </c>
      <c r="B155" s="11" t="s">
        <v>561</v>
      </c>
      <c r="C155" s="11"/>
      <c r="D155" s="11" t="s">
        <v>562</v>
      </c>
      <c r="E155" s="11">
        <f xml:space="preserve"> IF($U$155,1,0)</f>
        <v>0</v>
      </c>
      <c r="F155" s="11" t="s">
        <v>563</v>
      </c>
      <c r="G155" s="11">
        <v>0</v>
      </c>
      <c r="H155" s="11">
        <v>0</v>
      </c>
      <c r="I155" s="11">
        <v>0</v>
      </c>
      <c r="J155" s="11">
        <v>0</v>
      </c>
      <c r="K155" s="11">
        <v>0</v>
      </c>
      <c r="L155" s="11">
        <v>0</v>
      </c>
      <c r="M155" s="11">
        <v>0</v>
      </c>
      <c r="N155" s="11">
        <v>0</v>
      </c>
      <c r="O155" s="11">
        <v>0</v>
      </c>
      <c r="P155" s="11">
        <v>0</v>
      </c>
      <c r="Q155" s="12">
        <v>0</v>
      </c>
      <c r="R155" s="12">
        <v>0</v>
      </c>
      <c r="S155" s="12">
        <f>$G$155*$G$8+$H$155*$H$8+$I$155*$I$8+$J$155*$J$8+$K$155*$K$8+$L$155*$L$8+$M$155*$M$8+$N$155*$N$8+$O$155*$O$8+$P$155*$P$8</f>
        <v>0</v>
      </c>
      <c r="T155" s="12">
        <f>SUM($Q$155:$R$155)</f>
        <v>0</v>
      </c>
      <c r="U155" s="12">
        <f>$S$155+$T$155</f>
        <v>0</v>
      </c>
    </row>
    <row r="156" spans="1:21" x14ac:dyDescent="0.3">
      <c r="A156" s="13" t="s">
        <v>564</v>
      </c>
      <c r="B156" s="14" t="s">
        <v>565</v>
      </c>
      <c r="C156" s="14"/>
      <c r="D156" s="14" t="s">
        <v>566</v>
      </c>
      <c r="E156" s="14">
        <f xml:space="preserve"> IF($U$156,1,0)</f>
        <v>0</v>
      </c>
      <c r="F156" s="14" t="s">
        <v>567</v>
      </c>
      <c r="G156" s="14">
        <v>0</v>
      </c>
      <c r="H156" s="14">
        <v>0</v>
      </c>
      <c r="I156" s="14">
        <v>0</v>
      </c>
      <c r="J156" s="14">
        <v>0</v>
      </c>
      <c r="K156" s="14">
        <v>0</v>
      </c>
      <c r="L156" s="14">
        <v>0</v>
      </c>
      <c r="M156" s="14">
        <v>0</v>
      </c>
      <c r="N156" s="14">
        <v>0</v>
      </c>
      <c r="O156" s="14">
        <v>0</v>
      </c>
      <c r="P156" s="14">
        <v>0</v>
      </c>
      <c r="Q156" s="15">
        <v>0</v>
      </c>
      <c r="R156" s="15">
        <v>0</v>
      </c>
      <c r="S156" s="15">
        <f>$G$156*$G$8+$H$156*$H$8+$I$156*$I$8+$J$156*$J$8+$K$156*$K$8+$L$156*$L$8+$M$156*$M$8+$N$156*$N$8+$O$156*$O$8+$P$156*$P$8</f>
        <v>0</v>
      </c>
      <c r="T156" s="15">
        <f>SUM($Q$156:$R$156)</f>
        <v>0</v>
      </c>
      <c r="U156" s="15">
        <f>$S$156+$T$156</f>
        <v>0</v>
      </c>
    </row>
    <row r="157" spans="1:21" x14ac:dyDescent="0.3">
      <c r="A157" s="10" t="s">
        <v>568</v>
      </c>
      <c r="B157" s="11" t="s">
        <v>569</v>
      </c>
      <c r="C157" s="11"/>
      <c r="D157" s="11" t="s">
        <v>570</v>
      </c>
      <c r="E157" s="11">
        <f xml:space="preserve"> IF($U$157,1,0)</f>
        <v>0</v>
      </c>
      <c r="F157" s="11" t="s">
        <v>571</v>
      </c>
      <c r="G157" s="11">
        <v>0</v>
      </c>
      <c r="H157" s="11">
        <v>0</v>
      </c>
      <c r="I157" s="11">
        <v>0</v>
      </c>
      <c r="J157" s="11">
        <v>0</v>
      </c>
      <c r="K157" s="11">
        <v>0</v>
      </c>
      <c r="L157" s="11">
        <v>0</v>
      </c>
      <c r="M157" s="11">
        <v>0</v>
      </c>
      <c r="N157" s="11">
        <v>0</v>
      </c>
      <c r="O157" s="11">
        <v>0</v>
      </c>
      <c r="P157" s="11">
        <v>0</v>
      </c>
      <c r="Q157" s="12">
        <v>0</v>
      </c>
      <c r="R157" s="12">
        <v>0</v>
      </c>
      <c r="S157" s="12">
        <f>$G$157*$G$8+$H$157*$H$8+$I$157*$I$8+$J$157*$J$8+$K$157*$K$8+$L$157*$L$8+$M$157*$M$8+$N$157*$N$8+$O$157*$O$8+$P$157*$P$8</f>
        <v>0</v>
      </c>
      <c r="T157" s="12">
        <f>SUM($Q$157:$R$157)</f>
        <v>0</v>
      </c>
      <c r="U157" s="12">
        <f>$S$157+$T$157</f>
        <v>0</v>
      </c>
    </row>
    <row r="158" spans="1:21" x14ac:dyDescent="0.3">
      <c r="A158" s="13" t="s">
        <v>572</v>
      </c>
      <c r="B158" s="14" t="s">
        <v>573</v>
      </c>
      <c r="C158" s="14" t="s">
        <v>34</v>
      </c>
      <c r="D158" s="14" t="s">
        <v>574</v>
      </c>
      <c r="E158" s="14">
        <f xml:space="preserve"> IF($U$158,1,0)</f>
        <v>0</v>
      </c>
      <c r="F158" s="14" t="s">
        <v>575</v>
      </c>
      <c r="G158" s="14">
        <v>0</v>
      </c>
      <c r="H158" s="14">
        <v>0</v>
      </c>
      <c r="I158" s="14">
        <v>0</v>
      </c>
      <c r="J158" s="14">
        <v>0</v>
      </c>
      <c r="K158" s="14">
        <v>0</v>
      </c>
      <c r="L158" s="14">
        <v>0</v>
      </c>
      <c r="M158" s="14">
        <v>0</v>
      </c>
      <c r="N158" s="14">
        <v>0</v>
      </c>
      <c r="O158" s="14">
        <v>0</v>
      </c>
      <c r="P158" s="14">
        <v>0</v>
      </c>
      <c r="Q158" s="15">
        <v>0</v>
      </c>
      <c r="R158" s="15">
        <v>0</v>
      </c>
      <c r="S158" s="15">
        <f>$G$158*$G$8+$H$158*$H$8+$I$158*$I$8+$J$158*$J$8+$K$158*$K$8+$L$158*$L$8+$M$158*$M$8+$N$158*$N$8+$O$158*$O$8+$P$158*$P$8</f>
        <v>0</v>
      </c>
      <c r="T158" s="15">
        <f>SUM($Q$158:$R$158)</f>
        <v>0</v>
      </c>
      <c r="U158" s="15">
        <f>$S$158+$T$158</f>
        <v>0</v>
      </c>
    </row>
    <row r="159" spans="1:21" x14ac:dyDescent="0.3">
      <c r="A159" s="10" t="s">
        <v>576</v>
      </c>
      <c r="B159" s="11" t="s">
        <v>577</v>
      </c>
      <c r="C159" s="11"/>
      <c r="D159" s="11" t="s">
        <v>578</v>
      </c>
      <c r="E159" s="11">
        <f xml:space="preserve"> IF($U$159,1,0)</f>
        <v>0</v>
      </c>
      <c r="F159" s="11" t="s">
        <v>579</v>
      </c>
      <c r="G159" s="11">
        <v>0</v>
      </c>
      <c r="H159" s="11">
        <v>0</v>
      </c>
      <c r="I159" s="11">
        <v>0</v>
      </c>
      <c r="J159" s="11">
        <v>0</v>
      </c>
      <c r="K159" s="11">
        <v>0</v>
      </c>
      <c r="L159" s="11">
        <v>0</v>
      </c>
      <c r="M159" s="11">
        <v>0</v>
      </c>
      <c r="N159" s="11">
        <v>0</v>
      </c>
      <c r="O159" s="11">
        <v>0</v>
      </c>
      <c r="P159" s="11">
        <v>0</v>
      </c>
      <c r="Q159" s="12">
        <v>0</v>
      </c>
      <c r="R159" s="12">
        <v>0</v>
      </c>
      <c r="S159" s="12">
        <f>$G$159*$G$8+$H$159*$H$8+$I$159*$I$8+$J$159*$J$8+$K$159*$K$8+$L$159*$L$8+$M$159*$M$8+$N$159*$N$8+$O$159*$O$8+$P$159*$P$8</f>
        <v>0</v>
      </c>
      <c r="T159" s="12">
        <f>SUM($Q$159:$R$159)</f>
        <v>0</v>
      </c>
      <c r="U159" s="12">
        <f>$S$159+$T$159</f>
        <v>0</v>
      </c>
    </row>
    <row r="160" spans="1:21" x14ac:dyDescent="0.3">
      <c r="A160" s="13" t="s">
        <v>580</v>
      </c>
      <c r="B160" s="14" t="s">
        <v>581</v>
      </c>
      <c r="C160" s="14"/>
      <c r="D160" s="14" t="s">
        <v>582</v>
      </c>
      <c r="E160" s="14">
        <f xml:space="preserve"> IF($U$160,1,0)</f>
        <v>0</v>
      </c>
      <c r="F160" s="14" t="s">
        <v>583</v>
      </c>
      <c r="G160" s="14">
        <v>0</v>
      </c>
      <c r="H160" s="14">
        <v>0</v>
      </c>
      <c r="I160" s="14">
        <v>0</v>
      </c>
      <c r="J160" s="14">
        <v>0</v>
      </c>
      <c r="K160" s="14">
        <v>0</v>
      </c>
      <c r="L160" s="14">
        <v>0</v>
      </c>
      <c r="M160" s="14">
        <v>0</v>
      </c>
      <c r="N160" s="14">
        <v>0</v>
      </c>
      <c r="O160" s="14">
        <v>0</v>
      </c>
      <c r="P160" s="14">
        <v>0</v>
      </c>
      <c r="Q160" s="15">
        <v>0</v>
      </c>
      <c r="R160" s="15">
        <v>0</v>
      </c>
      <c r="S160" s="15">
        <f>$G$160*$G$8+$H$160*$H$8+$I$160*$I$8+$J$160*$J$8+$K$160*$K$8+$L$160*$L$8+$M$160*$M$8+$N$160*$N$8+$O$160*$O$8+$P$160*$P$8</f>
        <v>0</v>
      </c>
      <c r="T160" s="15">
        <f>SUM($Q$160:$R$160)</f>
        <v>0</v>
      </c>
      <c r="U160" s="15">
        <f>$S$160+$T$160</f>
        <v>0</v>
      </c>
    </row>
    <row r="161" spans="1:21" x14ac:dyDescent="0.3">
      <c r="A161" s="10" t="s">
        <v>584</v>
      </c>
      <c r="B161" s="11" t="s">
        <v>585</v>
      </c>
      <c r="C161" s="11"/>
      <c r="D161" s="11" t="s">
        <v>586</v>
      </c>
      <c r="E161" s="11">
        <f xml:space="preserve"> IF($U$161,1,0)</f>
        <v>0</v>
      </c>
      <c r="F161" s="11" t="s">
        <v>587</v>
      </c>
      <c r="G161" s="11">
        <v>0</v>
      </c>
      <c r="H161" s="11">
        <v>0</v>
      </c>
      <c r="I161" s="11">
        <v>0</v>
      </c>
      <c r="J161" s="11">
        <v>0</v>
      </c>
      <c r="K161" s="11">
        <v>0</v>
      </c>
      <c r="L161" s="11">
        <v>0</v>
      </c>
      <c r="M161" s="11">
        <v>0</v>
      </c>
      <c r="N161" s="11">
        <v>0</v>
      </c>
      <c r="O161" s="11">
        <v>0</v>
      </c>
      <c r="P161" s="11">
        <v>0</v>
      </c>
      <c r="Q161" s="12">
        <v>0</v>
      </c>
      <c r="R161" s="12">
        <v>0</v>
      </c>
      <c r="S161" s="12">
        <f>$G$161*$G$8+$H$161*$H$8+$I$161*$I$8+$J$161*$J$8+$K$161*$K$8+$L$161*$L$8+$M$161*$M$8+$N$161*$N$8+$O$161*$O$8+$P$161*$P$8</f>
        <v>0</v>
      </c>
      <c r="T161" s="12">
        <f>SUM($Q$161:$R$161)</f>
        <v>0</v>
      </c>
      <c r="U161" s="12">
        <f>$S$161+$T$161</f>
        <v>0</v>
      </c>
    </row>
    <row r="162" spans="1:21" x14ac:dyDescent="0.3">
      <c r="A162" s="13" t="s">
        <v>588</v>
      </c>
      <c r="B162" s="14" t="s">
        <v>589</v>
      </c>
      <c r="C162" s="14"/>
      <c r="D162" s="14" t="s">
        <v>590</v>
      </c>
      <c r="E162" s="14">
        <f xml:space="preserve"> IF($U$162,1,0)</f>
        <v>0</v>
      </c>
      <c r="F162" s="14" t="s">
        <v>591</v>
      </c>
      <c r="G162" s="14">
        <v>0</v>
      </c>
      <c r="H162" s="14">
        <v>0</v>
      </c>
      <c r="I162" s="14">
        <v>0</v>
      </c>
      <c r="J162" s="14">
        <v>0</v>
      </c>
      <c r="K162" s="14">
        <v>0</v>
      </c>
      <c r="L162" s="14">
        <v>0</v>
      </c>
      <c r="M162" s="14">
        <v>0</v>
      </c>
      <c r="N162" s="14">
        <v>0</v>
      </c>
      <c r="O162" s="14">
        <v>0</v>
      </c>
      <c r="P162" s="14">
        <v>0</v>
      </c>
      <c r="Q162" s="15">
        <v>0</v>
      </c>
      <c r="R162" s="15">
        <v>0</v>
      </c>
      <c r="S162" s="15">
        <f>$G$162*$G$8+$H$162*$H$8+$I$162*$I$8+$J$162*$J$8+$K$162*$K$8+$L$162*$L$8+$M$162*$M$8+$N$162*$N$8+$O$162*$O$8+$P$162*$P$8</f>
        <v>0</v>
      </c>
      <c r="T162" s="15">
        <f>SUM($Q$162:$R$162)</f>
        <v>0</v>
      </c>
      <c r="U162" s="15">
        <f>$S$162+$T$162</f>
        <v>0</v>
      </c>
    </row>
    <row r="163" spans="1:21" x14ac:dyDescent="0.3">
      <c r="A163" s="10" t="s">
        <v>592</v>
      </c>
      <c r="B163" s="11" t="s">
        <v>593</v>
      </c>
      <c r="C163" s="11"/>
      <c r="D163" s="11" t="s">
        <v>594</v>
      </c>
      <c r="E163" s="11">
        <f xml:space="preserve"> IF($U$163,1,0)</f>
        <v>0</v>
      </c>
      <c r="F163" s="11" t="s">
        <v>595</v>
      </c>
      <c r="G163" s="11">
        <v>0</v>
      </c>
      <c r="H163" s="11">
        <v>0</v>
      </c>
      <c r="I163" s="11">
        <v>0</v>
      </c>
      <c r="J163" s="11">
        <v>0</v>
      </c>
      <c r="K163" s="11">
        <v>0</v>
      </c>
      <c r="L163" s="11">
        <v>0</v>
      </c>
      <c r="M163" s="11">
        <v>0</v>
      </c>
      <c r="N163" s="11">
        <v>0</v>
      </c>
      <c r="O163" s="11">
        <v>0</v>
      </c>
      <c r="P163" s="11">
        <v>0</v>
      </c>
      <c r="Q163" s="12">
        <v>0</v>
      </c>
      <c r="R163" s="12">
        <v>0</v>
      </c>
      <c r="S163" s="12">
        <f>$G$163*$G$8+$H$163*$H$8+$I$163*$I$8+$J$163*$J$8+$K$163*$K$8+$L$163*$L$8+$M$163*$M$8+$N$163*$N$8+$O$163*$O$8+$P$163*$P$8</f>
        <v>0</v>
      </c>
      <c r="T163" s="12">
        <f>SUM($Q$163:$R$163)</f>
        <v>0</v>
      </c>
      <c r="U163" s="12">
        <f>$S$163+$T$163</f>
        <v>0</v>
      </c>
    </row>
    <row r="164" spans="1:21" x14ac:dyDescent="0.3">
      <c r="A164" s="13" t="s">
        <v>596</v>
      </c>
      <c r="B164" s="14" t="s">
        <v>597</v>
      </c>
      <c r="C164" s="14"/>
      <c r="D164" s="14" t="s">
        <v>598</v>
      </c>
      <c r="E164" s="14">
        <f xml:space="preserve"> IF($U$164,1,0)</f>
        <v>0</v>
      </c>
      <c r="F164" s="14" t="s">
        <v>599</v>
      </c>
      <c r="G164" s="14">
        <v>0</v>
      </c>
      <c r="H164" s="14">
        <v>0</v>
      </c>
      <c r="I164" s="14">
        <v>0</v>
      </c>
      <c r="J164" s="14">
        <v>0</v>
      </c>
      <c r="K164" s="14">
        <v>0</v>
      </c>
      <c r="L164" s="14">
        <v>0</v>
      </c>
      <c r="M164" s="14">
        <v>0</v>
      </c>
      <c r="N164" s="14">
        <v>0</v>
      </c>
      <c r="O164" s="14">
        <v>0</v>
      </c>
      <c r="P164" s="14">
        <v>0</v>
      </c>
      <c r="Q164" s="15">
        <v>0</v>
      </c>
      <c r="R164" s="15">
        <v>0</v>
      </c>
      <c r="S164" s="15">
        <f>$G$164*$G$8+$H$164*$H$8+$I$164*$I$8+$J$164*$J$8+$K$164*$K$8+$L$164*$L$8+$M$164*$M$8+$N$164*$N$8+$O$164*$O$8+$P$164*$P$8</f>
        <v>0</v>
      </c>
      <c r="T164" s="15">
        <f>SUM($Q$164:$R$164)</f>
        <v>0</v>
      </c>
      <c r="U164" s="15">
        <f>$S$164+$T$164</f>
        <v>0</v>
      </c>
    </row>
    <row r="165" spans="1:21" x14ac:dyDescent="0.3">
      <c r="A165" s="10" t="s">
        <v>600</v>
      </c>
      <c r="B165" s="11" t="s">
        <v>601</v>
      </c>
      <c r="C165" s="11"/>
      <c r="D165" s="11" t="s">
        <v>70</v>
      </c>
      <c r="E165" s="11">
        <f xml:space="preserve"> IF($U$165,1,0)</f>
        <v>0</v>
      </c>
      <c r="F165" s="11" t="s">
        <v>602</v>
      </c>
      <c r="G165" s="11">
        <v>0</v>
      </c>
      <c r="H165" s="11">
        <v>0</v>
      </c>
      <c r="I165" s="11">
        <v>0</v>
      </c>
      <c r="J165" s="11">
        <v>0</v>
      </c>
      <c r="K165" s="11">
        <v>0</v>
      </c>
      <c r="L165" s="11">
        <v>0</v>
      </c>
      <c r="M165" s="11">
        <v>0</v>
      </c>
      <c r="N165" s="11">
        <v>0</v>
      </c>
      <c r="O165" s="11">
        <v>0</v>
      </c>
      <c r="P165" s="11">
        <v>0</v>
      </c>
      <c r="Q165" s="12">
        <v>0</v>
      </c>
      <c r="R165" s="12">
        <v>0</v>
      </c>
      <c r="S165" s="12">
        <f>$G$165*$G$8+$H$165*$H$8+$I$165*$I$8+$J$165*$J$8+$K$165*$K$8+$L$165*$L$8+$M$165*$M$8+$N$165*$N$8+$O$165*$O$8+$P$165*$P$8</f>
        <v>0</v>
      </c>
      <c r="T165" s="12">
        <f>SUM($Q$165:$R$165)</f>
        <v>0</v>
      </c>
      <c r="U165" s="12">
        <f>$S$165+$T$165</f>
        <v>0</v>
      </c>
    </row>
    <row r="166" spans="1:21" x14ac:dyDescent="0.3">
      <c r="A166" s="13" t="s">
        <v>603</v>
      </c>
      <c r="B166" s="14" t="s">
        <v>604</v>
      </c>
      <c r="C166" s="14"/>
      <c r="D166" s="14" t="s">
        <v>605</v>
      </c>
      <c r="E166" s="14">
        <f xml:space="preserve"> IF($U$166,1,0)</f>
        <v>0</v>
      </c>
      <c r="F166" s="14" t="s">
        <v>606</v>
      </c>
      <c r="G166" s="14">
        <v>0</v>
      </c>
      <c r="H166" s="14">
        <v>0</v>
      </c>
      <c r="I166" s="14">
        <v>0</v>
      </c>
      <c r="J166" s="14">
        <v>0</v>
      </c>
      <c r="K166" s="14">
        <v>0</v>
      </c>
      <c r="L166" s="14">
        <v>0</v>
      </c>
      <c r="M166" s="14">
        <v>0</v>
      </c>
      <c r="N166" s="14">
        <v>0</v>
      </c>
      <c r="O166" s="14">
        <v>0</v>
      </c>
      <c r="P166" s="14">
        <v>0</v>
      </c>
      <c r="Q166" s="15">
        <v>0</v>
      </c>
      <c r="R166" s="15">
        <v>0</v>
      </c>
      <c r="S166" s="15">
        <f>$G$166*$G$8+$H$166*$H$8+$I$166*$I$8+$J$166*$J$8+$K$166*$K$8+$L$166*$L$8+$M$166*$M$8+$N$166*$N$8+$O$166*$O$8+$P$166*$P$8</f>
        <v>0</v>
      </c>
      <c r="T166" s="15">
        <f>SUM($Q$166:$R$166)</f>
        <v>0</v>
      </c>
      <c r="U166" s="15">
        <f>$S$166+$T$166</f>
        <v>0</v>
      </c>
    </row>
    <row r="167" spans="1:21" x14ac:dyDescent="0.3">
      <c r="A167" s="10" t="s">
        <v>607</v>
      </c>
      <c r="B167" s="11" t="s">
        <v>608</v>
      </c>
      <c r="C167" s="11"/>
      <c r="D167" s="11" t="s">
        <v>609</v>
      </c>
      <c r="E167" s="11">
        <f xml:space="preserve"> IF($U$167,1,0)</f>
        <v>0</v>
      </c>
      <c r="F167" s="11" t="s">
        <v>610</v>
      </c>
      <c r="G167" s="11">
        <v>0</v>
      </c>
      <c r="H167" s="11">
        <v>0</v>
      </c>
      <c r="I167" s="11">
        <v>0</v>
      </c>
      <c r="J167" s="11">
        <v>0</v>
      </c>
      <c r="K167" s="11">
        <v>0</v>
      </c>
      <c r="L167" s="11">
        <v>0</v>
      </c>
      <c r="M167" s="11">
        <v>0</v>
      </c>
      <c r="N167" s="11">
        <v>0</v>
      </c>
      <c r="O167" s="11">
        <v>0</v>
      </c>
      <c r="P167" s="11">
        <v>0</v>
      </c>
      <c r="Q167" s="12">
        <v>0</v>
      </c>
      <c r="R167" s="12">
        <v>0</v>
      </c>
      <c r="S167" s="12">
        <f>$G$167*$G$8+$H$167*$H$8+$I$167*$I$8+$J$167*$J$8+$K$167*$K$8+$L$167*$L$8+$M$167*$M$8+$N$167*$N$8+$O$167*$O$8+$P$167*$P$8</f>
        <v>0</v>
      </c>
      <c r="T167" s="12">
        <f>SUM($Q$167:$R$167)</f>
        <v>0</v>
      </c>
      <c r="U167" s="12">
        <f>$S$167+$T$167</f>
        <v>0</v>
      </c>
    </row>
    <row r="168" spans="1:21" x14ac:dyDescent="0.3">
      <c r="A168" s="13" t="s">
        <v>611</v>
      </c>
      <c r="B168" s="14" t="s">
        <v>612</v>
      </c>
      <c r="C168" s="14"/>
      <c r="D168" s="14" t="s">
        <v>613</v>
      </c>
      <c r="E168" s="14">
        <f xml:space="preserve"> IF($U$168,1,0)</f>
        <v>0</v>
      </c>
      <c r="F168" s="14" t="s">
        <v>614</v>
      </c>
      <c r="G168" s="14">
        <v>0</v>
      </c>
      <c r="H168" s="14">
        <v>0</v>
      </c>
      <c r="I168" s="14">
        <v>0</v>
      </c>
      <c r="J168" s="14">
        <v>0</v>
      </c>
      <c r="K168" s="14">
        <v>0</v>
      </c>
      <c r="L168" s="14">
        <v>0</v>
      </c>
      <c r="M168" s="14">
        <v>0</v>
      </c>
      <c r="N168" s="14">
        <v>0</v>
      </c>
      <c r="O168" s="14">
        <v>0</v>
      </c>
      <c r="P168" s="14">
        <v>0</v>
      </c>
      <c r="Q168" s="15">
        <v>0</v>
      </c>
      <c r="R168" s="15">
        <v>0</v>
      </c>
      <c r="S168" s="15">
        <f>$G$168*$G$8+$H$168*$H$8+$I$168*$I$8+$J$168*$J$8+$K$168*$K$8+$L$168*$L$8+$M$168*$M$8+$N$168*$N$8+$O$168*$O$8+$P$168*$P$8</f>
        <v>0</v>
      </c>
      <c r="T168" s="15">
        <f>SUM($Q$168:$R$168)</f>
        <v>0</v>
      </c>
      <c r="U168" s="15">
        <f>$S$168+$T$168</f>
        <v>0</v>
      </c>
    </row>
    <row r="169" spans="1:21" x14ac:dyDescent="0.3">
      <c r="A169" s="10" t="s">
        <v>615</v>
      </c>
      <c r="B169" s="11" t="s">
        <v>616</v>
      </c>
      <c r="C169" s="11"/>
      <c r="D169" s="11" t="s">
        <v>617</v>
      </c>
      <c r="E169" s="11">
        <f xml:space="preserve"> IF($U$169,1,0)</f>
        <v>0</v>
      </c>
      <c r="F169" s="11" t="s">
        <v>618</v>
      </c>
      <c r="G169" s="11">
        <v>0</v>
      </c>
      <c r="H169" s="11">
        <v>0</v>
      </c>
      <c r="I169" s="11">
        <v>0</v>
      </c>
      <c r="J169" s="11">
        <v>0</v>
      </c>
      <c r="K169" s="11">
        <v>0</v>
      </c>
      <c r="L169" s="11">
        <v>0</v>
      </c>
      <c r="M169" s="11">
        <v>0</v>
      </c>
      <c r="N169" s="11">
        <v>0</v>
      </c>
      <c r="O169" s="11">
        <v>0</v>
      </c>
      <c r="P169" s="11">
        <v>0</v>
      </c>
      <c r="Q169" s="12">
        <v>0</v>
      </c>
      <c r="R169" s="12">
        <v>0</v>
      </c>
      <c r="S169" s="12">
        <f>$G$169*$G$8+$H$169*$H$8+$I$169*$I$8+$J$169*$J$8+$K$169*$K$8+$L$169*$L$8+$M$169*$M$8+$N$169*$N$8+$O$169*$O$8+$P$169*$P$8</f>
        <v>0</v>
      </c>
      <c r="T169" s="12">
        <f>SUM($Q$169:$R$169)</f>
        <v>0</v>
      </c>
      <c r="U169" s="12">
        <f>$S$169+$T$169</f>
        <v>0</v>
      </c>
    </row>
    <row r="170" spans="1:21" x14ac:dyDescent="0.3">
      <c r="A170" s="13" t="s">
        <v>619</v>
      </c>
      <c r="B170" s="14" t="s">
        <v>620</v>
      </c>
      <c r="C170" s="14" t="s">
        <v>34</v>
      </c>
      <c r="D170" s="14" t="s">
        <v>621</v>
      </c>
      <c r="E170" s="14">
        <f xml:space="preserve"> IF($U$170,1,0)</f>
        <v>0</v>
      </c>
      <c r="F170" s="14" t="s">
        <v>622</v>
      </c>
      <c r="G170" s="14">
        <v>0</v>
      </c>
      <c r="H170" s="14">
        <v>0</v>
      </c>
      <c r="I170" s="14">
        <v>0</v>
      </c>
      <c r="J170" s="14">
        <v>0</v>
      </c>
      <c r="K170" s="14">
        <v>0</v>
      </c>
      <c r="L170" s="14">
        <v>0</v>
      </c>
      <c r="M170" s="14">
        <v>0</v>
      </c>
      <c r="N170" s="14">
        <v>0</v>
      </c>
      <c r="O170" s="14">
        <v>0</v>
      </c>
      <c r="P170" s="14">
        <v>0</v>
      </c>
      <c r="Q170" s="15">
        <v>0</v>
      </c>
      <c r="R170" s="15">
        <v>0</v>
      </c>
      <c r="S170" s="15">
        <f>$G$170*$G$8+$H$170*$H$8+$I$170*$I$8+$J$170*$J$8+$K$170*$K$8+$L$170*$L$8+$M$170*$M$8+$N$170*$N$8+$O$170*$O$8+$P$170*$P$8</f>
        <v>0</v>
      </c>
      <c r="T170" s="15">
        <f>SUM($Q$170:$R$170)</f>
        <v>0</v>
      </c>
      <c r="U170" s="15">
        <f>$S$170+$T$170</f>
        <v>0</v>
      </c>
    </row>
    <row r="171" spans="1:21" x14ac:dyDescent="0.3">
      <c r="A171" s="10" t="s">
        <v>623</v>
      </c>
      <c r="B171" s="11" t="s">
        <v>624</v>
      </c>
      <c r="C171" s="11"/>
      <c r="D171" s="11" t="s">
        <v>625</v>
      </c>
      <c r="E171" s="11">
        <f xml:space="preserve"> IF($U$171,1,0)</f>
        <v>0</v>
      </c>
      <c r="F171" s="11" t="s">
        <v>626</v>
      </c>
      <c r="G171" s="11">
        <v>0</v>
      </c>
      <c r="H171" s="11">
        <v>0</v>
      </c>
      <c r="I171" s="11">
        <v>0</v>
      </c>
      <c r="J171" s="11">
        <v>0</v>
      </c>
      <c r="K171" s="11">
        <v>0</v>
      </c>
      <c r="L171" s="11">
        <v>0</v>
      </c>
      <c r="M171" s="11">
        <v>0</v>
      </c>
      <c r="N171" s="11">
        <v>0</v>
      </c>
      <c r="O171" s="11">
        <v>0</v>
      </c>
      <c r="P171" s="11">
        <v>0</v>
      </c>
      <c r="Q171" s="12">
        <v>0</v>
      </c>
      <c r="R171" s="12">
        <v>0</v>
      </c>
      <c r="S171" s="12">
        <f>$G$171*$G$8+$H$171*$H$8+$I$171*$I$8+$J$171*$J$8+$K$171*$K$8+$L$171*$L$8+$M$171*$M$8+$N$171*$N$8+$O$171*$O$8+$P$171*$P$8</f>
        <v>0</v>
      </c>
      <c r="T171" s="12">
        <f>SUM($Q$171:$R$171)</f>
        <v>0</v>
      </c>
      <c r="U171" s="12">
        <f>$S$171+$T$171</f>
        <v>0</v>
      </c>
    </row>
    <row r="172" spans="1:21" x14ac:dyDescent="0.3">
      <c r="A172" s="13" t="s">
        <v>627</v>
      </c>
      <c r="B172" s="14" t="s">
        <v>624</v>
      </c>
      <c r="C172" s="14"/>
      <c r="D172" s="14" t="s">
        <v>628</v>
      </c>
      <c r="E172" s="14">
        <f xml:space="preserve"> IF($U$172,1,0)</f>
        <v>0</v>
      </c>
      <c r="F172" s="14" t="s">
        <v>629</v>
      </c>
      <c r="G172" s="14">
        <v>0</v>
      </c>
      <c r="H172" s="14">
        <v>0</v>
      </c>
      <c r="I172" s="14">
        <v>0</v>
      </c>
      <c r="J172" s="14">
        <v>0</v>
      </c>
      <c r="K172" s="14">
        <v>0</v>
      </c>
      <c r="L172" s="14">
        <v>0</v>
      </c>
      <c r="M172" s="14">
        <v>0</v>
      </c>
      <c r="N172" s="14">
        <v>0</v>
      </c>
      <c r="O172" s="14">
        <v>0</v>
      </c>
      <c r="P172" s="14">
        <v>0</v>
      </c>
      <c r="Q172" s="15">
        <v>0</v>
      </c>
      <c r="R172" s="15">
        <v>0</v>
      </c>
      <c r="S172" s="15">
        <f>$G$172*$G$8+$H$172*$H$8+$I$172*$I$8+$J$172*$J$8+$K$172*$K$8+$L$172*$L$8+$M$172*$M$8+$N$172*$N$8+$O$172*$O$8+$P$172*$P$8</f>
        <v>0</v>
      </c>
      <c r="T172" s="15">
        <f>SUM($Q$172:$R$172)</f>
        <v>0</v>
      </c>
      <c r="U172" s="15">
        <f>$S$172+$T$172</f>
        <v>0</v>
      </c>
    </row>
    <row r="173" spans="1:21" x14ac:dyDescent="0.3">
      <c r="A173" s="10" t="s">
        <v>630</v>
      </c>
      <c r="B173" s="11" t="s">
        <v>631</v>
      </c>
      <c r="C173" s="11"/>
      <c r="D173" s="11" t="s">
        <v>632</v>
      </c>
      <c r="E173" s="11">
        <f xml:space="preserve"> IF($U$173,1,0)</f>
        <v>0</v>
      </c>
      <c r="F173" s="11" t="s">
        <v>633</v>
      </c>
      <c r="G173" s="11">
        <v>0</v>
      </c>
      <c r="H173" s="11">
        <v>0</v>
      </c>
      <c r="I173" s="11">
        <v>0</v>
      </c>
      <c r="J173" s="11">
        <v>0</v>
      </c>
      <c r="K173" s="11">
        <v>0</v>
      </c>
      <c r="L173" s="11">
        <v>0</v>
      </c>
      <c r="M173" s="11">
        <v>0</v>
      </c>
      <c r="N173" s="11">
        <v>0</v>
      </c>
      <c r="O173" s="11">
        <v>0</v>
      </c>
      <c r="P173" s="11">
        <v>0</v>
      </c>
      <c r="Q173" s="12">
        <v>0</v>
      </c>
      <c r="R173" s="12">
        <v>0</v>
      </c>
      <c r="S173" s="12">
        <f>$G$173*$G$8+$H$173*$H$8+$I$173*$I$8+$J$173*$J$8+$K$173*$K$8+$L$173*$L$8+$M$173*$M$8+$N$173*$N$8+$O$173*$O$8+$P$173*$P$8</f>
        <v>0</v>
      </c>
      <c r="T173" s="12">
        <f>SUM($Q$173:$R$173)</f>
        <v>0</v>
      </c>
      <c r="U173" s="12">
        <f>$S$173+$T$173</f>
        <v>0</v>
      </c>
    </row>
    <row r="174" spans="1:21" x14ac:dyDescent="0.3">
      <c r="A174" s="13" t="s">
        <v>634</v>
      </c>
      <c r="B174" s="14" t="s">
        <v>635</v>
      </c>
      <c r="C174" s="14"/>
      <c r="D174" s="14" t="s">
        <v>636</v>
      </c>
      <c r="E174" s="14">
        <f xml:space="preserve"> IF($U$174,1,0)</f>
        <v>0</v>
      </c>
      <c r="F174" s="14" t="s">
        <v>637</v>
      </c>
      <c r="G174" s="14">
        <v>0</v>
      </c>
      <c r="H174" s="14">
        <v>0</v>
      </c>
      <c r="I174" s="14">
        <v>0</v>
      </c>
      <c r="J174" s="14">
        <v>0</v>
      </c>
      <c r="K174" s="14">
        <v>0</v>
      </c>
      <c r="L174" s="14">
        <v>0</v>
      </c>
      <c r="M174" s="14">
        <v>0</v>
      </c>
      <c r="N174" s="14">
        <v>0</v>
      </c>
      <c r="O174" s="14">
        <v>0</v>
      </c>
      <c r="P174" s="14">
        <v>0</v>
      </c>
      <c r="Q174" s="15">
        <v>0</v>
      </c>
      <c r="R174" s="15">
        <v>0</v>
      </c>
      <c r="S174" s="15">
        <f>$G$174*$G$8+$H$174*$H$8+$I$174*$I$8+$J$174*$J$8+$K$174*$K$8+$L$174*$L$8+$M$174*$M$8+$N$174*$N$8+$O$174*$O$8+$P$174*$P$8</f>
        <v>0</v>
      </c>
      <c r="T174" s="15">
        <f>SUM($Q$174:$R$174)</f>
        <v>0</v>
      </c>
      <c r="U174" s="15">
        <f>$S$174+$T$174</f>
        <v>0</v>
      </c>
    </row>
    <row r="175" spans="1:21" x14ac:dyDescent="0.3">
      <c r="A175" s="10" t="s">
        <v>638</v>
      </c>
      <c r="B175" s="11" t="s">
        <v>639</v>
      </c>
      <c r="C175" s="11"/>
      <c r="D175" s="11" t="s">
        <v>274</v>
      </c>
      <c r="E175" s="11">
        <f xml:space="preserve"> IF($U$175,1,0)</f>
        <v>0</v>
      </c>
      <c r="F175" s="11" t="s">
        <v>640</v>
      </c>
      <c r="G175" s="11">
        <v>0</v>
      </c>
      <c r="H175" s="11">
        <v>0</v>
      </c>
      <c r="I175" s="11">
        <v>0</v>
      </c>
      <c r="J175" s="11">
        <v>0</v>
      </c>
      <c r="K175" s="11">
        <v>0</v>
      </c>
      <c r="L175" s="11">
        <v>0</v>
      </c>
      <c r="M175" s="11">
        <v>0</v>
      </c>
      <c r="N175" s="11">
        <v>0</v>
      </c>
      <c r="O175" s="11">
        <v>0</v>
      </c>
      <c r="P175" s="11">
        <v>0</v>
      </c>
      <c r="Q175" s="12">
        <v>0</v>
      </c>
      <c r="R175" s="12">
        <v>0</v>
      </c>
      <c r="S175" s="12">
        <f>$G$175*$G$8+$H$175*$H$8+$I$175*$I$8+$J$175*$J$8+$K$175*$K$8+$L$175*$L$8+$M$175*$M$8+$N$175*$N$8+$O$175*$O$8+$P$175*$P$8</f>
        <v>0</v>
      </c>
      <c r="T175" s="12">
        <f>SUM($Q$175:$R$175)</f>
        <v>0</v>
      </c>
      <c r="U175" s="12">
        <f>$S$175+$T$175</f>
        <v>0</v>
      </c>
    </row>
    <row r="176" spans="1:21" x14ac:dyDescent="0.3">
      <c r="A176" s="13" t="s">
        <v>641</v>
      </c>
      <c r="B176" s="14" t="s">
        <v>642</v>
      </c>
      <c r="C176" s="14"/>
      <c r="D176" s="14" t="s">
        <v>643</v>
      </c>
      <c r="E176" s="14">
        <f xml:space="preserve"> IF($U$176,1,0)</f>
        <v>0</v>
      </c>
      <c r="F176" s="14" t="s">
        <v>644</v>
      </c>
      <c r="G176" s="14">
        <v>0</v>
      </c>
      <c r="H176" s="14">
        <v>0</v>
      </c>
      <c r="I176" s="14">
        <v>0</v>
      </c>
      <c r="J176" s="14">
        <v>0</v>
      </c>
      <c r="K176" s="14">
        <v>0</v>
      </c>
      <c r="L176" s="14">
        <v>0</v>
      </c>
      <c r="M176" s="14">
        <v>0</v>
      </c>
      <c r="N176" s="14">
        <v>0</v>
      </c>
      <c r="O176" s="14">
        <v>0</v>
      </c>
      <c r="P176" s="14">
        <v>0</v>
      </c>
      <c r="Q176" s="15">
        <v>0</v>
      </c>
      <c r="R176" s="15">
        <v>0</v>
      </c>
      <c r="S176" s="15">
        <f>$G$176*$G$8+$H$176*$H$8+$I$176*$I$8+$J$176*$J$8+$K$176*$K$8+$L$176*$L$8+$M$176*$M$8+$N$176*$N$8+$O$176*$O$8+$P$176*$P$8</f>
        <v>0</v>
      </c>
      <c r="T176" s="15">
        <f>SUM($Q$176:$R$176)</f>
        <v>0</v>
      </c>
      <c r="U176" s="15">
        <f>$S$176+$T$176</f>
        <v>0</v>
      </c>
    </row>
    <row r="177" spans="1:21" x14ac:dyDescent="0.3">
      <c r="A177" s="10" t="s">
        <v>645</v>
      </c>
      <c r="B177" s="11" t="s">
        <v>646</v>
      </c>
      <c r="C177" s="11"/>
      <c r="D177" s="11" t="s">
        <v>647</v>
      </c>
      <c r="E177" s="11">
        <f xml:space="preserve"> IF($U$177,1,0)</f>
        <v>0</v>
      </c>
      <c r="F177" s="11" t="s">
        <v>648</v>
      </c>
      <c r="G177" s="11">
        <v>0</v>
      </c>
      <c r="H177" s="11">
        <v>0</v>
      </c>
      <c r="I177" s="11">
        <v>0</v>
      </c>
      <c r="J177" s="11">
        <v>0</v>
      </c>
      <c r="K177" s="11">
        <v>0</v>
      </c>
      <c r="L177" s="11">
        <v>0</v>
      </c>
      <c r="M177" s="11">
        <v>0</v>
      </c>
      <c r="N177" s="11">
        <v>0</v>
      </c>
      <c r="O177" s="11">
        <v>0</v>
      </c>
      <c r="P177" s="11">
        <v>0</v>
      </c>
      <c r="Q177" s="12">
        <v>0</v>
      </c>
      <c r="R177" s="12">
        <v>0</v>
      </c>
      <c r="S177" s="12">
        <f>$G$177*$G$8+$H$177*$H$8+$I$177*$I$8+$J$177*$J$8+$K$177*$K$8+$L$177*$L$8+$M$177*$M$8+$N$177*$N$8+$O$177*$O$8+$P$177*$P$8</f>
        <v>0</v>
      </c>
      <c r="T177" s="12">
        <f>SUM($Q$177:$R$177)</f>
        <v>0</v>
      </c>
      <c r="U177" s="12">
        <f>$S$177+$T$177</f>
        <v>0</v>
      </c>
    </row>
    <row r="178" spans="1:21" x14ac:dyDescent="0.3">
      <c r="A178" s="13" t="s">
        <v>649</v>
      </c>
      <c r="B178" s="14" t="s">
        <v>650</v>
      </c>
      <c r="C178" s="14"/>
      <c r="D178" s="14" t="s">
        <v>651</v>
      </c>
      <c r="E178" s="14">
        <f xml:space="preserve"> IF($U$178,1,0)</f>
        <v>0</v>
      </c>
      <c r="F178" s="14" t="s">
        <v>652</v>
      </c>
      <c r="G178" s="14">
        <v>0</v>
      </c>
      <c r="H178" s="14">
        <v>0</v>
      </c>
      <c r="I178" s="14">
        <v>0</v>
      </c>
      <c r="J178" s="14">
        <v>0</v>
      </c>
      <c r="K178" s="14">
        <v>0</v>
      </c>
      <c r="L178" s="14">
        <v>0</v>
      </c>
      <c r="M178" s="14">
        <v>0</v>
      </c>
      <c r="N178" s="14">
        <v>0</v>
      </c>
      <c r="O178" s="14">
        <v>0</v>
      </c>
      <c r="P178" s="14">
        <v>0</v>
      </c>
      <c r="Q178" s="15">
        <v>0</v>
      </c>
      <c r="R178" s="15">
        <v>0</v>
      </c>
      <c r="S178" s="15">
        <f>$G$178*$G$8+$H$178*$H$8+$I$178*$I$8+$J$178*$J$8+$K$178*$K$8+$L$178*$L$8+$M$178*$M$8+$N$178*$N$8+$O$178*$O$8+$P$178*$P$8</f>
        <v>0</v>
      </c>
      <c r="T178" s="15">
        <f>SUM($Q$178:$R$178)</f>
        <v>0</v>
      </c>
      <c r="U178" s="15">
        <f>$S$178+$T$178</f>
        <v>0</v>
      </c>
    </row>
    <row r="179" spans="1:21" x14ac:dyDescent="0.3">
      <c r="A179" s="10" t="s">
        <v>653</v>
      </c>
      <c r="B179" s="11" t="s">
        <v>654</v>
      </c>
      <c r="C179" s="11"/>
      <c r="D179" s="11" t="s">
        <v>655</v>
      </c>
      <c r="E179" s="11">
        <f xml:space="preserve"> IF($U$179,1,0)</f>
        <v>0</v>
      </c>
      <c r="F179" s="11" t="s">
        <v>656</v>
      </c>
      <c r="G179" s="11">
        <v>0</v>
      </c>
      <c r="H179" s="11">
        <v>0</v>
      </c>
      <c r="I179" s="11">
        <v>0</v>
      </c>
      <c r="J179" s="11">
        <v>0</v>
      </c>
      <c r="K179" s="11">
        <v>0</v>
      </c>
      <c r="L179" s="11">
        <v>0</v>
      </c>
      <c r="M179" s="11">
        <v>0</v>
      </c>
      <c r="N179" s="11">
        <v>0</v>
      </c>
      <c r="O179" s="11">
        <v>0</v>
      </c>
      <c r="P179" s="11">
        <v>0</v>
      </c>
      <c r="Q179" s="12">
        <v>0</v>
      </c>
      <c r="R179" s="12">
        <v>0</v>
      </c>
      <c r="S179" s="12">
        <f>$G$179*$G$8+$H$179*$H$8+$I$179*$I$8+$J$179*$J$8+$K$179*$K$8+$L$179*$L$8+$M$179*$M$8+$N$179*$N$8+$O$179*$O$8+$P$179*$P$8</f>
        <v>0</v>
      </c>
      <c r="T179" s="12">
        <f>SUM($Q$179:$R$179)</f>
        <v>0</v>
      </c>
      <c r="U179" s="12">
        <f>$S$179+$T$179</f>
        <v>0</v>
      </c>
    </row>
    <row r="180" spans="1:21" x14ac:dyDescent="0.3">
      <c r="A180" s="13" t="s">
        <v>657</v>
      </c>
      <c r="B180" s="14" t="s">
        <v>658</v>
      </c>
      <c r="C180" s="14"/>
      <c r="D180" s="14" t="s">
        <v>659</v>
      </c>
      <c r="E180" s="14">
        <f xml:space="preserve"> IF($U$180,1,0)</f>
        <v>0</v>
      </c>
      <c r="F180" s="14" t="s">
        <v>660</v>
      </c>
      <c r="G180" s="14">
        <v>0</v>
      </c>
      <c r="H180" s="14">
        <v>0</v>
      </c>
      <c r="I180" s="14">
        <v>0</v>
      </c>
      <c r="J180" s="14">
        <v>0</v>
      </c>
      <c r="K180" s="14">
        <v>0</v>
      </c>
      <c r="L180" s="14">
        <v>0</v>
      </c>
      <c r="M180" s="14">
        <v>0</v>
      </c>
      <c r="N180" s="14">
        <v>0</v>
      </c>
      <c r="O180" s="14">
        <v>0</v>
      </c>
      <c r="P180" s="14">
        <v>0</v>
      </c>
      <c r="Q180" s="15">
        <v>0</v>
      </c>
      <c r="R180" s="15">
        <v>0</v>
      </c>
      <c r="S180" s="15">
        <f>$G$180*$G$8+$H$180*$H$8+$I$180*$I$8+$J$180*$J$8+$K$180*$K$8+$L$180*$L$8+$M$180*$M$8+$N$180*$N$8+$O$180*$O$8+$P$180*$P$8</f>
        <v>0</v>
      </c>
      <c r="T180" s="15">
        <f>SUM($Q$180:$R$180)</f>
        <v>0</v>
      </c>
      <c r="U180" s="15">
        <f>$S$180+$T$180</f>
        <v>0</v>
      </c>
    </row>
    <row r="181" spans="1:21" x14ac:dyDescent="0.3">
      <c r="A181" s="10" t="s">
        <v>661</v>
      </c>
      <c r="B181" s="11" t="s">
        <v>658</v>
      </c>
      <c r="C181" s="11" t="s">
        <v>202</v>
      </c>
      <c r="D181" s="11" t="s">
        <v>662</v>
      </c>
      <c r="E181" s="11">
        <f xml:space="preserve"> IF($U$181,1,0)</f>
        <v>0</v>
      </c>
      <c r="F181" s="11" t="s">
        <v>663</v>
      </c>
      <c r="G181" s="11">
        <v>0</v>
      </c>
      <c r="H181" s="11">
        <v>0</v>
      </c>
      <c r="I181" s="11">
        <v>0</v>
      </c>
      <c r="J181" s="11">
        <v>0</v>
      </c>
      <c r="K181" s="11">
        <v>0</v>
      </c>
      <c r="L181" s="11">
        <v>0</v>
      </c>
      <c r="M181" s="11">
        <v>0</v>
      </c>
      <c r="N181" s="11">
        <v>0</v>
      </c>
      <c r="O181" s="11">
        <v>0</v>
      </c>
      <c r="P181" s="11">
        <v>0</v>
      </c>
      <c r="Q181" s="12">
        <v>0</v>
      </c>
      <c r="R181" s="12">
        <v>0</v>
      </c>
      <c r="S181" s="12">
        <f>$G$181*$G$8+$H$181*$H$8+$I$181*$I$8+$J$181*$J$8+$K$181*$K$8+$L$181*$L$8+$M$181*$M$8+$N$181*$N$8+$O$181*$O$8+$P$181*$P$8</f>
        <v>0</v>
      </c>
      <c r="T181" s="12">
        <f>SUM($Q$181:$R$181)</f>
        <v>0</v>
      </c>
      <c r="U181" s="12">
        <f>$S$181+$T$181</f>
        <v>0</v>
      </c>
    </row>
    <row r="182" spans="1:21" x14ac:dyDescent="0.3">
      <c r="A182" s="13" t="s">
        <v>664</v>
      </c>
      <c r="B182" s="14" t="s">
        <v>665</v>
      </c>
      <c r="C182" s="14"/>
      <c r="D182" s="14" t="s">
        <v>666</v>
      </c>
      <c r="E182" s="14">
        <f xml:space="preserve"> IF($U$182,1,0)</f>
        <v>0</v>
      </c>
      <c r="F182" s="14" t="s">
        <v>667</v>
      </c>
      <c r="G182" s="14">
        <v>0</v>
      </c>
      <c r="H182" s="14">
        <v>0</v>
      </c>
      <c r="I182" s="14">
        <v>0</v>
      </c>
      <c r="J182" s="14">
        <v>0</v>
      </c>
      <c r="K182" s="14">
        <v>0</v>
      </c>
      <c r="L182" s="14">
        <v>0</v>
      </c>
      <c r="M182" s="14">
        <v>0</v>
      </c>
      <c r="N182" s="14">
        <v>0</v>
      </c>
      <c r="O182" s="14">
        <v>0</v>
      </c>
      <c r="P182" s="14">
        <v>0</v>
      </c>
      <c r="Q182" s="15">
        <v>0</v>
      </c>
      <c r="R182" s="15">
        <v>0</v>
      </c>
      <c r="S182" s="15">
        <f>$G$182*$G$8+$H$182*$H$8+$I$182*$I$8+$J$182*$J$8+$K$182*$K$8+$L$182*$L$8+$M$182*$M$8+$N$182*$N$8+$O$182*$O$8+$P$182*$P$8</f>
        <v>0</v>
      </c>
      <c r="T182" s="15">
        <f>SUM($Q$182:$R$182)</f>
        <v>0</v>
      </c>
      <c r="U182" s="15">
        <f>$S$182+$T$182</f>
        <v>0</v>
      </c>
    </row>
    <row r="183" spans="1:21" x14ac:dyDescent="0.3">
      <c r="A183" s="10" t="s">
        <v>668</v>
      </c>
      <c r="B183" s="11" t="s">
        <v>669</v>
      </c>
      <c r="C183" s="11"/>
      <c r="D183" s="11" t="s">
        <v>670</v>
      </c>
      <c r="E183" s="11">
        <f xml:space="preserve"> IF($U$183,1,0)</f>
        <v>0</v>
      </c>
      <c r="F183" s="11" t="s">
        <v>671</v>
      </c>
      <c r="G183" s="11">
        <v>0</v>
      </c>
      <c r="H183" s="11">
        <v>0</v>
      </c>
      <c r="I183" s="11">
        <v>0</v>
      </c>
      <c r="J183" s="11">
        <v>0</v>
      </c>
      <c r="K183" s="11">
        <v>0</v>
      </c>
      <c r="L183" s="11">
        <v>0</v>
      </c>
      <c r="M183" s="11">
        <v>0</v>
      </c>
      <c r="N183" s="11">
        <v>0</v>
      </c>
      <c r="O183" s="11">
        <v>0</v>
      </c>
      <c r="P183" s="11">
        <v>0</v>
      </c>
      <c r="Q183" s="12">
        <v>0</v>
      </c>
      <c r="R183" s="12">
        <v>0</v>
      </c>
      <c r="S183" s="12">
        <f>$G$183*$G$8+$H$183*$H$8+$I$183*$I$8+$J$183*$J$8+$K$183*$K$8+$L$183*$L$8+$M$183*$M$8+$N$183*$N$8+$O$183*$O$8+$P$183*$P$8</f>
        <v>0</v>
      </c>
      <c r="T183" s="12">
        <f>SUM($Q$183:$R$183)</f>
        <v>0</v>
      </c>
      <c r="U183" s="12">
        <f>$S$183+$T$183</f>
        <v>0</v>
      </c>
    </row>
    <row r="184" spans="1:21" x14ac:dyDescent="0.3">
      <c r="A184" s="13" t="s">
        <v>672</v>
      </c>
      <c r="B184" s="14" t="s">
        <v>673</v>
      </c>
      <c r="C184" s="14"/>
      <c r="D184" s="14" t="s">
        <v>674</v>
      </c>
      <c r="E184" s="14">
        <f xml:space="preserve"> IF($U$184,1,0)</f>
        <v>0</v>
      </c>
      <c r="F184" s="14" t="s">
        <v>675</v>
      </c>
      <c r="G184" s="14">
        <v>0</v>
      </c>
      <c r="H184" s="14">
        <v>0</v>
      </c>
      <c r="I184" s="14">
        <v>0</v>
      </c>
      <c r="J184" s="14">
        <v>0</v>
      </c>
      <c r="K184" s="14">
        <v>0</v>
      </c>
      <c r="L184" s="14">
        <v>0</v>
      </c>
      <c r="M184" s="14">
        <v>0</v>
      </c>
      <c r="N184" s="14">
        <v>0</v>
      </c>
      <c r="O184" s="14">
        <v>0</v>
      </c>
      <c r="P184" s="14">
        <v>0</v>
      </c>
      <c r="Q184" s="15">
        <v>0</v>
      </c>
      <c r="R184" s="15">
        <v>0</v>
      </c>
      <c r="S184" s="15">
        <f>$G$184*$G$8+$H$184*$H$8+$I$184*$I$8+$J$184*$J$8+$K$184*$K$8+$L$184*$L$8+$M$184*$M$8+$N$184*$N$8+$O$184*$O$8+$P$184*$P$8</f>
        <v>0</v>
      </c>
      <c r="T184" s="15">
        <f>SUM($Q$184:$R$184)</f>
        <v>0</v>
      </c>
      <c r="U184" s="15">
        <f>$S$184+$T$184</f>
        <v>0</v>
      </c>
    </row>
    <row r="185" spans="1:21" x14ac:dyDescent="0.3">
      <c r="A185" s="10" t="s">
        <v>676</v>
      </c>
      <c r="B185" s="11" t="s">
        <v>677</v>
      </c>
      <c r="C185" s="11"/>
      <c r="D185" s="11" t="s">
        <v>678</v>
      </c>
      <c r="E185" s="11">
        <f xml:space="preserve"> IF($U$185,1,0)</f>
        <v>0</v>
      </c>
      <c r="F185" s="11" t="s">
        <v>679</v>
      </c>
      <c r="G185" s="11">
        <v>0</v>
      </c>
      <c r="H185" s="11">
        <v>0</v>
      </c>
      <c r="I185" s="11">
        <v>0</v>
      </c>
      <c r="J185" s="11">
        <v>0</v>
      </c>
      <c r="K185" s="11">
        <v>0</v>
      </c>
      <c r="L185" s="11">
        <v>0</v>
      </c>
      <c r="M185" s="11">
        <v>0</v>
      </c>
      <c r="N185" s="11">
        <v>0</v>
      </c>
      <c r="O185" s="11">
        <v>0</v>
      </c>
      <c r="P185" s="11">
        <v>0</v>
      </c>
      <c r="Q185" s="12">
        <v>0</v>
      </c>
      <c r="R185" s="12">
        <v>0</v>
      </c>
      <c r="S185" s="12">
        <f>$G$185*$G$8+$H$185*$H$8+$I$185*$I$8+$J$185*$J$8+$K$185*$K$8+$L$185*$L$8+$M$185*$M$8+$N$185*$N$8+$O$185*$O$8+$P$185*$P$8</f>
        <v>0</v>
      </c>
      <c r="T185" s="12">
        <f>SUM($Q$185:$R$185)</f>
        <v>0</v>
      </c>
      <c r="U185" s="12">
        <f>$S$185+$T$185</f>
        <v>0</v>
      </c>
    </row>
    <row r="186" spans="1:21" x14ac:dyDescent="0.3">
      <c r="A186" s="13" t="s">
        <v>680</v>
      </c>
      <c r="B186" s="14" t="s">
        <v>681</v>
      </c>
      <c r="C186" s="14"/>
      <c r="D186" s="14" t="s">
        <v>682</v>
      </c>
      <c r="E186" s="14">
        <f xml:space="preserve"> IF($U$186,1,0)</f>
        <v>0</v>
      </c>
      <c r="F186" s="14" t="s">
        <v>683</v>
      </c>
      <c r="G186" s="14">
        <v>0</v>
      </c>
      <c r="H186" s="14">
        <v>0</v>
      </c>
      <c r="I186" s="14">
        <v>0</v>
      </c>
      <c r="J186" s="14">
        <v>0</v>
      </c>
      <c r="K186" s="14">
        <v>0</v>
      </c>
      <c r="L186" s="14">
        <v>0</v>
      </c>
      <c r="M186" s="14">
        <v>0</v>
      </c>
      <c r="N186" s="14">
        <v>0</v>
      </c>
      <c r="O186" s="14">
        <v>0</v>
      </c>
      <c r="P186" s="14">
        <v>0</v>
      </c>
      <c r="Q186" s="15">
        <v>0</v>
      </c>
      <c r="R186" s="15">
        <v>0</v>
      </c>
      <c r="S186" s="15">
        <f>$G$186*$G$8+$H$186*$H$8+$I$186*$I$8+$J$186*$J$8+$K$186*$K$8+$L$186*$L$8+$M$186*$M$8+$N$186*$N$8+$O$186*$O$8+$P$186*$P$8</f>
        <v>0</v>
      </c>
      <c r="T186" s="15">
        <f>SUM($Q$186:$R$186)</f>
        <v>0</v>
      </c>
      <c r="U186" s="15">
        <f>$S$186+$T$186</f>
        <v>0</v>
      </c>
    </row>
    <row r="187" spans="1:21" x14ac:dyDescent="0.3">
      <c r="A187" s="10" t="s">
        <v>684</v>
      </c>
      <c r="B187" s="11" t="s">
        <v>685</v>
      </c>
      <c r="C187" s="11"/>
      <c r="D187" s="11" t="s">
        <v>686</v>
      </c>
      <c r="E187" s="11">
        <f xml:space="preserve"> IF($U$187,1,0)</f>
        <v>0</v>
      </c>
      <c r="F187" s="11" t="s">
        <v>687</v>
      </c>
      <c r="G187" s="11">
        <v>0</v>
      </c>
      <c r="H187" s="11">
        <v>0</v>
      </c>
      <c r="I187" s="11">
        <v>0</v>
      </c>
      <c r="J187" s="11">
        <v>0</v>
      </c>
      <c r="K187" s="11">
        <v>0</v>
      </c>
      <c r="L187" s="11">
        <v>0</v>
      </c>
      <c r="M187" s="11">
        <v>0</v>
      </c>
      <c r="N187" s="11">
        <v>0</v>
      </c>
      <c r="O187" s="11">
        <v>0</v>
      </c>
      <c r="P187" s="11">
        <v>0</v>
      </c>
      <c r="Q187" s="12">
        <v>0</v>
      </c>
      <c r="R187" s="12">
        <v>0</v>
      </c>
      <c r="S187" s="12">
        <f>$G$187*$G$8+$H$187*$H$8+$I$187*$I$8+$J$187*$J$8+$K$187*$K$8+$L$187*$L$8+$M$187*$M$8+$N$187*$N$8+$O$187*$O$8+$P$187*$P$8</f>
        <v>0</v>
      </c>
      <c r="T187" s="12">
        <f>SUM($Q$187:$R$187)</f>
        <v>0</v>
      </c>
      <c r="U187" s="12">
        <f>$S$187+$T$187</f>
        <v>0</v>
      </c>
    </row>
    <row r="188" spans="1:21" x14ac:dyDescent="0.3">
      <c r="A188" s="13" t="s">
        <v>688</v>
      </c>
      <c r="B188" s="14" t="s">
        <v>689</v>
      </c>
      <c r="C188" s="14"/>
      <c r="D188" s="14" t="s">
        <v>690</v>
      </c>
      <c r="E188" s="14">
        <f xml:space="preserve"> IF($U$188,1,0)</f>
        <v>0</v>
      </c>
      <c r="F188" s="14" t="s">
        <v>691</v>
      </c>
      <c r="G188" s="14">
        <v>0</v>
      </c>
      <c r="H188" s="14">
        <v>0</v>
      </c>
      <c r="I188" s="14">
        <v>0</v>
      </c>
      <c r="J188" s="14">
        <v>0</v>
      </c>
      <c r="K188" s="14">
        <v>0</v>
      </c>
      <c r="L188" s="14">
        <v>0</v>
      </c>
      <c r="M188" s="14">
        <v>0</v>
      </c>
      <c r="N188" s="14">
        <v>0</v>
      </c>
      <c r="O188" s="14">
        <v>0</v>
      </c>
      <c r="P188" s="14">
        <v>0</v>
      </c>
      <c r="Q188" s="15">
        <v>0</v>
      </c>
      <c r="R188" s="15">
        <v>0</v>
      </c>
      <c r="S188" s="15">
        <f>$G$188*$G$8+$H$188*$H$8+$I$188*$I$8+$J$188*$J$8+$K$188*$K$8+$L$188*$L$8+$M$188*$M$8+$N$188*$N$8+$O$188*$O$8+$P$188*$P$8</f>
        <v>0</v>
      </c>
      <c r="T188" s="15">
        <f>SUM($Q$188:$R$188)</f>
        <v>0</v>
      </c>
      <c r="U188" s="15">
        <f>$S$188+$T$188</f>
        <v>0</v>
      </c>
    </row>
    <row r="189" spans="1:21" x14ac:dyDescent="0.3">
      <c r="A189" s="10" t="s">
        <v>692</v>
      </c>
      <c r="B189" s="11" t="s">
        <v>693</v>
      </c>
      <c r="C189" s="11" t="s">
        <v>65</v>
      </c>
      <c r="D189" s="11" t="s">
        <v>694</v>
      </c>
      <c r="E189" s="11">
        <f xml:space="preserve"> IF($U$189,1,0)</f>
        <v>0</v>
      </c>
      <c r="F189" s="11" t="s">
        <v>695</v>
      </c>
      <c r="G189" s="11">
        <v>0</v>
      </c>
      <c r="H189" s="11">
        <v>0</v>
      </c>
      <c r="I189" s="11">
        <v>0</v>
      </c>
      <c r="J189" s="11">
        <v>0</v>
      </c>
      <c r="K189" s="11">
        <v>0</v>
      </c>
      <c r="L189" s="11">
        <v>0</v>
      </c>
      <c r="M189" s="11">
        <v>0</v>
      </c>
      <c r="N189" s="11">
        <v>0</v>
      </c>
      <c r="O189" s="11">
        <v>0</v>
      </c>
      <c r="P189" s="11">
        <v>0</v>
      </c>
      <c r="Q189" s="12">
        <v>0</v>
      </c>
      <c r="R189" s="12">
        <v>0</v>
      </c>
      <c r="S189" s="12">
        <f>$G$189*$G$8+$H$189*$H$8+$I$189*$I$8+$J$189*$J$8+$K$189*$K$8+$L$189*$L$8+$M$189*$M$8+$N$189*$N$8+$O$189*$O$8+$P$189*$P$8</f>
        <v>0</v>
      </c>
      <c r="T189" s="12">
        <f>SUM($Q$189:$R$189)</f>
        <v>0</v>
      </c>
      <c r="U189" s="12">
        <f>$S$189+$T$189</f>
        <v>0</v>
      </c>
    </row>
    <row r="190" spans="1:21" x14ac:dyDescent="0.3">
      <c r="A190" s="13" t="s">
        <v>696</v>
      </c>
      <c r="B190" s="14" t="s">
        <v>697</v>
      </c>
      <c r="C190" s="14"/>
      <c r="D190" s="14" t="s">
        <v>698</v>
      </c>
      <c r="E190" s="14">
        <f xml:space="preserve"> IF($U$190,1,0)</f>
        <v>0</v>
      </c>
      <c r="F190" s="14" t="s">
        <v>699</v>
      </c>
      <c r="G190" s="14">
        <v>0</v>
      </c>
      <c r="H190" s="14">
        <v>0</v>
      </c>
      <c r="I190" s="14">
        <v>0</v>
      </c>
      <c r="J190" s="14">
        <v>0</v>
      </c>
      <c r="K190" s="14">
        <v>0</v>
      </c>
      <c r="L190" s="14">
        <v>0</v>
      </c>
      <c r="M190" s="14">
        <v>0</v>
      </c>
      <c r="N190" s="14">
        <v>0</v>
      </c>
      <c r="O190" s="14">
        <v>0</v>
      </c>
      <c r="P190" s="14">
        <v>0</v>
      </c>
      <c r="Q190" s="15">
        <v>0</v>
      </c>
      <c r="R190" s="15">
        <v>0</v>
      </c>
      <c r="S190" s="15">
        <f>$G$190*$G$8+$H$190*$H$8+$I$190*$I$8+$J$190*$J$8+$K$190*$K$8+$L$190*$L$8+$M$190*$M$8+$N$190*$N$8+$O$190*$O$8+$P$190*$P$8</f>
        <v>0</v>
      </c>
      <c r="T190" s="15">
        <f>SUM($Q$190:$R$190)</f>
        <v>0</v>
      </c>
      <c r="U190" s="15">
        <f>$S$190+$T$190</f>
        <v>0</v>
      </c>
    </row>
    <row r="191" spans="1:21" x14ac:dyDescent="0.3">
      <c r="A191" s="10" t="s">
        <v>700</v>
      </c>
      <c r="B191" s="11" t="s">
        <v>697</v>
      </c>
      <c r="C191" s="11"/>
      <c r="D191" s="11" t="s">
        <v>701</v>
      </c>
      <c r="E191" s="11">
        <f xml:space="preserve"> IF($U$191,1,0)</f>
        <v>0</v>
      </c>
      <c r="F191" s="11" t="s">
        <v>702</v>
      </c>
      <c r="G191" s="11">
        <v>0</v>
      </c>
      <c r="H191" s="11">
        <v>0</v>
      </c>
      <c r="I191" s="11">
        <v>0</v>
      </c>
      <c r="J191" s="11">
        <v>0</v>
      </c>
      <c r="K191" s="11">
        <v>0</v>
      </c>
      <c r="L191" s="11">
        <v>0</v>
      </c>
      <c r="M191" s="11">
        <v>0</v>
      </c>
      <c r="N191" s="11">
        <v>0</v>
      </c>
      <c r="O191" s="11">
        <v>0</v>
      </c>
      <c r="P191" s="11">
        <v>0</v>
      </c>
      <c r="Q191" s="12">
        <v>0</v>
      </c>
      <c r="R191" s="12">
        <v>0</v>
      </c>
      <c r="S191" s="12">
        <f>$G$191*$G$8+$H$191*$H$8+$I$191*$I$8+$J$191*$J$8+$K$191*$K$8+$L$191*$L$8+$M$191*$M$8+$N$191*$N$8+$O$191*$O$8+$P$191*$P$8</f>
        <v>0</v>
      </c>
      <c r="T191" s="12">
        <f>SUM($Q$191:$R$191)</f>
        <v>0</v>
      </c>
      <c r="U191" s="12">
        <f>$S$191+$T$191</f>
        <v>0</v>
      </c>
    </row>
    <row r="192" spans="1:21" x14ac:dyDescent="0.3">
      <c r="A192" s="13" t="s">
        <v>703</v>
      </c>
      <c r="B192" s="14" t="s">
        <v>704</v>
      </c>
      <c r="C192" s="14"/>
      <c r="D192" s="14" t="s">
        <v>705</v>
      </c>
      <c r="E192" s="14">
        <f xml:space="preserve"> IF($U$192,1,0)</f>
        <v>0</v>
      </c>
      <c r="F192" s="14" t="s">
        <v>706</v>
      </c>
      <c r="G192" s="14">
        <v>0</v>
      </c>
      <c r="H192" s="14">
        <v>0</v>
      </c>
      <c r="I192" s="14">
        <v>0</v>
      </c>
      <c r="J192" s="14">
        <v>0</v>
      </c>
      <c r="K192" s="14">
        <v>0</v>
      </c>
      <c r="L192" s="14">
        <v>0</v>
      </c>
      <c r="M192" s="14">
        <v>0</v>
      </c>
      <c r="N192" s="14">
        <v>0</v>
      </c>
      <c r="O192" s="14">
        <v>0</v>
      </c>
      <c r="P192" s="14">
        <v>0</v>
      </c>
      <c r="Q192" s="15">
        <v>0</v>
      </c>
      <c r="R192" s="15">
        <v>0</v>
      </c>
      <c r="S192" s="15">
        <f>$G$192*$G$8+$H$192*$H$8+$I$192*$I$8+$J$192*$J$8+$K$192*$K$8+$L$192*$L$8+$M$192*$M$8+$N$192*$N$8+$O$192*$O$8+$P$192*$P$8</f>
        <v>0</v>
      </c>
      <c r="T192" s="15">
        <f>SUM($Q$192:$R$192)</f>
        <v>0</v>
      </c>
      <c r="U192" s="15">
        <f>$S$192+$T$192</f>
        <v>0</v>
      </c>
    </row>
    <row r="193" spans="1:21" x14ac:dyDescent="0.3">
      <c r="A193" s="10" t="s">
        <v>707</v>
      </c>
      <c r="B193" s="11" t="s">
        <v>708</v>
      </c>
      <c r="C193" s="11"/>
      <c r="D193" s="11" t="s">
        <v>222</v>
      </c>
      <c r="E193" s="11">
        <f xml:space="preserve"> IF($U$193,1,0)</f>
        <v>0</v>
      </c>
      <c r="F193" s="11" t="s">
        <v>709</v>
      </c>
      <c r="G193" s="11">
        <v>0</v>
      </c>
      <c r="H193" s="11">
        <v>0</v>
      </c>
      <c r="I193" s="11">
        <v>0</v>
      </c>
      <c r="J193" s="11">
        <v>0</v>
      </c>
      <c r="K193" s="11">
        <v>0</v>
      </c>
      <c r="L193" s="11">
        <v>0</v>
      </c>
      <c r="M193" s="11">
        <v>0</v>
      </c>
      <c r="N193" s="11">
        <v>0</v>
      </c>
      <c r="O193" s="11">
        <v>0</v>
      </c>
      <c r="P193" s="11">
        <v>0</v>
      </c>
      <c r="Q193" s="12">
        <v>0</v>
      </c>
      <c r="R193" s="12">
        <v>0</v>
      </c>
      <c r="S193" s="12">
        <f>$G$193*$G$8+$H$193*$H$8+$I$193*$I$8+$J$193*$J$8+$K$193*$K$8+$L$193*$L$8+$M$193*$M$8+$N$193*$N$8+$O$193*$O$8+$P$193*$P$8</f>
        <v>0</v>
      </c>
      <c r="T193" s="12">
        <f>SUM($Q$193:$R$193)</f>
        <v>0</v>
      </c>
      <c r="U193" s="12">
        <f>$S$193+$T$193</f>
        <v>0</v>
      </c>
    </row>
    <row r="194" spans="1:21" x14ac:dyDescent="0.3">
      <c r="A194" s="13" t="s">
        <v>710</v>
      </c>
      <c r="B194" s="14" t="s">
        <v>708</v>
      </c>
      <c r="C194" s="14"/>
      <c r="D194" s="14" t="s">
        <v>711</v>
      </c>
      <c r="E194" s="14">
        <f xml:space="preserve"> IF($U$194,1,0)</f>
        <v>0</v>
      </c>
      <c r="F194" s="14" t="s">
        <v>712</v>
      </c>
      <c r="G194" s="14">
        <v>0</v>
      </c>
      <c r="H194" s="14">
        <v>0</v>
      </c>
      <c r="I194" s="14">
        <v>0</v>
      </c>
      <c r="J194" s="14">
        <v>0</v>
      </c>
      <c r="K194" s="14">
        <v>0</v>
      </c>
      <c r="L194" s="14">
        <v>0</v>
      </c>
      <c r="M194" s="14">
        <v>0</v>
      </c>
      <c r="N194" s="14">
        <v>0</v>
      </c>
      <c r="O194" s="14">
        <v>0</v>
      </c>
      <c r="P194" s="14">
        <v>0</v>
      </c>
      <c r="Q194" s="15">
        <v>0</v>
      </c>
      <c r="R194" s="15">
        <v>0</v>
      </c>
      <c r="S194" s="15">
        <f>$G$194*$G$8+$H$194*$H$8+$I$194*$I$8+$J$194*$J$8+$K$194*$K$8+$L$194*$L$8+$M$194*$M$8+$N$194*$N$8+$O$194*$O$8+$P$194*$P$8</f>
        <v>0</v>
      </c>
      <c r="T194" s="15">
        <f>SUM($Q$194:$R$194)</f>
        <v>0</v>
      </c>
      <c r="U194" s="15">
        <f>$S$194+$T$194</f>
        <v>0</v>
      </c>
    </row>
    <row r="195" spans="1:21" x14ac:dyDescent="0.3">
      <c r="A195" s="10" t="s">
        <v>713</v>
      </c>
      <c r="B195" s="11" t="s">
        <v>708</v>
      </c>
      <c r="C195" s="11"/>
      <c r="D195" s="11" t="s">
        <v>714</v>
      </c>
      <c r="E195" s="11">
        <f xml:space="preserve"> IF($U$195,1,0)</f>
        <v>0</v>
      </c>
      <c r="F195" s="11" t="s">
        <v>715</v>
      </c>
      <c r="G195" s="11">
        <v>0</v>
      </c>
      <c r="H195" s="11">
        <v>0</v>
      </c>
      <c r="I195" s="11">
        <v>0</v>
      </c>
      <c r="J195" s="11">
        <v>0</v>
      </c>
      <c r="K195" s="11">
        <v>0</v>
      </c>
      <c r="L195" s="11">
        <v>0</v>
      </c>
      <c r="M195" s="11">
        <v>0</v>
      </c>
      <c r="N195" s="11">
        <v>0</v>
      </c>
      <c r="O195" s="11">
        <v>0</v>
      </c>
      <c r="P195" s="11">
        <v>0</v>
      </c>
      <c r="Q195" s="12">
        <v>0</v>
      </c>
      <c r="R195" s="12">
        <v>0</v>
      </c>
      <c r="S195" s="12">
        <f>$G$195*$G$8+$H$195*$H$8+$I$195*$I$8+$J$195*$J$8+$K$195*$K$8+$L$195*$L$8+$M$195*$M$8+$N$195*$N$8+$O$195*$O$8+$P$195*$P$8</f>
        <v>0</v>
      </c>
      <c r="T195" s="12">
        <f>SUM($Q$195:$R$195)</f>
        <v>0</v>
      </c>
      <c r="U195" s="12">
        <f>$S$195+$T$195</f>
        <v>0</v>
      </c>
    </row>
    <row r="196" spans="1:21" x14ac:dyDescent="0.3">
      <c r="A196" s="13" t="s">
        <v>716</v>
      </c>
      <c r="B196" s="14" t="s">
        <v>717</v>
      </c>
      <c r="C196" s="14"/>
      <c r="D196" s="14" t="s">
        <v>718</v>
      </c>
      <c r="E196" s="14">
        <f xml:space="preserve"> IF($U$196,1,0)</f>
        <v>0</v>
      </c>
      <c r="F196" s="14" t="s">
        <v>719</v>
      </c>
      <c r="G196" s="14">
        <v>0</v>
      </c>
      <c r="H196" s="14">
        <v>0</v>
      </c>
      <c r="I196" s="14">
        <v>0</v>
      </c>
      <c r="J196" s="14">
        <v>0</v>
      </c>
      <c r="K196" s="14">
        <v>0</v>
      </c>
      <c r="L196" s="14">
        <v>0</v>
      </c>
      <c r="M196" s="14">
        <v>0</v>
      </c>
      <c r="N196" s="14">
        <v>0</v>
      </c>
      <c r="O196" s="14">
        <v>0</v>
      </c>
      <c r="P196" s="14">
        <v>0</v>
      </c>
      <c r="Q196" s="15">
        <v>0</v>
      </c>
      <c r="R196" s="15">
        <v>0</v>
      </c>
      <c r="S196" s="15">
        <f>$G$196*$G$8+$H$196*$H$8+$I$196*$I$8+$J$196*$J$8+$K$196*$K$8+$L$196*$L$8+$M$196*$M$8+$N$196*$N$8+$O$196*$O$8+$P$196*$P$8</f>
        <v>0</v>
      </c>
      <c r="T196" s="15">
        <f>SUM($Q$196:$R$196)</f>
        <v>0</v>
      </c>
      <c r="U196" s="15">
        <f>$S$196+$T$196</f>
        <v>0</v>
      </c>
    </row>
    <row r="197" spans="1:21" x14ac:dyDescent="0.3">
      <c r="A197" s="10" t="s">
        <v>720</v>
      </c>
      <c r="B197" s="11" t="s">
        <v>721</v>
      </c>
      <c r="C197" s="11"/>
      <c r="D197" s="11" t="s">
        <v>722</v>
      </c>
      <c r="E197" s="11">
        <f xml:space="preserve"> IF($U$197,1,0)</f>
        <v>0</v>
      </c>
      <c r="F197" s="11" t="s">
        <v>723</v>
      </c>
      <c r="G197" s="11">
        <v>0</v>
      </c>
      <c r="H197" s="11">
        <v>0</v>
      </c>
      <c r="I197" s="11">
        <v>0</v>
      </c>
      <c r="J197" s="11">
        <v>0</v>
      </c>
      <c r="K197" s="11">
        <v>0</v>
      </c>
      <c r="L197" s="11">
        <v>0</v>
      </c>
      <c r="M197" s="11">
        <v>0</v>
      </c>
      <c r="N197" s="11">
        <v>0</v>
      </c>
      <c r="O197" s="11">
        <v>0</v>
      </c>
      <c r="P197" s="11">
        <v>0</v>
      </c>
      <c r="Q197" s="12">
        <v>0</v>
      </c>
      <c r="R197" s="12">
        <v>0</v>
      </c>
      <c r="S197" s="12">
        <f>$G$197*$G$8+$H$197*$H$8+$I$197*$I$8+$J$197*$J$8+$K$197*$K$8+$L$197*$L$8+$M$197*$M$8+$N$197*$N$8+$O$197*$O$8+$P$197*$P$8</f>
        <v>0</v>
      </c>
      <c r="T197" s="12">
        <f>SUM($Q$197:$R$197)</f>
        <v>0</v>
      </c>
      <c r="U197" s="12">
        <f>$S$197+$T$197</f>
        <v>0</v>
      </c>
    </row>
    <row r="198" spans="1:21" x14ac:dyDescent="0.3">
      <c r="A198" s="13" t="s">
        <v>724</v>
      </c>
      <c r="B198" s="14" t="s">
        <v>721</v>
      </c>
      <c r="C198" s="14"/>
      <c r="D198" s="14" t="s">
        <v>725</v>
      </c>
      <c r="E198" s="14">
        <f xml:space="preserve"> IF($U$198,1,0)</f>
        <v>0</v>
      </c>
      <c r="F198" s="14" t="s">
        <v>726</v>
      </c>
      <c r="G198" s="14">
        <v>0</v>
      </c>
      <c r="H198" s="14">
        <v>0</v>
      </c>
      <c r="I198" s="14">
        <v>0</v>
      </c>
      <c r="J198" s="14">
        <v>0</v>
      </c>
      <c r="K198" s="14">
        <v>0</v>
      </c>
      <c r="L198" s="14">
        <v>0</v>
      </c>
      <c r="M198" s="14">
        <v>0</v>
      </c>
      <c r="N198" s="14">
        <v>0</v>
      </c>
      <c r="O198" s="14">
        <v>0</v>
      </c>
      <c r="P198" s="14">
        <v>0</v>
      </c>
      <c r="Q198" s="15">
        <v>0</v>
      </c>
      <c r="R198" s="15">
        <v>0</v>
      </c>
      <c r="S198" s="15">
        <f>$G$198*$G$8+$H$198*$H$8+$I$198*$I$8+$J$198*$J$8+$K$198*$K$8+$L$198*$L$8+$M$198*$M$8+$N$198*$N$8+$O$198*$O$8+$P$198*$P$8</f>
        <v>0</v>
      </c>
      <c r="T198" s="15">
        <f>SUM($Q$198:$R$198)</f>
        <v>0</v>
      </c>
      <c r="U198" s="15">
        <f>$S$198+$T$198</f>
        <v>0</v>
      </c>
    </row>
    <row r="199" spans="1:21" x14ac:dyDescent="0.3">
      <c r="A199" s="10" t="s">
        <v>727</v>
      </c>
      <c r="B199" s="11" t="s">
        <v>728</v>
      </c>
      <c r="C199" s="11"/>
      <c r="D199" s="11" t="s">
        <v>729</v>
      </c>
      <c r="E199" s="11">
        <f xml:space="preserve"> IF($U$199,1,0)</f>
        <v>0</v>
      </c>
      <c r="F199" s="11" t="s">
        <v>730</v>
      </c>
      <c r="G199" s="11">
        <v>0</v>
      </c>
      <c r="H199" s="11">
        <v>0</v>
      </c>
      <c r="I199" s="11">
        <v>0</v>
      </c>
      <c r="J199" s="11">
        <v>0</v>
      </c>
      <c r="K199" s="11">
        <v>0</v>
      </c>
      <c r="L199" s="11">
        <v>0</v>
      </c>
      <c r="M199" s="11">
        <v>0</v>
      </c>
      <c r="N199" s="11">
        <v>0</v>
      </c>
      <c r="O199" s="11">
        <v>0</v>
      </c>
      <c r="P199" s="11">
        <v>0</v>
      </c>
      <c r="Q199" s="12">
        <v>0</v>
      </c>
      <c r="R199" s="12">
        <v>0</v>
      </c>
      <c r="S199" s="12">
        <f>$G$199*$G$8+$H$199*$H$8+$I$199*$I$8+$J$199*$J$8+$K$199*$K$8+$L$199*$L$8+$M$199*$M$8+$N$199*$N$8+$O$199*$O$8+$P$199*$P$8</f>
        <v>0</v>
      </c>
      <c r="T199" s="12">
        <f>SUM($Q$199:$R$199)</f>
        <v>0</v>
      </c>
      <c r="U199" s="12">
        <f>$S$199+$T$199</f>
        <v>0</v>
      </c>
    </row>
    <row r="200" spans="1:21" x14ac:dyDescent="0.3">
      <c r="A200" s="13" t="s">
        <v>731</v>
      </c>
      <c r="B200" s="14" t="s">
        <v>732</v>
      </c>
      <c r="C200" s="14"/>
      <c r="D200" s="14" t="s">
        <v>733</v>
      </c>
      <c r="E200" s="14">
        <f xml:space="preserve"> IF($U$200,1,0)</f>
        <v>0</v>
      </c>
      <c r="F200" s="14" t="s">
        <v>734</v>
      </c>
      <c r="G200" s="14">
        <v>0</v>
      </c>
      <c r="H200" s="14">
        <v>0</v>
      </c>
      <c r="I200" s="14">
        <v>0</v>
      </c>
      <c r="J200" s="14">
        <v>0</v>
      </c>
      <c r="K200" s="14">
        <v>0</v>
      </c>
      <c r="L200" s="14">
        <v>0</v>
      </c>
      <c r="M200" s="14">
        <v>0</v>
      </c>
      <c r="N200" s="14">
        <v>0</v>
      </c>
      <c r="O200" s="14">
        <v>0</v>
      </c>
      <c r="P200" s="14">
        <v>0</v>
      </c>
      <c r="Q200" s="15">
        <v>0</v>
      </c>
      <c r="R200" s="15">
        <v>0</v>
      </c>
      <c r="S200" s="15">
        <f>$G$200*$G$8+$H$200*$H$8+$I$200*$I$8+$J$200*$J$8+$K$200*$K$8+$L$200*$L$8+$M$200*$M$8+$N$200*$N$8+$O$200*$O$8+$P$200*$P$8</f>
        <v>0</v>
      </c>
      <c r="T200" s="15">
        <f>SUM($Q$200:$R$200)</f>
        <v>0</v>
      </c>
      <c r="U200" s="15">
        <f>$S$200+$T$200</f>
        <v>0</v>
      </c>
    </row>
    <row r="201" spans="1:21" x14ac:dyDescent="0.3">
      <c r="A201" s="10" t="s">
        <v>735</v>
      </c>
      <c r="B201" s="11" t="s">
        <v>736</v>
      </c>
      <c r="C201" s="11"/>
      <c r="D201" s="11" t="s">
        <v>737</v>
      </c>
      <c r="E201" s="11">
        <f xml:space="preserve"> IF($U$201,1,0)</f>
        <v>0</v>
      </c>
      <c r="F201" s="11" t="s">
        <v>738</v>
      </c>
      <c r="G201" s="11">
        <v>0</v>
      </c>
      <c r="H201" s="11">
        <v>0</v>
      </c>
      <c r="I201" s="11">
        <v>0</v>
      </c>
      <c r="J201" s="11">
        <v>0</v>
      </c>
      <c r="K201" s="11">
        <v>0</v>
      </c>
      <c r="L201" s="11">
        <v>0</v>
      </c>
      <c r="M201" s="11">
        <v>0</v>
      </c>
      <c r="N201" s="11">
        <v>0</v>
      </c>
      <c r="O201" s="11">
        <v>0</v>
      </c>
      <c r="P201" s="11">
        <v>0</v>
      </c>
      <c r="Q201" s="12">
        <v>0</v>
      </c>
      <c r="R201" s="12">
        <v>0</v>
      </c>
      <c r="S201" s="12">
        <f>$G$201*$G$8+$H$201*$H$8+$I$201*$I$8+$J$201*$J$8+$K$201*$K$8+$L$201*$L$8+$M$201*$M$8+$N$201*$N$8+$O$201*$O$8+$P$201*$P$8</f>
        <v>0</v>
      </c>
      <c r="T201" s="12">
        <f>SUM($Q$201:$R$201)</f>
        <v>0</v>
      </c>
      <c r="U201" s="12">
        <f>$S$201+$T$201</f>
        <v>0</v>
      </c>
    </row>
    <row r="202" spans="1:21" x14ac:dyDescent="0.3">
      <c r="A202" s="13" t="s">
        <v>739</v>
      </c>
      <c r="B202" s="14" t="s">
        <v>740</v>
      </c>
      <c r="C202" s="14" t="s">
        <v>65</v>
      </c>
      <c r="D202" s="14" t="s">
        <v>239</v>
      </c>
      <c r="E202" s="14">
        <f xml:space="preserve"> IF($U$202,1,0)</f>
        <v>0</v>
      </c>
      <c r="F202" s="14" t="s">
        <v>741</v>
      </c>
      <c r="G202" s="14">
        <v>0</v>
      </c>
      <c r="H202" s="14">
        <v>0</v>
      </c>
      <c r="I202" s="14">
        <v>0</v>
      </c>
      <c r="J202" s="14">
        <v>0</v>
      </c>
      <c r="K202" s="14">
        <v>0</v>
      </c>
      <c r="L202" s="14">
        <v>0</v>
      </c>
      <c r="M202" s="14">
        <v>0</v>
      </c>
      <c r="N202" s="14">
        <v>0</v>
      </c>
      <c r="O202" s="14">
        <v>0</v>
      </c>
      <c r="P202" s="14">
        <v>0</v>
      </c>
      <c r="Q202" s="15">
        <v>0</v>
      </c>
      <c r="R202" s="15">
        <v>0</v>
      </c>
      <c r="S202" s="15">
        <f>$G$202*$G$8+$H$202*$H$8+$I$202*$I$8+$J$202*$J$8+$K$202*$K$8+$L$202*$L$8+$M$202*$M$8+$N$202*$N$8+$O$202*$O$8+$P$202*$P$8</f>
        <v>0</v>
      </c>
      <c r="T202" s="15">
        <f>SUM($Q$202:$R$202)</f>
        <v>0</v>
      </c>
      <c r="U202" s="15">
        <f>$S$202+$T$202</f>
        <v>0</v>
      </c>
    </row>
    <row r="203" spans="1:21" x14ac:dyDescent="0.3">
      <c r="A203" s="10" t="s">
        <v>742</v>
      </c>
      <c r="B203" s="11" t="s">
        <v>743</v>
      </c>
      <c r="C203" s="11"/>
      <c r="D203" s="11" t="s">
        <v>744</v>
      </c>
      <c r="E203" s="11">
        <f xml:space="preserve"> IF($U$203,1,0)</f>
        <v>0</v>
      </c>
      <c r="F203" s="11" t="s">
        <v>745</v>
      </c>
      <c r="G203" s="11">
        <v>0</v>
      </c>
      <c r="H203" s="11">
        <v>0</v>
      </c>
      <c r="I203" s="11">
        <v>0</v>
      </c>
      <c r="J203" s="11">
        <v>0</v>
      </c>
      <c r="K203" s="11">
        <v>0</v>
      </c>
      <c r="L203" s="11">
        <v>0</v>
      </c>
      <c r="M203" s="11">
        <v>0</v>
      </c>
      <c r="N203" s="11">
        <v>0</v>
      </c>
      <c r="O203" s="11">
        <v>0</v>
      </c>
      <c r="P203" s="11">
        <v>0</v>
      </c>
      <c r="Q203" s="12">
        <v>0</v>
      </c>
      <c r="R203" s="12">
        <v>0</v>
      </c>
      <c r="S203" s="12">
        <f>$G$203*$G$8+$H$203*$H$8+$I$203*$I$8+$J$203*$J$8+$K$203*$K$8+$L$203*$L$8+$M$203*$M$8+$N$203*$N$8+$O$203*$O$8+$P$203*$P$8</f>
        <v>0</v>
      </c>
      <c r="T203" s="12">
        <f>SUM($Q$203:$R$203)</f>
        <v>0</v>
      </c>
      <c r="U203" s="12">
        <f>$S$203+$T$203</f>
        <v>0</v>
      </c>
    </row>
    <row r="204" spans="1:21" x14ac:dyDescent="0.3">
      <c r="A204" s="13" t="s">
        <v>746</v>
      </c>
      <c r="B204" s="14" t="s">
        <v>747</v>
      </c>
      <c r="C204" s="14"/>
      <c r="D204" s="14" t="s">
        <v>748</v>
      </c>
      <c r="E204" s="14">
        <f xml:space="preserve"> IF($U$204,1,0)</f>
        <v>0</v>
      </c>
      <c r="F204" s="14" t="s">
        <v>749</v>
      </c>
      <c r="G204" s="14">
        <v>0</v>
      </c>
      <c r="H204" s="14">
        <v>0</v>
      </c>
      <c r="I204" s="14">
        <v>0</v>
      </c>
      <c r="J204" s="14">
        <v>0</v>
      </c>
      <c r="K204" s="14">
        <v>0</v>
      </c>
      <c r="L204" s="14">
        <v>0</v>
      </c>
      <c r="M204" s="14">
        <v>0</v>
      </c>
      <c r="N204" s="14">
        <v>0</v>
      </c>
      <c r="O204" s="14">
        <v>0</v>
      </c>
      <c r="P204" s="14">
        <v>0</v>
      </c>
      <c r="Q204" s="15">
        <v>0</v>
      </c>
      <c r="R204" s="15">
        <v>0</v>
      </c>
      <c r="S204" s="15">
        <f>$G$204*$G$8+$H$204*$H$8+$I$204*$I$8+$J$204*$J$8+$K$204*$K$8+$L$204*$L$8+$M$204*$M$8+$N$204*$N$8+$O$204*$O$8+$P$204*$P$8</f>
        <v>0</v>
      </c>
      <c r="T204" s="15">
        <f>SUM($Q$204:$R$204)</f>
        <v>0</v>
      </c>
      <c r="U204" s="15">
        <f>$S$204+$T$204</f>
        <v>0</v>
      </c>
    </row>
    <row r="205" spans="1:21" x14ac:dyDescent="0.3">
      <c r="A205" s="10" t="s">
        <v>750</v>
      </c>
      <c r="B205" s="11" t="s">
        <v>751</v>
      </c>
      <c r="C205" s="11"/>
      <c r="D205" s="11" t="s">
        <v>752</v>
      </c>
      <c r="E205" s="11">
        <f xml:space="preserve"> IF($U$205,1,0)</f>
        <v>0</v>
      </c>
      <c r="F205" s="11" t="s">
        <v>753</v>
      </c>
      <c r="G205" s="11">
        <v>0</v>
      </c>
      <c r="H205" s="11">
        <v>0</v>
      </c>
      <c r="I205" s="11">
        <v>0</v>
      </c>
      <c r="J205" s="11">
        <v>0</v>
      </c>
      <c r="K205" s="11">
        <v>0</v>
      </c>
      <c r="L205" s="11">
        <v>0</v>
      </c>
      <c r="M205" s="11">
        <v>0</v>
      </c>
      <c r="N205" s="11">
        <v>0</v>
      </c>
      <c r="O205" s="11">
        <v>0</v>
      </c>
      <c r="P205" s="11">
        <v>0</v>
      </c>
      <c r="Q205" s="12">
        <v>0</v>
      </c>
      <c r="R205" s="12">
        <v>0</v>
      </c>
      <c r="S205" s="12">
        <f>$G$205*$G$8+$H$205*$H$8+$I$205*$I$8+$J$205*$J$8+$K$205*$K$8+$L$205*$L$8+$M$205*$M$8+$N$205*$N$8+$O$205*$O$8+$P$205*$P$8</f>
        <v>0</v>
      </c>
      <c r="T205" s="12">
        <f>SUM($Q$205:$R$205)</f>
        <v>0</v>
      </c>
      <c r="U205" s="12">
        <f>$S$205+$T$205</f>
        <v>0</v>
      </c>
    </row>
    <row r="206" spans="1:21" x14ac:dyDescent="0.3">
      <c r="A206" s="13" t="s">
        <v>754</v>
      </c>
      <c r="B206" s="14" t="s">
        <v>755</v>
      </c>
      <c r="C206" s="14"/>
      <c r="D206" s="14" t="s">
        <v>756</v>
      </c>
      <c r="E206" s="14">
        <f xml:space="preserve"> IF($U$206,1,0)</f>
        <v>0</v>
      </c>
      <c r="F206" s="14" t="s">
        <v>757</v>
      </c>
      <c r="G206" s="14">
        <v>0</v>
      </c>
      <c r="H206" s="14">
        <v>0</v>
      </c>
      <c r="I206" s="14">
        <v>0</v>
      </c>
      <c r="J206" s="14">
        <v>0</v>
      </c>
      <c r="K206" s="14">
        <v>0</v>
      </c>
      <c r="L206" s="14">
        <v>0</v>
      </c>
      <c r="M206" s="14">
        <v>0</v>
      </c>
      <c r="N206" s="14">
        <v>0</v>
      </c>
      <c r="O206" s="14">
        <v>0</v>
      </c>
      <c r="P206" s="14">
        <v>0</v>
      </c>
      <c r="Q206" s="15">
        <v>0</v>
      </c>
      <c r="R206" s="15">
        <v>0</v>
      </c>
      <c r="S206" s="15">
        <f>$G$206*$G$8+$H$206*$H$8+$I$206*$I$8+$J$206*$J$8+$K$206*$K$8+$L$206*$L$8+$M$206*$M$8+$N$206*$N$8+$O$206*$O$8+$P$206*$P$8</f>
        <v>0</v>
      </c>
      <c r="T206" s="15">
        <f>SUM($Q$206:$R$206)</f>
        <v>0</v>
      </c>
      <c r="U206" s="15">
        <f>$S$206+$T$206</f>
        <v>0</v>
      </c>
    </row>
    <row r="207" spans="1:21" x14ac:dyDescent="0.3">
      <c r="A207" s="10" t="s">
        <v>758</v>
      </c>
      <c r="B207" s="11" t="s">
        <v>759</v>
      </c>
      <c r="C207" s="11"/>
      <c r="D207" s="11" t="s">
        <v>760</v>
      </c>
      <c r="E207" s="11">
        <f xml:space="preserve"> IF($U$207,1,0)</f>
        <v>0</v>
      </c>
      <c r="F207" s="11" t="s">
        <v>761</v>
      </c>
      <c r="G207" s="11">
        <v>0</v>
      </c>
      <c r="H207" s="11">
        <v>0</v>
      </c>
      <c r="I207" s="11">
        <v>0</v>
      </c>
      <c r="J207" s="11">
        <v>0</v>
      </c>
      <c r="K207" s="11">
        <v>0</v>
      </c>
      <c r="L207" s="11">
        <v>0</v>
      </c>
      <c r="M207" s="11">
        <v>0</v>
      </c>
      <c r="N207" s="11">
        <v>0</v>
      </c>
      <c r="O207" s="11">
        <v>0</v>
      </c>
      <c r="P207" s="11">
        <v>0</v>
      </c>
      <c r="Q207" s="12">
        <v>0</v>
      </c>
      <c r="R207" s="12">
        <v>0</v>
      </c>
      <c r="S207" s="12">
        <f>$G$207*$G$8+$H$207*$H$8+$I$207*$I$8+$J$207*$J$8+$K$207*$K$8+$L$207*$L$8+$M$207*$M$8+$N$207*$N$8+$O$207*$O$8+$P$207*$P$8</f>
        <v>0</v>
      </c>
      <c r="T207" s="12">
        <f>SUM($Q$207:$R$207)</f>
        <v>0</v>
      </c>
      <c r="U207" s="12">
        <f>$S$207+$T$207</f>
        <v>0</v>
      </c>
    </row>
    <row r="208" spans="1:21" x14ac:dyDescent="0.3">
      <c r="A208" s="13" t="s">
        <v>762</v>
      </c>
      <c r="B208" s="14" t="s">
        <v>763</v>
      </c>
      <c r="C208" s="14"/>
      <c r="D208" s="14" t="s">
        <v>764</v>
      </c>
      <c r="E208" s="14">
        <f xml:space="preserve"> IF($U$208,1,0)</f>
        <v>0</v>
      </c>
      <c r="F208" s="14" t="s">
        <v>765</v>
      </c>
      <c r="G208" s="14">
        <v>0</v>
      </c>
      <c r="H208" s="14">
        <v>0</v>
      </c>
      <c r="I208" s="14">
        <v>0</v>
      </c>
      <c r="J208" s="14">
        <v>0</v>
      </c>
      <c r="K208" s="14">
        <v>0</v>
      </c>
      <c r="L208" s="14">
        <v>0</v>
      </c>
      <c r="M208" s="14">
        <v>0</v>
      </c>
      <c r="N208" s="14">
        <v>0</v>
      </c>
      <c r="O208" s="14">
        <v>0</v>
      </c>
      <c r="P208" s="14">
        <v>0</v>
      </c>
      <c r="Q208" s="15">
        <v>0</v>
      </c>
      <c r="R208" s="15">
        <v>0</v>
      </c>
      <c r="S208" s="15">
        <f>$G$208*$G$8+$H$208*$H$8+$I$208*$I$8+$J$208*$J$8+$K$208*$K$8+$L$208*$L$8+$M$208*$M$8+$N$208*$N$8+$O$208*$O$8+$P$208*$P$8</f>
        <v>0</v>
      </c>
      <c r="T208" s="15">
        <f>SUM($Q$208:$R$208)</f>
        <v>0</v>
      </c>
      <c r="U208" s="15">
        <f>$S$208+$T$208</f>
        <v>0</v>
      </c>
    </row>
    <row r="209" spans="1:21" x14ac:dyDescent="0.3">
      <c r="A209" s="10" t="s">
        <v>766</v>
      </c>
      <c r="B209" s="11" t="s">
        <v>767</v>
      </c>
      <c r="C209" s="11"/>
      <c r="D209" s="11" t="s">
        <v>768</v>
      </c>
      <c r="E209" s="11">
        <f xml:space="preserve"> IF($U$209,1,0)</f>
        <v>0</v>
      </c>
      <c r="F209" s="11" t="s">
        <v>769</v>
      </c>
      <c r="G209" s="11">
        <v>0</v>
      </c>
      <c r="H209" s="11">
        <v>0</v>
      </c>
      <c r="I209" s="11">
        <v>0</v>
      </c>
      <c r="J209" s="11">
        <v>0</v>
      </c>
      <c r="K209" s="11">
        <v>0</v>
      </c>
      <c r="L209" s="11">
        <v>0</v>
      </c>
      <c r="M209" s="11">
        <v>0</v>
      </c>
      <c r="N209" s="11">
        <v>0</v>
      </c>
      <c r="O209" s="11">
        <v>0</v>
      </c>
      <c r="P209" s="11">
        <v>0</v>
      </c>
      <c r="Q209" s="12">
        <v>0</v>
      </c>
      <c r="R209" s="12">
        <v>0</v>
      </c>
      <c r="S209" s="12">
        <f>$G$209*$G$8+$H$209*$H$8+$I$209*$I$8+$J$209*$J$8+$K$209*$K$8+$L$209*$L$8+$M$209*$M$8+$N$209*$N$8+$O$209*$O$8+$P$209*$P$8</f>
        <v>0</v>
      </c>
      <c r="T209" s="12">
        <f>SUM($Q$209:$R$209)</f>
        <v>0</v>
      </c>
      <c r="U209" s="12">
        <f>$S$209+$T$209</f>
        <v>0</v>
      </c>
    </row>
    <row r="210" spans="1:21" x14ac:dyDescent="0.3">
      <c r="A210" s="13" t="s">
        <v>770</v>
      </c>
      <c r="B210" s="14" t="s">
        <v>771</v>
      </c>
      <c r="C210" s="14"/>
      <c r="D210" s="14" t="s">
        <v>772</v>
      </c>
      <c r="E210" s="14">
        <f xml:space="preserve"> IF($U$210,1,0)</f>
        <v>0</v>
      </c>
      <c r="F210" s="14" t="s">
        <v>773</v>
      </c>
      <c r="G210" s="14">
        <v>0</v>
      </c>
      <c r="H210" s="14">
        <v>0</v>
      </c>
      <c r="I210" s="14">
        <v>0</v>
      </c>
      <c r="J210" s="14">
        <v>0</v>
      </c>
      <c r="K210" s="14">
        <v>0</v>
      </c>
      <c r="L210" s="14">
        <v>0</v>
      </c>
      <c r="M210" s="14">
        <v>0</v>
      </c>
      <c r="N210" s="14">
        <v>0</v>
      </c>
      <c r="O210" s="14">
        <v>0</v>
      </c>
      <c r="P210" s="14">
        <v>0</v>
      </c>
      <c r="Q210" s="15">
        <v>0</v>
      </c>
      <c r="R210" s="15">
        <v>0</v>
      </c>
      <c r="S210" s="15">
        <f>$G$210*$G$8+$H$210*$H$8+$I$210*$I$8+$J$210*$J$8+$K$210*$K$8+$L$210*$L$8+$M$210*$M$8+$N$210*$N$8+$O$210*$O$8+$P$210*$P$8</f>
        <v>0</v>
      </c>
      <c r="T210" s="15">
        <f>SUM($Q$210:$R$210)</f>
        <v>0</v>
      </c>
      <c r="U210" s="15">
        <f>$S$210+$T$210</f>
        <v>0</v>
      </c>
    </row>
    <row r="211" spans="1:21" x14ac:dyDescent="0.3">
      <c r="A211" s="10" t="s">
        <v>774</v>
      </c>
      <c r="B211" s="11" t="s">
        <v>775</v>
      </c>
      <c r="C211" s="11"/>
      <c r="D211" s="11" t="s">
        <v>776</v>
      </c>
      <c r="E211" s="11">
        <f xml:space="preserve"> IF($U$211,1,0)</f>
        <v>0</v>
      </c>
      <c r="F211" s="11" t="s">
        <v>777</v>
      </c>
      <c r="G211" s="11">
        <v>0</v>
      </c>
      <c r="H211" s="11">
        <v>0</v>
      </c>
      <c r="I211" s="11">
        <v>0</v>
      </c>
      <c r="J211" s="11">
        <v>0</v>
      </c>
      <c r="K211" s="11">
        <v>0</v>
      </c>
      <c r="L211" s="11">
        <v>0</v>
      </c>
      <c r="M211" s="11">
        <v>0</v>
      </c>
      <c r="N211" s="11">
        <v>0</v>
      </c>
      <c r="O211" s="11">
        <v>0</v>
      </c>
      <c r="P211" s="11">
        <v>0</v>
      </c>
      <c r="Q211" s="12">
        <v>0</v>
      </c>
      <c r="R211" s="12">
        <v>0</v>
      </c>
      <c r="S211" s="12">
        <f>$G$211*$G$8+$H$211*$H$8+$I$211*$I$8+$J$211*$J$8+$K$211*$K$8+$L$211*$L$8+$M$211*$M$8+$N$211*$N$8+$O$211*$O$8+$P$211*$P$8</f>
        <v>0</v>
      </c>
      <c r="T211" s="12">
        <f>SUM($Q$211:$R$211)</f>
        <v>0</v>
      </c>
      <c r="U211" s="12">
        <f>$S$211+$T$211</f>
        <v>0</v>
      </c>
    </row>
    <row r="212" spans="1:21" x14ac:dyDescent="0.3">
      <c r="A212" s="13" t="s">
        <v>778</v>
      </c>
      <c r="B212" s="14" t="s">
        <v>779</v>
      </c>
      <c r="C212" s="14"/>
      <c r="D212" s="14" t="s">
        <v>780</v>
      </c>
      <c r="E212" s="14">
        <f xml:space="preserve"> IF($U$212,1,0)</f>
        <v>0</v>
      </c>
      <c r="F212" s="14" t="s">
        <v>781</v>
      </c>
      <c r="G212" s="14">
        <v>0</v>
      </c>
      <c r="H212" s="14">
        <v>0</v>
      </c>
      <c r="I212" s="14">
        <v>0</v>
      </c>
      <c r="J212" s="14">
        <v>0</v>
      </c>
      <c r="K212" s="14">
        <v>0</v>
      </c>
      <c r="L212" s="14">
        <v>0</v>
      </c>
      <c r="M212" s="14">
        <v>0</v>
      </c>
      <c r="N212" s="14">
        <v>0</v>
      </c>
      <c r="O212" s="14">
        <v>0</v>
      </c>
      <c r="P212" s="14">
        <v>0</v>
      </c>
      <c r="Q212" s="15">
        <v>0</v>
      </c>
      <c r="R212" s="15">
        <v>0</v>
      </c>
      <c r="S212" s="15">
        <f>$G$212*$G$8+$H$212*$H$8+$I$212*$I$8+$J$212*$J$8+$K$212*$K$8+$L$212*$L$8+$M$212*$M$8+$N$212*$N$8+$O$212*$O$8+$P$212*$P$8</f>
        <v>0</v>
      </c>
      <c r="T212" s="15">
        <f>SUM($Q$212:$R$212)</f>
        <v>0</v>
      </c>
      <c r="U212" s="15">
        <f>$S$212+$T$212</f>
        <v>0</v>
      </c>
    </row>
    <row r="213" spans="1:21" x14ac:dyDescent="0.3">
      <c r="A213" s="10" t="s">
        <v>782</v>
      </c>
      <c r="B213" s="11" t="s">
        <v>779</v>
      </c>
      <c r="C213" s="11"/>
      <c r="D213" s="11" t="s">
        <v>783</v>
      </c>
      <c r="E213" s="11">
        <f xml:space="preserve"> IF($U$213,1,0)</f>
        <v>0</v>
      </c>
      <c r="F213" s="11" t="s">
        <v>784</v>
      </c>
      <c r="G213" s="11">
        <v>0</v>
      </c>
      <c r="H213" s="11">
        <v>0</v>
      </c>
      <c r="I213" s="11">
        <v>0</v>
      </c>
      <c r="J213" s="11">
        <v>0</v>
      </c>
      <c r="K213" s="11">
        <v>0</v>
      </c>
      <c r="L213" s="11">
        <v>0</v>
      </c>
      <c r="M213" s="11">
        <v>0</v>
      </c>
      <c r="N213" s="11">
        <v>0</v>
      </c>
      <c r="O213" s="11">
        <v>0</v>
      </c>
      <c r="P213" s="11">
        <v>0</v>
      </c>
      <c r="Q213" s="12">
        <v>0</v>
      </c>
      <c r="R213" s="12">
        <v>0</v>
      </c>
      <c r="S213" s="12">
        <f>$G$213*$G$8+$H$213*$H$8+$I$213*$I$8+$J$213*$J$8+$K$213*$K$8+$L$213*$L$8+$M$213*$M$8+$N$213*$N$8+$O$213*$O$8+$P$213*$P$8</f>
        <v>0</v>
      </c>
      <c r="T213" s="12">
        <f>SUM($Q$213:$R$213)</f>
        <v>0</v>
      </c>
      <c r="U213" s="12">
        <f>$S$213+$T$213</f>
        <v>0</v>
      </c>
    </row>
    <row r="214" spans="1:21" x14ac:dyDescent="0.3">
      <c r="A214" s="13" t="s">
        <v>785</v>
      </c>
      <c r="B214" s="14" t="s">
        <v>779</v>
      </c>
      <c r="C214" s="14"/>
      <c r="D214" s="14" t="s">
        <v>786</v>
      </c>
      <c r="E214" s="14">
        <f xml:space="preserve"> IF($U$214,1,0)</f>
        <v>0</v>
      </c>
      <c r="F214" s="14" t="s">
        <v>787</v>
      </c>
      <c r="G214" s="14">
        <v>0</v>
      </c>
      <c r="H214" s="14">
        <v>0</v>
      </c>
      <c r="I214" s="14">
        <v>0</v>
      </c>
      <c r="J214" s="14">
        <v>0</v>
      </c>
      <c r="K214" s="14">
        <v>0</v>
      </c>
      <c r="L214" s="14">
        <v>0</v>
      </c>
      <c r="M214" s="14">
        <v>0</v>
      </c>
      <c r="N214" s="14">
        <v>0</v>
      </c>
      <c r="O214" s="14">
        <v>0</v>
      </c>
      <c r="P214" s="14">
        <v>0</v>
      </c>
      <c r="Q214" s="15">
        <v>0</v>
      </c>
      <c r="R214" s="15">
        <v>0</v>
      </c>
      <c r="S214" s="15">
        <f>$G$214*$G$8+$H$214*$H$8+$I$214*$I$8+$J$214*$J$8+$K$214*$K$8+$L$214*$L$8+$M$214*$M$8+$N$214*$N$8+$O$214*$O$8+$P$214*$P$8</f>
        <v>0</v>
      </c>
      <c r="T214" s="15">
        <f>SUM($Q$214:$R$214)</f>
        <v>0</v>
      </c>
      <c r="U214" s="15">
        <f>$S$214+$T$214</f>
        <v>0</v>
      </c>
    </row>
    <row r="215" spans="1:21" x14ac:dyDescent="0.3">
      <c r="A215" s="10" t="s">
        <v>788</v>
      </c>
      <c r="B215" s="11" t="s">
        <v>789</v>
      </c>
      <c r="C215" s="11"/>
      <c r="D215" s="11" t="s">
        <v>790</v>
      </c>
      <c r="E215" s="11">
        <f xml:space="preserve"> IF($U$215,1,0)</f>
        <v>0</v>
      </c>
      <c r="F215" s="11" t="s">
        <v>791</v>
      </c>
      <c r="G215" s="11">
        <v>0</v>
      </c>
      <c r="H215" s="11">
        <v>0</v>
      </c>
      <c r="I215" s="11">
        <v>0</v>
      </c>
      <c r="J215" s="11">
        <v>0</v>
      </c>
      <c r="K215" s="11">
        <v>0</v>
      </c>
      <c r="L215" s="11">
        <v>0</v>
      </c>
      <c r="M215" s="11">
        <v>0</v>
      </c>
      <c r="N215" s="11">
        <v>0</v>
      </c>
      <c r="O215" s="11">
        <v>0</v>
      </c>
      <c r="P215" s="11">
        <v>0</v>
      </c>
      <c r="Q215" s="12">
        <v>0</v>
      </c>
      <c r="R215" s="12">
        <v>0</v>
      </c>
      <c r="S215" s="12">
        <f>$G$215*$G$8+$H$215*$H$8+$I$215*$I$8+$J$215*$J$8+$K$215*$K$8+$L$215*$L$8+$M$215*$M$8+$N$215*$N$8+$O$215*$O$8+$P$215*$P$8</f>
        <v>0</v>
      </c>
      <c r="T215" s="12">
        <f>SUM($Q$215:$R$215)</f>
        <v>0</v>
      </c>
      <c r="U215" s="12">
        <f>$S$215+$T$215</f>
        <v>0</v>
      </c>
    </row>
    <row r="216" spans="1:21" x14ac:dyDescent="0.3">
      <c r="A216" s="13" t="s">
        <v>792</v>
      </c>
      <c r="B216" s="14" t="s">
        <v>793</v>
      </c>
      <c r="C216" s="14"/>
      <c r="D216" s="14" t="s">
        <v>794</v>
      </c>
      <c r="E216" s="14">
        <f xml:space="preserve"> IF($U$216,1,0)</f>
        <v>0</v>
      </c>
      <c r="F216" s="14" t="s">
        <v>795</v>
      </c>
      <c r="G216" s="14">
        <v>0</v>
      </c>
      <c r="H216" s="14">
        <v>0</v>
      </c>
      <c r="I216" s="14">
        <v>0</v>
      </c>
      <c r="J216" s="14">
        <v>0</v>
      </c>
      <c r="K216" s="14">
        <v>0</v>
      </c>
      <c r="L216" s="14">
        <v>0</v>
      </c>
      <c r="M216" s="14">
        <v>0</v>
      </c>
      <c r="N216" s="14">
        <v>0</v>
      </c>
      <c r="O216" s="14">
        <v>0</v>
      </c>
      <c r="P216" s="14">
        <v>0</v>
      </c>
      <c r="Q216" s="15">
        <v>0</v>
      </c>
      <c r="R216" s="15">
        <v>0</v>
      </c>
      <c r="S216" s="15">
        <f>$G$216*$G$8+$H$216*$H$8+$I$216*$I$8+$J$216*$J$8+$K$216*$K$8+$L$216*$L$8+$M$216*$M$8+$N$216*$N$8+$O$216*$O$8+$P$216*$P$8</f>
        <v>0</v>
      </c>
      <c r="T216" s="15">
        <f>SUM($Q$216:$R$216)</f>
        <v>0</v>
      </c>
      <c r="U216" s="15">
        <f>$S$216+$T$216</f>
        <v>0</v>
      </c>
    </row>
    <row r="217" spans="1:21" x14ac:dyDescent="0.3">
      <c r="A217" s="10" t="s">
        <v>796</v>
      </c>
      <c r="B217" s="11" t="s">
        <v>797</v>
      </c>
      <c r="C217" s="11"/>
      <c r="D217" s="11" t="s">
        <v>798</v>
      </c>
      <c r="E217" s="11">
        <f xml:space="preserve"> IF($U$217,1,0)</f>
        <v>0</v>
      </c>
      <c r="F217" s="11" t="s">
        <v>799</v>
      </c>
      <c r="G217" s="11">
        <v>0</v>
      </c>
      <c r="H217" s="11">
        <v>0</v>
      </c>
      <c r="I217" s="11">
        <v>0</v>
      </c>
      <c r="J217" s="11">
        <v>0</v>
      </c>
      <c r="K217" s="11">
        <v>0</v>
      </c>
      <c r="L217" s="11">
        <v>0</v>
      </c>
      <c r="M217" s="11">
        <v>0</v>
      </c>
      <c r="N217" s="11">
        <v>0</v>
      </c>
      <c r="O217" s="11">
        <v>0</v>
      </c>
      <c r="P217" s="11">
        <v>0</v>
      </c>
      <c r="Q217" s="12">
        <v>0</v>
      </c>
      <c r="R217" s="12">
        <v>0</v>
      </c>
      <c r="S217" s="12">
        <f>$G$217*$G$8+$H$217*$H$8+$I$217*$I$8+$J$217*$J$8+$K$217*$K$8+$L$217*$L$8+$M$217*$M$8+$N$217*$N$8+$O$217*$O$8+$P$217*$P$8</f>
        <v>0</v>
      </c>
      <c r="T217" s="12">
        <f>SUM($Q$217:$R$217)</f>
        <v>0</v>
      </c>
      <c r="U217" s="12">
        <f>$S$217+$T$217</f>
        <v>0</v>
      </c>
    </row>
    <row r="218" spans="1:21" x14ac:dyDescent="0.3">
      <c r="A218" s="13" t="s">
        <v>800</v>
      </c>
      <c r="B218" s="14" t="s">
        <v>797</v>
      </c>
      <c r="C218" s="14" t="s">
        <v>34</v>
      </c>
      <c r="D218" s="14" t="s">
        <v>801</v>
      </c>
      <c r="E218" s="14">
        <f xml:space="preserve"> IF($U$218,1,0)</f>
        <v>0</v>
      </c>
      <c r="F218" s="14" t="s">
        <v>802</v>
      </c>
      <c r="G218" s="14">
        <v>0</v>
      </c>
      <c r="H218" s="14">
        <v>0</v>
      </c>
      <c r="I218" s="14">
        <v>0</v>
      </c>
      <c r="J218" s="14">
        <v>0</v>
      </c>
      <c r="K218" s="14">
        <v>0</v>
      </c>
      <c r="L218" s="14">
        <v>0</v>
      </c>
      <c r="M218" s="14">
        <v>0</v>
      </c>
      <c r="N218" s="14">
        <v>0</v>
      </c>
      <c r="O218" s="14">
        <v>0</v>
      </c>
      <c r="P218" s="14">
        <v>0</v>
      </c>
      <c r="Q218" s="15">
        <v>0</v>
      </c>
      <c r="R218" s="15">
        <v>0</v>
      </c>
      <c r="S218" s="15">
        <f>$G$218*$G$8+$H$218*$H$8+$I$218*$I$8+$J$218*$J$8+$K$218*$K$8+$L$218*$L$8+$M$218*$M$8+$N$218*$N$8+$O$218*$O$8+$P$218*$P$8</f>
        <v>0</v>
      </c>
      <c r="T218" s="15">
        <f>SUM($Q$218:$R$218)</f>
        <v>0</v>
      </c>
      <c r="U218" s="15">
        <f>$S$218+$T$218</f>
        <v>0</v>
      </c>
    </row>
    <row r="219" spans="1:21" x14ac:dyDescent="0.3">
      <c r="A219" s="10" t="s">
        <v>803</v>
      </c>
      <c r="B219" s="11" t="s">
        <v>804</v>
      </c>
      <c r="C219" s="11" t="s">
        <v>34</v>
      </c>
      <c r="D219" s="11" t="s">
        <v>805</v>
      </c>
      <c r="E219" s="11">
        <f xml:space="preserve"> IF($U$219,1,0)</f>
        <v>0</v>
      </c>
      <c r="F219" s="11" t="s">
        <v>806</v>
      </c>
      <c r="G219" s="11">
        <v>0</v>
      </c>
      <c r="H219" s="11">
        <v>0</v>
      </c>
      <c r="I219" s="11">
        <v>0</v>
      </c>
      <c r="J219" s="11">
        <v>0</v>
      </c>
      <c r="K219" s="11">
        <v>0</v>
      </c>
      <c r="L219" s="11">
        <v>0</v>
      </c>
      <c r="M219" s="11">
        <v>0</v>
      </c>
      <c r="N219" s="11">
        <v>0</v>
      </c>
      <c r="O219" s="11">
        <v>0</v>
      </c>
      <c r="P219" s="11">
        <v>0</v>
      </c>
      <c r="Q219" s="12">
        <v>0</v>
      </c>
      <c r="R219" s="12">
        <v>0</v>
      </c>
      <c r="S219" s="12">
        <f>$G$219*$G$8+$H$219*$H$8+$I$219*$I$8+$J$219*$J$8+$K$219*$K$8+$L$219*$L$8+$M$219*$M$8+$N$219*$N$8+$O$219*$O$8+$P$219*$P$8</f>
        <v>0</v>
      </c>
      <c r="T219" s="12">
        <f>SUM($Q$219:$R$219)</f>
        <v>0</v>
      </c>
      <c r="U219" s="12">
        <f>$S$219+$T$219</f>
        <v>0</v>
      </c>
    </row>
    <row r="220" spans="1:21" x14ac:dyDescent="0.3">
      <c r="A220" s="13" t="s">
        <v>807</v>
      </c>
      <c r="B220" s="14" t="s">
        <v>808</v>
      </c>
      <c r="C220" s="14"/>
      <c r="D220" s="14" t="s">
        <v>809</v>
      </c>
      <c r="E220" s="14">
        <f xml:space="preserve"> IF($U$220,1,0)</f>
        <v>0</v>
      </c>
      <c r="F220" s="14" t="s">
        <v>810</v>
      </c>
      <c r="G220" s="14">
        <v>0</v>
      </c>
      <c r="H220" s="14">
        <v>0</v>
      </c>
      <c r="I220" s="14">
        <v>0</v>
      </c>
      <c r="J220" s="14">
        <v>0</v>
      </c>
      <c r="K220" s="14">
        <v>0</v>
      </c>
      <c r="L220" s="14">
        <v>0</v>
      </c>
      <c r="M220" s="14">
        <v>0</v>
      </c>
      <c r="N220" s="14">
        <v>0</v>
      </c>
      <c r="O220" s="14">
        <v>0</v>
      </c>
      <c r="P220" s="14">
        <v>0</v>
      </c>
      <c r="Q220" s="15">
        <v>0</v>
      </c>
      <c r="R220" s="15">
        <v>0</v>
      </c>
      <c r="S220" s="15">
        <f>$G$220*$G$8+$H$220*$H$8+$I$220*$I$8+$J$220*$J$8+$K$220*$K$8+$L$220*$L$8+$M$220*$M$8+$N$220*$N$8+$O$220*$O$8+$P$220*$P$8</f>
        <v>0</v>
      </c>
      <c r="T220" s="15">
        <f>SUM($Q$220:$R$220)</f>
        <v>0</v>
      </c>
      <c r="U220" s="15">
        <f>$S$220+$T$220</f>
        <v>0</v>
      </c>
    </row>
    <row r="221" spans="1:21" x14ac:dyDescent="0.3">
      <c r="A221" s="10" t="s">
        <v>811</v>
      </c>
      <c r="B221" s="11" t="s">
        <v>812</v>
      </c>
      <c r="C221" s="11"/>
      <c r="D221" s="11" t="s">
        <v>813</v>
      </c>
      <c r="E221" s="11">
        <f xml:space="preserve"> IF($U$221,1,0)</f>
        <v>0</v>
      </c>
      <c r="F221" s="11" t="s">
        <v>814</v>
      </c>
      <c r="G221" s="11">
        <v>0</v>
      </c>
      <c r="H221" s="11">
        <v>0</v>
      </c>
      <c r="I221" s="11">
        <v>0</v>
      </c>
      <c r="J221" s="11">
        <v>0</v>
      </c>
      <c r="K221" s="11">
        <v>0</v>
      </c>
      <c r="L221" s="11">
        <v>0</v>
      </c>
      <c r="M221" s="11">
        <v>0</v>
      </c>
      <c r="N221" s="11">
        <v>0</v>
      </c>
      <c r="O221" s="11">
        <v>0</v>
      </c>
      <c r="P221" s="11">
        <v>0</v>
      </c>
      <c r="Q221" s="12">
        <v>0</v>
      </c>
      <c r="R221" s="12">
        <v>0</v>
      </c>
      <c r="S221" s="12">
        <f>$G$221*$G$8+$H$221*$H$8+$I$221*$I$8+$J$221*$J$8+$K$221*$K$8+$L$221*$L$8+$M$221*$M$8+$N$221*$N$8+$O$221*$O$8+$P$221*$P$8</f>
        <v>0</v>
      </c>
      <c r="T221" s="12">
        <f>SUM($Q$221:$R$221)</f>
        <v>0</v>
      </c>
      <c r="U221" s="12">
        <f>$S$221+$T$221</f>
        <v>0</v>
      </c>
    </row>
    <row r="222" spans="1:21" x14ac:dyDescent="0.3">
      <c r="A222" s="13" t="s">
        <v>815</v>
      </c>
      <c r="B222" s="14" t="s">
        <v>816</v>
      </c>
      <c r="C222" s="14"/>
      <c r="D222" s="14" t="s">
        <v>817</v>
      </c>
      <c r="E222" s="14">
        <f xml:space="preserve"> IF($U$222,1,0)</f>
        <v>0</v>
      </c>
      <c r="F222" s="14" t="s">
        <v>818</v>
      </c>
      <c r="G222" s="14">
        <v>0</v>
      </c>
      <c r="H222" s="14">
        <v>0</v>
      </c>
      <c r="I222" s="14">
        <v>0</v>
      </c>
      <c r="J222" s="14">
        <v>0</v>
      </c>
      <c r="K222" s="14">
        <v>0</v>
      </c>
      <c r="L222" s="14">
        <v>0</v>
      </c>
      <c r="M222" s="14">
        <v>0</v>
      </c>
      <c r="N222" s="14">
        <v>0</v>
      </c>
      <c r="O222" s="14">
        <v>0</v>
      </c>
      <c r="P222" s="14">
        <v>0</v>
      </c>
      <c r="Q222" s="15">
        <v>0</v>
      </c>
      <c r="R222" s="15">
        <v>0</v>
      </c>
      <c r="S222" s="15">
        <f>$G$222*$G$8+$H$222*$H$8+$I$222*$I$8+$J$222*$J$8+$K$222*$K$8+$L$222*$L$8+$M$222*$M$8+$N$222*$N$8+$O$222*$O$8+$P$222*$P$8</f>
        <v>0</v>
      </c>
      <c r="T222" s="15">
        <f>SUM($Q$222:$R$222)</f>
        <v>0</v>
      </c>
      <c r="U222" s="15">
        <f>$S$222+$T$222</f>
        <v>0</v>
      </c>
    </row>
    <row r="223" spans="1:21" x14ac:dyDescent="0.3">
      <c r="A223" s="10" t="s">
        <v>819</v>
      </c>
      <c r="B223" s="11" t="s">
        <v>820</v>
      </c>
      <c r="C223" s="11"/>
      <c r="D223" s="11" t="s">
        <v>821</v>
      </c>
      <c r="E223" s="11">
        <f xml:space="preserve"> IF($U$223,1,0)</f>
        <v>0</v>
      </c>
      <c r="F223" s="11" t="s">
        <v>822</v>
      </c>
      <c r="G223" s="11">
        <v>0</v>
      </c>
      <c r="H223" s="11">
        <v>0</v>
      </c>
      <c r="I223" s="11">
        <v>0</v>
      </c>
      <c r="J223" s="11">
        <v>0</v>
      </c>
      <c r="K223" s="11">
        <v>0</v>
      </c>
      <c r="L223" s="11">
        <v>0</v>
      </c>
      <c r="M223" s="11">
        <v>0</v>
      </c>
      <c r="N223" s="11">
        <v>0</v>
      </c>
      <c r="O223" s="11">
        <v>0</v>
      </c>
      <c r="P223" s="11">
        <v>0</v>
      </c>
      <c r="Q223" s="12">
        <v>0</v>
      </c>
      <c r="R223" s="12">
        <v>0</v>
      </c>
      <c r="S223" s="12">
        <f>$G$223*$G$8+$H$223*$H$8+$I$223*$I$8+$J$223*$J$8+$K$223*$K$8+$L$223*$L$8+$M$223*$M$8+$N$223*$N$8+$O$223*$O$8+$P$223*$P$8</f>
        <v>0</v>
      </c>
      <c r="T223" s="12">
        <f>SUM($Q$223:$R$223)</f>
        <v>0</v>
      </c>
      <c r="U223" s="12">
        <f>$S$223+$T$223</f>
        <v>0</v>
      </c>
    </row>
    <row r="224" spans="1:21" x14ac:dyDescent="0.3">
      <c r="A224" s="13" t="s">
        <v>823</v>
      </c>
      <c r="B224" s="14" t="s">
        <v>824</v>
      </c>
      <c r="C224" s="14"/>
      <c r="D224" s="14" t="s">
        <v>825</v>
      </c>
      <c r="E224" s="14">
        <f xml:space="preserve"> IF($U$224,1,0)</f>
        <v>0</v>
      </c>
      <c r="F224" s="14" t="s">
        <v>826</v>
      </c>
      <c r="G224" s="14">
        <v>0</v>
      </c>
      <c r="H224" s="14">
        <v>0</v>
      </c>
      <c r="I224" s="14">
        <v>0</v>
      </c>
      <c r="J224" s="14">
        <v>0</v>
      </c>
      <c r="K224" s="14">
        <v>0</v>
      </c>
      <c r="L224" s="14">
        <v>0</v>
      </c>
      <c r="M224" s="14">
        <v>0</v>
      </c>
      <c r="N224" s="14">
        <v>0</v>
      </c>
      <c r="O224" s="14">
        <v>0</v>
      </c>
      <c r="P224" s="14">
        <v>0</v>
      </c>
      <c r="Q224" s="15">
        <v>0</v>
      </c>
      <c r="R224" s="15">
        <v>0</v>
      </c>
      <c r="S224" s="15">
        <f>$G$224*$G$8+$H$224*$H$8+$I$224*$I$8+$J$224*$J$8+$K$224*$K$8+$L$224*$L$8+$M$224*$M$8+$N$224*$N$8+$O$224*$O$8+$P$224*$P$8</f>
        <v>0</v>
      </c>
      <c r="T224" s="15">
        <f>SUM($Q$224:$R$224)</f>
        <v>0</v>
      </c>
      <c r="U224" s="15">
        <f>$S$224+$T$224</f>
        <v>0</v>
      </c>
    </row>
    <row r="225" spans="1:21" x14ac:dyDescent="0.3">
      <c r="A225" s="10" t="s">
        <v>827</v>
      </c>
      <c r="B225" s="11" t="s">
        <v>828</v>
      </c>
      <c r="C225" s="11"/>
      <c r="D225" s="11" t="s">
        <v>829</v>
      </c>
      <c r="E225" s="11">
        <f xml:space="preserve"> IF($U$225,1,0)</f>
        <v>0</v>
      </c>
      <c r="F225" s="11" t="s">
        <v>830</v>
      </c>
      <c r="G225" s="11">
        <v>0</v>
      </c>
      <c r="H225" s="11">
        <v>0</v>
      </c>
      <c r="I225" s="11">
        <v>0</v>
      </c>
      <c r="J225" s="11">
        <v>0</v>
      </c>
      <c r="K225" s="11">
        <v>0</v>
      </c>
      <c r="L225" s="11">
        <v>0</v>
      </c>
      <c r="M225" s="11">
        <v>0</v>
      </c>
      <c r="N225" s="11">
        <v>0</v>
      </c>
      <c r="O225" s="11">
        <v>0</v>
      </c>
      <c r="P225" s="11">
        <v>0</v>
      </c>
      <c r="Q225" s="12">
        <v>0</v>
      </c>
      <c r="R225" s="12">
        <v>0</v>
      </c>
      <c r="S225" s="12">
        <f>$G$225*$G$8+$H$225*$H$8+$I$225*$I$8+$J$225*$J$8+$K$225*$K$8+$L$225*$L$8+$M$225*$M$8+$N$225*$N$8+$O$225*$O$8+$P$225*$P$8</f>
        <v>0</v>
      </c>
      <c r="T225" s="12">
        <f>SUM($Q$225:$R$225)</f>
        <v>0</v>
      </c>
      <c r="U225" s="12">
        <f>$S$225+$T$225</f>
        <v>0</v>
      </c>
    </row>
    <row r="226" spans="1:21" x14ac:dyDescent="0.3">
      <c r="A226" s="13" t="s">
        <v>831</v>
      </c>
      <c r="B226" s="14" t="s">
        <v>832</v>
      </c>
      <c r="C226" s="14"/>
      <c r="D226" s="14" t="s">
        <v>833</v>
      </c>
      <c r="E226" s="14">
        <f xml:space="preserve"> IF($U$226,1,0)</f>
        <v>0</v>
      </c>
      <c r="F226" s="14" t="s">
        <v>834</v>
      </c>
      <c r="G226" s="14">
        <v>0</v>
      </c>
      <c r="H226" s="14">
        <v>0</v>
      </c>
      <c r="I226" s="14">
        <v>0</v>
      </c>
      <c r="J226" s="14">
        <v>0</v>
      </c>
      <c r="K226" s="14">
        <v>0</v>
      </c>
      <c r="L226" s="14">
        <v>0</v>
      </c>
      <c r="M226" s="14">
        <v>0</v>
      </c>
      <c r="N226" s="14">
        <v>0</v>
      </c>
      <c r="O226" s="14">
        <v>0</v>
      </c>
      <c r="P226" s="14">
        <v>0</v>
      </c>
      <c r="Q226" s="15">
        <v>0</v>
      </c>
      <c r="R226" s="15">
        <v>0</v>
      </c>
      <c r="S226" s="15">
        <f>$G$226*$G$8+$H$226*$H$8+$I$226*$I$8+$J$226*$J$8+$K$226*$K$8+$L$226*$L$8+$M$226*$M$8+$N$226*$N$8+$O$226*$O$8+$P$226*$P$8</f>
        <v>0</v>
      </c>
      <c r="T226" s="15">
        <f>SUM($Q$226:$R$226)</f>
        <v>0</v>
      </c>
      <c r="U226" s="15">
        <f>$S$226+$T$226</f>
        <v>0</v>
      </c>
    </row>
    <row r="227" spans="1:21" x14ac:dyDescent="0.3">
      <c r="A227" s="10" t="s">
        <v>835</v>
      </c>
      <c r="B227" s="11" t="s">
        <v>836</v>
      </c>
      <c r="C227" s="11"/>
      <c r="D227" s="11" t="s">
        <v>837</v>
      </c>
      <c r="E227" s="11">
        <f xml:space="preserve"> IF($U$227,1,0)</f>
        <v>0</v>
      </c>
      <c r="F227" s="11" t="s">
        <v>838</v>
      </c>
      <c r="G227" s="11">
        <v>0</v>
      </c>
      <c r="H227" s="11">
        <v>0</v>
      </c>
      <c r="I227" s="11">
        <v>0</v>
      </c>
      <c r="J227" s="11">
        <v>0</v>
      </c>
      <c r="K227" s="11">
        <v>0</v>
      </c>
      <c r="L227" s="11">
        <v>0</v>
      </c>
      <c r="M227" s="11">
        <v>0</v>
      </c>
      <c r="N227" s="11">
        <v>0</v>
      </c>
      <c r="O227" s="11">
        <v>0</v>
      </c>
      <c r="P227" s="11">
        <v>0</v>
      </c>
      <c r="Q227" s="12">
        <v>0</v>
      </c>
      <c r="R227" s="12">
        <v>0</v>
      </c>
      <c r="S227" s="12">
        <f>$G$227*$G$8+$H$227*$H$8+$I$227*$I$8+$J$227*$J$8+$K$227*$K$8+$L$227*$L$8+$M$227*$M$8+$N$227*$N$8+$O$227*$O$8+$P$227*$P$8</f>
        <v>0</v>
      </c>
      <c r="T227" s="12">
        <f>SUM($Q$227:$R$227)</f>
        <v>0</v>
      </c>
      <c r="U227" s="12">
        <f>$S$227+$T$227</f>
        <v>0</v>
      </c>
    </row>
    <row r="228" spans="1:21" x14ac:dyDescent="0.3">
      <c r="A228" s="13" t="s">
        <v>839</v>
      </c>
      <c r="B228" s="14" t="s">
        <v>840</v>
      </c>
      <c r="C228" s="14"/>
      <c r="D228" s="14" t="s">
        <v>841</v>
      </c>
      <c r="E228" s="14">
        <f xml:space="preserve"> IF($U$228,1,0)</f>
        <v>0</v>
      </c>
      <c r="F228" s="14" t="s">
        <v>842</v>
      </c>
      <c r="G228" s="14">
        <v>0</v>
      </c>
      <c r="H228" s="14">
        <v>0</v>
      </c>
      <c r="I228" s="14">
        <v>0</v>
      </c>
      <c r="J228" s="14">
        <v>0</v>
      </c>
      <c r="K228" s="14">
        <v>0</v>
      </c>
      <c r="L228" s="14">
        <v>0</v>
      </c>
      <c r="M228" s="14">
        <v>0</v>
      </c>
      <c r="N228" s="14">
        <v>0</v>
      </c>
      <c r="O228" s="14">
        <v>0</v>
      </c>
      <c r="P228" s="14">
        <v>0</v>
      </c>
      <c r="Q228" s="15">
        <v>0</v>
      </c>
      <c r="R228" s="15">
        <v>0</v>
      </c>
      <c r="S228" s="15">
        <f>$G$228*$G$8+$H$228*$H$8+$I$228*$I$8+$J$228*$J$8+$K$228*$K$8+$L$228*$L$8+$M$228*$M$8+$N$228*$N$8+$O$228*$O$8+$P$228*$P$8</f>
        <v>0</v>
      </c>
      <c r="T228" s="15">
        <f>SUM($Q$228:$R$228)</f>
        <v>0</v>
      </c>
      <c r="U228" s="15">
        <f>$S$228+$T$228</f>
        <v>0</v>
      </c>
    </row>
    <row r="229" spans="1:21" x14ac:dyDescent="0.3">
      <c r="A229" s="10" t="s">
        <v>843</v>
      </c>
      <c r="B229" s="11" t="s">
        <v>844</v>
      </c>
      <c r="C229" s="11"/>
      <c r="D229" s="11" t="s">
        <v>845</v>
      </c>
      <c r="E229" s="11">
        <f xml:space="preserve"> IF($U$229,1,0)</f>
        <v>0</v>
      </c>
      <c r="F229" s="11" t="s">
        <v>846</v>
      </c>
      <c r="G229" s="11">
        <v>0</v>
      </c>
      <c r="H229" s="11">
        <v>0</v>
      </c>
      <c r="I229" s="11">
        <v>0</v>
      </c>
      <c r="J229" s="11">
        <v>0</v>
      </c>
      <c r="K229" s="11">
        <v>0</v>
      </c>
      <c r="L229" s="11">
        <v>0</v>
      </c>
      <c r="M229" s="11">
        <v>0</v>
      </c>
      <c r="N229" s="11">
        <v>0</v>
      </c>
      <c r="O229" s="11">
        <v>0</v>
      </c>
      <c r="P229" s="11">
        <v>0</v>
      </c>
      <c r="Q229" s="12">
        <v>0</v>
      </c>
      <c r="R229" s="12">
        <v>0</v>
      </c>
      <c r="S229" s="12">
        <f>$G$229*$G$8+$H$229*$H$8+$I$229*$I$8+$J$229*$J$8+$K$229*$K$8+$L$229*$L$8+$M$229*$M$8+$N$229*$N$8+$O$229*$O$8+$P$229*$P$8</f>
        <v>0</v>
      </c>
      <c r="T229" s="12">
        <f>SUM($Q$229:$R$229)</f>
        <v>0</v>
      </c>
      <c r="U229" s="12">
        <f>$S$229+$T$229</f>
        <v>0</v>
      </c>
    </row>
    <row r="230" spans="1:21" x14ac:dyDescent="0.3">
      <c r="A230" s="13" t="s">
        <v>847</v>
      </c>
      <c r="B230" s="14" t="s">
        <v>848</v>
      </c>
      <c r="C230" s="14" t="s">
        <v>202</v>
      </c>
      <c r="D230" s="14" t="s">
        <v>849</v>
      </c>
      <c r="E230" s="14">
        <f xml:space="preserve"> IF($U$230,1,0)</f>
        <v>0</v>
      </c>
      <c r="F230" s="14" t="s">
        <v>850</v>
      </c>
      <c r="G230" s="14">
        <v>0</v>
      </c>
      <c r="H230" s="14">
        <v>0</v>
      </c>
      <c r="I230" s="14">
        <v>0</v>
      </c>
      <c r="J230" s="14">
        <v>0</v>
      </c>
      <c r="K230" s="14">
        <v>0</v>
      </c>
      <c r="L230" s="14">
        <v>0</v>
      </c>
      <c r="M230" s="14">
        <v>0</v>
      </c>
      <c r="N230" s="14">
        <v>0</v>
      </c>
      <c r="O230" s="14">
        <v>0</v>
      </c>
      <c r="P230" s="14">
        <v>0</v>
      </c>
      <c r="Q230" s="15">
        <v>0</v>
      </c>
      <c r="R230" s="15">
        <v>0</v>
      </c>
      <c r="S230" s="15">
        <f>$G$230*$G$8+$H$230*$H$8+$I$230*$I$8+$J$230*$J$8+$K$230*$K$8+$L$230*$L$8+$M$230*$M$8+$N$230*$N$8+$O$230*$O$8+$P$230*$P$8</f>
        <v>0</v>
      </c>
      <c r="T230" s="15">
        <f>SUM($Q$230:$R$230)</f>
        <v>0</v>
      </c>
      <c r="U230" s="15">
        <f>$S$230+$T$230</f>
        <v>0</v>
      </c>
    </row>
    <row r="231" spans="1:21" x14ac:dyDescent="0.3">
      <c r="A231" s="10" t="s">
        <v>851</v>
      </c>
      <c r="B231" s="11" t="s">
        <v>852</v>
      </c>
      <c r="C231" s="11"/>
      <c r="D231" s="11" t="s">
        <v>853</v>
      </c>
      <c r="E231" s="11">
        <f xml:space="preserve"> IF($U$231,1,0)</f>
        <v>0</v>
      </c>
      <c r="F231" s="11" t="s">
        <v>854</v>
      </c>
      <c r="G231" s="11">
        <v>0</v>
      </c>
      <c r="H231" s="11">
        <v>0</v>
      </c>
      <c r="I231" s="11">
        <v>0</v>
      </c>
      <c r="J231" s="11">
        <v>0</v>
      </c>
      <c r="K231" s="11">
        <v>0</v>
      </c>
      <c r="L231" s="11">
        <v>0</v>
      </c>
      <c r="M231" s="11">
        <v>0</v>
      </c>
      <c r="N231" s="11">
        <v>0</v>
      </c>
      <c r="O231" s="11">
        <v>0</v>
      </c>
      <c r="P231" s="11">
        <v>0</v>
      </c>
      <c r="Q231" s="12">
        <v>0</v>
      </c>
      <c r="R231" s="12">
        <v>0</v>
      </c>
      <c r="S231" s="12">
        <f>$G$231*$G$8+$H$231*$H$8+$I$231*$I$8+$J$231*$J$8+$K$231*$K$8+$L$231*$L$8+$M$231*$M$8+$N$231*$N$8+$O$231*$O$8+$P$231*$P$8</f>
        <v>0</v>
      </c>
      <c r="T231" s="12">
        <f>SUM($Q$231:$R$231)</f>
        <v>0</v>
      </c>
      <c r="U231" s="12">
        <f>$S$231+$T$231</f>
        <v>0</v>
      </c>
    </row>
    <row r="232" spans="1:21" x14ac:dyDescent="0.3">
      <c r="A232" s="13" t="s">
        <v>855</v>
      </c>
      <c r="B232" s="14" t="s">
        <v>856</v>
      </c>
      <c r="C232" s="14"/>
      <c r="D232" s="14" t="s">
        <v>790</v>
      </c>
      <c r="E232" s="14">
        <f xml:space="preserve"> IF($U$232,1,0)</f>
        <v>0</v>
      </c>
      <c r="F232" s="14" t="s">
        <v>857</v>
      </c>
      <c r="G232" s="14">
        <v>0</v>
      </c>
      <c r="H232" s="14">
        <v>0</v>
      </c>
      <c r="I232" s="14">
        <v>0</v>
      </c>
      <c r="J232" s="14">
        <v>0</v>
      </c>
      <c r="K232" s="14">
        <v>0</v>
      </c>
      <c r="L232" s="14">
        <v>0</v>
      </c>
      <c r="M232" s="14">
        <v>0</v>
      </c>
      <c r="N232" s="14">
        <v>0</v>
      </c>
      <c r="O232" s="14">
        <v>0</v>
      </c>
      <c r="P232" s="14">
        <v>0</v>
      </c>
      <c r="Q232" s="15">
        <v>0</v>
      </c>
      <c r="R232" s="15">
        <v>0</v>
      </c>
      <c r="S232" s="15">
        <f>$G$232*$G$8+$H$232*$H$8+$I$232*$I$8+$J$232*$J$8+$K$232*$K$8+$L$232*$L$8+$M$232*$M$8+$N$232*$N$8+$O$232*$O$8+$P$232*$P$8</f>
        <v>0</v>
      </c>
      <c r="T232" s="15">
        <f>SUM($Q$232:$R$232)</f>
        <v>0</v>
      </c>
      <c r="U232" s="15">
        <f>$S$232+$T$232</f>
        <v>0</v>
      </c>
    </row>
    <row r="233" spans="1:21" x14ac:dyDescent="0.3">
      <c r="A233" s="10" t="s">
        <v>858</v>
      </c>
      <c r="B233" s="11" t="s">
        <v>859</v>
      </c>
      <c r="C233" s="11"/>
      <c r="D233" s="11" t="s">
        <v>860</v>
      </c>
      <c r="E233" s="11">
        <f xml:space="preserve"> IF($U$233,1,0)</f>
        <v>0</v>
      </c>
      <c r="F233" s="11" t="s">
        <v>861</v>
      </c>
      <c r="G233" s="11">
        <v>0</v>
      </c>
      <c r="H233" s="11">
        <v>0</v>
      </c>
      <c r="I233" s="11">
        <v>0</v>
      </c>
      <c r="J233" s="11">
        <v>0</v>
      </c>
      <c r="K233" s="11">
        <v>0</v>
      </c>
      <c r="L233" s="11">
        <v>0</v>
      </c>
      <c r="M233" s="11">
        <v>0</v>
      </c>
      <c r="N233" s="11">
        <v>0</v>
      </c>
      <c r="O233" s="11">
        <v>0</v>
      </c>
      <c r="P233" s="11">
        <v>0</v>
      </c>
      <c r="Q233" s="12">
        <v>0</v>
      </c>
      <c r="R233" s="12">
        <v>0</v>
      </c>
      <c r="S233" s="12">
        <f>$G$233*$G$8+$H$233*$H$8+$I$233*$I$8+$J$233*$J$8+$K$233*$K$8+$L$233*$L$8+$M$233*$M$8+$N$233*$N$8+$O$233*$O$8+$P$233*$P$8</f>
        <v>0</v>
      </c>
      <c r="T233" s="12">
        <f>SUM($Q$233:$R$233)</f>
        <v>0</v>
      </c>
      <c r="U233" s="12">
        <f>$S$233+$T$233</f>
        <v>0</v>
      </c>
    </row>
    <row r="234" spans="1:21" x14ac:dyDescent="0.3">
      <c r="A234" s="13" t="s">
        <v>862</v>
      </c>
      <c r="B234" s="14" t="s">
        <v>863</v>
      </c>
      <c r="C234" s="14"/>
      <c r="D234" s="14" t="s">
        <v>864</v>
      </c>
      <c r="E234" s="14">
        <f xml:space="preserve"> IF($U$234,1,0)</f>
        <v>0</v>
      </c>
      <c r="F234" s="14" t="s">
        <v>865</v>
      </c>
      <c r="G234" s="14">
        <v>0</v>
      </c>
      <c r="H234" s="14">
        <v>0</v>
      </c>
      <c r="I234" s="14">
        <v>0</v>
      </c>
      <c r="J234" s="14">
        <v>0</v>
      </c>
      <c r="K234" s="14">
        <v>0</v>
      </c>
      <c r="L234" s="14">
        <v>0</v>
      </c>
      <c r="M234" s="14">
        <v>0</v>
      </c>
      <c r="N234" s="14">
        <v>0</v>
      </c>
      <c r="O234" s="14">
        <v>0</v>
      </c>
      <c r="P234" s="14">
        <v>0</v>
      </c>
      <c r="Q234" s="15">
        <v>0</v>
      </c>
      <c r="R234" s="15">
        <v>0</v>
      </c>
      <c r="S234" s="15">
        <f>$G$234*$G$8+$H$234*$H$8+$I$234*$I$8+$J$234*$J$8+$K$234*$K$8+$L$234*$L$8+$M$234*$M$8+$N$234*$N$8+$O$234*$O$8+$P$234*$P$8</f>
        <v>0</v>
      </c>
      <c r="T234" s="15">
        <f>SUM($Q$234:$R$234)</f>
        <v>0</v>
      </c>
      <c r="U234" s="15">
        <f>$S$234+$T$234</f>
        <v>0</v>
      </c>
    </row>
    <row r="235" spans="1:21" x14ac:dyDescent="0.3">
      <c r="A235" s="10" t="s">
        <v>866</v>
      </c>
      <c r="B235" s="11" t="s">
        <v>867</v>
      </c>
      <c r="C235" s="11"/>
      <c r="D235" s="11" t="s">
        <v>868</v>
      </c>
      <c r="E235" s="11">
        <f xml:space="preserve"> IF($U$235,1,0)</f>
        <v>0</v>
      </c>
      <c r="F235" s="11" t="s">
        <v>869</v>
      </c>
      <c r="G235" s="11">
        <v>0</v>
      </c>
      <c r="H235" s="11">
        <v>0</v>
      </c>
      <c r="I235" s="11">
        <v>0</v>
      </c>
      <c r="J235" s="11">
        <v>0</v>
      </c>
      <c r="K235" s="11">
        <v>0</v>
      </c>
      <c r="L235" s="11">
        <v>0</v>
      </c>
      <c r="M235" s="11">
        <v>0</v>
      </c>
      <c r="N235" s="11">
        <v>0</v>
      </c>
      <c r="O235" s="11">
        <v>0</v>
      </c>
      <c r="P235" s="11">
        <v>0</v>
      </c>
      <c r="Q235" s="12">
        <v>0</v>
      </c>
      <c r="R235" s="12">
        <v>0</v>
      </c>
      <c r="S235" s="12">
        <f>$G$235*$G$8+$H$235*$H$8+$I$235*$I$8+$J$235*$J$8+$K$235*$K$8+$L$235*$L$8+$M$235*$M$8+$N$235*$N$8+$O$235*$O$8+$P$235*$P$8</f>
        <v>0</v>
      </c>
      <c r="T235" s="12">
        <f>SUM($Q$235:$R$235)</f>
        <v>0</v>
      </c>
      <c r="U235" s="12">
        <f>$S$235+$T$235</f>
        <v>0</v>
      </c>
    </row>
    <row r="236" spans="1:21" x14ac:dyDescent="0.3">
      <c r="A236" s="13" t="s">
        <v>870</v>
      </c>
      <c r="B236" s="14" t="s">
        <v>871</v>
      </c>
      <c r="C236" s="14" t="s">
        <v>243</v>
      </c>
      <c r="D236" s="14" t="s">
        <v>399</v>
      </c>
      <c r="E236" s="14">
        <f xml:space="preserve"> IF($U$236,1,0)</f>
        <v>0</v>
      </c>
      <c r="F236" s="14" t="s">
        <v>872</v>
      </c>
      <c r="G236" s="14">
        <v>0</v>
      </c>
      <c r="H236" s="14">
        <v>0</v>
      </c>
      <c r="I236" s="14">
        <v>0</v>
      </c>
      <c r="J236" s="14">
        <v>0</v>
      </c>
      <c r="K236" s="14">
        <v>0</v>
      </c>
      <c r="L236" s="14">
        <v>0</v>
      </c>
      <c r="M236" s="14">
        <v>0</v>
      </c>
      <c r="N236" s="14">
        <v>0</v>
      </c>
      <c r="O236" s="14">
        <v>0</v>
      </c>
      <c r="P236" s="14">
        <v>0</v>
      </c>
      <c r="Q236" s="15">
        <v>0</v>
      </c>
      <c r="R236" s="15">
        <v>0</v>
      </c>
      <c r="S236" s="15">
        <f>$G$236*$G$8+$H$236*$H$8+$I$236*$I$8+$J$236*$J$8+$K$236*$K$8+$L$236*$L$8+$M$236*$M$8+$N$236*$N$8+$O$236*$O$8+$P$236*$P$8</f>
        <v>0</v>
      </c>
      <c r="T236" s="15">
        <f>SUM($Q$236:$R$236)</f>
        <v>0</v>
      </c>
      <c r="U236" s="15">
        <f>$S$236+$T$236</f>
        <v>0</v>
      </c>
    </row>
    <row r="237" spans="1:21" x14ac:dyDescent="0.3">
      <c r="A237" s="10" t="s">
        <v>873</v>
      </c>
      <c r="B237" s="11" t="s">
        <v>874</v>
      </c>
      <c r="C237" s="11"/>
      <c r="D237" s="11" t="s">
        <v>875</v>
      </c>
      <c r="E237" s="11">
        <f xml:space="preserve"> IF($U$237,1,0)</f>
        <v>0</v>
      </c>
      <c r="F237" s="11" t="s">
        <v>876</v>
      </c>
      <c r="G237" s="11">
        <v>0</v>
      </c>
      <c r="H237" s="11">
        <v>0</v>
      </c>
      <c r="I237" s="11">
        <v>0</v>
      </c>
      <c r="J237" s="11">
        <v>0</v>
      </c>
      <c r="K237" s="11">
        <v>0</v>
      </c>
      <c r="L237" s="11">
        <v>0</v>
      </c>
      <c r="M237" s="11">
        <v>0</v>
      </c>
      <c r="N237" s="11">
        <v>0</v>
      </c>
      <c r="O237" s="11">
        <v>0</v>
      </c>
      <c r="P237" s="11">
        <v>0</v>
      </c>
      <c r="Q237" s="12">
        <v>0</v>
      </c>
      <c r="R237" s="12">
        <v>0</v>
      </c>
      <c r="S237" s="12">
        <f>$G$237*$G$8+$H$237*$H$8+$I$237*$I$8+$J$237*$J$8+$K$237*$K$8+$L$237*$L$8+$M$237*$M$8+$N$237*$N$8+$O$237*$O$8+$P$237*$P$8</f>
        <v>0</v>
      </c>
      <c r="T237" s="12">
        <f>SUM($Q$237:$R$237)</f>
        <v>0</v>
      </c>
      <c r="U237" s="12">
        <f>$S$237+$T$237</f>
        <v>0</v>
      </c>
    </row>
    <row r="238" spans="1:21" x14ac:dyDescent="0.3">
      <c r="A238" s="13" t="s">
        <v>877</v>
      </c>
      <c r="B238" s="14" t="s">
        <v>878</v>
      </c>
      <c r="C238" s="14"/>
      <c r="D238" s="14" t="s">
        <v>879</v>
      </c>
      <c r="E238" s="14">
        <f xml:space="preserve"> IF($U$238,1,0)</f>
        <v>0</v>
      </c>
      <c r="F238" s="14" t="s">
        <v>880</v>
      </c>
      <c r="G238" s="14">
        <v>0</v>
      </c>
      <c r="H238" s="14">
        <v>0</v>
      </c>
      <c r="I238" s="14">
        <v>0</v>
      </c>
      <c r="J238" s="14">
        <v>0</v>
      </c>
      <c r="K238" s="14">
        <v>0</v>
      </c>
      <c r="L238" s="14">
        <v>0</v>
      </c>
      <c r="M238" s="14">
        <v>0</v>
      </c>
      <c r="N238" s="14">
        <v>0</v>
      </c>
      <c r="O238" s="14">
        <v>0</v>
      </c>
      <c r="P238" s="14">
        <v>0</v>
      </c>
      <c r="Q238" s="15">
        <v>0</v>
      </c>
      <c r="R238" s="15">
        <v>0</v>
      </c>
      <c r="S238" s="15">
        <f>$G$238*$G$8+$H$238*$H$8+$I$238*$I$8+$J$238*$J$8+$K$238*$K$8+$L$238*$L$8+$M$238*$M$8+$N$238*$N$8+$O$238*$O$8+$P$238*$P$8</f>
        <v>0</v>
      </c>
      <c r="T238" s="15">
        <f>SUM($Q$238:$R$238)</f>
        <v>0</v>
      </c>
      <c r="U238" s="15">
        <f>$S$238+$T$238</f>
        <v>0</v>
      </c>
    </row>
    <row r="239" spans="1:21" x14ac:dyDescent="0.3">
      <c r="A239" s="10" t="s">
        <v>881</v>
      </c>
      <c r="B239" s="11" t="s">
        <v>882</v>
      </c>
      <c r="C239" s="11"/>
      <c r="D239" s="11" t="s">
        <v>883</v>
      </c>
      <c r="E239" s="11">
        <f xml:space="preserve"> IF($U$239,1,0)</f>
        <v>0</v>
      </c>
      <c r="F239" s="11" t="s">
        <v>884</v>
      </c>
      <c r="G239" s="11">
        <v>0</v>
      </c>
      <c r="H239" s="11">
        <v>0</v>
      </c>
      <c r="I239" s="11">
        <v>0</v>
      </c>
      <c r="J239" s="11">
        <v>0</v>
      </c>
      <c r="K239" s="11">
        <v>0</v>
      </c>
      <c r="L239" s="11">
        <v>0</v>
      </c>
      <c r="M239" s="11">
        <v>0</v>
      </c>
      <c r="N239" s="11">
        <v>0</v>
      </c>
      <c r="O239" s="11">
        <v>0</v>
      </c>
      <c r="P239" s="11">
        <v>0</v>
      </c>
      <c r="Q239" s="12">
        <v>0</v>
      </c>
      <c r="R239" s="12">
        <v>0</v>
      </c>
      <c r="S239" s="12">
        <f>$G$239*$G$8+$H$239*$H$8+$I$239*$I$8+$J$239*$J$8+$K$239*$K$8+$L$239*$L$8+$M$239*$M$8+$N$239*$N$8+$O$239*$O$8+$P$239*$P$8</f>
        <v>0</v>
      </c>
      <c r="T239" s="12">
        <f>SUM($Q$239:$R$239)</f>
        <v>0</v>
      </c>
      <c r="U239" s="12">
        <f>$S$239+$T$239</f>
        <v>0</v>
      </c>
    </row>
    <row r="240" spans="1:21" x14ac:dyDescent="0.3">
      <c r="A240" s="13" t="s">
        <v>885</v>
      </c>
      <c r="B240" s="14" t="s">
        <v>886</v>
      </c>
      <c r="C240" s="14" t="s">
        <v>887</v>
      </c>
      <c r="D240" s="14" t="s">
        <v>888</v>
      </c>
      <c r="E240" s="14">
        <f xml:space="preserve"> IF($U$240,1,0)</f>
        <v>0</v>
      </c>
      <c r="F240" s="14" t="s">
        <v>889</v>
      </c>
      <c r="G240" s="14">
        <v>0</v>
      </c>
      <c r="H240" s="14">
        <v>0</v>
      </c>
      <c r="I240" s="14">
        <v>0</v>
      </c>
      <c r="J240" s="14">
        <v>0</v>
      </c>
      <c r="K240" s="14">
        <v>0</v>
      </c>
      <c r="L240" s="14">
        <v>0</v>
      </c>
      <c r="M240" s="14">
        <v>0</v>
      </c>
      <c r="N240" s="14">
        <v>0</v>
      </c>
      <c r="O240" s="14">
        <v>0</v>
      </c>
      <c r="P240" s="14">
        <v>0</v>
      </c>
      <c r="Q240" s="15">
        <v>0</v>
      </c>
      <c r="R240" s="15">
        <v>0</v>
      </c>
      <c r="S240" s="15">
        <f>$G$240*$G$8+$H$240*$H$8+$I$240*$I$8+$J$240*$J$8+$K$240*$K$8+$L$240*$L$8+$M$240*$M$8+$N$240*$N$8+$O$240*$O$8+$P$240*$P$8</f>
        <v>0</v>
      </c>
      <c r="T240" s="15">
        <f>SUM($Q$240:$R$240)</f>
        <v>0</v>
      </c>
      <c r="U240" s="15">
        <f>$S$240+$T$240</f>
        <v>0</v>
      </c>
    </row>
    <row r="241" spans="1:21" x14ac:dyDescent="0.3">
      <c r="A241" s="10" t="s">
        <v>890</v>
      </c>
      <c r="B241" s="11" t="s">
        <v>886</v>
      </c>
      <c r="C241" s="11"/>
      <c r="D241" s="11" t="s">
        <v>891</v>
      </c>
      <c r="E241" s="11">
        <f xml:space="preserve"> IF($U$241,1,0)</f>
        <v>0</v>
      </c>
      <c r="F241" s="11" t="s">
        <v>892</v>
      </c>
      <c r="G241" s="11">
        <v>0</v>
      </c>
      <c r="H241" s="11">
        <v>0</v>
      </c>
      <c r="I241" s="11">
        <v>0</v>
      </c>
      <c r="J241" s="11">
        <v>0</v>
      </c>
      <c r="K241" s="11">
        <v>0</v>
      </c>
      <c r="L241" s="11">
        <v>0</v>
      </c>
      <c r="M241" s="11">
        <v>0</v>
      </c>
      <c r="N241" s="11">
        <v>0</v>
      </c>
      <c r="O241" s="11">
        <v>0</v>
      </c>
      <c r="P241" s="11">
        <v>0</v>
      </c>
      <c r="Q241" s="12">
        <v>0</v>
      </c>
      <c r="R241" s="12">
        <v>0</v>
      </c>
      <c r="S241" s="12">
        <f>$G$241*$G$8+$H$241*$H$8+$I$241*$I$8+$J$241*$J$8+$K$241*$K$8+$L$241*$L$8+$M$241*$M$8+$N$241*$N$8+$O$241*$O$8+$P$241*$P$8</f>
        <v>0</v>
      </c>
      <c r="T241" s="12">
        <f>SUM($Q$241:$R$241)</f>
        <v>0</v>
      </c>
      <c r="U241" s="12">
        <f>$S$241+$T$241</f>
        <v>0</v>
      </c>
    </row>
    <row r="242" spans="1:21" x14ac:dyDescent="0.3">
      <c r="A242" s="13" t="s">
        <v>893</v>
      </c>
      <c r="B242" s="14" t="s">
        <v>894</v>
      </c>
      <c r="C242" s="14"/>
      <c r="D242" s="14" t="s">
        <v>895</v>
      </c>
      <c r="E242" s="14">
        <f xml:space="preserve"> IF($U$242,1,0)</f>
        <v>0</v>
      </c>
      <c r="F242" s="14" t="s">
        <v>896</v>
      </c>
      <c r="G242" s="14">
        <v>0</v>
      </c>
      <c r="H242" s="14">
        <v>0</v>
      </c>
      <c r="I242" s="14">
        <v>0</v>
      </c>
      <c r="J242" s="14">
        <v>0</v>
      </c>
      <c r="K242" s="14">
        <v>0</v>
      </c>
      <c r="L242" s="14">
        <v>0</v>
      </c>
      <c r="M242" s="14">
        <v>0</v>
      </c>
      <c r="N242" s="14">
        <v>0</v>
      </c>
      <c r="O242" s="14">
        <v>0</v>
      </c>
      <c r="P242" s="14">
        <v>0</v>
      </c>
      <c r="Q242" s="15">
        <v>0</v>
      </c>
      <c r="R242" s="15">
        <v>0</v>
      </c>
      <c r="S242" s="15">
        <f>$G$242*$G$8+$H$242*$H$8+$I$242*$I$8+$J$242*$J$8+$K$242*$K$8+$L$242*$L$8+$M$242*$M$8+$N$242*$N$8+$O$242*$O$8+$P$242*$P$8</f>
        <v>0</v>
      </c>
      <c r="T242" s="15">
        <f>SUM($Q$242:$R$242)</f>
        <v>0</v>
      </c>
      <c r="U242" s="15">
        <f>$S$242+$T$242</f>
        <v>0</v>
      </c>
    </row>
    <row r="243" spans="1:21" x14ac:dyDescent="0.3">
      <c r="A243" s="10" t="s">
        <v>1290</v>
      </c>
      <c r="B243" s="11" t="s">
        <v>1291</v>
      </c>
      <c r="C243" s="11"/>
      <c r="D243" s="11" t="s">
        <v>1292</v>
      </c>
      <c r="E243" s="11">
        <f xml:space="preserve"> IF($U$243,1,0)</f>
        <v>0</v>
      </c>
      <c r="F243" s="11" t="s">
        <v>1293</v>
      </c>
      <c r="G243" s="11">
        <v>0</v>
      </c>
      <c r="H243" s="11">
        <v>0</v>
      </c>
      <c r="I243" s="11">
        <v>0</v>
      </c>
      <c r="J243" s="11">
        <v>0</v>
      </c>
      <c r="K243" s="11">
        <v>0</v>
      </c>
      <c r="L243" s="11">
        <v>0</v>
      </c>
      <c r="M243" s="11">
        <v>0</v>
      </c>
      <c r="N243" s="11">
        <v>0</v>
      </c>
      <c r="O243" s="11">
        <v>0</v>
      </c>
      <c r="P243" s="11">
        <v>0</v>
      </c>
      <c r="Q243" s="12">
        <v>0</v>
      </c>
      <c r="R243" s="12">
        <v>0</v>
      </c>
      <c r="S243" s="12">
        <f>$G$243*$G$8+$H$243*$H$8+$I$243*$I$8+$J$243*$J$8+$K$243*$K$8+$L$243*$L$8+$M$243*$M$8+$N$243*$N$8+$O$243*$O$8+$P$243*$P$8</f>
        <v>0</v>
      </c>
      <c r="T243" s="12">
        <f>SUM($Q$243:$R$243)</f>
        <v>0</v>
      </c>
      <c r="U243" s="12">
        <f>$S$243+$T$243</f>
        <v>0</v>
      </c>
    </row>
    <row r="244" spans="1:21" x14ac:dyDescent="0.3">
      <c r="A244" s="13" t="s">
        <v>897</v>
      </c>
      <c r="B244" s="14" t="s">
        <v>898</v>
      </c>
      <c r="C244" s="14"/>
      <c r="D244" s="14" t="s">
        <v>899</v>
      </c>
      <c r="E244" s="14">
        <f xml:space="preserve"> IF($U$244,1,0)</f>
        <v>0</v>
      </c>
      <c r="F244" s="14" t="s">
        <v>900</v>
      </c>
      <c r="G244" s="14">
        <v>0</v>
      </c>
      <c r="H244" s="14">
        <v>0</v>
      </c>
      <c r="I244" s="14">
        <v>0</v>
      </c>
      <c r="J244" s="14">
        <v>0</v>
      </c>
      <c r="K244" s="14">
        <v>0</v>
      </c>
      <c r="L244" s="14">
        <v>0</v>
      </c>
      <c r="M244" s="14">
        <v>0</v>
      </c>
      <c r="N244" s="14">
        <v>0</v>
      </c>
      <c r="O244" s="14">
        <v>0</v>
      </c>
      <c r="P244" s="14">
        <v>0</v>
      </c>
      <c r="Q244" s="15">
        <v>0</v>
      </c>
      <c r="R244" s="15">
        <v>0</v>
      </c>
      <c r="S244" s="15">
        <f>$G$244*$G$8+$H$244*$H$8+$I$244*$I$8+$J$244*$J$8+$K$244*$K$8+$L$244*$L$8+$M$244*$M$8+$N$244*$N$8+$O$244*$O$8+$P$244*$P$8</f>
        <v>0</v>
      </c>
      <c r="T244" s="15">
        <f>SUM($Q$244:$R$244)</f>
        <v>0</v>
      </c>
      <c r="U244" s="15">
        <f>$S$244+$T$244</f>
        <v>0</v>
      </c>
    </row>
    <row r="245" spans="1:21" x14ac:dyDescent="0.3">
      <c r="A245" s="10" t="s">
        <v>901</v>
      </c>
      <c r="B245" s="11" t="s">
        <v>902</v>
      </c>
      <c r="C245" s="11"/>
      <c r="D245" s="11" t="s">
        <v>903</v>
      </c>
      <c r="E245" s="11">
        <f xml:space="preserve"> IF($U$245,1,0)</f>
        <v>0</v>
      </c>
      <c r="F245" s="11" t="s">
        <v>904</v>
      </c>
      <c r="G245" s="11">
        <v>0</v>
      </c>
      <c r="H245" s="11">
        <v>0</v>
      </c>
      <c r="I245" s="11">
        <v>0</v>
      </c>
      <c r="J245" s="11">
        <v>0</v>
      </c>
      <c r="K245" s="11">
        <v>0</v>
      </c>
      <c r="L245" s="11">
        <v>0</v>
      </c>
      <c r="M245" s="11">
        <v>0</v>
      </c>
      <c r="N245" s="11">
        <v>0</v>
      </c>
      <c r="O245" s="11">
        <v>0</v>
      </c>
      <c r="P245" s="11">
        <v>0</v>
      </c>
      <c r="Q245" s="12">
        <v>0</v>
      </c>
      <c r="R245" s="12">
        <v>0</v>
      </c>
      <c r="S245" s="12">
        <f>$G$245*$G$8+$H$245*$H$8+$I$245*$I$8+$J$245*$J$8+$K$245*$K$8+$L$245*$L$8+$M$245*$M$8+$N$245*$N$8+$O$245*$O$8+$P$245*$P$8</f>
        <v>0</v>
      </c>
      <c r="T245" s="12">
        <f>SUM($Q$245:$R$245)</f>
        <v>0</v>
      </c>
      <c r="U245" s="12">
        <f>$S$245+$T$245</f>
        <v>0</v>
      </c>
    </row>
    <row r="246" spans="1:21" x14ac:dyDescent="0.3">
      <c r="A246" s="13" t="s">
        <v>905</v>
      </c>
      <c r="B246" s="14" t="s">
        <v>906</v>
      </c>
      <c r="C246" s="14" t="s">
        <v>283</v>
      </c>
      <c r="D246" s="14" t="s">
        <v>296</v>
      </c>
      <c r="E246" s="14">
        <f xml:space="preserve"> IF($U$246,1,0)</f>
        <v>0</v>
      </c>
      <c r="F246" s="14" t="s">
        <v>907</v>
      </c>
      <c r="G246" s="14">
        <v>0</v>
      </c>
      <c r="H246" s="14">
        <v>0</v>
      </c>
      <c r="I246" s="14">
        <v>0</v>
      </c>
      <c r="J246" s="14">
        <v>0</v>
      </c>
      <c r="K246" s="14">
        <v>0</v>
      </c>
      <c r="L246" s="14">
        <v>0</v>
      </c>
      <c r="M246" s="14">
        <v>0</v>
      </c>
      <c r="N246" s="14">
        <v>0</v>
      </c>
      <c r="O246" s="14">
        <v>0</v>
      </c>
      <c r="P246" s="14">
        <v>0</v>
      </c>
      <c r="Q246" s="15">
        <v>0</v>
      </c>
      <c r="R246" s="15">
        <v>0</v>
      </c>
      <c r="S246" s="15">
        <f>$G$246*$G$8+$H$246*$H$8+$I$246*$I$8+$J$246*$J$8+$K$246*$K$8+$L$246*$L$8+$M$246*$M$8+$N$246*$N$8+$O$246*$O$8+$P$246*$P$8</f>
        <v>0</v>
      </c>
      <c r="T246" s="15">
        <f>SUM($Q$246:$R$246)</f>
        <v>0</v>
      </c>
      <c r="U246" s="15">
        <f>$S$246+$T$246</f>
        <v>0</v>
      </c>
    </row>
    <row r="247" spans="1:21" x14ac:dyDescent="0.3">
      <c r="A247" s="10" t="s">
        <v>908</v>
      </c>
      <c r="B247" s="11" t="s">
        <v>909</v>
      </c>
      <c r="C247" s="11"/>
      <c r="D247" s="11" t="s">
        <v>910</v>
      </c>
      <c r="E247" s="11">
        <f xml:space="preserve"> IF($U$247,1,0)</f>
        <v>0</v>
      </c>
      <c r="F247" s="11" t="s">
        <v>911</v>
      </c>
      <c r="G247" s="11">
        <v>0</v>
      </c>
      <c r="H247" s="11">
        <v>0</v>
      </c>
      <c r="I247" s="11">
        <v>0</v>
      </c>
      <c r="J247" s="11">
        <v>0</v>
      </c>
      <c r="K247" s="11">
        <v>0</v>
      </c>
      <c r="L247" s="11">
        <v>0</v>
      </c>
      <c r="M247" s="11">
        <v>0</v>
      </c>
      <c r="N247" s="11">
        <v>0</v>
      </c>
      <c r="O247" s="11">
        <v>0</v>
      </c>
      <c r="P247" s="11">
        <v>0</v>
      </c>
      <c r="Q247" s="12">
        <v>0</v>
      </c>
      <c r="R247" s="12">
        <v>0</v>
      </c>
      <c r="S247" s="12">
        <f>$G$247*$G$8+$H$247*$H$8+$I$247*$I$8+$J$247*$J$8+$K$247*$K$8+$L$247*$L$8+$M$247*$M$8+$N$247*$N$8+$O$247*$O$8+$P$247*$P$8</f>
        <v>0</v>
      </c>
      <c r="T247" s="12">
        <f>SUM($Q$247:$R$247)</f>
        <v>0</v>
      </c>
      <c r="U247" s="12">
        <f>$S$247+$T$247</f>
        <v>0</v>
      </c>
    </row>
    <row r="248" spans="1:21" x14ac:dyDescent="0.3">
      <c r="A248" s="13" t="s">
        <v>912</v>
      </c>
      <c r="B248" s="14" t="s">
        <v>913</v>
      </c>
      <c r="C248" s="14" t="s">
        <v>65</v>
      </c>
      <c r="D248" s="14" t="s">
        <v>914</v>
      </c>
      <c r="E248" s="14">
        <f xml:space="preserve"> IF($U$248,1,0)</f>
        <v>0</v>
      </c>
      <c r="F248" s="14" t="s">
        <v>915</v>
      </c>
      <c r="G248" s="14">
        <v>0</v>
      </c>
      <c r="H248" s="14">
        <v>0</v>
      </c>
      <c r="I248" s="14">
        <v>0</v>
      </c>
      <c r="J248" s="14">
        <v>0</v>
      </c>
      <c r="K248" s="14">
        <v>0</v>
      </c>
      <c r="L248" s="14">
        <v>0</v>
      </c>
      <c r="M248" s="14">
        <v>0</v>
      </c>
      <c r="N248" s="14">
        <v>0</v>
      </c>
      <c r="O248" s="14">
        <v>0</v>
      </c>
      <c r="P248" s="14">
        <v>0</v>
      </c>
      <c r="Q248" s="15">
        <v>0</v>
      </c>
      <c r="R248" s="15">
        <v>0</v>
      </c>
      <c r="S248" s="15">
        <f>$G$248*$G$8+$H$248*$H$8+$I$248*$I$8+$J$248*$J$8+$K$248*$K$8+$L$248*$L$8+$M$248*$M$8+$N$248*$N$8+$O$248*$O$8+$P$248*$P$8</f>
        <v>0</v>
      </c>
      <c r="T248" s="15">
        <f>SUM($Q$248:$R$248)</f>
        <v>0</v>
      </c>
      <c r="U248" s="15">
        <f>$S$248+$T$248</f>
        <v>0</v>
      </c>
    </row>
    <row r="249" spans="1:21" x14ac:dyDescent="0.3">
      <c r="A249" s="10" t="s">
        <v>916</v>
      </c>
      <c r="B249" s="11" t="s">
        <v>917</v>
      </c>
      <c r="C249" s="11"/>
      <c r="D249" s="11" t="s">
        <v>918</v>
      </c>
      <c r="E249" s="11">
        <f xml:space="preserve"> IF($U$249,1,0)</f>
        <v>0</v>
      </c>
      <c r="F249" s="11" t="s">
        <v>919</v>
      </c>
      <c r="G249" s="11">
        <v>0</v>
      </c>
      <c r="H249" s="11">
        <v>0</v>
      </c>
      <c r="I249" s="11">
        <v>0</v>
      </c>
      <c r="J249" s="11">
        <v>0</v>
      </c>
      <c r="K249" s="11">
        <v>0</v>
      </c>
      <c r="L249" s="11">
        <v>0</v>
      </c>
      <c r="M249" s="11">
        <v>0</v>
      </c>
      <c r="N249" s="11">
        <v>0</v>
      </c>
      <c r="O249" s="11">
        <v>0</v>
      </c>
      <c r="P249" s="11">
        <v>0</v>
      </c>
      <c r="Q249" s="12">
        <v>0</v>
      </c>
      <c r="R249" s="12">
        <v>0</v>
      </c>
      <c r="S249" s="12">
        <f>$G$249*$G$8+$H$249*$H$8+$I$249*$I$8+$J$249*$J$8+$K$249*$K$8+$L$249*$L$8+$M$249*$M$8+$N$249*$N$8+$O$249*$O$8+$P$249*$P$8</f>
        <v>0</v>
      </c>
      <c r="T249" s="12">
        <f>SUM($Q$249:$R$249)</f>
        <v>0</v>
      </c>
      <c r="U249" s="12">
        <f>$S$249+$T$249</f>
        <v>0</v>
      </c>
    </row>
    <row r="250" spans="1:21" x14ac:dyDescent="0.3">
      <c r="A250" s="13" t="s">
        <v>920</v>
      </c>
      <c r="B250" s="14" t="s">
        <v>917</v>
      </c>
      <c r="C250" s="14"/>
      <c r="D250" s="14" t="s">
        <v>921</v>
      </c>
      <c r="E250" s="14">
        <f xml:space="preserve"> IF($U$250,1,0)</f>
        <v>0</v>
      </c>
      <c r="F250" s="14" t="s">
        <v>922</v>
      </c>
      <c r="G250" s="14">
        <v>0</v>
      </c>
      <c r="H250" s="14">
        <v>0</v>
      </c>
      <c r="I250" s="14">
        <v>0</v>
      </c>
      <c r="J250" s="14">
        <v>0</v>
      </c>
      <c r="K250" s="14">
        <v>0</v>
      </c>
      <c r="L250" s="14">
        <v>0</v>
      </c>
      <c r="M250" s="14">
        <v>0</v>
      </c>
      <c r="N250" s="14">
        <v>0</v>
      </c>
      <c r="O250" s="14">
        <v>0</v>
      </c>
      <c r="P250" s="14">
        <v>0</v>
      </c>
      <c r="Q250" s="15">
        <v>0</v>
      </c>
      <c r="R250" s="15">
        <v>0</v>
      </c>
      <c r="S250" s="15">
        <f>$G$250*$G$8+$H$250*$H$8+$I$250*$I$8+$J$250*$J$8+$K$250*$K$8+$L$250*$L$8+$M$250*$M$8+$N$250*$N$8+$O$250*$O$8+$P$250*$P$8</f>
        <v>0</v>
      </c>
      <c r="T250" s="15">
        <f>SUM($Q$250:$R$250)</f>
        <v>0</v>
      </c>
      <c r="U250" s="15">
        <f>$S$250+$T$250</f>
        <v>0</v>
      </c>
    </row>
    <row r="251" spans="1:21" x14ac:dyDescent="0.3">
      <c r="A251" s="10" t="s">
        <v>923</v>
      </c>
      <c r="B251" s="11" t="s">
        <v>917</v>
      </c>
      <c r="C251" s="11" t="s">
        <v>34</v>
      </c>
      <c r="D251" s="11" t="s">
        <v>924</v>
      </c>
      <c r="E251" s="11">
        <f xml:space="preserve"> IF($U$251,1,0)</f>
        <v>0</v>
      </c>
      <c r="F251" s="11" t="s">
        <v>925</v>
      </c>
      <c r="G251" s="11">
        <v>0</v>
      </c>
      <c r="H251" s="11">
        <v>0</v>
      </c>
      <c r="I251" s="11">
        <v>0</v>
      </c>
      <c r="J251" s="11">
        <v>0</v>
      </c>
      <c r="K251" s="11">
        <v>0</v>
      </c>
      <c r="L251" s="11">
        <v>0</v>
      </c>
      <c r="M251" s="11">
        <v>0</v>
      </c>
      <c r="N251" s="11">
        <v>0</v>
      </c>
      <c r="O251" s="11">
        <v>0</v>
      </c>
      <c r="P251" s="11">
        <v>0</v>
      </c>
      <c r="Q251" s="12">
        <v>0</v>
      </c>
      <c r="R251" s="12">
        <v>0</v>
      </c>
      <c r="S251" s="12">
        <f>$G$251*$G$8+$H$251*$H$8+$I$251*$I$8+$J$251*$J$8+$K$251*$K$8+$L$251*$L$8+$M$251*$M$8+$N$251*$N$8+$O$251*$O$8+$P$251*$P$8</f>
        <v>0</v>
      </c>
      <c r="T251" s="12">
        <f>SUM($Q$251:$R$251)</f>
        <v>0</v>
      </c>
      <c r="U251" s="12">
        <f>$S$251+$T$251</f>
        <v>0</v>
      </c>
    </row>
    <row r="252" spans="1:21" x14ac:dyDescent="0.3">
      <c r="A252" s="13" t="s">
        <v>926</v>
      </c>
      <c r="B252" s="14" t="s">
        <v>927</v>
      </c>
      <c r="C252" s="14"/>
      <c r="D252" s="14" t="s">
        <v>928</v>
      </c>
      <c r="E252" s="14">
        <f xml:space="preserve"> IF($U$252,1,0)</f>
        <v>0</v>
      </c>
      <c r="F252" s="14" t="s">
        <v>929</v>
      </c>
      <c r="G252" s="14">
        <v>0</v>
      </c>
      <c r="H252" s="14">
        <v>0</v>
      </c>
      <c r="I252" s="14">
        <v>0</v>
      </c>
      <c r="J252" s="14">
        <v>0</v>
      </c>
      <c r="K252" s="14">
        <v>0</v>
      </c>
      <c r="L252" s="14">
        <v>0</v>
      </c>
      <c r="M252" s="14">
        <v>0</v>
      </c>
      <c r="N252" s="14">
        <v>0</v>
      </c>
      <c r="O252" s="14">
        <v>0</v>
      </c>
      <c r="P252" s="14">
        <v>0</v>
      </c>
      <c r="Q252" s="15">
        <v>0</v>
      </c>
      <c r="R252" s="15">
        <v>0</v>
      </c>
      <c r="S252" s="15">
        <f>$G$252*$G$8+$H$252*$H$8+$I$252*$I$8+$J$252*$J$8+$K$252*$K$8+$L$252*$L$8+$M$252*$M$8+$N$252*$N$8+$O$252*$O$8+$P$252*$P$8</f>
        <v>0</v>
      </c>
      <c r="T252" s="15">
        <f>SUM($Q$252:$R$252)</f>
        <v>0</v>
      </c>
      <c r="U252" s="15">
        <f>$S$252+$T$252</f>
        <v>0</v>
      </c>
    </row>
    <row r="253" spans="1:21" x14ac:dyDescent="0.3">
      <c r="A253" s="10" t="s">
        <v>930</v>
      </c>
      <c r="B253" s="11" t="s">
        <v>931</v>
      </c>
      <c r="C253" s="11"/>
      <c r="D253" s="11" t="s">
        <v>932</v>
      </c>
      <c r="E253" s="11">
        <f xml:space="preserve"> IF($U$253,1,0)</f>
        <v>0</v>
      </c>
      <c r="F253" s="11" t="s">
        <v>933</v>
      </c>
      <c r="G253" s="11">
        <v>0</v>
      </c>
      <c r="H253" s="11">
        <v>0</v>
      </c>
      <c r="I253" s="11">
        <v>0</v>
      </c>
      <c r="J253" s="11">
        <v>0</v>
      </c>
      <c r="K253" s="11">
        <v>0</v>
      </c>
      <c r="L253" s="11">
        <v>0</v>
      </c>
      <c r="M253" s="11">
        <v>0</v>
      </c>
      <c r="N253" s="11">
        <v>0</v>
      </c>
      <c r="O253" s="11">
        <v>0</v>
      </c>
      <c r="P253" s="11">
        <v>0</v>
      </c>
      <c r="Q253" s="12">
        <v>0</v>
      </c>
      <c r="R253" s="12">
        <v>0</v>
      </c>
      <c r="S253" s="12">
        <f>$G$253*$G$8+$H$253*$H$8+$I$253*$I$8+$J$253*$J$8+$K$253*$K$8+$L$253*$L$8+$M$253*$M$8+$N$253*$N$8+$O$253*$O$8+$P$253*$P$8</f>
        <v>0</v>
      </c>
      <c r="T253" s="12">
        <f>SUM($Q$253:$R$253)</f>
        <v>0</v>
      </c>
      <c r="U253" s="12">
        <f>$S$253+$T$253</f>
        <v>0</v>
      </c>
    </row>
    <row r="254" spans="1:21" x14ac:dyDescent="0.3">
      <c r="A254" s="13" t="s">
        <v>934</v>
      </c>
      <c r="B254" s="14" t="s">
        <v>935</v>
      </c>
      <c r="C254" s="14"/>
      <c r="D254" s="14" t="s">
        <v>936</v>
      </c>
      <c r="E254" s="14">
        <f xml:space="preserve"> IF($U$254,1,0)</f>
        <v>0</v>
      </c>
      <c r="F254" s="14" t="s">
        <v>937</v>
      </c>
      <c r="G254" s="14">
        <v>0</v>
      </c>
      <c r="H254" s="14">
        <v>0</v>
      </c>
      <c r="I254" s="14">
        <v>0</v>
      </c>
      <c r="J254" s="14">
        <v>0</v>
      </c>
      <c r="K254" s="14">
        <v>0</v>
      </c>
      <c r="L254" s="14">
        <v>0</v>
      </c>
      <c r="M254" s="14">
        <v>0</v>
      </c>
      <c r="N254" s="14">
        <v>0</v>
      </c>
      <c r="O254" s="14">
        <v>0</v>
      </c>
      <c r="P254" s="14">
        <v>0</v>
      </c>
      <c r="Q254" s="15">
        <v>0</v>
      </c>
      <c r="R254" s="15">
        <v>0</v>
      </c>
      <c r="S254" s="15">
        <f>$G$254*$G$8+$H$254*$H$8+$I$254*$I$8+$J$254*$J$8+$K$254*$K$8+$L$254*$L$8+$M$254*$M$8+$N$254*$N$8+$O$254*$O$8+$P$254*$P$8</f>
        <v>0</v>
      </c>
      <c r="T254" s="15">
        <f>SUM($Q$254:$R$254)</f>
        <v>0</v>
      </c>
      <c r="U254" s="15">
        <f>$S$254+$T$254</f>
        <v>0</v>
      </c>
    </row>
    <row r="255" spans="1:21" x14ac:dyDescent="0.3">
      <c r="A255" s="10" t="s">
        <v>938</v>
      </c>
      <c r="B255" s="11" t="s">
        <v>939</v>
      </c>
      <c r="C255" s="11"/>
      <c r="D255" s="11" t="s">
        <v>940</v>
      </c>
      <c r="E255" s="11">
        <f xml:space="preserve"> IF($U$255,1,0)</f>
        <v>0</v>
      </c>
      <c r="F255" s="11" t="s">
        <v>941</v>
      </c>
      <c r="G255" s="11">
        <v>0</v>
      </c>
      <c r="H255" s="11">
        <v>0</v>
      </c>
      <c r="I255" s="11">
        <v>0</v>
      </c>
      <c r="J255" s="11">
        <v>0</v>
      </c>
      <c r="K255" s="11">
        <v>0</v>
      </c>
      <c r="L255" s="11">
        <v>0</v>
      </c>
      <c r="M255" s="11">
        <v>0</v>
      </c>
      <c r="N255" s="11">
        <v>0</v>
      </c>
      <c r="O255" s="11">
        <v>0</v>
      </c>
      <c r="P255" s="11">
        <v>0</v>
      </c>
      <c r="Q255" s="12">
        <v>0</v>
      </c>
      <c r="R255" s="12">
        <v>0</v>
      </c>
      <c r="S255" s="12">
        <f>$G$255*$G$8+$H$255*$H$8+$I$255*$I$8+$J$255*$J$8+$K$255*$K$8+$L$255*$L$8+$M$255*$M$8+$N$255*$N$8+$O$255*$O$8+$P$255*$P$8</f>
        <v>0</v>
      </c>
      <c r="T255" s="12">
        <f>SUM($Q$255:$R$255)</f>
        <v>0</v>
      </c>
      <c r="U255" s="12">
        <f>$S$255+$T$255</f>
        <v>0</v>
      </c>
    </row>
    <row r="256" spans="1:21" x14ac:dyDescent="0.3">
      <c r="A256" s="13" t="s">
        <v>942</v>
      </c>
      <c r="B256" s="14" t="s">
        <v>943</v>
      </c>
      <c r="C256" s="14"/>
      <c r="D256" s="14" t="s">
        <v>944</v>
      </c>
      <c r="E256" s="14">
        <f xml:space="preserve"> IF($U$256,1,0)</f>
        <v>0</v>
      </c>
      <c r="F256" s="14" t="s">
        <v>945</v>
      </c>
      <c r="G256" s="14">
        <v>0</v>
      </c>
      <c r="H256" s="14">
        <v>0</v>
      </c>
      <c r="I256" s="14">
        <v>0</v>
      </c>
      <c r="J256" s="14">
        <v>0</v>
      </c>
      <c r="K256" s="14">
        <v>0</v>
      </c>
      <c r="L256" s="14">
        <v>0</v>
      </c>
      <c r="M256" s="14">
        <v>0</v>
      </c>
      <c r="N256" s="14">
        <v>0</v>
      </c>
      <c r="O256" s="14">
        <v>0</v>
      </c>
      <c r="P256" s="14">
        <v>0</v>
      </c>
      <c r="Q256" s="15">
        <v>0</v>
      </c>
      <c r="R256" s="15">
        <v>0</v>
      </c>
      <c r="S256" s="15">
        <f>$G$256*$G$8+$H$256*$H$8+$I$256*$I$8+$J$256*$J$8+$K$256*$K$8+$L$256*$L$8+$M$256*$M$8+$N$256*$N$8+$O$256*$O$8+$P$256*$P$8</f>
        <v>0</v>
      </c>
      <c r="T256" s="15">
        <f>SUM($Q$256:$R$256)</f>
        <v>0</v>
      </c>
      <c r="U256" s="15">
        <f>$S$256+$T$256</f>
        <v>0</v>
      </c>
    </row>
    <row r="257" spans="1:21" x14ac:dyDescent="0.3">
      <c r="A257" s="10" t="s">
        <v>946</v>
      </c>
      <c r="B257" s="11" t="s">
        <v>947</v>
      </c>
      <c r="C257" s="11"/>
      <c r="D257" s="11" t="s">
        <v>948</v>
      </c>
      <c r="E257" s="11">
        <f xml:space="preserve"> IF($U$257,1,0)</f>
        <v>0</v>
      </c>
      <c r="F257" s="11" t="s">
        <v>949</v>
      </c>
      <c r="G257" s="11">
        <v>0</v>
      </c>
      <c r="H257" s="11">
        <v>0</v>
      </c>
      <c r="I257" s="11">
        <v>0</v>
      </c>
      <c r="J257" s="11">
        <v>0</v>
      </c>
      <c r="K257" s="11">
        <v>0</v>
      </c>
      <c r="L257" s="11">
        <v>0</v>
      </c>
      <c r="M257" s="11">
        <v>0</v>
      </c>
      <c r="N257" s="11">
        <v>0</v>
      </c>
      <c r="O257" s="11">
        <v>0</v>
      </c>
      <c r="P257" s="11">
        <v>0</v>
      </c>
      <c r="Q257" s="12">
        <v>0</v>
      </c>
      <c r="R257" s="12">
        <v>0</v>
      </c>
      <c r="S257" s="12">
        <f>$G$257*$G$8+$H$257*$H$8+$I$257*$I$8+$J$257*$J$8+$K$257*$K$8+$L$257*$L$8+$M$257*$M$8+$N$257*$N$8+$O$257*$O$8+$P$257*$P$8</f>
        <v>0</v>
      </c>
      <c r="T257" s="12">
        <f>SUM($Q$257:$R$257)</f>
        <v>0</v>
      </c>
      <c r="U257" s="12">
        <f>$S$257+$T$257</f>
        <v>0</v>
      </c>
    </row>
    <row r="258" spans="1:21" x14ac:dyDescent="0.3">
      <c r="A258" s="13" t="s">
        <v>950</v>
      </c>
      <c r="B258" s="14" t="s">
        <v>951</v>
      </c>
      <c r="C258" s="14" t="s">
        <v>34</v>
      </c>
      <c r="D258" s="14" t="s">
        <v>118</v>
      </c>
      <c r="E258" s="14">
        <f xml:space="preserve"> IF($U$258,1,0)</f>
        <v>0</v>
      </c>
      <c r="F258" s="14" t="s">
        <v>952</v>
      </c>
      <c r="G258" s="14">
        <v>0</v>
      </c>
      <c r="H258" s="14">
        <v>0</v>
      </c>
      <c r="I258" s="14">
        <v>0</v>
      </c>
      <c r="J258" s="14">
        <v>0</v>
      </c>
      <c r="K258" s="14">
        <v>0</v>
      </c>
      <c r="L258" s="14">
        <v>0</v>
      </c>
      <c r="M258" s="14">
        <v>0</v>
      </c>
      <c r="N258" s="14">
        <v>0</v>
      </c>
      <c r="O258" s="14">
        <v>0</v>
      </c>
      <c r="P258" s="14">
        <v>0</v>
      </c>
      <c r="Q258" s="15">
        <v>0</v>
      </c>
      <c r="R258" s="15">
        <v>0</v>
      </c>
      <c r="S258" s="15">
        <f>$G$258*$G$8+$H$258*$H$8+$I$258*$I$8+$J$258*$J$8+$K$258*$K$8+$L$258*$L$8+$M$258*$M$8+$N$258*$N$8+$O$258*$O$8+$P$258*$P$8</f>
        <v>0</v>
      </c>
      <c r="T258" s="15">
        <f>SUM($Q$258:$R$258)</f>
        <v>0</v>
      </c>
      <c r="U258" s="15">
        <f>$S$258+$T$258</f>
        <v>0</v>
      </c>
    </row>
    <row r="259" spans="1:21" x14ac:dyDescent="0.3">
      <c r="A259" s="10" t="s">
        <v>953</v>
      </c>
      <c r="B259" s="11" t="s">
        <v>954</v>
      </c>
      <c r="C259" s="11"/>
      <c r="D259" s="11" t="s">
        <v>955</v>
      </c>
      <c r="E259" s="11">
        <f xml:space="preserve"> IF($U$259,1,0)</f>
        <v>0</v>
      </c>
      <c r="F259" s="11" t="s">
        <v>956</v>
      </c>
      <c r="G259" s="11">
        <v>0</v>
      </c>
      <c r="H259" s="11">
        <v>0</v>
      </c>
      <c r="I259" s="11">
        <v>0</v>
      </c>
      <c r="J259" s="11">
        <v>0</v>
      </c>
      <c r="K259" s="11">
        <v>0</v>
      </c>
      <c r="L259" s="11">
        <v>0</v>
      </c>
      <c r="M259" s="11">
        <v>0</v>
      </c>
      <c r="N259" s="11">
        <v>0</v>
      </c>
      <c r="O259" s="11">
        <v>0</v>
      </c>
      <c r="P259" s="11">
        <v>0</v>
      </c>
      <c r="Q259" s="12">
        <v>0</v>
      </c>
      <c r="R259" s="12">
        <v>0</v>
      </c>
      <c r="S259" s="12">
        <f>$G$259*$G$8+$H$259*$H$8+$I$259*$I$8+$J$259*$J$8+$K$259*$K$8+$L$259*$L$8+$M$259*$M$8+$N$259*$N$8+$O$259*$O$8+$P$259*$P$8</f>
        <v>0</v>
      </c>
      <c r="T259" s="12">
        <f>SUM($Q$259:$R$259)</f>
        <v>0</v>
      </c>
      <c r="U259" s="12">
        <f>$S$259+$T$259</f>
        <v>0</v>
      </c>
    </row>
    <row r="260" spans="1:21" x14ac:dyDescent="0.3">
      <c r="A260" s="13" t="s">
        <v>957</v>
      </c>
      <c r="B260" s="14" t="s">
        <v>958</v>
      </c>
      <c r="C260" s="14" t="s">
        <v>65</v>
      </c>
      <c r="D260" s="14" t="s">
        <v>959</v>
      </c>
      <c r="E260" s="14">
        <f xml:space="preserve"> IF($U$260,1,0)</f>
        <v>0</v>
      </c>
      <c r="F260" s="14" t="s">
        <v>960</v>
      </c>
      <c r="G260" s="14">
        <v>0</v>
      </c>
      <c r="H260" s="14">
        <v>0</v>
      </c>
      <c r="I260" s="14">
        <v>0</v>
      </c>
      <c r="J260" s="14">
        <v>0</v>
      </c>
      <c r="K260" s="14">
        <v>0</v>
      </c>
      <c r="L260" s="14">
        <v>0</v>
      </c>
      <c r="M260" s="14">
        <v>0</v>
      </c>
      <c r="N260" s="14">
        <v>0</v>
      </c>
      <c r="O260" s="14">
        <v>0</v>
      </c>
      <c r="P260" s="14">
        <v>0</v>
      </c>
      <c r="Q260" s="15">
        <v>0</v>
      </c>
      <c r="R260" s="15">
        <v>0</v>
      </c>
      <c r="S260" s="15">
        <f>$G$260*$G$8+$H$260*$H$8+$I$260*$I$8+$J$260*$J$8+$K$260*$K$8+$L$260*$L$8+$M$260*$M$8+$N$260*$N$8+$O$260*$O$8+$P$260*$P$8</f>
        <v>0</v>
      </c>
      <c r="T260" s="15">
        <f>SUM($Q$260:$R$260)</f>
        <v>0</v>
      </c>
      <c r="U260" s="15">
        <f>$S$260+$T$260</f>
        <v>0</v>
      </c>
    </row>
    <row r="261" spans="1:21" x14ac:dyDescent="0.3">
      <c r="A261" s="10" t="s">
        <v>961</v>
      </c>
      <c r="B261" s="11" t="s">
        <v>962</v>
      </c>
      <c r="C261" s="11" t="s">
        <v>202</v>
      </c>
      <c r="D261" s="11" t="s">
        <v>963</v>
      </c>
      <c r="E261" s="11">
        <f xml:space="preserve"> IF($U$261,1,0)</f>
        <v>0</v>
      </c>
      <c r="F261" s="11" t="s">
        <v>964</v>
      </c>
      <c r="G261" s="11">
        <v>0</v>
      </c>
      <c r="H261" s="11">
        <v>0</v>
      </c>
      <c r="I261" s="11">
        <v>0</v>
      </c>
      <c r="J261" s="11">
        <v>0</v>
      </c>
      <c r="K261" s="11">
        <v>0</v>
      </c>
      <c r="L261" s="11">
        <v>0</v>
      </c>
      <c r="M261" s="11">
        <v>0</v>
      </c>
      <c r="N261" s="11">
        <v>0</v>
      </c>
      <c r="O261" s="11">
        <v>0</v>
      </c>
      <c r="P261" s="11">
        <v>0</v>
      </c>
      <c r="Q261" s="12">
        <v>0</v>
      </c>
      <c r="R261" s="12">
        <v>0</v>
      </c>
      <c r="S261" s="12">
        <f>$G$261*$G$8+$H$261*$H$8+$I$261*$I$8+$J$261*$J$8+$K$261*$K$8+$L$261*$L$8+$M$261*$M$8+$N$261*$N$8+$O$261*$O$8+$P$261*$P$8</f>
        <v>0</v>
      </c>
      <c r="T261" s="12">
        <f>SUM($Q$261:$R$261)</f>
        <v>0</v>
      </c>
      <c r="U261" s="12">
        <f>$S$261+$T$261</f>
        <v>0</v>
      </c>
    </row>
    <row r="262" spans="1:21" x14ac:dyDescent="0.3">
      <c r="A262" s="13" t="s">
        <v>965</v>
      </c>
      <c r="B262" s="14" t="s">
        <v>966</v>
      </c>
      <c r="C262" s="14"/>
      <c r="D262" s="14" t="s">
        <v>609</v>
      </c>
      <c r="E262" s="14">
        <f xml:space="preserve"> IF($U$262,1,0)</f>
        <v>0</v>
      </c>
      <c r="F262" s="14" t="s">
        <v>967</v>
      </c>
      <c r="G262" s="14">
        <v>0</v>
      </c>
      <c r="H262" s="14">
        <v>0</v>
      </c>
      <c r="I262" s="14">
        <v>0</v>
      </c>
      <c r="J262" s="14">
        <v>0</v>
      </c>
      <c r="K262" s="14">
        <v>0</v>
      </c>
      <c r="L262" s="14">
        <v>0</v>
      </c>
      <c r="M262" s="14">
        <v>0</v>
      </c>
      <c r="N262" s="14">
        <v>0</v>
      </c>
      <c r="O262" s="14">
        <v>0</v>
      </c>
      <c r="P262" s="14">
        <v>0</v>
      </c>
      <c r="Q262" s="15">
        <v>0</v>
      </c>
      <c r="R262" s="15">
        <v>0</v>
      </c>
      <c r="S262" s="15">
        <f>$G$262*$G$8+$H$262*$H$8+$I$262*$I$8+$J$262*$J$8+$K$262*$K$8+$L$262*$L$8+$M$262*$M$8+$N$262*$N$8+$O$262*$O$8+$P$262*$P$8</f>
        <v>0</v>
      </c>
      <c r="T262" s="15">
        <f>SUM($Q$262:$R$262)</f>
        <v>0</v>
      </c>
      <c r="U262" s="15">
        <f>$S$262+$T$262</f>
        <v>0</v>
      </c>
    </row>
    <row r="263" spans="1:21" x14ac:dyDescent="0.3">
      <c r="A263" s="10" t="s">
        <v>968</v>
      </c>
      <c r="B263" s="11" t="s">
        <v>969</v>
      </c>
      <c r="C263" s="11"/>
      <c r="D263" s="11" t="s">
        <v>970</v>
      </c>
      <c r="E263" s="11">
        <f xml:space="preserve"> IF($U$263,1,0)</f>
        <v>0</v>
      </c>
      <c r="F263" s="11" t="s">
        <v>971</v>
      </c>
      <c r="G263" s="11">
        <v>0</v>
      </c>
      <c r="H263" s="11">
        <v>0</v>
      </c>
      <c r="I263" s="11">
        <v>0</v>
      </c>
      <c r="J263" s="11">
        <v>0</v>
      </c>
      <c r="K263" s="11">
        <v>0</v>
      </c>
      <c r="L263" s="11">
        <v>0</v>
      </c>
      <c r="M263" s="11">
        <v>0</v>
      </c>
      <c r="N263" s="11">
        <v>0</v>
      </c>
      <c r="O263" s="11">
        <v>0</v>
      </c>
      <c r="P263" s="11">
        <v>0</v>
      </c>
      <c r="Q263" s="12">
        <v>0</v>
      </c>
      <c r="R263" s="12">
        <v>0</v>
      </c>
      <c r="S263" s="12">
        <f>$G$263*$G$8+$H$263*$H$8+$I$263*$I$8+$J$263*$J$8+$K$263*$K$8+$L$263*$L$8+$M$263*$M$8+$N$263*$N$8+$O$263*$O$8+$P$263*$P$8</f>
        <v>0</v>
      </c>
      <c r="T263" s="12">
        <f>SUM($Q$263:$R$263)</f>
        <v>0</v>
      </c>
      <c r="U263" s="12">
        <f>$S$263+$T$263</f>
        <v>0</v>
      </c>
    </row>
    <row r="264" spans="1:21" x14ac:dyDescent="0.3">
      <c r="A264" s="13" t="s">
        <v>972</v>
      </c>
      <c r="B264" s="14" t="s">
        <v>973</v>
      </c>
      <c r="C264" s="14"/>
      <c r="D264" s="14" t="s">
        <v>974</v>
      </c>
      <c r="E264" s="14">
        <f xml:space="preserve"> IF($U$264,1,0)</f>
        <v>0</v>
      </c>
      <c r="F264" s="14" t="s">
        <v>975</v>
      </c>
      <c r="G264" s="14">
        <v>0</v>
      </c>
      <c r="H264" s="14">
        <v>0</v>
      </c>
      <c r="I264" s="14">
        <v>0</v>
      </c>
      <c r="J264" s="14">
        <v>0</v>
      </c>
      <c r="K264" s="14">
        <v>0</v>
      </c>
      <c r="L264" s="14">
        <v>0</v>
      </c>
      <c r="M264" s="14">
        <v>0</v>
      </c>
      <c r="N264" s="14">
        <v>0</v>
      </c>
      <c r="O264" s="14">
        <v>0</v>
      </c>
      <c r="P264" s="14">
        <v>0</v>
      </c>
      <c r="Q264" s="15">
        <v>0</v>
      </c>
      <c r="R264" s="15">
        <v>0</v>
      </c>
      <c r="S264" s="15">
        <f>$G$264*$G$8+$H$264*$H$8+$I$264*$I$8+$J$264*$J$8+$K$264*$K$8+$L$264*$L$8+$M$264*$M$8+$N$264*$N$8+$O$264*$O$8+$P$264*$P$8</f>
        <v>0</v>
      </c>
      <c r="T264" s="15">
        <f>SUM($Q$264:$R$264)</f>
        <v>0</v>
      </c>
      <c r="U264" s="15">
        <f>$S$264+$T$264</f>
        <v>0</v>
      </c>
    </row>
    <row r="265" spans="1:21" x14ac:dyDescent="0.3">
      <c r="A265" s="10" t="s">
        <v>976</v>
      </c>
      <c r="B265" s="11" t="s">
        <v>977</v>
      </c>
      <c r="C265" s="11"/>
      <c r="D265" s="11" t="s">
        <v>978</v>
      </c>
      <c r="E265" s="11">
        <f xml:space="preserve"> IF($U$265,1,0)</f>
        <v>0</v>
      </c>
      <c r="F265" s="11" t="s">
        <v>979</v>
      </c>
      <c r="G265" s="11">
        <v>0</v>
      </c>
      <c r="H265" s="11">
        <v>0</v>
      </c>
      <c r="I265" s="11">
        <v>0</v>
      </c>
      <c r="J265" s="11">
        <v>0</v>
      </c>
      <c r="K265" s="11">
        <v>0</v>
      </c>
      <c r="L265" s="11">
        <v>0</v>
      </c>
      <c r="M265" s="11">
        <v>0</v>
      </c>
      <c r="N265" s="11">
        <v>0</v>
      </c>
      <c r="O265" s="11">
        <v>0</v>
      </c>
      <c r="P265" s="11">
        <v>0</v>
      </c>
      <c r="Q265" s="12">
        <v>0</v>
      </c>
      <c r="R265" s="12">
        <v>0</v>
      </c>
      <c r="S265" s="12">
        <f>$G$265*$G$8+$H$265*$H$8+$I$265*$I$8+$J$265*$J$8+$K$265*$K$8+$L$265*$L$8+$M$265*$M$8+$N$265*$N$8+$O$265*$O$8+$P$265*$P$8</f>
        <v>0</v>
      </c>
      <c r="T265" s="12">
        <f>SUM($Q$265:$R$265)</f>
        <v>0</v>
      </c>
      <c r="U265" s="12">
        <f>$S$265+$T$265</f>
        <v>0</v>
      </c>
    </row>
    <row r="266" spans="1:21" x14ac:dyDescent="0.3">
      <c r="A266" s="13" t="s">
        <v>980</v>
      </c>
      <c r="B266" s="14" t="s">
        <v>981</v>
      </c>
      <c r="C266" s="14" t="s">
        <v>34</v>
      </c>
      <c r="D266" s="14" t="s">
        <v>982</v>
      </c>
      <c r="E266" s="14">
        <f xml:space="preserve"> IF($U$266,1,0)</f>
        <v>0</v>
      </c>
      <c r="F266" s="14" t="s">
        <v>983</v>
      </c>
      <c r="G266" s="14">
        <v>0</v>
      </c>
      <c r="H266" s="14">
        <v>0</v>
      </c>
      <c r="I266" s="14">
        <v>0</v>
      </c>
      <c r="J266" s="14">
        <v>0</v>
      </c>
      <c r="K266" s="14">
        <v>0</v>
      </c>
      <c r="L266" s="14">
        <v>0</v>
      </c>
      <c r="M266" s="14">
        <v>0</v>
      </c>
      <c r="N266" s="14">
        <v>0</v>
      </c>
      <c r="O266" s="14">
        <v>0</v>
      </c>
      <c r="P266" s="14">
        <v>0</v>
      </c>
      <c r="Q266" s="15">
        <v>0</v>
      </c>
      <c r="R266" s="15">
        <v>0</v>
      </c>
      <c r="S266" s="15">
        <f>$G$266*$G$8+$H$266*$H$8+$I$266*$I$8+$J$266*$J$8+$K$266*$K$8+$L$266*$L$8+$M$266*$M$8+$N$266*$N$8+$O$266*$O$8+$P$266*$P$8</f>
        <v>0</v>
      </c>
      <c r="T266" s="15">
        <f>SUM($Q$266:$R$266)</f>
        <v>0</v>
      </c>
      <c r="U266" s="15">
        <f>$S$266+$T$266</f>
        <v>0</v>
      </c>
    </row>
    <row r="267" spans="1:21" x14ac:dyDescent="0.3">
      <c r="A267" s="10" t="s">
        <v>984</v>
      </c>
      <c r="B267" s="11" t="s">
        <v>985</v>
      </c>
      <c r="C267" s="11" t="s">
        <v>202</v>
      </c>
      <c r="D267" s="11" t="s">
        <v>986</v>
      </c>
      <c r="E267" s="11">
        <f xml:space="preserve"> IF($U$267,1,0)</f>
        <v>0</v>
      </c>
      <c r="F267" s="11" t="s">
        <v>987</v>
      </c>
      <c r="G267" s="11">
        <v>0</v>
      </c>
      <c r="H267" s="11">
        <v>0</v>
      </c>
      <c r="I267" s="11">
        <v>0</v>
      </c>
      <c r="J267" s="11">
        <v>0</v>
      </c>
      <c r="K267" s="11">
        <v>0</v>
      </c>
      <c r="L267" s="11">
        <v>0</v>
      </c>
      <c r="M267" s="11">
        <v>0</v>
      </c>
      <c r="N267" s="11">
        <v>0</v>
      </c>
      <c r="O267" s="11">
        <v>0</v>
      </c>
      <c r="P267" s="11">
        <v>0</v>
      </c>
      <c r="Q267" s="12">
        <v>0</v>
      </c>
      <c r="R267" s="12">
        <v>0</v>
      </c>
      <c r="S267" s="12">
        <f>$G$267*$G$8+$H$267*$H$8+$I$267*$I$8+$J$267*$J$8+$K$267*$K$8+$L$267*$L$8+$M$267*$M$8+$N$267*$N$8+$O$267*$O$8+$P$267*$P$8</f>
        <v>0</v>
      </c>
      <c r="T267" s="12">
        <f>SUM($Q$267:$R$267)</f>
        <v>0</v>
      </c>
      <c r="U267" s="12">
        <f>$S$267+$T$267</f>
        <v>0</v>
      </c>
    </row>
    <row r="268" spans="1:21" x14ac:dyDescent="0.3">
      <c r="A268" s="13" t="s">
        <v>1261</v>
      </c>
      <c r="B268" s="14" t="s">
        <v>1262</v>
      </c>
      <c r="C268" s="14"/>
      <c r="D268" s="14" t="s">
        <v>1263</v>
      </c>
      <c r="E268" s="14">
        <f xml:space="preserve"> IF($U$268,1,0)</f>
        <v>0</v>
      </c>
      <c r="F268" s="14" t="s">
        <v>1264</v>
      </c>
      <c r="G268" s="14">
        <v>0</v>
      </c>
      <c r="H268" s="14">
        <v>0</v>
      </c>
      <c r="I268" s="14">
        <v>0</v>
      </c>
      <c r="J268" s="14">
        <v>0</v>
      </c>
      <c r="K268" s="14">
        <v>0</v>
      </c>
      <c r="L268" s="14">
        <v>0</v>
      </c>
      <c r="M268" s="14">
        <v>0</v>
      </c>
      <c r="N268" s="14">
        <v>0</v>
      </c>
      <c r="O268" s="14">
        <v>0</v>
      </c>
      <c r="P268" s="14">
        <v>0</v>
      </c>
      <c r="Q268" s="15">
        <v>0</v>
      </c>
      <c r="R268" s="15">
        <v>0</v>
      </c>
      <c r="S268" s="15">
        <f>$G$268*$G$8+$H$268*$H$8+$I$268*$I$8+$J$268*$J$8+$K$268*$K$8+$L$268*$L$8+$M$268*$M$8+$N$268*$N$8+$O$268*$O$8+$P$268*$P$8</f>
        <v>0</v>
      </c>
      <c r="T268" s="15">
        <f>SUM($Q$268:$R$268)</f>
        <v>0</v>
      </c>
      <c r="U268" s="15">
        <f>$S$268+$T$268</f>
        <v>0</v>
      </c>
    </row>
    <row r="269" spans="1:21" x14ac:dyDescent="0.3">
      <c r="A269" s="10" t="s">
        <v>988</v>
      </c>
      <c r="B269" s="11" t="s">
        <v>989</v>
      </c>
      <c r="C269" s="11" t="s">
        <v>887</v>
      </c>
      <c r="D269" s="11" t="s">
        <v>1060</v>
      </c>
      <c r="E269" s="11">
        <f xml:space="preserve"> IF($U$269,1,0)</f>
        <v>0</v>
      </c>
      <c r="F269" s="11" t="s">
        <v>1256</v>
      </c>
      <c r="G269" s="11">
        <v>0</v>
      </c>
      <c r="H269" s="11">
        <v>0</v>
      </c>
      <c r="I269" s="11">
        <v>0</v>
      </c>
      <c r="J269" s="11">
        <v>0</v>
      </c>
      <c r="K269" s="11">
        <v>0</v>
      </c>
      <c r="L269" s="11">
        <v>0</v>
      </c>
      <c r="M269" s="11">
        <v>0</v>
      </c>
      <c r="N269" s="11">
        <v>0</v>
      </c>
      <c r="O269" s="11">
        <v>0</v>
      </c>
      <c r="P269" s="11">
        <v>0</v>
      </c>
      <c r="Q269" s="12">
        <v>0</v>
      </c>
      <c r="R269" s="12">
        <v>0</v>
      </c>
      <c r="S269" s="12">
        <f>$G$269*$G$8+$H$269*$H$8+$I$269*$I$8+$J$269*$J$8+$K$269*$K$8+$L$269*$L$8+$M$269*$M$8+$N$269*$N$8+$O$269*$O$8+$P$269*$P$8</f>
        <v>0</v>
      </c>
      <c r="T269" s="12">
        <f>SUM($Q$269:$R$269)</f>
        <v>0</v>
      </c>
      <c r="U269" s="12">
        <f>$S$269+$T$269</f>
        <v>0</v>
      </c>
    </row>
    <row r="270" spans="1:21" x14ac:dyDescent="0.3">
      <c r="A270" s="13" t="s">
        <v>992</v>
      </c>
      <c r="B270" s="14" t="s">
        <v>343</v>
      </c>
      <c r="C270" s="14"/>
      <c r="D270" s="14" t="s">
        <v>1294</v>
      </c>
      <c r="E270" s="14">
        <f xml:space="preserve"> IF($U$270,1,0)</f>
        <v>0</v>
      </c>
      <c r="F270" s="14" t="s">
        <v>1295</v>
      </c>
      <c r="G270" s="14">
        <v>0</v>
      </c>
      <c r="H270" s="14">
        <v>0</v>
      </c>
      <c r="I270" s="14">
        <v>0</v>
      </c>
      <c r="J270" s="14">
        <v>0</v>
      </c>
      <c r="K270" s="14">
        <v>0</v>
      </c>
      <c r="L270" s="14">
        <v>0</v>
      </c>
      <c r="M270" s="14">
        <v>0</v>
      </c>
      <c r="N270" s="14">
        <v>0</v>
      </c>
      <c r="O270" s="14">
        <v>0</v>
      </c>
      <c r="P270" s="14">
        <v>0</v>
      </c>
      <c r="Q270" s="15">
        <v>0</v>
      </c>
      <c r="R270" s="15">
        <v>0</v>
      </c>
      <c r="S270" s="15">
        <f>$G$270*$G$8+$H$270*$H$8+$I$270*$I$8+$J$270*$J$8+$K$270*$K$8+$L$270*$L$8+$M$270*$M$8+$N$270*$N$8+$O$270*$O$8+$P$270*$P$8</f>
        <v>0</v>
      </c>
      <c r="T270" s="15">
        <f>SUM($Q$270:$R$270)</f>
        <v>0</v>
      </c>
      <c r="U270" s="15">
        <f>$S$270+$T$270</f>
        <v>0</v>
      </c>
    </row>
    <row r="271" spans="1:21" x14ac:dyDescent="0.3">
      <c r="A271" s="10" t="s">
        <v>995</v>
      </c>
      <c r="B271" s="11" t="s">
        <v>996</v>
      </c>
      <c r="C271" s="11"/>
      <c r="D271" s="11" t="s">
        <v>997</v>
      </c>
      <c r="E271" s="11">
        <f xml:space="preserve"> IF($U$271,1,0)</f>
        <v>0</v>
      </c>
      <c r="F271" s="11" t="s">
        <v>998</v>
      </c>
      <c r="G271" s="11">
        <v>0</v>
      </c>
      <c r="H271" s="11">
        <v>0</v>
      </c>
      <c r="I271" s="11">
        <v>0</v>
      </c>
      <c r="J271" s="11">
        <v>0</v>
      </c>
      <c r="K271" s="11">
        <v>0</v>
      </c>
      <c r="L271" s="11">
        <v>0</v>
      </c>
      <c r="M271" s="11">
        <v>0</v>
      </c>
      <c r="N271" s="11">
        <v>0</v>
      </c>
      <c r="O271" s="11">
        <v>0</v>
      </c>
      <c r="P271" s="11">
        <v>0</v>
      </c>
      <c r="Q271" s="12">
        <v>0</v>
      </c>
      <c r="R271" s="12">
        <v>0</v>
      </c>
      <c r="S271" s="12">
        <f>$G$271*$G$8+$H$271*$H$8+$I$271*$I$8+$J$271*$J$8+$K$271*$K$8+$L$271*$L$8+$M$271*$M$8+$N$271*$N$8+$O$271*$O$8+$P$271*$P$8</f>
        <v>0</v>
      </c>
      <c r="T271" s="12">
        <f>SUM($Q$271:$R$271)</f>
        <v>0</v>
      </c>
      <c r="U271" s="12">
        <f>$S$271+$T$271</f>
        <v>0</v>
      </c>
    </row>
    <row r="272" spans="1:21" x14ac:dyDescent="0.3">
      <c r="A272" s="13" t="s">
        <v>999</v>
      </c>
      <c r="B272" s="14" t="s">
        <v>1000</v>
      </c>
      <c r="C272" s="14" t="s">
        <v>202</v>
      </c>
      <c r="D272" s="14" t="s">
        <v>1001</v>
      </c>
      <c r="E272" s="14">
        <f xml:space="preserve"> IF($U$272,1,0)</f>
        <v>0</v>
      </c>
      <c r="F272" s="14" t="s">
        <v>1002</v>
      </c>
      <c r="G272" s="14">
        <v>0</v>
      </c>
      <c r="H272" s="14">
        <v>0</v>
      </c>
      <c r="I272" s="14">
        <v>0</v>
      </c>
      <c r="J272" s="14">
        <v>0</v>
      </c>
      <c r="K272" s="14">
        <v>0</v>
      </c>
      <c r="L272" s="14">
        <v>0</v>
      </c>
      <c r="M272" s="14">
        <v>0</v>
      </c>
      <c r="N272" s="14">
        <v>0</v>
      </c>
      <c r="O272" s="14">
        <v>0</v>
      </c>
      <c r="P272" s="14">
        <v>0</v>
      </c>
      <c r="Q272" s="15">
        <v>0</v>
      </c>
      <c r="R272" s="15">
        <v>0</v>
      </c>
      <c r="S272" s="15">
        <f>$G$272*$G$8+$H$272*$H$8+$I$272*$I$8+$J$272*$J$8+$K$272*$K$8+$L$272*$L$8+$M$272*$M$8+$N$272*$N$8+$O$272*$O$8+$P$272*$P$8</f>
        <v>0</v>
      </c>
      <c r="T272" s="15">
        <f>SUM($Q$272:$R$272)</f>
        <v>0</v>
      </c>
      <c r="U272" s="15">
        <f>$S$272+$T$272</f>
        <v>0</v>
      </c>
    </row>
    <row r="273" spans="1:21" x14ac:dyDescent="0.3">
      <c r="A273" s="10" t="s">
        <v>1003</v>
      </c>
      <c r="B273" s="11" t="s">
        <v>1004</v>
      </c>
      <c r="C273" s="11"/>
      <c r="D273" s="11" t="s">
        <v>1005</v>
      </c>
      <c r="E273" s="11">
        <f xml:space="preserve"> IF($U$273,1,0)</f>
        <v>0</v>
      </c>
      <c r="F273" s="11" t="s">
        <v>1006</v>
      </c>
      <c r="G273" s="11">
        <v>0</v>
      </c>
      <c r="H273" s="11">
        <v>0</v>
      </c>
      <c r="I273" s="11">
        <v>0</v>
      </c>
      <c r="J273" s="11">
        <v>0</v>
      </c>
      <c r="K273" s="11">
        <v>0</v>
      </c>
      <c r="L273" s="11">
        <v>0</v>
      </c>
      <c r="M273" s="11">
        <v>0</v>
      </c>
      <c r="N273" s="11">
        <v>0</v>
      </c>
      <c r="O273" s="11">
        <v>0</v>
      </c>
      <c r="P273" s="11">
        <v>0</v>
      </c>
      <c r="Q273" s="12">
        <v>0</v>
      </c>
      <c r="R273" s="12">
        <v>0</v>
      </c>
      <c r="S273" s="12">
        <f>$G$273*$G$8+$H$273*$H$8+$I$273*$I$8+$J$273*$J$8+$K$273*$K$8+$L$273*$L$8+$M$273*$M$8+$N$273*$N$8+$O$273*$O$8+$P$273*$P$8</f>
        <v>0</v>
      </c>
      <c r="T273" s="12">
        <f>SUM($Q$273:$R$273)</f>
        <v>0</v>
      </c>
      <c r="U273" s="12">
        <f>$S$273+$T$273</f>
        <v>0</v>
      </c>
    </row>
    <row r="274" spans="1:21" x14ac:dyDescent="0.3">
      <c r="A274" s="13" t="s">
        <v>1007</v>
      </c>
      <c r="B274" s="14" t="s">
        <v>1004</v>
      </c>
      <c r="C274" s="14"/>
      <c r="D274" s="14" t="s">
        <v>1008</v>
      </c>
      <c r="E274" s="14">
        <f xml:space="preserve"> IF($U$274,1,0)</f>
        <v>0</v>
      </c>
      <c r="F274" s="14" t="s">
        <v>1009</v>
      </c>
      <c r="G274" s="14">
        <v>0</v>
      </c>
      <c r="H274" s="14">
        <v>0</v>
      </c>
      <c r="I274" s="14">
        <v>0</v>
      </c>
      <c r="J274" s="14">
        <v>0</v>
      </c>
      <c r="K274" s="14">
        <v>0</v>
      </c>
      <c r="L274" s="14">
        <v>0</v>
      </c>
      <c r="M274" s="14">
        <v>0</v>
      </c>
      <c r="N274" s="14">
        <v>0</v>
      </c>
      <c r="O274" s="14">
        <v>0</v>
      </c>
      <c r="P274" s="14">
        <v>0</v>
      </c>
      <c r="Q274" s="15">
        <v>0</v>
      </c>
      <c r="R274" s="15">
        <v>0</v>
      </c>
      <c r="S274" s="15">
        <f>$G$274*$G$8+$H$274*$H$8+$I$274*$I$8+$J$274*$J$8+$K$274*$K$8+$L$274*$L$8+$M$274*$M$8+$N$274*$N$8+$O$274*$O$8+$P$274*$P$8</f>
        <v>0</v>
      </c>
      <c r="T274" s="15">
        <f>SUM($Q$274:$R$274)</f>
        <v>0</v>
      </c>
      <c r="U274" s="15">
        <f>$S$274+$T$274</f>
        <v>0</v>
      </c>
    </row>
    <row r="275" spans="1:21" x14ac:dyDescent="0.3">
      <c r="A275" s="10" t="s">
        <v>1010</v>
      </c>
      <c r="B275" s="11" t="s">
        <v>1011</v>
      </c>
      <c r="C275" s="11"/>
      <c r="D275" s="11" t="s">
        <v>1012</v>
      </c>
      <c r="E275" s="11">
        <f xml:space="preserve"> IF($U$275,1,0)</f>
        <v>0</v>
      </c>
      <c r="F275" s="11" t="s">
        <v>1013</v>
      </c>
      <c r="G275" s="11">
        <v>0</v>
      </c>
      <c r="H275" s="11">
        <v>0</v>
      </c>
      <c r="I275" s="11">
        <v>0</v>
      </c>
      <c r="J275" s="11">
        <v>0</v>
      </c>
      <c r="K275" s="11">
        <v>0</v>
      </c>
      <c r="L275" s="11">
        <v>0</v>
      </c>
      <c r="M275" s="11">
        <v>0</v>
      </c>
      <c r="N275" s="11">
        <v>0</v>
      </c>
      <c r="O275" s="11">
        <v>0</v>
      </c>
      <c r="P275" s="11">
        <v>0</v>
      </c>
      <c r="Q275" s="12">
        <v>0</v>
      </c>
      <c r="R275" s="12">
        <v>0</v>
      </c>
      <c r="S275" s="12">
        <f>$G$275*$G$8+$H$275*$H$8+$I$275*$I$8+$J$275*$J$8+$K$275*$K$8+$L$275*$L$8+$M$275*$M$8+$N$275*$N$8+$O$275*$O$8+$P$275*$P$8</f>
        <v>0</v>
      </c>
      <c r="T275" s="12">
        <f>SUM($Q$275:$R$275)</f>
        <v>0</v>
      </c>
      <c r="U275" s="12">
        <f>$S$275+$T$275</f>
        <v>0</v>
      </c>
    </row>
    <row r="276" spans="1:21" x14ac:dyDescent="0.3">
      <c r="A276" s="13" t="s">
        <v>1014</v>
      </c>
      <c r="B276" s="14" t="s">
        <v>1015</v>
      </c>
      <c r="C276" s="14"/>
      <c r="D276" s="14" t="s">
        <v>1016</v>
      </c>
      <c r="E276" s="14">
        <f xml:space="preserve"> IF($U$276,1,0)</f>
        <v>0</v>
      </c>
      <c r="F276" s="14" t="s">
        <v>1017</v>
      </c>
      <c r="G276" s="14">
        <v>0</v>
      </c>
      <c r="H276" s="14">
        <v>0</v>
      </c>
      <c r="I276" s="14">
        <v>0</v>
      </c>
      <c r="J276" s="14">
        <v>0</v>
      </c>
      <c r="K276" s="14">
        <v>0</v>
      </c>
      <c r="L276" s="14">
        <v>0</v>
      </c>
      <c r="M276" s="14">
        <v>0</v>
      </c>
      <c r="N276" s="14">
        <v>0</v>
      </c>
      <c r="O276" s="14">
        <v>0</v>
      </c>
      <c r="P276" s="14">
        <v>0</v>
      </c>
      <c r="Q276" s="15">
        <v>0</v>
      </c>
      <c r="R276" s="15">
        <v>0</v>
      </c>
      <c r="S276" s="15">
        <f>$G$276*$G$8+$H$276*$H$8+$I$276*$I$8+$J$276*$J$8+$K$276*$K$8+$L$276*$L$8+$M$276*$M$8+$N$276*$N$8+$O$276*$O$8+$P$276*$P$8</f>
        <v>0</v>
      </c>
      <c r="T276" s="15">
        <f>SUM($Q$276:$R$276)</f>
        <v>0</v>
      </c>
      <c r="U276" s="15">
        <f>$S$276+$T$276</f>
        <v>0</v>
      </c>
    </row>
    <row r="277" spans="1:21" x14ac:dyDescent="0.3">
      <c r="A277" s="10" t="s">
        <v>1018</v>
      </c>
      <c r="B277" s="11" t="s">
        <v>1015</v>
      </c>
      <c r="C277" s="11"/>
      <c r="D277" s="11" t="s">
        <v>1019</v>
      </c>
      <c r="E277" s="11">
        <f xml:space="preserve"> IF($U$277,1,0)</f>
        <v>0</v>
      </c>
      <c r="F277" s="11" t="s">
        <v>1020</v>
      </c>
      <c r="G277" s="11">
        <v>0</v>
      </c>
      <c r="H277" s="11">
        <v>0</v>
      </c>
      <c r="I277" s="11">
        <v>0</v>
      </c>
      <c r="J277" s="11">
        <v>0</v>
      </c>
      <c r="K277" s="11">
        <v>0</v>
      </c>
      <c r="L277" s="11">
        <v>0</v>
      </c>
      <c r="M277" s="11">
        <v>0</v>
      </c>
      <c r="N277" s="11">
        <v>0</v>
      </c>
      <c r="O277" s="11">
        <v>0</v>
      </c>
      <c r="P277" s="11">
        <v>0</v>
      </c>
      <c r="Q277" s="12">
        <v>0</v>
      </c>
      <c r="R277" s="12">
        <v>0</v>
      </c>
      <c r="S277" s="12">
        <f>$G$277*$G$8+$H$277*$H$8+$I$277*$I$8+$J$277*$J$8+$K$277*$K$8+$L$277*$L$8+$M$277*$M$8+$N$277*$N$8+$O$277*$O$8+$P$277*$P$8</f>
        <v>0</v>
      </c>
      <c r="T277" s="12">
        <f>SUM($Q$277:$R$277)</f>
        <v>0</v>
      </c>
      <c r="U277" s="12">
        <f>$S$277+$T$277</f>
        <v>0</v>
      </c>
    </row>
    <row r="278" spans="1:21" x14ac:dyDescent="0.3">
      <c r="A278" s="13" t="s">
        <v>1021</v>
      </c>
      <c r="B278" s="14" t="s">
        <v>1022</v>
      </c>
      <c r="C278" s="14" t="s">
        <v>283</v>
      </c>
      <c r="D278" s="14" t="s">
        <v>1023</v>
      </c>
      <c r="E278" s="14">
        <f xml:space="preserve"> IF($U$278,1,0)</f>
        <v>0</v>
      </c>
      <c r="F278" s="14" t="s">
        <v>1024</v>
      </c>
      <c r="G278" s="14">
        <v>0</v>
      </c>
      <c r="H278" s="14">
        <v>0</v>
      </c>
      <c r="I278" s="14">
        <v>0</v>
      </c>
      <c r="J278" s="14">
        <v>0</v>
      </c>
      <c r="K278" s="14">
        <v>0</v>
      </c>
      <c r="L278" s="14">
        <v>0</v>
      </c>
      <c r="M278" s="14">
        <v>0</v>
      </c>
      <c r="N278" s="14">
        <v>0</v>
      </c>
      <c r="O278" s="14">
        <v>0</v>
      </c>
      <c r="P278" s="14">
        <v>0</v>
      </c>
      <c r="Q278" s="15">
        <v>0</v>
      </c>
      <c r="R278" s="15">
        <v>0</v>
      </c>
      <c r="S278" s="15">
        <f>$G$278*$G$8+$H$278*$H$8+$I$278*$I$8+$J$278*$J$8+$K$278*$K$8+$L$278*$L$8+$M$278*$M$8+$N$278*$N$8+$O$278*$O$8+$P$278*$P$8</f>
        <v>0</v>
      </c>
      <c r="T278" s="15">
        <f>SUM($Q$278:$R$278)</f>
        <v>0</v>
      </c>
      <c r="U278" s="15">
        <f>$S$278+$T$278</f>
        <v>0</v>
      </c>
    </row>
    <row r="279" spans="1:21" x14ac:dyDescent="0.3">
      <c r="A279" s="10" t="s">
        <v>1025</v>
      </c>
      <c r="B279" s="11" t="s">
        <v>1026</v>
      </c>
      <c r="C279" s="11"/>
      <c r="D279" s="11" t="s">
        <v>1027</v>
      </c>
      <c r="E279" s="11">
        <f xml:space="preserve"> IF($U$279,1,0)</f>
        <v>0</v>
      </c>
      <c r="F279" s="11" t="s">
        <v>1028</v>
      </c>
      <c r="G279" s="11">
        <v>0</v>
      </c>
      <c r="H279" s="11">
        <v>0</v>
      </c>
      <c r="I279" s="11">
        <v>0</v>
      </c>
      <c r="J279" s="11">
        <v>0</v>
      </c>
      <c r="K279" s="11">
        <v>0</v>
      </c>
      <c r="L279" s="11">
        <v>0</v>
      </c>
      <c r="M279" s="11">
        <v>0</v>
      </c>
      <c r="N279" s="11">
        <v>0</v>
      </c>
      <c r="O279" s="11">
        <v>0</v>
      </c>
      <c r="P279" s="11">
        <v>0</v>
      </c>
      <c r="Q279" s="12">
        <v>0</v>
      </c>
      <c r="R279" s="12">
        <v>0</v>
      </c>
      <c r="S279" s="12">
        <f>$G$279*$G$8+$H$279*$H$8+$I$279*$I$8+$J$279*$J$8+$K$279*$K$8+$L$279*$L$8+$M$279*$M$8+$N$279*$N$8+$O$279*$O$8+$P$279*$P$8</f>
        <v>0</v>
      </c>
      <c r="T279" s="12">
        <f>SUM($Q$279:$R$279)</f>
        <v>0</v>
      </c>
      <c r="U279" s="12">
        <f>$S$279+$T$279</f>
        <v>0</v>
      </c>
    </row>
    <row r="280" spans="1:21" x14ac:dyDescent="0.3">
      <c r="A280" s="13" t="s">
        <v>1029</v>
      </c>
      <c r="B280" s="14" t="s">
        <v>1030</v>
      </c>
      <c r="C280" s="14" t="s">
        <v>34</v>
      </c>
      <c r="D280" s="14" t="s">
        <v>1031</v>
      </c>
      <c r="E280" s="14">
        <f xml:space="preserve"> IF($U$280,1,0)</f>
        <v>0</v>
      </c>
      <c r="F280" s="14" t="s">
        <v>1032</v>
      </c>
      <c r="G280" s="14">
        <v>0</v>
      </c>
      <c r="H280" s="14">
        <v>0</v>
      </c>
      <c r="I280" s="14">
        <v>0</v>
      </c>
      <c r="J280" s="14">
        <v>0</v>
      </c>
      <c r="K280" s="14">
        <v>0</v>
      </c>
      <c r="L280" s="14">
        <v>0</v>
      </c>
      <c r="M280" s="14">
        <v>0</v>
      </c>
      <c r="N280" s="14">
        <v>0</v>
      </c>
      <c r="O280" s="14">
        <v>0</v>
      </c>
      <c r="P280" s="14">
        <v>0</v>
      </c>
      <c r="Q280" s="15">
        <v>0</v>
      </c>
      <c r="R280" s="15">
        <v>0</v>
      </c>
      <c r="S280" s="15">
        <f>$G$280*$G$8+$H$280*$H$8+$I$280*$I$8+$J$280*$J$8+$K$280*$K$8+$L$280*$L$8+$M$280*$M$8+$N$280*$N$8+$O$280*$O$8+$P$280*$P$8</f>
        <v>0</v>
      </c>
      <c r="T280" s="15">
        <f>SUM($Q$280:$R$280)</f>
        <v>0</v>
      </c>
      <c r="U280" s="15">
        <f>$S$280+$T$280</f>
        <v>0</v>
      </c>
    </row>
    <row r="281" spans="1:21" x14ac:dyDescent="0.3">
      <c r="A281" s="10" t="s">
        <v>1033</v>
      </c>
      <c r="B281" s="11" t="s">
        <v>1030</v>
      </c>
      <c r="C281" s="11"/>
      <c r="D281" s="11" t="s">
        <v>1034</v>
      </c>
      <c r="E281" s="11">
        <f xml:space="preserve"> IF($U$281,1,0)</f>
        <v>0</v>
      </c>
      <c r="F281" s="11" t="s">
        <v>1035</v>
      </c>
      <c r="G281" s="11">
        <v>0</v>
      </c>
      <c r="H281" s="11">
        <v>0</v>
      </c>
      <c r="I281" s="11">
        <v>0</v>
      </c>
      <c r="J281" s="11">
        <v>0</v>
      </c>
      <c r="K281" s="11">
        <v>0</v>
      </c>
      <c r="L281" s="11">
        <v>0</v>
      </c>
      <c r="M281" s="11">
        <v>0</v>
      </c>
      <c r="N281" s="11">
        <v>0</v>
      </c>
      <c r="O281" s="11">
        <v>0</v>
      </c>
      <c r="P281" s="11">
        <v>0</v>
      </c>
      <c r="Q281" s="12">
        <v>0</v>
      </c>
      <c r="R281" s="12">
        <v>0</v>
      </c>
      <c r="S281" s="12">
        <f>$G$281*$G$8+$H$281*$H$8+$I$281*$I$8+$J$281*$J$8+$K$281*$K$8+$L$281*$L$8+$M$281*$M$8+$N$281*$N$8+$O$281*$O$8+$P$281*$P$8</f>
        <v>0</v>
      </c>
      <c r="T281" s="12">
        <f>SUM($Q$281:$R$281)</f>
        <v>0</v>
      </c>
      <c r="U281" s="12">
        <f>$S$281+$T$281</f>
        <v>0</v>
      </c>
    </row>
    <row r="282" spans="1:21" x14ac:dyDescent="0.3">
      <c r="A282" s="13" t="s">
        <v>1036</v>
      </c>
      <c r="B282" s="14" t="s">
        <v>1037</v>
      </c>
      <c r="C282" s="14"/>
      <c r="D282" s="14" t="s">
        <v>1038</v>
      </c>
      <c r="E282" s="14">
        <f xml:space="preserve"> IF($U$282,1,0)</f>
        <v>0</v>
      </c>
      <c r="F282" s="14" t="s">
        <v>1039</v>
      </c>
      <c r="G282" s="14">
        <v>0</v>
      </c>
      <c r="H282" s="14">
        <v>0</v>
      </c>
      <c r="I282" s="14">
        <v>0</v>
      </c>
      <c r="J282" s="14">
        <v>0</v>
      </c>
      <c r="K282" s="14">
        <v>0</v>
      </c>
      <c r="L282" s="14">
        <v>0</v>
      </c>
      <c r="M282" s="14">
        <v>0</v>
      </c>
      <c r="N282" s="14">
        <v>0</v>
      </c>
      <c r="O282" s="14">
        <v>0</v>
      </c>
      <c r="P282" s="14">
        <v>0</v>
      </c>
      <c r="Q282" s="15">
        <v>0</v>
      </c>
      <c r="R282" s="15">
        <v>0</v>
      </c>
      <c r="S282" s="15">
        <f>$G$282*$G$8+$H$282*$H$8+$I$282*$I$8+$J$282*$J$8+$K$282*$K$8+$L$282*$L$8+$M$282*$M$8+$N$282*$N$8+$O$282*$O$8+$P$282*$P$8</f>
        <v>0</v>
      </c>
      <c r="T282" s="15">
        <f>SUM($Q$282:$R$282)</f>
        <v>0</v>
      </c>
      <c r="U282" s="15">
        <f>$S$282+$T$282</f>
        <v>0</v>
      </c>
    </row>
    <row r="283" spans="1:21" x14ac:dyDescent="0.3">
      <c r="A283" s="10" t="s">
        <v>1040</v>
      </c>
      <c r="B283" s="11" t="s">
        <v>1037</v>
      </c>
      <c r="C283" s="11" t="s">
        <v>202</v>
      </c>
      <c r="D283" s="11" t="s">
        <v>1041</v>
      </c>
      <c r="E283" s="11">
        <f xml:space="preserve"> IF($U$283,1,0)</f>
        <v>0</v>
      </c>
      <c r="F283" s="11" t="s">
        <v>1042</v>
      </c>
      <c r="G283" s="11">
        <v>0</v>
      </c>
      <c r="H283" s="11">
        <v>0</v>
      </c>
      <c r="I283" s="11">
        <v>0</v>
      </c>
      <c r="J283" s="11">
        <v>0</v>
      </c>
      <c r="K283" s="11">
        <v>0</v>
      </c>
      <c r="L283" s="11">
        <v>0</v>
      </c>
      <c r="M283" s="11">
        <v>0</v>
      </c>
      <c r="N283" s="11">
        <v>0</v>
      </c>
      <c r="O283" s="11">
        <v>0</v>
      </c>
      <c r="P283" s="11">
        <v>0</v>
      </c>
      <c r="Q283" s="12">
        <v>0</v>
      </c>
      <c r="R283" s="12">
        <v>0</v>
      </c>
      <c r="S283" s="12">
        <f>$G$283*$G$8+$H$283*$H$8+$I$283*$I$8+$J$283*$J$8+$K$283*$K$8+$L$283*$L$8+$M$283*$M$8+$N$283*$N$8+$O$283*$O$8+$P$283*$P$8</f>
        <v>0</v>
      </c>
      <c r="T283" s="12">
        <f>SUM($Q$283:$R$283)</f>
        <v>0</v>
      </c>
      <c r="U283" s="12">
        <f>$S$283+$T$283</f>
        <v>0</v>
      </c>
    </row>
    <row r="284" spans="1:21" x14ac:dyDescent="0.3">
      <c r="A284" s="13" t="s">
        <v>1043</v>
      </c>
      <c r="B284" s="14" t="s">
        <v>1044</v>
      </c>
      <c r="C284" s="14"/>
      <c r="D284" s="14" t="s">
        <v>1045</v>
      </c>
      <c r="E284" s="14">
        <f xml:space="preserve"> IF($U$284,1,0)</f>
        <v>0</v>
      </c>
      <c r="F284" s="14" t="s">
        <v>1046</v>
      </c>
      <c r="G284" s="14">
        <v>0</v>
      </c>
      <c r="H284" s="14">
        <v>0</v>
      </c>
      <c r="I284" s="14">
        <v>0</v>
      </c>
      <c r="J284" s="14">
        <v>0</v>
      </c>
      <c r="K284" s="14">
        <v>0</v>
      </c>
      <c r="L284" s="14">
        <v>0</v>
      </c>
      <c r="M284" s="14">
        <v>0</v>
      </c>
      <c r="N284" s="14">
        <v>0</v>
      </c>
      <c r="O284" s="14">
        <v>0</v>
      </c>
      <c r="P284" s="14">
        <v>0</v>
      </c>
      <c r="Q284" s="15">
        <v>0</v>
      </c>
      <c r="R284" s="15">
        <v>0</v>
      </c>
      <c r="S284" s="15">
        <f>$G$284*$G$8+$H$284*$H$8+$I$284*$I$8+$J$284*$J$8+$K$284*$K$8+$L$284*$L$8+$M$284*$M$8+$N$284*$N$8+$O$284*$O$8+$P$284*$P$8</f>
        <v>0</v>
      </c>
      <c r="T284" s="15">
        <f>SUM($Q$284:$R$284)</f>
        <v>0</v>
      </c>
      <c r="U284" s="15">
        <f>$S$284+$T$284</f>
        <v>0</v>
      </c>
    </row>
    <row r="285" spans="1:21" x14ac:dyDescent="0.3">
      <c r="A285" s="10" t="s">
        <v>1047</v>
      </c>
      <c r="B285" s="11" t="s">
        <v>1048</v>
      </c>
      <c r="C285" s="11"/>
      <c r="D285" s="11" t="s">
        <v>1049</v>
      </c>
      <c r="E285" s="11">
        <f xml:space="preserve"> IF($U$285,1,0)</f>
        <v>0</v>
      </c>
      <c r="F285" s="11" t="s">
        <v>1050</v>
      </c>
      <c r="G285" s="11">
        <v>0</v>
      </c>
      <c r="H285" s="11">
        <v>0</v>
      </c>
      <c r="I285" s="11">
        <v>0</v>
      </c>
      <c r="J285" s="11">
        <v>0</v>
      </c>
      <c r="K285" s="11">
        <v>0</v>
      </c>
      <c r="L285" s="11">
        <v>0</v>
      </c>
      <c r="M285" s="11">
        <v>0</v>
      </c>
      <c r="N285" s="11">
        <v>0</v>
      </c>
      <c r="O285" s="11">
        <v>0</v>
      </c>
      <c r="P285" s="11">
        <v>0</v>
      </c>
      <c r="Q285" s="12">
        <v>0</v>
      </c>
      <c r="R285" s="12">
        <v>0</v>
      </c>
      <c r="S285" s="12">
        <f>$G$285*$G$8+$H$285*$H$8+$I$285*$I$8+$J$285*$J$8+$K$285*$K$8+$L$285*$L$8+$M$285*$M$8+$N$285*$N$8+$O$285*$O$8+$P$285*$P$8</f>
        <v>0</v>
      </c>
      <c r="T285" s="12">
        <f>SUM($Q$285:$R$285)</f>
        <v>0</v>
      </c>
      <c r="U285" s="12">
        <f>$S$285+$T$285</f>
        <v>0</v>
      </c>
    </row>
    <row r="286" spans="1:21" x14ac:dyDescent="0.3">
      <c r="A286" s="13" t="s">
        <v>1051</v>
      </c>
      <c r="B286" s="14" t="s">
        <v>1052</v>
      </c>
      <c r="C286" s="14" t="s">
        <v>34</v>
      </c>
      <c r="D286" s="14" t="s">
        <v>1053</v>
      </c>
      <c r="E286" s="14">
        <f xml:space="preserve"> IF($U$286,1,0)</f>
        <v>0</v>
      </c>
      <c r="F286" s="14" t="s">
        <v>1054</v>
      </c>
      <c r="G286" s="14">
        <v>0</v>
      </c>
      <c r="H286" s="14">
        <v>0</v>
      </c>
      <c r="I286" s="14">
        <v>0</v>
      </c>
      <c r="J286" s="14">
        <v>0</v>
      </c>
      <c r="K286" s="14">
        <v>0</v>
      </c>
      <c r="L286" s="14">
        <v>0</v>
      </c>
      <c r="M286" s="14">
        <v>0</v>
      </c>
      <c r="N286" s="14">
        <v>0</v>
      </c>
      <c r="O286" s="14">
        <v>0</v>
      </c>
      <c r="P286" s="14">
        <v>0</v>
      </c>
      <c r="Q286" s="15">
        <v>0</v>
      </c>
      <c r="R286" s="15">
        <v>0</v>
      </c>
      <c r="S286" s="15">
        <f>$G$286*$G$8+$H$286*$H$8+$I$286*$I$8+$J$286*$J$8+$K$286*$K$8+$L$286*$L$8+$M$286*$M$8+$N$286*$N$8+$O$286*$O$8+$P$286*$P$8</f>
        <v>0</v>
      </c>
      <c r="T286" s="15">
        <f>SUM($Q$286:$R$286)</f>
        <v>0</v>
      </c>
      <c r="U286" s="15">
        <f>$S$286+$T$286</f>
        <v>0</v>
      </c>
    </row>
    <row r="287" spans="1:21" x14ac:dyDescent="0.3">
      <c r="A287" s="10" t="s">
        <v>1055</v>
      </c>
      <c r="B287" s="11" t="s">
        <v>1056</v>
      </c>
      <c r="C287" s="11" t="s">
        <v>243</v>
      </c>
      <c r="D287" s="11" t="s">
        <v>1057</v>
      </c>
      <c r="E287" s="11">
        <f xml:space="preserve"> IF($U$287,1,0)</f>
        <v>0</v>
      </c>
      <c r="F287" s="11" t="s">
        <v>1058</v>
      </c>
      <c r="G287" s="11">
        <v>0</v>
      </c>
      <c r="H287" s="11">
        <v>0</v>
      </c>
      <c r="I287" s="11">
        <v>0</v>
      </c>
      <c r="J287" s="11">
        <v>0</v>
      </c>
      <c r="K287" s="11">
        <v>0</v>
      </c>
      <c r="L287" s="11">
        <v>0</v>
      </c>
      <c r="M287" s="11">
        <v>0</v>
      </c>
      <c r="N287" s="11">
        <v>0</v>
      </c>
      <c r="O287" s="11">
        <v>0</v>
      </c>
      <c r="P287" s="11">
        <v>0</v>
      </c>
      <c r="Q287" s="12">
        <v>0</v>
      </c>
      <c r="R287" s="12">
        <v>0</v>
      </c>
      <c r="S287" s="12">
        <f>$G$287*$G$8+$H$287*$H$8+$I$287*$I$8+$J$287*$J$8+$K$287*$K$8+$L$287*$L$8+$M$287*$M$8+$N$287*$N$8+$O$287*$O$8+$P$287*$P$8</f>
        <v>0</v>
      </c>
      <c r="T287" s="12">
        <f>SUM($Q$287:$R$287)</f>
        <v>0</v>
      </c>
      <c r="U287" s="12">
        <f>$S$287+$T$287</f>
        <v>0</v>
      </c>
    </row>
    <row r="288" spans="1:21" x14ac:dyDescent="0.3">
      <c r="A288" s="13" t="s">
        <v>1059</v>
      </c>
      <c r="B288" s="14" t="s">
        <v>1056</v>
      </c>
      <c r="C288" s="14" t="s">
        <v>278</v>
      </c>
      <c r="D288" s="14" t="s">
        <v>1060</v>
      </c>
      <c r="E288" s="14">
        <f xml:space="preserve"> IF($U$288,1,0)</f>
        <v>0</v>
      </c>
      <c r="F288" s="14" t="s">
        <v>1061</v>
      </c>
      <c r="G288" s="14">
        <v>0</v>
      </c>
      <c r="H288" s="14">
        <v>0</v>
      </c>
      <c r="I288" s="14">
        <v>0</v>
      </c>
      <c r="J288" s="14">
        <v>0</v>
      </c>
      <c r="K288" s="14">
        <v>0</v>
      </c>
      <c r="L288" s="14">
        <v>0</v>
      </c>
      <c r="M288" s="14">
        <v>0</v>
      </c>
      <c r="N288" s="14">
        <v>0</v>
      </c>
      <c r="O288" s="14">
        <v>0</v>
      </c>
      <c r="P288" s="14">
        <v>0</v>
      </c>
      <c r="Q288" s="15">
        <v>0</v>
      </c>
      <c r="R288" s="15">
        <v>0</v>
      </c>
      <c r="S288" s="15">
        <f>$G$288*$G$8+$H$288*$H$8+$I$288*$I$8+$J$288*$J$8+$K$288*$K$8+$L$288*$L$8+$M$288*$M$8+$N$288*$N$8+$O$288*$O$8+$P$288*$P$8</f>
        <v>0</v>
      </c>
      <c r="T288" s="15">
        <f>SUM($Q$288:$R$288)</f>
        <v>0</v>
      </c>
      <c r="U288" s="15">
        <f>$S$288+$T$288</f>
        <v>0</v>
      </c>
    </row>
    <row r="289" spans="1:21" x14ac:dyDescent="0.3">
      <c r="A289" s="10" t="s">
        <v>1062</v>
      </c>
      <c r="B289" s="11" t="s">
        <v>1063</v>
      </c>
      <c r="C289" s="11"/>
      <c r="D289" s="11" t="s">
        <v>1064</v>
      </c>
      <c r="E289" s="11">
        <f xml:space="preserve"> IF($U$289,1,0)</f>
        <v>0</v>
      </c>
      <c r="F289" s="11" t="s">
        <v>1065</v>
      </c>
      <c r="G289" s="11">
        <v>0</v>
      </c>
      <c r="H289" s="11">
        <v>0</v>
      </c>
      <c r="I289" s="11">
        <v>0</v>
      </c>
      <c r="J289" s="11">
        <v>0</v>
      </c>
      <c r="K289" s="11">
        <v>0</v>
      </c>
      <c r="L289" s="11">
        <v>0</v>
      </c>
      <c r="M289" s="11">
        <v>0</v>
      </c>
      <c r="N289" s="11">
        <v>0</v>
      </c>
      <c r="O289" s="11">
        <v>0</v>
      </c>
      <c r="P289" s="11">
        <v>0</v>
      </c>
      <c r="Q289" s="12">
        <v>0</v>
      </c>
      <c r="R289" s="12">
        <v>0</v>
      </c>
      <c r="S289" s="12">
        <f>$G$289*$G$8+$H$289*$H$8+$I$289*$I$8+$J$289*$J$8+$K$289*$K$8+$L$289*$L$8+$M$289*$M$8+$N$289*$N$8+$O$289*$O$8+$P$289*$P$8</f>
        <v>0</v>
      </c>
      <c r="T289" s="12">
        <f>SUM($Q$289:$R$289)</f>
        <v>0</v>
      </c>
      <c r="U289" s="12">
        <f>$S$289+$T$289</f>
        <v>0</v>
      </c>
    </row>
    <row r="290" spans="1:21" x14ac:dyDescent="0.3">
      <c r="A290" s="13" t="s">
        <v>1066</v>
      </c>
      <c r="B290" s="14" t="s">
        <v>1067</v>
      </c>
      <c r="C290" s="14" t="s">
        <v>202</v>
      </c>
      <c r="D290" s="14" t="s">
        <v>1068</v>
      </c>
      <c r="E290" s="14">
        <f xml:space="preserve"> IF($U$290,1,0)</f>
        <v>0</v>
      </c>
      <c r="F290" s="14" t="s">
        <v>1069</v>
      </c>
      <c r="G290" s="14">
        <v>0</v>
      </c>
      <c r="H290" s="14">
        <v>0</v>
      </c>
      <c r="I290" s="14">
        <v>0</v>
      </c>
      <c r="J290" s="14">
        <v>0</v>
      </c>
      <c r="K290" s="14">
        <v>0</v>
      </c>
      <c r="L290" s="14">
        <v>0</v>
      </c>
      <c r="M290" s="14">
        <v>0</v>
      </c>
      <c r="N290" s="14">
        <v>0</v>
      </c>
      <c r="O290" s="14">
        <v>0</v>
      </c>
      <c r="P290" s="14">
        <v>0</v>
      </c>
      <c r="Q290" s="15">
        <v>0</v>
      </c>
      <c r="R290" s="15">
        <v>0</v>
      </c>
      <c r="S290" s="15">
        <f>$G$290*$G$8+$H$290*$H$8+$I$290*$I$8+$J$290*$J$8+$K$290*$K$8+$L$290*$L$8+$M$290*$M$8+$N$290*$N$8+$O$290*$O$8+$P$290*$P$8</f>
        <v>0</v>
      </c>
      <c r="T290" s="15">
        <f>SUM($Q$290:$R$290)</f>
        <v>0</v>
      </c>
      <c r="U290" s="15">
        <f>$S$290+$T$290</f>
        <v>0</v>
      </c>
    </row>
    <row r="291" spans="1:21" x14ac:dyDescent="0.3">
      <c r="A291" s="10" t="s">
        <v>1070</v>
      </c>
      <c r="B291" s="11" t="s">
        <v>1071</v>
      </c>
      <c r="C291" s="11"/>
      <c r="D291" s="11" t="s">
        <v>1072</v>
      </c>
      <c r="E291" s="11">
        <f xml:space="preserve"> IF($U$291,1,0)</f>
        <v>0</v>
      </c>
      <c r="F291" s="11" t="s">
        <v>1073</v>
      </c>
      <c r="G291" s="11">
        <v>0</v>
      </c>
      <c r="H291" s="11">
        <v>0</v>
      </c>
      <c r="I291" s="11">
        <v>0</v>
      </c>
      <c r="J291" s="11">
        <v>0</v>
      </c>
      <c r="K291" s="11">
        <v>0</v>
      </c>
      <c r="L291" s="11">
        <v>0</v>
      </c>
      <c r="M291" s="11">
        <v>0</v>
      </c>
      <c r="N291" s="11">
        <v>0</v>
      </c>
      <c r="O291" s="11">
        <v>0</v>
      </c>
      <c r="P291" s="11">
        <v>0</v>
      </c>
      <c r="Q291" s="12">
        <v>0</v>
      </c>
      <c r="R291" s="12">
        <v>0</v>
      </c>
      <c r="S291" s="12">
        <f>$G$291*$G$8+$H$291*$H$8+$I$291*$I$8+$J$291*$J$8+$K$291*$K$8+$L$291*$L$8+$M$291*$M$8+$N$291*$N$8+$O$291*$O$8+$P$291*$P$8</f>
        <v>0</v>
      </c>
      <c r="T291" s="12">
        <f>SUM($Q$291:$R$291)</f>
        <v>0</v>
      </c>
      <c r="U291" s="12">
        <f>$S$291+$T$291</f>
        <v>0</v>
      </c>
    </row>
    <row r="292" spans="1:21" x14ac:dyDescent="0.3">
      <c r="A292" s="13" t="s">
        <v>1074</v>
      </c>
      <c r="B292" s="14" t="s">
        <v>1071</v>
      </c>
      <c r="C292" s="14"/>
      <c r="D292" s="14" t="s">
        <v>1075</v>
      </c>
      <c r="E292" s="14">
        <f xml:space="preserve"> IF($U$292,1,0)</f>
        <v>0</v>
      </c>
      <c r="F292" s="14" t="s">
        <v>1076</v>
      </c>
      <c r="G292" s="14">
        <v>0</v>
      </c>
      <c r="H292" s="14">
        <v>0</v>
      </c>
      <c r="I292" s="14">
        <v>0</v>
      </c>
      <c r="J292" s="14">
        <v>0</v>
      </c>
      <c r="K292" s="14">
        <v>0</v>
      </c>
      <c r="L292" s="14">
        <v>0</v>
      </c>
      <c r="M292" s="14">
        <v>0</v>
      </c>
      <c r="N292" s="14">
        <v>0</v>
      </c>
      <c r="O292" s="14">
        <v>0</v>
      </c>
      <c r="P292" s="14">
        <v>0</v>
      </c>
      <c r="Q292" s="15">
        <v>0</v>
      </c>
      <c r="R292" s="15">
        <v>0</v>
      </c>
      <c r="S292" s="15">
        <f>$G$292*$G$8+$H$292*$H$8+$I$292*$I$8+$J$292*$J$8+$K$292*$K$8+$L$292*$L$8+$M$292*$M$8+$N$292*$N$8+$O$292*$O$8+$P$292*$P$8</f>
        <v>0</v>
      </c>
      <c r="T292" s="15">
        <f>SUM($Q$292:$R$292)</f>
        <v>0</v>
      </c>
      <c r="U292" s="15">
        <f>$S$292+$T$292</f>
        <v>0</v>
      </c>
    </row>
    <row r="293" spans="1:21" x14ac:dyDescent="0.3">
      <c r="A293" s="10" t="s">
        <v>1077</v>
      </c>
      <c r="B293" s="11" t="s">
        <v>1078</v>
      </c>
      <c r="C293" s="11"/>
      <c r="D293" s="11" t="s">
        <v>1079</v>
      </c>
      <c r="E293" s="11">
        <f xml:space="preserve"> IF($U$293,1,0)</f>
        <v>0</v>
      </c>
      <c r="F293" s="11" t="s">
        <v>1080</v>
      </c>
      <c r="G293" s="11">
        <v>0</v>
      </c>
      <c r="H293" s="11">
        <v>0</v>
      </c>
      <c r="I293" s="11">
        <v>0</v>
      </c>
      <c r="J293" s="11">
        <v>0</v>
      </c>
      <c r="K293" s="11">
        <v>0</v>
      </c>
      <c r="L293" s="11">
        <v>0</v>
      </c>
      <c r="M293" s="11">
        <v>0</v>
      </c>
      <c r="N293" s="11">
        <v>0</v>
      </c>
      <c r="O293" s="11">
        <v>0</v>
      </c>
      <c r="P293" s="11">
        <v>0</v>
      </c>
      <c r="Q293" s="12">
        <v>0</v>
      </c>
      <c r="R293" s="12">
        <v>0</v>
      </c>
      <c r="S293" s="12">
        <f>$G$293*$G$8+$H$293*$H$8+$I$293*$I$8+$J$293*$J$8+$K$293*$K$8+$L$293*$L$8+$M$293*$M$8+$N$293*$N$8+$O$293*$O$8+$P$293*$P$8</f>
        <v>0</v>
      </c>
      <c r="T293" s="12">
        <f>SUM($Q$293:$R$293)</f>
        <v>0</v>
      </c>
      <c r="U293" s="12">
        <f>$S$293+$T$293</f>
        <v>0</v>
      </c>
    </row>
    <row r="294" spans="1:21" x14ac:dyDescent="0.3">
      <c r="A294" s="13" t="s">
        <v>1081</v>
      </c>
      <c r="B294" s="14" t="s">
        <v>1082</v>
      </c>
      <c r="C294" s="14"/>
      <c r="D294" s="14" t="s">
        <v>1083</v>
      </c>
      <c r="E294" s="14">
        <f xml:space="preserve"> IF($U$294,1,0)</f>
        <v>0</v>
      </c>
      <c r="F294" s="14" t="s">
        <v>1084</v>
      </c>
      <c r="G294" s="14">
        <v>0</v>
      </c>
      <c r="H294" s="14">
        <v>0</v>
      </c>
      <c r="I294" s="14">
        <v>0</v>
      </c>
      <c r="J294" s="14">
        <v>0</v>
      </c>
      <c r="K294" s="14">
        <v>0</v>
      </c>
      <c r="L294" s="14">
        <v>0</v>
      </c>
      <c r="M294" s="14">
        <v>0</v>
      </c>
      <c r="N294" s="14">
        <v>0</v>
      </c>
      <c r="O294" s="14">
        <v>0</v>
      </c>
      <c r="P294" s="14">
        <v>0</v>
      </c>
      <c r="Q294" s="15">
        <v>0</v>
      </c>
      <c r="R294" s="15">
        <v>0</v>
      </c>
      <c r="S294" s="15">
        <f>$G$294*$G$8+$H$294*$H$8+$I$294*$I$8+$J$294*$J$8+$K$294*$K$8+$L$294*$L$8+$M$294*$M$8+$N$294*$N$8+$O$294*$O$8+$P$294*$P$8</f>
        <v>0</v>
      </c>
      <c r="T294" s="15">
        <f>SUM($Q$294:$R$294)</f>
        <v>0</v>
      </c>
      <c r="U294" s="15">
        <f>$S$294+$T$294</f>
        <v>0</v>
      </c>
    </row>
    <row r="295" spans="1:21" x14ac:dyDescent="0.3">
      <c r="A295" s="10" t="s">
        <v>1085</v>
      </c>
      <c r="B295" s="11" t="s">
        <v>1082</v>
      </c>
      <c r="C295" s="11"/>
      <c r="D295" s="11" t="s">
        <v>1086</v>
      </c>
      <c r="E295" s="11">
        <f xml:space="preserve"> IF($U$295,1,0)</f>
        <v>0</v>
      </c>
      <c r="F295" s="11" t="s">
        <v>1087</v>
      </c>
      <c r="G295" s="11">
        <v>0</v>
      </c>
      <c r="H295" s="11">
        <v>0</v>
      </c>
      <c r="I295" s="11">
        <v>0</v>
      </c>
      <c r="J295" s="11">
        <v>0</v>
      </c>
      <c r="K295" s="11">
        <v>0</v>
      </c>
      <c r="L295" s="11">
        <v>0</v>
      </c>
      <c r="M295" s="11">
        <v>0</v>
      </c>
      <c r="N295" s="11">
        <v>0</v>
      </c>
      <c r="O295" s="11">
        <v>0</v>
      </c>
      <c r="P295" s="11">
        <v>0</v>
      </c>
      <c r="Q295" s="12">
        <v>0</v>
      </c>
      <c r="R295" s="12">
        <v>0</v>
      </c>
      <c r="S295" s="12">
        <f>$G$295*$G$8+$H$295*$H$8+$I$295*$I$8+$J$295*$J$8+$K$295*$K$8+$L$295*$L$8+$M$295*$M$8+$N$295*$N$8+$O$295*$O$8+$P$295*$P$8</f>
        <v>0</v>
      </c>
      <c r="T295" s="12">
        <f>SUM($Q$295:$R$295)</f>
        <v>0</v>
      </c>
      <c r="U295" s="12">
        <f>$S$295+$T$295</f>
        <v>0</v>
      </c>
    </row>
    <row r="296" spans="1:21" x14ac:dyDescent="0.3">
      <c r="A296" s="13" t="s">
        <v>1088</v>
      </c>
      <c r="B296" s="14" t="s">
        <v>1082</v>
      </c>
      <c r="C296" s="14" t="s">
        <v>65</v>
      </c>
      <c r="D296" s="14" t="s">
        <v>1089</v>
      </c>
      <c r="E296" s="14">
        <f xml:space="preserve"> IF($U$296,1,0)</f>
        <v>0</v>
      </c>
      <c r="F296" s="14" t="s">
        <v>1090</v>
      </c>
      <c r="G296" s="14">
        <v>0</v>
      </c>
      <c r="H296" s="14">
        <v>0</v>
      </c>
      <c r="I296" s="14">
        <v>0</v>
      </c>
      <c r="J296" s="14">
        <v>0</v>
      </c>
      <c r="K296" s="14">
        <v>0</v>
      </c>
      <c r="L296" s="14">
        <v>0</v>
      </c>
      <c r="M296" s="14">
        <v>0</v>
      </c>
      <c r="N296" s="14">
        <v>0</v>
      </c>
      <c r="O296" s="14">
        <v>0</v>
      </c>
      <c r="P296" s="14">
        <v>0</v>
      </c>
      <c r="Q296" s="15">
        <v>0</v>
      </c>
      <c r="R296" s="15">
        <v>0</v>
      </c>
      <c r="S296" s="15">
        <f>$G$296*$G$8+$H$296*$H$8+$I$296*$I$8+$J$296*$J$8+$K$296*$K$8+$L$296*$L$8+$M$296*$M$8+$N$296*$N$8+$O$296*$O$8+$P$296*$P$8</f>
        <v>0</v>
      </c>
      <c r="T296" s="15">
        <f>SUM($Q$296:$R$296)</f>
        <v>0</v>
      </c>
      <c r="U296" s="15">
        <f>$S$296+$T$296</f>
        <v>0</v>
      </c>
    </row>
    <row r="297" spans="1:21" x14ac:dyDescent="0.3">
      <c r="A297" s="10" t="s">
        <v>1091</v>
      </c>
      <c r="B297" s="11" t="s">
        <v>1082</v>
      </c>
      <c r="C297" s="11"/>
      <c r="D297" s="11" t="s">
        <v>1092</v>
      </c>
      <c r="E297" s="11">
        <f xml:space="preserve"> IF($U$297,1,0)</f>
        <v>0</v>
      </c>
      <c r="F297" s="11" t="s">
        <v>1093</v>
      </c>
      <c r="G297" s="11">
        <v>0</v>
      </c>
      <c r="H297" s="11">
        <v>0</v>
      </c>
      <c r="I297" s="11">
        <v>0</v>
      </c>
      <c r="J297" s="11">
        <v>0</v>
      </c>
      <c r="K297" s="11">
        <v>0</v>
      </c>
      <c r="L297" s="11">
        <v>0</v>
      </c>
      <c r="M297" s="11">
        <v>0</v>
      </c>
      <c r="N297" s="11">
        <v>0</v>
      </c>
      <c r="O297" s="11">
        <v>0</v>
      </c>
      <c r="P297" s="11">
        <v>0</v>
      </c>
      <c r="Q297" s="12">
        <v>0</v>
      </c>
      <c r="R297" s="12">
        <v>0</v>
      </c>
      <c r="S297" s="12">
        <f>$G$297*$G$8+$H$297*$H$8+$I$297*$I$8+$J$297*$J$8+$K$297*$K$8+$L$297*$L$8+$M$297*$M$8+$N$297*$N$8+$O$297*$O$8+$P$297*$P$8</f>
        <v>0</v>
      </c>
      <c r="T297" s="12">
        <f>SUM($Q$297:$R$297)</f>
        <v>0</v>
      </c>
      <c r="U297" s="12">
        <f>$S$297+$T$297</f>
        <v>0</v>
      </c>
    </row>
    <row r="298" spans="1:21" x14ac:dyDescent="0.3">
      <c r="A298" s="13" t="s">
        <v>1094</v>
      </c>
      <c r="B298" s="14" t="s">
        <v>1095</v>
      </c>
      <c r="C298" s="14" t="s">
        <v>34</v>
      </c>
      <c r="D298" s="14" t="s">
        <v>1096</v>
      </c>
      <c r="E298" s="14">
        <f xml:space="preserve"> IF($U$298,1,0)</f>
        <v>0</v>
      </c>
      <c r="F298" s="14" t="s">
        <v>1097</v>
      </c>
      <c r="G298" s="14">
        <v>0</v>
      </c>
      <c r="H298" s="14">
        <v>0</v>
      </c>
      <c r="I298" s="14">
        <v>0</v>
      </c>
      <c r="J298" s="14">
        <v>0</v>
      </c>
      <c r="K298" s="14">
        <v>0</v>
      </c>
      <c r="L298" s="14">
        <v>0</v>
      </c>
      <c r="M298" s="14">
        <v>0</v>
      </c>
      <c r="N298" s="14">
        <v>0</v>
      </c>
      <c r="O298" s="14">
        <v>0</v>
      </c>
      <c r="P298" s="14">
        <v>0</v>
      </c>
      <c r="Q298" s="15">
        <v>0</v>
      </c>
      <c r="R298" s="15">
        <v>0</v>
      </c>
      <c r="S298" s="15">
        <f>$G$298*$G$8+$H$298*$H$8+$I$298*$I$8+$J$298*$J$8+$K$298*$K$8+$L$298*$L$8+$M$298*$M$8+$N$298*$N$8+$O$298*$O$8+$P$298*$P$8</f>
        <v>0</v>
      </c>
      <c r="T298" s="15">
        <f>SUM($Q$298:$R$298)</f>
        <v>0</v>
      </c>
      <c r="U298" s="15">
        <f>$S$298+$T$298</f>
        <v>0</v>
      </c>
    </row>
    <row r="299" spans="1:21" x14ac:dyDescent="0.3">
      <c r="A299" s="10" t="s">
        <v>1098</v>
      </c>
      <c r="B299" s="11" t="s">
        <v>1099</v>
      </c>
      <c r="C299" s="11"/>
      <c r="D299" s="11" t="s">
        <v>1100</v>
      </c>
      <c r="E299" s="11">
        <f xml:space="preserve"> IF($U$299,1,0)</f>
        <v>0</v>
      </c>
      <c r="F299" s="11" t="s">
        <v>1101</v>
      </c>
      <c r="G299" s="11">
        <v>0</v>
      </c>
      <c r="H299" s="11">
        <v>0</v>
      </c>
      <c r="I299" s="11">
        <v>0</v>
      </c>
      <c r="J299" s="11">
        <v>0</v>
      </c>
      <c r="K299" s="11">
        <v>0</v>
      </c>
      <c r="L299" s="11">
        <v>0</v>
      </c>
      <c r="M299" s="11">
        <v>0</v>
      </c>
      <c r="N299" s="11">
        <v>0</v>
      </c>
      <c r="O299" s="11">
        <v>0</v>
      </c>
      <c r="P299" s="11">
        <v>0</v>
      </c>
      <c r="Q299" s="12">
        <v>0</v>
      </c>
      <c r="R299" s="12">
        <v>0</v>
      </c>
      <c r="S299" s="12">
        <f>$G$299*$G$8+$H$299*$H$8+$I$299*$I$8+$J$299*$J$8+$K$299*$K$8+$L$299*$L$8+$M$299*$M$8+$N$299*$N$8+$O$299*$O$8+$P$299*$P$8</f>
        <v>0</v>
      </c>
      <c r="T299" s="12">
        <f>SUM($Q$299:$R$299)</f>
        <v>0</v>
      </c>
      <c r="U299" s="12">
        <f>$S$299+$T$299</f>
        <v>0</v>
      </c>
    </row>
    <row r="300" spans="1:21" x14ac:dyDescent="0.3">
      <c r="A300" s="13" t="s">
        <v>1102</v>
      </c>
      <c r="B300" s="14" t="s">
        <v>1103</v>
      </c>
      <c r="C300" s="14"/>
      <c r="D300" s="14" t="s">
        <v>1104</v>
      </c>
      <c r="E300" s="14">
        <f xml:space="preserve"> IF($U$300,1,0)</f>
        <v>0</v>
      </c>
      <c r="F300" s="14" t="s">
        <v>1105</v>
      </c>
      <c r="G300" s="14">
        <v>0</v>
      </c>
      <c r="H300" s="14">
        <v>0</v>
      </c>
      <c r="I300" s="14">
        <v>0</v>
      </c>
      <c r="J300" s="14">
        <v>0</v>
      </c>
      <c r="K300" s="14">
        <v>0</v>
      </c>
      <c r="L300" s="14">
        <v>0</v>
      </c>
      <c r="M300" s="14">
        <v>0</v>
      </c>
      <c r="N300" s="14">
        <v>0</v>
      </c>
      <c r="O300" s="14">
        <v>0</v>
      </c>
      <c r="P300" s="14">
        <v>0</v>
      </c>
      <c r="Q300" s="15">
        <v>0</v>
      </c>
      <c r="R300" s="15">
        <v>0</v>
      </c>
      <c r="S300" s="15">
        <f>$G$300*$G$8+$H$300*$H$8+$I$300*$I$8+$J$300*$J$8+$K$300*$K$8+$L$300*$L$8+$M$300*$M$8+$N$300*$N$8+$O$300*$O$8+$P$300*$P$8</f>
        <v>0</v>
      </c>
      <c r="T300" s="15">
        <f>SUM($Q$300:$R$300)</f>
        <v>0</v>
      </c>
      <c r="U300" s="15">
        <f>$S$300+$T$300</f>
        <v>0</v>
      </c>
    </row>
    <row r="301" spans="1:21" x14ac:dyDescent="0.3">
      <c r="A301" s="10" t="s">
        <v>1106</v>
      </c>
      <c r="B301" s="11" t="s">
        <v>1107</v>
      </c>
      <c r="C301" s="11"/>
      <c r="D301" s="11" t="s">
        <v>1107</v>
      </c>
      <c r="E301" s="11">
        <f xml:space="preserve"> IF($U$301,1,0)</f>
        <v>0</v>
      </c>
      <c r="F301" s="11" t="s">
        <v>1108</v>
      </c>
      <c r="G301" s="11">
        <v>0</v>
      </c>
      <c r="H301" s="11">
        <v>0</v>
      </c>
      <c r="I301" s="11">
        <v>0</v>
      </c>
      <c r="J301" s="11">
        <v>0</v>
      </c>
      <c r="K301" s="11">
        <v>0</v>
      </c>
      <c r="L301" s="11">
        <v>0</v>
      </c>
      <c r="M301" s="11">
        <v>0</v>
      </c>
      <c r="N301" s="11">
        <v>0</v>
      </c>
      <c r="O301" s="11">
        <v>0</v>
      </c>
      <c r="P301" s="11">
        <v>0</v>
      </c>
      <c r="Q301" s="12">
        <v>0</v>
      </c>
      <c r="R301" s="12">
        <v>0</v>
      </c>
      <c r="S301" s="12">
        <f>$G$301*$G$8+$H$301*$H$8+$I$301*$I$8+$J$301*$J$8+$K$301*$K$8+$L$301*$L$8+$M$301*$M$8+$N$301*$N$8+$O$301*$O$8+$P$301*$P$8</f>
        <v>0</v>
      </c>
      <c r="T301" s="12">
        <f>SUM($Q$301:$R$301)</f>
        <v>0</v>
      </c>
      <c r="U301" s="12">
        <f>$S$301+$T$301</f>
        <v>0</v>
      </c>
    </row>
    <row r="302" spans="1:21" x14ac:dyDescent="0.3">
      <c r="A302" s="13" t="s">
        <v>1109</v>
      </c>
      <c r="B302" s="14" t="s">
        <v>1110</v>
      </c>
      <c r="C302" s="14" t="s">
        <v>34</v>
      </c>
      <c r="D302" s="14" t="s">
        <v>1111</v>
      </c>
      <c r="E302" s="14">
        <f xml:space="preserve"> IF($U$302,1,0)</f>
        <v>0</v>
      </c>
      <c r="F302" s="14" t="s">
        <v>1112</v>
      </c>
      <c r="G302" s="14">
        <v>0</v>
      </c>
      <c r="H302" s="14">
        <v>0</v>
      </c>
      <c r="I302" s="14">
        <v>0</v>
      </c>
      <c r="J302" s="14">
        <v>0</v>
      </c>
      <c r="K302" s="14">
        <v>0</v>
      </c>
      <c r="L302" s="14">
        <v>0</v>
      </c>
      <c r="M302" s="14">
        <v>0</v>
      </c>
      <c r="N302" s="14">
        <v>0</v>
      </c>
      <c r="O302" s="14">
        <v>0</v>
      </c>
      <c r="P302" s="14">
        <v>0</v>
      </c>
      <c r="Q302" s="15">
        <v>0</v>
      </c>
      <c r="R302" s="15">
        <v>0</v>
      </c>
      <c r="S302" s="15">
        <f>$G$302*$G$8+$H$302*$H$8+$I$302*$I$8+$J$302*$J$8+$K$302*$K$8+$L$302*$L$8+$M$302*$M$8+$N$302*$N$8+$O$302*$O$8+$P$302*$P$8</f>
        <v>0</v>
      </c>
      <c r="T302" s="15">
        <f>SUM($Q$302:$R$302)</f>
        <v>0</v>
      </c>
      <c r="U302" s="15">
        <f>$S$302+$T$302</f>
        <v>0</v>
      </c>
    </row>
    <row r="303" spans="1:21" x14ac:dyDescent="0.3">
      <c r="A303" s="10" t="s">
        <v>1113</v>
      </c>
      <c r="B303" s="11" t="s">
        <v>1114</v>
      </c>
      <c r="C303" s="11" t="s">
        <v>34</v>
      </c>
      <c r="D303" s="11" t="s">
        <v>239</v>
      </c>
      <c r="E303" s="11">
        <f xml:space="preserve"> IF($U$303,1,0)</f>
        <v>0</v>
      </c>
      <c r="F303" s="11" t="s">
        <v>1115</v>
      </c>
      <c r="G303" s="11">
        <v>0</v>
      </c>
      <c r="H303" s="11">
        <v>0</v>
      </c>
      <c r="I303" s="11">
        <v>0</v>
      </c>
      <c r="J303" s="11">
        <v>0</v>
      </c>
      <c r="K303" s="11">
        <v>0</v>
      </c>
      <c r="L303" s="11">
        <v>0</v>
      </c>
      <c r="M303" s="11">
        <v>0</v>
      </c>
      <c r="N303" s="11">
        <v>0</v>
      </c>
      <c r="O303" s="11">
        <v>0</v>
      </c>
      <c r="P303" s="11">
        <v>0</v>
      </c>
      <c r="Q303" s="12">
        <v>0</v>
      </c>
      <c r="R303" s="12">
        <v>0</v>
      </c>
      <c r="S303" s="12">
        <f>$G$303*$G$8+$H$303*$H$8+$I$303*$I$8+$J$303*$J$8+$K$303*$K$8+$L$303*$L$8+$M$303*$M$8+$N$303*$N$8+$O$303*$O$8+$P$303*$P$8</f>
        <v>0</v>
      </c>
      <c r="T303" s="12">
        <f>SUM($Q$303:$R$303)</f>
        <v>0</v>
      </c>
      <c r="U303" s="12">
        <f>$S$303+$T$303</f>
        <v>0</v>
      </c>
    </row>
    <row r="304" spans="1:21" x14ac:dyDescent="0.3">
      <c r="A304" s="13" t="s">
        <v>1257</v>
      </c>
      <c r="B304" s="14" t="s">
        <v>1117</v>
      </c>
      <c r="C304" s="14" t="s">
        <v>202</v>
      </c>
      <c r="D304" s="14" t="s">
        <v>442</v>
      </c>
      <c r="E304" s="14">
        <f xml:space="preserve"> IF($U$304,1,0)</f>
        <v>0</v>
      </c>
      <c r="F304" s="14" t="s">
        <v>1258</v>
      </c>
      <c r="G304" s="14">
        <v>0</v>
      </c>
      <c r="H304" s="14">
        <v>0</v>
      </c>
      <c r="I304" s="14">
        <v>0</v>
      </c>
      <c r="J304" s="14">
        <v>0</v>
      </c>
      <c r="K304" s="14">
        <v>0</v>
      </c>
      <c r="L304" s="14">
        <v>0</v>
      </c>
      <c r="M304" s="14">
        <v>0</v>
      </c>
      <c r="N304" s="14">
        <v>0</v>
      </c>
      <c r="O304" s="14">
        <v>0</v>
      </c>
      <c r="P304" s="14">
        <v>0</v>
      </c>
      <c r="Q304" s="15">
        <v>0</v>
      </c>
      <c r="R304" s="15">
        <v>0</v>
      </c>
      <c r="S304" s="15">
        <f>$G$304*$G$8+$H$304*$H$8+$I$304*$I$8+$J$304*$J$8+$K$304*$K$8+$L$304*$L$8+$M$304*$M$8+$N$304*$N$8+$O$304*$O$8+$P$304*$P$8</f>
        <v>0</v>
      </c>
      <c r="T304" s="15">
        <f>SUM($Q$304:$R$304)</f>
        <v>0</v>
      </c>
      <c r="U304" s="15">
        <f>$S$304+$T$304</f>
        <v>0</v>
      </c>
    </row>
    <row r="305" spans="1:21" x14ac:dyDescent="0.3">
      <c r="A305" s="10" t="s">
        <v>1116</v>
      </c>
      <c r="B305" s="11" t="s">
        <v>1117</v>
      </c>
      <c r="C305" s="11"/>
      <c r="D305" s="11" t="s">
        <v>1118</v>
      </c>
      <c r="E305" s="11">
        <f xml:space="preserve"> IF($U$305,1,0)</f>
        <v>0</v>
      </c>
      <c r="F305" s="11" t="s">
        <v>1119</v>
      </c>
      <c r="G305" s="11">
        <v>0</v>
      </c>
      <c r="H305" s="11">
        <v>0</v>
      </c>
      <c r="I305" s="11">
        <v>0</v>
      </c>
      <c r="J305" s="11">
        <v>0</v>
      </c>
      <c r="K305" s="11">
        <v>0</v>
      </c>
      <c r="L305" s="11">
        <v>0</v>
      </c>
      <c r="M305" s="11">
        <v>0</v>
      </c>
      <c r="N305" s="11">
        <v>0</v>
      </c>
      <c r="O305" s="11">
        <v>0</v>
      </c>
      <c r="P305" s="11">
        <v>0</v>
      </c>
      <c r="Q305" s="12">
        <v>0</v>
      </c>
      <c r="R305" s="12">
        <v>0</v>
      </c>
      <c r="S305" s="12">
        <f>$G$305*$G$8+$H$305*$H$8+$I$305*$I$8+$J$305*$J$8+$K$305*$K$8+$L$305*$L$8+$M$305*$M$8+$N$305*$N$8+$O$305*$O$8+$P$305*$P$8</f>
        <v>0</v>
      </c>
      <c r="T305" s="12">
        <f>SUM($Q$305:$R$305)</f>
        <v>0</v>
      </c>
      <c r="U305" s="12">
        <f>$S$305+$T$305</f>
        <v>0</v>
      </c>
    </row>
    <row r="306" spans="1:21" x14ac:dyDescent="0.3">
      <c r="A306" s="13" t="s">
        <v>1120</v>
      </c>
      <c r="B306" s="14" t="s">
        <v>1117</v>
      </c>
      <c r="C306" s="14"/>
      <c r="D306" s="14" t="s">
        <v>1121</v>
      </c>
      <c r="E306" s="14">
        <f xml:space="preserve"> IF($U$306,1,0)</f>
        <v>0</v>
      </c>
      <c r="F306" s="14" t="s">
        <v>1122</v>
      </c>
      <c r="G306" s="14">
        <v>0</v>
      </c>
      <c r="H306" s="14">
        <v>0</v>
      </c>
      <c r="I306" s="14">
        <v>0</v>
      </c>
      <c r="J306" s="14">
        <v>0</v>
      </c>
      <c r="K306" s="14">
        <v>0</v>
      </c>
      <c r="L306" s="14">
        <v>0</v>
      </c>
      <c r="M306" s="14">
        <v>0</v>
      </c>
      <c r="N306" s="14">
        <v>0</v>
      </c>
      <c r="O306" s="14">
        <v>0</v>
      </c>
      <c r="P306" s="14">
        <v>0</v>
      </c>
      <c r="Q306" s="15">
        <v>0</v>
      </c>
      <c r="R306" s="15">
        <v>0</v>
      </c>
      <c r="S306" s="15">
        <f>$G$306*$G$8+$H$306*$H$8+$I$306*$I$8+$J$306*$J$8+$K$306*$K$8+$L$306*$L$8+$M$306*$M$8+$N$306*$N$8+$O$306*$O$8+$P$306*$P$8</f>
        <v>0</v>
      </c>
      <c r="T306" s="15">
        <f>SUM($Q$306:$R$306)</f>
        <v>0</v>
      </c>
      <c r="U306" s="15">
        <f>$S$306+$T$306</f>
        <v>0</v>
      </c>
    </row>
    <row r="307" spans="1:21" x14ac:dyDescent="0.3">
      <c r="A307" s="10" t="s">
        <v>1123</v>
      </c>
      <c r="B307" s="11" t="s">
        <v>1117</v>
      </c>
      <c r="C307" s="11"/>
      <c r="D307" s="11" t="s">
        <v>1124</v>
      </c>
      <c r="E307" s="11">
        <f xml:space="preserve"> IF($U$307,1,0)</f>
        <v>0</v>
      </c>
      <c r="F307" s="11" t="s">
        <v>1125</v>
      </c>
      <c r="G307" s="11">
        <v>0</v>
      </c>
      <c r="H307" s="11">
        <v>0</v>
      </c>
      <c r="I307" s="11">
        <v>0</v>
      </c>
      <c r="J307" s="11">
        <v>0</v>
      </c>
      <c r="K307" s="11">
        <v>0</v>
      </c>
      <c r="L307" s="11">
        <v>0</v>
      </c>
      <c r="M307" s="11">
        <v>0</v>
      </c>
      <c r="N307" s="11">
        <v>0</v>
      </c>
      <c r="O307" s="11">
        <v>0</v>
      </c>
      <c r="P307" s="11">
        <v>0</v>
      </c>
      <c r="Q307" s="12">
        <v>0</v>
      </c>
      <c r="R307" s="12">
        <v>0</v>
      </c>
      <c r="S307" s="12">
        <f>$G$307*$G$8+$H$307*$H$8+$I$307*$I$8+$J$307*$J$8+$K$307*$K$8+$L$307*$L$8+$M$307*$M$8+$N$307*$N$8+$O$307*$O$8+$P$307*$P$8</f>
        <v>0</v>
      </c>
      <c r="T307" s="12">
        <f>SUM($Q$307:$R$307)</f>
        <v>0</v>
      </c>
      <c r="U307" s="12">
        <f>$S$307+$T$307</f>
        <v>0</v>
      </c>
    </row>
    <row r="308" spans="1:21" x14ac:dyDescent="0.3">
      <c r="A308" s="13" t="s">
        <v>1126</v>
      </c>
      <c r="B308" s="14" t="s">
        <v>1117</v>
      </c>
      <c r="C308" s="14"/>
      <c r="D308" s="14" t="s">
        <v>1127</v>
      </c>
      <c r="E308" s="14">
        <f xml:space="preserve"> IF($U$308,1,0)</f>
        <v>0</v>
      </c>
      <c r="F308" s="14" t="s">
        <v>1128</v>
      </c>
      <c r="G308" s="14">
        <v>0</v>
      </c>
      <c r="H308" s="14">
        <v>0</v>
      </c>
      <c r="I308" s="14">
        <v>0</v>
      </c>
      <c r="J308" s="14">
        <v>0</v>
      </c>
      <c r="K308" s="14">
        <v>0</v>
      </c>
      <c r="L308" s="14">
        <v>0</v>
      </c>
      <c r="M308" s="14">
        <v>0</v>
      </c>
      <c r="N308" s="14">
        <v>0</v>
      </c>
      <c r="O308" s="14">
        <v>0</v>
      </c>
      <c r="P308" s="14">
        <v>0</v>
      </c>
      <c r="Q308" s="15">
        <v>0</v>
      </c>
      <c r="R308" s="15">
        <v>0</v>
      </c>
      <c r="S308" s="15">
        <f>$G$308*$G$8+$H$308*$H$8+$I$308*$I$8+$J$308*$J$8+$K$308*$K$8+$L$308*$L$8+$M$308*$M$8+$N$308*$N$8+$O$308*$O$8+$P$308*$P$8</f>
        <v>0</v>
      </c>
      <c r="T308" s="15">
        <f>SUM($Q$308:$R$308)</f>
        <v>0</v>
      </c>
      <c r="U308" s="15">
        <f>$S$308+$T$308</f>
        <v>0</v>
      </c>
    </row>
    <row r="309" spans="1:21" x14ac:dyDescent="0.3">
      <c r="A309" s="10" t="s">
        <v>1129</v>
      </c>
      <c r="B309" s="11" t="s">
        <v>1130</v>
      </c>
      <c r="C309" s="11" t="s">
        <v>34</v>
      </c>
      <c r="D309" s="11" t="s">
        <v>1131</v>
      </c>
      <c r="E309" s="11">
        <f xml:space="preserve"> IF($U$309,1,0)</f>
        <v>0</v>
      </c>
      <c r="F309" s="11" t="s">
        <v>1132</v>
      </c>
      <c r="G309" s="11">
        <v>0</v>
      </c>
      <c r="H309" s="11">
        <v>0</v>
      </c>
      <c r="I309" s="11">
        <v>0</v>
      </c>
      <c r="J309" s="11">
        <v>0</v>
      </c>
      <c r="K309" s="11">
        <v>0</v>
      </c>
      <c r="L309" s="11">
        <v>0</v>
      </c>
      <c r="M309" s="11">
        <v>0</v>
      </c>
      <c r="N309" s="11">
        <v>0</v>
      </c>
      <c r="O309" s="11">
        <v>0</v>
      </c>
      <c r="P309" s="11">
        <v>0</v>
      </c>
      <c r="Q309" s="12">
        <v>0</v>
      </c>
      <c r="R309" s="12">
        <v>0</v>
      </c>
      <c r="S309" s="12">
        <f>$G$309*$G$8+$H$309*$H$8+$I$309*$I$8+$J$309*$J$8+$K$309*$K$8+$L$309*$L$8+$M$309*$M$8+$N$309*$N$8+$O$309*$O$8+$P$309*$P$8</f>
        <v>0</v>
      </c>
      <c r="T309" s="12">
        <f>SUM($Q$309:$R$309)</f>
        <v>0</v>
      </c>
      <c r="U309" s="12">
        <f>$S$309+$T$309</f>
        <v>0</v>
      </c>
    </row>
    <row r="310" spans="1:21" x14ac:dyDescent="0.3">
      <c r="A310" s="13" t="s">
        <v>1133</v>
      </c>
      <c r="B310" s="14" t="s">
        <v>1134</v>
      </c>
      <c r="C310" s="14"/>
      <c r="D310" s="14" t="s">
        <v>1135</v>
      </c>
      <c r="E310" s="14">
        <f xml:space="preserve"> IF($U$310,1,0)</f>
        <v>0</v>
      </c>
      <c r="F310" s="14" t="s">
        <v>1136</v>
      </c>
      <c r="G310" s="14">
        <v>0</v>
      </c>
      <c r="H310" s="14">
        <v>0</v>
      </c>
      <c r="I310" s="14">
        <v>0</v>
      </c>
      <c r="J310" s="14">
        <v>0</v>
      </c>
      <c r="K310" s="14">
        <v>0</v>
      </c>
      <c r="L310" s="14">
        <v>0</v>
      </c>
      <c r="M310" s="14">
        <v>0</v>
      </c>
      <c r="N310" s="14">
        <v>0</v>
      </c>
      <c r="O310" s="14">
        <v>0</v>
      </c>
      <c r="P310" s="14">
        <v>0</v>
      </c>
      <c r="Q310" s="15">
        <v>0</v>
      </c>
      <c r="R310" s="15">
        <v>0</v>
      </c>
      <c r="S310" s="15">
        <f>$G$310*$G$8+$H$310*$H$8+$I$310*$I$8+$J$310*$J$8+$K$310*$K$8+$L$310*$L$8+$M$310*$M$8+$N$310*$N$8+$O$310*$O$8+$P$310*$P$8</f>
        <v>0</v>
      </c>
      <c r="T310" s="15">
        <f>SUM($Q$310:$R$310)</f>
        <v>0</v>
      </c>
      <c r="U310" s="15">
        <f>$S$310+$T$310</f>
        <v>0</v>
      </c>
    </row>
    <row r="311" spans="1:21" x14ac:dyDescent="0.3">
      <c r="A311" s="10" t="s">
        <v>1137</v>
      </c>
      <c r="B311" s="11" t="s">
        <v>1138</v>
      </c>
      <c r="C311" s="11" t="s">
        <v>1296</v>
      </c>
      <c r="D311" s="11" t="s">
        <v>1139</v>
      </c>
      <c r="E311" s="11">
        <f xml:space="preserve"> IF($U$311,1,0)</f>
        <v>0</v>
      </c>
      <c r="F311" s="11" t="s">
        <v>1297</v>
      </c>
      <c r="G311" s="11">
        <v>0</v>
      </c>
      <c r="H311" s="11">
        <v>0</v>
      </c>
      <c r="I311" s="11">
        <v>0</v>
      </c>
      <c r="J311" s="11">
        <v>0</v>
      </c>
      <c r="K311" s="11">
        <v>0</v>
      </c>
      <c r="L311" s="11">
        <v>0</v>
      </c>
      <c r="M311" s="11">
        <v>0</v>
      </c>
      <c r="N311" s="11">
        <v>0</v>
      </c>
      <c r="O311" s="11">
        <v>0</v>
      </c>
      <c r="P311" s="11">
        <v>0</v>
      </c>
      <c r="Q311" s="12">
        <v>0</v>
      </c>
      <c r="R311" s="12">
        <v>0</v>
      </c>
      <c r="S311" s="12">
        <f>$G$311*$G$8+$H$311*$H$8+$I$311*$I$8+$J$311*$J$8+$K$311*$K$8+$L$311*$L$8+$M$311*$M$8+$N$311*$N$8+$O$311*$O$8+$P$311*$P$8</f>
        <v>0</v>
      </c>
      <c r="T311" s="12">
        <f>SUM($Q$311:$R$311)</f>
        <v>0</v>
      </c>
      <c r="U311" s="12">
        <f>$S$311+$T$311</f>
        <v>0</v>
      </c>
    </row>
    <row r="312" spans="1:21" x14ac:dyDescent="0.3">
      <c r="A312" s="13" t="s">
        <v>1141</v>
      </c>
      <c r="B312" s="14" t="s">
        <v>1142</v>
      </c>
      <c r="C312" s="14" t="s">
        <v>202</v>
      </c>
      <c r="D312" s="14" t="s">
        <v>442</v>
      </c>
      <c r="E312" s="14">
        <f xml:space="preserve"> IF($U$312,1,0)</f>
        <v>0</v>
      </c>
      <c r="F312" s="14" t="s">
        <v>1143</v>
      </c>
      <c r="G312" s="14">
        <v>0</v>
      </c>
      <c r="H312" s="14">
        <v>0</v>
      </c>
      <c r="I312" s="14">
        <v>0</v>
      </c>
      <c r="J312" s="14">
        <v>0</v>
      </c>
      <c r="K312" s="14">
        <v>0</v>
      </c>
      <c r="L312" s="14">
        <v>0</v>
      </c>
      <c r="M312" s="14">
        <v>0</v>
      </c>
      <c r="N312" s="14">
        <v>0</v>
      </c>
      <c r="O312" s="14">
        <v>0</v>
      </c>
      <c r="P312" s="14">
        <v>0</v>
      </c>
      <c r="Q312" s="15">
        <v>0</v>
      </c>
      <c r="R312" s="15">
        <v>0</v>
      </c>
      <c r="S312" s="15">
        <f>$G$312*$G$8+$H$312*$H$8+$I$312*$I$8+$J$312*$J$8+$K$312*$K$8+$L$312*$L$8+$M$312*$M$8+$N$312*$N$8+$O$312*$O$8+$P$312*$P$8</f>
        <v>0</v>
      </c>
      <c r="T312" s="15">
        <f>SUM($Q$312:$R$312)</f>
        <v>0</v>
      </c>
      <c r="U312" s="15">
        <f>$S$312+$T$312</f>
        <v>0</v>
      </c>
    </row>
    <row r="313" spans="1:21" x14ac:dyDescent="0.3">
      <c r="A313" s="10" t="s">
        <v>1144</v>
      </c>
      <c r="B313" s="11" t="s">
        <v>1142</v>
      </c>
      <c r="C313" s="11"/>
      <c r="D313" s="11" t="s">
        <v>1145</v>
      </c>
      <c r="E313" s="11">
        <f xml:space="preserve"> IF($U$313,1,0)</f>
        <v>0</v>
      </c>
      <c r="F313" s="11" t="s">
        <v>1146</v>
      </c>
      <c r="G313" s="11">
        <v>0</v>
      </c>
      <c r="H313" s="11">
        <v>0</v>
      </c>
      <c r="I313" s="11">
        <v>0</v>
      </c>
      <c r="J313" s="11">
        <v>0</v>
      </c>
      <c r="K313" s="11">
        <v>0</v>
      </c>
      <c r="L313" s="11">
        <v>0</v>
      </c>
      <c r="M313" s="11">
        <v>0</v>
      </c>
      <c r="N313" s="11">
        <v>0</v>
      </c>
      <c r="O313" s="11">
        <v>0</v>
      </c>
      <c r="P313" s="11">
        <v>0</v>
      </c>
      <c r="Q313" s="12">
        <v>0</v>
      </c>
      <c r="R313" s="12">
        <v>0</v>
      </c>
      <c r="S313" s="12">
        <f>$G$313*$G$8+$H$313*$H$8+$I$313*$I$8+$J$313*$J$8+$K$313*$K$8+$L$313*$L$8+$M$313*$M$8+$N$313*$N$8+$O$313*$O$8+$P$313*$P$8</f>
        <v>0</v>
      </c>
      <c r="T313" s="12">
        <f>SUM($Q$313:$R$313)</f>
        <v>0</v>
      </c>
      <c r="U313" s="12">
        <f>$S$313+$T$313</f>
        <v>0</v>
      </c>
    </row>
    <row r="314" spans="1:21" x14ac:dyDescent="0.3">
      <c r="A314" s="13" t="s">
        <v>1147</v>
      </c>
      <c r="B314" s="14" t="s">
        <v>1142</v>
      </c>
      <c r="C314" s="14"/>
      <c r="D314" s="14" t="s">
        <v>138</v>
      </c>
      <c r="E314" s="14">
        <f xml:space="preserve"> IF($U$314,1,0)</f>
        <v>0</v>
      </c>
      <c r="F314" s="14" t="s">
        <v>1148</v>
      </c>
      <c r="G314" s="14">
        <v>0</v>
      </c>
      <c r="H314" s="14">
        <v>0</v>
      </c>
      <c r="I314" s="14">
        <v>0</v>
      </c>
      <c r="J314" s="14">
        <v>0</v>
      </c>
      <c r="K314" s="14">
        <v>0</v>
      </c>
      <c r="L314" s="14">
        <v>0</v>
      </c>
      <c r="M314" s="14">
        <v>0</v>
      </c>
      <c r="N314" s="14">
        <v>0</v>
      </c>
      <c r="O314" s="14">
        <v>0</v>
      </c>
      <c r="P314" s="14">
        <v>0</v>
      </c>
      <c r="Q314" s="15">
        <v>0</v>
      </c>
      <c r="R314" s="15">
        <v>0</v>
      </c>
      <c r="S314" s="15">
        <f>$G$314*$G$8+$H$314*$H$8+$I$314*$I$8+$J$314*$J$8+$K$314*$K$8+$L$314*$L$8+$M$314*$M$8+$N$314*$N$8+$O$314*$O$8+$P$314*$P$8</f>
        <v>0</v>
      </c>
      <c r="T314" s="15">
        <f>SUM($Q$314:$R$314)</f>
        <v>0</v>
      </c>
      <c r="U314" s="15">
        <f>$S$314+$T$314</f>
        <v>0</v>
      </c>
    </row>
    <row r="315" spans="1:21" x14ac:dyDescent="0.3">
      <c r="A315" s="10" t="s">
        <v>1149</v>
      </c>
      <c r="B315" s="11" t="s">
        <v>1142</v>
      </c>
      <c r="C315" s="11"/>
      <c r="D315" s="11" t="s">
        <v>1150</v>
      </c>
      <c r="E315" s="11">
        <f xml:space="preserve"> IF($U$315,1,0)</f>
        <v>0</v>
      </c>
      <c r="F315" s="11" t="s">
        <v>1151</v>
      </c>
      <c r="G315" s="11">
        <v>0</v>
      </c>
      <c r="H315" s="11">
        <v>0</v>
      </c>
      <c r="I315" s="11">
        <v>0</v>
      </c>
      <c r="J315" s="11">
        <v>0</v>
      </c>
      <c r="K315" s="11">
        <v>0</v>
      </c>
      <c r="L315" s="11">
        <v>0</v>
      </c>
      <c r="M315" s="11">
        <v>0</v>
      </c>
      <c r="N315" s="11">
        <v>0</v>
      </c>
      <c r="O315" s="11">
        <v>0</v>
      </c>
      <c r="P315" s="11">
        <v>0</v>
      </c>
      <c r="Q315" s="12">
        <v>0</v>
      </c>
      <c r="R315" s="12">
        <v>0</v>
      </c>
      <c r="S315" s="12">
        <f>$G$315*$G$8+$H$315*$H$8+$I$315*$I$8+$J$315*$J$8+$K$315*$K$8+$L$315*$L$8+$M$315*$M$8+$N$315*$N$8+$O$315*$O$8+$P$315*$P$8</f>
        <v>0</v>
      </c>
      <c r="T315" s="12">
        <f>SUM($Q$315:$R$315)</f>
        <v>0</v>
      </c>
      <c r="U315" s="12">
        <f>$S$315+$T$315</f>
        <v>0</v>
      </c>
    </row>
    <row r="316" spans="1:21" x14ac:dyDescent="0.3">
      <c r="A316" s="13" t="s">
        <v>1152</v>
      </c>
      <c r="B316" s="14" t="s">
        <v>1142</v>
      </c>
      <c r="C316" s="14"/>
      <c r="D316" s="14" t="s">
        <v>1153</v>
      </c>
      <c r="E316" s="14">
        <f xml:space="preserve"> IF($U$316,1,0)</f>
        <v>0</v>
      </c>
      <c r="F316" s="14" t="s">
        <v>1154</v>
      </c>
      <c r="G316" s="14">
        <v>0</v>
      </c>
      <c r="H316" s="14">
        <v>0</v>
      </c>
      <c r="I316" s="14">
        <v>0</v>
      </c>
      <c r="J316" s="14">
        <v>0</v>
      </c>
      <c r="K316" s="14">
        <v>0</v>
      </c>
      <c r="L316" s="14">
        <v>0</v>
      </c>
      <c r="M316" s="14">
        <v>0</v>
      </c>
      <c r="N316" s="14">
        <v>0</v>
      </c>
      <c r="O316" s="14">
        <v>0</v>
      </c>
      <c r="P316" s="14">
        <v>0</v>
      </c>
      <c r="Q316" s="15">
        <v>0</v>
      </c>
      <c r="R316" s="15">
        <v>0</v>
      </c>
      <c r="S316" s="15">
        <f>$G$316*$G$8+$H$316*$H$8+$I$316*$I$8+$J$316*$J$8+$K$316*$K$8+$L$316*$L$8+$M$316*$M$8+$N$316*$N$8+$O$316*$O$8+$P$316*$P$8</f>
        <v>0</v>
      </c>
      <c r="T316" s="15">
        <f>SUM($Q$316:$R$316)</f>
        <v>0</v>
      </c>
      <c r="U316" s="15">
        <f>$S$316+$T$316</f>
        <v>0</v>
      </c>
    </row>
    <row r="317" spans="1:21" x14ac:dyDescent="0.3">
      <c r="A317" s="10" t="s">
        <v>1155</v>
      </c>
      <c r="B317" s="11" t="s">
        <v>1156</v>
      </c>
      <c r="C317" s="11"/>
      <c r="D317" s="11" t="s">
        <v>1157</v>
      </c>
      <c r="E317" s="11">
        <f xml:space="preserve"> IF($U$317,1,0)</f>
        <v>0</v>
      </c>
      <c r="F317" s="11" t="s">
        <v>1158</v>
      </c>
      <c r="G317" s="11">
        <v>0</v>
      </c>
      <c r="H317" s="11">
        <v>0</v>
      </c>
      <c r="I317" s="11">
        <v>0</v>
      </c>
      <c r="J317" s="11">
        <v>0</v>
      </c>
      <c r="K317" s="11">
        <v>0</v>
      </c>
      <c r="L317" s="11">
        <v>0</v>
      </c>
      <c r="M317" s="11">
        <v>0</v>
      </c>
      <c r="N317" s="11">
        <v>0</v>
      </c>
      <c r="O317" s="11">
        <v>0</v>
      </c>
      <c r="P317" s="11">
        <v>0</v>
      </c>
      <c r="Q317" s="12">
        <v>0</v>
      </c>
      <c r="R317" s="12">
        <v>0</v>
      </c>
      <c r="S317" s="12">
        <f>$G$317*$G$8+$H$317*$H$8+$I$317*$I$8+$J$317*$J$8+$K$317*$K$8+$L$317*$L$8+$M$317*$M$8+$N$317*$N$8+$O$317*$O$8+$P$317*$P$8</f>
        <v>0</v>
      </c>
      <c r="T317" s="12">
        <f>SUM($Q$317:$R$317)</f>
        <v>0</v>
      </c>
      <c r="U317" s="12">
        <f>$S$317+$T$317</f>
        <v>0</v>
      </c>
    </row>
    <row r="318" spans="1:21" x14ac:dyDescent="0.3">
      <c r="A318" s="13" t="s">
        <v>1159</v>
      </c>
      <c r="B318" s="14" t="s">
        <v>1160</v>
      </c>
      <c r="C318" s="14"/>
      <c r="D318" s="14" t="s">
        <v>1161</v>
      </c>
      <c r="E318" s="14">
        <f xml:space="preserve"> IF($U$318,1,0)</f>
        <v>0</v>
      </c>
      <c r="F318" s="14" t="s">
        <v>1162</v>
      </c>
      <c r="G318" s="14">
        <v>0</v>
      </c>
      <c r="H318" s="14">
        <v>0</v>
      </c>
      <c r="I318" s="14">
        <v>0</v>
      </c>
      <c r="J318" s="14">
        <v>0</v>
      </c>
      <c r="K318" s="14">
        <v>0</v>
      </c>
      <c r="L318" s="14">
        <v>0</v>
      </c>
      <c r="M318" s="14">
        <v>0</v>
      </c>
      <c r="N318" s="14">
        <v>0</v>
      </c>
      <c r="O318" s="14">
        <v>0</v>
      </c>
      <c r="P318" s="14">
        <v>0</v>
      </c>
      <c r="Q318" s="15">
        <v>0</v>
      </c>
      <c r="R318" s="15">
        <v>0</v>
      </c>
      <c r="S318" s="15">
        <f>$G$318*$G$8+$H$318*$H$8+$I$318*$I$8+$J$318*$J$8+$K$318*$K$8+$L$318*$L$8+$M$318*$M$8+$N$318*$N$8+$O$318*$O$8+$P$318*$P$8</f>
        <v>0</v>
      </c>
      <c r="T318" s="15">
        <f>SUM($Q$318:$R$318)</f>
        <v>0</v>
      </c>
      <c r="U318" s="15">
        <f>$S$318+$T$318</f>
        <v>0</v>
      </c>
    </row>
    <row r="319" spans="1:21" x14ac:dyDescent="0.3">
      <c r="A319" s="10" t="s">
        <v>1163</v>
      </c>
      <c r="B319" s="11" t="s">
        <v>1160</v>
      </c>
      <c r="C319" s="11"/>
      <c r="D319" s="11" t="s">
        <v>1164</v>
      </c>
      <c r="E319" s="11">
        <f xml:space="preserve"> IF($U$319,1,0)</f>
        <v>0</v>
      </c>
      <c r="F319" s="11" t="s">
        <v>1165</v>
      </c>
      <c r="G319" s="11">
        <v>0</v>
      </c>
      <c r="H319" s="11">
        <v>0</v>
      </c>
      <c r="I319" s="11">
        <v>0</v>
      </c>
      <c r="J319" s="11">
        <v>0</v>
      </c>
      <c r="K319" s="11">
        <v>0</v>
      </c>
      <c r="L319" s="11">
        <v>0</v>
      </c>
      <c r="M319" s="11">
        <v>0</v>
      </c>
      <c r="N319" s="11">
        <v>0</v>
      </c>
      <c r="O319" s="11">
        <v>0</v>
      </c>
      <c r="P319" s="11">
        <v>0</v>
      </c>
      <c r="Q319" s="12">
        <v>0</v>
      </c>
      <c r="R319" s="12">
        <v>0</v>
      </c>
      <c r="S319" s="12">
        <f>$G$319*$G$8+$H$319*$H$8+$I$319*$I$8+$J$319*$J$8+$K$319*$K$8+$L$319*$L$8+$M$319*$M$8+$N$319*$N$8+$O$319*$O$8+$P$319*$P$8</f>
        <v>0</v>
      </c>
      <c r="T319" s="12">
        <f>SUM($Q$319:$R$319)</f>
        <v>0</v>
      </c>
      <c r="U319" s="12">
        <f>$S$319+$T$319</f>
        <v>0</v>
      </c>
    </row>
    <row r="320" spans="1:21" x14ac:dyDescent="0.3">
      <c r="A320" s="13" t="s">
        <v>1166</v>
      </c>
      <c r="B320" s="14" t="s">
        <v>1160</v>
      </c>
      <c r="C320" s="14" t="s">
        <v>243</v>
      </c>
      <c r="D320" s="14" t="s">
        <v>1167</v>
      </c>
      <c r="E320" s="14">
        <f xml:space="preserve"> IF($U$320,1,0)</f>
        <v>0</v>
      </c>
      <c r="F320" s="14" t="s">
        <v>1168</v>
      </c>
      <c r="G320" s="14">
        <v>0</v>
      </c>
      <c r="H320" s="14">
        <v>0</v>
      </c>
      <c r="I320" s="14">
        <v>0</v>
      </c>
      <c r="J320" s="14">
        <v>0</v>
      </c>
      <c r="K320" s="14">
        <v>0</v>
      </c>
      <c r="L320" s="14">
        <v>0</v>
      </c>
      <c r="M320" s="14">
        <v>0</v>
      </c>
      <c r="N320" s="14">
        <v>0</v>
      </c>
      <c r="O320" s="14">
        <v>0</v>
      </c>
      <c r="P320" s="14">
        <v>0</v>
      </c>
      <c r="Q320" s="15">
        <v>0</v>
      </c>
      <c r="R320" s="15">
        <v>0</v>
      </c>
      <c r="S320" s="15">
        <f>$G$320*$G$8+$H$320*$H$8+$I$320*$I$8+$J$320*$J$8+$K$320*$K$8+$L$320*$L$8+$M$320*$M$8+$N$320*$N$8+$O$320*$O$8+$P$320*$P$8</f>
        <v>0</v>
      </c>
      <c r="T320" s="15">
        <f>SUM($Q$320:$R$320)</f>
        <v>0</v>
      </c>
      <c r="U320" s="15">
        <f>$S$320+$T$320</f>
        <v>0</v>
      </c>
    </row>
    <row r="321" spans="1:21" x14ac:dyDescent="0.3">
      <c r="A321" s="10" t="s">
        <v>1169</v>
      </c>
      <c r="B321" s="11" t="s">
        <v>1170</v>
      </c>
      <c r="C321" s="11"/>
      <c r="D321" s="11" t="s">
        <v>1171</v>
      </c>
      <c r="E321" s="11">
        <f xml:space="preserve"> IF($U$321,1,0)</f>
        <v>0</v>
      </c>
      <c r="F321" s="11" t="s">
        <v>1172</v>
      </c>
      <c r="G321" s="11">
        <v>0</v>
      </c>
      <c r="H321" s="11">
        <v>0</v>
      </c>
      <c r="I321" s="11">
        <v>0</v>
      </c>
      <c r="J321" s="11">
        <v>0</v>
      </c>
      <c r="K321" s="11">
        <v>0</v>
      </c>
      <c r="L321" s="11">
        <v>0</v>
      </c>
      <c r="M321" s="11">
        <v>0</v>
      </c>
      <c r="N321" s="11">
        <v>0</v>
      </c>
      <c r="O321" s="11">
        <v>0</v>
      </c>
      <c r="P321" s="11">
        <v>0</v>
      </c>
      <c r="Q321" s="12">
        <v>0</v>
      </c>
      <c r="R321" s="12">
        <v>0</v>
      </c>
      <c r="S321" s="12">
        <f>$G$321*$G$8+$H$321*$H$8+$I$321*$I$8+$J$321*$J$8+$K$321*$K$8+$L$321*$L$8+$M$321*$M$8+$N$321*$N$8+$O$321*$O$8+$P$321*$P$8</f>
        <v>0</v>
      </c>
      <c r="T321" s="12">
        <f>SUM($Q$321:$R$321)</f>
        <v>0</v>
      </c>
      <c r="U321" s="12">
        <f>$S$321+$T$321</f>
        <v>0</v>
      </c>
    </row>
    <row r="322" spans="1:21" x14ac:dyDescent="0.3">
      <c r="A322" s="13" t="s">
        <v>1173</v>
      </c>
      <c r="B322" s="14" t="s">
        <v>1174</v>
      </c>
      <c r="C322" s="14"/>
      <c r="D322" s="14" t="s">
        <v>1175</v>
      </c>
      <c r="E322" s="14">
        <f xml:space="preserve"> IF($U$322,1,0)</f>
        <v>0</v>
      </c>
      <c r="F322" s="14" t="s">
        <v>1176</v>
      </c>
      <c r="G322" s="14">
        <v>0</v>
      </c>
      <c r="H322" s="14">
        <v>0</v>
      </c>
      <c r="I322" s="14">
        <v>0</v>
      </c>
      <c r="J322" s="14">
        <v>0</v>
      </c>
      <c r="K322" s="14">
        <v>0</v>
      </c>
      <c r="L322" s="14">
        <v>0</v>
      </c>
      <c r="M322" s="14">
        <v>0</v>
      </c>
      <c r="N322" s="14">
        <v>0</v>
      </c>
      <c r="O322" s="14">
        <v>0</v>
      </c>
      <c r="P322" s="14">
        <v>0</v>
      </c>
      <c r="Q322" s="15">
        <v>0</v>
      </c>
      <c r="R322" s="15">
        <v>0</v>
      </c>
      <c r="S322" s="15">
        <f>$G$322*$G$8+$H$322*$H$8+$I$322*$I$8+$J$322*$J$8+$K$322*$K$8+$L$322*$L$8+$M$322*$M$8+$N$322*$N$8+$O$322*$O$8+$P$322*$P$8</f>
        <v>0</v>
      </c>
      <c r="T322" s="15">
        <f>SUM($Q$322:$R$322)</f>
        <v>0</v>
      </c>
      <c r="U322" s="15">
        <f>$S$322+$T$322</f>
        <v>0</v>
      </c>
    </row>
    <row r="323" spans="1:21" x14ac:dyDescent="0.3">
      <c r="A323" s="10" t="s">
        <v>1177</v>
      </c>
      <c r="B323" s="11" t="s">
        <v>1174</v>
      </c>
      <c r="C323" s="11" t="s">
        <v>65</v>
      </c>
      <c r="D323" s="11" t="s">
        <v>1178</v>
      </c>
      <c r="E323" s="11">
        <f xml:space="preserve"> IF($U$323,1,0)</f>
        <v>0</v>
      </c>
      <c r="F323" s="11" t="s">
        <v>1179</v>
      </c>
      <c r="G323" s="11">
        <v>0</v>
      </c>
      <c r="H323" s="11">
        <v>0</v>
      </c>
      <c r="I323" s="11">
        <v>0</v>
      </c>
      <c r="J323" s="11">
        <v>0</v>
      </c>
      <c r="K323" s="11">
        <v>0</v>
      </c>
      <c r="L323" s="11">
        <v>0</v>
      </c>
      <c r="M323" s="11">
        <v>0</v>
      </c>
      <c r="N323" s="11">
        <v>0</v>
      </c>
      <c r="O323" s="11">
        <v>0</v>
      </c>
      <c r="P323" s="11">
        <v>0</v>
      </c>
      <c r="Q323" s="12">
        <v>0</v>
      </c>
      <c r="R323" s="12">
        <v>0</v>
      </c>
      <c r="S323" s="12">
        <f>$G$323*$G$8+$H$323*$H$8+$I$323*$I$8+$J$323*$J$8+$K$323*$K$8+$L$323*$L$8+$M$323*$M$8+$N$323*$N$8+$O$323*$O$8+$P$323*$P$8</f>
        <v>0</v>
      </c>
      <c r="T323" s="12">
        <f>SUM($Q$323:$R$323)</f>
        <v>0</v>
      </c>
      <c r="U323" s="12">
        <f>$S$323+$T$323</f>
        <v>0</v>
      </c>
    </row>
    <row r="324" spans="1:21" x14ac:dyDescent="0.3">
      <c r="A324" s="13" t="s">
        <v>1180</v>
      </c>
      <c r="B324" s="14" t="s">
        <v>1181</v>
      </c>
      <c r="C324" s="14"/>
      <c r="D324" s="14" t="s">
        <v>1182</v>
      </c>
      <c r="E324" s="14">
        <f xml:space="preserve"> IF($U$324,1,0)</f>
        <v>0</v>
      </c>
      <c r="F324" s="14" t="s">
        <v>1183</v>
      </c>
      <c r="G324" s="14">
        <v>0</v>
      </c>
      <c r="H324" s="14">
        <v>0</v>
      </c>
      <c r="I324" s="14">
        <v>0</v>
      </c>
      <c r="J324" s="14">
        <v>0</v>
      </c>
      <c r="K324" s="14">
        <v>0</v>
      </c>
      <c r="L324" s="14">
        <v>0</v>
      </c>
      <c r="M324" s="14">
        <v>0</v>
      </c>
      <c r="N324" s="14">
        <v>0</v>
      </c>
      <c r="O324" s="14">
        <v>0</v>
      </c>
      <c r="P324" s="14">
        <v>0</v>
      </c>
      <c r="Q324" s="15">
        <v>0</v>
      </c>
      <c r="R324" s="15">
        <v>0</v>
      </c>
      <c r="S324" s="15">
        <f>$G$324*$G$8+$H$324*$H$8+$I$324*$I$8+$J$324*$J$8+$K$324*$K$8+$L$324*$L$8+$M$324*$M$8+$N$324*$N$8+$O$324*$O$8+$P$324*$P$8</f>
        <v>0</v>
      </c>
      <c r="T324" s="15">
        <f>SUM($Q$324:$R$324)</f>
        <v>0</v>
      </c>
      <c r="U324" s="15">
        <f>$S$324+$T$324</f>
        <v>0</v>
      </c>
    </row>
    <row r="325" spans="1:21" x14ac:dyDescent="0.3">
      <c r="A325" s="10" t="s">
        <v>1184</v>
      </c>
      <c r="B325" s="11" t="s">
        <v>1185</v>
      </c>
      <c r="C325" s="11" t="s">
        <v>65</v>
      </c>
      <c r="D325" s="11" t="s">
        <v>1186</v>
      </c>
      <c r="E325" s="11">
        <f xml:space="preserve"> IF($U$325,1,0)</f>
        <v>0</v>
      </c>
      <c r="F325" s="11" t="s">
        <v>1187</v>
      </c>
      <c r="G325" s="11">
        <v>0</v>
      </c>
      <c r="H325" s="11">
        <v>0</v>
      </c>
      <c r="I325" s="11">
        <v>0</v>
      </c>
      <c r="J325" s="11">
        <v>0</v>
      </c>
      <c r="K325" s="11">
        <v>0</v>
      </c>
      <c r="L325" s="11">
        <v>0</v>
      </c>
      <c r="M325" s="11">
        <v>0</v>
      </c>
      <c r="N325" s="11">
        <v>0</v>
      </c>
      <c r="O325" s="11">
        <v>0</v>
      </c>
      <c r="P325" s="11">
        <v>0</v>
      </c>
      <c r="Q325" s="12">
        <v>0</v>
      </c>
      <c r="R325" s="12">
        <v>0</v>
      </c>
      <c r="S325" s="12">
        <f>$G$325*$G$8+$H$325*$H$8+$I$325*$I$8+$J$325*$J$8+$K$325*$K$8+$L$325*$L$8+$M$325*$M$8+$N$325*$N$8+$O$325*$O$8+$P$325*$P$8</f>
        <v>0</v>
      </c>
      <c r="T325" s="12">
        <f>SUM($Q$325:$R$325)</f>
        <v>0</v>
      </c>
      <c r="U325" s="12">
        <f>$S$325+$T$325</f>
        <v>0</v>
      </c>
    </row>
    <row r="326" spans="1:21" x14ac:dyDescent="0.3">
      <c r="A326" s="13" t="s">
        <v>1188</v>
      </c>
      <c r="B326" s="14" t="s">
        <v>1189</v>
      </c>
      <c r="C326" s="14"/>
      <c r="D326" s="14" t="s">
        <v>1190</v>
      </c>
      <c r="E326" s="14">
        <f xml:space="preserve"> IF($U$326,1,0)</f>
        <v>0</v>
      </c>
      <c r="F326" s="14" t="s">
        <v>1191</v>
      </c>
      <c r="G326" s="14">
        <v>0</v>
      </c>
      <c r="H326" s="14">
        <v>0</v>
      </c>
      <c r="I326" s="14">
        <v>0</v>
      </c>
      <c r="J326" s="14">
        <v>0</v>
      </c>
      <c r="K326" s="14">
        <v>0</v>
      </c>
      <c r="L326" s="14">
        <v>0</v>
      </c>
      <c r="M326" s="14">
        <v>0</v>
      </c>
      <c r="N326" s="14">
        <v>0</v>
      </c>
      <c r="O326" s="14">
        <v>0</v>
      </c>
      <c r="P326" s="14">
        <v>0</v>
      </c>
      <c r="Q326" s="15">
        <v>0</v>
      </c>
      <c r="R326" s="15">
        <v>0</v>
      </c>
      <c r="S326" s="15">
        <f>$G$326*$G$8+$H$326*$H$8+$I$326*$I$8+$J$326*$J$8+$K$326*$K$8+$L$326*$L$8+$M$326*$M$8+$N$326*$N$8+$O$326*$O$8+$P$326*$P$8</f>
        <v>0</v>
      </c>
      <c r="T326" s="15">
        <f>SUM($Q$326:$R$326)</f>
        <v>0</v>
      </c>
      <c r="U326" s="15">
        <f>$S$326+$T$326</f>
        <v>0</v>
      </c>
    </row>
    <row r="327" spans="1:21" x14ac:dyDescent="0.3">
      <c r="A327" s="10" t="s">
        <v>1192</v>
      </c>
      <c r="B327" s="11" t="s">
        <v>1193</v>
      </c>
      <c r="C327" s="11"/>
      <c r="D327" s="11" t="s">
        <v>1194</v>
      </c>
      <c r="E327" s="11">
        <f xml:space="preserve"> IF($U$327,1,0)</f>
        <v>0</v>
      </c>
      <c r="F327" s="11" t="s">
        <v>1195</v>
      </c>
      <c r="G327" s="11">
        <v>0</v>
      </c>
      <c r="H327" s="11">
        <v>0</v>
      </c>
      <c r="I327" s="11">
        <v>0</v>
      </c>
      <c r="J327" s="11">
        <v>0</v>
      </c>
      <c r="K327" s="11">
        <v>0</v>
      </c>
      <c r="L327" s="11">
        <v>0</v>
      </c>
      <c r="M327" s="11">
        <v>0</v>
      </c>
      <c r="N327" s="11">
        <v>0</v>
      </c>
      <c r="O327" s="11">
        <v>0</v>
      </c>
      <c r="P327" s="11">
        <v>0</v>
      </c>
      <c r="Q327" s="12">
        <v>0</v>
      </c>
      <c r="R327" s="12">
        <v>0</v>
      </c>
      <c r="S327" s="12">
        <f>$G$327*$G$8+$H$327*$H$8+$I$327*$I$8+$J$327*$J$8+$K$327*$K$8+$L$327*$L$8+$M$327*$M$8+$N$327*$N$8+$O$327*$O$8+$P$327*$P$8</f>
        <v>0</v>
      </c>
      <c r="T327" s="12">
        <f>SUM($Q$327:$R$327)</f>
        <v>0</v>
      </c>
      <c r="U327" s="12">
        <f>$S$327+$T$327</f>
        <v>0</v>
      </c>
    </row>
    <row r="328" spans="1:21" x14ac:dyDescent="0.3">
      <c r="A328" s="13" t="s">
        <v>1196</v>
      </c>
      <c r="B328" s="14" t="s">
        <v>1197</v>
      </c>
      <c r="C328" s="14"/>
      <c r="D328" s="14" t="s">
        <v>1198</v>
      </c>
      <c r="E328" s="14">
        <f xml:space="preserve"> IF($U$328,1,0)</f>
        <v>0</v>
      </c>
      <c r="F328" s="14" t="s">
        <v>1199</v>
      </c>
      <c r="G328" s="14">
        <v>0</v>
      </c>
      <c r="H328" s="14">
        <v>0</v>
      </c>
      <c r="I328" s="14">
        <v>0</v>
      </c>
      <c r="J328" s="14">
        <v>0</v>
      </c>
      <c r="K328" s="14">
        <v>0</v>
      </c>
      <c r="L328" s="14">
        <v>0</v>
      </c>
      <c r="M328" s="14">
        <v>0</v>
      </c>
      <c r="N328" s="14">
        <v>0</v>
      </c>
      <c r="O328" s="14">
        <v>0</v>
      </c>
      <c r="P328" s="14">
        <v>0</v>
      </c>
      <c r="Q328" s="15">
        <v>0</v>
      </c>
      <c r="R328" s="15">
        <v>0</v>
      </c>
      <c r="S328" s="15">
        <f>$G$328*$G$8+$H$328*$H$8+$I$328*$I$8+$J$328*$J$8+$K$328*$K$8+$L$328*$L$8+$M$328*$M$8+$N$328*$N$8+$O$328*$O$8+$P$328*$P$8</f>
        <v>0</v>
      </c>
      <c r="T328" s="15">
        <f>SUM($Q$328:$R$328)</f>
        <v>0</v>
      </c>
      <c r="U328" s="15">
        <f>$S$328+$T$328</f>
        <v>0</v>
      </c>
    </row>
    <row r="329" spans="1:21" x14ac:dyDescent="0.3">
      <c r="A329" s="10" t="s">
        <v>1200</v>
      </c>
      <c r="B329" s="11" t="s">
        <v>1201</v>
      </c>
      <c r="C329" s="11"/>
      <c r="D329" s="11" t="s">
        <v>1202</v>
      </c>
      <c r="E329" s="11">
        <f xml:space="preserve"> IF($U$329,1,0)</f>
        <v>0</v>
      </c>
      <c r="F329" s="11" t="s">
        <v>1203</v>
      </c>
      <c r="G329" s="11">
        <v>0</v>
      </c>
      <c r="H329" s="11">
        <v>0</v>
      </c>
      <c r="I329" s="11">
        <v>0</v>
      </c>
      <c r="J329" s="11">
        <v>0</v>
      </c>
      <c r="K329" s="11">
        <v>0</v>
      </c>
      <c r="L329" s="11">
        <v>0</v>
      </c>
      <c r="M329" s="11">
        <v>0</v>
      </c>
      <c r="N329" s="11">
        <v>0</v>
      </c>
      <c r="O329" s="11">
        <v>0</v>
      </c>
      <c r="P329" s="11">
        <v>0</v>
      </c>
      <c r="Q329" s="12">
        <v>0</v>
      </c>
      <c r="R329" s="12">
        <v>0</v>
      </c>
      <c r="S329" s="12">
        <f>$G$329*$G$8+$H$329*$H$8+$I$329*$I$8+$J$329*$J$8+$K$329*$K$8+$L$329*$L$8+$M$329*$M$8+$N$329*$N$8+$O$329*$O$8+$P$329*$P$8</f>
        <v>0</v>
      </c>
      <c r="T329" s="12">
        <f>SUM($Q$329:$R$329)</f>
        <v>0</v>
      </c>
      <c r="U329" s="12">
        <f>$S$329+$T$329</f>
        <v>0</v>
      </c>
    </row>
    <row r="330" spans="1:21" x14ac:dyDescent="0.3">
      <c r="A330" s="13" t="s">
        <v>1204</v>
      </c>
      <c r="B330" s="14" t="s">
        <v>1205</v>
      </c>
      <c r="C330" s="14"/>
      <c r="D330" s="14" t="s">
        <v>1206</v>
      </c>
      <c r="E330" s="14">
        <f xml:space="preserve"> IF($U$330,1,0)</f>
        <v>0</v>
      </c>
      <c r="F330" s="14" t="s">
        <v>1207</v>
      </c>
      <c r="G330" s="14">
        <v>0</v>
      </c>
      <c r="H330" s="14">
        <v>0</v>
      </c>
      <c r="I330" s="14">
        <v>0</v>
      </c>
      <c r="J330" s="14">
        <v>0</v>
      </c>
      <c r="K330" s="14">
        <v>0</v>
      </c>
      <c r="L330" s="14">
        <v>0</v>
      </c>
      <c r="M330" s="14">
        <v>0</v>
      </c>
      <c r="N330" s="14">
        <v>0</v>
      </c>
      <c r="O330" s="14">
        <v>0</v>
      </c>
      <c r="P330" s="14">
        <v>0</v>
      </c>
      <c r="Q330" s="15">
        <v>0</v>
      </c>
      <c r="R330" s="15">
        <v>0</v>
      </c>
      <c r="S330" s="15">
        <f>$G$330*$G$8+$H$330*$H$8+$I$330*$I$8+$J$330*$J$8+$K$330*$K$8+$L$330*$L$8+$M$330*$M$8+$N$330*$N$8+$O$330*$O$8+$P$330*$P$8</f>
        <v>0</v>
      </c>
      <c r="T330" s="15">
        <f>SUM($Q$330:$R$330)</f>
        <v>0</v>
      </c>
      <c r="U330" s="15">
        <f>$S$330+$T$330</f>
        <v>0</v>
      </c>
    </row>
    <row r="331" spans="1:21" x14ac:dyDescent="0.3">
      <c r="A331" s="10" t="s">
        <v>1208</v>
      </c>
      <c r="B331" s="11" t="s">
        <v>1205</v>
      </c>
      <c r="C331" s="11"/>
      <c r="D331" s="11" t="s">
        <v>1209</v>
      </c>
      <c r="E331" s="11">
        <f xml:space="preserve"> IF($U$331,1,0)</f>
        <v>0</v>
      </c>
      <c r="F331" s="11" t="s">
        <v>1210</v>
      </c>
      <c r="G331" s="11">
        <v>0</v>
      </c>
      <c r="H331" s="11">
        <v>0</v>
      </c>
      <c r="I331" s="11">
        <v>0</v>
      </c>
      <c r="J331" s="11">
        <v>0</v>
      </c>
      <c r="K331" s="11">
        <v>0</v>
      </c>
      <c r="L331" s="11">
        <v>0</v>
      </c>
      <c r="M331" s="11">
        <v>0</v>
      </c>
      <c r="N331" s="11">
        <v>0</v>
      </c>
      <c r="O331" s="11">
        <v>0</v>
      </c>
      <c r="P331" s="11">
        <v>0</v>
      </c>
      <c r="Q331" s="12">
        <v>0</v>
      </c>
      <c r="R331" s="12">
        <v>0</v>
      </c>
      <c r="S331" s="12">
        <f>$G$331*$G$8+$H$331*$H$8+$I$331*$I$8+$J$331*$J$8+$K$331*$K$8+$L$331*$L$8+$M$331*$M$8+$N$331*$N$8+$O$331*$O$8+$P$331*$P$8</f>
        <v>0</v>
      </c>
      <c r="T331" s="12">
        <f>SUM($Q$331:$R$331)</f>
        <v>0</v>
      </c>
      <c r="U331" s="12">
        <f>$S$331+$T$331</f>
        <v>0</v>
      </c>
    </row>
    <row r="332" spans="1:21" x14ac:dyDescent="0.3">
      <c r="A332" s="13" t="s">
        <v>1211</v>
      </c>
      <c r="B332" s="14" t="s">
        <v>1212</v>
      </c>
      <c r="C332" s="14"/>
      <c r="D332" s="14" t="s">
        <v>670</v>
      </c>
      <c r="E332" s="14">
        <f xml:space="preserve"> IF($U$332,1,0)</f>
        <v>0</v>
      </c>
      <c r="F332" s="14" t="s">
        <v>1213</v>
      </c>
      <c r="G332" s="14">
        <v>0</v>
      </c>
      <c r="H332" s="14">
        <v>0</v>
      </c>
      <c r="I332" s="14">
        <v>0</v>
      </c>
      <c r="J332" s="14">
        <v>0</v>
      </c>
      <c r="K332" s="14">
        <v>0</v>
      </c>
      <c r="L332" s="14">
        <v>0</v>
      </c>
      <c r="M332" s="14">
        <v>0</v>
      </c>
      <c r="N332" s="14">
        <v>0</v>
      </c>
      <c r="O332" s="14">
        <v>0</v>
      </c>
      <c r="P332" s="14">
        <v>0</v>
      </c>
      <c r="Q332" s="15">
        <v>0</v>
      </c>
      <c r="R332" s="15">
        <v>0</v>
      </c>
      <c r="S332" s="15">
        <f>$G$332*$G$8+$H$332*$H$8+$I$332*$I$8+$J$332*$J$8+$K$332*$K$8+$L$332*$L$8+$M$332*$M$8+$N$332*$N$8+$O$332*$O$8+$P$332*$P$8</f>
        <v>0</v>
      </c>
      <c r="T332" s="15">
        <f>SUM($Q$332:$R$332)</f>
        <v>0</v>
      </c>
      <c r="U332" s="15">
        <f>$S$332+$T$332</f>
        <v>0</v>
      </c>
    </row>
    <row r="333" spans="1:21" x14ac:dyDescent="0.3">
      <c r="A333" s="10" t="s">
        <v>1214</v>
      </c>
      <c r="B333" s="11" t="s">
        <v>1215</v>
      </c>
      <c r="C333" s="11"/>
      <c r="D333" s="11" t="s">
        <v>1216</v>
      </c>
      <c r="E333" s="11">
        <f xml:space="preserve"> IF($U$333,1,0)</f>
        <v>0</v>
      </c>
      <c r="F333" s="11" t="s">
        <v>1217</v>
      </c>
      <c r="G333" s="11">
        <v>0</v>
      </c>
      <c r="H333" s="11">
        <v>0</v>
      </c>
      <c r="I333" s="11">
        <v>0</v>
      </c>
      <c r="J333" s="11">
        <v>0</v>
      </c>
      <c r="K333" s="11">
        <v>0</v>
      </c>
      <c r="L333" s="11">
        <v>0</v>
      </c>
      <c r="M333" s="11">
        <v>0</v>
      </c>
      <c r="N333" s="11">
        <v>0</v>
      </c>
      <c r="O333" s="11">
        <v>0</v>
      </c>
      <c r="P333" s="11">
        <v>0</v>
      </c>
      <c r="Q333" s="12">
        <v>0</v>
      </c>
      <c r="R333" s="12">
        <v>0</v>
      </c>
      <c r="S333" s="12">
        <f>$G$333*$G$8+$H$333*$H$8+$I$333*$I$8+$J$333*$J$8+$K$333*$K$8+$L$333*$L$8+$M$333*$M$8+$N$333*$N$8+$O$333*$O$8+$P$333*$P$8</f>
        <v>0</v>
      </c>
      <c r="T333" s="12">
        <f>SUM($Q$333:$R$333)</f>
        <v>0</v>
      </c>
      <c r="U333" s="12">
        <f>$S$333+$T$333</f>
        <v>0</v>
      </c>
    </row>
    <row r="334" spans="1:21" x14ac:dyDescent="0.3">
      <c r="A334" s="13" t="s">
        <v>1218</v>
      </c>
      <c r="B334" s="14" t="s">
        <v>1219</v>
      </c>
      <c r="C334" s="14" t="s">
        <v>202</v>
      </c>
      <c r="D334" s="14" t="s">
        <v>1068</v>
      </c>
      <c r="E334" s="14">
        <f xml:space="preserve"> IF($U$334,1,0)</f>
        <v>0</v>
      </c>
      <c r="F334" s="14" t="s">
        <v>1220</v>
      </c>
      <c r="G334" s="14">
        <v>0</v>
      </c>
      <c r="H334" s="14">
        <v>0</v>
      </c>
      <c r="I334" s="14">
        <v>0</v>
      </c>
      <c r="J334" s="14">
        <v>0</v>
      </c>
      <c r="K334" s="14">
        <v>0</v>
      </c>
      <c r="L334" s="14">
        <v>0</v>
      </c>
      <c r="M334" s="14">
        <v>0</v>
      </c>
      <c r="N334" s="14">
        <v>0</v>
      </c>
      <c r="O334" s="14">
        <v>0</v>
      </c>
      <c r="P334" s="14">
        <v>0</v>
      </c>
      <c r="Q334" s="15">
        <v>0</v>
      </c>
      <c r="R334" s="15">
        <v>0</v>
      </c>
      <c r="S334" s="15">
        <f>$G$334*$G$8+$H$334*$H$8+$I$334*$I$8+$J$334*$J$8+$K$334*$K$8+$L$334*$L$8+$M$334*$M$8+$N$334*$N$8+$O$334*$O$8+$P$334*$P$8</f>
        <v>0</v>
      </c>
      <c r="T334" s="15">
        <f>SUM($Q$334:$R$334)</f>
        <v>0</v>
      </c>
      <c r="U334" s="15">
        <f>$S$334+$T$334</f>
        <v>0</v>
      </c>
    </row>
    <row r="335" spans="1:21" x14ac:dyDescent="0.3">
      <c r="A335" s="10" t="s">
        <v>1221</v>
      </c>
      <c r="B335" s="11" t="s">
        <v>1222</v>
      </c>
      <c r="C335" s="11"/>
      <c r="D335" s="11" t="s">
        <v>1223</v>
      </c>
      <c r="E335" s="11">
        <f xml:space="preserve"> IF($U$335,1,0)</f>
        <v>0</v>
      </c>
      <c r="F335" s="11" t="s">
        <v>1224</v>
      </c>
      <c r="G335" s="11">
        <v>0</v>
      </c>
      <c r="H335" s="11">
        <v>0</v>
      </c>
      <c r="I335" s="11">
        <v>0</v>
      </c>
      <c r="J335" s="11">
        <v>0</v>
      </c>
      <c r="K335" s="11">
        <v>0</v>
      </c>
      <c r="L335" s="11">
        <v>0</v>
      </c>
      <c r="M335" s="11">
        <v>0</v>
      </c>
      <c r="N335" s="11">
        <v>0</v>
      </c>
      <c r="O335" s="11">
        <v>0</v>
      </c>
      <c r="P335" s="11">
        <v>0</v>
      </c>
      <c r="Q335" s="12">
        <v>0</v>
      </c>
      <c r="R335" s="12">
        <v>0</v>
      </c>
      <c r="S335" s="12">
        <f>$G$335*$G$8+$H$335*$H$8+$I$335*$I$8+$J$335*$J$8+$K$335*$K$8+$L$335*$L$8+$M$335*$M$8+$N$335*$N$8+$O$335*$O$8+$P$335*$P$8</f>
        <v>0</v>
      </c>
      <c r="T335" s="12">
        <f>SUM($Q$335:$R$335)</f>
        <v>0</v>
      </c>
      <c r="U335" s="12">
        <f>$S$335+$T$335</f>
        <v>0</v>
      </c>
    </row>
    <row r="336" spans="1:21" x14ac:dyDescent="0.3">
      <c r="A336" s="13" t="s">
        <v>1225</v>
      </c>
      <c r="B336" s="14" t="s">
        <v>1226</v>
      </c>
      <c r="C336" s="14" t="s">
        <v>34</v>
      </c>
      <c r="D336" s="14" t="s">
        <v>1227</v>
      </c>
      <c r="E336" s="14">
        <f xml:space="preserve"> IF($U$336,1,0)</f>
        <v>0</v>
      </c>
      <c r="F336" s="14" t="s">
        <v>1228</v>
      </c>
      <c r="G336" s="14">
        <v>0</v>
      </c>
      <c r="H336" s="14">
        <v>0</v>
      </c>
      <c r="I336" s="14">
        <v>0</v>
      </c>
      <c r="J336" s="14">
        <v>0</v>
      </c>
      <c r="K336" s="14">
        <v>0</v>
      </c>
      <c r="L336" s="14">
        <v>0</v>
      </c>
      <c r="M336" s="14">
        <v>0</v>
      </c>
      <c r="N336" s="14">
        <v>0</v>
      </c>
      <c r="O336" s="14">
        <v>0</v>
      </c>
      <c r="P336" s="14">
        <v>0</v>
      </c>
      <c r="Q336" s="15">
        <v>0</v>
      </c>
      <c r="R336" s="15">
        <v>0</v>
      </c>
      <c r="S336" s="15">
        <f>$G$336*$G$8+$H$336*$H$8+$I$336*$I$8+$J$336*$J$8+$K$336*$K$8+$L$336*$L$8+$M$336*$M$8+$N$336*$N$8+$O$336*$O$8+$P$336*$P$8</f>
        <v>0</v>
      </c>
      <c r="T336" s="15">
        <f>SUM($Q$336:$R$336)</f>
        <v>0</v>
      </c>
      <c r="U336" s="15">
        <f>$S$336+$T$336</f>
        <v>0</v>
      </c>
    </row>
    <row r="337" spans="1:21" x14ac:dyDescent="0.3">
      <c r="A337" s="10" t="s">
        <v>1229</v>
      </c>
      <c r="B337" s="11" t="s">
        <v>1230</v>
      </c>
      <c r="C337" s="11"/>
      <c r="D337" s="11" t="s">
        <v>1231</v>
      </c>
      <c r="E337" s="11">
        <f xml:space="preserve"> IF($U$337,1,0)</f>
        <v>0</v>
      </c>
      <c r="F337" s="11" t="s">
        <v>1232</v>
      </c>
      <c r="G337" s="11">
        <v>0</v>
      </c>
      <c r="H337" s="11">
        <v>0</v>
      </c>
      <c r="I337" s="11">
        <v>0</v>
      </c>
      <c r="J337" s="11">
        <v>0</v>
      </c>
      <c r="K337" s="11">
        <v>0</v>
      </c>
      <c r="L337" s="11">
        <v>0</v>
      </c>
      <c r="M337" s="11">
        <v>0</v>
      </c>
      <c r="N337" s="11">
        <v>0</v>
      </c>
      <c r="O337" s="11">
        <v>0</v>
      </c>
      <c r="P337" s="11">
        <v>0</v>
      </c>
      <c r="Q337" s="12">
        <v>0</v>
      </c>
      <c r="R337" s="12">
        <v>0</v>
      </c>
      <c r="S337" s="12">
        <f>$G$337*$G$8+$H$337*$H$8+$I$337*$I$8+$J$337*$J$8+$K$337*$K$8+$L$337*$L$8+$M$337*$M$8+$N$337*$N$8+$O$337*$O$8+$P$337*$P$8</f>
        <v>0</v>
      </c>
      <c r="T337" s="12">
        <f>SUM($Q$337:$R$337)</f>
        <v>0</v>
      </c>
      <c r="U337" s="12">
        <f>$S$337+$T$337</f>
        <v>0</v>
      </c>
    </row>
    <row r="338" spans="1:21" x14ac:dyDescent="0.3">
      <c r="A338" s="13" t="s">
        <v>1233</v>
      </c>
      <c r="B338" s="14" t="s">
        <v>1230</v>
      </c>
      <c r="C338" s="14"/>
      <c r="D338" s="14" t="s">
        <v>1234</v>
      </c>
      <c r="E338" s="14">
        <f xml:space="preserve"> IF($U$338,1,0)</f>
        <v>0</v>
      </c>
      <c r="F338" s="14" t="s">
        <v>1235</v>
      </c>
      <c r="G338" s="14">
        <v>0</v>
      </c>
      <c r="H338" s="14">
        <v>0</v>
      </c>
      <c r="I338" s="14">
        <v>0</v>
      </c>
      <c r="J338" s="14">
        <v>0</v>
      </c>
      <c r="K338" s="14">
        <v>0</v>
      </c>
      <c r="L338" s="14">
        <v>0</v>
      </c>
      <c r="M338" s="14">
        <v>0</v>
      </c>
      <c r="N338" s="14">
        <v>0</v>
      </c>
      <c r="O338" s="14">
        <v>0</v>
      </c>
      <c r="P338" s="14">
        <v>0</v>
      </c>
      <c r="Q338" s="15">
        <v>0</v>
      </c>
      <c r="R338" s="15">
        <v>0</v>
      </c>
      <c r="S338" s="15">
        <f>$G$338*$G$8+$H$338*$H$8+$I$338*$I$8+$J$338*$J$8+$K$338*$K$8+$L$338*$L$8+$M$338*$M$8+$N$338*$N$8+$O$338*$O$8+$P$338*$P$8</f>
        <v>0</v>
      </c>
      <c r="T338" s="15">
        <f>SUM($Q$338:$R$338)</f>
        <v>0</v>
      </c>
      <c r="U338" s="15">
        <f>$S$338+$T$338</f>
        <v>0</v>
      </c>
    </row>
    <row r="339" spans="1:21" x14ac:dyDescent="0.3">
      <c r="A339" s="10" t="s">
        <v>1236</v>
      </c>
      <c r="B339" s="11" t="s">
        <v>1237</v>
      </c>
      <c r="C339" s="11"/>
      <c r="D339" s="11" t="s">
        <v>1237</v>
      </c>
      <c r="E339" s="11">
        <f xml:space="preserve"> IF($U$339,1,0)</f>
        <v>0</v>
      </c>
      <c r="F339" s="11" t="s">
        <v>1238</v>
      </c>
      <c r="G339" s="11">
        <v>0</v>
      </c>
      <c r="H339" s="11">
        <v>0</v>
      </c>
      <c r="I339" s="11">
        <v>0</v>
      </c>
      <c r="J339" s="11">
        <v>0</v>
      </c>
      <c r="K339" s="11">
        <v>0</v>
      </c>
      <c r="L339" s="11">
        <v>0</v>
      </c>
      <c r="M339" s="11">
        <v>0</v>
      </c>
      <c r="N339" s="11">
        <v>0</v>
      </c>
      <c r="O339" s="11">
        <v>0</v>
      </c>
      <c r="P339" s="11">
        <v>0</v>
      </c>
      <c r="Q339" s="12">
        <v>0</v>
      </c>
      <c r="R339" s="12">
        <v>0</v>
      </c>
      <c r="S339" s="12">
        <f>$G$339*$G$8+$H$339*$H$8+$I$339*$I$8+$J$339*$J$8+$K$339*$K$8+$L$339*$L$8+$M$339*$M$8+$N$339*$N$8+$O$339*$O$8+$P$339*$P$8</f>
        <v>0</v>
      </c>
      <c r="T339" s="12">
        <f>SUM($Q$339:$R$339)</f>
        <v>0</v>
      </c>
      <c r="U339" s="12">
        <f>$S$339+$T$339</f>
        <v>0</v>
      </c>
    </row>
    <row r="341" spans="1:21" ht="15" thickBot="1" x14ac:dyDescent="0.35">
      <c r="E341" s="5" t="s">
        <v>18</v>
      </c>
      <c r="F341" s="6" t="s">
        <v>19</v>
      </c>
      <c r="G341" s="6" t="s">
        <v>4</v>
      </c>
      <c r="H341" s="6" t="s">
        <v>1245</v>
      </c>
      <c r="I341" s="6" t="s">
        <v>7</v>
      </c>
      <c r="J341" s="6" t="s">
        <v>6</v>
      </c>
      <c r="K341" s="6" t="s">
        <v>8</v>
      </c>
      <c r="L341" s="6" t="s">
        <v>9</v>
      </c>
      <c r="M341" s="6" t="s">
        <v>10</v>
      </c>
      <c r="N341" s="6" t="s">
        <v>11</v>
      </c>
      <c r="O341" s="6" t="s">
        <v>12</v>
      </c>
      <c r="P341" s="6" t="s">
        <v>1277</v>
      </c>
      <c r="Q341" s="6" t="s">
        <v>1259</v>
      </c>
      <c r="R341" s="6" t="s">
        <v>1260</v>
      </c>
      <c r="S341" s="6" t="s">
        <v>23</v>
      </c>
      <c r="T341" s="6" t="s">
        <v>26</v>
      </c>
      <c r="U341" s="6" t="s">
        <v>25</v>
      </c>
    </row>
    <row r="342" spans="1:21" ht="15" thickTop="1" x14ac:dyDescent="0.3">
      <c r="E342" s="7">
        <f xml:space="preserve"> IF($U$342,1,0)</f>
        <v>0</v>
      </c>
      <c r="F342" s="8" t="s">
        <v>1247</v>
      </c>
      <c r="G342" s="8">
        <v>0</v>
      </c>
      <c r="H342" s="8">
        <v>0</v>
      </c>
      <c r="I342" s="8">
        <v>0</v>
      </c>
      <c r="J342" s="8">
        <v>0</v>
      </c>
      <c r="K342" s="8">
        <v>0</v>
      </c>
      <c r="L342" s="8">
        <v>0</v>
      </c>
      <c r="M342" s="8">
        <v>0</v>
      </c>
      <c r="N342" s="8">
        <v>0</v>
      </c>
      <c r="O342" s="8">
        <v>0</v>
      </c>
      <c r="P342" s="8">
        <v>0</v>
      </c>
      <c r="Q342" s="8"/>
      <c r="R342" s="8"/>
      <c r="S342" s="9">
        <f>$G$342*$G$8+$H$342*$H$8+$I$342*$I$8+$J$342*$J$8+$K$342*$K$8+$L$342*$L$8+$M$342*$M$8+$N$342*$N$8+$O$342*$O$8+$P$342*$P$8</f>
        <v>0</v>
      </c>
      <c r="T342" s="9">
        <f>$U$342/2</f>
        <v>0</v>
      </c>
      <c r="U342" s="9">
        <f>$G$342*$G$8+$H$342*$H$8+$I$342*$I$8+$J$342*$J$8+$K$342*$K$8+$L$342*$L$8+$M$342*$M$8+$N$342*$N$8+$O$342*$O$8+$P$342*$P$8</f>
        <v>0</v>
      </c>
    </row>
    <row r="343" spans="1:21" x14ac:dyDescent="0.3">
      <c r="E343" s="10">
        <f xml:space="preserve"> IF($U$343,1,0)</f>
        <v>1</v>
      </c>
      <c r="F343" s="11" t="s">
        <v>1278</v>
      </c>
      <c r="G343" s="11">
        <v>0</v>
      </c>
      <c r="H343" s="11">
        <v>0</v>
      </c>
      <c r="I343" s="11">
        <v>0</v>
      </c>
      <c r="J343" s="11">
        <v>0</v>
      </c>
      <c r="K343" s="11">
        <v>2</v>
      </c>
      <c r="L343" s="11">
        <v>2</v>
      </c>
      <c r="M343" s="11">
        <v>0</v>
      </c>
      <c r="N343" s="11">
        <v>0</v>
      </c>
      <c r="O343" s="11">
        <v>0</v>
      </c>
      <c r="P343" s="11">
        <v>0</v>
      </c>
      <c r="Q343" s="11"/>
      <c r="R343" s="11"/>
      <c r="S343" s="12">
        <f>$G$343*$G$8+$H$343*$H$8+$I$343*$I$8+$J$343*$J$8+$K$343*$K$8+$L$343*$L$8+$M$343*$M$8+$N$343*$N$8+$O$343*$O$8+$P$343*$P$8</f>
        <v>10</v>
      </c>
      <c r="T343" s="12">
        <f>$U$343/4</f>
        <v>2.5</v>
      </c>
      <c r="U343" s="12">
        <f>$G$343*$G$8+$H$343*$H$8+$I$343*$I$8+$J$343*$J$8+$K$343*$K$8+$L$343*$L$8+$M$343*$M$8+$N$343*$N$8+$O$343*$O$8+$P$343*$P$8</f>
        <v>10</v>
      </c>
    </row>
    <row r="344" spans="1:21" x14ac:dyDescent="0.3">
      <c r="E344" s="13">
        <f xml:space="preserve"> IF($U$344,1,0)</f>
        <v>1</v>
      </c>
      <c r="F344" s="14" t="s">
        <v>1279</v>
      </c>
      <c r="G344" s="14">
        <v>10</v>
      </c>
      <c r="H344" s="14">
        <v>0</v>
      </c>
      <c r="I344" s="14">
        <v>0</v>
      </c>
      <c r="J344" s="14">
        <v>0</v>
      </c>
      <c r="K344" s="14">
        <v>1</v>
      </c>
      <c r="L344" s="14">
        <v>1</v>
      </c>
      <c r="M344" s="14">
        <v>1</v>
      </c>
      <c r="N344" s="14">
        <v>1</v>
      </c>
      <c r="O344" s="14">
        <v>0</v>
      </c>
      <c r="P344" s="14">
        <v>0</v>
      </c>
      <c r="Q344" s="14"/>
      <c r="R344" s="14"/>
      <c r="S344" s="15">
        <f>$G$344*$G$8+$H$344*$H$8+$I$344*$I$8+$J$344*$J$8+$K$344*$K$8+$L$344*$L$8+$M$344*$M$8+$N$344*$N$8+$O$344*$O$8+$P$344*$P$8</f>
        <v>25</v>
      </c>
      <c r="T344" s="15">
        <f>$U$344/14</f>
        <v>1.7857142857142858</v>
      </c>
      <c r="U344" s="15">
        <f>$G$344*$G$8+$H$344*$H$8+$I$344*$I$8+$J$344*$J$8+$K$344*$K$8+$L$344*$L$8+$M$344*$M$8+$N$344*$N$8+$O$344*$O$8+$P$344*$P$8</f>
        <v>25</v>
      </c>
    </row>
    <row r="345" spans="1:21" x14ac:dyDescent="0.3">
      <c r="E345" s="10">
        <f xml:space="preserve"> IF($U$345,1,0)</f>
        <v>0</v>
      </c>
      <c r="F345" s="11" t="s">
        <v>27</v>
      </c>
      <c r="G345" s="11">
        <v>0</v>
      </c>
      <c r="H345" s="11">
        <v>0</v>
      </c>
      <c r="I345" s="11">
        <v>0</v>
      </c>
      <c r="J345" s="11">
        <v>0</v>
      </c>
      <c r="K345" s="11">
        <v>0</v>
      </c>
      <c r="L345" s="11">
        <v>0</v>
      </c>
      <c r="M345" s="11">
        <v>0</v>
      </c>
      <c r="N345" s="11">
        <v>0</v>
      </c>
      <c r="O345" s="11">
        <v>0</v>
      </c>
      <c r="P345" s="11">
        <v>0</v>
      </c>
      <c r="Q345" s="11"/>
      <c r="R345" s="11"/>
      <c r="S345" s="12">
        <f>$G$345*$G$8+$H$345*$H$8+$I$345*$I$8+$J$345*$J$8+$K$345*$K$8+$L$345*$L$8+$M$345*$M$8+$N$345*$N$8+$O$345*$O$8+$P$345*$P$8</f>
        <v>0</v>
      </c>
      <c r="T345" s="12">
        <f>$U$345/2</f>
        <v>0</v>
      </c>
      <c r="U345" s="12">
        <f>$G$345*$G$8+$H$345*$H$8+$I$345*$I$8+$J$345*$J$8+$K$345*$K$8+$L$345*$L$8+$M$345*$M$8+$N$345*$N$8+$O$345*$O$8+$P$345*$P$8</f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BB697-4458-4AED-9D63-AE4F62B4B2D1}">
  <dimension ref="A2:L17"/>
  <sheetViews>
    <sheetView tabSelected="1" workbookViewId="0">
      <selection activeCell="I6" sqref="I6"/>
    </sheetView>
  </sheetViews>
  <sheetFormatPr defaultRowHeight="14.4" x14ac:dyDescent="0.3"/>
  <cols>
    <col min="2" max="2" width="14.77734375" customWidth="1"/>
    <col min="3" max="3" width="18.77734375" customWidth="1"/>
    <col min="4" max="4" width="20.77734375" customWidth="1"/>
    <col min="5" max="5" width="14.77734375" customWidth="1"/>
    <col min="6" max="6" width="25.77734375" customWidth="1"/>
    <col min="8" max="8" width="9" customWidth="1"/>
    <col min="9" max="9" width="9.77734375" customWidth="1"/>
    <col min="10" max="10" width="22.109375" customWidth="1"/>
    <col min="11" max="11" width="18.6640625" customWidth="1"/>
  </cols>
  <sheetData>
    <row r="2" spans="1:12" x14ac:dyDescent="0.3">
      <c r="A2" t="s">
        <v>1239</v>
      </c>
      <c r="F2" t="s">
        <v>20</v>
      </c>
      <c r="G2">
        <f>SUM($G$10:$G$13)+ SUM($G$16:$G$17)</f>
        <v>7</v>
      </c>
      <c r="H2">
        <f>SUM($H$10:$H$13)+ SUM($H$16:$H$17)</f>
        <v>4</v>
      </c>
    </row>
    <row r="3" spans="1:12" x14ac:dyDescent="0.3">
      <c r="A3">
        <f>SUM($E$10:$E$13)</f>
        <v>3</v>
      </c>
      <c r="F3" t="s">
        <v>21</v>
      </c>
      <c r="G3" s="3">
        <f>$G$8*G2</f>
        <v>7.7000000000000011</v>
      </c>
      <c r="H3" s="3">
        <f>$H$8*H2</f>
        <v>12</v>
      </c>
    </row>
    <row r="8" spans="1:12" x14ac:dyDescent="0.3">
      <c r="F8" t="s">
        <v>22</v>
      </c>
      <c r="G8" s="4">
        <v>1.1000000000000001</v>
      </c>
      <c r="H8" s="4">
        <v>3</v>
      </c>
      <c r="J8" s="3">
        <f>SUM($J$10:$J$13)</f>
        <v>11.5</v>
      </c>
      <c r="K8" s="3">
        <f>SUM($K$10:$K$13)</f>
        <v>8.1999999999999993</v>
      </c>
      <c r="L8" s="3">
        <f>SUM($L$10:$L$13)</f>
        <v>19.7</v>
      </c>
    </row>
    <row r="9" spans="1:12" ht="15" thickBot="1" x14ac:dyDescent="0.35">
      <c r="A9" s="5" t="s">
        <v>14</v>
      </c>
      <c r="B9" s="6" t="s">
        <v>15</v>
      </c>
      <c r="C9" s="6" t="s">
        <v>16</v>
      </c>
      <c r="D9" s="6" t="s">
        <v>17</v>
      </c>
      <c r="E9" s="6" t="s">
        <v>18</v>
      </c>
      <c r="F9" s="6" t="s">
        <v>19</v>
      </c>
      <c r="G9" s="6" t="s">
        <v>4</v>
      </c>
      <c r="H9" s="6" t="s">
        <v>1267</v>
      </c>
      <c r="I9" s="6" t="s">
        <v>1268</v>
      </c>
      <c r="J9" s="6" t="s">
        <v>23</v>
      </c>
      <c r="K9" s="6" t="s">
        <v>24</v>
      </c>
      <c r="L9" s="6" t="s">
        <v>25</v>
      </c>
    </row>
    <row r="10" spans="1:12" ht="15" thickTop="1" x14ac:dyDescent="0.3">
      <c r="A10" s="7" t="s">
        <v>1270</v>
      </c>
      <c r="B10" s="8" t="s">
        <v>177</v>
      </c>
      <c r="C10" s="8" t="s">
        <v>202</v>
      </c>
      <c r="D10" s="8" t="s">
        <v>203</v>
      </c>
      <c r="E10" s="8">
        <f xml:space="preserve"> IF($L$10,1,0)</f>
        <v>1</v>
      </c>
      <c r="F10" s="8" t="s">
        <v>204</v>
      </c>
      <c r="G10" s="8">
        <v>2</v>
      </c>
      <c r="H10" s="8">
        <v>2</v>
      </c>
      <c r="I10" s="9">
        <f>$K$16</f>
        <v>4.0999999999999996</v>
      </c>
      <c r="J10" s="9">
        <f>$G$10*$G$8+$H$10*$H$8</f>
        <v>8.1999999999999993</v>
      </c>
      <c r="K10" s="9">
        <f>SUM($I$10:$I$10)</f>
        <v>4.0999999999999996</v>
      </c>
      <c r="L10" s="9">
        <f>$J$10+$K$10</f>
        <v>12.299999999999999</v>
      </c>
    </row>
    <row r="11" spans="1:12" x14ac:dyDescent="0.3">
      <c r="A11" s="10" t="s">
        <v>1271</v>
      </c>
      <c r="B11" s="11" t="s">
        <v>177</v>
      </c>
      <c r="C11" s="11"/>
      <c r="D11" s="11" t="s">
        <v>1272</v>
      </c>
      <c r="E11" s="11">
        <f xml:space="preserve"> IF($L$11,1,0)</f>
        <v>0</v>
      </c>
      <c r="F11" s="11" t="s">
        <v>1273</v>
      </c>
      <c r="G11" s="11">
        <v>0</v>
      </c>
      <c r="H11" s="11">
        <v>0</v>
      </c>
      <c r="I11" s="12">
        <v>0</v>
      </c>
      <c r="J11" s="12">
        <f>$G$11*$G$8+$H$11*$H$8</f>
        <v>0</v>
      </c>
      <c r="K11" s="12">
        <f>SUM($I$11:$I$11)</f>
        <v>0</v>
      </c>
      <c r="L11" s="12">
        <f>$J$11+$K$11</f>
        <v>0</v>
      </c>
    </row>
    <row r="12" spans="1:12" x14ac:dyDescent="0.3">
      <c r="A12" s="13" t="s">
        <v>172</v>
      </c>
      <c r="B12" s="14" t="s">
        <v>1262</v>
      </c>
      <c r="C12" s="14"/>
      <c r="D12" s="14" t="s">
        <v>1263</v>
      </c>
      <c r="E12" s="14">
        <f xml:space="preserve"> IF($L$12,1,0)</f>
        <v>1</v>
      </c>
      <c r="F12" s="14" t="s">
        <v>1264</v>
      </c>
      <c r="G12" s="14">
        <v>0</v>
      </c>
      <c r="H12" s="14">
        <v>0</v>
      </c>
      <c r="I12" s="15">
        <f>$K$16</f>
        <v>4.0999999999999996</v>
      </c>
      <c r="J12" s="15">
        <f>$G$12*$G$8+$H$12*$H$8</f>
        <v>0</v>
      </c>
      <c r="K12" s="15">
        <f>SUM($I$12:$I$12)</f>
        <v>4.0999999999999996</v>
      </c>
      <c r="L12" s="15">
        <f>$J$12+$K$12</f>
        <v>4.0999999999999996</v>
      </c>
    </row>
    <row r="13" spans="1:12" x14ac:dyDescent="0.3">
      <c r="A13" s="10" t="s">
        <v>815</v>
      </c>
      <c r="B13" s="11" t="s">
        <v>1274</v>
      </c>
      <c r="C13" s="11"/>
      <c r="D13" s="11" t="s">
        <v>1275</v>
      </c>
      <c r="E13" s="11">
        <f xml:space="preserve"> IF($L$13,1,0)</f>
        <v>1</v>
      </c>
      <c r="F13" s="11" t="s">
        <v>1276</v>
      </c>
      <c r="G13" s="11">
        <v>3</v>
      </c>
      <c r="H13" s="11">
        <v>0</v>
      </c>
      <c r="I13" s="12">
        <v>0</v>
      </c>
      <c r="J13" s="12">
        <f>$G$13*$G$8+$H$13*$H$8</f>
        <v>3.3000000000000003</v>
      </c>
      <c r="K13" s="12">
        <f>SUM($I$13:$I$13)</f>
        <v>0</v>
      </c>
      <c r="L13" s="12">
        <f>$J$13+$K$13</f>
        <v>3.3000000000000003</v>
      </c>
    </row>
    <row r="15" spans="1:12" ht="15" thickBot="1" x14ac:dyDescent="0.35">
      <c r="E15" s="5" t="s">
        <v>18</v>
      </c>
      <c r="F15" s="6" t="s">
        <v>19</v>
      </c>
      <c r="G15" s="6" t="s">
        <v>4</v>
      </c>
      <c r="H15" s="6" t="s">
        <v>1267</v>
      </c>
      <c r="I15" s="6" t="s">
        <v>1259</v>
      </c>
      <c r="J15" s="6" t="s">
        <v>23</v>
      </c>
      <c r="K15" s="6" t="s">
        <v>26</v>
      </c>
      <c r="L15" s="6" t="s">
        <v>25</v>
      </c>
    </row>
    <row r="16" spans="1:12" ht="15" thickTop="1" x14ac:dyDescent="0.3">
      <c r="E16" s="7">
        <f xml:space="preserve"> IF($L$16,1,0)</f>
        <v>1</v>
      </c>
      <c r="F16" s="8" t="s">
        <v>1268</v>
      </c>
      <c r="G16" s="8">
        <v>2</v>
      </c>
      <c r="H16" s="8">
        <v>2</v>
      </c>
      <c r="I16" s="8"/>
      <c r="J16" s="9">
        <f>$G$16*$G$8+$H$16*$H$8</f>
        <v>8.1999999999999993</v>
      </c>
      <c r="K16" s="9">
        <f>$L$16/2</f>
        <v>4.0999999999999996</v>
      </c>
      <c r="L16" s="9">
        <f>$G$16*$G$8+$H$16*$H$8</f>
        <v>8.1999999999999993</v>
      </c>
    </row>
    <row r="17" spans="5:12" x14ac:dyDescent="0.3">
      <c r="E17" s="10">
        <f xml:space="preserve"> IF($L$17,1,0)</f>
        <v>0</v>
      </c>
      <c r="F17" s="11" t="s">
        <v>1269</v>
      </c>
      <c r="G17" s="11">
        <v>0</v>
      </c>
      <c r="H17" s="11">
        <v>0</v>
      </c>
      <c r="I17" s="11"/>
      <c r="J17" s="12">
        <f>$G$17*$G$8+$H$17*$H$8</f>
        <v>0</v>
      </c>
      <c r="K17" s="12">
        <f>$L$17/2</f>
        <v>0</v>
      </c>
      <c r="L17" s="12">
        <f>$G$17*$G$8+$H$17*$H$8</f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7A693-11A7-4C40-85E2-02D3305BBAAF}">
  <dimension ref="A2:T333"/>
  <sheetViews>
    <sheetView topLeftCell="G1" workbookViewId="0">
      <selection activeCell="J335" sqref="J335"/>
    </sheetView>
  </sheetViews>
  <sheetFormatPr defaultRowHeight="14.4" x14ac:dyDescent="0.3"/>
  <cols>
    <col min="2" max="2" width="14.77734375" customWidth="1"/>
    <col min="3" max="3" width="18.77734375" customWidth="1"/>
    <col min="4" max="4" width="20.77734375" customWidth="1"/>
    <col min="5" max="5" width="14.77734375" customWidth="1"/>
    <col min="6" max="6" width="25.77734375" customWidth="1"/>
    <col min="8" max="8" width="14.44140625" customWidth="1"/>
    <col min="10" max="10" width="15.6640625" customWidth="1"/>
    <col min="12" max="15" width="11.44140625" customWidth="1"/>
    <col min="17" max="17" width="14.21875" customWidth="1"/>
    <col min="18" max="18" width="22.109375" customWidth="1"/>
    <col min="19" max="19" width="18.6640625" customWidth="1"/>
  </cols>
  <sheetData>
    <row r="2" spans="1:20" x14ac:dyDescent="0.3">
      <c r="A2" t="s">
        <v>1239</v>
      </c>
      <c r="F2" t="s">
        <v>20</v>
      </c>
      <c r="G2">
        <f>SUM($G$10:$G$330)+ SUM($G$333:$G$333)</f>
        <v>151</v>
      </c>
      <c r="H2">
        <f>SUM($H$10:$H$330)+ SUM($H$333:$H$333)</f>
        <v>144</v>
      </c>
      <c r="I2">
        <f>SUM($I$10:$I$330)+ SUM($I$333:$I$333)</f>
        <v>20</v>
      </c>
      <c r="J2">
        <f>SUM($J$10:$J$330)+ SUM($J$333:$J$333)</f>
        <v>35</v>
      </c>
      <c r="K2">
        <f>SUM($K$10:$K$330)+ SUM($K$333:$K$333)</f>
        <v>0</v>
      </c>
      <c r="L2">
        <f>SUM($L$10:$L$330)+ SUM($L$333:$L$333)</f>
        <v>4</v>
      </c>
      <c r="M2">
        <f>SUM($M$10:$M$330)+ SUM($M$333:$M$333)</f>
        <v>9</v>
      </c>
      <c r="N2">
        <f>SUM($N$10:$N$330)+ SUM($N$333:$N$333)</f>
        <v>2</v>
      </c>
      <c r="O2">
        <f>SUM($O$10:$O$330)+ SUM($O$333:$O$333)</f>
        <v>2</v>
      </c>
      <c r="P2">
        <f>SUM($P$10:$P$330)+ SUM($P$333:$P$333)</f>
        <v>1</v>
      </c>
      <c r="Q2">
        <f>SUM($Q$10:$Q$330)+ SUM($Q$333:$Q$333)</f>
        <v>31</v>
      </c>
    </row>
    <row r="3" spans="1:20" x14ac:dyDescent="0.3">
      <c r="A3">
        <f>SUM($E$10:$E$330)</f>
        <v>80</v>
      </c>
      <c r="F3" t="s">
        <v>21</v>
      </c>
      <c r="G3" s="3">
        <f>$G$8*G2</f>
        <v>166.10000000000002</v>
      </c>
      <c r="H3" s="3">
        <f>$H$8*H2</f>
        <v>316.8</v>
      </c>
      <c r="I3" s="3">
        <f>$I$8*I2</f>
        <v>20</v>
      </c>
      <c r="J3" s="3">
        <f>$J$8*J2</f>
        <v>70</v>
      </c>
      <c r="K3" s="3">
        <f>$K$8*K2</f>
        <v>0</v>
      </c>
      <c r="L3" s="3">
        <f>$L$8*L2</f>
        <v>8</v>
      </c>
      <c r="M3" s="3">
        <f>$M$8*M2</f>
        <v>27</v>
      </c>
      <c r="N3" s="3">
        <f>$N$8*N2</f>
        <v>8</v>
      </c>
      <c r="O3" s="3">
        <f>$O$8*O2</f>
        <v>10</v>
      </c>
      <c r="P3" s="3">
        <f>$P$8*P2</f>
        <v>0.5</v>
      </c>
      <c r="Q3" s="3">
        <f>$Q$8*Q2</f>
        <v>31</v>
      </c>
    </row>
    <row r="8" spans="1:20" x14ac:dyDescent="0.3">
      <c r="F8" t="s">
        <v>22</v>
      </c>
      <c r="G8" s="4">
        <v>1.1000000000000001</v>
      </c>
      <c r="H8" s="4">
        <v>2.2000000000000002</v>
      </c>
      <c r="I8" s="4">
        <v>1</v>
      </c>
      <c r="J8" s="4">
        <v>2</v>
      </c>
      <c r="K8" s="4">
        <v>4.75</v>
      </c>
      <c r="L8" s="4">
        <v>2</v>
      </c>
      <c r="M8" s="4">
        <v>3</v>
      </c>
      <c r="N8" s="4">
        <v>4</v>
      </c>
      <c r="O8" s="4">
        <v>5</v>
      </c>
      <c r="P8" s="4">
        <v>0.5</v>
      </c>
      <c r="Q8" s="4">
        <v>1</v>
      </c>
      <c r="R8" s="3">
        <f>SUM($R$10:$R$330)</f>
        <v>657.4</v>
      </c>
      <c r="S8" s="3">
        <f>SUM($S$10:$S$330)</f>
        <v>0</v>
      </c>
      <c r="T8" s="3">
        <f>SUM($T$10:$T$330)</f>
        <v>657.4</v>
      </c>
    </row>
    <row r="9" spans="1:20" ht="15" thickBot="1" x14ac:dyDescent="0.35">
      <c r="A9" s="5" t="s">
        <v>14</v>
      </c>
      <c r="B9" s="6" t="s">
        <v>15</v>
      </c>
      <c r="C9" s="6" t="s">
        <v>16</v>
      </c>
      <c r="D9" s="6" t="s">
        <v>17</v>
      </c>
      <c r="E9" s="6" t="s">
        <v>18</v>
      </c>
      <c r="F9" s="6" t="s">
        <v>19</v>
      </c>
      <c r="G9" s="6" t="s">
        <v>4</v>
      </c>
      <c r="H9" s="6" t="s">
        <v>1265</v>
      </c>
      <c r="I9" s="6" t="s">
        <v>6</v>
      </c>
      <c r="J9" s="6" t="s">
        <v>1266</v>
      </c>
      <c r="K9" s="6" t="s">
        <v>7</v>
      </c>
      <c r="L9" s="6" t="s">
        <v>8</v>
      </c>
      <c r="M9" s="6" t="s">
        <v>9</v>
      </c>
      <c r="N9" s="6" t="s">
        <v>10</v>
      </c>
      <c r="O9" s="6" t="s">
        <v>11</v>
      </c>
      <c r="P9" s="6" t="s">
        <v>12</v>
      </c>
      <c r="Q9" s="6" t="s">
        <v>13</v>
      </c>
      <c r="R9" s="6" t="s">
        <v>23</v>
      </c>
      <c r="S9" s="6" t="s">
        <v>24</v>
      </c>
      <c r="T9" s="6" t="s">
        <v>25</v>
      </c>
    </row>
    <row r="10" spans="1:20" ht="15" thickTop="1" x14ac:dyDescent="0.3">
      <c r="A10" s="7" t="s">
        <v>28</v>
      </c>
      <c r="B10" s="8" t="s">
        <v>29</v>
      </c>
      <c r="C10" s="8"/>
      <c r="D10" s="8" t="s">
        <v>30</v>
      </c>
      <c r="E10" s="8">
        <f xml:space="preserve"> IF($T$10,1,0)</f>
        <v>0</v>
      </c>
      <c r="F10" s="8" t="s">
        <v>31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9">
        <f>$G$10*$G$8+$H$10*$H$8+$I$10*$I$8+$J$10*$J$8+$K$10*$K$8+$L$10*$L$8+$M$10*$M$8+$N$10*$N$8+$O$10*$O$8+$P$10*$P$8+$Q$10*$Q$8</f>
        <v>0</v>
      </c>
      <c r="S10" s="9">
        <v>0</v>
      </c>
      <c r="T10" s="9">
        <f>$R$10+$S$10</f>
        <v>0</v>
      </c>
    </row>
    <row r="11" spans="1:20" x14ac:dyDescent="0.3">
      <c r="A11" s="10" t="s">
        <v>32</v>
      </c>
      <c r="B11" s="11" t="s">
        <v>33</v>
      </c>
      <c r="C11" s="11" t="s">
        <v>34</v>
      </c>
      <c r="D11" s="11" t="s">
        <v>35</v>
      </c>
      <c r="E11" s="11">
        <f xml:space="preserve"> IF($T$11,1,0)</f>
        <v>1</v>
      </c>
      <c r="F11" s="11" t="s">
        <v>36</v>
      </c>
      <c r="G11" s="11">
        <v>0</v>
      </c>
      <c r="H11" s="11">
        <v>0</v>
      </c>
      <c r="I11" s="11">
        <v>1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2">
        <f>$G$11*$G$8+$H$11*$H$8+$I$11*$I$8+$J$11*$J$8+$K$11*$K$8+$L$11*$L$8+$M$11*$M$8+$N$11*$N$8+$O$11*$O$8+$P$11*$P$8+$Q$11*$Q$8</f>
        <v>1</v>
      </c>
      <c r="S11" s="12">
        <v>0</v>
      </c>
      <c r="T11" s="12">
        <f>$R$11+$S$11</f>
        <v>1</v>
      </c>
    </row>
    <row r="12" spans="1:20" x14ac:dyDescent="0.3">
      <c r="A12" s="13" t="s">
        <v>37</v>
      </c>
      <c r="B12" s="14" t="s">
        <v>38</v>
      </c>
      <c r="C12" s="14"/>
      <c r="D12" s="14" t="s">
        <v>39</v>
      </c>
      <c r="E12" s="14">
        <f xml:space="preserve"> IF($T$12,1,0)</f>
        <v>0</v>
      </c>
      <c r="F12" s="14" t="s">
        <v>40</v>
      </c>
      <c r="G12" s="14">
        <v>0</v>
      </c>
      <c r="H12" s="14">
        <v>0</v>
      </c>
      <c r="I12" s="14">
        <v>0</v>
      </c>
      <c r="J12" s="14">
        <v>0</v>
      </c>
      <c r="K12" s="14">
        <v>0</v>
      </c>
      <c r="L12" s="14">
        <v>0</v>
      </c>
      <c r="M12" s="14">
        <v>0</v>
      </c>
      <c r="N12" s="14">
        <v>0</v>
      </c>
      <c r="O12" s="14">
        <v>0</v>
      </c>
      <c r="P12" s="14">
        <v>0</v>
      </c>
      <c r="Q12" s="14">
        <v>0</v>
      </c>
      <c r="R12" s="15">
        <f>$G$12*$G$8+$H$12*$H$8+$I$12*$I$8+$J$12*$J$8+$K$12*$K$8+$L$12*$L$8+$M$12*$M$8+$N$12*$N$8+$O$12*$O$8+$P$12*$P$8+$Q$12*$Q$8</f>
        <v>0</v>
      </c>
      <c r="S12" s="15">
        <v>0</v>
      </c>
      <c r="T12" s="15">
        <f>$R$12+$S$12</f>
        <v>0</v>
      </c>
    </row>
    <row r="13" spans="1:20" x14ac:dyDescent="0.3">
      <c r="A13" s="10" t="s">
        <v>41</v>
      </c>
      <c r="B13" s="11" t="s">
        <v>38</v>
      </c>
      <c r="C13" s="11"/>
      <c r="D13" s="11" t="s">
        <v>42</v>
      </c>
      <c r="E13" s="11">
        <f xml:space="preserve"> IF($T$13,1,0)</f>
        <v>0</v>
      </c>
      <c r="F13" s="11" t="s">
        <v>43</v>
      </c>
      <c r="G13" s="11">
        <v>0</v>
      </c>
      <c r="H13" s="11">
        <v>0</v>
      </c>
      <c r="I13" s="11">
        <v>0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2">
        <f>$G$13*$G$8+$H$13*$H$8+$I$13*$I$8+$J$13*$J$8+$K$13*$K$8+$L$13*$L$8+$M$13*$M$8+$N$13*$N$8+$O$13*$O$8+$P$13*$P$8+$Q$13*$Q$8</f>
        <v>0</v>
      </c>
      <c r="S13" s="12">
        <v>0</v>
      </c>
      <c r="T13" s="12">
        <f>$R$13+$S$13</f>
        <v>0</v>
      </c>
    </row>
    <row r="14" spans="1:20" x14ac:dyDescent="0.3">
      <c r="A14" s="13" t="s">
        <v>44</v>
      </c>
      <c r="B14" s="14" t="s">
        <v>45</v>
      </c>
      <c r="C14" s="14"/>
      <c r="D14" s="14" t="s">
        <v>46</v>
      </c>
      <c r="E14" s="14">
        <f xml:space="preserve"> IF($T$14,1,0)</f>
        <v>0</v>
      </c>
      <c r="F14" s="14" t="s">
        <v>47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5">
        <f>$G$14*$G$8+$H$14*$H$8+$I$14*$I$8+$J$14*$J$8+$K$14*$K$8+$L$14*$L$8+$M$14*$M$8+$N$14*$N$8+$O$14*$O$8+$P$14*$P$8+$Q$14*$Q$8</f>
        <v>0</v>
      </c>
      <c r="S14" s="15">
        <v>0</v>
      </c>
      <c r="T14" s="15">
        <f>$R$14+$S$14</f>
        <v>0</v>
      </c>
    </row>
    <row r="15" spans="1:20" x14ac:dyDescent="0.3">
      <c r="A15" s="10" t="s">
        <v>48</v>
      </c>
      <c r="B15" s="11" t="s">
        <v>45</v>
      </c>
      <c r="C15" s="11"/>
      <c r="D15" s="11" t="s">
        <v>49</v>
      </c>
      <c r="E15" s="11">
        <f xml:space="preserve"> IF($T$15,1,0)</f>
        <v>0</v>
      </c>
      <c r="F15" s="11" t="s">
        <v>50</v>
      </c>
      <c r="G15" s="11">
        <v>0</v>
      </c>
      <c r="H15" s="11">
        <v>0</v>
      </c>
      <c r="I15" s="11">
        <v>0</v>
      </c>
      <c r="J15" s="11">
        <v>0</v>
      </c>
      <c r="K15" s="11">
        <v>0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1">
        <v>0</v>
      </c>
      <c r="R15" s="12">
        <f>$G$15*$G$8+$H$15*$H$8+$I$15*$I$8+$J$15*$J$8+$K$15*$K$8+$L$15*$L$8+$M$15*$M$8+$N$15*$N$8+$O$15*$O$8+$P$15*$P$8+$Q$15*$Q$8</f>
        <v>0</v>
      </c>
      <c r="S15" s="12">
        <v>0</v>
      </c>
      <c r="T15" s="12">
        <f>$R$15+$S$15</f>
        <v>0</v>
      </c>
    </row>
    <row r="16" spans="1:20" x14ac:dyDescent="0.3">
      <c r="A16" s="13" t="s">
        <v>51</v>
      </c>
      <c r="B16" s="14" t="s">
        <v>52</v>
      </c>
      <c r="C16" s="14"/>
      <c r="D16" s="14" t="s">
        <v>53</v>
      </c>
      <c r="E16" s="14">
        <f xml:space="preserve"> IF($T$16,1,0)</f>
        <v>0</v>
      </c>
      <c r="F16" s="14" t="s">
        <v>54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4">
        <v>0</v>
      </c>
      <c r="O16" s="14">
        <v>0</v>
      </c>
      <c r="P16" s="14">
        <v>0</v>
      </c>
      <c r="Q16" s="14">
        <v>0</v>
      </c>
      <c r="R16" s="15">
        <f>$G$16*$G$8+$H$16*$H$8+$I$16*$I$8+$J$16*$J$8+$K$16*$K$8+$L$16*$L$8+$M$16*$M$8+$N$16*$N$8+$O$16*$O$8+$P$16*$P$8+$Q$16*$Q$8</f>
        <v>0</v>
      </c>
      <c r="S16" s="15">
        <v>0</v>
      </c>
      <c r="T16" s="15">
        <f>$R$16+$S$16</f>
        <v>0</v>
      </c>
    </row>
    <row r="17" spans="1:20" x14ac:dyDescent="0.3">
      <c r="A17" s="10" t="s">
        <v>55</v>
      </c>
      <c r="B17" s="11" t="s">
        <v>56</v>
      </c>
      <c r="C17" s="11"/>
      <c r="D17" s="11" t="s">
        <v>57</v>
      </c>
      <c r="E17" s="11">
        <f xml:space="preserve"> IF($T$17,1,0)</f>
        <v>0</v>
      </c>
      <c r="F17" s="11" t="s">
        <v>58</v>
      </c>
      <c r="G17" s="11">
        <v>0</v>
      </c>
      <c r="H17" s="11">
        <v>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1">
        <v>0</v>
      </c>
      <c r="R17" s="12">
        <f>$G$17*$G$8+$H$17*$H$8+$I$17*$I$8+$J$17*$J$8+$K$17*$K$8+$L$17*$L$8+$M$17*$M$8+$N$17*$N$8+$O$17*$O$8+$P$17*$P$8+$Q$17*$Q$8</f>
        <v>0</v>
      </c>
      <c r="S17" s="12">
        <v>0</v>
      </c>
      <c r="T17" s="12">
        <f>$R$17+$S$17</f>
        <v>0</v>
      </c>
    </row>
    <row r="18" spans="1:20" x14ac:dyDescent="0.3">
      <c r="A18" s="13" t="s">
        <v>59</v>
      </c>
      <c r="B18" s="14" t="s">
        <v>60</v>
      </c>
      <c r="C18" s="14"/>
      <c r="D18" s="14" t="s">
        <v>61</v>
      </c>
      <c r="E18" s="14">
        <f xml:space="preserve"> IF($T$18,1,0)</f>
        <v>0</v>
      </c>
      <c r="F18" s="14" t="s">
        <v>62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4">
        <v>0</v>
      </c>
      <c r="R18" s="15">
        <f>$G$18*$G$8+$H$18*$H$8+$I$18*$I$8+$J$18*$J$8+$K$18*$K$8+$L$18*$L$8+$M$18*$M$8+$N$18*$N$8+$O$18*$O$8+$P$18*$P$8+$Q$18*$Q$8</f>
        <v>0</v>
      </c>
      <c r="S18" s="15">
        <v>0</v>
      </c>
      <c r="T18" s="15">
        <f>$R$18+$S$18</f>
        <v>0</v>
      </c>
    </row>
    <row r="19" spans="1:20" x14ac:dyDescent="0.3">
      <c r="A19" s="10" t="s">
        <v>63</v>
      </c>
      <c r="B19" s="11" t="s">
        <v>64</v>
      </c>
      <c r="C19" s="11" t="s">
        <v>65</v>
      </c>
      <c r="D19" s="11" t="s">
        <v>66</v>
      </c>
      <c r="E19" s="11">
        <f xml:space="preserve"> IF($T$19,1,0)</f>
        <v>1</v>
      </c>
      <c r="F19" s="11" t="s">
        <v>67</v>
      </c>
      <c r="G19" s="11">
        <v>4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1">
        <v>0</v>
      </c>
      <c r="R19" s="12">
        <f>$G$19*$G$8+$H$19*$H$8+$I$19*$I$8+$J$19*$J$8+$K$19*$K$8+$L$19*$L$8+$M$19*$M$8+$N$19*$N$8+$O$19*$O$8+$P$19*$P$8+$Q$19*$Q$8</f>
        <v>4.4000000000000004</v>
      </c>
      <c r="S19" s="12">
        <v>0</v>
      </c>
      <c r="T19" s="12">
        <f>$R$19+$S$19</f>
        <v>4.4000000000000004</v>
      </c>
    </row>
    <row r="20" spans="1:20" x14ac:dyDescent="0.3">
      <c r="A20" s="13" t="s">
        <v>68</v>
      </c>
      <c r="B20" s="14" t="s">
        <v>69</v>
      </c>
      <c r="C20" s="14"/>
      <c r="D20" s="14" t="s">
        <v>70</v>
      </c>
      <c r="E20" s="14">
        <f xml:space="preserve"> IF($T$20,1,0)</f>
        <v>0</v>
      </c>
      <c r="F20" s="14" t="s">
        <v>71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4">
        <v>0</v>
      </c>
      <c r="N20" s="14">
        <v>0</v>
      </c>
      <c r="O20" s="14">
        <v>0</v>
      </c>
      <c r="P20" s="14">
        <v>0</v>
      </c>
      <c r="Q20" s="14">
        <v>0</v>
      </c>
      <c r="R20" s="15">
        <f>$G$20*$G$8+$H$20*$H$8+$I$20*$I$8+$J$20*$J$8+$K$20*$K$8+$L$20*$L$8+$M$20*$M$8+$N$20*$N$8+$O$20*$O$8+$P$20*$P$8+$Q$20*$Q$8</f>
        <v>0</v>
      </c>
      <c r="S20" s="15">
        <v>0</v>
      </c>
      <c r="T20" s="15">
        <f>$R$20+$S$20</f>
        <v>0</v>
      </c>
    </row>
    <row r="21" spans="1:20" x14ac:dyDescent="0.3">
      <c r="A21" s="10" t="s">
        <v>72</v>
      </c>
      <c r="B21" s="11" t="s">
        <v>73</v>
      </c>
      <c r="C21" s="11"/>
      <c r="D21" s="11" t="s">
        <v>74</v>
      </c>
      <c r="E21" s="11">
        <f xml:space="preserve"> IF($T$21,1,0)</f>
        <v>0</v>
      </c>
      <c r="F21" s="11" t="s">
        <v>75</v>
      </c>
      <c r="G21" s="11">
        <v>0</v>
      </c>
      <c r="H21" s="11">
        <v>0</v>
      </c>
      <c r="I21" s="11">
        <v>0</v>
      </c>
      <c r="J21" s="11">
        <v>0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1">
        <v>0</v>
      </c>
      <c r="R21" s="12">
        <f>$G$21*$G$8+$H$21*$H$8+$I$21*$I$8+$J$21*$J$8+$K$21*$K$8+$L$21*$L$8+$M$21*$M$8+$N$21*$N$8+$O$21*$O$8+$P$21*$P$8+$Q$21*$Q$8</f>
        <v>0</v>
      </c>
      <c r="S21" s="12">
        <v>0</v>
      </c>
      <c r="T21" s="12">
        <f>$R$21+$S$21</f>
        <v>0</v>
      </c>
    </row>
    <row r="22" spans="1:20" x14ac:dyDescent="0.3">
      <c r="A22" s="13" t="s">
        <v>76</v>
      </c>
      <c r="B22" s="14" t="s">
        <v>77</v>
      </c>
      <c r="C22" s="14"/>
      <c r="D22" s="14" t="s">
        <v>78</v>
      </c>
      <c r="E22" s="14">
        <f xml:space="preserve"> IF($T$22,1,0)</f>
        <v>1</v>
      </c>
      <c r="F22" s="14" t="s">
        <v>79</v>
      </c>
      <c r="G22" s="14">
        <v>1</v>
      </c>
      <c r="H22" s="14">
        <v>0</v>
      </c>
      <c r="I22" s="14">
        <v>1</v>
      </c>
      <c r="J22" s="14">
        <v>0</v>
      </c>
      <c r="K22" s="14">
        <v>0</v>
      </c>
      <c r="L22" s="14">
        <v>0</v>
      </c>
      <c r="M22" s="14">
        <v>0</v>
      </c>
      <c r="N22" s="14">
        <v>0</v>
      </c>
      <c r="O22" s="14">
        <v>0</v>
      </c>
      <c r="P22" s="14">
        <v>0</v>
      </c>
      <c r="Q22" s="14">
        <v>0</v>
      </c>
      <c r="R22" s="15">
        <f>$G$22*$G$8+$H$22*$H$8+$I$22*$I$8+$J$22*$J$8+$K$22*$K$8+$L$22*$L$8+$M$22*$M$8+$N$22*$N$8+$O$22*$O$8+$P$22*$P$8+$Q$22*$Q$8</f>
        <v>2.1</v>
      </c>
      <c r="S22" s="15">
        <v>0</v>
      </c>
      <c r="T22" s="15">
        <f>$R$22+$S$22</f>
        <v>2.1</v>
      </c>
    </row>
    <row r="23" spans="1:20" x14ac:dyDescent="0.3">
      <c r="A23" s="10" t="s">
        <v>80</v>
      </c>
      <c r="B23" s="11" t="s">
        <v>77</v>
      </c>
      <c r="C23" s="11" t="s">
        <v>65</v>
      </c>
      <c r="D23" s="11" t="s">
        <v>81</v>
      </c>
      <c r="E23" s="11">
        <f xml:space="preserve"> IF($T$23,1,0)</f>
        <v>0</v>
      </c>
      <c r="F23" s="11" t="s">
        <v>82</v>
      </c>
      <c r="G23" s="11">
        <v>0</v>
      </c>
      <c r="H23" s="11">
        <v>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1">
        <v>0</v>
      </c>
      <c r="R23" s="12">
        <f>$G$23*$G$8+$H$23*$H$8+$I$23*$I$8+$J$23*$J$8+$K$23*$K$8+$L$23*$L$8+$M$23*$M$8+$N$23*$N$8+$O$23*$O$8+$P$23*$P$8+$Q$23*$Q$8</f>
        <v>0</v>
      </c>
      <c r="S23" s="12">
        <v>0</v>
      </c>
      <c r="T23" s="12">
        <f>$R$23+$S$23</f>
        <v>0</v>
      </c>
    </row>
    <row r="24" spans="1:20" x14ac:dyDescent="0.3">
      <c r="A24" s="13" t="s">
        <v>83</v>
      </c>
      <c r="B24" s="14" t="s">
        <v>84</v>
      </c>
      <c r="C24" s="14"/>
      <c r="D24" s="14" t="s">
        <v>81</v>
      </c>
      <c r="E24" s="14">
        <f xml:space="preserve"> IF($T$24,1,0)</f>
        <v>0</v>
      </c>
      <c r="F24" s="14" t="s">
        <v>85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4">
        <v>0</v>
      </c>
      <c r="R24" s="15">
        <f>$G$24*$G$8+$H$24*$H$8+$I$24*$I$8+$J$24*$J$8+$K$24*$K$8+$L$24*$L$8+$M$24*$M$8+$N$24*$N$8+$O$24*$O$8+$P$24*$P$8+$Q$24*$Q$8</f>
        <v>0</v>
      </c>
      <c r="S24" s="15">
        <v>0</v>
      </c>
      <c r="T24" s="15">
        <f>$R$24+$S$24</f>
        <v>0</v>
      </c>
    </row>
    <row r="25" spans="1:20" x14ac:dyDescent="0.3">
      <c r="A25" s="10" t="s">
        <v>86</v>
      </c>
      <c r="B25" s="11" t="s">
        <v>87</v>
      </c>
      <c r="C25" s="11"/>
      <c r="D25" s="11" t="s">
        <v>88</v>
      </c>
      <c r="E25" s="11">
        <f xml:space="preserve"> IF($T$25,1,0)</f>
        <v>0</v>
      </c>
      <c r="F25" s="11" t="s">
        <v>89</v>
      </c>
      <c r="G25" s="11">
        <v>0</v>
      </c>
      <c r="H25" s="11">
        <v>0</v>
      </c>
      <c r="I25" s="11">
        <v>0</v>
      </c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1">
        <v>0</v>
      </c>
      <c r="R25" s="12">
        <f>$G$25*$G$8+$H$25*$H$8+$I$25*$I$8+$J$25*$J$8+$K$25*$K$8+$L$25*$L$8+$M$25*$M$8+$N$25*$N$8+$O$25*$O$8+$P$25*$P$8+$Q$25*$Q$8</f>
        <v>0</v>
      </c>
      <c r="S25" s="12">
        <v>0</v>
      </c>
      <c r="T25" s="12">
        <f>$R$25+$S$25</f>
        <v>0</v>
      </c>
    </row>
    <row r="26" spans="1:20" x14ac:dyDescent="0.3">
      <c r="A26" s="13" t="s">
        <v>90</v>
      </c>
      <c r="B26" s="14" t="s">
        <v>91</v>
      </c>
      <c r="C26" s="14"/>
      <c r="D26" s="14" t="s">
        <v>92</v>
      </c>
      <c r="E26" s="14">
        <f xml:space="preserve"> IF($T$26,1,0)</f>
        <v>0</v>
      </c>
      <c r="F26" s="14" t="s">
        <v>93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4">
        <v>0</v>
      </c>
      <c r="R26" s="15">
        <f>$G$26*$G$8+$H$26*$H$8+$I$26*$I$8+$J$26*$J$8+$K$26*$K$8+$L$26*$L$8+$M$26*$M$8+$N$26*$N$8+$O$26*$O$8+$P$26*$P$8+$Q$26*$Q$8</f>
        <v>0</v>
      </c>
      <c r="S26" s="15">
        <v>0</v>
      </c>
      <c r="T26" s="15">
        <f>$R$26+$S$26</f>
        <v>0</v>
      </c>
    </row>
    <row r="27" spans="1:20" x14ac:dyDescent="0.3">
      <c r="A27" s="10" t="s">
        <v>94</v>
      </c>
      <c r="B27" s="11" t="s">
        <v>95</v>
      </c>
      <c r="C27" s="11"/>
      <c r="D27" s="11" t="s">
        <v>96</v>
      </c>
      <c r="E27" s="11">
        <f xml:space="preserve"> IF($T$27,1,0)</f>
        <v>0</v>
      </c>
      <c r="F27" s="11" t="s">
        <v>97</v>
      </c>
      <c r="G27" s="11">
        <v>0</v>
      </c>
      <c r="H27" s="11">
        <v>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1">
        <v>0</v>
      </c>
      <c r="R27" s="12">
        <f>$G$27*$G$8+$H$27*$H$8+$I$27*$I$8+$J$27*$J$8+$K$27*$K$8+$L$27*$L$8+$M$27*$M$8+$N$27*$N$8+$O$27*$O$8+$P$27*$P$8+$Q$27*$Q$8</f>
        <v>0</v>
      </c>
      <c r="S27" s="12">
        <v>0</v>
      </c>
      <c r="T27" s="12">
        <f>$R$27+$S$27</f>
        <v>0</v>
      </c>
    </row>
    <row r="28" spans="1:20" x14ac:dyDescent="0.3">
      <c r="A28" s="13" t="s">
        <v>98</v>
      </c>
      <c r="B28" s="14" t="s">
        <v>99</v>
      </c>
      <c r="C28" s="14"/>
      <c r="D28" s="14" t="s">
        <v>100</v>
      </c>
      <c r="E28" s="14">
        <f xml:space="preserve"> IF($T$28,1,0)</f>
        <v>0</v>
      </c>
      <c r="F28" s="14" t="s">
        <v>101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4">
        <v>0</v>
      </c>
      <c r="R28" s="15">
        <f>$G$28*$G$8+$H$28*$H$8+$I$28*$I$8+$J$28*$J$8+$K$28*$K$8+$L$28*$L$8+$M$28*$M$8+$N$28*$N$8+$O$28*$O$8+$P$28*$P$8+$Q$28*$Q$8</f>
        <v>0</v>
      </c>
      <c r="S28" s="15">
        <v>0</v>
      </c>
      <c r="T28" s="15">
        <f>$R$28+$S$28</f>
        <v>0</v>
      </c>
    </row>
    <row r="29" spans="1:20" x14ac:dyDescent="0.3">
      <c r="A29" s="10" t="s">
        <v>102</v>
      </c>
      <c r="B29" s="11" t="s">
        <v>103</v>
      </c>
      <c r="C29" s="11"/>
      <c r="D29" s="11" t="s">
        <v>104</v>
      </c>
      <c r="E29" s="11">
        <f xml:space="preserve"> IF($T$29,1,0)</f>
        <v>0</v>
      </c>
      <c r="F29" s="11" t="s">
        <v>105</v>
      </c>
      <c r="G29" s="11">
        <v>0</v>
      </c>
      <c r="H29" s="11">
        <v>0</v>
      </c>
      <c r="I29" s="11">
        <v>0</v>
      </c>
      <c r="J29" s="11">
        <v>0</v>
      </c>
      <c r="K29" s="11">
        <v>0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1">
        <v>0</v>
      </c>
      <c r="R29" s="12">
        <f>$G$29*$G$8+$H$29*$H$8+$I$29*$I$8+$J$29*$J$8+$K$29*$K$8+$L$29*$L$8+$M$29*$M$8+$N$29*$N$8+$O$29*$O$8+$P$29*$P$8+$Q$29*$Q$8</f>
        <v>0</v>
      </c>
      <c r="S29" s="12">
        <v>0</v>
      </c>
      <c r="T29" s="12">
        <f>$R$29+$S$29</f>
        <v>0</v>
      </c>
    </row>
    <row r="30" spans="1:20" x14ac:dyDescent="0.3">
      <c r="A30" s="13" t="s">
        <v>106</v>
      </c>
      <c r="B30" s="14" t="s">
        <v>103</v>
      </c>
      <c r="C30" s="14"/>
      <c r="D30" s="14" t="s">
        <v>107</v>
      </c>
      <c r="E30" s="14">
        <f xml:space="preserve"> IF($T$30,1,0)</f>
        <v>0</v>
      </c>
      <c r="F30" s="14" t="s">
        <v>108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5">
        <f>$G$30*$G$8+$H$30*$H$8+$I$30*$I$8+$J$30*$J$8+$K$30*$K$8+$L$30*$L$8+$M$30*$M$8+$N$30*$N$8+$O$30*$O$8+$P$30*$P$8+$Q$30*$Q$8</f>
        <v>0</v>
      </c>
      <c r="S30" s="15">
        <v>0</v>
      </c>
      <c r="T30" s="15">
        <f>$R$30+$S$30</f>
        <v>0</v>
      </c>
    </row>
    <row r="31" spans="1:20" x14ac:dyDescent="0.3">
      <c r="A31" s="10" t="s">
        <v>109</v>
      </c>
      <c r="B31" s="11" t="s">
        <v>103</v>
      </c>
      <c r="C31" s="11"/>
      <c r="D31" s="11" t="s">
        <v>110</v>
      </c>
      <c r="E31" s="11">
        <f xml:space="preserve"> IF($T$31,1,0)</f>
        <v>0</v>
      </c>
      <c r="F31" s="11" t="s">
        <v>111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1">
        <v>0</v>
      </c>
      <c r="R31" s="12">
        <f>$G$31*$G$8+$H$31*$H$8+$I$31*$I$8+$J$31*$J$8+$K$31*$K$8+$L$31*$L$8+$M$31*$M$8+$N$31*$N$8+$O$31*$O$8+$P$31*$P$8+$Q$31*$Q$8</f>
        <v>0</v>
      </c>
      <c r="S31" s="12">
        <v>0</v>
      </c>
      <c r="T31" s="12">
        <f>$R$31+$S$31</f>
        <v>0</v>
      </c>
    </row>
    <row r="32" spans="1:20" x14ac:dyDescent="0.3">
      <c r="A32" s="13" t="s">
        <v>112</v>
      </c>
      <c r="B32" s="14" t="s">
        <v>113</v>
      </c>
      <c r="C32" s="14"/>
      <c r="D32" s="14" t="s">
        <v>114</v>
      </c>
      <c r="E32" s="14">
        <f xml:space="preserve"> IF($T$32,1,0)</f>
        <v>1</v>
      </c>
      <c r="F32" s="14" t="s">
        <v>115</v>
      </c>
      <c r="G32" s="14">
        <v>2</v>
      </c>
      <c r="H32" s="14">
        <v>1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5">
        <f>$G$32*$G$8+$H$32*$H$8+$I$32*$I$8+$J$32*$J$8+$K$32*$K$8+$L$32*$L$8+$M$32*$M$8+$N$32*$N$8+$O$32*$O$8+$P$32*$P$8+$Q$32*$Q$8</f>
        <v>4.4000000000000004</v>
      </c>
      <c r="S32" s="15">
        <v>0</v>
      </c>
      <c r="T32" s="15">
        <f>$R$32+$S$32</f>
        <v>4.4000000000000004</v>
      </c>
    </row>
    <row r="33" spans="1:20" x14ac:dyDescent="0.3">
      <c r="A33" s="10" t="s">
        <v>116</v>
      </c>
      <c r="B33" s="11" t="s">
        <v>117</v>
      </c>
      <c r="C33" s="11" t="s">
        <v>34</v>
      </c>
      <c r="D33" s="11" t="s">
        <v>118</v>
      </c>
      <c r="E33" s="11">
        <f xml:space="preserve"> IF($T$33,1,0)</f>
        <v>0</v>
      </c>
      <c r="F33" s="11" t="s">
        <v>119</v>
      </c>
      <c r="G33" s="11">
        <v>0</v>
      </c>
      <c r="H33" s="11">
        <v>0</v>
      </c>
      <c r="I33" s="11">
        <v>0</v>
      </c>
      <c r="J33" s="11">
        <v>0</v>
      </c>
      <c r="K33" s="11">
        <v>0</v>
      </c>
      <c r="L33" s="11">
        <v>0</v>
      </c>
      <c r="M33" s="11">
        <v>0</v>
      </c>
      <c r="N33" s="11">
        <v>0</v>
      </c>
      <c r="O33" s="11">
        <v>0</v>
      </c>
      <c r="P33" s="11">
        <v>0</v>
      </c>
      <c r="Q33" s="11">
        <v>0</v>
      </c>
      <c r="R33" s="12">
        <f>$G$33*$G$8+$H$33*$H$8+$I$33*$I$8+$J$33*$J$8+$K$33*$K$8+$L$33*$L$8+$M$33*$M$8+$N$33*$N$8+$O$33*$O$8+$P$33*$P$8+$Q$33*$Q$8</f>
        <v>0</v>
      </c>
      <c r="S33" s="12">
        <v>0</v>
      </c>
      <c r="T33" s="12">
        <f>$R$33+$S$33</f>
        <v>0</v>
      </c>
    </row>
    <row r="34" spans="1:20" x14ac:dyDescent="0.3">
      <c r="A34" s="13" t="s">
        <v>120</v>
      </c>
      <c r="B34" s="14" t="s">
        <v>121</v>
      </c>
      <c r="C34" s="14"/>
      <c r="D34" s="14" t="s">
        <v>122</v>
      </c>
      <c r="E34" s="14">
        <f xml:space="preserve"> IF($T$34,1,0)</f>
        <v>1</v>
      </c>
      <c r="F34" s="14" t="s">
        <v>123</v>
      </c>
      <c r="G34" s="14">
        <v>4</v>
      </c>
      <c r="H34" s="14">
        <v>5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4">
        <v>0</v>
      </c>
      <c r="R34" s="15">
        <f>$G$34*$G$8+$H$34*$H$8+$I$34*$I$8+$J$34*$J$8+$K$34*$K$8+$L$34*$L$8+$M$34*$M$8+$N$34*$N$8+$O$34*$O$8+$P$34*$P$8+$Q$34*$Q$8</f>
        <v>15.4</v>
      </c>
      <c r="S34" s="15">
        <v>0</v>
      </c>
      <c r="T34" s="15">
        <f>$R$34+$S$34</f>
        <v>15.4</v>
      </c>
    </row>
    <row r="35" spans="1:20" x14ac:dyDescent="0.3">
      <c r="A35" s="10" t="s">
        <v>124</v>
      </c>
      <c r="B35" s="11" t="s">
        <v>125</v>
      </c>
      <c r="C35" s="11"/>
      <c r="D35" s="11" t="s">
        <v>126</v>
      </c>
      <c r="E35" s="11">
        <f xml:space="preserve"> IF($T$35,1,0)</f>
        <v>0</v>
      </c>
      <c r="F35" s="11" t="s">
        <v>127</v>
      </c>
      <c r="G35" s="11">
        <v>0</v>
      </c>
      <c r="H35" s="11">
        <v>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0</v>
      </c>
      <c r="Q35" s="11">
        <v>0</v>
      </c>
      <c r="R35" s="12">
        <f>$G$35*$G$8+$H$35*$H$8+$I$35*$I$8+$J$35*$J$8+$K$35*$K$8+$L$35*$L$8+$M$35*$M$8+$N$35*$N$8+$O$35*$O$8+$P$35*$P$8+$Q$35*$Q$8</f>
        <v>0</v>
      </c>
      <c r="S35" s="12">
        <v>0</v>
      </c>
      <c r="T35" s="12">
        <f>$R$35+$S$35</f>
        <v>0</v>
      </c>
    </row>
    <row r="36" spans="1:20" x14ac:dyDescent="0.3">
      <c r="A36" s="13" t="s">
        <v>128</v>
      </c>
      <c r="B36" s="14" t="s">
        <v>129</v>
      </c>
      <c r="C36" s="14" t="s">
        <v>34</v>
      </c>
      <c r="D36" s="14" t="s">
        <v>130</v>
      </c>
      <c r="E36" s="14">
        <f xml:space="preserve"> IF($T$36,1,0)</f>
        <v>0</v>
      </c>
      <c r="F36" s="14" t="s">
        <v>131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4">
        <v>0</v>
      </c>
      <c r="R36" s="15">
        <f>$G$36*$G$8+$H$36*$H$8+$I$36*$I$8+$J$36*$J$8+$K$36*$K$8+$L$36*$L$8+$M$36*$M$8+$N$36*$N$8+$O$36*$O$8+$P$36*$P$8+$Q$36*$Q$8</f>
        <v>0</v>
      </c>
      <c r="S36" s="15">
        <v>0</v>
      </c>
      <c r="T36" s="15">
        <f>$R$36+$S$36</f>
        <v>0</v>
      </c>
    </row>
    <row r="37" spans="1:20" x14ac:dyDescent="0.3">
      <c r="A37" s="10" t="s">
        <v>132</v>
      </c>
      <c r="B37" s="11" t="s">
        <v>133</v>
      </c>
      <c r="C37" s="11"/>
      <c r="D37" s="11" t="s">
        <v>134</v>
      </c>
      <c r="E37" s="11">
        <f xml:space="preserve"> IF($T$37,1,0)</f>
        <v>0</v>
      </c>
      <c r="F37" s="11" t="s">
        <v>135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1">
        <v>0</v>
      </c>
      <c r="R37" s="12">
        <f>$G$37*$G$8+$H$37*$H$8+$I$37*$I$8+$J$37*$J$8+$K$37*$K$8+$L$37*$L$8+$M$37*$M$8+$N$37*$N$8+$O$37*$O$8+$P$37*$P$8+$Q$37*$Q$8</f>
        <v>0</v>
      </c>
      <c r="S37" s="12">
        <v>0</v>
      </c>
      <c r="T37" s="12">
        <f>$R$37+$S$37</f>
        <v>0</v>
      </c>
    </row>
    <row r="38" spans="1:20" x14ac:dyDescent="0.3">
      <c r="A38" s="13" t="s">
        <v>136</v>
      </c>
      <c r="B38" s="14" t="s">
        <v>137</v>
      </c>
      <c r="C38" s="14"/>
      <c r="D38" s="14" t="s">
        <v>138</v>
      </c>
      <c r="E38" s="14">
        <f xml:space="preserve"> IF($T$38,1,0)</f>
        <v>0</v>
      </c>
      <c r="F38" s="14" t="s">
        <v>139</v>
      </c>
      <c r="G38" s="14">
        <v>0</v>
      </c>
      <c r="H38" s="14">
        <v>0</v>
      </c>
      <c r="I38" s="14">
        <v>0</v>
      </c>
      <c r="J38" s="14">
        <v>0</v>
      </c>
      <c r="K38" s="14">
        <v>0</v>
      </c>
      <c r="L38" s="14">
        <v>0</v>
      </c>
      <c r="M38" s="14">
        <v>0</v>
      </c>
      <c r="N38" s="14">
        <v>0</v>
      </c>
      <c r="O38" s="14">
        <v>0</v>
      </c>
      <c r="P38" s="14">
        <v>0</v>
      </c>
      <c r="Q38" s="14">
        <v>0</v>
      </c>
      <c r="R38" s="15">
        <f>$G$38*$G$8+$H$38*$H$8+$I$38*$I$8+$J$38*$J$8+$K$38*$K$8+$L$38*$L$8+$M$38*$M$8+$N$38*$N$8+$O$38*$O$8+$P$38*$P$8+$Q$38*$Q$8</f>
        <v>0</v>
      </c>
      <c r="S38" s="15">
        <v>0</v>
      </c>
      <c r="T38" s="15">
        <f>$R$38+$S$38</f>
        <v>0</v>
      </c>
    </row>
    <row r="39" spans="1:20" x14ac:dyDescent="0.3">
      <c r="A39" s="10" t="s">
        <v>140</v>
      </c>
      <c r="B39" s="11" t="s">
        <v>141</v>
      </c>
      <c r="C39" s="11"/>
      <c r="D39" s="11" t="s">
        <v>142</v>
      </c>
      <c r="E39" s="11">
        <f xml:space="preserve"> IF($T$39,1,0)</f>
        <v>0</v>
      </c>
      <c r="F39" s="11" t="s">
        <v>143</v>
      </c>
      <c r="G39" s="11">
        <v>0</v>
      </c>
      <c r="H39" s="11">
        <v>0</v>
      </c>
      <c r="I39" s="11">
        <v>0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1">
        <v>0</v>
      </c>
      <c r="R39" s="12">
        <f>$G$39*$G$8+$H$39*$H$8+$I$39*$I$8+$J$39*$J$8+$K$39*$K$8+$L$39*$L$8+$M$39*$M$8+$N$39*$N$8+$O$39*$O$8+$P$39*$P$8+$Q$39*$Q$8</f>
        <v>0</v>
      </c>
      <c r="S39" s="12">
        <v>0</v>
      </c>
      <c r="T39" s="12">
        <f>$R$39+$S$39</f>
        <v>0</v>
      </c>
    </row>
    <row r="40" spans="1:20" x14ac:dyDescent="0.3">
      <c r="A40" s="13" t="s">
        <v>144</v>
      </c>
      <c r="B40" s="14" t="s">
        <v>145</v>
      </c>
      <c r="C40" s="14"/>
      <c r="D40" s="14" t="s">
        <v>146</v>
      </c>
      <c r="E40" s="14">
        <f xml:space="preserve"> IF($T$40,1,0)</f>
        <v>1</v>
      </c>
      <c r="F40" s="14" t="s">
        <v>147</v>
      </c>
      <c r="G40" s="14">
        <v>0</v>
      </c>
      <c r="H40" s="14">
        <v>2</v>
      </c>
      <c r="I40" s="14">
        <v>1</v>
      </c>
      <c r="J40" s="14">
        <v>4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4">
        <v>0</v>
      </c>
      <c r="R40" s="15">
        <f>$G$40*$G$8+$H$40*$H$8+$I$40*$I$8+$J$40*$J$8+$K$40*$K$8+$L$40*$L$8+$M$40*$M$8+$N$40*$N$8+$O$40*$O$8+$P$40*$P$8+$Q$40*$Q$8</f>
        <v>13.4</v>
      </c>
      <c r="S40" s="15">
        <v>0</v>
      </c>
      <c r="T40" s="15">
        <f>$R$40+$S$40</f>
        <v>13.4</v>
      </c>
    </row>
    <row r="41" spans="1:20" x14ac:dyDescent="0.3">
      <c r="A41" s="10" t="s">
        <v>148</v>
      </c>
      <c r="B41" s="11" t="s">
        <v>149</v>
      </c>
      <c r="C41" s="11"/>
      <c r="D41" s="11" t="s">
        <v>150</v>
      </c>
      <c r="E41" s="11">
        <f xml:space="preserve"> IF($T$41,1,0)</f>
        <v>0</v>
      </c>
      <c r="F41" s="11" t="s">
        <v>151</v>
      </c>
      <c r="G41" s="11">
        <v>0</v>
      </c>
      <c r="H41" s="11">
        <v>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1">
        <v>0</v>
      </c>
      <c r="R41" s="12">
        <f>$G$41*$G$8+$H$41*$H$8+$I$41*$I$8+$J$41*$J$8+$K$41*$K$8+$L$41*$L$8+$M$41*$M$8+$N$41*$N$8+$O$41*$O$8+$P$41*$P$8+$Q$41*$Q$8</f>
        <v>0</v>
      </c>
      <c r="S41" s="12">
        <v>0</v>
      </c>
      <c r="T41" s="12">
        <f>$R$41+$S$41</f>
        <v>0</v>
      </c>
    </row>
    <row r="42" spans="1:20" x14ac:dyDescent="0.3">
      <c r="A42" s="13" t="s">
        <v>152</v>
      </c>
      <c r="B42" s="14" t="s">
        <v>153</v>
      </c>
      <c r="C42" s="14"/>
      <c r="D42" s="14" t="s">
        <v>154</v>
      </c>
      <c r="E42" s="14">
        <f xml:space="preserve"> IF($T$42,1,0)</f>
        <v>1</v>
      </c>
      <c r="F42" s="14" t="s">
        <v>155</v>
      </c>
      <c r="G42" s="14">
        <v>0</v>
      </c>
      <c r="H42" s="14">
        <v>4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0</v>
      </c>
      <c r="Q42" s="14">
        <v>1</v>
      </c>
      <c r="R42" s="15">
        <f>$G$42*$G$8+$H$42*$H$8+$I$42*$I$8+$J$42*$J$8+$K$42*$K$8+$L$42*$L$8+$M$42*$M$8+$N$42*$N$8+$O$42*$O$8+$P$42*$P$8+$Q$42*$Q$8</f>
        <v>9.8000000000000007</v>
      </c>
      <c r="S42" s="15">
        <v>0</v>
      </c>
      <c r="T42" s="15">
        <f>$R$42+$S$42</f>
        <v>9.8000000000000007</v>
      </c>
    </row>
    <row r="43" spans="1:20" x14ac:dyDescent="0.3">
      <c r="A43" s="10" t="s">
        <v>156</v>
      </c>
      <c r="B43" s="11" t="s">
        <v>157</v>
      </c>
      <c r="C43" s="11" t="s">
        <v>65</v>
      </c>
      <c r="D43" s="11" t="s">
        <v>158</v>
      </c>
      <c r="E43" s="11">
        <f xml:space="preserve"> IF($T$43,1,0)</f>
        <v>1</v>
      </c>
      <c r="F43" s="11" t="s">
        <v>159</v>
      </c>
      <c r="G43" s="11">
        <v>3</v>
      </c>
      <c r="H43" s="11">
        <v>1</v>
      </c>
      <c r="I43" s="11">
        <v>0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1">
        <v>0</v>
      </c>
      <c r="R43" s="12">
        <f>$G$43*$G$8+$H$43*$H$8+$I$43*$I$8+$J$43*$J$8+$K$43*$K$8+$L$43*$L$8+$M$43*$M$8+$N$43*$N$8+$O$43*$O$8+$P$43*$P$8+$Q$43*$Q$8</f>
        <v>5.5</v>
      </c>
      <c r="S43" s="12">
        <v>0</v>
      </c>
      <c r="T43" s="12">
        <f>$R$43+$S$43</f>
        <v>5.5</v>
      </c>
    </row>
    <row r="44" spans="1:20" x14ac:dyDescent="0.3">
      <c r="A44" s="13" t="s">
        <v>160</v>
      </c>
      <c r="B44" s="14" t="s">
        <v>161</v>
      </c>
      <c r="C44" s="14"/>
      <c r="D44" s="14" t="s">
        <v>162</v>
      </c>
      <c r="E44" s="14">
        <f xml:space="preserve"> IF($T$44,1,0)</f>
        <v>0</v>
      </c>
      <c r="F44" s="14" t="s">
        <v>163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14">
        <v>0</v>
      </c>
      <c r="P44" s="14">
        <v>0</v>
      </c>
      <c r="Q44" s="14">
        <v>0</v>
      </c>
      <c r="R44" s="15">
        <f>$G$44*$G$8+$H$44*$H$8+$I$44*$I$8+$J$44*$J$8+$K$44*$K$8+$L$44*$L$8+$M$44*$M$8+$N$44*$N$8+$O$44*$O$8+$P$44*$P$8+$Q$44*$Q$8</f>
        <v>0</v>
      </c>
      <c r="S44" s="15">
        <v>0</v>
      </c>
      <c r="T44" s="15">
        <f>$R$44+$S$44</f>
        <v>0</v>
      </c>
    </row>
    <row r="45" spans="1:20" x14ac:dyDescent="0.3">
      <c r="A45" s="10" t="s">
        <v>164</v>
      </c>
      <c r="B45" s="11" t="s">
        <v>165</v>
      </c>
      <c r="C45" s="11"/>
      <c r="D45" s="11" t="s">
        <v>166</v>
      </c>
      <c r="E45" s="11">
        <f xml:space="preserve"> IF($T$45,1,0)</f>
        <v>0</v>
      </c>
      <c r="F45" s="11" t="s">
        <v>167</v>
      </c>
      <c r="G45" s="11">
        <v>0</v>
      </c>
      <c r="H45" s="11">
        <v>0</v>
      </c>
      <c r="I45" s="11">
        <v>0</v>
      </c>
      <c r="J45" s="11">
        <v>0</v>
      </c>
      <c r="K45" s="11">
        <v>0</v>
      </c>
      <c r="L45" s="11">
        <v>0</v>
      </c>
      <c r="M45" s="11">
        <v>0</v>
      </c>
      <c r="N45" s="11">
        <v>0</v>
      </c>
      <c r="O45" s="11">
        <v>0</v>
      </c>
      <c r="P45" s="11">
        <v>0</v>
      </c>
      <c r="Q45" s="11">
        <v>0</v>
      </c>
      <c r="R45" s="12">
        <f>$G$45*$G$8+$H$45*$H$8+$I$45*$I$8+$J$45*$J$8+$K$45*$K$8+$L$45*$L$8+$M$45*$M$8+$N$45*$N$8+$O$45*$O$8+$P$45*$P$8+$Q$45*$Q$8</f>
        <v>0</v>
      </c>
      <c r="S45" s="12">
        <v>0</v>
      </c>
      <c r="T45" s="12">
        <f>$R$45+$S$45</f>
        <v>0</v>
      </c>
    </row>
    <row r="46" spans="1:20" x14ac:dyDescent="0.3">
      <c r="A46" s="13" t="s">
        <v>168</v>
      </c>
      <c r="B46" s="14" t="s">
        <v>169</v>
      </c>
      <c r="C46" s="14" t="s">
        <v>65</v>
      </c>
      <c r="D46" s="14" t="s">
        <v>170</v>
      </c>
      <c r="E46" s="14">
        <f xml:space="preserve"> IF($T$46,1,0)</f>
        <v>0</v>
      </c>
      <c r="F46" s="14" t="s">
        <v>171</v>
      </c>
      <c r="G46" s="14">
        <v>0</v>
      </c>
      <c r="H46" s="14">
        <v>0</v>
      </c>
      <c r="I46" s="14">
        <v>0</v>
      </c>
      <c r="J46" s="14">
        <v>0</v>
      </c>
      <c r="K46" s="14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4">
        <v>0</v>
      </c>
      <c r="R46" s="15">
        <f>$G$46*$G$8+$H$46*$H$8+$I$46*$I$8+$J$46*$J$8+$K$46*$K$8+$L$46*$L$8+$M$46*$M$8+$N$46*$N$8+$O$46*$O$8+$P$46*$P$8+$Q$46*$Q$8</f>
        <v>0</v>
      </c>
      <c r="S46" s="15">
        <v>0</v>
      </c>
      <c r="T46" s="15">
        <f>$R$46+$S$46</f>
        <v>0</v>
      </c>
    </row>
    <row r="47" spans="1:20" x14ac:dyDescent="0.3">
      <c r="A47" s="10" t="s">
        <v>172</v>
      </c>
      <c r="B47" s="11" t="s">
        <v>173</v>
      </c>
      <c r="C47" s="11"/>
      <c r="D47" s="11" t="s">
        <v>174</v>
      </c>
      <c r="E47" s="11">
        <f xml:space="preserve"> IF($T$47,1,0)</f>
        <v>1</v>
      </c>
      <c r="F47" s="11" t="s">
        <v>175</v>
      </c>
      <c r="G47" s="11">
        <v>3</v>
      </c>
      <c r="H47" s="11">
        <v>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1">
        <v>0</v>
      </c>
      <c r="R47" s="12">
        <f>$G$47*$G$8+$H$47*$H$8+$I$47*$I$8+$J$47*$J$8+$K$47*$K$8+$L$47*$L$8+$M$47*$M$8+$N$47*$N$8+$O$47*$O$8+$P$47*$P$8+$Q$47*$Q$8</f>
        <v>3.3000000000000003</v>
      </c>
      <c r="S47" s="12">
        <v>0</v>
      </c>
      <c r="T47" s="12">
        <f>$R$47+$S$47</f>
        <v>3.3000000000000003</v>
      </c>
    </row>
    <row r="48" spans="1:20" x14ac:dyDescent="0.3">
      <c r="A48" s="13" t="s">
        <v>176</v>
      </c>
      <c r="B48" s="14" t="s">
        <v>177</v>
      </c>
      <c r="C48" s="14"/>
      <c r="D48" s="14" t="s">
        <v>178</v>
      </c>
      <c r="E48" s="14">
        <f xml:space="preserve"> IF($T$48,1,0)</f>
        <v>0</v>
      </c>
      <c r="F48" s="14" t="s">
        <v>179</v>
      </c>
      <c r="G48" s="14">
        <v>0</v>
      </c>
      <c r="H48" s="14">
        <v>0</v>
      </c>
      <c r="I48" s="14">
        <v>0</v>
      </c>
      <c r="J48" s="14">
        <v>0</v>
      </c>
      <c r="K48" s="14">
        <v>0</v>
      </c>
      <c r="L48" s="14">
        <v>0</v>
      </c>
      <c r="M48" s="14">
        <v>0</v>
      </c>
      <c r="N48" s="14">
        <v>0</v>
      </c>
      <c r="O48" s="14">
        <v>0</v>
      </c>
      <c r="P48" s="14">
        <v>0</v>
      </c>
      <c r="Q48" s="14">
        <v>0</v>
      </c>
      <c r="R48" s="15">
        <f>$G$48*$G$8+$H$48*$H$8+$I$48*$I$8+$J$48*$J$8+$K$48*$K$8+$L$48*$L$8+$M$48*$M$8+$N$48*$N$8+$O$48*$O$8+$P$48*$P$8+$Q$48*$Q$8</f>
        <v>0</v>
      </c>
      <c r="S48" s="15">
        <v>0</v>
      </c>
      <c r="T48" s="15">
        <f>$R$48+$S$48</f>
        <v>0</v>
      </c>
    </row>
    <row r="49" spans="1:20" x14ac:dyDescent="0.3">
      <c r="A49" s="10" t="s">
        <v>180</v>
      </c>
      <c r="B49" s="11" t="s">
        <v>177</v>
      </c>
      <c r="C49" s="11"/>
      <c r="D49" s="11" t="s">
        <v>181</v>
      </c>
      <c r="E49" s="11">
        <f xml:space="preserve"> IF($T$49,1,0)</f>
        <v>1</v>
      </c>
      <c r="F49" s="11" t="s">
        <v>182</v>
      </c>
      <c r="G49" s="11">
        <v>1</v>
      </c>
      <c r="H49" s="11">
        <v>5</v>
      </c>
      <c r="I49" s="11">
        <v>0</v>
      </c>
      <c r="J49" s="11">
        <v>0</v>
      </c>
      <c r="K49" s="11">
        <v>0</v>
      </c>
      <c r="L49" s="11">
        <v>0</v>
      </c>
      <c r="M49" s="11">
        <v>1</v>
      </c>
      <c r="N49" s="11">
        <v>0</v>
      </c>
      <c r="O49" s="11">
        <v>0</v>
      </c>
      <c r="P49" s="11">
        <v>0</v>
      </c>
      <c r="Q49" s="11">
        <v>0</v>
      </c>
      <c r="R49" s="12">
        <f>$G$49*$G$8+$H$49*$H$8+$I$49*$I$8+$J$49*$J$8+$K$49*$K$8+$L$49*$L$8+$M$49*$M$8+$N$49*$N$8+$O$49*$O$8+$P$49*$P$8+$Q$49*$Q$8</f>
        <v>15.1</v>
      </c>
      <c r="S49" s="12">
        <v>0</v>
      </c>
      <c r="T49" s="12">
        <f>$R$49+$S$49</f>
        <v>15.1</v>
      </c>
    </row>
    <row r="50" spans="1:20" x14ac:dyDescent="0.3">
      <c r="A50" s="13" t="s">
        <v>183</v>
      </c>
      <c r="B50" s="14" t="s">
        <v>177</v>
      </c>
      <c r="C50" s="14"/>
      <c r="D50" s="14" t="s">
        <v>184</v>
      </c>
      <c r="E50" s="14">
        <f xml:space="preserve"> IF($T$50,1,0)</f>
        <v>0</v>
      </c>
      <c r="F50" s="14" t="s">
        <v>185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  <c r="M50" s="14">
        <v>0</v>
      </c>
      <c r="N50" s="14">
        <v>0</v>
      </c>
      <c r="O50" s="14">
        <v>0</v>
      </c>
      <c r="P50" s="14">
        <v>0</v>
      </c>
      <c r="Q50" s="14">
        <v>0</v>
      </c>
      <c r="R50" s="15">
        <f>$G$50*$G$8+$H$50*$H$8+$I$50*$I$8+$J$50*$J$8+$K$50*$K$8+$L$50*$L$8+$M$50*$M$8+$N$50*$N$8+$O$50*$O$8+$P$50*$P$8+$Q$50*$Q$8</f>
        <v>0</v>
      </c>
      <c r="S50" s="15">
        <v>0</v>
      </c>
      <c r="T50" s="15">
        <f>$R$50+$S$50</f>
        <v>0</v>
      </c>
    </row>
    <row r="51" spans="1:20" x14ac:dyDescent="0.3">
      <c r="A51" s="10" t="s">
        <v>186</v>
      </c>
      <c r="B51" s="11" t="s">
        <v>177</v>
      </c>
      <c r="C51" s="11"/>
      <c r="D51" s="11" t="s">
        <v>187</v>
      </c>
      <c r="E51" s="11">
        <f xml:space="preserve"> IF($T$51,1,0)</f>
        <v>1</v>
      </c>
      <c r="F51" s="11" t="s">
        <v>188</v>
      </c>
      <c r="G51" s="11">
        <v>0</v>
      </c>
      <c r="H51" s="11">
        <v>4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1">
        <v>0</v>
      </c>
      <c r="R51" s="12">
        <f>$G$51*$G$8+$H$51*$H$8+$I$51*$I$8+$J$51*$J$8+$K$51*$K$8+$L$51*$L$8+$M$51*$M$8+$N$51*$N$8+$O$51*$O$8+$P$51*$P$8+$Q$51*$Q$8</f>
        <v>8.8000000000000007</v>
      </c>
      <c r="S51" s="12">
        <v>0</v>
      </c>
      <c r="T51" s="12">
        <f>$R$51+$S$51</f>
        <v>8.8000000000000007</v>
      </c>
    </row>
    <row r="52" spans="1:20" x14ac:dyDescent="0.3">
      <c r="A52" s="13" t="s">
        <v>189</v>
      </c>
      <c r="B52" s="14" t="s">
        <v>177</v>
      </c>
      <c r="C52" s="14"/>
      <c r="D52" s="14" t="s">
        <v>190</v>
      </c>
      <c r="E52" s="14">
        <f xml:space="preserve"> IF($T$52,1,0)</f>
        <v>0</v>
      </c>
      <c r="F52" s="14" t="s">
        <v>191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4">
        <v>0</v>
      </c>
      <c r="R52" s="15">
        <f>$G$52*$G$8+$H$52*$H$8+$I$52*$I$8+$J$52*$J$8+$K$52*$K$8+$L$52*$L$8+$M$52*$M$8+$N$52*$N$8+$O$52*$O$8+$P$52*$P$8+$Q$52*$Q$8</f>
        <v>0</v>
      </c>
      <c r="S52" s="15">
        <v>0</v>
      </c>
      <c r="T52" s="15">
        <f>$R$52+$S$52</f>
        <v>0</v>
      </c>
    </row>
    <row r="53" spans="1:20" x14ac:dyDescent="0.3">
      <c r="A53" s="10" t="s">
        <v>192</v>
      </c>
      <c r="B53" s="11" t="s">
        <v>177</v>
      </c>
      <c r="C53" s="11"/>
      <c r="D53" s="11" t="s">
        <v>193</v>
      </c>
      <c r="E53" s="11">
        <f xml:space="preserve"> IF($T$53,1,0)</f>
        <v>0</v>
      </c>
      <c r="F53" s="11" t="s">
        <v>194</v>
      </c>
      <c r="G53" s="11">
        <v>0</v>
      </c>
      <c r="H53" s="11">
        <v>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1">
        <v>0</v>
      </c>
      <c r="R53" s="12">
        <f>$G$53*$G$8+$H$53*$H$8+$I$53*$I$8+$J$53*$J$8+$K$53*$K$8+$L$53*$L$8+$M$53*$M$8+$N$53*$N$8+$O$53*$O$8+$P$53*$P$8+$Q$53*$Q$8</f>
        <v>0</v>
      </c>
      <c r="S53" s="12">
        <v>0</v>
      </c>
      <c r="T53" s="12">
        <f>$R$53+$S$53</f>
        <v>0</v>
      </c>
    </row>
    <row r="54" spans="1:20" x14ac:dyDescent="0.3">
      <c r="A54" s="13" t="s">
        <v>195</v>
      </c>
      <c r="B54" s="14" t="s">
        <v>177</v>
      </c>
      <c r="C54" s="14"/>
      <c r="D54" s="14" t="s">
        <v>196</v>
      </c>
      <c r="E54" s="14">
        <f xml:space="preserve"> IF($T$54,1,0)</f>
        <v>0</v>
      </c>
      <c r="F54" s="14" t="s">
        <v>197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4">
        <v>0</v>
      </c>
      <c r="R54" s="15">
        <f>$G$54*$G$8+$H$54*$H$8+$I$54*$I$8+$J$54*$J$8+$K$54*$K$8+$L$54*$L$8+$M$54*$M$8+$N$54*$N$8+$O$54*$O$8+$P$54*$P$8+$Q$54*$Q$8</f>
        <v>0</v>
      </c>
      <c r="S54" s="15">
        <v>0</v>
      </c>
      <c r="T54" s="15">
        <f>$R$54+$S$54</f>
        <v>0</v>
      </c>
    </row>
    <row r="55" spans="1:20" x14ac:dyDescent="0.3">
      <c r="A55" s="10" t="s">
        <v>198</v>
      </c>
      <c r="B55" s="11" t="s">
        <v>177</v>
      </c>
      <c r="C55" s="11" t="s">
        <v>65</v>
      </c>
      <c r="D55" s="11" t="s">
        <v>199</v>
      </c>
      <c r="E55" s="11">
        <f xml:space="preserve"> IF($T$55,1,0)</f>
        <v>0</v>
      </c>
      <c r="F55" s="11" t="s">
        <v>200</v>
      </c>
      <c r="G55" s="11">
        <v>0</v>
      </c>
      <c r="H55" s="11">
        <v>0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1">
        <v>0</v>
      </c>
      <c r="R55" s="12">
        <f>$G$55*$G$8+$H$55*$H$8+$I$55*$I$8+$J$55*$J$8+$K$55*$K$8+$L$55*$L$8+$M$55*$M$8+$N$55*$N$8+$O$55*$O$8+$P$55*$P$8+$Q$55*$Q$8</f>
        <v>0</v>
      </c>
      <c r="S55" s="12">
        <v>0</v>
      </c>
      <c r="T55" s="12">
        <f>$R$55+$S$55</f>
        <v>0</v>
      </c>
    </row>
    <row r="56" spans="1:20" x14ac:dyDescent="0.3">
      <c r="A56" s="13" t="s">
        <v>201</v>
      </c>
      <c r="B56" s="14" t="s">
        <v>177</v>
      </c>
      <c r="C56" s="14" t="s">
        <v>202</v>
      </c>
      <c r="D56" s="14" t="s">
        <v>203</v>
      </c>
      <c r="E56" s="14">
        <f xml:space="preserve"> IF($T$56,1,0)</f>
        <v>1</v>
      </c>
      <c r="F56" s="14" t="s">
        <v>204</v>
      </c>
      <c r="G56" s="14">
        <v>2</v>
      </c>
      <c r="H56" s="14">
        <v>5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4">
        <v>0</v>
      </c>
      <c r="R56" s="15">
        <f>$G$56*$G$8+$H$56*$H$8+$I$56*$I$8+$J$56*$J$8+$K$56*$K$8+$L$56*$L$8+$M$56*$M$8+$N$56*$N$8+$O$56*$O$8+$P$56*$P$8+$Q$56*$Q$8</f>
        <v>13.2</v>
      </c>
      <c r="S56" s="15">
        <v>0</v>
      </c>
      <c r="T56" s="15">
        <f>$R$56+$S$56</f>
        <v>13.2</v>
      </c>
    </row>
    <row r="57" spans="1:20" x14ac:dyDescent="0.3">
      <c r="A57" s="10" t="s">
        <v>205</v>
      </c>
      <c r="B57" s="11" t="s">
        <v>206</v>
      </c>
      <c r="C57" s="11"/>
      <c r="D57" s="11" t="s">
        <v>207</v>
      </c>
      <c r="E57" s="11">
        <f xml:space="preserve"> IF($T$57,1,0)</f>
        <v>0</v>
      </c>
      <c r="F57" s="11" t="s">
        <v>208</v>
      </c>
      <c r="G57" s="11">
        <v>0</v>
      </c>
      <c r="H57" s="11">
        <v>0</v>
      </c>
      <c r="I57" s="11">
        <v>0</v>
      </c>
      <c r="J57" s="11">
        <v>0</v>
      </c>
      <c r="K57" s="11">
        <v>0</v>
      </c>
      <c r="L57" s="11">
        <v>0</v>
      </c>
      <c r="M57" s="11">
        <v>0</v>
      </c>
      <c r="N57" s="11">
        <v>0</v>
      </c>
      <c r="O57" s="11">
        <v>0</v>
      </c>
      <c r="P57" s="11">
        <v>0</v>
      </c>
      <c r="Q57" s="11">
        <v>0</v>
      </c>
      <c r="R57" s="12">
        <f>$G$57*$G$8+$H$57*$H$8+$I$57*$I$8+$J$57*$J$8+$K$57*$K$8+$L$57*$L$8+$M$57*$M$8+$N$57*$N$8+$O$57*$O$8+$P$57*$P$8+$Q$57*$Q$8</f>
        <v>0</v>
      </c>
      <c r="S57" s="12">
        <v>0</v>
      </c>
      <c r="T57" s="12">
        <f>$R$57+$S$57</f>
        <v>0</v>
      </c>
    </row>
    <row r="58" spans="1:20" x14ac:dyDescent="0.3">
      <c r="A58" s="13" t="s">
        <v>209</v>
      </c>
      <c r="B58" s="14" t="s">
        <v>210</v>
      </c>
      <c r="C58" s="14"/>
      <c r="D58" s="14" t="s">
        <v>211</v>
      </c>
      <c r="E58" s="14">
        <f xml:space="preserve"> IF($T$58,1,0)</f>
        <v>1</v>
      </c>
      <c r="F58" s="14" t="s">
        <v>212</v>
      </c>
      <c r="G58" s="14">
        <v>1</v>
      </c>
      <c r="H58" s="14">
        <v>2</v>
      </c>
      <c r="I58" s="14">
        <v>0</v>
      </c>
      <c r="J58" s="14">
        <v>2</v>
      </c>
      <c r="K58" s="14">
        <v>0</v>
      </c>
      <c r="L58" s="14">
        <v>1</v>
      </c>
      <c r="M58" s="14">
        <v>0</v>
      </c>
      <c r="N58" s="14">
        <v>0</v>
      </c>
      <c r="O58" s="14">
        <v>0</v>
      </c>
      <c r="P58" s="14">
        <v>0</v>
      </c>
      <c r="Q58" s="14">
        <v>0</v>
      </c>
      <c r="R58" s="15">
        <f>$G$58*$G$8+$H$58*$H$8+$I$58*$I$8+$J$58*$J$8+$K$58*$K$8+$L$58*$L$8+$M$58*$M$8+$N$58*$N$8+$O$58*$O$8+$P$58*$P$8+$Q$58*$Q$8</f>
        <v>11.5</v>
      </c>
      <c r="S58" s="15">
        <v>0</v>
      </c>
      <c r="T58" s="15">
        <f>$R$58+$S$58</f>
        <v>11.5</v>
      </c>
    </row>
    <row r="59" spans="1:20" x14ac:dyDescent="0.3">
      <c r="A59" s="10" t="s">
        <v>213</v>
      </c>
      <c r="B59" s="11" t="s">
        <v>210</v>
      </c>
      <c r="C59" s="11"/>
      <c r="D59" s="11" t="s">
        <v>214</v>
      </c>
      <c r="E59" s="11">
        <f xml:space="preserve"> IF($T$59,1,0)</f>
        <v>0</v>
      </c>
      <c r="F59" s="11" t="s">
        <v>215</v>
      </c>
      <c r="G59" s="11">
        <v>0</v>
      </c>
      <c r="H59" s="11">
        <v>0</v>
      </c>
      <c r="I59" s="11">
        <v>0</v>
      </c>
      <c r="J59" s="11">
        <v>0</v>
      </c>
      <c r="K59" s="11">
        <v>0</v>
      </c>
      <c r="L59" s="11">
        <v>0</v>
      </c>
      <c r="M59" s="11">
        <v>0</v>
      </c>
      <c r="N59" s="11">
        <v>0</v>
      </c>
      <c r="O59" s="11">
        <v>0</v>
      </c>
      <c r="P59" s="11">
        <v>0</v>
      </c>
      <c r="Q59" s="11">
        <v>0</v>
      </c>
      <c r="R59" s="12">
        <f>$G$59*$G$8+$H$59*$H$8+$I$59*$I$8+$J$59*$J$8+$K$59*$K$8+$L$59*$L$8+$M$59*$M$8+$N$59*$N$8+$O$59*$O$8+$P$59*$P$8+$Q$59*$Q$8</f>
        <v>0</v>
      </c>
      <c r="S59" s="12">
        <v>0</v>
      </c>
      <c r="T59" s="12">
        <f>$R$59+$S$59</f>
        <v>0</v>
      </c>
    </row>
    <row r="60" spans="1:20" x14ac:dyDescent="0.3">
      <c r="A60" s="13" t="s">
        <v>216</v>
      </c>
      <c r="B60" s="14" t="s">
        <v>217</v>
      </c>
      <c r="C60" s="14"/>
      <c r="D60" s="14" t="s">
        <v>218</v>
      </c>
      <c r="E60" s="14">
        <f xml:space="preserve"> IF($T$60,1,0)</f>
        <v>0</v>
      </c>
      <c r="F60" s="14" t="s">
        <v>219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0</v>
      </c>
      <c r="M60" s="14">
        <v>0</v>
      </c>
      <c r="N60" s="14">
        <v>0</v>
      </c>
      <c r="O60" s="14">
        <v>0</v>
      </c>
      <c r="P60" s="14">
        <v>0</v>
      </c>
      <c r="Q60" s="14">
        <v>0</v>
      </c>
      <c r="R60" s="15">
        <f>$G$60*$G$8+$H$60*$H$8+$I$60*$I$8+$J$60*$J$8+$K$60*$K$8+$L$60*$L$8+$M$60*$M$8+$N$60*$N$8+$O$60*$O$8+$P$60*$P$8+$Q$60*$Q$8</f>
        <v>0</v>
      </c>
      <c r="S60" s="15">
        <v>0</v>
      </c>
      <c r="T60" s="15">
        <f>$R$60+$S$60</f>
        <v>0</v>
      </c>
    </row>
    <row r="61" spans="1:20" x14ac:dyDescent="0.3">
      <c r="A61" s="10" t="s">
        <v>220</v>
      </c>
      <c r="B61" s="11" t="s">
        <v>221</v>
      </c>
      <c r="C61" s="11" t="s">
        <v>34</v>
      </c>
      <c r="D61" s="11" t="s">
        <v>222</v>
      </c>
      <c r="E61" s="11">
        <f xml:space="preserve"> IF($T$61,1,0)</f>
        <v>0</v>
      </c>
      <c r="F61" s="11" t="s">
        <v>223</v>
      </c>
      <c r="G61" s="11">
        <v>0</v>
      </c>
      <c r="H61" s="11">
        <v>0</v>
      </c>
      <c r="I61" s="11">
        <v>0</v>
      </c>
      <c r="J61" s="11">
        <v>0</v>
      </c>
      <c r="K61" s="11">
        <v>0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1">
        <v>0</v>
      </c>
      <c r="R61" s="12">
        <f>$G$61*$G$8+$H$61*$H$8+$I$61*$I$8+$J$61*$J$8+$K$61*$K$8+$L$61*$L$8+$M$61*$M$8+$N$61*$N$8+$O$61*$O$8+$P$61*$P$8+$Q$61*$Q$8</f>
        <v>0</v>
      </c>
      <c r="S61" s="12">
        <v>0</v>
      </c>
      <c r="T61" s="12">
        <f>$R$61+$S$61</f>
        <v>0</v>
      </c>
    </row>
    <row r="62" spans="1:20" x14ac:dyDescent="0.3">
      <c r="A62" s="13" t="s">
        <v>224</v>
      </c>
      <c r="B62" s="14" t="s">
        <v>225</v>
      </c>
      <c r="C62" s="14"/>
      <c r="D62" s="14" t="s">
        <v>226</v>
      </c>
      <c r="E62" s="14">
        <f xml:space="preserve"> IF($T$62,1,0)</f>
        <v>0</v>
      </c>
      <c r="F62" s="14" t="s">
        <v>227</v>
      </c>
      <c r="G62" s="14">
        <v>0</v>
      </c>
      <c r="H62" s="14">
        <v>0</v>
      </c>
      <c r="I62" s="14">
        <v>0</v>
      </c>
      <c r="J62" s="14">
        <v>0</v>
      </c>
      <c r="K62" s="14">
        <v>0</v>
      </c>
      <c r="L62" s="14">
        <v>0</v>
      </c>
      <c r="M62" s="14">
        <v>0</v>
      </c>
      <c r="N62" s="14">
        <v>0</v>
      </c>
      <c r="O62" s="14">
        <v>0</v>
      </c>
      <c r="P62" s="14">
        <v>0</v>
      </c>
      <c r="Q62" s="14">
        <v>0</v>
      </c>
      <c r="R62" s="15">
        <f>$G$62*$G$8+$H$62*$H$8+$I$62*$I$8+$J$62*$J$8+$K$62*$K$8+$L$62*$L$8+$M$62*$M$8+$N$62*$N$8+$O$62*$O$8+$P$62*$P$8+$Q$62*$Q$8</f>
        <v>0</v>
      </c>
      <c r="S62" s="15">
        <v>0</v>
      </c>
      <c r="T62" s="15">
        <f>$R$62+$S$62</f>
        <v>0</v>
      </c>
    </row>
    <row r="63" spans="1:20" x14ac:dyDescent="0.3">
      <c r="A63" s="10" t="s">
        <v>228</v>
      </c>
      <c r="B63" s="11" t="s">
        <v>225</v>
      </c>
      <c r="C63" s="11"/>
      <c r="D63" s="11" t="s">
        <v>229</v>
      </c>
      <c r="E63" s="11">
        <f xml:space="preserve"> IF($T$63,1,0)</f>
        <v>0</v>
      </c>
      <c r="F63" s="11" t="s">
        <v>230</v>
      </c>
      <c r="G63" s="11">
        <v>0</v>
      </c>
      <c r="H63" s="11">
        <v>0</v>
      </c>
      <c r="I63" s="11">
        <v>0</v>
      </c>
      <c r="J63" s="11">
        <v>0</v>
      </c>
      <c r="K63" s="11">
        <v>0</v>
      </c>
      <c r="L63" s="11">
        <v>0</v>
      </c>
      <c r="M63" s="11">
        <v>0</v>
      </c>
      <c r="N63" s="11">
        <v>0</v>
      </c>
      <c r="O63" s="11">
        <v>0</v>
      </c>
      <c r="P63" s="11">
        <v>0</v>
      </c>
      <c r="Q63" s="11">
        <v>0</v>
      </c>
      <c r="R63" s="12">
        <f>$G$63*$G$8+$H$63*$H$8+$I$63*$I$8+$J$63*$J$8+$K$63*$K$8+$L$63*$L$8+$M$63*$M$8+$N$63*$N$8+$O$63*$O$8+$P$63*$P$8+$Q$63*$Q$8</f>
        <v>0</v>
      </c>
      <c r="S63" s="12">
        <v>0</v>
      </c>
      <c r="T63" s="12">
        <f>$R$63+$S$63</f>
        <v>0</v>
      </c>
    </row>
    <row r="64" spans="1:20" x14ac:dyDescent="0.3">
      <c r="A64" s="13" t="s">
        <v>231</v>
      </c>
      <c r="B64" s="14" t="s">
        <v>225</v>
      </c>
      <c r="C64" s="14"/>
      <c r="D64" s="14" t="s">
        <v>232</v>
      </c>
      <c r="E64" s="14">
        <f xml:space="preserve"> IF($T$64,1,0)</f>
        <v>0</v>
      </c>
      <c r="F64" s="14" t="s">
        <v>233</v>
      </c>
      <c r="G64" s="14">
        <v>0</v>
      </c>
      <c r="H64" s="14">
        <v>0</v>
      </c>
      <c r="I64" s="14">
        <v>0</v>
      </c>
      <c r="J64" s="14">
        <v>0</v>
      </c>
      <c r="K64" s="14">
        <v>0</v>
      </c>
      <c r="L64" s="14">
        <v>0</v>
      </c>
      <c r="M64" s="14">
        <v>0</v>
      </c>
      <c r="N64" s="14">
        <v>0</v>
      </c>
      <c r="O64" s="14">
        <v>0</v>
      </c>
      <c r="P64" s="14">
        <v>0</v>
      </c>
      <c r="Q64" s="14">
        <v>0</v>
      </c>
      <c r="R64" s="15">
        <f>$G$64*$G$8+$H$64*$H$8+$I$64*$I$8+$J$64*$J$8+$K$64*$K$8+$L$64*$L$8+$M$64*$M$8+$N$64*$N$8+$O$64*$O$8+$P$64*$P$8+$Q$64*$Q$8</f>
        <v>0</v>
      </c>
      <c r="S64" s="15">
        <v>0</v>
      </c>
      <c r="T64" s="15">
        <f>$R$64+$S$64</f>
        <v>0</v>
      </c>
    </row>
    <row r="65" spans="1:20" x14ac:dyDescent="0.3">
      <c r="A65" s="10" t="s">
        <v>234</v>
      </c>
      <c r="B65" s="11" t="s">
        <v>235</v>
      </c>
      <c r="C65" s="11"/>
      <c r="D65" s="11" t="s">
        <v>236</v>
      </c>
      <c r="E65" s="11">
        <f xml:space="preserve"> IF($T$65,1,0)</f>
        <v>0</v>
      </c>
      <c r="F65" s="11" t="s">
        <v>237</v>
      </c>
      <c r="G65" s="11">
        <v>0</v>
      </c>
      <c r="H65" s="11">
        <v>0</v>
      </c>
      <c r="I65" s="11">
        <v>0</v>
      </c>
      <c r="J65" s="11">
        <v>0</v>
      </c>
      <c r="K65" s="11">
        <v>0</v>
      </c>
      <c r="L65" s="11">
        <v>0</v>
      </c>
      <c r="M65" s="11">
        <v>0</v>
      </c>
      <c r="N65" s="11">
        <v>0</v>
      </c>
      <c r="O65" s="11">
        <v>0</v>
      </c>
      <c r="P65" s="11">
        <v>0</v>
      </c>
      <c r="Q65" s="11">
        <v>0</v>
      </c>
      <c r="R65" s="12">
        <f>$G$65*$G$8+$H$65*$H$8+$I$65*$I$8+$J$65*$J$8+$K$65*$K$8+$L$65*$L$8+$M$65*$M$8+$N$65*$N$8+$O$65*$O$8+$P$65*$P$8+$Q$65*$Q$8</f>
        <v>0</v>
      </c>
      <c r="S65" s="12">
        <v>0</v>
      </c>
      <c r="T65" s="12">
        <f>$R$65+$S$65</f>
        <v>0</v>
      </c>
    </row>
    <row r="66" spans="1:20" x14ac:dyDescent="0.3">
      <c r="A66" s="13" t="s">
        <v>238</v>
      </c>
      <c r="B66" s="14" t="s">
        <v>235</v>
      </c>
      <c r="C66" s="14" t="s">
        <v>34</v>
      </c>
      <c r="D66" s="14" t="s">
        <v>239</v>
      </c>
      <c r="E66" s="14">
        <f xml:space="preserve"> IF($T$66,1,0)</f>
        <v>1</v>
      </c>
      <c r="F66" s="14" t="s">
        <v>240</v>
      </c>
      <c r="G66" s="14">
        <v>4</v>
      </c>
      <c r="H66" s="14">
        <v>1</v>
      </c>
      <c r="I66" s="14">
        <v>0</v>
      </c>
      <c r="J66" s="14">
        <v>0</v>
      </c>
      <c r="K66" s="14">
        <v>0</v>
      </c>
      <c r="L66" s="14">
        <v>0</v>
      </c>
      <c r="M66" s="14">
        <v>0</v>
      </c>
      <c r="N66" s="14">
        <v>0</v>
      </c>
      <c r="O66" s="14">
        <v>0</v>
      </c>
      <c r="P66" s="14">
        <v>0</v>
      </c>
      <c r="Q66" s="14">
        <v>0</v>
      </c>
      <c r="R66" s="15">
        <f>$G$66*$G$8+$H$66*$H$8+$I$66*$I$8+$J$66*$J$8+$K$66*$K$8+$L$66*$L$8+$M$66*$M$8+$N$66*$N$8+$O$66*$O$8+$P$66*$P$8+$Q$66*$Q$8</f>
        <v>6.6000000000000005</v>
      </c>
      <c r="S66" s="15">
        <v>0</v>
      </c>
      <c r="T66" s="15">
        <f>$R$66+$S$66</f>
        <v>6.6000000000000005</v>
      </c>
    </row>
    <row r="67" spans="1:20" x14ac:dyDescent="0.3">
      <c r="A67" s="10" t="s">
        <v>241</v>
      </c>
      <c r="B67" s="11" t="s">
        <v>242</v>
      </c>
      <c r="C67" s="11" t="s">
        <v>243</v>
      </c>
      <c r="D67" s="11" t="s">
        <v>244</v>
      </c>
      <c r="E67" s="11">
        <f xml:space="preserve"> IF($T$67,1,0)</f>
        <v>0</v>
      </c>
      <c r="F67" s="11" t="s">
        <v>245</v>
      </c>
      <c r="G67" s="11">
        <v>0</v>
      </c>
      <c r="H67" s="11">
        <v>0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1">
        <v>0</v>
      </c>
      <c r="R67" s="12">
        <f>$G$67*$G$8+$H$67*$H$8+$I$67*$I$8+$J$67*$J$8+$K$67*$K$8+$L$67*$L$8+$M$67*$M$8+$N$67*$N$8+$O$67*$O$8+$P$67*$P$8+$Q$67*$Q$8</f>
        <v>0</v>
      </c>
      <c r="S67" s="12">
        <v>0</v>
      </c>
      <c r="T67" s="12">
        <f>$R$67+$S$67</f>
        <v>0</v>
      </c>
    </row>
    <row r="68" spans="1:20" x14ac:dyDescent="0.3">
      <c r="A68" s="13" t="s">
        <v>246</v>
      </c>
      <c r="B68" s="14" t="s">
        <v>242</v>
      </c>
      <c r="C68" s="14"/>
      <c r="D68" s="14" t="s">
        <v>247</v>
      </c>
      <c r="E68" s="14">
        <f xml:space="preserve"> IF($T$68,1,0)</f>
        <v>0</v>
      </c>
      <c r="F68" s="14" t="s">
        <v>248</v>
      </c>
      <c r="G68" s="14">
        <v>0</v>
      </c>
      <c r="H68" s="14">
        <v>0</v>
      </c>
      <c r="I68" s="14">
        <v>0</v>
      </c>
      <c r="J68" s="14">
        <v>0</v>
      </c>
      <c r="K68" s="14">
        <v>0</v>
      </c>
      <c r="L68" s="14">
        <v>0</v>
      </c>
      <c r="M68" s="14">
        <v>0</v>
      </c>
      <c r="N68" s="14">
        <v>0</v>
      </c>
      <c r="O68" s="14">
        <v>0</v>
      </c>
      <c r="P68" s="14">
        <v>0</v>
      </c>
      <c r="Q68" s="14">
        <v>0</v>
      </c>
      <c r="R68" s="15">
        <f>$G$68*$G$8+$H$68*$H$8+$I$68*$I$8+$J$68*$J$8+$K$68*$K$8+$L$68*$L$8+$M$68*$M$8+$N$68*$N$8+$O$68*$O$8+$P$68*$P$8+$Q$68*$Q$8</f>
        <v>0</v>
      </c>
      <c r="S68" s="15">
        <v>0</v>
      </c>
      <c r="T68" s="15">
        <f>$R$68+$S$68</f>
        <v>0</v>
      </c>
    </row>
    <row r="69" spans="1:20" x14ac:dyDescent="0.3">
      <c r="A69" s="10" t="s">
        <v>249</v>
      </c>
      <c r="B69" s="11" t="s">
        <v>242</v>
      </c>
      <c r="C69" s="11" t="s">
        <v>34</v>
      </c>
      <c r="D69" s="11" t="s">
        <v>250</v>
      </c>
      <c r="E69" s="11">
        <f xml:space="preserve"> IF($T$69,1,0)</f>
        <v>0</v>
      </c>
      <c r="F69" s="11" t="s">
        <v>251</v>
      </c>
      <c r="G69" s="11">
        <v>0</v>
      </c>
      <c r="H69" s="11">
        <v>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1">
        <v>0</v>
      </c>
      <c r="R69" s="12">
        <f>$G$69*$G$8+$H$69*$H$8+$I$69*$I$8+$J$69*$J$8+$K$69*$K$8+$L$69*$L$8+$M$69*$M$8+$N$69*$N$8+$O$69*$O$8+$P$69*$P$8+$Q$69*$Q$8</f>
        <v>0</v>
      </c>
      <c r="S69" s="12">
        <v>0</v>
      </c>
      <c r="T69" s="12">
        <f>$R$69+$S$69</f>
        <v>0</v>
      </c>
    </row>
    <row r="70" spans="1:20" x14ac:dyDescent="0.3">
      <c r="A70" s="13" t="s">
        <v>252</v>
      </c>
      <c r="B70" s="14" t="s">
        <v>253</v>
      </c>
      <c r="C70" s="14"/>
      <c r="D70" s="14" t="s">
        <v>254</v>
      </c>
      <c r="E70" s="14">
        <f xml:space="preserve"> IF($T$70,1,0)</f>
        <v>0</v>
      </c>
      <c r="F70" s="14" t="s">
        <v>255</v>
      </c>
      <c r="G70" s="14">
        <v>0</v>
      </c>
      <c r="H70" s="14">
        <v>0</v>
      </c>
      <c r="I70" s="14">
        <v>0</v>
      </c>
      <c r="J70" s="14">
        <v>0</v>
      </c>
      <c r="K70" s="14">
        <v>0</v>
      </c>
      <c r="L70" s="14">
        <v>0</v>
      </c>
      <c r="M70" s="14">
        <v>0</v>
      </c>
      <c r="N70" s="14">
        <v>0</v>
      </c>
      <c r="O70" s="14">
        <v>0</v>
      </c>
      <c r="P70" s="14">
        <v>0</v>
      </c>
      <c r="Q70" s="14">
        <v>0</v>
      </c>
      <c r="R70" s="15">
        <f>$G$70*$G$8+$H$70*$H$8+$I$70*$I$8+$J$70*$J$8+$K$70*$K$8+$L$70*$L$8+$M$70*$M$8+$N$70*$N$8+$O$70*$O$8+$P$70*$P$8+$Q$70*$Q$8</f>
        <v>0</v>
      </c>
      <c r="S70" s="15">
        <v>0</v>
      </c>
      <c r="T70" s="15">
        <f>$R$70+$S$70</f>
        <v>0</v>
      </c>
    </row>
    <row r="71" spans="1:20" x14ac:dyDescent="0.3">
      <c r="A71" s="10" t="s">
        <v>256</v>
      </c>
      <c r="B71" s="11" t="s">
        <v>257</v>
      </c>
      <c r="C71" s="11"/>
      <c r="D71" s="11" t="s">
        <v>258</v>
      </c>
      <c r="E71" s="11">
        <f xml:space="preserve"> IF($T$71,1,0)</f>
        <v>0</v>
      </c>
      <c r="F71" s="11" t="s">
        <v>259</v>
      </c>
      <c r="G71" s="11">
        <v>0</v>
      </c>
      <c r="H71" s="11">
        <v>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0</v>
      </c>
      <c r="O71" s="11">
        <v>0</v>
      </c>
      <c r="P71" s="11">
        <v>0</v>
      </c>
      <c r="Q71" s="11">
        <v>0</v>
      </c>
      <c r="R71" s="12">
        <f>$G$71*$G$8+$H$71*$H$8+$I$71*$I$8+$J$71*$J$8+$K$71*$K$8+$L$71*$L$8+$M$71*$M$8+$N$71*$N$8+$O$71*$O$8+$P$71*$P$8+$Q$71*$Q$8</f>
        <v>0</v>
      </c>
      <c r="S71" s="12">
        <v>0</v>
      </c>
      <c r="T71" s="12">
        <f>$R$71+$S$71</f>
        <v>0</v>
      </c>
    </row>
    <row r="72" spans="1:20" x14ac:dyDescent="0.3">
      <c r="A72" s="13" t="s">
        <v>260</v>
      </c>
      <c r="B72" s="14" t="s">
        <v>261</v>
      </c>
      <c r="C72" s="14"/>
      <c r="D72" s="14" t="s">
        <v>262</v>
      </c>
      <c r="E72" s="14">
        <f xml:space="preserve"> IF($T$72,1,0)</f>
        <v>0</v>
      </c>
      <c r="F72" s="14" t="s">
        <v>263</v>
      </c>
      <c r="G72" s="14">
        <v>0</v>
      </c>
      <c r="H72" s="14">
        <v>0</v>
      </c>
      <c r="I72" s="14">
        <v>0</v>
      </c>
      <c r="J72" s="14">
        <v>0</v>
      </c>
      <c r="K72" s="14">
        <v>0</v>
      </c>
      <c r="L72" s="14">
        <v>0</v>
      </c>
      <c r="M72" s="14">
        <v>0</v>
      </c>
      <c r="N72" s="14">
        <v>0</v>
      </c>
      <c r="O72" s="14">
        <v>0</v>
      </c>
      <c r="P72" s="14">
        <v>0</v>
      </c>
      <c r="Q72" s="14">
        <v>0</v>
      </c>
      <c r="R72" s="15">
        <f>$G$72*$G$8+$H$72*$H$8+$I$72*$I$8+$J$72*$J$8+$K$72*$K$8+$L$72*$L$8+$M$72*$M$8+$N$72*$N$8+$O$72*$O$8+$P$72*$P$8+$Q$72*$Q$8</f>
        <v>0</v>
      </c>
      <c r="S72" s="15">
        <v>0</v>
      </c>
      <c r="T72" s="15">
        <f>$R$72+$S$72</f>
        <v>0</v>
      </c>
    </row>
    <row r="73" spans="1:20" x14ac:dyDescent="0.3">
      <c r="A73" s="10" t="s">
        <v>264</v>
      </c>
      <c r="B73" s="11" t="s">
        <v>265</v>
      </c>
      <c r="C73" s="11"/>
      <c r="D73" s="11" t="s">
        <v>266</v>
      </c>
      <c r="E73" s="11">
        <f xml:space="preserve"> IF($T$73,1,0)</f>
        <v>0</v>
      </c>
      <c r="F73" s="11" t="s">
        <v>267</v>
      </c>
      <c r="G73" s="11">
        <v>0</v>
      </c>
      <c r="H73" s="11">
        <v>0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1">
        <v>0</v>
      </c>
      <c r="R73" s="12">
        <f>$G$73*$G$8+$H$73*$H$8+$I$73*$I$8+$J$73*$J$8+$K$73*$K$8+$L$73*$L$8+$M$73*$M$8+$N$73*$N$8+$O$73*$O$8+$P$73*$P$8+$Q$73*$Q$8</f>
        <v>0</v>
      </c>
      <c r="S73" s="12">
        <v>0</v>
      </c>
      <c r="T73" s="12">
        <f>$R$73+$S$73</f>
        <v>0</v>
      </c>
    </row>
    <row r="74" spans="1:20" x14ac:dyDescent="0.3">
      <c r="A74" s="13" t="s">
        <v>268</v>
      </c>
      <c r="B74" s="14" t="s">
        <v>269</v>
      </c>
      <c r="C74" s="14"/>
      <c r="D74" s="14" t="s">
        <v>270</v>
      </c>
      <c r="E74" s="14">
        <f xml:space="preserve"> IF($T$74,1,0)</f>
        <v>0</v>
      </c>
      <c r="F74" s="14" t="s">
        <v>271</v>
      </c>
      <c r="G74" s="14">
        <v>0</v>
      </c>
      <c r="H74" s="14">
        <v>0</v>
      </c>
      <c r="I74" s="14">
        <v>0</v>
      </c>
      <c r="J74" s="14">
        <v>0</v>
      </c>
      <c r="K74" s="14">
        <v>0</v>
      </c>
      <c r="L74" s="14">
        <v>0</v>
      </c>
      <c r="M74" s="14">
        <v>0</v>
      </c>
      <c r="N74" s="14">
        <v>0</v>
      </c>
      <c r="O74" s="14">
        <v>0</v>
      </c>
      <c r="P74" s="14">
        <v>0</v>
      </c>
      <c r="Q74" s="14">
        <v>0</v>
      </c>
      <c r="R74" s="15">
        <f>$G$74*$G$8+$H$74*$H$8+$I$74*$I$8+$J$74*$J$8+$K$74*$K$8+$L$74*$L$8+$M$74*$M$8+$N$74*$N$8+$O$74*$O$8+$P$74*$P$8+$Q$74*$Q$8</f>
        <v>0</v>
      </c>
      <c r="S74" s="15">
        <v>0</v>
      </c>
      <c r="T74" s="15">
        <f>$R$74+$S$74</f>
        <v>0</v>
      </c>
    </row>
    <row r="75" spans="1:20" x14ac:dyDescent="0.3">
      <c r="A75" s="10" t="s">
        <v>272</v>
      </c>
      <c r="B75" s="11" t="s">
        <v>273</v>
      </c>
      <c r="C75" s="11"/>
      <c r="D75" s="11" t="s">
        <v>274</v>
      </c>
      <c r="E75" s="11">
        <f xml:space="preserve"> IF($T$75,1,0)</f>
        <v>1</v>
      </c>
      <c r="F75" s="11" t="s">
        <v>275</v>
      </c>
      <c r="G75" s="11">
        <v>2</v>
      </c>
      <c r="H75" s="11">
        <v>5</v>
      </c>
      <c r="I75" s="11">
        <v>0</v>
      </c>
      <c r="J75" s="11">
        <v>0</v>
      </c>
      <c r="K75" s="11">
        <v>0</v>
      </c>
      <c r="L75" s="11">
        <v>0</v>
      </c>
      <c r="M75" s="11">
        <v>0</v>
      </c>
      <c r="N75" s="11">
        <v>0</v>
      </c>
      <c r="O75" s="11">
        <v>0</v>
      </c>
      <c r="P75" s="11">
        <v>0</v>
      </c>
      <c r="Q75" s="11">
        <v>0</v>
      </c>
      <c r="R75" s="12">
        <f>$G$75*$G$8+$H$75*$H$8+$I$75*$I$8+$J$75*$J$8+$K$75*$K$8+$L$75*$L$8+$M$75*$M$8+$N$75*$N$8+$O$75*$O$8+$P$75*$P$8+$Q$75*$Q$8</f>
        <v>13.2</v>
      </c>
      <c r="S75" s="12">
        <v>0</v>
      </c>
      <c r="T75" s="12">
        <f>$R$75+$S$75</f>
        <v>13.2</v>
      </c>
    </row>
    <row r="76" spans="1:20" x14ac:dyDescent="0.3">
      <c r="A76" s="13" t="s">
        <v>276</v>
      </c>
      <c r="B76" s="14" t="s">
        <v>277</v>
      </c>
      <c r="C76" s="14" t="s">
        <v>278</v>
      </c>
      <c r="D76" s="14" t="s">
        <v>279</v>
      </c>
      <c r="E76" s="14">
        <f xml:space="preserve"> IF($T$76,1,0)</f>
        <v>0</v>
      </c>
      <c r="F76" s="14" t="s">
        <v>280</v>
      </c>
      <c r="G76" s="14">
        <v>0</v>
      </c>
      <c r="H76" s="14">
        <v>0</v>
      </c>
      <c r="I76" s="14">
        <v>0</v>
      </c>
      <c r="J76" s="14">
        <v>0</v>
      </c>
      <c r="K76" s="14">
        <v>0</v>
      </c>
      <c r="L76" s="14">
        <v>0</v>
      </c>
      <c r="M76" s="14">
        <v>0</v>
      </c>
      <c r="N76" s="14">
        <v>0</v>
      </c>
      <c r="O76" s="14">
        <v>0</v>
      </c>
      <c r="P76" s="14">
        <v>0</v>
      </c>
      <c r="Q76" s="14">
        <v>0</v>
      </c>
      <c r="R76" s="15">
        <f>$G$76*$G$8+$H$76*$H$8+$I$76*$I$8+$J$76*$J$8+$K$76*$K$8+$L$76*$L$8+$M$76*$M$8+$N$76*$N$8+$O$76*$O$8+$P$76*$P$8+$Q$76*$Q$8</f>
        <v>0</v>
      </c>
      <c r="S76" s="15">
        <v>0</v>
      </c>
      <c r="T76" s="15">
        <f>$R$76+$S$76</f>
        <v>0</v>
      </c>
    </row>
    <row r="77" spans="1:20" x14ac:dyDescent="0.3">
      <c r="A77" s="10" t="s">
        <v>281</v>
      </c>
      <c r="B77" s="11" t="s">
        <v>282</v>
      </c>
      <c r="C77" s="11" t="s">
        <v>283</v>
      </c>
      <c r="D77" s="11" t="s">
        <v>284</v>
      </c>
      <c r="E77" s="11">
        <f xml:space="preserve"> IF($T$77,1,0)</f>
        <v>0</v>
      </c>
      <c r="F77" s="11" t="s">
        <v>285</v>
      </c>
      <c r="G77" s="11">
        <v>0</v>
      </c>
      <c r="H77" s="11">
        <v>0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1">
        <v>0</v>
      </c>
      <c r="R77" s="12">
        <f>$G$77*$G$8+$H$77*$H$8+$I$77*$I$8+$J$77*$J$8+$K$77*$K$8+$L$77*$L$8+$M$77*$M$8+$N$77*$N$8+$O$77*$O$8+$P$77*$P$8+$Q$77*$Q$8</f>
        <v>0</v>
      </c>
      <c r="S77" s="12">
        <v>0</v>
      </c>
      <c r="T77" s="12">
        <f>$R$77+$S$77</f>
        <v>0</v>
      </c>
    </row>
    <row r="78" spans="1:20" x14ac:dyDescent="0.3">
      <c r="A78" s="13" t="s">
        <v>286</v>
      </c>
      <c r="B78" s="14" t="s">
        <v>287</v>
      </c>
      <c r="C78" s="14" t="s">
        <v>278</v>
      </c>
      <c r="D78" s="14" t="s">
        <v>288</v>
      </c>
      <c r="E78" s="14">
        <f xml:space="preserve"> IF($T$78,1,0)</f>
        <v>0</v>
      </c>
      <c r="F78" s="14" t="s">
        <v>289</v>
      </c>
      <c r="G78" s="14">
        <v>0</v>
      </c>
      <c r="H78" s="14">
        <v>0</v>
      </c>
      <c r="I78" s="14">
        <v>0</v>
      </c>
      <c r="J78" s="14">
        <v>0</v>
      </c>
      <c r="K78" s="14">
        <v>0</v>
      </c>
      <c r="L78" s="14">
        <v>0</v>
      </c>
      <c r="M78" s="14">
        <v>0</v>
      </c>
      <c r="N78" s="14">
        <v>0</v>
      </c>
      <c r="O78" s="14">
        <v>0</v>
      </c>
      <c r="P78" s="14">
        <v>0</v>
      </c>
      <c r="Q78" s="14">
        <v>0</v>
      </c>
      <c r="R78" s="15">
        <f>$G$78*$G$8+$H$78*$H$8+$I$78*$I$8+$J$78*$J$8+$K$78*$K$8+$L$78*$L$8+$M$78*$M$8+$N$78*$N$8+$O$78*$O$8+$P$78*$P$8+$Q$78*$Q$8</f>
        <v>0</v>
      </c>
      <c r="S78" s="15">
        <v>0</v>
      </c>
      <c r="T78" s="15">
        <f>$R$78+$S$78</f>
        <v>0</v>
      </c>
    </row>
    <row r="79" spans="1:20" x14ac:dyDescent="0.3">
      <c r="A79" s="10" t="s">
        <v>290</v>
      </c>
      <c r="B79" s="11" t="s">
        <v>291</v>
      </c>
      <c r="C79" s="11"/>
      <c r="D79" s="11" t="s">
        <v>292</v>
      </c>
      <c r="E79" s="11">
        <f xml:space="preserve"> IF($T$79,1,0)</f>
        <v>0</v>
      </c>
      <c r="F79" s="11" t="s">
        <v>293</v>
      </c>
      <c r="G79" s="11">
        <v>0</v>
      </c>
      <c r="H79" s="11">
        <v>0</v>
      </c>
      <c r="I79" s="11">
        <v>0</v>
      </c>
      <c r="J79" s="11">
        <v>0</v>
      </c>
      <c r="K79" s="11">
        <v>0</v>
      </c>
      <c r="L79" s="11">
        <v>0</v>
      </c>
      <c r="M79" s="11">
        <v>0</v>
      </c>
      <c r="N79" s="11">
        <v>0</v>
      </c>
      <c r="O79" s="11">
        <v>0</v>
      </c>
      <c r="P79" s="11">
        <v>0</v>
      </c>
      <c r="Q79" s="11">
        <v>0</v>
      </c>
      <c r="R79" s="12">
        <f>$G$79*$G$8+$H$79*$H$8+$I$79*$I$8+$J$79*$J$8+$K$79*$K$8+$L$79*$L$8+$M$79*$M$8+$N$79*$N$8+$O$79*$O$8+$P$79*$P$8+$Q$79*$Q$8</f>
        <v>0</v>
      </c>
      <c r="S79" s="12">
        <v>0</v>
      </c>
      <c r="T79" s="12">
        <f>$R$79+$S$79</f>
        <v>0</v>
      </c>
    </row>
    <row r="80" spans="1:20" x14ac:dyDescent="0.3">
      <c r="A80" s="13" t="s">
        <v>294</v>
      </c>
      <c r="B80" s="14" t="s">
        <v>295</v>
      </c>
      <c r="C80" s="14"/>
      <c r="D80" s="14" t="s">
        <v>296</v>
      </c>
      <c r="E80" s="14">
        <f xml:space="preserve"> IF($T$80,1,0)</f>
        <v>0</v>
      </c>
      <c r="F80" s="14" t="s">
        <v>297</v>
      </c>
      <c r="G80" s="14">
        <v>0</v>
      </c>
      <c r="H80" s="14">
        <v>0</v>
      </c>
      <c r="I80" s="14">
        <v>0</v>
      </c>
      <c r="J80" s="14">
        <v>0</v>
      </c>
      <c r="K80" s="14">
        <v>0</v>
      </c>
      <c r="L80" s="14">
        <v>0</v>
      </c>
      <c r="M80" s="14">
        <v>0</v>
      </c>
      <c r="N80" s="14">
        <v>0</v>
      </c>
      <c r="O80" s="14">
        <v>0</v>
      </c>
      <c r="P80" s="14">
        <v>0</v>
      </c>
      <c r="Q80" s="14">
        <v>0</v>
      </c>
      <c r="R80" s="15">
        <f>$G$80*$G$8+$H$80*$H$8+$I$80*$I$8+$J$80*$J$8+$K$80*$K$8+$L$80*$L$8+$M$80*$M$8+$N$80*$N$8+$O$80*$O$8+$P$80*$P$8+$Q$80*$Q$8</f>
        <v>0</v>
      </c>
      <c r="S80" s="15">
        <v>0</v>
      </c>
      <c r="T80" s="15">
        <f>$R$80+$S$80</f>
        <v>0</v>
      </c>
    </row>
    <row r="81" spans="1:20" x14ac:dyDescent="0.3">
      <c r="A81" s="10" t="s">
        <v>298</v>
      </c>
      <c r="B81" s="11" t="s">
        <v>295</v>
      </c>
      <c r="C81" s="11"/>
      <c r="D81" s="11" t="s">
        <v>299</v>
      </c>
      <c r="E81" s="11">
        <f xml:space="preserve"> IF($T$81,1,0)</f>
        <v>0</v>
      </c>
      <c r="F81" s="11" t="s">
        <v>300</v>
      </c>
      <c r="G81" s="11">
        <v>0</v>
      </c>
      <c r="H81" s="11">
        <v>0</v>
      </c>
      <c r="I81" s="11">
        <v>0</v>
      </c>
      <c r="J81" s="11">
        <v>0</v>
      </c>
      <c r="K81" s="11">
        <v>0</v>
      </c>
      <c r="L81" s="11">
        <v>0</v>
      </c>
      <c r="M81" s="11">
        <v>0</v>
      </c>
      <c r="N81" s="11">
        <v>0</v>
      </c>
      <c r="O81" s="11">
        <v>0</v>
      </c>
      <c r="P81" s="11">
        <v>0</v>
      </c>
      <c r="Q81" s="11">
        <v>0</v>
      </c>
      <c r="R81" s="12">
        <f>$G$81*$G$8+$H$81*$H$8+$I$81*$I$8+$J$81*$J$8+$K$81*$K$8+$L$81*$L$8+$M$81*$M$8+$N$81*$N$8+$O$81*$O$8+$P$81*$P$8+$Q$81*$Q$8</f>
        <v>0</v>
      </c>
      <c r="S81" s="12">
        <v>0</v>
      </c>
      <c r="T81" s="12">
        <f>$R$81+$S$81</f>
        <v>0</v>
      </c>
    </row>
    <row r="82" spans="1:20" x14ac:dyDescent="0.3">
      <c r="A82" s="13" t="s">
        <v>301</v>
      </c>
      <c r="B82" s="14" t="s">
        <v>302</v>
      </c>
      <c r="C82" s="14"/>
      <c r="D82" s="14" t="s">
        <v>303</v>
      </c>
      <c r="E82" s="14">
        <f xml:space="preserve"> IF($T$82,1,0)</f>
        <v>0</v>
      </c>
      <c r="F82" s="14" t="s">
        <v>304</v>
      </c>
      <c r="G82" s="14">
        <v>0</v>
      </c>
      <c r="H82" s="14">
        <v>0</v>
      </c>
      <c r="I82" s="14">
        <v>0</v>
      </c>
      <c r="J82" s="14">
        <v>0</v>
      </c>
      <c r="K82" s="14">
        <v>0</v>
      </c>
      <c r="L82" s="14">
        <v>0</v>
      </c>
      <c r="M82" s="14">
        <v>0</v>
      </c>
      <c r="N82" s="14">
        <v>0</v>
      </c>
      <c r="O82" s="14">
        <v>0</v>
      </c>
      <c r="P82" s="14">
        <v>0</v>
      </c>
      <c r="Q82" s="14">
        <v>0</v>
      </c>
      <c r="R82" s="15">
        <f>$G$82*$G$8+$H$82*$H$8+$I$82*$I$8+$J$82*$J$8+$K$82*$K$8+$L$82*$L$8+$M$82*$M$8+$N$82*$N$8+$O$82*$O$8+$P$82*$P$8+$Q$82*$Q$8</f>
        <v>0</v>
      </c>
      <c r="S82" s="15">
        <v>0</v>
      </c>
      <c r="T82" s="15">
        <f>$R$82+$S$82</f>
        <v>0</v>
      </c>
    </row>
    <row r="83" spans="1:20" x14ac:dyDescent="0.3">
      <c r="A83" s="10" t="s">
        <v>305</v>
      </c>
      <c r="B83" s="11" t="s">
        <v>306</v>
      </c>
      <c r="C83" s="11"/>
      <c r="D83" s="11" t="s">
        <v>307</v>
      </c>
      <c r="E83" s="11">
        <f xml:space="preserve"> IF($T$83,1,0)</f>
        <v>0</v>
      </c>
      <c r="F83" s="11" t="s">
        <v>308</v>
      </c>
      <c r="G83" s="11">
        <v>0</v>
      </c>
      <c r="H83" s="11">
        <v>0</v>
      </c>
      <c r="I83" s="11">
        <v>0</v>
      </c>
      <c r="J83" s="11">
        <v>0</v>
      </c>
      <c r="K83" s="11">
        <v>0</v>
      </c>
      <c r="L83" s="11">
        <v>0</v>
      </c>
      <c r="M83" s="11">
        <v>0</v>
      </c>
      <c r="N83" s="11">
        <v>0</v>
      </c>
      <c r="O83" s="11">
        <v>0</v>
      </c>
      <c r="P83" s="11">
        <v>0</v>
      </c>
      <c r="Q83" s="11">
        <v>0</v>
      </c>
      <c r="R83" s="12">
        <f>$G$83*$G$8+$H$83*$H$8+$I$83*$I$8+$J$83*$J$8+$K$83*$K$8+$L$83*$L$8+$M$83*$M$8+$N$83*$N$8+$O$83*$O$8+$P$83*$P$8+$Q$83*$Q$8</f>
        <v>0</v>
      </c>
      <c r="S83" s="12">
        <v>0</v>
      </c>
      <c r="T83" s="12">
        <f>$R$83+$S$83</f>
        <v>0</v>
      </c>
    </row>
    <row r="84" spans="1:20" x14ac:dyDescent="0.3">
      <c r="A84" s="13" t="s">
        <v>309</v>
      </c>
      <c r="B84" s="14" t="s">
        <v>310</v>
      </c>
      <c r="C84" s="14"/>
      <c r="D84" s="14" t="s">
        <v>311</v>
      </c>
      <c r="E84" s="14">
        <f xml:space="preserve"> IF($T$84,1,0)</f>
        <v>0</v>
      </c>
      <c r="F84" s="14" t="s">
        <v>312</v>
      </c>
      <c r="G84" s="14">
        <v>0</v>
      </c>
      <c r="H84" s="14">
        <v>0</v>
      </c>
      <c r="I84" s="14">
        <v>0</v>
      </c>
      <c r="J84" s="14">
        <v>0</v>
      </c>
      <c r="K84" s="14">
        <v>0</v>
      </c>
      <c r="L84" s="14">
        <v>0</v>
      </c>
      <c r="M84" s="14">
        <v>0</v>
      </c>
      <c r="N84" s="14">
        <v>0</v>
      </c>
      <c r="O84" s="14">
        <v>0</v>
      </c>
      <c r="P84" s="14">
        <v>0</v>
      </c>
      <c r="Q84" s="14">
        <v>0</v>
      </c>
      <c r="R84" s="15">
        <f>$G$84*$G$8+$H$84*$H$8+$I$84*$I$8+$J$84*$J$8+$K$84*$K$8+$L$84*$L$8+$M$84*$M$8+$N$84*$N$8+$O$84*$O$8+$P$84*$P$8+$Q$84*$Q$8</f>
        <v>0</v>
      </c>
      <c r="S84" s="15">
        <v>0</v>
      </c>
      <c r="T84" s="15">
        <f>$R$84+$S$84</f>
        <v>0</v>
      </c>
    </row>
    <row r="85" spans="1:20" x14ac:dyDescent="0.3">
      <c r="A85" s="10" t="s">
        <v>313</v>
      </c>
      <c r="B85" s="11" t="s">
        <v>314</v>
      </c>
      <c r="C85" s="11"/>
      <c r="D85" s="11" t="s">
        <v>315</v>
      </c>
      <c r="E85" s="11">
        <f xml:space="preserve"> IF($T$85,1,0)</f>
        <v>0</v>
      </c>
      <c r="F85" s="11" t="s">
        <v>316</v>
      </c>
      <c r="G85" s="11">
        <v>0</v>
      </c>
      <c r="H85" s="11">
        <v>0</v>
      </c>
      <c r="I85" s="11">
        <v>0</v>
      </c>
      <c r="J85" s="11">
        <v>0</v>
      </c>
      <c r="K85" s="11">
        <v>0</v>
      </c>
      <c r="L85" s="11">
        <v>0</v>
      </c>
      <c r="M85" s="11">
        <v>0</v>
      </c>
      <c r="N85" s="11">
        <v>0</v>
      </c>
      <c r="O85" s="11">
        <v>0</v>
      </c>
      <c r="P85" s="11">
        <v>0</v>
      </c>
      <c r="Q85" s="11">
        <v>0</v>
      </c>
      <c r="R85" s="12">
        <f>$G$85*$G$8+$H$85*$H$8+$I$85*$I$8+$J$85*$J$8+$K$85*$K$8+$L$85*$L$8+$M$85*$M$8+$N$85*$N$8+$O$85*$O$8+$P$85*$P$8+$Q$85*$Q$8</f>
        <v>0</v>
      </c>
      <c r="S85" s="12">
        <v>0</v>
      </c>
      <c r="T85" s="12">
        <f>$R$85+$S$85</f>
        <v>0</v>
      </c>
    </row>
    <row r="86" spans="1:20" x14ac:dyDescent="0.3">
      <c r="A86" s="13" t="s">
        <v>317</v>
      </c>
      <c r="B86" s="14" t="s">
        <v>318</v>
      </c>
      <c r="C86" s="14"/>
      <c r="D86" s="14" t="s">
        <v>319</v>
      </c>
      <c r="E86" s="14">
        <f xml:space="preserve"> IF($T$86,1,0)</f>
        <v>0</v>
      </c>
      <c r="F86" s="14" t="s">
        <v>320</v>
      </c>
      <c r="G86" s="14">
        <v>0</v>
      </c>
      <c r="H86" s="14">
        <v>0</v>
      </c>
      <c r="I86" s="14">
        <v>0</v>
      </c>
      <c r="J86" s="14">
        <v>0</v>
      </c>
      <c r="K86" s="14">
        <v>0</v>
      </c>
      <c r="L86" s="14">
        <v>0</v>
      </c>
      <c r="M86" s="14">
        <v>0</v>
      </c>
      <c r="N86" s="14">
        <v>0</v>
      </c>
      <c r="O86" s="14">
        <v>0</v>
      </c>
      <c r="P86" s="14">
        <v>0</v>
      </c>
      <c r="Q86" s="14">
        <v>0</v>
      </c>
      <c r="R86" s="15">
        <f>$G$86*$G$8+$H$86*$H$8+$I$86*$I$8+$J$86*$J$8+$K$86*$K$8+$L$86*$L$8+$M$86*$M$8+$N$86*$N$8+$O$86*$O$8+$P$86*$P$8+$Q$86*$Q$8</f>
        <v>0</v>
      </c>
      <c r="S86" s="15">
        <v>0</v>
      </c>
      <c r="T86" s="15">
        <f>$R$86+$S$86</f>
        <v>0</v>
      </c>
    </row>
    <row r="87" spans="1:20" x14ac:dyDescent="0.3">
      <c r="A87" s="10" t="s">
        <v>321</v>
      </c>
      <c r="B87" s="11" t="s">
        <v>322</v>
      </c>
      <c r="C87" s="11"/>
      <c r="D87" s="11" t="s">
        <v>323</v>
      </c>
      <c r="E87" s="11">
        <f xml:space="preserve"> IF($T$87,1,0)</f>
        <v>0</v>
      </c>
      <c r="F87" s="11" t="s">
        <v>324</v>
      </c>
      <c r="G87" s="11">
        <v>0</v>
      </c>
      <c r="H87" s="11">
        <v>0</v>
      </c>
      <c r="I87" s="11">
        <v>0</v>
      </c>
      <c r="J87" s="11">
        <v>0</v>
      </c>
      <c r="K87" s="11">
        <v>0</v>
      </c>
      <c r="L87" s="11">
        <v>0</v>
      </c>
      <c r="M87" s="11">
        <v>0</v>
      </c>
      <c r="N87" s="11">
        <v>0</v>
      </c>
      <c r="O87" s="11">
        <v>0</v>
      </c>
      <c r="P87" s="11">
        <v>0</v>
      </c>
      <c r="Q87" s="11">
        <v>0</v>
      </c>
      <c r="R87" s="12">
        <f>$G$87*$G$8+$H$87*$H$8+$I$87*$I$8+$J$87*$J$8+$K$87*$K$8+$L$87*$L$8+$M$87*$M$8+$N$87*$N$8+$O$87*$O$8+$P$87*$P$8+$Q$87*$Q$8</f>
        <v>0</v>
      </c>
      <c r="S87" s="12">
        <v>0</v>
      </c>
      <c r="T87" s="12">
        <f>$R$87+$S$87</f>
        <v>0</v>
      </c>
    </row>
    <row r="88" spans="1:20" x14ac:dyDescent="0.3">
      <c r="A88" s="13" t="s">
        <v>325</v>
      </c>
      <c r="B88" s="14" t="s">
        <v>326</v>
      </c>
      <c r="C88" s="14" t="s">
        <v>243</v>
      </c>
      <c r="D88" s="14" t="s">
        <v>327</v>
      </c>
      <c r="E88" s="14">
        <f xml:space="preserve"> IF($T$88,1,0)</f>
        <v>0</v>
      </c>
      <c r="F88" s="14" t="s">
        <v>328</v>
      </c>
      <c r="G88" s="14">
        <v>0</v>
      </c>
      <c r="H88" s="14">
        <v>0</v>
      </c>
      <c r="I88" s="14">
        <v>0</v>
      </c>
      <c r="J88" s="14">
        <v>0</v>
      </c>
      <c r="K88" s="14">
        <v>0</v>
      </c>
      <c r="L88" s="14">
        <v>0</v>
      </c>
      <c r="M88" s="14">
        <v>0</v>
      </c>
      <c r="N88" s="14">
        <v>0</v>
      </c>
      <c r="O88" s="14">
        <v>0</v>
      </c>
      <c r="P88" s="14">
        <v>0</v>
      </c>
      <c r="Q88" s="14">
        <v>0</v>
      </c>
      <c r="R88" s="15">
        <f>$G$88*$G$8+$H$88*$H$8+$I$88*$I$8+$J$88*$J$8+$K$88*$K$8+$L$88*$L$8+$M$88*$M$8+$N$88*$N$8+$O$88*$O$8+$P$88*$P$8+$Q$88*$Q$8</f>
        <v>0</v>
      </c>
      <c r="S88" s="15">
        <v>0</v>
      </c>
      <c r="T88" s="15">
        <f>$R$88+$S$88</f>
        <v>0</v>
      </c>
    </row>
    <row r="89" spans="1:20" x14ac:dyDescent="0.3">
      <c r="A89" s="10" t="s">
        <v>329</v>
      </c>
      <c r="B89" s="11" t="s">
        <v>330</v>
      </c>
      <c r="C89" s="11"/>
      <c r="D89" s="11" t="s">
        <v>331</v>
      </c>
      <c r="E89" s="11">
        <f xml:space="preserve"> IF($T$89,1,0)</f>
        <v>1</v>
      </c>
      <c r="F89" s="11" t="s">
        <v>332</v>
      </c>
      <c r="G89" s="11">
        <v>1</v>
      </c>
      <c r="H89" s="11">
        <v>0</v>
      </c>
      <c r="I89" s="11">
        <v>0</v>
      </c>
      <c r="J89" s="11">
        <v>0</v>
      </c>
      <c r="K89" s="11">
        <v>0</v>
      </c>
      <c r="L89" s="11">
        <v>0</v>
      </c>
      <c r="M89" s="11">
        <v>0</v>
      </c>
      <c r="N89" s="11">
        <v>0</v>
      </c>
      <c r="O89" s="11">
        <v>0</v>
      </c>
      <c r="P89" s="11">
        <v>0</v>
      </c>
      <c r="Q89" s="11">
        <v>0</v>
      </c>
      <c r="R89" s="12">
        <f>$G$89*$G$8+$H$89*$H$8+$I$89*$I$8+$J$89*$J$8+$K$89*$K$8+$L$89*$L$8+$M$89*$M$8+$N$89*$N$8+$O$89*$O$8+$P$89*$P$8+$Q$89*$Q$8</f>
        <v>1.1000000000000001</v>
      </c>
      <c r="S89" s="12">
        <v>0</v>
      </c>
      <c r="T89" s="12">
        <f>$R$89+$S$89</f>
        <v>1.1000000000000001</v>
      </c>
    </row>
    <row r="90" spans="1:20" x14ac:dyDescent="0.3">
      <c r="A90" s="13" t="s">
        <v>333</v>
      </c>
      <c r="B90" s="14" t="s">
        <v>334</v>
      </c>
      <c r="C90" s="14"/>
      <c r="D90" s="14" t="s">
        <v>335</v>
      </c>
      <c r="E90" s="14">
        <f xml:space="preserve"> IF($T$90,1,0)</f>
        <v>0</v>
      </c>
      <c r="F90" s="14" t="s">
        <v>336</v>
      </c>
      <c r="G90" s="14">
        <v>0</v>
      </c>
      <c r="H90" s="14">
        <v>0</v>
      </c>
      <c r="I90" s="14">
        <v>0</v>
      </c>
      <c r="J90" s="14">
        <v>0</v>
      </c>
      <c r="K90" s="14">
        <v>0</v>
      </c>
      <c r="L90" s="14">
        <v>0</v>
      </c>
      <c r="M90" s="14">
        <v>0</v>
      </c>
      <c r="N90" s="14">
        <v>0</v>
      </c>
      <c r="O90" s="14">
        <v>0</v>
      </c>
      <c r="P90" s="14">
        <v>0</v>
      </c>
      <c r="Q90" s="14">
        <v>0</v>
      </c>
      <c r="R90" s="15">
        <f>$G$90*$G$8+$H$90*$H$8+$I$90*$I$8+$J$90*$J$8+$K$90*$K$8+$L$90*$L$8+$M$90*$M$8+$N$90*$N$8+$O$90*$O$8+$P$90*$P$8+$Q$90*$Q$8</f>
        <v>0</v>
      </c>
      <c r="S90" s="15">
        <v>0</v>
      </c>
      <c r="T90" s="15">
        <f>$R$90+$S$90</f>
        <v>0</v>
      </c>
    </row>
    <row r="91" spans="1:20" x14ac:dyDescent="0.3">
      <c r="A91" s="10" t="s">
        <v>337</v>
      </c>
      <c r="B91" s="11" t="s">
        <v>334</v>
      </c>
      <c r="C91" s="11"/>
      <c r="D91" s="11" t="s">
        <v>338</v>
      </c>
      <c r="E91" s="11">
        <f xml:space="preserve"> IF($T$91,1,0)</f>
        <v>0</v>
      </c>
      <c r="F91" s="11" t="s">
        <v>339</v>
      </c>
      <c r="G91" s="11">
        <v>0</v>
      </c>
      <c r="H91" s="11">
        <v>0</v>
      </c>
      <c r="I91" s="11">
        <v>0</v>
      </c>
      <c r="J91" s="11">
        <v>0</v>
      </c>
      <c r="K91" s="11">
        <v>0</v>
      </c>
      <c r="L91" s="11">
        <v>0</v>
      </c>
      <c r="M91" s="11">
        <v>0</v>
      </c>
      <c r="N91" s="11">
        <v>0</v>
      </c>
      <c r="O91" s="11">
        <v>0</v>
      </c>
      <c r="P91" s="11">
        <v>0</v>
      </c>
      <c r="Q91" s="11">
        <v>0</v>
      </c>
      <c r="R91" s="12">
        <f>$G$91*$G$8+$H$91*$H$8+$I$91*$I$8+$J$91*$J$8+$K$91*$K$8+$L$91*$L$8+$M$91*$M$8+$N$91*$N$8+$O$91*$O$8+$P$91*$P$8+$Q$91*$Q$8</f>
        <v>0</v>
      </c>
      <c r="S91" s="12">
        <v>0</v>
      </c>
      <c r="T91" s="12">
        <f>$R$91+$S$91</f>
        <v>0</v>
      </c>
    </row>
    <row r="92" spans="1:20" x14ac:dyDescent="0.3">
      <c r="A92" s="13" t="s">
        <v>340</v>
      </c>
      <c r="B92" s="14" t="s">
        <v>341</v>
      </c>
      <c r="C92" s="14" t="s">
        <v>342</v>
      </c>
      <c r="D92" s="14" t="s">
        <v>343</v>
      </c>
      <c r="E92" s="14">
        <f xml:space="preserve"> IF($T$92,1,0)</f>
        <v>0</v>
      </c>
      <c r="F92" s="14" t="s">
        <v>344</v>
      </c>
      <c r="G92" s="14">
        <v>0</v>
      </c>
      <c r="H92" s="14">
        <v>0</v>
      </c>
      <c r="I92" s="14">
        <v>0</v>
      </c>
      <c r="J92" s="14">
        <v>0</v>
      </c>
      <c r="K92" s="14">
        <v>0</v>
      </c>
      <c r="L92" s="14">
        <v>0</v>
      </c>
      <c r="M92" s="14">
        <v>0</v>
      </c>
      <c r="N92" s="14">
        <v>0</v>
      </c>
      <c r="O92" s="14">
        <v>0</v>
      </c>
      <c r="P92" s="14">
        <v>0</v>
      </c>
      <c r="Q92" s="14">
        <v>0</v>
      </c>
      <c r="R92" s="15">
        <f>$G$92*$G$8+$H$92*$H$8+$I$92*$I$8+$J$92*$J$8+$K$92*$K$8+$L$92*$L$8+$M$92*$M$8+$N$92*$N$8+$O$92*$O$8+$P$92*$P$8+$Q$92*$Q$8</f>
        <v>0</v>
      </c>
      <c r="S92" s="15">
        <v>0</v>
      </c>
      <c r="T92" s="15">
        <f>$R$92+$S$92</f>
        <v>0</v>
      </c>
    </row>
    <row r="93" spans="1:20" x14ac:dyDescent="0.3">
      <c r="A93" s="10" t="s">
        <v>345</v>
      </c>
      <c r="B93" s="11" t="s">
        <v>346</v>
      </c>
      <c r="C93" s="11"/>
      <c r="D93" s="11" t="s">
        <v>347</v>
      </c>
      <c r="E93" s="11">
        <f xml:space="preserve"> IF($T$93,1,0)</f>
        <v>1</v>
      </c>
      <c r="F93" s="11" t="s">
        <v>348</v>
      </c>
      <c r="G93" s="11">
        <v>7</v>
      </c>
      <c r="H93" s="11">
        <v>1</v>
      </c>
      <c r="I93" s="11">
        <v>0</v>
      </c>
      <c r="J93" s="11">
        <v>0</v>
      </c>
      <c r="K93" s="11">
        <v>0</v>
      </c>
      <c r="L93" s="11">
        <v>0</v>
      </c>
      <c r="M93" s="11">
        <v>0</v>
      </c>
      <c r="N93" s="11">
        <v>0</v>
      </c>
      <c r="O93" s="11">
        <v>0</v>
      </c>
      <c r="P93" s="11">
        <v>0</v>
      </c>
      <c r="Q93" s="11">
        <v>0</v>
      </c>
      <c r="R93" s="12">
        <f>$G$93*$G$8+$H$93*$H$8+$I$93*$I$8+$J$93*$J$8+$K$93*$K$8+$L$93*$L$8+$M$93*$M$8+$N$93*$N$8+$O$93*$O$8+$P$93*$P$8+$Q$93*$Q$8</f>
        <v>9.9000000000000021</v>
      </c>
      <c r="S93" s="12">
        <v>0</v>
      </c>
      <c r="T93" s="12">
        <f>$R$93+$S$93</f>
        <v>9.9000000000000021</v>
      </c>
    </row>
    <row r="94" spans="1:20" x14ac:dyDescent="0.3">
      <c r="A94" s="13" t="s">
        <v>349</v>
      </c>
      <c r="B94" s="14" t="s">
        <v>350</v>
      </c>
      <c r="C94" s="14"/>
      <c r="D94" s="14" t="s">
        <v>351</v>
      </c>
      <c r="E94" s="14">
        <f xml:space="preserve"> IF($T$94,1,0)</f>
        <v>0</v>
      </c>
      <c r="F94" s="14" t="s">
        <v>352</v>
      </c>
      <c r="G94" s="14">
        <v>0</v>
      </c>
      <c r="H94" s="14">
        <v>0</v>
      </c>
      <c r="I94" s="14">
        <v>0</v>
      </c>
      <c r="J94" s="14">
        <v>0</v>
      </c>
      <c r="K94" s="14">
        <v>0</v>
      </c>
      <c r="L94" s="14">
        <v>0</v>
      </c>
      <c r="M94" s="14">
        <v>0</v>
      </c>
      <c r="N94" s="14">
        <v>0</v>
      </c>
      <c r="O94" s="14">
        <v>0</v>
      </c>
      <c r="P94" s="14">
        <v>0</v>
      </c>
      <c r="Q94" s="14">
        <v>0</v>
      </c>
      <c r="R94" s="15">
        <f>$G$94*$G$8+$H$94*$H$8+$I$94*$I$8+$J$94*$J$8+$K$94*$K$8+$L$94*$L$8+$M$94*$M$8+$N$94*$N$8+$O$94*$O$8+$P$94*$P$8+$Q$94*$Q$8</f>
        <v>0</v>
      </c>
      <c r="S94" s="15">
        <v>0</v>
      </c>
      <c r="T94" s="15">
        <f>$R$94+$S$94</f>
        <v>0</v>
      </c>
    </row>
    <row r="95" spans="1:20" x14ac:dyDescent="0.3">
      <c r="A95" s="10" t="s">
        <v>353</v>
      </c>
      <c r="B95" s="11" t="s">
        <v>354</v>
      </c>
      <c r="C95" s="11"/>
      <c r="D95" s="11" t="s">
        <v>355</v>
      </c>
      <c r="E95" s="11">
        <f xml:space="preserve"> IF($T$95,1,0)</f>
        <v>1</v>
      </c>
      <c r="F95" s="11" t="s">
        <v>356</v>
      </c>
      <c r="G95" s="11">
        <v>0</v>
      </c>
      <c r="H95" s="11">
        <v>0</v>
      </c>
      <c r="I95" s="11">
        <v>0</v>
      </c>
      <c r="J95" s="11">
        <v>0</v>
      </c>
      <c r="K95" s="11">
        <v>0</v>
      </c>
      <c r="L95" s="11">
        <v>1</v>
      </c>
      <c r="M95" s="11">
        <v>0</v>
      </c>
      <c r="N95" s="11">
        <v>0</v>
      </c>
      <c r="O95" s="11">
        <v>1</v>
      </c>
      <c r="P95" s="11">
        <v>0</v>
      </c>
      <c r="Q95" s="11">
        <v>0</v>
      </c>
      <c r="R95" s="12">
        <f>$G$95*$G$8+$H$95*$H$8+$I$95*$I$8+$J$95*$J$8+$K$95*$K$8+$L$95*$L$8+$M$95*$M$8+$N$95*$N$8+$O$95*$O$8+$P$95*$P$8+$Q$95*$Q$8</f>
        <v>7</v>
      </c>
      <c r="S95" s="12">
        <v>0</v>
      </c>
      <c r="T95" s="12">
        <f>$R$95+$S$95</f>
        <v>7</v>
      </c>
    </row>
    <row r="96" spans="1:20" x14ac:dyDescent="0.3">
      <c r="A96" s="13" t="s">
        <v>357</v>
      </c>
      <c r="B96" s="14" t="s">
        <v>358</v>
      </c>
      <c r="C96" s="14" t="s">
        <v>34</v>
      </c>
      <c r="D96" s="14" t="s">
        <v>359</v>
      </c>
      <c r="E96" s="14">
        <f xml:space="preserve"> IF($T$96,1,0)</f>
        <v>0</v>
      </c>
      <c r="F96" s="14" t="s">
        <v>360</v>
      </c>
      <c r="G96" s="14">
        <v>0</v>
      </c>
      <c r="H96" s="14">
        <v>0</v>
      </c>
      <c r="I96" s="14">
        <v>0</v>
      </c>
      <c r="J96" s="14">
        <v>0</v>
      </c>
      <c r="K96" s="14">
        <v>0</v>
      </c>
      <c r="L96" s="14">
        <v>0</v>
      </c>
      <c r="M96" s="14">
        <v>0</v>
      </c>
      <c r="N96" s="14">
        <v>0</v>
      </c>
      <c r="O96" s="14">
        <v>0</v>
      </c>
      <c r="P96" s="14">
        <v>0</v>
      </c>
      <c r="Q96" s="14">
        <v>0</v>
      </c>
      <c r="R96" s="15">
        <f>$G$96*$G$8+$H$96*$H$8+$I$96*$I$8+$J$96*$J$8+$K$96*$K$8+$L$96*$L$8+$M$96*$M$8+$N$96*$N$8+$O$96*$O$8+$P$96*$P$8+$Q$96*$Q$8</f>
        <v>0</v>
      </c>
      <c r="S96" s="15">
        <v>0</v>
      </c>
      <c r="T96" s="15">
        <f>$R$96+$S$96</f>
        <v>0</v>
      </c>
    </row>
    <row r="97" spans="1:20" x14ac:dyDescent="0.3">
      <c r="A97" s="10" t="s">
        <v>361</v>
      </c>
      <c r="B97" s="11" t="s">
        <v>358</v>
      </c>
      <c r="C97" s="11" t="s">
        <v>34</v>
      </c>
      <c r="D97" s="11" t="s">
        <v>362</v>
      </c>
      <c r="E97" s="11">
        <f xml:space="preserve"> IF($T$97,1,0)</f>
        <v>1</v>
      </c>
      <c r="F97" s="11" t="s">
        <v>363</v>
      </c>
      <c r="G97" s="11">
        <v>0</v>
      </c>
      <c r="H97" s="11">
        <v>1</v>
      </c>
      <c r="I97" s="11">
        <v>0</v>
      </c>
      <c r="J97" s="11">
        <v>0</v>
      </c>
      <c r="K97" s="11">
        <v>0</v>
      </c>
      <c r="L97" s="11">
        <v>0</v>
      </c>
      <c r="M97" s="11">
        <v>0</v>
      </c>
      <c r="N97" s="11">
        <v>0</v>
      </c>
      <c r="O97" s="11">
        <v>0</v>
      </c>
      <c r="P97" s="11">
        <v>0</v>
      </c>
      <c r="Q97" s="11">
        <v>0</v>
      </c>
      <c r="R97" s="12">
        <f>$G$97*$G$8+$H$97*$H$8+$I$97*$I$8+$J$97*$J$8+$K$97*$K$8+$L$97*$L$8+$M$97*$M$8+$N$97*$N$8+$O$97*$O$8+$P$97*$P$8+$Q$97*$Q$8</f>
        <v>2.2000000000000002</v>
      </c>
      <c r="S97" s="12">
        <v>0</v>
      </c>
      <c r="T97" s="12">
        <f>$R$97+$S$97</f>
        <v>2.2000000000000002</v>
      </c>
    </row>
    <row r="98" spans="1:20" x14ac:dyDescent="0.3">
      <c r="A98" s="13" t="s">
        <v>364</v>
      </c>
      <c r="B98" s="14" t="s">
        <v>358</v>
      </c>
      <c r="C98" s="14"/>
      <c r="D98" s="14" t="s">
        <v>365</v>
      </c>
      <c r="E98" s="14">
        <f xml:space="preserve"> IF($T$98,1,0)</f>
        <v>1</v>
      </c>
      <c r="F98" s="14" t="s">
        <v>366</v>
      </c>
      <c r="G98" s="14">
        <v>0</v>
      </c>
      <c r="H98" s="14">
        <v>0</v>
      </c>
      <c r="I98" s="14">
        <v>0</v>
      </c>
      <c r="J98" s="14">
        <v>2</v>
      </c>
      <c r="K98" s="14">
        <v>0</v>
      </c>
      <c r="L98" s="14">
        <v>0</v>
      </c>
      <c r="M98" s="14">
        <v>0</v>
      </c>
      <c r="N98" s="14">
        <v>1</v>
      </c>
      <c r="O98" s="14">
        <v>0</v>
      </c>
      <c r="P98" s="14">
        <v>0</v>
      </c>
      <c r="Q98" s="14">
        <v>3</v>
      </c>
      <c r="R98" s="15">
        <f>$G$98*$G$8+$H$98*$H$8+$I$98*$I$8+$J$98*$J$8+$K$98*$K$8+$L$98*$L$8+$M$98*$M$8+$N$98*$N$8+$O$98*$O$8+$P$98*$P$8+$Q$98*$Q$8</f>
        <v>11</v>
      </c>
      <c r="S98" s="15">
        <v>0</v>
      </c>
      <c r="T98" s="15">
        <f>$R$98+$S$98</f>
        <v>11</v>
      </c>
    </row>
    <row r="99" spans="1:20" x14ac:dyDescent="0.3">
      <c r="A99" s="10" t="s">
        <v>367</v>
      </c>
      <c r="B99" s="11" t="s">
        <v>368</v>
      </c>
      <c r="C99" s="11" t="s">
        <v>34</v>
      </c>
      <c r="D99" s="11" t="s">
        <v>118</v>
      </c>
      <c r="E99" s="11">
        <f xml:space="preserve"> IF($T$99,1,0)</f>
        <v>1</v>
      </c>
      <c r="F99" s="11" t="s">
        <v>369</v>
      </c>
      <c r="G99" s="11">
        <v>2</v>
      </c>
      <c r="H99" s="11">
        <v>2</v>
      </c>
      <c r="I99" s="11">
        <v>0</v>
      </c>
      <c r="J99" s="11">
        <v>0</v>
      </c>
      <c r="K99" s="11">
        <v>0</v>
      </c>
      <c r="L99" s="11">
        <v>0</v>
      </c>
      <c r="M99" s="11">
        <v>0</v>
      </c>
      <c r="N99" s="11">
        <v>0</v>
      </c>
      <c r="O99" s="11">
        <v>0</v>
      </c>
      <c r="P99" s="11">
        <v>0</v>
      </c>
      <c r="Q99" s="11">
        <v>0</v>
      </c>
      <c r="R99" s="12">
        <f>$G$99*$G$8+$H$99*$H$8+$I$99*$I$8+$J$99*$J$8+$K$99*$K$8+$L$99*$L$8+$M$99*$M$8+$N$99*$N$8+$O$99*$O$8+$P$99*$P$8+$Q$99*$Q$8</f>
        <v>6.6000000000000005</v>
      </c>
      <c r="S99" s="12">
        <v>0</v>
      </c>
      <c r="T99" s="12">
        <f>$R$99+$S$99</f>
        <v>6.6000000000000005</v>
      </c>
    </row>
    <row r="100" spans="1:20" x14ac:dyDescent="0.3">
      <c r="A100" s="13" t="s">
        <v>370</v>
      </c>
      <c r="B100" s="14" t="s">
        <v>371</v>
      </c>
      <c r="C100" s="14"/>
      <c r="D100" s="14" t="s">
        <v>372</v>
      </c>
      <c r="E100" s="14">
        <f xml:space="preserve"> IF($T$100,1,0)</f>
        <v>0</v>
      </c>
      <c r="F100" s="14" t="s">
        <v>373</v>
      </c>
      <c r="G100" s="14">
        <v>0</v>
      </c>
      <c r="H100" s="14">
        <v>0</v>
      </c>
      <c r="I100" s="14">
        <v>0</v>
      </c>
      <c r="J100" s="14">
        <v>0</v>
      </c>
      <c r="K100" s="14">
        <v>0</v>
      </c>
      <c r="L100" s="14">
        <v>0</v>
      </c>
      <c r="M100" s="14">
        <v>0</v>
      </c>
      <c r="N100" s="14">
        <v>0</v>
      </c>
      <c r="O100" s="14">
        <v>0</v>
      </c>
      <c r="P100" s="14">
        <v>0</v>
      </c>
      <c r="Q100" s="14">
        <v>0</v>
      </c>
      <c r="R100" s="15">
        <f>$G$100*$G$8+$H$100*$H$8+$I$100*$I$8+$J$100*$J$8+$K$100*$K$8+$L$100*$L$8+$M$100*$M$8+$N$100*$N$8+$O$100*$O$8+$P$100*$P$8+$Q$100*$Q$8</f>
        <v>0</v>
      </c>
      <c r="S100" s="15">
        <v>0</v>
      </c>
      <c r="T100" s="15">
        <f>$R$100+$S$100</f>
        <v>0</v>
      </c>
    </row>
    <row r="101" spans="1:20" x14ac:dyDescent="0.3">
      <c r="A101" s="10" t="s">
        <v>374</v>
      </c>
      <c r="B101" s="11" t="s">
        <v>375</v>
      </c>
      <c r="C101" s="11"/>
      <c r="D101" s="11" t="s">
        <v>376</v>
      </c>
      <c r="E101" s="11">
        <f xml:space="preserve"> IF($T$101,1,0)</f>
        <v>0</v>
      </c>
      <c r="F101" s="11" t="s">
        <v>377</v>
      </c>
      <c r="G101" s="11">
        <v>0</v>
      </c>
      <c r="H101" s="11">
        <v>0</v>
      </c>
      <c r="I101" s="11">
        <v>0</v>
      </c>
      <c r="J101" s="11">
        <v>0</v>
      </c>
      <c r="K101" s="11">
        <v>0</v>
      </c>
      <c r="L101" s="11">
        <v>0</v>
      </c>
      <c r="M101" s="11">
        <v>0</v>
      </c>
      <c r="N101" s="11">
        <v>0</v>
      </c>
      <c r="O101" s="11">
        <v>0</v>
      </c>
      <c r="P101" s="11">
        <v>0</v>
      </c>
      <c r="Q101" s="11">
        <v>0</v>
      </c>
      <c r="R101" s="12">
        <f>$G$101*$G$8+$H$101*$H$8+$I$101*$I$8+$J$101*$J$8+$K$101*$K$8+$L$101*$L$8+$M$101*$M$8+$N$101*$N$8+$O$101*$O$8+$P$101*$P$8+$Q$101*$Q$8</f>
        <v>0</v>
      </c>
      <c r="S101" s="12">
        <v>0</v>
      </c>
      <c r="T101" s="12">
        <f>$R$101+$S$101</f>
        <v>0</v>
      </c>
    </row>
    <row r="102" spans="1:20" x14ac:dyDescent="0.3">
      <c r="A102" s="13" t="s">
        <v>378</v>
      </c>
      <c r="B102" s="14" t="s">
        <v>379</v>
      </c>
      <c r="C102" s="14"/>
      <c r="D102" s="14" t="s">
        <v>380</v>
      </c>
      <c r="E102" s="14">
        <f xml:space="preserve"> IF($T$102,1,0)</f>
        <v>0</v>
      </c>
      <c r="F102" s="14" t="s">
        <v>381</v>
      </c>
      <c r="G102" s="14">
        <v>0</v>
      </c>
      <c r="H102" s="14">
        <v>0</v>
      </c>
      <c r="I102" s="14">
        <v>0</v>
      </c>
      <c r="J102" s="14">
        <v>0</v>
      </c>
      <c r="K102" s="14">
        <v>0</v>
      </c>
      <c r="L102" s="14">
        <v>0</v>
      </c>
      <c r="M102" s="14">
        <v>0</v>
      </c>
      <c r="N102" s="14">
        <v>0</v>
      </c>
      <c r="O102" s="14">
        <v>0</v>
      </c>
      <c r="P102" s="14">
        <v>0</v>
      </c>
      <c r="Q102" s="14">
        <v>0</v>
      </c>
      <c r="R102" s="15">
        <f>$G$102*$G$8+$H$102*$H$8+$I$102*$I$8+$J$102*$J$8+$K$102*$K$8+$L$102*$L$8+$M$102*$M$8+$N$102*$N$8+$O$102*$O$8+$P$102*$P$8+$Q$102*$Q$8</f>
        <v>0</v>
      </c>
      <c r="S102" s="15">
        <v>0</v>
      </c>
      <c r="T102" s="15">
        <f>$R$102+$S$102</f>
        <v>0</v>
      </c>
    </row>
    <row r="103" spans="1:20" x14ac:dyDescent="0.3">
      <c r="A103" s="10" t="s">
        <v>382</v>
      </c>
      <c r="B103" s="11" t="s">
        <v>383</v>
      </c>
      <c r="C103" s="11"/>
      <c r="D103" s="11" t="s">
        <v>384</v>
      </c>
      <c r="E103" s="11">
        <f xml:space="preserve"> IF($T$103,1,0)</f>
        <v>1</v>
      </c>
      <c r="F103" s="11" t="s">
        <v>385</v>
      </c>
      <c r="G103" s="11">
        <v>0</v>
      </c>
      <c r="H103" s="11">
        <v>0</v>
      </c>
      <c r="I103" s="11">
        <v>0</v>
      </c>
      <c r="J103" s="11">
        <v>0</v>
      </c>
      <c r="K103" s="11">
        <v>0</v>
      </c>
      <c r="L103" s="11">
        <v>0</v>
      </c>
      <c r="M103" s="11">
        <v>0</v>
      </c>
      <c r="N103" s="11">
        <v>0</v>
      </c>
      <c r="O103" s="11">
        <v>0</v>
      </c>
      <c r="P103" s="11">
        <v>0</v>
      </c>
      <c r="Q103" s="11">
        <v>2</v>
      </c>
      <c r="R103" s="12">
        <f>$G$103*$G$8+$H$103*$H$8+$I$103*$I$8+$J$103*$J$8+$K$103*$K$8+$L$103*$L$8+$M$103*$M$8+$N$103*$N$8+$O$103*$O$8+$P$103*$P$8+$Q$103*$Q$8</f>
        <v>2</v>
      </c>
      <c r="S103" s="12">
        <v>0</v>
      </c>
      <c r="T103" s="12">
        <f>$R$103+$S$103</f>
        <v>2</v>
      </c>
    </row>
    <row r="104" spans="1:20" x14ac:dyDescent="0.3">
      <c r="A104" s="13" t="s">
        <v>386</v>
      </c>
      <c r="B104" s="14" t="s">
        <v>387</v>
      </c>
      <c r="C104" s="14" t="s">
        <v>278</v>
      </c>
      <c r="D104" s="14" t="s">
        <v>388</v>
      </c>
      <c r="E104" s="14">
        <f xml:space="preserve"> IF($T$104,1,0)</f>
        <v>1</v>
      </c>
      <c r="F104" s="14" t="s">
        <v>389</v>
      </c>
      <c r="G104" s="14">
        <v>5</v>
      </c>
      <c r="H104" s="14">
        <v>0</v>
      </c>
      <c r="I104" s="14">
        <v>0</v>
      </c>
      <c r="J104" s="14">
        <v>0</v>
      </c>
      <c r="K104" s="14">
        <v>0</v>
      </c>
      <c r="L104" s="14">
        <v>0</v>
      </c>
      <c r="M104" s="14">
        <v>0</v>
      </c>
      <c r="N104" s="14">
        <v>0</v>
      </c>
      <c r="O104" s="14">
        <v>0</v>
      </c>
      <c r="P104" s="14">
        <v>0</v>
      </c>
      <c r="Q104" s="14">
        <v>0</v>
      </c>
      <c r="R104" s="15">
        <f>$G$104*$G$8+$H$104*$H$8+$I$104*$I$8+$J$104*$J$8+$K$104*$K$8+$L$104*$L$8+$M$104*$M$8+$N$104*$N$8+$O$104*$O$8+$P$104*$P$8+$Q$104*$Q$8</f>
        <v>5.5</v>
      </c>
      <c r="S104" s="15">
        <v>0</v>
      </c>
      <c r="T104" s="15">
        <f>$R$104+$S$104</f>
        <v>5.5</v>
      </c>
    </row>
    <row r="105" spans="1:20" x14ac:dyDescent="0.3">
      <c r="A105" s="10" t="s">
        <v>390</v>
      </c>
      <c r="B105" s="11" t="s">
        <v>387</v>
      </c>
      <c r="C105" s="11" t="s">
        <v>34</v>
      </c>
      <c r="D105" s="11" t="s">
        <v>391</v>
      </c>
      <c r="E105" s="11">
        <f xml:space="preserve"> IF($T$105,1,0)</f>
        <v>0</v>
      </c>
      <c r="F105" s="11" t="s">
        <v>392</v>
      </c>
      <c r="G105" s="11">
        <v>0</v>
      </c>
      <c r="H105" s="11">
        <v>0</v>
      </c>
      <c r="I105" s="11">
        <v>0</v>
      </c>
      <c r="J105" s="11">
        <v>0</v>
      </c>
      <c r="K105" s="11">
        <v>0</v>
      </c>
      <c r="L105" s="11">
        <v>0</v>
      </c>
      <c r="M105" s="11">
        <v>0</v>
      </c>
      <c r="N105" s="11">
        <v>0</v>
      </c>
      <c r="O105" s="11">
        <v>0</v>
      </c>
      <c r="P105" s="11">
        <v>0</v>
      </c>
      <c r="Q105" s="11">
        <v>0</v>
      </c>
      <c r="R105" s="12">
        <f>$G$105*$G$8+$H$105*$H$8+$I$105*$I$8+$J$105*$J$8+$K$105*$K$8+$L$105*$L$8+$M$105*$M$8+$N$105*$N$8+$O$105*$O$8+$P$105*$P$8+$Q$105*$Q$8</f>
        <v>0</v>
      </c>
      <c r="S105" s="12">
        <v>0</v>
      </c>
      <c r="T105" s="12">
        <f>$R$105+$S$105</f>
        <v>0</v>
      </c>
    </row>
    <row r="106" spans="1:20" x14ac:dyDescent="0.3">
      <c r="A106" s="13" t="s">
        <v>393</v>
      </c>
      <c r="B106" s="14" t="s">
        <v>394</v>
      </c>
      <c r="C106" s="14"/>
      <c r="D106" s="14" t="s">
        <v>395</v>
      </c>
      <c r="E106" s="14">
        <f xml:space="preserve"> IF($T$106,1,0)</f>
        <v>1</v>
      </c>
      <c r="F106" s="14" t="s">
        <v>396</v>
      </c>
      <c r="G106" s="14">
        <v>0</v>
      </c>
      <c r="H106" s="14">
        <v>5</v>
      </c>
      <c r="I106" s="14">
        <v>0</v>
      </c>
      <c r="J106" s="14">
        <v>0</v>
      </c>
      <c r="K106" s="14">
        <v>0</v>
      </c>
      <c r="L106" s="14">
        <v>0</v>
      </c>
      <c r="M106" s="14">
        <v>0</v>
      </c>
      <c r="N106" s="14">
        <v>0</v>
      </c>
      <c r="O106" s="14">
        <v>0</v>
      </c>
      <c r="P106" s="14">
        <v>0</v>
      </c>
      <c r="Q106" s="14">
        <v>1</v>
      </c>
      <c r="R106" s="15">
        <f>$G$106*$G$8+$H$106*$H$8+$I$106*$I$8+$J$106*$J$8+$K$106*$K$8+$L$106*$L$8+$M$106*$M$8+$N$106*$N$8+$O$106*$O$8+$P$106*$P$8+$Q$106*$Q$8</f>
        <v>12</v>
      </c>
      <c r="S106" s="15">
        <v>0</v>
      </c>
      <c r="T106" s="15">
        <f>$R$106+$S$106</f>
        <v>12</v>
      </c>
    </row>
    <row r="107" spans="1:20" x14ac:dyDescent="0.3">
      <c r="A107" s="10" t="s">
        <v>397</v>
      </c>
      <c r="B107" s="11" t="s">
        <v>398</v>
      </c>
      <c r="C107" s="11" t="s">
        <v>243</v>
      </c>
      <c r="D107" s="11" t="s">
        <v>399</v>
      </c>
      <c r="E107" s="11">
        <f xml:space="preserve"> IF($T$107,1,0)</f>
        <v>1</v>
      </c>
      <c r="F107" s="11" t="s">
        <v>400</v>
      </c>
      <c r="G107" s="11">
        <v>3</v>
      </c>
      <c r="H107" s="11">
        <v>0</v>
      </c>
      <c r="I107" s="11">
        <v>0</v>
      </c>
      <c r="J107" s="11">
        <v>0</v>
      </c>
      <c r="K107" s="11">
        <v>0</v>
      </c>
      <c r="L107" s="11">
        <v>0</v>
      </c>
      <c r="M107" s="11">
        <v>0</v>
      </c>
      <c r="N107" s="11">
        <v>0</v>
      </c>
      <c r="O107" s="11">
        <v>0</v>
      </c>
      <c r="P107" s="11">
        <v>0</v>
      </c>
      <c r="Q107" s="11">
        <v>0</v>
      </c>
      <c r="R107" s="12">
        <f>$G$107*$G$8+$H$107*$H$8+$I$107*$I$8+$J$107*$J$8+$K$107*$K$8+$L$107*$L$8+$M$107*$M$8+$N$107*$N$8+$O$107*$O$8+$P$107*$P$8+$Q$107*$Q$8</f>
        <v>3.3000000000000003</v>
      </c>
      <c r="S107" s="12">
        <v>0</v>
      </c>
      <c r="T107" s="12">
        <f>$R$107+$S$107</f>
        <v>3.3000000000000003</v>
      </c>
    </row>
    <row r="108" spans="1:20" x14ac:dyDescent="0.3">
      <c r="A108" s="13" t="s">
        <v>401</v>
      </c>
      <c r="B108" s="14" t="s">
        <v>402</v>
      </c>
      <c r="C108" s="14"/>
      <c r="D108" s="14" t="s">
        <v>403</v>
      </c>
      <c r="E108" s="14">
        <f xml:space="preserve"> IF($T$108,1,0)</f>
        <v>1</v>
      </c>
      <c r="F108" s="14" t="s">
        <v>404</v>
      </c>
      <c r="G108" s="14">
        <v>6</v>
      </c>
      <c r="H108" s="14">
        <v>1</v>
      </c>
      <c r="I108" s="14">
        <v>0</v>
      </c>
      <c r="J108" s="14">
        <v>0</v>
      </c>
      <c r="K108" s="14">
        <v>0</v>
      </c>
      <c r="L108" s="14">
        <v>0</v>
      </c>
      <c r="M108" s="14">
        <v>0</v>
      </c>
      <c r="N108" s="14">
        <v>0</v>
      </c>
      <c r="O108" s="14">
        <v>0</v>
      </c>
      <c r="P108" s="14">
        <v>0</v>
      </c>
      <c r="Q108" s="14">
        <v>1</v>
      </c>
      <c r="R108" s="15">
        <f>$G$108*$G$8+$H$108*$H$8+$I$108*$I$8+$J$108*$J$8+$K$108*$K$8+$L$108*$L$8+$M$108*$M$8+$N$108*$N$8+$O$108*$O$8+$P$108*$P$8+$Q$108*$Q$8</f>
        <v>9.8000000000000007</v>
      </c>
      <c r="S108" s="15">
        <v>0</v>
      </c>
      <c r="T108" s="15">
        <f>$R$108+$S$108</f>
        <v>9.8000000000000007</v>
      </c>
    </row>
    <row r="109" spans="1:20" x14ac:dyDescent="0.3">
      <c r="A109" s="10" t="s">
        <v>405</v>
      </c>
      <c r="B109" s="11" t="s">
        <v>406</v>
      </c>
      <c r="C109" s="11"/>
      <c r="D109" s="11" t="s">
        <v>407</v>
      </c>
      <c r="E109" s="11">
        <f xml:space="preserve"> IF($T$109,1,0)</f>
        <v>1</v>
      </c>
      <c r="F109" s="11" t="s">
        <v>408</v>
      </c>
      <c r="G109" s="11">
        <v>2</v>
      </c>
      <c r="H109" s="11">
        <v>0</v>
      </c>
      <c r="I109" s="11">
        <v>0</v>
      </c>
      <c r="J109" s="11">
        <v>0</v>
      </c>
      <c r="K109" s="11">
        <v>0</v>
      </c>
      <c r="L109" s="11">
        <v>0</v>
      </c>
      <c r="M109" s="11">
        <v>0</v>
      </c>
      <c r="N109" s="11">
        <v>0</v>
      </c>
      <c r="O109" s="11">
        <v>0</v>
      </c>
      <c r="P109" s="11">
        <v>0</v>
      </c>
      <c r="Q109" s="11">
        <v>0</v>
      </c>
      <c r="R109" s="12">
        <f>$G$109*$G$8+$H$109*$H$8+$I$109*$I$8+$J$109*$J$8+$K$109*$K$8+$L$109*$L$8+$M$109*$M$8+$N$109*$N$8+$O$109*$O$8+$P$109*$P$8+$Q$109*$Q$8</f>
        <v>2.2000000000000002</v>
      </c>
      <c r="S109" s="12">
        <v>0</v>
      </c>
      <c r="T109" s="12">
        <f>$R$109+$S$109</f>
        <v>2.2000000000000002</v>
      </c>
    </row>
    <row r="110" spans="1:20" x14ac:dyDescent="0.3">
      <c r="A110" s="13" t="s">
        <v>409</v>
      </c>
      <c r="B110" s="14" t="s">
        <v>410</v>
      </c>
      <c r="C110" s="14"/>
      <c r="D110" s="14" t="s">
        <v>411</v>
      </c>
      <c r="E110" s="14">
        <f xml:space="preserve"> IF($T$110,1,0)</f>
        <v>0</v>
      </c>
      <c r="F110" s="14" t="s">
        <v>412</v>
      </c>
      <c r="G110" s="14">
        <v>0</v>
      </c>
      <c r="H110" s="14">
        <v>0</v>
      </c>
      <c r="I110" s="14">
        <v>0</v>
      </c>
      <c r="J110" s="14">
        <v>0</v>
      </c>
      <c r="K110" s="14">
        <v>0</v>
      </c>
      <c r="L110" s="14">
        <v>0</v>
      </c>
      <c r="M110" s="14">
        <v>0</v>
      </c>
      <c r="N110" s="14">
        <v>0</v>
      </c>
      <c r="O110" s="14">
        <v>0</v>
      </c>
      <c r="P110" s="14">
        <v>0</v>
      </c>
      <c r="Q110" s="14">
        <v>0</v>
      </c>
      <c r="R110" s="15">
        <f>$G$110*$G$8+$H$110*$H$8+$I$110*$I$8+$J$110*$J$8+$K$110*$K$8+$L$110*$L$8+$M$110*$M$8+$N$110*$N$8+$O$110*$O$8+$P$110*$P$8+$Q$110*$Q$8</f>
        <v>0</v>
      </c>
      <c r="S110" s="15">
        <v>0</v>
      </c>
      <c r="T110" s="15">
        <f>$R$110+$S$110</f>
        <v>0</v>
      </c>
    </row>
    <row r="111" spans="1:20" x14ac:dyDescent="0.3">
      <c r="A111" s="10" t="s">
        <v>413</v>
      </c>
      <c r="B111" s="11" t="s">
        <v>414</v>
      </c>
      <c r="C111" s="11"/>
      <c r="D111" s="11" t="s">
        <v>415</v>
      </c>
      <c r="E111" s="11">
        <f xml:space="preserve"> IF($T$111,1,0)</f>
        <v>0</v>
      </c>
      <c r="F111" s="11" t="s">
        <v>416</v>
      </c>
      <c r="G111" s="11">
        <v>0</v>
      </c>
      <c r="H111" s="11">
        <v>0</v>
      </c>
      <c r="I111" s="11">
        <v>0</v>
      </c>
      <c r="J111" s="11">
        <v>0</v>
      </c>
      <c r="K111" s="11">
        <v>0</v>
      </c>
      <c r="L111" s="11">
        <v>0</v>
      </c>
      <c r="M111" s="11">
        <v>0</v>
      </c>
      <c r="N111" s="11">
        <v>0</v>
      </c>
      <c r="O111" s="11">
        <v>0</v>
      </c>
      <c r="P111" s="11">
        <v>0</v>
      </c>
      <c r="Q111" s="11">
        <v>0</v>
      </c>
      <c r="R111" s="12">
        <f>$G$111*$G$8+$H$111*$H$8+$I$111*$I$8+$J$111*$J$8+$K$111*$K$8+$L$111*$L$8+$M$111*$M$8+$N$111*$N$8+$O$111*$O$8+$P$111*$P$8+$Q$111*$Q$8</f>
        <v>0</v>
      </c>
      <c r="S111" s="12">
        <v>0</v>
      </c>
      <c r="T111" s="12">
        <f>$R$111+$S$111</f>
        <v>0</v>
      </c>
    </row>
    <row r="112" spans="1:20" x14ac:dyDescent="0.3">
      <c r="A112" s="13" t="s">
        <v>417</v>
      </c>
      <c r="B112" s="14" t="s">
        <v>418</v>
      </c>
      <c r="C112" s="14"/>
      <c r="D112" s="14" t="s">
        <v>419</v>
      </c>
      <c r="E112" s="14">
        <f xml:space="preserve"> IF($T$112,1,0)</f>
        <v>0</v>
      </c>
      <c r="F112" s="14" t="s">
        <v>420</v>
      </c>
      <c r="G112" s="14">
        <v>0</v>
      </c>
      <c r="H112" s="14">
        <v>0</v>
      </c>
      <c r="I112" s="14">
        <v>0</v>
      </c>
      <c r="J112" s="14">
        <v>0</v>
      </c>
      <c r="K112" s="14">
        <v>0</v>
      </c>
      <c r="L112" s="14">
        <v>0</v>
      </c>
      <c r="M112" s="14">
        <v>0</v>
      </c>
      <c r="N112" s="14">
        <v>0</v>
      </c>
      <c r="O112" s="14">
        <v>0</v>
      </c>
      <c r="P112" s="14">
        <v>0</v>
      </c>
      <c r="Q112" s="14">
        <v>0</v>
      </c>
      <c r="R112" s="15">
        <f>$G$112*$G$8+$H$112*$H$8+$I$112*$I$8+$J$112*$J$8+$K$112*$K$8+$L$112*$L$8+$M$112*$M$8+$N$112*$N$8+$O$112*$O$8+$P$112*$P$8+$Q$112*$Q$8</f>
        <v>0</v>
      </c>
      <c r="S112" s="15">
        <v>0</v>
      </c>
      <c r="T112" s="15">
        <f>$R$112+$S$112</f>
        <v>0</v>
      </c>
    </row>
    <row r="113" spans="1:20" x14ac:dyDescent="0.3">
      <c r="A113" s="10" t="s">
        <v>421</v>
      </c>
      <c r="B113" s="11" t="s">
        <v>422</v>
      </c>
      <c r="C113" s="11"/>
      <c r="D113" s="11" t="s">
        <v>423</v>
      </c>
      <c r="E113" s="11">
        <f xml:space="preserve"> IF($T$113,1,0)</f>
        <v>0</v>
      </c>
      <c r="F113" s="11" t="s">
        <v>424</v>
      </c>
      <c r="G113" s="11">
        <v>0</v>
      </c>
      <c r="H113" s="11">
        <v>0</v>
      </c>
      <c r="I113" s="11">
        <v>0</v>
      </c>
      <c r="J113" s="11">
        <v>0</v>
      </c>
      <c r="K113" s="11">
        <v>0</v>
      </c>
      <c r="L113" s="11">
        <v>0</v>
      </c>
      <c r="M113" s="11">
        <v>0</v>
      </c>
      <c r="N113" s="11">
        <v>0</v>
      </c>
      <c r="O113" s="11">
        <v>0</v>
      </c>
      <c r="P113" s="11">
        <v>0</v>
      </c>
      <c r="Q113" s="11">
        <v>0</v>
      </c>
      <c r="R113" s="12">
        <f>$G$113*$G$8+$H$113*$H$8+$I$113*$I$8+$J$113*$J$8+$K$113*$K$8+$L$113*$L$8+$M$113*$M$8+$N$113*$N$8+$O$113*$O$8+$P$113*$P$8+$Q$113*$Q$8</f>
        <v>0</v>
      </c>
      <c r="S113" s="12">
        <v>0</v>
      </c>
      <c r="T113" s="12">
        <f>$R$113+$S$113</f>
        <v>0</v>
      </c>
    </row>
    <row r="114" spans="1:20" x14ac:dyDescent="0.3">
      <c r="A114" s="13" t="s">
        <v>425</v>
      </c>
      <c r="B114" s="14" t="s">
        <v>426</v>
      </c>
      <c r="C114" s="14" t="s">
        <v>34</v>
      </c>
      <c r="D114" s="14" t="s">
        <v>427</v>
      </c>
      <c r="E114" s="14">
        <f xml:space="preserve"> IF($T$114,1,0)</f>
        <v>0</v>
      </c>
      <c r="F114" s="14" t="s">
        <v>428</v>
      </c>
      <c r="G114" s="14">
        <v>0</v>
      </c>
      <c r="H114" s="14">
        <v>0</v>
      </c>
      <c r="I114" s="14">
        <v>0</v>
      </c>
      <c r="J114" s="14">
        <v>0</v>
      </c>
      <c r="K114" s="14">
        <v>0</v>
      </c>
      <c r="L114" s="14">
        <v>0</v>
      </c>
      <c r="M114" s="14">
        <v>0</v>
      </c>
      <c r="N114" s="14">
        <v>0</v>
      </c>
      <c r="O114" s="14">
        <v>0</v>
      </c>
      <c r="P114" s="14">
        <v>0</v>
      </c>
      <c r="Q114" s="14">
        <v>0</v>
      </c>
      <c r="R114" s="15">
        <f>$G$114*$G$8+$H$114*$H$8+$I$114*$I$8+$J$114*$J$8+$K$114*$K$8+$L$114*$L$8+$M$114*$M$8+$N$114*$N$8+$O$114*$O$8+$P$114*$P$8+$Q$114*$Q$8</f>
        <v>0</v>
      </c>
      <c r="S114" s="15">
        <v>0</v>
      </c>
      <c r="T114" s="15">
        <f>$R$114+$S$114</f>
        <v>0</v>
      </c>
    </row>
    <row r="115" spans="1:20" x14ac:dyDescent="0.3">
      <c r="A115" s="10" t="s">
        <v>429</v>
      </c>
      <c r="B115" s="11" t="s">
        <v>430</v>
      </c>
      <c r="C115" s="11"/>
      <c r="D115" s="11" t="s">
        <v>431</v>
      </c>
      <c r="E115" s="11">
        <f xml:space="preserve"> IF($T$115,1,0)</f>
        <v>0</v>
      </c>
      <c r="F115" s="11" t="s">
        <v>432</v>
      </c>
      <c r="G115" s="11">
        <v>0</v>
      </c>
      <c r="H115" s="11">
        <v>0</v>
      </c>
      <c r="I115" s="11">
        <v>0</v>
      </c>
      <c r="J115" s="11">
        <v>0</v>
      </c>
      <c r="K115" s="11">
        <v>0</v>
      </c>
      <c r="L115" s="11">
        <v>0</v>
      </c>
      <c r="M115" s="11">
        <v>0</v>
      </c>
      <c r="N115" s="11">
        <v>0</v>
      </c>
      <c r="O115" s="11">
        <v>0</v>
      </c>
      <c r="P115" s="11">
        <v>0</v>
      </c>
      <c r="Q115" s="11">
        <v>0</v>
      </c>
      <c r="R115" s="12">
        <f>$G$115*$G$8+$H$115*$H$8+$I$115*$I$8+$J$115*$J$8+$K$115*$K$8+$L$115*$L$8+$M$115*$M$8+$N$115*$N$8+$O$115*$O$8+$P$115*$P$8+$Q$115*$Q$8</f>
        <v>0</v>
      </c>
      <c r="S115" s="12">
        <v>0</v>
      </c>
      <c r="T115" s="12">
        <f>$R$115+$S$115</f>
        <v>0</v>
      </c>
    </row>
    <row r="116" spans="1:20" x14ac:dyDescent="0.3">
      <c r="A116" s="13" t="s">
        <v>433</v>
      </c>
      <c r="B116" s="14" t="s">
        <v>434</v>
      </c>
      <c r="C116" s="14" t="s">
        <v>202</v>
      </c>
      <c r="D116" s="14" t="s">
        <v>435</v>
      </c>
      <c r="E116" s="14">
        <f xml:space="preserve"> IF($T$116,1,0)</f>
        <v>0</v>
      </c>
      <c r="F116" s="14" t="s">
        <v>436</v>
      </c>
      <c r="G116" s="14">
        <v>0</v>
      </c>
      <c r="H116" s="14">
        <v>0</v>
      </c>
      <c r="I116" s="14">
        <v>0</v>
      </c>
      <c r="J116" s="14">
        <v>0</v>
      </c>
      <c r="K116" s="14">
        <v>0</v>
      </c>
      <c r="L116" s="14">
        <v>0</v>
      </c>
      <c r="M116" s="14">
        <v>0</v>
      </c>
      <c r="N116" s="14">
        <v>0</v>
      </c>
      <c r="O116" s="14">
        <v>0</v>
      </c>
      <c r="P116" s="14">
        <v>0</v>
      </c>
      <c r="Q116" s="14">
        <v>0</v>
      </c>
      <c r="R116" s="15">
        <f>$G$116*$G$8+$H$116*$H$8+$I$116*$I$8+$J$116*$J$8+$K$116*$K$8+$L$116*$L$8+$M$116*$M$8+$N$116*$N$8+$O$116*$O$8+$P$116*$P$8+$Q$116*$Q$8</f>
        <v>0</v>
      </c>
      <c r="S116" s="15">
        <v>0</v>
      </c>
      <c r="T116" s="15">
        <f>$R$116+$S$116</f>
        <v>0</v>
      </c>
    </row>
    <row r="117" spans="1:20" x14ac:dyDescent="0.3">
      <c r="A117" s="10" t="s">
        <v>437</v>
      </c>
      <c r="B117" s="11" t="s">
        <v>434</v>
      </c>
      <c r="C117" s="11"/>
      <c r="D117" s="11" t="s">
        <v>438</v>
      </c>
      <c r="E117" s="11">
        <f xml:space="preserve"> IF($T$117,1,0)</f>
        <v>0</v>
      </c>
      <c r="F117" s="11" t="s">
        <v>439</v>
      </c>
      <c r="G117" s="11">
        <v>0</v>
      </c>
      <c r="H117" s="11">
        <v>0</v>
      </c>
      <c r="I117" s="11">
        <v>0</v>
      </c>
      <c r="J117" s="11">
        <v>0</v>
      </c>
      <c r="K117" s="11">
        <v>0</v>
      </c>
      <c r="L117" s="11">
        <v>0</v>
      </c>
      <c r="M117" s="11">
        <v>0</v>
      </c>
      <c r="N117" s="11">
        <v>0</v>
      </c>
      <c r="O117" s="11">
        <v>0</v>
      </c>
      <c r="P117" s="11">
        <v>0</v>
      </c>
      <c r="Q117" s="11">
        <v>0</v>
      </c>
      <c r="R117" s="12">
        <f>$G$117*$G$8+$H$117*$H$8+$I$117*$I$8+$J$117*$J$8+$K$117*$K$8+$L$117*$L$8+$M$117*$M$8+$N$117*$N$8+$O$117*$O$8+$P$117*$P$8+$Q$117*$Q$8</f>
        <v>0</v>
      </c>
      <c r="S117" s="12">
        <v>0</v>
      </c>
      <c r="T117" s="12">
        <f>$R$117+$S$117</f>
        <v>0</v>
      </c>
    </row>
    <row r="118" spans="1:20" x14ac:dyDescent="0.3">
      <c r="A118" s="13" t="s">
        <v>440</v>
      </c>
      <c r="B118" s="14" t="s">
        <v>441</v>
      </c>
      <c r="C118" s="14" t="s">
        <v>202</v>
      </c>
      <c r="D118" s="14" t="s">
        <v>442</v>
      </c>
      <c r="E118" s="14">
        <f xml:space="preserve"> IF($T$118,1,0)</f>
        <v>0</v>
      </c>
      <c r="F118" s="14" t="s">
        <v>443</v>
      </c>
      <c r="G118" s="14">
        <v>0</v>
      </c>
      <c r="H118" s="14">
        <v>0</v>
      </c>
      <c r="I118" s="14">
        <v>0</v>
      </c>
      <c r="J118" s="14">
        <v>0</v>
      </c>
      <c r="K118" s="14">
        <v>0</v>
      </c>
      <c r="L118" s="14">
        <v>0</v>
      </c>
      <c r="M118" s="14">
        <v>0</v>
      </c>
      <c r="N118" s="14">
        <v>0</v>
      </c>
      <c r="O118" s="14">
        <v>0</v>
      </c>
      <c r="P118" s="14">
        <v>0</v>
      </c>
      <c r="Q118" s="14">
        <v>0</v>
      </c>
      <c r="R118" s="15">
        <f>$G$118*$G$8+$H$118*$H$8+$I$118*$I$8+$J$118*$J$8+$K$118*$K$8+$L$118*$L$8+$M$118*$M$8+$N$118*$N$8+$O$118*$O$8+$P$118*$P$8+$Q$118*$Q$8</f>
        <v>0</v>
      </c>
      <c r="S118" s="15">
        <v>0</v>
      </c>
      <c r="T118" s="15">
        <f>$R$118+$S$118</f>
        <v>0</v>
      </c>
    </row>
    <row r="119" spans="1:20" x14ac:dyDescent="0.3">
      <c r="A119" s="10" t="s">
        <v>444</v>
      </c>
      <c r="B119" s="11" t="s">
        <v>445</v>
      </c>
      <c r="C119" s="11"/>
      <c r="D119" s="11" t="s">
        <v>446</v>
      </c>
      <c r="E119" s="11">
        <f xml:space="preserve"> IF($T$119,1,0)</f>
        <v>0</v>
      </c>
      <c r="F119" s="11" t="s">
        <v>447</v>
      </c>
      <c r="G119" s="11">
        <v>0</v>
      </c>
      <c r="H119" s="11">
        <v>0</v>
      </c>
      <c r="I119" s="11">
        <v>0</v>
      </c>
      <c r="J119" s="11">
        <v>0</v>
      </c>
      <c r="K119" s="11">
        <v>0</v>
      </c>
      <c r="L119" s="11">
        <v>0</v>
      </c>
      <c r="M119" s="11">
        <v>0</v>
      </c>
      <c r="N119" s="11">
        <v>0</v>
      </c>
      <c r="O119" s="11">
        <v>0</v>
      </c>
      <c r="P119" s="11">
        <v>0</v>
      </c>
      <c r="Q119" s="11">
        <v>0</v>
      </c>
      <c r="R119" s="12">
        <f>$G$119*$G$8+$H$119*$H$8+$I$119*$I$8+$J$119*$J$8+$K$119*$K$8+$L$119*$L$8+$M$119*$M$8+$N$119*$N$8+$O$119*$O$8+$P$119*$P$8+$Q$119*$Q$8</f>
        <v>0</v>
      </c>
      <c r="S119" s="12">
        <v>0</v>
      </c>
      <c r="T119" s="12">
        <f>$R$119+$S$119</f>
        <v>0</v>
      </c>
    </row>
    <row r="120" spans="1:20" x14ac:dyDescent="0.3">
      <c r="A120" s="13" t="s">
        <v>448</v>
      </c>
      <c r="B120" s="14" t="s">
        <v>449</v>
      </c>
      <c r="C120" s="14"/>
      <c r="D120" s="14" t="s">
        <v>450</v>
      </c>
      <c r="E120" s="14">
        <f xml:space="preserve"> IF($T$120,1,0)</f>
        <v>0</v>
      </c>
      <c r="F120" s="14" t="s">
        <v>451</v>
      </c>
      <c r="G120" s="14">
        <v>0</v>
      </c>
      <c r="H120" s="14">
        <v>0</v>
      </c>
      <c r="I120" s="14">
        <v>0</v>
      </c>
      <c r="J120" s="14">
        <v>0</v>
      </c>
      <c r="K120" s="14">
        <v>0</v>
      </c>
      <c r="L120" s="14">
        <v>0</v>
      </c>
      <c r="M120" s="14">
        <v>0</v>
      </c>
      <c r="N120" s="14">
        <v>0</v>
      </c>
      <c r="O120" s="14">
        <v>0</v>
      </c>
      <c r="P120" s="14">
        <v>0</v>
      </c>
      <c r="Q120" s="14">
        <v>0</v>
      </c>
      <c r="R120" s="15">
        <f>$G$120*$G$8+$H$120*$H$8+$I$120*$I$8+$J$120*$J$8+$K$120*$K$8+$L$120*$L$8+$M$120*$M$8+$N$120*$N$8+$O$120*$O$8+$P$120*$P$8+$Q$120*$Q$8</f>
        <v>0</v>
      </c>
      <c r="S120" s="15">
        <v>0</v>
      </c>
      <c r="T120" s="15">
        <f>$R$120+$S$120</f>
        <v>0</v>
      </c>
    </row>
    <row r="121" spans="1:20" x14ac:dyDescent="0.3">
      <c r="A121" s="10" t="s">
        <v>452</v>
      </c>
      <c r="B121" s="11" t="s">
        <v>453</v>
      </c>
      <c r="C121" s="11"/>
      <c r="D121" s="11" t="s">
        <v>454</v>
      </c>
      <c r="E121" s="11">
        <f xml:space="preserve"> IF($T$121,1,0)</f>
        <v>1</v>
      </c>
      <c r="F121" s="11" t="s">
        <v>455</v>
      </c>
      <c r="G121" s="11">
        <v>4</v>
      </c>
      <c r="H121" s="11">
        <v>0</v>
      </c>
      <c r="I121" s="11">
        <v>1</v>
      </c>
      <c r="J121" s="11">
        <v>4</v>
      </c>
      <c r="K121" s="11">
        <v>0</v>
      </c>
      <c r="L121" s="11">
        <v>0</v>
      </c>
      <c r="M121" s="11">
        <v>0</v>
      </c>
      <c r="N121" s="11">
        <v>0</v>
      </c>
      <c r="O121" s="11">
        <v>0</v>
      </c>
      <c r="P121" s="11">
        <v>0</v>
      </c>
      <c r="Q121" s="11">
        <v>0</v>
      </c>
      <c r="R121" s="12">
        <f>$G$121*$G$8+$H$121*$H$8+$I$121*$I$8+$J$121*$J$8+$K$121*$K$8+$L$121*$L$8+$M$121*$M$8+$N$121*$N$8+$O$121*$O$8+$P$121*$P$8+$Q$121*$Q$8</f>
        <v>13.4</v>
      </c>
      <c r="S121" s="12">
        <v>0</v>
      </c>
      <c r="T121" s="12">
        <f>$R$121+$S$121</f>
        <v>13.4</v>
      </c>
    </row>
    <row r="122" spans="1:20" x14ac:dyDescent="0.3">
      <c r="A122" s="13" t="s">
        <v>456</v>
      </c>
      <c r="B122" s="14" t="s">
        <v>457</v>
      </c>
      <c r="C122" s="14"/>
      <c r="D122" s="14" t="s">
        <v>458</v>
      </c>
      <c r="E122" s="14">
        <f xml:space="preserve"> IF($T$122,1,0)</f>
        <v>0</v>
      </c>
      <c r="F122" s="14" t="s">
        <v>459</v>
      </c>
      <c r="G122" s="14">
        <v>0</v>
      </c>
      <c r="H122" s="14">
        <v>0</v>
      </c>
      <c r="I122" s="14">
        <v>0</v>
      </c>
      <c r="J122" s="14">
        <v>0</v>
      </c>
      <c r="K122" s="14">
        <v>0</v>
      </c>
      <c r="L122" s="14">
        <v>0</v>
      </c>
      <c r="M122" s="14">
        <v>0</v>
      </c>
      <c r="N122" s="14">
        <v>0</v>
      </c>
      <c r="O122" s="14">
        <v>0</v>
      </c>
      <c r="P122" s="14">
        <v>0</v>
      </c>
      <c r="Q122" s="14">
        <v>0</v>
      </c>
      <c r="R122" s="15">
        <f>$G$122*$G$8+$H$122*$H$8+$I$122*$I$8+$J$122*$J$8+$K$122*$K$8+$L$122*$L$8+$M$122*$M$8+$N$122*$N$8+$O$122*$O$8+$P$122*$P$8+$Q$122*$Q$8</f>
        <v>0</v>
      </c>
      <c r="S122" s="15">
        <v>0</v>
      </c>
      <c r="T122" s="15">
        <f>$R$122+$S$122</f>
        <v>0</v>
      </c>
    </row>
    <row r="123" spans="1:20" x14ac:dyDescent="0.3">
      <c r="A123" s="10" t="s">
        <v>460</v>
      </c>
      <c r="B123" s="11" t="s">
        <v>457</v>
      </c>
      <c r="C123" s="11"/>
      <c r="D123" s="11" t="s">
        <v>461</v>
      </c>
      <c r="E123" s="11">
        <f xml:space="preserve"> IF($T$123,1,0)</f>
        <v>0</v>
      </c>
      <c r="F123" s="11" t="s">
        <v>462</v>
      </c>
      <c r="G123" s="11">
        <v>0</v>
      </c>
      <c r="H123" s="11">
        <v>0</v>
      </c>
      <c r="I123" s="11">
        <v>0</v>
      </c>
      <c r="J123" s="11">
        <v>0</v>
      </c>
      <c r="K123" s="11">
        <v>0</v>
      </c>
      <c r="L123" s="11">
        <v>0</v>
      </c>
      <c r="M123" s="11">
        <v>0</v>
      </c>
      <c r="N123" s="11">
        <v>0</v>
      </c>
      <c r="O123" s="11">
        <v>0</v>
      </c>
      <c r="P123" s="11">
        <v>0</v>
      </c>
      <c r="Q123" s="11">
        <v>0</v>
      </c>
      <c r="R123" s="12">
        <f>$G$123*$G$8+$H$123*$H$8+$I$123*$I$8+$J$123*$J$8+$K$123*$K$8+$L$123*$L$8+$M$123*$M$8+$N$123*$N$8+$O$123*$O$8+$P$123*$P$8+$Q$123*$Q$8</f>
        <v>0</v>
      </c>
      <c r="S123" s="12">
        <v>0</v>
      </c>
      <c r="T123" s="12">
        <f>$R$123+$S$123</f>
        <v>0</v>
      </c>
    </row>
    <row r="124" spans="1:20" x14ac:dyDescent="0.3">
      <c r="A124" s="13" t="s">
        <v>463</v>
      </c>
      <c r="B124" s="14" t="s">
        <v>457</v>
      </c>
      <c r="C124" s="14" t="s">
        <v>34</v>
      </c>
      <c r="D124" s="14" t="s">
        <v>464</v>
      </c>
      <c r="E124" s="14">
        <f xml:space="preserve"> IF($T$124,1,0)</f>
        <v>1</v>
      </c>
      <c r="F124" s="14" t="s">
        <v>465</v>
      </c>
      <c r="G124" s="14">
        <v>0</v>
      </c>
      <c r="H124" s="14">
        <v>3</v>
      </c>
      <c r="I124" s="14">
        <v>0</v>
      </c>
      <c r="J124" s="14">
        <v>1</v>
      </c>
      <c r="K124" s="14">
        <v>0</v>
      </c>
      <c r="L124" s="14">
        <v>0</v>
      </c>
      <c r="M124" s="14">
        <v>0</v>
      </c>
      <c r="N124" s="14">
        <v>0</v>
      </c>
      <c r="O124" s="14">
        <v>0</v>
      </c>
      <c r="P124" s="14">
        <v>0</v>
      </c>
      <c r="Q124" s="14">
        <v>2</v>
      </c>
      <c r="R124" s="15">
        <f>$G$124*$G$8+$H$124*$H$8+$I$124*$I$8+$J$124*$J$8+$K$124*$K$8+$L$124*$L$8+$M$124*$M$8+$N$124*$N$8+$O$124*$O$8+$P$124*$P$8+$Q$124*$Q$8</f>
        <v>10.600000000000001</v>
      </c>
      <c r="S124" s="15">
        <v>0</v>
      </c>
      <c r="T124" s="15">
        <f>$R$124+$S$124</f>
        <v>10.600000000000001</v>
      </c>
    </row>
    <row r="125" spans="1:20" x14ac:dyDescent="0.3">
      <c r="A125" s="10" t="s">
        <v>466</v>
      </c>
      <c r="B125" s="11" t="s">
        <v>457</v>
      </c>
      <c r="C125" s="11"/>
      <c r="D125" s="11" t="s">
        <v>467</v>
      </c>
      <c r="E125" s="11">
        <f xml:space="preserve"> IF($T$125,1,0)</f>
        <v>1</v>
      </c>
      <c r="F125" s="11" t="s">
        <v>468</v>
      </c>
      <c r="G125" s="11">
        <v>3</v>
      </c>
      <c r="H125" s="11">
        <v>0</v>
      </c>
      <c r="I125" s="11">
        <v>1</v>
      </c>
      <c r="J125" s="11">
        <v>0</v>
      </c>
      <c r="K125" s="11">
        <v>0</v>
      </c>
      <c r="L125" s="11">
        <v>0</v>
      </c>
      <c r="M125" s="11">
        <v>0</v>
      </c>
      <c r="N125" s="11">
        <v>0</v>
      </c>
      <c r="O125" s="11">
        <v>0</v>
      </c>
      <c r="P125" s="11">
        <v>0</v>
      </c>
      <c r="Q125" s="11">
        <v>0</v>
      </c>
      <c r="R125" s="12">
        <f>$G$125*$G$8+$H$125*$H$8+$I$125*$I$8+$J$125*$J$8+$K$125*$K$8+$L$125*$L$8+$M$125*$M$8+$N$125*$N$8+$O$125*$O$8+$P$125*$P$8+$Q$125*$Q$8</f>
        <v>4.3000000000000007</v>
      </c>
      <c r="S125" s="12">
        <v>0</v>
      </c>
      <c r="T125" s="12">
        <f>$R$125+$S$125</f>
        <v>4.3000000000000007</v>
      </c>
    </row>
    <row r="126" spans="1:20" x14ac:dyDescent="0.3">
      <c r="A126" s="13" t="s">
        <v>473</v>
      </c>
      <c r="B126" s="14" t="s">
        <v>474</v>
      </c>
      <c r="C126" s="14"/>
      <c r="D126" s="14" t="s">
        <v>475</v>
      </c>
      <c r="E126" s="14">
        <f xml:space="preserve"> IF($T$126,1,0)</f>
        <v>0</v>
      </c>
      <c r="F126" s="14" t="s">
        <v>476</v>
      </c>
      <c r="G126" s="14">
        <v>0</v>
      </c>
      <c r="H126" s="14">
        <v>0</v>
      </c>
      <c r="I126" s="14">
        <v>0</v>
      </c>
      <c r="J126" s="14">
        <v>0</v>
      </c>
      <c r="K126" s="14">
        <v>0</v>
      </c>
      <c r="L126" s="14">
        <v>0</v>
      </c>
      <c r="M126" s="14">
        <v>0</v>
      </c>
      <c r="N126" s="14">
        <v>0</v>
      </c>
      <c r="O126" s="14">
        <v>0</v>
      </c>
      <c r="P126" s="14">
        <v>0</v>
      </c>
      <c r="Q126" s="14">
        <v>0</v>
      </c>
      <c r="R126" s="15">
        <f>$G$126*$G$8+$H$126*$H$8+$I$126*$I$8+$J$126*$J$8+$K$126*$K$8+$L$126*$L$8+$M$126*$M$8+$N$126*$N$8+$O$126*$O$8+$P$126*$P$8+$Q$126*$Q$8</f>
        <v>0</v>
      </c>
      <c r="S126" s="15">
        <v>0</v>
      </c>
      <c r="T126" s="15">
        <f>$R$126+$S$126</f>
        <v>0</v>
      </c>
    </row>
    <row r="127" spans="1:20" x14ac:dyDescent="0.3">
      <c r="A127" s="10" t="s">
        <v>477</v>
      </c>
      <c r="B127" s="11" t="s">
        <v>478</v>
      </c>
      <c r="C127" s="11"/>
      <c r="D127" s="11" t="s">
        <v>479</v>
      </c>
      <c r="E127" s="11">
        <f xml:space="preserve"> IF($T$127,1,0)</f>
        <v>0</v>
      </c>
      <c r="F127" s="11" t="s">
        <v>480</v>
      </c>
      <c r="G127" s="11">
        <v>0</v>
      </c>
      <c r="H127" s="11">
        <v>0</v>
      </c>
      <c r="I127" s="11">
        <v>0</v>
      </c>
      <c r="J127" s="11">
        <v>0</v>
      </c>
      <c r="K127" s="11">
        <v>0</v>
      </c>
      <c r="L127" s="11">
        <v>0</v>
      </c>
      <c r="M127" s="11">
        <v>0</v>
      </c>
      <c r="N127" s="11">
        <v>0</v>
      </c>
      <c r="O127" s="11">
        <v>0</v>
      </c>
      <c r="P127" s="11">
        <v>0</v>
      </c>
      <c r="Q127" s="11">
        <v>0</v>
      </c>
      <c r="R127" s="12">
        <f>$G$127*$G$8+$H$127*$H$8+$I$127*$I$8+$J$127*$J$8+$K$127*$K$8+$L$127*$L$8+$M$127*$M$8+$N$127*$N$8+$O$127*$O$8+$P$127*$P$8+$Q$127*$Q$8</f>
        <v>0</v>
      </c>
      <c r="S127" s="12">
        <v>0</v>
      </c>
      <c r="T127" s="12">
        <f>$R$127+$S$127</f>
        <v>0</v>
      </c>
    </row>
    <row r="128" spans="1:20" x14ac:dyDescent="0.3">
      <c r="A128" s="13" t="s">
        <v>481</v>
      </c>
      <c r="B128" s="14" t="s">
        <v>482</v>
      </c>
      <c r="C128" s="14"/>
      <c r="D128" s="14" t="s">
        <v>483</v>
      </c>
      <c r="E128" s="14">
        <f xml:space="preserve"> IF($T$128,1,0)</f>
        <v>0</v>
      </c>
      <c r="F128" s="14" t="s">
        <v>484</v>
      </c>
      <c r="G128" s="14">
        <v>0</v>
      </c>
      <c r="H128" s="14">
        <v>0</v>
      </c>
      <c r="I128" s="14">
        <v>0</v>
      </c>
      <c r="J128" s="14">
        <v>0</v>
      </c>
      <c r="K128" s="14">
        <v>0</v>
      </c>
      <c r="L128" s="14">
        <v>0</v>
      </c>
      <c r="M128" s="14">
        <v>0</v>
      </c>
      <c r="N128" s="14">
        <v>0</v>
      </c>
      <c r="O128" s="14">
        <v>0</v>
      </c>
      <c r="P128" s="14">
        <v>0</v>
      </c>
      <c r="Q128" s="14">
        <v>0</v>
      </c>
      <c r="R128" s="15">
        <f>$G$128*$G$8+$H$128*$H$8+$I$128*$I$8+$J$128*$J$8+$K$128*$K$8+$L$128*$L$8+$M$128*$M$8+$N$128*$N$8+$O$128*$O$8+$P$128*$P$8+$Q$128*$Q$8</f>
        <v>0</v>
      </c>
      <c r="S128" s="15">
        <v>0</v>
      </c>
      <c r="T128" s="15">
        <f>$R$128+$S$128</f>
        <v>0</v>
      </c>
    </row>
    <row r="129" spans="1:20" x14ac:dyDescent="0.3">
      <c r="A129" s="10" t="s">
        <v>485</v>
      </c>
      <c r="B129" s="11" t="s">
        <v>486</v>
      </c>
      <c r="C129" s="11"/>
      <c r="D129" s="11" t="s">
        <v>487</v>
      </c>
      <c r="E129" s="11">
        <f xml:space="preserve"> IF($T$129,1,0)</f>
        <v>0</v>
      </c>
      <c r="F129" s="11" t="s">
        <v>488</v>
      </c>
      <c r="G129" s="11">
        <v>0</v>
      </c>
      <c r="H129" s="11">
        <v>0</v>
      </c>
      <c r="I129" s="11">
        <v>0</v>
      </c>
      <c r="J129" s="11">
        <v>0</v>
      </c>
      <c r="K129" s="11">
        <v>0</v>
      </c>
      <c r="L129" s="11">
        <v>0</v>
      </c>
      <c r="M129" s="11">
        <v>0</v>
      </c>
      <c r="N129" s="11">
        <v>0</v>
      </c>
      <c r="O129" s="11">
        <v>0</v>
      </c>
      <c r="P129" s="11">
        <v>0</v>
      </c>
      <c r="Q129" s="11">
        <v>0</v>
      </c>
      <c r="R129" s="12">
        <f>$G$129*$G$8+$H$129*$H$8+$I$129*$I$8+$J$129*$J$8+$K$129*$K$8+$L$129*$L$8+$M$129*$M$8+$N$129*$N$8+$O$129*$O$8+$P$129*$P$8+$Q$129*$Q$8</f>
        <v>0</v>
      </c>
      <c r="S129" s="12">
        <v>0</v>
      </c>
      <c r="T129" s="12">
        <f>$R$129+$S$129</f>
        <v>0</v>
      </c>
    </row>
    <row r="130" spans="1:20" x14ac:dyDescent="0.3">
      <c r="A130" s="13" t="s">
        <v>489</v>
      </c>
      <c r="B130" s="14" t="s">
        <v>490</v>
      </c>
      <c r="C130" s="14"/>
      <c r="D130" s="14" t="s">
        <v>491</v>
      </c>
      <c r="E130" s="14">
        <f xml:space="preserve"> IF($T$130,1,0)</f>
        <v>0</v>
      </c>
      <c r="F130" s="14" t="s">
        <v>492</v>
      </c>
      <c r="G130" s="14">
        <v>0</v>
      </c>
      <c r="H130" s="14">
        <v>0</v>
      </c>
      <c r="I130" s="14">
        <v>0</v>
      </c>
      <c r="J130" s="14">
        <v>0</v>
      </c>
      <c r="K130" s="14">
        <v>0</v>
      </c>
      <c r="L130" s="14">
        <v>0</v>
      </c>
      <c r="M130" s="14">
        <v>0</v>
      </c>
      <c r="N130" s="14">
        <v>0</v>
      </c>
      <c r="O130" s="14">
        <v>0</v>
      </c>
      <c r="P130" s="14">
        <v>0</v>
      </c>
      <c r="Q130" s="14">
        <v>0</v>
      </c>
      <c r="R130" s="15">
        <f>$G$130*$G$8+$H$130*$H$8+$I$130*$I$8+$J$130*$J$8+$K$130*$K$8+$L$130*$L$8+$M$130*$M$8+$N$130*$N$8+$O$130*$O$8+$P$130*$P$8+$Q$130*$Q$8</f>
        <v>0</v>
      </c>
      <c r="S130" s="15">
        <v>0</v>
      </c>
      <c r="T130" s="15">
        <f>$R$130+$S$130</f>
        <v>0</v>
      </c>
    </row>
    <row r="131" spans="1:20" x14ac:dyDescent="0.3">
      <c r="A131" s="10" t="s">
        <v>493</v>
      </c>
      <c r="B131" s="11" t="s">
        <v>494</v>
      </c>
      <c r="C131" s="11" t="s">
        <v>34</v>
      </c>
      <c r="D131" s="11" t="s">
        <v>495</v>
      </c>
      <c r="E131" s="11">
        <f xml:space="preserve"> IF($T$131,1,0)</f>
        <v>0</v>
      </c>
      <c r="F131" s="11" t="s">
        <v>496</v>
      </c>
      <c r="G131" s="11">
        <v>0</v>
      </c>
      <c r="H131" s="11">
        <v>0</v>
      </c>
      <c r="I131" s="11">
        <v>0</v>
      </c>
      <c r="J131" s="11">
        <v>0</v>
      </c>
      <c r="K131" s="11">
        <v>0</v>
      </c>
      <c r="L131" s="11">
        <v>0</v>
      </c>
      <c r="M131" s="11">
        <v>0</v>
      </c>
      <c r="N131" s="11">
        <v>0</v>
      </c>
      <c r="O131" s="11">
        <v>0</v>
      </c>
      <c r="P131" s="11">
        <v>0</v>
      </c>
      <c r="Q131" s="11">
        <v>0</v>
      </c>
      <c r="R131" s="12">
        <f>$G$131*$G$8+$H$131*$H$8+$I$131*$I$8+$J$131*$J$8+$K$131*$K$8+$L$131*$L$8+$M$131*$M$8+$N$131*$N$8+$O$131*$O$8+$P$131*$P$8+$Q$131*$Q$8</f>
        <v>0</v>
      </c>
      <c r="S131" s="12">
        <v>0</v>
      </c>
      <c r="T131" s="12">
        <f>$R$131+$S$131</f>
        <v>0</v>
      </c>
    </row>
    <row r="132" spans="1:20" x14ac:dyDescent="0.3">
      <c r="A132" s="13" t="s">
        <v>497</v>
      </c>
      <c r="B132" s="14" t="s">
        <v>498</v>
      </c>
      <c r="C132" s="14"/>
      <c r="D132" s="14" t="s">
        <v>499</v>
      </c>
      <c r="E132" s="14">
        <f xml:space="preserve"> IF($T$132,1,0)</f>
        <v>0</v>
      </c>
      <c r="F132" s="14" t="s">
        <v>500</v>
      </c>
      <c r="G132" s="14">
        <v>0</v>
      </c>
      <c r="H132" s="14">
        <v>0</v>
      </c>
      <c r="I132" s="14">
        <v>0</v>
      </c>
      <c r="J132" s="14">
        <v>0</v>
      </c>
      <c r="K132" s="14">
        <v>0</v>
      </c>
      <c r="L132" s="14">
        <v>0</v>
      </c>
      <c r="M132" s="14">
        <v>0</v>
      </c>
      <c r="N132" s="14">
        <v>0</v>
      </c>
      <c r="O132" s="14">
        <v>0</v>
      </c>
      <c r="P132" s="14">
        <v>0</v>
      </c>
      <c r="Q132" s="14">
        <v>0</v>
      </c>
      <c r="R132" s="15">
        <f>$G$132*$G$8+$H$132*$H$8+$I$132*$I$8+$J$132*$J$8+$K$132*$K$8+$L$132*$L$8+$M$132*$M$8+$N$132*$N$8+$O$132*$O$8+$P$132*$P$8+$Q$132*$Q$8</f>
        <v>0</v>
      </c>
      <c r="S132" s="15">
        <v>0</v>
      </c>
      <c r="T132" s="15">
        <f>$R$132+$S$132</f>
        <v>0</v>
      </c>
    </row>
    <row r="133" spans="1:20" x14ac:dyDescent="0.3">
      <c r="A133" s="10" t="s">
        <v>501</v>
      </c>
      <c r="B133" s="11" t="s">
        <v>502</v>
      </c>
      <c r="C133" s="11" t="s">
        <v>34</v>
      </c>
      <c r="D133" s="11" t="s">
        <v>503</v>
      </c>
      <c r="E133" s="11">
        <f xml:space="preserve"> IF($T$133,1,0)</f>
        <v>1</v>
      </c>
      <c r="F133" s="11" t="s">
        <v>504</v>
      </c>
      <c r="G133" s="11">
        <v>1</v>
      </c>
      <c r="H133" s="11">
        <v>8</v>
      </c>
      <c r="I133" s="11">
        <v>0</v>
      </c>
      <c r="J133" s="11">
        <v>0</v>
      </c>
      <c r="K133" s="11">
        <v>0</v>
      </c>
      <c r="L133" s="11">
        <v>0</v>
      </c>
      <c r="M133" s="11">
        <v>0</v>
      </c>
      <c r="N133" s="11">
        <v>0</v>
      </c>
      <c r="O133" s="11">
        <v>0</v>
      </c>
      <c r="P133" s="11">
        <v>0</v>
      </c>
      <c r="Q133" s="11">
        <v>0</v>
      </c>
      <c r="R133" s="12">
        <f>$G$133*$G$8+$H$133*$H$8+$I$133*$I$8+$J$133*$J$8+$K$133*$K$8+$L$133*$L$8+$M$133*$M$8+$N$133*$N$8+$O$133*$O$8+$P$133*$P$8+$Q$133*$Q$8</f>
        <v>18.700000000000003</v>
      </c>
      <c r="S133" s="12">
        <v>0</v>
      </c>
      <c r="T133" s="12">
        <f>$R$133+$S$133</f>
        <v>18.700000000000003</v>
      </c>
    </row>
    <row r="134" spans="1:20" x14ac:dyDescent="0.3">
      <c r="A134" s="13" t="s">
        <v>505</v>
      </c>
      <c r="B134" s="14" t="s">
        <v>502</v>
      </c>
      <c r="C134" s="14"/>
      <c r="D134" s="14" t="s">
        <v>232</v>
      </c>
      <c r="E134" s="14">
        <f xml:space="preserve"> IF($T$134,1,0)</f>
        <v>1</v>
      </c>
      <c r="F134" s="14" t="s">
        <v>506</v>
      </c>
      <c r="G134" s="14">
        <v>2</v>
      </c>
      <c r="H134" s="14">
        <v>4</v>
      </c>
      <c r="I134" s="14">
        <v>0</v>
      </c>
      <c r="J134" s="14">
        <v>0</v>
      </c>
      <c r="K134" s="14">
        <v>0</v>
      </c>
      <c r="L134" s="14">
        <v>0</v>
      </c>
      <c r="M134" s="14">
        <v>0</v>
      </c>
      <c r="N134" s="14">
        <v>0</v>
      </c>
      <c r="O134" s="14">
        <v>0</v>
      </c>
      <c r="P134" s="14">
        <v>0</v>
      </c>
      <c r="Q134" s="14">
        <v>0</v>
      </c>
      <c r="R134" s="15">
        <f>$G$134*$G$8+$H$134*$H$8+$I$134*$I$8+$J$134*$J$8+$K$134*$K$8+$L$134*$L$8+$M$134*$M$8+$N$134*$N$8+$O$134*$O$8+$P$134*$P$8+$Q$134*$Q$8</f>
        <v>11</v>
      </c>
      <c r="S134" s="15">
        <v>0</v>
      </c>
      <c r="T134" s="15">
        <f>$R$134+$S$134</f>
        <v>11</v>
      </c>
    </row>
    <row r="135" spans="1:20" x14ac:dyDescent="0.3">
      <c r="A135" s="10" t="s">
        <v>507</v>
      </c>
      <c r="B135" s="11" t="s">
        <v>508</v>
      </c>
      <c r="C135" s="11" t="s">
        <v>65</v>
      </c>
      <c r="D135" s="11" t="s">
        <v>509</v>
      </c>
      <c r="E135" s="11">
        <f xml:space="preserve"> IF($T$135,1,0)</f>
        <v>0</v>
      </c>
      <c r="F135" s="11" t="s">
        <v>510</v>
      </c>
      <c r="G135" s="11">
        <v>0</v>
      </c>
      <c r="H135" s="11">
        <v>0</v>
      </c>
      <c r="I135" s="11">
        <v>0</v>
      </c>
      <c r="J135" s="11">
        <v>0</v>
      </c>
      <c r="K135" s="11">
        <v>0</v>
      </c>
      <c r="L135" s="11">
        <v>0</v>
      </c>
      <c r="M135" s="11">
        <v>0</v>
      </c>
      <c r="N135" s="11">
        <v>0</v>
      </c>
      <c r="O135" s="11">
        <v>0</v>
      </c>
      <c r="P135" s="11">
        <v>0</v>
      </c>
      <c r="Q135" s="11">
        <v>0</v>
      </c>
      <c r="R135" s="12">
        <f>$G$135*$G$8+$H$135*$H$8+$I$135*$I$8+$J$135*$J$8+$K$135*$K$8+$L$135*$L$8+$M$135*$M$8+$N$135*$N$8+$O$135*$O$8+$P$135*$P$8+$Q$135*$Q$8</f>
        <v>0</v>
      </c>
      <c r="S135" s="12">
        <v>0</v>
      </c>
      <c r="T135" s="12">
        <f>$R$135+$S$135</f>
        <v>0</v>
      </c>
    </row>
    <row r="136" spans="1:20" x14ac:dyDescent="0.3">
      <c r="A136" s="13" t="s">
        <v>511</v>
      </c>
      <c r="B136" s="14" t="s">
        <v>512</v>
      </c>
      <c r="C136" s="14" t="s">
        <v>513</v>
      </c>
      <c r="D136" s="14" t="s">
        <v>514</v>
      </c>
      <c r="E136" s="14">
        <f xml:space="preserve"> IF($T$136,1,0)</f>
        <v>1</v>
      </c>
      <c r="F136" s="14" t="s">
        <v>515</v>
      </c>
      <c r="G136" s="14">
        <v>6</v>
      </c>
      <c r="H136" s="14">
        <v>7</v>
      </c>
      <c r="I136" s="14">
        <v>1</v>
      </c>
      <c r="J136" s="14">
        <v>2</v>
      </c>
      <c r="K136" s="14">
        <v>0</v>
      </c>
      <c r="L136" s="14">
        <v>0</v>
      </c>
      <c r="M136" s="14">
        <v>0</v>
      </c>
      <c r="N136" s="14">
        <v>0</v>
      </c>
      <c r="O136" s="14">
        <v>0</v>
      </c>
      <c r="P136" s="14">
        <v>0</v>
      </c>
      <c r="Q136" s="14">
        <v>10</v>
      </c>
      <c r="R136" s="15">
        <f>$G$136*$G$8+$H$136*$H$8+$I$136*$I$8+$J$136*$J$8+$K$136*$K$8+$L$136*$L$8+$M$136*$M$8+$N$136*$N$8+$O$136*$O$8+$P$136*$P$8+$Q$136*$Q$8</f>
        <v>37</v>
      </c>
      <c r="S136" s="15">
        <v>0</v>
      </c>
      <c r="T136" s="15">
        <f>$R$136+$S$136</f>
        <v>37</v>
      </c>
    </row>
    <row r="137" spans="1:20" x14ac:dyDescent="0.3">
      <c r="A137" s="10" t="s">
        <v>516</v>
      </c>
      <c r="B137" s="11" t="s">
        <v>517</v>
      </c>
      <c r="C137" s="11" t="s">
        <v>65</v>
      </c>
      <c r="D137" s="11" t="s">
        <v>518</v>
      </c>
      <c r="E137" s="11">
        <f xml:space="preserve"> IF($T$137,1,0)</f>
        <v>0</v>
      </c>
      <c r="F137" s="11" t="s">
        <v>519</v>
      </c>
      <c r="G137" s="11">
        <v>0</v>
      </c>
      <c r="H137" s="11">
        <v>0</v>
      </c>
      <c r="I137" s="11">
        <v>0</v>
      </c>
      <c r="J137" s="11">
        <v>0</v>
      </c>
      <c r="K137" s="11">
        <v>0</v>
      </c>
      <c r="L137" s="11">
        <v>0</v>
      </c>
      <c r="M137" s="11">
        <v>0</v>
      </c>
      <c r="N137" s="11">
        <v>0</v>
      </c>
      <c r="O137" s="11">
        <v>0</v>
      </c>
      <c r="P137" s="11">
        <v>0</v>
      </c>
      <c r="Q137" s="11">
        <v>0</v>
      </c>
      <c r="R137" s="12">
        <f>$G$137*$G$8+$H$137*$H$8+$I$137*$I$8+$J$137*$J$8+$K$137*$K$8+$L$137*$L$8+$M$137*$M$8+$N$137*$N$8+$O$137*$O$8+$P$137*$P$8+$Q$137*$Q$8</f>
        <v>0</v>
      </c>
      <c r="S137" s="12">
        <v>0</v>
      </c>
      <c r="T137" s="12">
        <f>$R$137+$S$137</f>
        <v>0</v>
      </c>
    </row>
    <row r="138" spans="1:20" x14ac:dyDescent="0.3">
      <c r="A138" s="13" t="s">
        <v>520</v>
      </c>
      <c r="B138" s="14" t="s">
        <v>517</v>
      </c>
      <c r="C138" s="14"/>
      <c r="D138" s="14" t="s">
        <v>521</v>
      </c>
      <c r="E138" s="14">
        <f xml:space="preserve"> IF($T$138,1,0)</f>
        <v>1</v>
      </c>
      <c r="F138" s="14" t="s">
        <v>522</v>
      </c>
      <c r="G138" s="14">
        <v>1</v>
      </c>
      <c r="H138" s="14">
        <v>0</v>
      </c>
      <c r="I138" s="14">
        <v>2</v>
      </c>
      <c r="J138" s="14">
        <v>0</v>
      </c>
      <c r="K138" s="14">
        <v>0</v>
      </c>
      <c r="L138" s="14">
        <v>0</v>
      </c>
      <c r="M138" s="14">
        <v>0</v>
      </c>
      <c r="N138" s="14">
        <v>0</v>
      </c>
      <c r="O138" s="14">
        <v>0</v>
      </c>
      <c r="P138" s="14">
        <v>0</v>
      </c>
      <c r="Q138" s="14">
        <v>0</v>
      </c>
      <c r="R138" s="15">
        <f>$G$138*$G$8+$H$138*$H$8+$I$138*$I$8+$J$138*$J$8+$K$138*$K$8+$L$138*$L$8+$M$138*$M$8+$N$138*$N$8+$O$138*$O$8+$P$138*$P$8+$Q$138*$Q$8</f>
        <v>3.1</v>
      </c>
      <c r="S138" s="15">
        <v>0</v>
      </c>
      <c r="T138" s="15">
        <f>$R$138+$S$138</f>
        <v>3.1</v>
      </c>
    </row>
    <row r="139" spans="1:20" x14ac:dyDescent="0.3">
      <c r="A139" s="10" t="s">
        <v>523</v>
      </c>
      <c r="B139" s="11" t="s">
        <v>524</v>
      </c>
      <c r="C139" s="11" t="s">
        <v>65</v>
      </c>
      <c r="D139" s="11" t="s">
        <v>327</v>
      </c>
      <c r="E139" s="11">
        <f xml:space="preserve"> IF($T$139,1,0)</f>
        <v>0</v>
      </c>
      <c r="F139" s="11" t="s">
        <v>525</v>
      </c>
      <c r="G139" s="11">
        <v>0</v>
      </c>
      <c r="H139" s="11">
        <v>0</v>
      </c>
      <c r="I139" s="11">
        <v>0</v>
      </c>
      <c r="J139" s="11">
        <v>0</v>
      </c>
      <c r="K139" s="11">
        <v>0</v>
      </c>
      <c r="L139" s="11">
        <v>0</v>
      </c>
      <c r="M139" s="11">
        <v>0</v>
      </c>
      <c r="N139" s="11">
        <v>0</v>
      </c>
      <c r="O139" s="11">
        <v>0</v>
      </c>
      <c r="P139" s="11">
        <v>0</v>
      </c>
      <c r="Q139" s="11">
        <v>0</v>
      </c>
      <c r="R139" s="12">
        <f>$G$139*$G$8+$H$139*$H$8+$I$139*$I$8+$J$139*$J$8+$K$139*$K$8+$L$139*$L$8+$M$139*$M$8+$N$139*$N$8+$O$139*$O$8+$P$139*$P$8+$Q$139*$Q$8</f>
        <v>0</v>
      </c>
      <c r="S139" s="12">
        <v>0</v>
      </c>
      <c r="T139" s="12">
        <f>$R$139+$S$139</f>
        <v>0</v>
      </c>
    </row>
    <row r="140" spans="1:20" x14ac:dyDescent="0.3">
      <c r="A140" s="13" t="s">
        <v>526</v>
      </c>
      <c r="B140" s="14" t="s">
        <v>527</v>
      </c>
      <c r="C140" s="14"/>
      <c r="D140" s="14" t="s">
        <v>528</v>
      </c>
      <c r="E140" s="14">
        <f xml:space="preserve"> IF($T$140,1,0)</f>
        <v>0</v>
      </c>
      <c r="F140" s="14" t="s">
        <v>529</v>
      </c>
      <c r="G140" s="14">
        <v>0</v>
      </c>
      <c r="H140" s="14">
        <v>0</v>
      </c>
      <c r="I140" s="14">
        <v>0</v>
      </c>
      <c r="J140" s="14">
        <v>0</v>
      </c>
      <c r="K140" s="14">
        <v>0</v>
      </c>
      <c r="L140" s="14">
        <v>0</v>
      </c>
      <c r="M140" s="14">
        <v>0</v>
      </c>
      <c r="N140" s="14">
        <v>0</v>
      </c>
      <c r="O140" s="14">
        <v>0</v>
      </c>
      <c r="P140" s="14">
        <v>0</v>
      </c>
      <c r="Q140" s="14">
        <v>0</v>
      </c>
      <c r="R140" s="15">
        <f>$G$140*$G$8+$H$140*$H$8+$I$140*$I$8+$J$140*$J$8+$K$140*$K$8+$L$140*$L$8+$M$140*$M$8+$N$140*$N$8+$O$140*$O$8+$P$140*$P$8+$Q$140*$Q$8</f>
        <v>0</v>
      </c>
      <c r="S140" s="15">
        <v>0</v>
      </c>
      <c r="T140" s="15">
        <f>$R$140+$S$140</f>
        <v>0</v>
      </c>
    </row>
    <row r="141" spans="1:20" x14ac:dyDescent="0.3">
      <c r="A141" s="10" t="s">
        <v>530</v>
      </c>
      <c r="B141" s="11" t="s">
        <v>531</v>
      </c>
      <c r="C141" s="11"/>
      <c r="D141" s="11" t="s">
        <v>532</v>
      </c>
      <c r="E141" s="11">
        <f xml:space="preserve"> IF($T$141,1,0)</f>
        <v>0</v>
      </c>
      <c r="F141" s="11" t="s">
        <v>533</v>
      </c>
      <c r="G141" s="11">
        <v>0</v>
      </c>
      <c r="H141" s="11">
        <v>0</v>
      </c>
      <c r="I141" s="11">
        <v>0</v>
      </c>
      <c r="J141" s="11">
        <v>0</v>
      </c>
      <c r="K141" s="11">
        <v>0</v>
      </c>
      <c r="L141" s="11">
        <v>0</v>
      </c>
      <c r="M141" s="11">
        <v>0</v>
      </c>
      <c r="N141" s="11">
        <v>0</v>
      </c>
      <c r="O141" s="11">
        <v>0</v>
      </c>
      <c r="P141" s="11">
        <v>0</v>
      </c>
      <c r="Q141" s="11">
        <v>0</v>
      </c>
      <c r="R141" s="12">
        <f>$G$141*$G$8+$H$141*$H$8+$I$141*$I$8+$J$141*$J$8+$K$141*$K$8+$L$141*$L$8+$M$141*$M$8+$N$141*$N$8+$O$141*$O$8+$P$141*$P$8+$Q$141*$Q$8</f>
        <v>0</v>
      </c>
      <c r="S141" s="12">
        <v>0</v>
      </c>
      <c r="T141" s="12">
        <f>$R$141+$S$141</f>
        <v>0</v>
      </c>
    </row>
    <row r="142" spans="1:20" x14ac:dyDescent="0.3">
      <c r="A142" s="13" t="s">
        <v>534</v>
      </c>
      <c r="B142" s="14" t="s">
        <v>535</v>
      </c>
      <c r="C142" s="14"/>
      <c r="D142" s="14" t="s">
        <v>536</v>
      </c>
      <c r="E142" s="14">
        <f xml:space="preserve"> IF($T$142,1,0)</f>
        <v>0</v>
      </c>
      <c r="F142" s="14" t="s">
        <v>537</v>
      </c>
      <c r="G142" s="14">
        <v>0</v>
      </c>
      <c r="H142" s="14">
        <v>0</v>
      </c>
      <c r="I142" s="14">
        <v>0</v>
      </c>
      <c r="J142" s="14">
        <v>0</v>
      </c>
      <c r="K142" s="14">
        <v>0</v>
      </c>
      <c r="L142" s="14">
        <v>0</v>
      </c>
      <c r="M142" s="14">
        <v>0</v>
      </c>
      <c r="N142" s="14">
        <v>0</v>
      </c>
      <c r="O142" s="14">
        <v>0</v>
      </c>
      <c r="P142" s="14">
        <v>0</v>
      </c>
      <c r="Q142" s="14">
        <v>0</v>
      </c>
      <c r="R142" s="15">
        <f>$G$142*$G$8+$H$142*$H$8+$I$142*$I$8+$J$142*$J$8+$K$142*$K$8+$L$142*$L$8+$M$142*$M$8+$N$142*$N$8+$O$142*$O$8+$P$142*$P$8+$Q$142*$Q$8</f>
        <v>0</v>
      </c>
      <c r="S142" s="15">
        <v>0</v>
      </c>
      <c r="T142" s="15">
        <f>$R$142+$S$142</f>
        <v>0</v>
      </c>
    </row>
    <row r="143" spans="1:20" x14ac:dyDescent="0.3">
      <c r="A143" s="10" t="s">
        <v>538</v>
      </c>
      <c r="B143" s="11" t="s">
        <v>535</v>
      </c>
      <c r="C143" s="11"/>
      <c r="D143" s="11" t="s">
        <v>539</v>
      </c>
      <c r="E143" s="11">
        <f xml:space="preserve"> IF($T$143,1,0)</f>
        <v>1</v>
      </c>
      <c r="F143" s="11" t="s">
        <v>540</v>
      </c>
      <c r="G143" s="11">
        <v>0</v>
      </c>
      <c r="H143" s="11">
        <v>2</v>
      </c>
      <c r="I143" s="11">
        <v>0</v>
      </c>
      <c r="J143" s="11">
        <v>0</v>
      </c>
      <c r="K143" s="11">
        <v>0</v>
      </c>
      <c r="L143" s="11">
        <v>0</v>
      </c>
      <c r="M143" s="11">
        <v>0</v>
      </c>
      <c r="N143" s="11">
        <v>0</v>
      </c>
      <c r="O143" s="11">
        <v>0</v>
      </c>
      <c r="P143" s="11">
        <v>0</v>
      </c>
      <c r="Q143" s="11">
        <v>0</v>
      </c>
      <c r="R143" s="12">
        <f>$G$143*$G$8+$H$143*$H$8+$I$143*$I$8+$J$143*$J$8+$K$143*$K$8+$L$143*$L$8+$M$143*$M$8+$N$143*$N$8+$O$143*$O$8+$P$143*$P$8+$Q$143*$Q$8</f>
        <v>4.4000000000000004</v>
      </c>
      <c r="S143" s="12">
        <v>0</v>
      </c>
      <c r="T143" s="12">
        <f>$R$143+$S$143</f>
        <v>4.4000000000000004</v>
      </c>
    </row>
    <row r="144" spans="1:20" x14ac:dyDescent="0.3">
      <c r="A144" s="13" t="s">
        <v>541</v>
      </c>
      <c r="B144" s="14" t="s">
        <v>542</v>
      </c>
      <c r="C144" s="14"/>
      <c r="D144" s="14" t="s">
        <v>543</v>
      </c>
      <c r="E144" s="14">
        <f xml:space="preserve"> IF($T$144,1,0)</f>
        <v>0</v>
      </c>
      <c r="F144" s="14" t="s">
        <v>544</v>
      </c>
      <c r="G144" s="14">
        <v>0</v>
      </c>
      <c r="H144" s="14">
        <v>0</v>
      </c>
      <c r="I144" s="14">
        <v>0</v>
      </c>
      <c r="J144" s="14">
        <v>0</v>
      </c>
      <c r="K144" s="14">
        <v>0</v>
      </c>
      <c r="L144" s="14">
        <v>0</v>
      </c>
      <c r="M144" s="14">
        <v>0</v>
      </c>
      <c r="N144" s="14">
        <v>0</v>
      </c>
      <c r="O144" s="14">
        <v>0</v>
      </c>
      <c r="P144" s="14">
        <v>0</v>
      </c>
      <c r="Q144" s="14">
        <v>0</v>
      </c>
      <c r="R144" s="15">
        <f>$G$144*$G$8+$H$144*$H$8+$I$144*$I$8+$J$144*$J$8+$K$144*$K$8+$L$144*$L$8+$M$144*$M$8+$N$144*$N$8+$O$144*$O$8+$P$144*$P$8+$Q$144*$Q$8</f>
        <v>0</v>
      </c>
      <c r="S144" s="15">
        <v>0</v>
      </c>
      <c r="T144" s="15">
        <f>$R$144+$S$144</f>
        <v>0</v>
      </c>
    </row>
    <row r="145" spans="1:20" x14ac:dyDescent="0.3">
      <c r="A145" s="10" t="s">
        <v>545</v>
      </c>
      <c r="B145" s="11" t="s">
        <v>546</v>
      </c>
      <c r="C145" s="11"/>
      <c r="D145" s="11" t="s">
        <v>547</v>
      </c>
      <c r="E145" s="11">
        <f xml:space="preserve"> IF($T$145,1,0)</f>
        <v>0</v>
      </c>
      <c r="F145" s="11" t="s">
        <v>548</v>
      </c>
      <c r="G145" s="11">
        <v>0</v>
      </c>
      <c r="H145" s="11">
        <v>0</v>
      </c>
      <c r="I145" s="11">
        <v>0</v>
      </c>
      <c r="J145" s="11">
        <v>0</v>
      </c>
      <c r="K145" s="11">
        <v>0</v>
      </c>
      <c r="L145" s="11">
        <v>0</v>
      </c>
      <c r="M145" s="11">
        <v>0</v>
      </c>
      <c r="N145" s="11">
        <v>0</v>
      </c>
      <c r="O145" s="11">
        <v>0</v>
      </c>
      <c r="P145" s="11">
        <v>0</v>
      </c>
      <c r="Q145" s="11">
        <v>0</v>
      </c>
      <c r="R145" s="12">
        <f>$G$145*$G$8+$H$145*$H$8+$I$145*$I$8+$J$145*$J$8+$K$145*$K$8+$L$145*$L$8+$M$145*$M$8+$N$145*$N$8+$O$145*$O$8+$P$145*$P$8+$Q$145*$Q$8</f>
        <v>0</v>
      </c>
      <c r="S145" s="12">
        <v>0</v>
      </c>
      <c r="T145" s="12">
        <f>$R$145+$S$145</f>
        <v>0</v>
      </c>
    </row>
    <row r="146" spans="1:20" x14ac:dyDescent="0.3">
      <c r="A146" s="13" t="s">
        <v>549</v>
      </c>
      <c r="B146" s="14" t="s">
        <v>550</v>
      </c>
      <c r="C146" s="14" t="s">
        <v>34</v>
      </c>
      <c r="D146" s="14" t="s">
        <v>551</v>
      </c>
      <c r="E146" s="14">
        <f xml:space="preserve"> IF($T$146,1,0)</f>
        <v>1</v>
      </c>
      <c r="F146" s="14" t="s">
        <v>552</v>
      </c>
      <c r="G146" s="14">
        <v>0</v>
      </c>
      <c r="H146" s="14">
        <v>2</v>
      </c>
      <c r="I146" s="14">
        <v>0</v>
      </c>
      <c r="J146" s="14">
        <v>0</v>
      </c>
      <c r="K146" s="14">
        <v>0</v>
      </c>
      <c r="L146" s="14">
        <v>0</v>
      </c>
      <c r="M146" s="14">
        <v>0</v>
      </c>
      <c r="N146" s="14">
        <v>0</v>
      </c>
      <c r="O146" s="14">
        <v>0</v>
      </c>
      <c r="P146" s="14">
        <v>0</v>
      </c>
      <c r="Q146" s="14">
        <v>0</v>
      </c>
      <c r="R146" s="15">
        <f>$G$146*$G$8+$H$146*$H$8+$I$146*$I$8+$J$146*$J$8+$K$146*$K$8+$L$146*$L$8+$M$146*$M$8+$N$146*$N$8+$O$146*$O$8+$P$146*$P$8+$Q$146*$Q$8</f>
        <v>4.4000000000000004</v>
      </c>
      <c r="S146" s="15">
        <v>0</v>
      </c>
      <c r="T146" s="15">
        <f>$R$146+$S$146</f>
        <v>4.4000000000000004</v>
      </c>
    </row>
    <row r="147" spans="1:20" x14ac:dyDescent="0.3">
      <c r="A147" s="10" t="s">
        <v>553</v>
      </c>
      <c r="B147" s="11" t="s">
        <v>554</v>
      </c>
      <c r="C147" s="11"/>
      <c r="D147" s="11" t="s">
        <v>555</v>
      </c>
      <c r="E147" s="11">
        <f xml:space="preserve"> IF($T$147,1,0)</f>
        <v>0</v>
      </c>
      <c r="F147" s="11" t="s">
        <v>556</v>
      </c>
      <c r="G147" s="11">
        <v>0</v>
      </c>
      <c r="H147" s="11">
        <v>0</v>
      </c>
      <c r="I147" s="11">
        <v>0</v>
      </c>
      <c r="J147" s="11">
        <v>0</v>
      </c>
      <c r="K147" s="11">
        <v>0</v>
      </c>
      <c r="L147" s="11">
        <v>0</v>
      </c>
      <c r="M147" s="11">
        <v>0</v>
      </c>
      <c r="N147" s="11">
        <v>0</v>
      </c>
      <c r="O147" s="11">
        <v>0</v>
      </c>
      <c r="P147" s="11">
        <v>0</v>
      </c>
      <c r="Q147" s="11">
        <v>0</v>
      </c>
      <c r="R147" s="12">
        <f>$G$147*$G$8+$H$147*$H$8+$I$147*$I$8+$J$147*$J$8+$K$147*$K$8+$L$147*$L$8+$M$147*$M$8+$N$147*$N$8+$O$147*$O$8+$P$147*$P$8+$Q$147*$Q$8</f>
        <v>0</v>
      </c>
      <c r="S147" s="12">
        <v>0</v>
      </c>
      <c r="T147" s="12">
        <f>$R$147+$S$147</f>
        <v>0</v>
      </c>
    </row>
    <row r="148" spans="1:20" x14ac:dyDescent="0.3">
      <c r="A148" s="13" t="s">
        <v>557</v>
      </c>
      <c r="B148" s="14" t="s">
        <v>554</v>
      </c>
      <c r="C148" s="14"/>
      <c r="D148" s="14" t="s">
        <v>558</v>
      </c>
      <c r="E148" s="14">
        <f xml:space="preserve"> IF($T$148,1,0)</f>
        <v>0</v>
      </c>
      <c r="F148" s="14" t="s">
        <v>559</v>
      </c>
      <c r="G148" s="14">
        <v>0</v>
      </c>
      <c r="H148" s="14">
        <v>0</v>
      </c>
      <c r="I148" s="14">
        <v>0</v>
      </c>
      <c r="J148" s="14">
        <v>0</v>
      </c>
      <c r="K148" s="14">
        <v>0</v>
      </c>
      <c r="L148" s="14">
        <v>0</v>
      </c>
      <c r="M148" s="14">
        <v>0</v>
      </c>
      <c r="N148" s="14">
        <v>0</v>
      </c>
      <c r="O148" s="14">
        <v>0</v>
      </c>
      <c r="P148" s="14">
        <v>0</v>
      </c>
      <c r="Q148" s="14">
        <v>0</v>
      </c>
      <c r="R148" s="15">
        <f>$G$148*$G$8+$H$148*$H$8+$I$148*$I$8+$J$148*$J$8+$K$148*$K$8+$L$148*$L$8+$M$148*$M$8+$N$148*$N$8+$O$148*$O$8+$P$148*$P$8+$Q$148*$Q$8</f>
        <v>0</v>
      </c>
      <c r="S148" s="15">
        <v>0</v>
      </c>
      <c r="T148" s="15">
        <f>$R$148+$S$148</f>
        <v>0</v>
      </c>
    </row>
    <row r="149" spans="1:20" x14ac:dyDescent="0.3">
      <c r="A149" s="10" t="s">
        <v>560</v>
      </c>
      <c r="B149" s="11" t="s">
        <v>561</v>
      </c>
      <c r="C149" s="11"/>
      <c r="D149" s="11" t="s">
        <v>562</v>
      </c>
      <c r="E149" s="11">
        <f xml:space="preserve"> IF($T$149,1,0)</f>
        <v>0</v>
      </c>
      <c r="F149" s="11" t="s">
        <v>563</v>
      </c>
      <c r="G149" s="11">
        <v>0</v>
      </c>
      <c r="H149" s="11">
        <v>0</v>
      </c>
      <c r="I149" s="11">
        <v>0</v>
      </c>
      <c r="J149" s="11">
        <v>0</v>
      </c>
      <c r="K149" s="11">
        <v>0</v>
      </c>
      <c r="L149" s="11">
        <v>0</v>
      </c>
      <c r="M149" s="11">
        <v>0</v>
      </c>
      <c r="N149" s="11">
        <v>0</v>
      </c>
      <c r="O149" s="11">
        <v>0</v>
      </c>
      <c r="P149" s="11">
        <v>0</v>
      </c>
      <c r="Q149" s="11">
        <v>0</v>
      </c>
      <c r="R149" s="12">
        <f>$G$149*$G$8+$H$149*$H$8+$I$149*$I$8+$J$149*$J$8+$K$149*$K$8+$L$149*$L$8+$M$149*$M$8+$N$149*$N$8+$O$149*$O$8+$P$149*$P$8+$Q$149*$Q$8</f>
        <v>0</v>
      </c>
      <c r="S149" s="12">
        <v>0</v>
      </c>
      <c r="T149" s="12">
        <f>$R$149+$S$149</f>
        <v>0</v>
      </c>
    </row>
    <row r="150" spans="1:20" x14ac:dyDescent="0.3">
      <c r="A150" s="13" t="s">
        <v>564</v>
      </c>
      <c r="B150" s="14" t="s">
        <v>565</v>
      </c>
      <c r="C150" s="14"/>
      <c r="D150" s="14" t="s">
        <v>566</v>
      </c>
      <c r="E150" s="14">
        <f xml:space="preserve"> IF($T$150,1,0)</f>
        <v>1</v>
      </c>
      <c r="F150" s="14" t="s">
        <v>567</v>
      </c>
      <c r="G150" s="14">
        <v>0</v>
      </c>
      <c r="H150" s="14">
        <v>1</v>
      </c>
      <c r="I150" s="14">
        <v>0</v>
      </c>
      <c r="J150" s="14">
        <v>0</v>
      </c>
      <c r="K150" s="14">
        <v>0</v>
      </c>
      <c r="L150" s="14">
        <v>0</v>
      </c>
      <c r="M150" s="14">
        <v>0</v>
      </c>
      <c r="N150" s="14">
        <v>0</v>
      </c>
      <c r="O150" s="14">
        <v>0</v>
      </c>
      <c r="P150" s="14">
        <v>0</v>
      </c>
      <c r="Q150" s="14">
        <v>0</v>
      </c>
      <c r="R150" s="15">
        <f>$G$150*$G$8+$H$150*$H$8+$I$150*$I$8+$J$150*$J$8+$K$150*$K$8+$L$150*$L$8+$M$150*$M$8+$N$150*$N$8+$O$150*$O$8+$P$150*$P$8+$Q$150*$Q$8</f>
        <v>2.2000000000000002</v>
      </c>
      <c r="S150" s="15">
        <v>0</v>
      </c>
      <c r="T150" s="15">
        <f>$R$150+$S$150</f>
        <v>2.2000000000000002</v>
      </c>
    </row>
    <row r="151" spans="1:20" x14ac:dyDescent="0.3">
      <c r="A151" s="10" t="s">
        <v>568</v>
      </c>
      <c r="B151" s="11" t="s">
        <v>569</v>
      </c>
      <c r="C151" s="11"/>
      <c r="D151" s="11" t="s">
        <v>570</v>
      </c>
      <c r="E151" s="11">
        <f xml:space="preserve"> IF($T$151,1,0)</f>
        <v>1</v>
      </c>
      <c r="F151" s="11" t="s">
        <v>571</v>
      </c>
      <c r="G151" s="11">
        <v>4</v>
      </c>
      <c r="H151" s="11">
        <v>2</v>
      </c>
      <c r="I151" s="11">
        <v>0</v>
      </c>
      <c r="J151" s="11">
        <v>0</v>
      </c>
      <c r="K151" s="11">
        <v>0</v>
      </c>
      <c r="L151" s="11">
        <v>0</v>
      </c>
      <c r="M151" s="11">
        <v>0</v>
      </c>
      <c r="N151" s="11">
        <v>0</v>
      </c>
      <c r="O151" s="11">
        <v>0</v>
      </c>
      <c r="P151" s="11">
        <v>0</v>
      </c>
      <c r="Q151" s="11">
        <v>0</v>
      </c>
      <c r="R151" s="12">
        <f>$G$151*$G$8+$H$151*$H$8+$I$151*$I$8+$J$151*$J$8+$K$151*$K$8+$L$151*$L$8+$M$151*$M$8+$N$151*$N$8+$O$151*$O$8+$P$151*$P$8+$Q$151*$Q$8</f>
        <v>8.8000000000000007</v>
      </c>
      <c r="S151" s="12">
        <v>0</v>
      </c>
      <c r="T151" s="12">
        <f>$R$151+$S$151</f>
        <v>8.8000000000000007</v>
      </c>
    </row>
    <row r="152" spans="1:20" x14ac:dyDescent="0.3">
      <c r="A152" s="13" t="s">
        <v>572</v>
      </c>
      <c r="B152" s="14" t="s">
        <v>573</v>
      </c>
      <c r="C152" s="14" t="s">
        <v>34</v>
      </c>
      <c r="D152" s="14" t="s">
        <v>574</v>
      </c>
      <c r="E152" s="14">
        <f xml:space="preserve"> IF($T$152,1,0)</f>
        <v>0</v>
      </c>
      <c r="F152" s="14" t="s">
        <v>575</v>
      </c>
      <c r="G152" s="14">
        <v>0</v>
      </c>
      <c r="H152" s="14">
        <v>0</v>
      </c>
      <c r="I152" s="14">
        <v>0</v>
      </c>
      <c r="J152" s="14">
        <v>0</v>
      </c>
      <c r="K152" s="14">
        <v>0</v>
      </c>
      <c r="L152" s="14">
        <v>0</v>
      </c>
      <c r="M152" s="14">
        <v>0</v>
      </c>
      <c r="N152" s="14">
        <v>0</v>
      </c>
      <c r="O152" s="14">
        <v>0</v>
      </c>
      <c r="P152" s="14">
        <v>0</v>
      </c>
      <c r="Q152" s="14">
        <v>0</v>
      </c>
      <c r="R152" s="15">
        <f>$G$152*$G$8+$H$152*$H$8+$I$152*$I$8+$J$152*$J$8+$K$152*$K$8+$L$152*$L$8+$M$152*$M$8+$N$152*$N$8+$O$152*$O$8+$P$152*$P$8+$Q$152*$Q$8</f>
        <v>0</v>
      </c>
      <c r="S152" s="15">
        <v>0</v>
      </c>
      <c r="T152" s="15">
        <f>$R$152+$S$152</f>
        <v>0</v>
      </c>
    </row>
    <row r="153" spans="1:20" x14ac:dyDescent="0.3">
      <c r="A153" s="10" t="s">
        <v>576</v>
      </c>
      <c r="B153" s="11" t="s">
        <v>577</v>
      </c>
      <c r="C153" s="11"/>
      <c r="D153" s="11" t="s">
        <v>578</v>
      </c>
      <c r="E153" s="11">
        <f xml:space="preserve"> IF($T$153,1,0)</f>
        <v>0</v>
      </c>
      <c r="F153" s="11" t="s">
        <v>579</v>
      </c>
      <c r="G153" s="11">
        <v>0</v>
      </c>
      <c r="H153" s="11">
        <v>0</v>
      </c>
      <c r="I153" s="11">
        <v>0</v>
      </c>
      <c r="J153" s="11">
        <v>0</v>
      </c>
      <c r="K153" s="11">
        <v>0</v>
      </c>
      <c r="L153" s="11">
        <v>0</v>
      </c>
      <c r="M153" s="11">
        <v>0</v>
      </c>
      <c r="N153" s="11">
        <v>0</v>
      </c>
      <c r="O153" s="11">
        <v>0</v>
      </c>
      <c r="P153" s="11">
        <v>0</v>
      </c>
      <c r="Q153" s="11">
        <v>0</v>
      </c>
      <c r="R153" s="12">
        <f>$G$153*$G$8+$H$153*$H$8+$I$153*$I$8+$J$153*$J$8+$K$153*$K$8+$L$153*$L$8+$M$153*$M$8+$N$153*$N$8+$O$153*$O$8+$P$153*$P$8+$Q$153*$Q$8</f>
        <v>0</v>
      </c>
      <c r="S153" s="12">
        <v>0</v>
      </c>
      <c r="T153" s="12">
        <f>$R$153+$S$153</f>
        <v>0</v>
      </c>
    </row>
    <row r="154" spans="1:20" x14ac:dyDescent="0.3">
      <c r="A154" s="13" t="s">
        <v>580</v>
      </c>
      <c r="B154" s="14" t="s">
        <v>581</v>
      </c>
      <c r="C154" s="14"/>
      <c r="D154" s="14" t="s">
        <v>582</v>
      </c>
      <c r="E154" s="14">
        <f xml:space="preserve"> IF($T$154,1,0)</f>
        <v>0</v>
      </c>
      <c r="F154" s="14" t="s">
        <v>583</v>
      </c>
      <c r="G154" s="14">
        <v>0</v>
      </c>
      <c r="H154" s="14">
        <v>0</v>
      </c>
      <c r="I154" s="14">
        <v>0</v>
      </c>
      <c r="J154" s="14">
        <v>0</v>
      </c>
      <c r="K154" s="14">
        <v>0</v>
      </c>
      <c r="L154" s="14">
        <v>0</v>
      </c>
      <c r="M154" s="14">
        <v>0</v>
      </c>
      <c r="N154" s="14">
        <v>0</v>
      </c>
      <c r="O154" s="14">
        <v>0</v>
      </c>
      <c r="P154" s="14">
        <v>0</v>
      </c>
      <c r="Q154" s="14">
        <v>0</v>
      </c>
      <c r="R154" s="15">
        <f>$G$154*$G$8+$H$154*$H$8+$I$154*$I$8+$J$154*$J$8+$K$154*$K$8+$L$154*$L$8+$M$154*$M$8+$N$154*$N$8+$O$154*$O$8+$P$154*$P$8+$Q$154*$Q$8</f>
        <v>0</v>
      </c>
      <c r="S154" s="15">
        <v>0</v>
      </c>
      <c r="T154" s="15">
        <f>$R$154+$S$154</f>
        <v>0</v>
      </c>
    </row>
    <row r="155" spans="1:20" x14ac:dyDescent="0.3">
      <c r="A155" s="10" t="s">
        <v>584</v>
      </c>
      <c r="B155" s="11" t="s">
        <v>585</v>
      </c>
      <c r="C155" s="11"/>
      <c r="D155" s="11" t="s">
        <v>586</v>
      </c>
      <c r="E155" s="11">
        <f xml:space="preserve"> IF($T$155,1,0)</f>
        <v>0</v>
      </c>
      <c r="F155" s="11" t="s">
        <v>587</v>
      </c>
      <c r="G155" s="11">
        <v>0</v>
      </c>
      <c r="H155" s="11">
        <v>0</v>
      </c>
      <c r="I155" s="11">
        <v>0</v>
      </c>
      <c r="J155" s="11">
        <v>0</v>
      </c>
      <c r="K155" s="11">
        <v>0</v>
      </c>
      <c r="L155" s="11">
        <v>0</v>
      </c>
      <c r="M155" s="11">
        <v>0</v>
      </c>
      <c r="N155" s="11">
        <v>0</v>
      </c>
      <c r="O155" s="11">
        <v>0</v>
      </c>
      <c r="P155" s="11">
        <v>0</v>
      </c>
      <c r="Q155" s="11">
        <v>0</v>
      </c>
      <c r="R155" s="12">
        <f>$G$155*$G$8+$H$155*$H$8+$I$155*$I$8+$J$155*$J$8+$K$155*$K$8+$L$155*$L$8+$M$155*$M$8+$N$155*$N$8+$O$155*$O$8+$P$155*$P$8+$Q$155*$Q$8</f>
        <v>0</v>
      </c>
      <c r="S155" s="12">
        <v>0</v>
      </c>
      <c r="T155" s="12">
        <f>$R$155+$S$155</f>
        <v>0</v>
      </c>
    </row>
    <row r="156" spans="1:20" x14ac:dyDescent="0.3">
      <c r="A156" s="13" t="s">
        <v>588</v>
      </c>
      <c r="B156" s="14" t="s">
        <v>589</v>
      </c>
      <c r="C156" s="14"/>
      <c r="D156" s="14" t="s">
        <v>590</v>
      </c>
      <c r="E156" s="14">
        <f xml:space="preserve"> IF($T$156,1,0)</f>
        <v>0</v>
      </c>
      <c r="F156" s="14" t="s">
        <v>591</v>
      </c>
      <c r="G156" s="14">
        <v>0</v>
      </c>
      <c r="H156" s="14">
        <v>0</v>
      </c>
      <c r="I156" s="14">
        <v>0</v>
      </c>
      <c r="J156" s="14">
        <v>0</v>
      </c>
      <c r="K156" s="14">
        <v>0</v>
      </c>
      <c r="L156" s="14">
        <v>0</v>
      </c>
      <c r="M156" s="14">
        <v>0</v>
      </c>
      <c r="N156" s="14">
        <v>0</v>
      </c>
      <c r="O156" s="14">
        <v>0</v>
      </c>
      <c r="P156" s="14">
        <v>0</v>
      </c>
      <c r="Q156" s="14">
        <v>0</v>
      </c>
      <c r="R156" s="15">
        <f>$G$156*$G$8+$H$156*$H$8+$I$156*$I$8+$J$156*$J$8+$K$156*$K$8+$L$156*$L$8+$M$156*$M$8+$N$156*$N$8+$O$156*$O$8+$P$156*$P$8+$Q$156*$Q$8</f>
        <v>0</v>
      </c>
      <c r="S156" s="15">
        <v>0</v>
      </c>
      <c r="T156" s="15">
        <f>$R$156+$S$156</f>
        <v>0</v>
      </c>
    </row>
    <row r="157" spans="1:20" x14ac:dyDescent="0.3">
      <c r="A157" s="10" t="s">
        <v>592</v>
      </c>
      <c r="B157" s="11" t="s">
        <v>593</v>
      </c>
      <c r="C157" s="11"/>
      <c r="D157" s="11" t="s">
        <v>594</v>
      </c>
      <c r="E157" s="11">
        <f xml:space="preserve"> IF($T$157,1,0)</f>
        <v>0</v>
      </c>
      <c r="F157" s="11" t="s">
        <v>595</v>
      </c>
      <c r="G157" s="11">
        <v>0</v>
      </c>
      <c r="H157" s="11">
        <v>0</v>
      </c>
      <c r="I157" s="11">
        <v>0</v>
      </c>
      <c r="J157" s="11">
        <v>0</v>
      </c>
      <c r="K157" s="11">
        <v>0</v>
      </c>
      <c r="L157" s="11">
        <v>0</v>
      </c>
      <c r="M157" s="11">
        <v>0</v>
      </c>
      <c r="N157" s="11">
        <v>0</v>
      </c>
      <c r="O157" s="11">
        <v>0</v>
      </c>
      <c r="P157" s="11">
        <v>0</v>
      </c>
      <c r="Q157" s="11">
        <v>0</v>
      </c>
      <c r="R157" s="12">
        <f>$G$157*$G$8+$H$157*$H$8+$I$157*$I$8+$J$157*$J$8+$K$157*$K$8+$L$157*$L$8+$M$157*$M$8+$N$157*$N$8+$O$157*$O$8+$P$157*$P$8+$Q$157*$Q$8</f>
        <v>0</v>
      </c>
      <c r="S157" s="12">
        <v>0</v>
      </c>
      <c r="T157" s="12">
        <f>$R$157+$S$157</f>
        <v>0</v>
      </c>
    </row>
    <row r="158" spans="1:20" x14ac:dyDescent="0.3">
      <c r="A158" s="13" t="s">
        <v>596</v>
      </c>
      <c r="B158" s="14" t="s">
        <v>597</v>
      </c>
      <c r="C158" s="14"/>
      <c r="D158" s="14" t="s">
        <v>598</v>
      </c>
      <c r="E158" s="14">
        <f xml:space="preserve"> IF($T$158,1,0)</f>
        <v>0</v>
      </c>
      <c r="F158" s="14" t="s">
        <v>599</v>
      </c>
      <c r="G158" s="14">
        <v>0</v>
      </c>
      <c r="H158" s="14">
        <v>0</v>
      </c>
      <c r="I158" s="14">
        <v>0</v>
      </c>
      <c r="J158" s="14">
        <v>0</v>
      </c>
      <c r="K158" s="14">
        <v>0</v>
      </c>
      <c r="L158" s="14">
        <v>0</v>
      </c>
      <c r="M158" s="14">
        <v>0</v>
      </c>
      <c r="N158" s="14">
        <v>0</v>
      </c>
      <c r="O158" s="14">
        <v>0</v>
      </c>
      <c r="P158" s="14">
        <v>0</v>
      </c>
      <c r="Q158" s="14">
        <v>0</v>
      </c>
      <c r="R158" s="15">
        <f>$G$158*$G$8+$H$158*$H$8+$I$158*$I$8+$J$158*$J$8+$K$158*$K$8+$L$158*$L$8+$M$158*$M$8+$N$158*$N$8+$O$158*$O$8+$P$158*$P$8+$Q$158*$Q$8</f>
        <v>0</v>
      </c>
      <c r="S158" s="15">
        <v>0</v>
      </c>
      <c r="T158" s="15">
        <f>$R$158+$S$158</f>
        <v>0</v>
      </c>
    </row>
    <row r="159" spans="1:20" x14ac:dyDescent="0.3">
      <c r="A159" s="10" t="s">
        <v>600</v>
      </c>
      <c r="B159" s="11" t="s">
        <v>601</v>
      </c>
      <c r="C159" s="11"/>
      <c r="D159" s="11" t="s">
        <v>70</v>
      </c>
      <c r="E159" s="11">
        <f xml:space="preserve"> IF($T$159,1,0)</f>
        <v>1</v>
      </c>
      <c r="F159" s="11" t="s">
        <v>602</v>
      </c>
      <c r="G159" s="11">
        <v>4</v>
      </c>
      <c r="H159" s="11">
        <v>0</v>
      </c>
      <c r="I159" s="11">
        <v>0</v>
      </c>
      <c r="J159" s="11">
        <v>0</v>
      </c>
      <c r="K159" s="11">
        <v>0</v>
      </c>
      <c r="L159" s="11">
        <v>0</v>
      </c>
      <c r="M159" s="11">
        <v>0</v>
      </c>
      <c r="N159" s="11">
        <v>0</v>
      </c>
      <c r="O159" s="11">
        <v>0</v>
      </c>
      <c r="P159" s="11">
        <v>0</v>
      </c>
      <c r="Q159" s="11">
        <v>0</v>
      </c>
      <c r="R159" s="12">
        <f>$G$159*$G$8+$H$159*$H$8+$I$159*$I$8+$J$159*$J$8+$K$159*$K$8+$L$159*$L$8+$M$159*$M$8+$N$159*$N$8+$O$159*$O$8+$P$159*$P$8+$Q$159*$Q$8</f>
        <v>4.4000000000000004</v>
      </c>
      <c r="S159" s="12">
        <v>0</v>
      </c>
      <c r="T159" s="12">
        <f>$R$159+$S$159</f>
        <v>4.4000000000000004</v>
      </c>
    </row>
    <row r="160" spans="1:20" x14ac:dyDescent="0.3">
      <c r="A160" s="13" t="s">
        <v>603</v>
      </c>
      <c r="B160" s="14" t="s">
        <v>604</v>
      </c>
      <c r="C160" s="14"/>
      <c r="D160" s="14" t="s">
        <v>605</v>
      </c>
      <c r="E160" s="14">
        <f xml:space="preserve"> IF($T$160,1,0)</f>
        <v>0</v>
      </c>
      <c r="F160" s="14" t="s">
        <v>606</v>
      </c>
      <c r="G160" s="14">
        <v>0</v>
      </c>
      <c r="H160" s="14">
        <v>0</v>
      </c>
      <c r="I160" s="14">
        <v>0</v>
      </c>
      <c r="J160" s="14">
        <v>0</v>
      </c>
      <c r="K160" s="14">
        <v>0</v>
      </c>
      <c r="L160" s="14">
        <v>0</v>
      </c>
      <c r="M160" s="14">
        <v>0</v>
      </c>
      <c r="N160" s="14">
        <v>0</v>
      </c>
      <c r="O160" s="14">
        <v>0</v>
      </c>
      <c r="P160" s="14">
        <v>0</v>
      </c>
      <c r="Q160" s="14">
        <v>0</v>
      </c>
      <c r="R160" s="15">
        <f>$G$160*$G$8+$H$160*$H$8+$I$160*$I$8+$J$160*$J$8+$K$160*$K$8+$L$160*$L$8+$M$160*$M$8+$N$160*$N$8+$O$160*$O$8+$P$160*$P$8+$Q$160*$Q$8</f>
        <v>0</v>
      </c>
      <c r="S160" s="15">
        <v>0</v>
      </c>
      <c r="T160" s="15">
        <f>$R$160+$S$160</f>
        <v>0</v>
      </c>
    </row>
    <row r="161" spans="1:20" x14ac:dyDescent="0.3">
      <c r="A161" s="10" t="s">
        <v>607</v>
      </c>
      <c r="B161" s="11" t="s">
        <v>608</v>
      </c>
      <c r="C161" s="11"/>
      <c r="D161" s="11" t="s">
        <v>609</v>
      </c>
      <c r="E161" s="11">
        <f xml:space="preserve"> IF($T$161,1,0)</f>
        <v>0</v>
      </c>
      <c r="F161" s="11" t="s">
        <v>610</v>
      </c>
      <c r="G161" s="11">
        <v>0</v>
      </c>
      <c r="H161" s="11">
        <v>0</v>
      </c>
      <c r="I161" s="11">
        <v>0</v>
      </c>
      <c r="J161" s="11">
        <v>0</v>
      </c>
      <c r="K161" s="11">
        <v>0</v>
      </c>
      <c r="L161" s="11">
        <v>0</v>
      </c>
      <c r="M161" s="11">
        <v>0</v>
      </c>
      <c r="N161" s="11">
        <v>0</v>
      </c>
      <c r="O161" s="11">
        <v>0</v>
      </c>
      <c r="P161" s="11">
        <v>0</v>
      </c>
      <c r="Q161" s="11">
        <v>0</v>
      </c>
      <c r="R161" s="12">
        <f>$G$161*$G$8+$H$161*$H$8+$I$161*$I$8+$J$161*$J$8+$K$161*$K$8+$L$161*$L$8+$M$161*$M$8+$N$161*$N$8+$O$161*$O$8+$P$161*$P$8+$Q$161*$Q$8</f>
        <v>0</v>
      </c>
      <c r="S161" s="12">
        <v>0</v>
      </c>
      <c r="T161" s="12">
        <f>$R$161+$S$161</f>
        <v>0</v>
      </c>
    </row>
    <row r="162" spans="1:20" x14ac:dyDescent="0.3">
      <c r="A162" s="13" t="s">
        <v>611</v>
      </c>
      <c r="B162" s="14" t="s">
        <v>612</v>
      </c>
      <c r="C162" s="14"/>
      <c r="D162" s="14" t="s">
        <v>613</v>
      </c>
      <c r="E162" s="14">
        <f xml:space="preserve"> IF($T$162,1,0)</f>
        <v>0</v>
      </c>
      <c r="F162" s="14" t="s">
        <v>614</v>
      </c>
      <c r="G162" s="14">
        <v>0</v>
      </c>
      <c r="H162" s="14">
        <v>0</v>
      </c>
      <c r="I162" s="14">
        <v>0</v>
      </c>
      <c r="J162" s="14">
        <v>0</v>
      </c>
      <c r="K162" s="14">
        <v>0</v>
      </c>
      <c r="L162" s="14">
        <v>0</v>
      </c>
      <c r="M162" s="14">
        <v>0</v>
      </c>
      <c r="N162" s="14">
        <v>0</v>
      </c>
      <c r="O162" s="14">
        <v>0</v>
      </c>
      <c r="P162" s="14">
        <v>0</v>
      </c>
      <c r="Q162" s="14">
        <v>0</v>
      </c>
      <c r="R162" s="15">
        <f>$G$162*$G$8+$H$162*$H$8+$I$162*$I$8+$J$162*$J$8+$K$162*$K$8+$L$162*$L$8+$M$162*$M$8+$N$162*$N$8+$O$162*$O$8+$P$162*$P$8+$Q$162*$Q$8</f>
        <v>0</v>
      </c>
      <c r="S162" s="15">
        <v>0</v>
      </c>
      <c r="T162" s="15">
        <f>$R$162+$S$162</f>
        <v>0</v>
      </c>
    </row>
    <row r="163" spans="1:20" x14ac:dyDescent="0.3">
      <c r="A163" s="10" t="s">
        <v>615</v>
      </c>
      <c r="B163" s="11" t="s">
        <v>616</v>
      </c>
      <c r="C163" s="11"/>
      <c r="D163" s="11" t="s">
        <v>617</v>
      </c>
      <c r="E163" s="11">
        <f xml:space="preserve"> IF($T$163,1,0)</f>
        <v>0</v>
      </c>
      <c r="F163" s="11" t="s">
        <v>618</v>
      </c>
      <c r="G163" s="11">
        <v>0</v>
      </c>
      <c r="H163" s="11">
        <v>0</v>
      </c>
      <c r="I163" s="11">
        <v>0</v>
      </c>
      <c r="J163" s="11">
        <v>0</v>
      </c>
      <c r="K163" s="11">
        <v>0</v>
      </c>
      <c r="L163" s="11">
        <v>0</v>
      </c>
      <c r="M163" s="11">
        <v>0</v>
      </c>
      <c r="N163" s="11">
        <v>0</v>
      </c>
      <c r="O163" s="11">
        <v>0</v>
      </c>
      <c r="P163" s="11">
        <v>0</v>
      </c>
      <c r="Q163" s="11">
        <v>0</v>
      </c>
      <c r="R163" s="12">
        <f>$G$163*$G$8+$H$163*$H$8+$I$163*$I$8+$J$163*$J$8+$K$163*$K$8+$L$163*$L$8+$M$163*$M$8+$N$163*$N$8+$O$163*$O$8+$P$163*$P$8+$Q$163*$Q$8</f>
        <v>0</v>
      </c>
      <c r="S163" s="12">
        <v>0</v>
      </c>
      <c r="T163" s="12">
        <f>$R$163+$S$163</f>
        <v>0</v>
      </c>
    </row>
    <row r="164" spans="1:20" x14ac:dyDescent="0.3">
      <c r="A164" s="13" t="s">
        <v>619</v>
      </c>
      <c r="B164" s="14" t="s">
        <v>620</v>
      </c>
      <c r="C164" s="14" t="s">
        <v>34</v>
      </c>
      <c r="D164" s="14" t="s">
        <v>621</v>
      </c>
      <c r="E164" s="14">
        <f xml:space="preserve"> IF($T$164,1,0)</f>
        <v>0</v>
      </c>
      <c r="F164" s="14" t="s">
        <v>622</v>
      </c>
      <c r="G164" s="14">
        <v>0</v>
      </c>
      <c r="H164" s="14">
        <v>0</v>
      </c>
      <c r="I164" s="14">
        <v>0</v>
      </c>
      <c r="J164" s="14">
        <v>0</v>
      </c>
      <c r="K164" s="14">
        <v>0</v>
      </c>
      <c r="L164" s="14">
        <v>0</v>
      </c>
      <c r="M164" s="14">
        <v>0</v>
      </c>
      <c r="N164" s="14">
        <v>0</v>
      </c>
      <c r="O164" s="14">
        <v>0</v>
      </c>
      <c r="P164" s="14">
        <v>0</v>
      </c>
      <c r="Q164" s="14">
        <v>0</v>
      </c>
      <c r="R164" s="15">
        <f>$G$164*$G$8+$H$164*$H$8+$I$164*$I$8+$J$164*$J$8+$K$164*$K$8+$L$164*$L$8+$M$164*$M$8+$N$164*$N$8+$O$164*$O$8+$P$164*$P$8+$Q$164*$Q$8</f>
        <v>0</v>
      </c>
      <c r="S164" s="15">
        <v>0</v>
      </c>
      <c r="T164" s="15">
        <f>$R$164+$S$164</f>
        <v>0</v>
      </c>
    </row>
    <row r="165" spans="1:20" x14ac:dyDescent="0.3">
      <c r="A165" s="10" t="s">
        <v>623</v>
      </c>
      <c r="B165" s="11" t="s">
        <v>624</v>
      </c>
      <c r="C165" s="11"/>
      <c r="D165" s="11" t="s">
        <v>625</v>
      </c>
      <c r="E165" s="11">
        <f xml:space="preserve"> IF($T$165,1,0)</f>
        <v>0</v>
      </c>
      <c r="F165" s="11" t="s">
        <v>626</v>
      </c>
      <c r="G165" s="11">
        <v>0</v>
      </c>
      <c r="H165" s="11">
        <v>0</v>
      </c>
      <c r="I165" s="11">
        <v>0</v>
      </c>
      <c r="J165" s="11">
        <v>0</v>
      </c>
      <c r="K165" s="11">
        <v>0</v>
      </c>
      <c r="L165" s="11">
        <v>0</v>
      </c>
      <c r="M165" s="11">
        <v>0</v>
      </c>
      <c r="N165" s="11">
        <v>0</v>
      </c>
      <c r="O165" s="11">
        <v>0</v>
      </c>
      <c r="P165" s="11">
        <v>0</v>
      </c>
      <c r="Q165" s="11">
        <v>0</v>
      </c>
      <c r="R165" s="12">
        <f>$G$165*$G$8+$H$165*$H$8+$I$165*$I$8+$J$165*$J$8+$K$165*$K$8+$L$165*$L$8+$M$165*$M$8+$N$165*$N$8+$O$165*$O$8+$P$165*$P$8+$Q$165*$Q$8</f>
        <v>0</v>
      </c>
      <c r="S165" s="12">
        <v>0</v>
      </c>
      <c r="T165" s="12">
        <f>$R$165+$S$165</f>
        <v>0</v>
      </c>
    </row>
    <row r="166" spans="1:20" x14ac:dyDescent="0.3">
      <c r="A166" s="13" t="s">
        <v>627</v>
      </c>
      <c r="B166" s="14" t="s">
        <v>624</v>
      </c>
      <c r="C166" s="14"/>
      <c r="D166" s="14" t="s">
        <v>628</v>
      </c>
      <c r="E166" s="14">
        <f xml:space="preserve"> IF($T$166,1,0)</f>
        <v>0</v>
      </c>
      <c r="F166" s="14" t="s">
        <v>629</v>
      </c>
      <c r="G166" s="14">
        <v>0</v>
      </c>
      <c r="H166" s="14">
        <v>0</v>
      </c>
      <c r="I166" s="14">
        <v>0</v>
      </c>
      <c r="J166" s="14">
        <v>0</v>
      </c>
      <c r="K166" s="14">
        <v>0</v>
      </c>
      <c r="L166" s="14">
        <v>0</v>
      </c>
      <c r="M166" s="14">
        <v>0</v>
      </c>
      <c r="N166" s="14">
        <v>0</v>
      </c>
      <c r="O166" s="14">
        <v>0</v>
      </c>
      <c r="P166" s="14">
        <v>0</v>
      </c>
      <c r="Q166" s="14">
        <v>0</v>
      </c>
      <c r="R166" s="15">
        <f>$G$166*$G$8+$H$166*$H$8+$I$166*$I$8+$J$166*$J$8+$K$166*$K$8+$L$166*$L$8+$M$166*$M$8+$N$166*$N$8+$O$166*$O$8+$P$166*$P$8+$Q$166*$Q$8</f>
        <v>0</v>
      </c>
      <c r="S166" s="15">
        <v>0</v>
      </c>
      <c r="T166" s="15">
        <f>$R$166+$S$166</f>
        <v>0</v>
      </c>
    </row>
    <row r="167" spans="1:20" x14ac:dyDescent="0.3">
      <c r="A167" s="10" t="s">
        <v>630</v>
      </c>
      <c r="B167" s="11" t="s">
        <v>631</v>
      </c>
      <c r="C167" s="11"/>
      <c r="D167" s="11" t="s">
        <v>632</v>
      </c>
      <c r="E167" s="11">
        <f xml:space="preserve"> IF($T$167,1,0)</f>
        <v>1</v>
      </c>
      <c r="F167" s="11" t="s">
        <v>633</v>
      </c>
      <c r="G167" s="11">
        <v>6</v>
      </c>
      <c r="H167" s="11">
        <v>0</v>
      </c>
      <c r="I167" s="11">
        <v>0</v>
      </c>
      <c r="J167" s="11">
        <v>0</v>
      </c>
      <c r="K167" s="11">
        <v>0</v>
      </c>
      <c r="L167" s="11">
        <v>0</v>
      </c>
      <c r="M167" s="11">
        <v>0</v>
      </c>
      <c r="N167" s="11">
        <v>0</v>
      </c>
      <c r="O167" s="11">
        <v>0</v>
      </c>
      <c r="P167" s="11">
        <v>0</v>
      </c>
      <c r="Q167" s="11">
        <v>0</v>
      </c>
      <c r="R167" s="12">
        <f>$G$167*$G$8+$H$167*$H$8+$I$167*$I$8+$J$167*$J$8+$K$167*$K$8+$L$167*$L$8+$M$167*$M$8+$N$167*$N$8+$O$167*$O$8+$P$167*$P$8+$Q$167*$Q$8</f>
        <v>6.6000000000000005</v>
      </c>
      <c r="S167" s="12">
        <v>0</v>
      </c>
      <c r="T167" s="12">
        <f>$R$167+$S$167</f>
        <v>6.6000000000000005</v>
      </c>
    </row>
    <row r="168" spans="1:20" x14ac:dyDescent="0.3">
      <c r="A168" s="13" t="s">
        <v>634</v>
      </c>
      <c r="B168" s="14" t="s">
        <v>635</v>
      </c>
      <c r="C168" s="14"/>
      <c r="D168" s="14" t="s">
        <v>636</v>
      </c>
      <c r="E168" s="14">
        <f xml:space="preserve"> IF($T$168,1,0)</f>
        <v>0</v>
      </c>
      <c r="F168" s="14" t="s">
        <v>637</v>
      </c>
      <c r="G168" s="14">
        <v>0</v>
      </c>
      <c r="H168" s="14">
        <v>0</v>
      </c>
      <c r="I168" s="14">
        <v>0</v>
      </c>
      <c r="J168" s="14">
        <v>0</v>
      </c>
      <c r="K168" s="14">
        <v>0</v>
      </c>
      <c r="L168" s="14">
        <v>0</v>
      </c>
      <c r="M168" s="14">
        <v>0</v>
      </c>
      <c r="N168" s="14">
        <v>0</v>
      </c>
      <c r="O168" s="14">
        <v>0</v>
      </c>
      <c r="P168" s="14">
        <v>0</v>
      </c>
      <c r="Q168" s="14">
        <v>0</v>
      </c>
      <c r="R168" s="15">
        <f>$G$168*$G$8+$H$168*$H$8+$I$168*$I$8+$J$168*$J$8+$K$168*$K$8+$L$168*$L$8+$M$168*$M$8+$N$168*$N$8+$O$168*$O$8+$P$168*$P$8+$Q$168*$Q$8</f>
        <v>0</v>
      </c>
      <c r="S168" s="15">
        <v>0</v>
      </c>
      <c r="T168" s="15">
        <f>$R$168+$S$168</f>
        <v>0</v>
      </c>
    </row>
    <row r="169" spans="1:20" x14ac:dyDescent="0.3">
      <c r="A169" s="10" t="s">
        <v>638</v>
      </c>
      <c r="B169" s="11" t="s">
        <v>639</v>
      </c>
      <c r="C169" s="11"/>
      <c r="D169" s="11" t="s">
        <v>274</v>
      </c>
      <c r="E169" s="11">
        <f xml:space="preserve"> IF($T$169,1,0)</f>
        <v>0</v>
      </c>
      <c r="F169" s="11" t="s">
        <v>640</v>
      </c>
      <c r="G169" s="11">
        <v>0</v>
      </c>
      <c r="H169" s="11">
        <v>0</v>
      </c>
      <c r="I169" s="11">
        <v>0</v>
      </c>
      <c r="J169" s="11">
        <v>0</v>
      </c>
      <c r="K169" s="11">
        <v>0</v>
      </c>
      <c r="L169" s="11">
        <v>0</v>
      </c>
      <c r="M169" s="11">
        <v>0</v>
      </c>
      <c r="N169" s="11">
        <v>0</v>
      </c>
      <c r="O169" s="11">
        <v>0</v>
      </c>
      <c r="P169" s="11">
        <v>0</v>
      </c>
      <c r="Q169" s="11">
        <v>0</v>
      </c>
      <c r="R169" s="12">
        <f>$G$169*$G$8+$H$169*$H$8+$I$169*$I$8+$J$169*$J$8+$K$169*$K$8+$L$169*$L$8+$M$169*$M$8+$N$169*$N$8+$O$169*$O$8+$P$169*$P$8+$Q$169*$Q$8</f>
        <v>0</v>
      </c>
      <c r="S169" s="12">
        <v>0</v>
      </c>
      <c r="T169" s="12">
        <f>$R$169+$S$169</f>
        <v>0</v>
      </c>
    </row>
    <row r="170" spans="1:20" x14ac:dyDescent="0.3">
      <c r="A170" s="13" t="s">
        <v>641</v>
      </c>
      <c r="B170" s="14" t="s">
        <v>642</v>
      </c>
      <c r="C170" s="14"/>
      <c r="D170" s="14" t="s">
        <v>643</v>
      </c>
      <c r="E170" s="14">
        <f xml:space="preserve"> IF($T$170,1,0)</f>
        <v>0</v>
      </c>
      <c r="F170" s="14" t="s">
        <v>644</v>
      </c>
      <c r="G170" s="14">
        <v>0</v>
      </c>
      <c r="H170" s="14">
        <v>0</v>
      </c>
      <c r="I170" s="14">
        <v>0</v>
      </c>
      <c r="J170" s="14">
        <v>0</v>
      </c>
      <c r="K170" s="14">
        <v>0</v>
      </c>
      <c r="L170" s="14">
        <v>0</v>
      </c>
      <c r="M170" s="14">
        <v>0</v>
      </c>
      <c r="N170" s="14">
        <v>0</v>
      </c>
      <c r="O170" s="14">
        <v>0</v>
      </c>
      <c r="P170" s="14">
        <v>0</v>
      </c>
      <c r="Q170" s="14">
        <v>0</v>
      </c>
      <c r="R170" s="15">
        <f>$G$170*$G$8+$H$170*$H$8+$I$170*$I$8+$J$170*$J$8+$K$170*$K$8+$L$170*$L$8+$M$170*$M$8+$N$170*$N$8+$O$170*$O$8+$P$170*$P$8+$Q$170*$Q$8</f>
        <v>0</v>
      </c>
      <c r="S170" s="15">
        <v>0</v>
      </c>
      <c r="T170" s="15">
        <f>$R$170+$S$170</f>
        <v>0</v>
      </c>
    </row>
    <row r="171" spans="1:20" x14ac:dyDescent="0.3">
      <c r="A171" s="10" t="s">
        <v>645</v>
      </c>
      <c r="B171" s="11" t="s">
        <v>646</v>
      </c>
      <c r="C171" s="11"/>
      <c r="D171" s="11" t="s">
        <v>647</v>
      </c>
      <c r="E171" s="11">
        <f xml:space="preserve"> IF($T$171,1,0)</f>
        <v>0</v>
      </c>
      <c r="F171" s="11" t="s">
        <v>648</v>
      </c>
      <c r="G171" s="11">
        <v>0</v>
      </c>
      <c r="H171" s="11">
        <v>0</v>
      </c>
      <c r="I171" s="11">
        <v>0</v>
      </c>
      <c r="J171" s="11">
        <v>0</v>
      </c>
      <c r="K171" s="11">
        <v>0</v>
      </c>
      <c r="L171" s="11">
        <v>0</v>
      </c>
      <c r="M171" s="11">
        <v>0</v>
      </c>
      <c r="N171" s="11">
        <v>0</v>
      </c>
      <c r="O171" s="11">
        <v>0</v>
      </c>
      <c r="P171" s="11">
        <v>0</v>
      </c>
      <c r="Q171" s="11">
        <v>0</v>
      </c>
      <c r="R171" s="12">
        <f>$G$171*$G$8+$H$171*$H$8+$I$171*$I$8+$J$171*$J$8+$K$171*$K$8+$L$171*$L$8+$M$171*$M$8+$N$171*$N$8+$O$171*$O$8+$P$171*$P$8+$Q$171*$Q$8</f>
        <v>0</v>
      </c>
      <c r="S171" s="12">
        <v>0</v>
      </c>
      <c r="T171" s="12">
        <f>$R$171+$S$171</f>
        <v>0</v>
      </c>
    </row>
    <row r="172" spans="1:20" x14ac:dyDescent="0.3">
      <c r="A172" s="13" t="s">
        <v>649</v>
      </c>
      <c r="B172" s="14" t="s">
        <v>650</v>
      </c>
      <c r="C172" s="14"/>
      <c r="D172" s="14" t="s">
        <v>651</v>
      </c>
      <c r="E172" s="14">
        <f xml:space="preserve"> IF($T$172,1,0)</f>
        <v>1</v>
      </c>
      <c r="F172" s="14" t="s">
        <v>652</v>
      </c>
      <c r="G172" s="14">
        <v>0</v>
      </c>
      <c r="H172" s="14">
        <v>1</v>
      </c>
      <c r="I172" s="14">
        <v>2</v>
      </c>
      <c r="J172" s="14">
        <v>0</v>
      </c>
      <c r="K172" s="14">
        <v>0</v>
      </c>
      <c r="L172" s="14">
        <v>0</v>
      </c>
      <c r="M172" s="14">
        <v>0</v>
      </c>
      <c r="N172" s="14">
        <v>0</v>
      </c>
      <c r="O172" s="14">
        <v>0</v>
      </c>
      <c r="P172" s="14">
        <v>0</v>
      </c>
      <c r="Q172" s="14">
        <v>0</v>
      </c>
      <c r="R172" s="15">
        <f>$G$172*$G$8+$H$172*$H$8+$I$172*$I$8+$J$172*$J$8+$K$172*$K$8+$L$172*$L$8+$M$172*$M$8+$N$172*$N$8+$O$172*$O$8+$P$172*$P$8+$Q$172*$Q$8</f>
        <v>4.2</v>
      </c>
      <c r="S172" s="15">
        <v>0</v>
      </c>
      <c r="T172" s="15">
        <f>$R$172+$S$172</f>
        <v>4.2</v>
      </c>
    </row>
    <row r="173" spans="1:20" x14ac:dyDescent="0.3">
      <c r="A173" s="10" t="s">
        <v>653</v>
      </c>
      <c r="B173" s="11" t="s">
        <v>654</v>
      </c>
      <c r="C173" s="11"/>
      <c r="D173" s="11" t="s">
        <v>655</v>
      </c>
      <c r="E173" s="11">
        <f xml:space="preserve"> IF($T$173,1,0)</f>
        <v>1</v>
      </c>
      <c r="F173" s="11" t="s">
        <v>656</v>
      </c>
      <c r="G173" s="11">
        <v>2</v>
      </c>
      <c r="H173" s="11">
        <v>2</v>
      </c>
      <c r="I173" s="11">
        <v>0</v>
      </c>
      <c r="J173" s="11">
        <v>0</v>
      </c>
      <c r="K173" s="11">
        <v>0</v>
      </c>
      <c r="L173" s="11">
        <v>0</v>
      </c>
      <c r="M173" s="11">
        <v>0</v>
      </c>
      <c r="N173" s="11">
        <v>0</v>
      </c>
      <c r="O173" s="11">
        <v>0</v>
      </c>
      <c r="P173" s="11">
        <v>0</v>
      </c>
      <c r="Q173" s="11">
        <v>0</v>
      </c>
      <c r="R173" s="12">
        <f>$G$173*$G$8+$H$173*$H$8+$I$173*$I$8+$J$173*$J$8+$K$173*$K$8+$L$173*$L$8+$M$173*$M$8+$N$173*$N$8+$O$173*$O$8+$P$173*$P$8+$Q$173*$Q$8</f>
        <v>6.6000000000000005</v>
      </c>
      <c r="S173" s="12">
        <v>0</v>
      </c>
      <c r="T173" s="12">
        <f>$R$173+$S$173</f>
        <v>6.6000000000000005</v>
      </c>
    </row>
    <row r="174" spans="1:20" x14ac:dyDescent="0.3">
      <c r="A174" s="13" t="s">
        <v>657</v>
      </c>
      <c r="B174" s="14" t="s">
        <v>658</v>
      </c>
      <c r="C174" s="14"/>
      <c r="D174" s="14" t="s">
        <v>659</v>
      </c>
      <c r="E174" s="14">
        <f xml:space="preserve"> IF($T$174,1,0)</f>
        <v>0</v>
      </c>
      <c r="F174" s="14" t="s">
        <v>660</v>
      </c>
      <c r="G174" s="14">
        <v>0</v>
      </c>
      <c r="H174" s="14">
        <v>0</v>
      </c>
      <c r="I174" s="14">
        <v>0</v>
      </c>
      <c r="J174" s="14">
        <v>0</v>
      </c>
      <c r="K174" s="14">
        <v>0</v>
      </c>
      <c r="L174" s="14">
        <v>0</v>
      </c>
      <c r="M174" s="14">
        <v>0</v>
      </c>
      <c r="N174" s="14">
        <v>0</v>
      </c>
      <c r="O174" s="14">
        <v>0</v>
      </c>
      <c r="P174" s="14">
        <v>0</v>
      </c>
      <c r="Q174" s="14">
        <v>0</v>
      </c>
      <c r="R174" s="15">
        <f>$G$174*$G$8+$H$174*$H$8+$I$174*$I$8+$J$174*$J$8+$K$174*$K$8+$L$174*$L$8+$M$174*$M$8+$N$174*$N$8+$O$174*$O$8+$P$174*$P$8+$Q$174*$Q$8</f>
        <v>0</v>
      </c>
      <c r="S174" s="15">
        <v>0</v>
      </c>
      <c r="T174" s="15">
        <f>$R$174+$S$174</f>
        <v>0</v>
      </c>
    </row>
    <row r="175" spans="1:20" x14ac:dyDescent="0.3">
      <c r="A175" s="10" t="s">
        <v>661</v>
      </c>
      <c r="B175" s="11" t="s">
        <v>658</v>
      </c>
      <c r="C175" s="11" t="s">
        <v>202</v>
      </c>
      <c r="D175" s="11" t="s">
        <v>662</v>
      </c>
      <c r="E175" s="11">
        <f xml:space="preserve"> IF($T$175,1,0)</f>
        <v>0</v>
      </c>
      <c r="F175" s="11" t="s">
        <v>663</v>
      </c>
      <c r="G175" s="11">
        <v>0</v>
      </c>
      <c r="H175" s="11">
        <v>0</v>
      </c>
      <c r="I175" s="11">
        <v>0</v>
      </c>
      <c r="J175" s="11">
        <v>0</v>
      </c>
      <c r="K175" s="11">
        <v>0</v>
      </c>
      <c r="L175" s="11">
        <v>0</v>
      </c>
      <c r="M175" s="11">
        <v>0</v>
      </c>
      <c r="N175" s="11">
        <v>0</v>
      </c>
      <c r="O175" s="11">
        <v>0</v>
      </c>
      <c r="P175" s="11">
        <v>0</v>
      </c>
      <c r="Q175" s="11">
        <v>0</v>
      </c>
      <c r="R175" s="12">
        <f>$G$175*$G$8+$H$175*$H$8+$I$175*$I$8+$J$175*$J$8+$K$175*$K$8+$L$175*$L$8+$M$175*$M$8+$N$175*$N$8+$O$175*$O$8+$P$175*$P$8+$Q$175*$Q$8</f>
        <v>0</v>
      </c>
      <c r="S175" s="12">
        <v>0</v>
      </c>
      <c r="T175" s="12">
        <f>$R$175+$S$175</f>
        <v>0</v>
      </c>
    </row>
    <row r="176" spans="1:20" x14ac:dyDescent="0.3">
      <c r="A176" s="13" t="s">
        <v>664</v>
      </c>
      <c r="B176" s="14" t="s">
        <v>665</v>
      </c>
      <c r="C176" s="14"/>
      <c r="D176" s="14" t="s">
        <v>666</v>
      </c>
      <c r="E176" s="14">
        <f xml:space="preserve"> IF($T$176,1,0)</f>
        <v>0</v>
      </c>
      <c r="F176" s="14" t="s">
        <v>667</v>
      </c>
      <c r="G176" s="14">
        <v>0</v>
      </c>
      <c r="H176" s="14">
        <v>0</v>
      </c>
      <c r="I176" s="14">
        <v>0</v>
      </c>
      <c r="J176" s="14">
        <v>0</v>
      </c>
      <c r="K176" s="14">
        <v>0</v>
      </c>
      <c r="L176" s="14">
        <v>0</v>
      </c>
      <c r="M176" s="14">
        <v>0</v>
      </c>
      <c r="N176" s="14">
        <v>0</v>
      </c>
      <c r="O176" s="14">
        <v>0</v>
      </c>
      <c r="P176" s="14">
        <v>0</v>
      </c>
      <c r="Q176" s="14">
        <v>0</v>
      </c>
      <c r="R176" s="15">
        <f>$G$176*$G$8+$H$176*$H$8+$I$176*$I$8+$J$176*$J$8+$K$176*$K$8+$L$176*$L$8+$M$176*$M$8+$N$176*$N$8+$O$176*$O$8+$P$176*$P$8+$Q$176*$Q$8</f>
        <v>0</v>
      </c>
      <c r="S176" s="15">
        <v>0</v>
      </c>
      <c r="T176" s="15">
        <f>$R$176+$S$176</f>
        <v>0</v>
      </c>
    </row>
    <row r="177" spans="1:20" x14ac:dyDescent="0.3">
      <c r="A177" s="10" t="s">
        <v>668</v>
      </c>
      <c r="B177" s="11" t="s">
        <v>669</v>
      </c>
      <c r="C177" s="11"/>
      <c r="D177" s="11" t="s">
        <v>670</v>
      </c>
      <c r="E177" s="11">
        <f xml:space="preserve"> IF($T$177,1,0)</f>
        <v>1</v>
      </c>
      <c r="F177" s="11" t="s">
        <v>671</v>
      </c>
      <c r="G177" s="11">
        <v>1</v>
      </c>
      <c r="H177" s="11">
        <v>0</v>
      </c>
      <c r="I177" s="11">
        <v>1</v>
      </c>
      <c r="J177" s="11">
        <v>0</v>
      </c>
      <c r="K177" s="11">
        <v>0</v>
      </c>
      <c r="L177" s="11">
        <v>1</v>
      </c>
      <c r="M177" s="11">
        <v>1</v>
      </c>
      <c r="N177" s="11">
        <v>0</v>
      </c>
      <c r="O177" s="11">
        <v>0</v>
      </c>
      <c r="P177" s="11">
        <v>0</v>
      </c>
      <c r="Q177" s="11">
        <v>0</v>
      </c>
      <c r="R177" s="12">
        <f>$G$177*$G$8+$H$177*$H$8+$I$177*$I$8+$J$177*$J$8+$K$177*$K$8+$L$177*$L$8+$M$177*$M$8+$N$177*$N$8+$O$177*$O$8+$P$177*$P$8+$Q$177*$Q$8</f>
        <v>7.1</v>
      </c>
      <c r="S177" s="12">
        <v>0</v>
      </c>
      <c r="T177" s="12">
        <f>$R$177+$S$177</f>
        <v>7.1</v>
      </c>
    </row>
    <row r="178" spans="1:20" x14ac:dyDescent="0.3">
      <c r="A178" s="13" t="s">
        <v>672</v>
      </c>
      <c r="B178" s="14" t="s">
        <v>673</v>
      </c>
      <c r="C178" s="14"/>
      <c r="D178" s="14" t="s">
        <v>674</v>
      </c>
      <c r="E178" s="14">
        <f xml:space="preserve"> IF($T$178,1,0)</f>
        <v>0</v>
      </c>
      <c r="F178" s="14" t="s">
        <v>675</v>
      </c>
      <c r="G178" s="14">
        <v>0</v>
      </c>
      <c r="H178" s="14">
        <v>0</v>
      </c>
      <c r="I178" s="14">
        <v>0</v>
      </c>
      <c r="J178" s="14">
        <v>0</v>
      </c>
      <c r="K178" s="14">
        <v>0</v>
      </c>
      <c r="L178" s="14">
        <v>0</v>
      </c>
      <c r="M178" s="14">
        <v>0</v>
      </c>
      <c r="N178" s="14">
        <v>0</v>
      </c>
      <c r="O178" s="14">
        <v>0</v>
      </c>
      <c r="P178" s="14">
        <v>0</v>
      </c>
      <c r="Q178" s="14">
        <v>0</v>
      </c>
      <c r="R178" s="15">
        <f>$G$178*$G$8+$H$178*$H$8+$I$178*$I$8+$J$178*$J$8+$K$178*$K$8+$L$178*$L$8+$M$178*$M$8+$N$178*$N$8+$O$178*$O$8+$P$178*$P$8+$Q$178*$Q$8</f>
        <v>0</v>
      </c>
      <c r="S178" s="15">
        <v>0</v>
      </c>
      <c r="T178" s="15">
        <f>$R$178+$S$178</f>
        <v>0</v>
      </c>
    </row>
    <row r="179" spans="1:20" x14ac:dyDescent="0.3">
      <c r="A179" s="10" t="s">
        <v>676</v>
      </c>
      <c r="B179" s="11" t="s">
        <v>677</v>
      </c>
      <c r="C179" s="11"/>
      <c r="D179" s="11" t="s">
        <v>678</v>
      </c>
      <c r="E179" s="11">
        <f xml:space="preserve"> IF($T$179,1,0)</f>
        <v>0</v>
      </c>
      <c r="F179" s="11" t="s">
        <v>679</v>
      </c>
      <c r="G179" s="11">
        <v>0</v>
      </c>
      <c r="H179" s="11">
        <v>0</v>
      </c>
      <c r="I179" s="11">
        <v>0</v>
      </c>
      <c r="J179" s="11">
        <v>0</v>
      </c>
      <c r="K179" s="11">
        <v>0</v>
      </c>
      <c r="L179" s="11">
        <v>0</v>
      </c>
      <c r="M179" s="11">
        <v>0</v>
      </c>
      <c r="N179" s="11">
        <v>0</v>
      </c>
      <c r="O179" s="11">
        <v>0</v>
      </c>
      <c r="P179" s="11">
        <v>0</v>
      </c>
      <c r="Q179" s="11">
        <v>0</v>
      </c>
      <c r="R179" s="12">
        <f>$G$179*$G$8+$H$179*$H$8+$I$179*$I$8+$J$179*$J$8+$K$179*$K$8+$L$179*$L$8+$M$179*$M$8+$N$179*$N$8+$O$179*$O$8+$P$179*$P$8+$Q$179*$Q$8</f>
        <v>0</v>
      </c>
      <c r="S179" s="12">
        <v>0</v>
      </c>
      <c r="T179" s="12">
        <f>$R$179+$S$179</f>
        <v>0</v>
      </c>
    </row>
    <row r="180" spans="1:20" x14ac:dyDescent="0.3">
      <c r="A180" s="13" t="s">
        <v>680</v>
      </c>
      <c r="B180" s="14" t="s">
        <v>681</v>
      </c>
      <c r="C180" s="14"/>
      <c r="D180" s="14" t="s">
        <v>682</v>
      </c>
      <c r="E180" s="14">
        <f xml:space="preserve"> IF($T$180,1,0)</f>
        <v>0</v>
      </c>
      <c r="F180" s="14" t="s">
        <v>683</v>
      </c>
      <c r="G180" s="14">
        <v>0</v>
      </c>
      <c r="H180" s="14">
        <v>0</v>
      </c>
      <c r="I180" s="14">
        <v>0</v>
      </c>
      <c r="J180" s="14">
        <v>0</v>
      </c>
      <c r="K180" s="14">
        <v>0</v>
      </c>
      <c r="L180" s="14">
        <v>0</v>
      </c>
      <c r="M180" s="14">
        <v>0</v>
      </c>
      <c r="N180" s="14">
        <v>0</v>
      </c>
      <c r="O180" s="14">
        <v>0</v>
      </c>
      <c r="P180" s="14">
        <v>0</v>
      </c>
      <c r="Q180" s="14">
        <v>0</v>
      </c>
      <c r="R180" s="15">
        <f>$G$180*$G$8+$H$180*$H$8+$I$180*$I$8+$J$180*$J$8+$K$180*$K$8+$L$180*$L$8+$M$180*$M$8+$N$180*$N$8+$O$180*$O$8+$P$180*$P$8+$Q$180*$Q$8</f>
        <v>0</v>
      </c>
      <c r="S180" s="15">
        <v>0</v>
      </c>
      <c r="T180" s="15">
        <f>$R$180+$S$180</f>
        <v>0</v>
      </c>
    </row>
    <row r="181" spans="1:20" x14ac:dyDescent="0.3">
      <c r="A181" s="10" t="s">
        <v>684</v>
      </c>
      <c r="B181" s="11" t="s">
        <v>685</v>
      </c>
      <c r="C181" s="11"/>
      <c r="D181" s="11" t="s">
        <v>686</v>
      </c>
      <c r="E181" s="11">
        <f xml:space="preserve"> IF($T$181,1,0)</f>
        <v>0</v>
      </c>
      <c r="F181" s="11" t="s">
        <v>687</v>
      </c>
      <c r="G181" s="11">
        <v>0</v>
      </c>
      <c r="H181" s="11">
        <v>0</v>
      </c>
      <c r="I181" s="11">
        <v>0</v>
      </c>
      <c r="J181" s="11">
        <v>0</v>
      </c>
      <c r="K181" s="11">
        <v>0</v>
      </c>
      <c r="L181" s="11">
        <v>0</v>
      </c>
      <c r="M181" s="11">
        <v>0</v>
      </c>
      <c r="N181" s="11">
        <v>0</v>
      </c>
      <c r="O181" s="11">
        <v>0</v>
      </c>
      <c r="P181" s="11">
        <v>0</v>
      </c>
      <c r="Q181" s="11">
        <v>0</v>
      </c>
      <c r="R181" s="12">
        <f>$G$181*$G$8+$H$181*$H$8+$I$181*$I$8+$J$181*$J$8+$K$181*$K$8+$L$181*$L$8+$M$181*$M$8+$N$181*$N$8+$O$181*$O$8+$P$181*$P$8+$Q$181*$Q$8</f>
        <v>0</v>
      </c>
      <c r="S181" s="12">
        <v>0</v>
      </c>
      <c r="T181" s="12">
        <f>$R$181+$S$181</f>
        <v>0</v>
      </c>
    </row>
    <row r="182" spans="1:20" x14ac:dyDescent="0.3">
      <c r="A182" s="13" t="s">
        <v>688</v>
      </c>
      <c r="B182" s="14" t="s">
        <v>689</v>
      </c>
      <c r="C182" s="14"/>
      <c r="D182" s="14" t="s">
        <v>690</v>
      </c>
      <c r="E182" s="14">
        <f xml:space="preserve"> IF($T$182,1,0)</f>
        <v>0</v>
      </c>
      <c r="F182" s="14" t="s">
        <v>691</v>
      </c>
      <c r="G182" s="14">
        <v>0</v>
      </c>
      <c r="H182" s="14">
        <v>0</v>
      </c>
      <c r="I182" s="14">
        <v>0</v>
      </c>
      <c r="J182" s="14">
        <v>0</v>
      </c>
      <c r="K182" s="14">
        <v>0</v>
      </c>
      <c r="L182" s="14">
        <v>0</v>
      </c>
      <c r="M182" s="14">
        <v>0</v>
      </c>
      <c r="N182" s="14">
        <v>0</v>
      </c>
      <c r="O182" s="14">
        <v>0</v>
      </c>
      <c r="P182" s="14">
        <v>0</v>
      </c>
      <c r="Q182" s="14">
        <v>0</v>
      </c>
      <c r="R182" s="15">
        <f>$G$182*$G$8+$H$182*$H$8+$I$182*$I$8+$J$182*$J$8+$K$182*$K$8+$L$182*$L$8+$M$182*$M$8+$N$182*$N$8+$O$182*$O$8+$P$182*$P$8+$Q$182*$Q$8</f>
        <v>0</v>
      </c>
      <c r="S182" s="15">
        <v>0</v>
      </c>
      <c r="T182" s="15">
        <f>$R$182+$S$182</f>
        <v>0</v>
      </c>
    </row>
    <row r="183" spans="1:20" x14ac:dyDescent="0.3">
      <c r="A183" s="10" t="s">
        <v>692</v>
      </c>
      <c r="B183" s="11" t="s">
        <v>693</v>
      </c>
      <c r="C183" s="11" t="s">
        <v>65</v>
      </c>
      <c r="D183" s="11" t="s">
        <v>694</v>
      </c>
      <c r="E183" s="11">
        <f xml:space="preserve"> IF($T$183,1,0)</f>
        <v>1</v>
      </c>
      <c r="F183" s="11" t="s">
        <v>695</v>
      </c>
      <c r="G183" s="11">
        <v>2</v>
      </c>
      <c r="H183" s="11">
        <v>0</v>
      </c>
      <c r="I183" s="11">
        <v>1</v>
      </c>
      <c r="J183" s="11">
        <v>0</v>
      </c>
      <c r="K183" s="11">
        <v>0</v>
      </c>
      <c r="L183" s="11">
        <v>0</v>
      </c>
      <c r="M183" s="11">
        <v>0</v>
      </c>
      <c r="N183" s="11">
        <v>0</v>
      </c>
      <c r="O183" s="11">
        <v>0</v>
      </c>
      <c r="P183" s="11">
        <v>0</v>
      </c>
      <c r="Q183" s="11">
        <v>0</v>
      </c>
      <c r="R183" s="12">
        <f>$G$183*$G$8+$H$183*$H$8+$I$183*$I$8+$J$183*$J$8+$K$183*$K$8+$L$183*$L$8+$M$183*$M$8+$N$183*$N$8+$O$183*$O$8+$P$183*$P$8+$Q$183*$Q$8</f>
        <v>3.2</v>
      </c>
      <c r="S183" s="12">
        <v>0</v>
      </c>
      <c r="T183" s="12">
        <f>$R$183+$S$183</f>
        <v>3.2</v>
      </c>
    </row>
    <row r="184" spans="1:20" x14ac:dyDescent="0.3">
      <c r="A184" s="13" t="s">
        <v>696</v>
      </c>
      <c r="B184" s="14" t="s">
        <v>697</v>
      </c>
      <c r="C184" s="14"/>
      <c r="D184" s="14" t="s">
        <v>698</v>
      </c>
      <c r="E184" s="14">
        <f xml:space="preserve"> IF($T$184,1,0)</f>
        <v>1</v>
      </c>
      <c r="F184" s="14" t="s">
        <v>699</v>
      </c>
      <c r="G184" s="14">
        <v>1</v>
      </c>
      <c r="H184" s="14">
        <v>2</v>
      </c>
      <c r="I184" s="14">
        <v>0</v>
      </c>
      <c r="J184" s="14">
        <v>1</v>
      </c>
      <c r="K184" s="14">
        <v>0</v>
      </c>
      <c r="L184" s="14">
        <v>0</v>
      </c>
      <c r="M184" s="14">
        <v>0</v>
      </c>
      <c r="N184" s="14">
        <v>0</v>
      </c>
      <c r="O184" s="14">
        <v>0</v>
      </c>
      <c r="P184" s="14">
        <v>0</v>
      </c>
      <c r="Q184" s="14">
        <v>2</v>
      </c>
      <c r="R184" s="15">
        <f>$G$184*$G$8+$H$184*$H$8+$I$184*$I$8+$J$184*$J$8+$K$184*$K$8+$L$184*$L$8+$M$184*$M$8+$N$184*$N$8+$O$184*$O$8+$P$184*$P$8+$Q$184*$Q$8</f>
        <v>9.5</v>
      </c>
      <c r="S184" s="15">
        <v>0</v>
      </c>
      <c r="T184" s="15">
        <f>$R$184+$S$184</f>
        <v>9.5</v>
      </c>
    </row>
    <row r="185" spans="1:20" x14ac:dyDescent="0.3">
      <c r="A185" s="10" t="s">
        <v>700</v>
      </c>
      <c r="B185" s="11" t="s">
        <v>697</v>
      </c>
      <c r="C185" s="11"/>
      <c r="D185" s="11" t="s">
        <v>701</v>
      </c>
      <c r="E185" s="11">
        <f xml:space="preserve"> IF($T$185,1,0)</f>
        <v>0</v>
      </c>
      <c r="F185" s="11" t="s">
        <v>702</v>
      </c>
      <c r="G185" s="11">
        <v>0</v>
      </c>
      <c r="H185" s="11">
        <v>0</v>
      </c>
      <c r="I185" s="11">
        <v>0</v>
      </c>
      <c r="J185" s="11">
        <v>0</v>
      </c>
      <c r="K185" s="11">
        <v>0</v>
      </c>
      <c r="L185" s="11">
        <v>0</v>
      </c>
      <c r="M185" s="11">
        <v>0</v>
      </c>
      <c r="N185" s="11">
        <v>0</v>
      </c>
      <c r="O185" s="11">
        <v>0</v>
      </c>
      <c r="P185" s="11">
        <v>0</v>
      </c>
      <c r="Q185" s="11">
        <v>0</v>
      </c>
      <c r="R185" s="12">
        <f>$G$185*$G$8+$H$185*$H$8+$I$185*$I$8+$J$185*$J$8+$K$185*$K$8+$L$185*$L$8+$M$185*$M$8+$N$185*$N$8+$O$185*$O$8+$P$185*$P$8+$Q$185*$Q$8</f>
        <v>0</v>
      </c>
      <c r="S185" s="12">
        <v>0</v>
      </c>
      <c r="T185" s="12">
        <f>$R$185+$S$185</f>
        <v>0</v>
      </c>
    </row>
    <row r="186" spans="1:20" x14ac:dyDescent="0.3">
      <c r="A186" s="13" t="s">
        <v>703</v>
      </c>
      <c r="B186" s="14" t="s">
        <v>704</v>
      </c>
      <c r="C186" s="14"/>
      <c r="D186" s="14" t="s">
        <v>705</v>
      </c>
      <c r="E186" s="14">
        <f xml:space="preserve"> IF($T$186,1,0)</f>
        <v>0</v>
      </c>
      <c r="F186" s="14" t="s">
        <v>706</v>
      </c>
      <c r="G186" s="14">
        <v>0</v>
      </c>
      <c r="H186" s="14">
        <v>0</v>
      </c>
      <c r="I186" s="14">
        <v>0</v>
      </c>
      <c r="J186" s="14">
        <v>0</v>
      </c>
      <c r="K186" s="14">
        <v>0</v>
      </c>
      <c r="L186" s="14">
        <v>0</v>
      </c>
      <c r="M186" s="14">
        <v>0</v>
      </c>
      <c r="N186" s="14">
        <v>0</v>
      </c>
      <c r="O186" s="14">
        <v>0</v>
      </c>
      <c r="P186" s="14">
        <v>0</v>
      </c>
      <c r="Q186" s="14">
        <v>0</v>
      </c>
      <c r="R186" s="15">
        <f>$G$186*$G$8+$H$186*$H$8+$I$186*$I$8+$J$186*$J$8+$K$186*$K$8+$L$186*$L$8+$M$186*$M$8+$N$186*$N$8+$O$186*$O$8+$P$186*$P$8+$Q$186*$Q$8</f>
        <v>0</v>
      </c>
      <c r="S186" s="15">
        <v>0</v>
      </c>
      <c r="T186" s="15">
        <f>$R$186+$S$186</f>
        <v>0</v>
      </c>
    </row>
    <row r="187" spans="1:20" x14ac:dyDescent="0.3">
      <c r="A187" s="10" t="s">
        <v>707</v>
      </c>
      <c r="B187" s="11" t="s">
        <v>708</v>
      </c>
      <c r="C187" s="11"/>
      <c r="D187" s="11" t="s">
        <v>222</v>
      </c>
      <c r="E187" s="11">
        <f xml:space="preserve"> IF($T$187,1,0)</f>
        <v>0</v>
      </c>
      <c r="F187" s="11" t="s">
        <v>709</v>
      </c>
      <c r="G187" s="11">
        <v>0</v>
      </c>
      <c r="H187" s="11">
        <v>0</v>
      </c>
      <c r="I187" s="11">
        <v>0</v>
      </c>
      <c r="J187" s="11">
        <v>0</v>
      </c>
      <c r="K187" s="11">
        <v>0</v>
      </c>
      <c r="L187" s="11">
        <v>0</v>
      </c>
      <c r="M187" s="11">
        <v>0</v>
      </c>
      <c r="N187" s="11">
        <v>0</v>
      </c>
      <c r="O187" s="11">
        <v>0</v>
      </c>
      <c r="P187" s="11">
        <v>0</v>
      </c>
      <c r="Q187" s="11">
        <v>0</v>
      </c>
      <c r="R187" s="12">
        <f>$G$187*$G$8+$H$187*$H$8+$I$187*$I$8+$J$187*$J$8+$K$187*$K$8+$L$187*$L$8+$M$187*$M$8+$N$187*$N$8+$O$187*$O$8+$P$187*$P$8+$Q$187*$Q$8</f>
        <v>0</v>
      </c>
      <c r="S187" s="12">
        <v>0</v>
      </c>
      <c r="T187" s="12">
        <f>$R$187+$S$187</f>
        <v>0</v>
      </c>
    </row>
    <row r="188" spans="1:20" x14ac:dyDescent="0.3">
      <c r="A188" s="13" t="s">
        <v>710</v>
      </c>
      <c r="B188" s="14" t="s">
        <v>708</v>
      </c>
      <c r="C188" s="14"/>
      <c r="D188" s="14" t="s">
        <v>711</v>
      </c>
      <c r="E188" s="14">
        <f xml:space="preserve"> IF($T$188,1,0)</f>
        <v>0</v>
      </c>
      <c r="F188" s="14" t="s">
        <v>712</v>
      </c>
      <c r="G188" s="14">
        <v>0</v>
      </c>
      <c r="H188" s="14">
        <v>0</v>
      </c>
      <c r="I188" s="14">
        <v>0</v>
      </c>
      <c r="J188" s="14">
        <v>0</v>
      </c>
      <c r="K188" s="14">
        <v>0</v>
      </c>
      <c r="L188" s="14">
        <v>0</v>
      </c>
      <c r="M188" s="14">
        <v>0</v>
      </c>
      <c r="N188" s="14">
        <v>0</v>
      </c>
      <c r="O188" s="14">
        <v>0</v>
      </c>
      <c r="P188" s="14">
        <v>0</v>
      </c>
      <c r="Q188" s="14">
        <v>0</v>
      </c>
      <c r="R188" s="15">
        <f>$G$188*$G$8+$H$188*$H$8+$I$188*$I$8+$J$188*$J$8+$K$188*$K$8+$L$188*$L$8+$M$188*$M$8+$N$188*$N$8+$O$188*$O$8+$P$188*$P$8+$Q$188*$Q$8</f>
        <v>0</v>
      </c>
      <c r="S188" s="15">
        <v>0</v>
      </c>
      <c r="T188" s="15">
        <f>$R$188+$S$188</f>
        <v>0</v>
      </c>
    </row>
    <row r="189" spans="1:20" x14ac:dyDescent="0.3">
      <c r="A189" s="10" t="s">
        <v>713</v>
      </c>
      <c r="B189" s="11" t="s">
        <v>708</v>
      </c>
      <c r="C189" s="11"/>
      <c r="D189" s="11" t="s">
        <v>714</v>
      </c>
      <c r="E189" s="11">
        <f xml:space="preserve"> IF($T$189,1,0)</f>
        <v>1</v>
      </c>
      <c r="F189" s="11" t="s">
        <v>715</v>
      </c>
      <c r="G189" s="11">
        <v>4</v>
      </c>
      <c r="H189" s="11">
        <v>1</v>
      </c>
      <c r="I189" s="11">
        <v>0</v>
      </c>
      <c r="J189" s="11">
        <v>0</v>
      </c>
      <c r="K189" s="11">
        <v>0</v>
      </c>
      <c r="L189" s="11">
        <v>0</v>
      </c>
      <c r="M189" s="11">
        <v>0</v>
      </c>
      <c r="N189" s="11">
        <v>0</v>
      </c>
      <c r="O189" s="11">
        <v>0</v>
      </c>
      <c r="P189" s="11">
        <v>0</v>
      </c>
      <c r="Q189" s="11">
        <v>0</v>
      </c>
      <c r="R189" s="12">
        <f>$G$189*$G$8+$H$189*$H$8+$I$189*$I$8+$J$189*$J$8+$K$189*$K$8+$L$189*$L$8+$M$189*$M$8+$N$189*$N$8+$O$189*$O$8+$P$189*$P$8+$Q$189*$Q$8</f>
        <v>6.6000000000000005</v>
      </c>
      <c r="S189" s="12">
        <v>0</v>
      </c>
      <c r="T189" s="12">
        <f>$R$189+$S$189</f>
        <v>6.6000000000000005</v>
      </c>
    </row>
    <row r="190" spans="1:20" x14ac:dyDescent="0.3">
      <c r="A190" s="13" t="s">
        <v>716</v>
      </c>
      <c r="B190" s="14" t="s">
        <v>717</v>
      </c>
      <c r="C190" s="14"/>
      <c r="D190" s="14" t="s">
        <v>718</v>
      </c>
      <c r="E190" s="14">
        <f xml:space="preserve"> IF($T$190,1,0)</f>
        <v>0</v>
      </c>
      <c r="F190" s="14" t="s">
        <v>719</v>
      </c>
      <c r="G190" s="14">
        <v>0</v>
      </c>
      <c r="H190" s="14">
        <v>0</v>
      </c>
      <c r="I190" s="14">
        <v>0</v>
      </c>
      <c r="J190" s="14">
        <v>0</v>
      </c>
      <c r="K190" s="14">
        <v>0</v>
      </c>
      <c r="L190" s="14">
        <v>0</v>
      </c>
      <c r="M190" s="14">
        <v>0</v>
      </c>
      <c r="N190" s="14">
        <v>0</v>
      </c>
      <c r="O190" s="14">
        <v>0</v>
      </c>
      <c r="P190" s="14">
        <v>0</v>
      </c>
      <c r="Q190" s="14">
        <v>0</v>
      </c>
      <c r="R190" s="15">
        <f>$G$190*$G$8+$H$190*$H$8+$I$190*$I$8+$J$190*$J$8+$K$190*$K$8+$L$190*$L$8+$M$190*$M$8+$N$190*$N$8+$O$190*$O$8+$P$190*$P$8+$Q$190*$Q$8</f>
        <v>0</v>
      </c>
      <c r="S190" s="15">
        <v>0</v>
      </c>
      <c r="T190" s="15">
        <f>$R$190+$S$190</f>
        <v>0</v>
      </c>
    </row>
    <row r="191" spans="1:20" x14ac:dyDescent="0.3">
      <c r="A191" s="10" t="s">
        <v>720</v>
      </c>
      <c r="B191" s="11" t="s">
        <v>721</v>
      </c>
      <c r="C191" s="11"/>
      <c r="D191" s="11" t="s">
        <v>722</v>
      </c>
      <c r="E191" s="11">
        <f xml:space="preserve"> IF($T$191,1,0)</f>
        <v>0</v>
      </c>
      <c r="F191" s="11" t="s">
        <v>723</v>
      </c>
      <c r="G191" s="11">
        <v>0</v>
      </c>
      <c r="H191" s="11">
        <v>0</v>
      </c>
      <c r="I191" s="11">
        <v>0</v>
      </c>
      <c r="J191" s="11">
        <v>0</v>
      </c>
      <c r="K191" s="11">
        <v>0</v>
      </c>
      <c r="L191" s="11">
        <v>0</v>
      </c>
      <c r="M191" s="11">
        <v>0</v>
      </c>
      <c r="N191" s="11">
        <v>0</v>
      </c>
      <c r="O191" s="11">
        <v>0</v>
      </c>
      <c r="P191" s="11">
        <v>0</v>
      </c>
      <c r="Q191" s="11">
        <v>0</v>
      </c>
      <c r="R191" s="12">
        <f>$G$191*$G$8+$H$191*$H$8+$I$191*$I$8+$J$191*$J$8+$K$191*$K$8+$L$191*$L$8+$M$191*$M$8+$N$191*$N$8+$O$191*$O$8+$P$191*$P$8+$Q$191*$Q$8</f>
        <v>0</v>
      </c>
      <c r="S191" s="12">
        <v>0</v>
      </c>
      <c r="T191" s="12">
        <f>$R$191+$S$191</f>
        <v>0</v>
      </c>
    </row>
    <row r="192" spans="1:20" x14ac:dyDescent="0.3">
      <c r="A192" s="13" t="s">
        <v>724</v>
      </c>
      <c r="B192" s="14" t="s">
        <v>721</v>
      </c>
      <c r="C192" s="14"/>
      <c r="D192" s="14" t="s">
        <v>725</v>
      </c>
      <c r="E192" s="14">
        <f xml:space="preserve"> IF($T$192,1,0)</f>
        <v>1</v>
      </c>
      <c r="F192" s="14" t="s">
        <v>726</v>
      </c>
      <c r="G192" s="14">
        <v>7</v>
      </c>
      <c r="H192" s="14">
        <v>1</v>
      </c>
      <c r="I192" s="14">
        <v>0</v>
      </c>
      <c r="J192" s="14">
        <v>0</v>
      </c>
      <c r="K192" s="14">
        <v>0</v>
      </c>
      <c r="L192" s="14">
        <v>0</v>
      </c>
      <c r="M192" s="14">
        <v>0</v>
      </c>
      <c r="N192" s="14">
        <v>0</v>
      </c>
      <c r="O192" s="14">
        <v>0</v>
      </c>
      <c r="P192" s="14">
        <v>0</v>
      </c>
      <c r="Q192" s="14">
        <v>0</v>
      </c>
      <c r="R192" s="15">
        <f>$G$192*$G$8+$H$192*$H$8+$I$192*$I$8+$J$192*$J$8+$K$192*$K$8+$L$192*$L$8+$M$192*$M$8+$N$192*$N$8+$O$192*$O$8+$P$192*$P$8+$Q$192*$Q$8</f>
        <v>9.9000000000000021</v>
      </c>
      <c r="S192" s="15">
        <v>0</v>
      </c>
      <c r="T192" s="15">
        <f>$R$192+$S$192</f>
        <v>9.9000000000000021</v>
      </c>
    </row>
    <row r="193" spans="1:20" x14ac:dyDescent="0.3">
      <c r="A193" s="10" t="s">
        <v>727</v>
      </c>
      <c r="B193" s="11" t="s">
        <v>728</v>
      </c>
      <c r="C193" s="11"/>
      <c r="D193" s="11" t="s">
        <v>729</v>
      </c>
      <c r="E193" s="11">
        <f xml:space="preserve"> IF($T$193,1,0)</f>
        <v>0</v>
      </c>
      <c r="F193" s="11" t="s">
        <v>730</v>
      </c>
      <c r="G193" s="11">
        <v>0</v>
      </c>
      <c r="H193" s="11">
        <v>0</v>
      </c>
      <c r="I193" s="11">
        <v>0</v>
      </c>
      <c r="J193" s="11">
        <v>0</v>
      </c>
      <c r="K193" s="11">
        <v>0</v>
      </c>
      <c r="L193" s="11">
        <v>0</v>
      </c>
      <c r="M193" s="11">
        <v>0</v>
      </c>
      <c r="N193" s="11">
        <v>0</v>
      </c>
      <c r="O193" s="11">
        <v>0</v>
      </c>
      <c r="P193" s="11">
        <v>0</v>
      </c>
      <c r="Q193" s="11">
        <v>0</v>
      </c>
      <c r="R193" s="12">
        <f>$G$193*$G$8+$H$193*$H$8+$I$193*$I$8+$J$193*$J$8+$K$193*$K$8+$L$193*$L$8+$M$193*$M$8+$N$193*$N$8+$O$193*$O$8+$P$193*$P$8+$Q$193*$Q$8</f>
        <v>0</v>
      </c>
      <c r="S193" s="12">
        <v>0</v>
      </c>
      <c r="T193" s="12">
        <f>$R$193+$S$193</f>
        <v>0</v>
      </c>
    </row>
    <row r="194" spans="1:20" x14ac:dyDescent="0.3">
      <c r="A194" s="13" t="s">
        <v>731</v>
      </c>
      <c r="B194" s="14" t="s">
        <v>732</v>
      </c>
      <c r="C194" s="14"/>
      <c r="D194" s="14" t="s">
        <v>733</v>
      </c>
      <c r="E194" s="14">
        <f xml:space="preserve"> IF($T$194,1,0)</f>
        <v>0</v>
      </c>
      <c r="F194" s="14" t="s">
        <v>734</v>
      </c>
      <c r="G194" s="14">
        <v>0</v>
      </c>
      <c r="H194" s="14">
        <v>0</v>
      </c>
      <c r="I194" s="14">
        <v>0</v>
      </c>
      <c r="J194" s="14">
        <v>0</v>
      </c>
      <c r="K194" s="14">
        <v>0</v>
      </c>
      <c r="L194" s="14">
        <v>0</v>
      </c>
      <c r="M194" s="14">
        <v>0</v>
      </c>
      <c r="N194" s="14">
        <v>0</v>
      </c>
      <c r="O194" s="14">
        <v>0</v>
      </c>
      <c r="P194" s="14">
        <v>0</v>
      </c>
      <c r="Q194" s="14">
        <v>0</v>
      </c>
      <c r="R194" s="15">
        <f>$G$194*$G$8+$H$194*$H$8+$I$194*$I$8+$J$194*$J$8+$K$194*$K$8+$L$194*$L$8+$M$194*$M$8+$N$194*$N$8+$O$194*$O$8+$P$194*$P$8+$Q$194*$Q$8</f>
        <v>0</v>
      </c>
      <c r="S194" s="15">
        <v>0</v>
      </c>
      <c r="T194" s="15">
        <f>$R$194+$S$194</f>
        <v>0</v>
      </c>
    </row>
    <row r="195" spans="1:20" x14ac:dyDescent="0.3">
      <c r="A195" s="10" t="s">
        <v>735</v>
      </c>
      <c r="B195" s="11" t="s">
        <v>736</v>
      </c>
      <c r="C195" s="11"/>
      <c r="D195" s="11" t="s">
        <v>737</v>
      </c>
      <c r="E195" s="11">
        <f xml:space="preserve"> IF($T$195,1,0)</f>
        <v>0</v>
      </c>
      <c r="F195" s="11" t="s">
        <v>738</v>
      </c>
      <c r="G195" s="11">
        <v>0</v>
      </c>
      <c r="H195" s="11">
        <v>0</v>
      </c>
      <c r="I195" s="11">
        <v>0</v>
      </c>
      <c r="J195" s="11">
        <v>0</v>
      </c>
      <c r="K195" s="11">
        <v>0</v>
      </c>
      <c r="L195" s="11">
        <v>0</v>
      </c>
      <c r="M195" s="11">
        <v>0</v>
      </c>
      <c r="N195" s="11">
        <v>0</v>
      </c>
      <c r="O195" s="11">
        <v>0</v>
      </c>
      <c r="P195" s="11">
        <v>0</v>
      </c>
      <c r="Q195" s="11">
        <v>0</v>
      </c>
      <c r="R195" s="12">
        <f>$G$195*$G$8+$H$195*$H$8+$I$195*$I$8+$J$195*$J$8+$K$195*$K$8+$L$195*$L$8+$M$195*$M$8+$N$195*$N$8+$O$195*$O$8+$P$195*$P$8+$Q$195*$Q$8</f>
        <v>0</v>
      </c>
      <c r="S195" s="12">
        <v>0</v>
      </c>
      <c r="T195" s="12">
        <f>$R$195+$S$195</f>
        <v>0</v>
      </c>
    </row>
    <row r="196" spans="1:20" x14ac:dyDescent="0.3">
      <c r="A196" s="13" t="s">
        <v>739</v>
      </c>
      <c r="B196" s="14" t="s">
        <v>740</v>
      </c>
      <c r="C196" s="14" t="s">
        <v>65</v>
      </c>
      <c r="D196" s="14" t="s">
        <v>239</v>
      </c>
      <c r="E196" s="14">
        <f xml:space="preserve"> IF($T$196,1,0)</f>
        <v>0</v>
      </c>
      <c r="F196" s="14" t="s">
        <v>741</v>
      </c>
      <c r="G196" s="14">
        <v>0</v>
      </c>
      <c r="H196" s="14">
        <v>0</v>
      </c>
      <c r="I196" s="14">
        <v>0</v>
      </c>
      <c r="J196" s="14">
        <v>0</v>
      </c>
      <c r="K196" s="14">
        <v>0</v>
      </c>
      <c r="L196" s="14">
        <v>0</v>
      </c>
      <c r="M196" s="14">
        <v>0</v>
      </c>
      <c r="N196" s="14">
        <v>0</v>
      </c>
      <c r="O196" s="14">
        <v>0</v>
      </c>
      <c r="P196" s="14">
        <v>0</v>
      </c>
      <c r="Q196" s="14">
        <v>0</v>
      </c>
      <c r="R196" s="15">
        <f>$G$196*$G$8+$H$196*$H$8+$I$196*$I$8+$J$196*$J$8+$K$196*$K$8+$L$196*$L$8+$M$196*$M$8+$N$196*$N$8+$O$196*$O$8+$P$196*$P$8+$Q$196*$Q$8</f>
        <v>0</v>
      </c>
      <c r="S196" s="15">
        <v>0</v>
      </c>
      <c r="T196" s="15">
        <f>$R$196+$S$196</f>
        <v>0</v>
      </c>
    </row>
    <row r="197" spans="1:20" x14ac:dyDescent="0.3">
      <c r="A197" s="10" t="s">
        <v>742</v>
      </c>
      <c r="B197" s="11" t="s">
        <v>743</v>
      </c>
      <c r="C197" s="11"/>
      <c r="D197" s="11" t="s">
        <v>744</v>
      </c>
      <c r="E197" s="11">
        <f xml:space="preserve"> IF($T$197,1,0)</f>
        <v>0</v>
      </c>
      <c r="F197" s="11" t="s">
        <v>745</v>
      </c>
      <c r="G197" s="11">
        <v>0</v>
      </c>
      <c r="H197" s="11">
        <v>0</v>
      </c>
      <c r="I197" s="11">
        <v>0</v>
      </c>
      <c r="J197" s="11">
        <v>0</v>
      </c>
      <c r="K197" s="11">
        <v>0</v>
      </c>
      <c r="L197" s="11">
        <v>0</v>
      </c>
      <c r="M197" s="11">
        <v>0</v>
      </c>
      <c r="N197" s="11">
        <v>0</v>
      </c>
      <c r="O197" s="11">
        <v>0</v>
      </c>
      <c r="P197" s="11">
        <v>0</v>
      </c>
      <c r="Q197" s="11">
        <v>0</v>
      </c>
      <c r="R197" s="12">
        <f>$G$197*$G$8+$H$197*$H$8+$I$197*$I$8+$J$197*$J$8+$K$197*$K$8+$L$197*$L$8+$M$197*$M$8+$N$197*$N$8+$O$197*$O$8+$P$197*$P$8+$Q$197*$Q$8</f>
        <v>0</v>
      </c>
      <c r="S197" s="12">
        <v>0</v>
      </c>
      <c r="T197" s="12">
        <f>$R$197+$S$197</f>
        <v>0</v>
      </c>
    </row>
    <row r="198" spans="1:20" x14ac:dyDescent="0.3">
      <c r="A198" s="13" t="s">
        <v>746</v>
      </c>
      <c r="B198" s="14" t="s">
        <v>747</v>
      </c>
      <c r="C198" s="14"/>
      <c r="D198" s="14" t="s">
        <v>748</v>
      </c>
      <c r="E198" s="14">
        <f xml:space="preserve"> IF($T$198,1,0)</f>
        <v>0</v>
      </c>
      <c r="F198" s="14" t="s">
        <v>749</v>
      </c>
      <c r="G198" s="14">
        <v>0</v>
      </c>
      <c r="H198" s="14">
        <v>0</v>
      </c>
      <c r="I198" s="14">
        <v>0</v>
      </c>
      <c r="J198" s="14">
        <v>0</v>
      </c>
      <c r="K198" s="14">
        <v>0</v>
      </c>
      <c r="L198" s="14">
        <v>0</v>
      </c>
      <c r="M198" s="14">
        <v>0</v>
      </c>
      <c r="N198" s="14">
        <v>0</v>
      </c>
      <c r="O198" s="14">
        <v>0</v>
      </c>
      <c r="P198" s="14">
        <v>0</v>
      </c>
      <c r="Q198" s="14">
        <v>0</v>
      </c>
      <c r="R198" s="15">
        <f>$G$198*$G$8+$H$198*$H$8+$I$198*$I$8+$J$198*$J$8+$K$198*$K$8+$L$198*$L$8+$M$198*$M$8+$N$198*$N$8+$O$198*$O$8+$P$198*$P$8+$Q$198*$Q$8</f>
        <v>0</v>
      </c>
      <c r="S198" s="15">
        <v>0</v>
      </c>
      <c r="T198" s="15">
        <f>$R$198+$S$198</f>
        <v>0</v>
      </c>
    </row>
    <row r="199" spans="1:20" x14ac:dyDescent="0.3">
      <c r="A199" s="10" t="s">
        <v>750</v>
      </c>
      <c r="B199" s="11" t="s">
        <v>751</v>
      </c>
      <c r="C199" s="11"/>
      <c r="D199" s="11" t="s">
        <v>752</v>
      </c>
      <c r="E199" s="11">
        <f xml:space="preserve"> IF($T$199,1,0)</f>
        <v>0</v>
      </c>
      <c r="F199" s="11" t="s">
        <v>753</v>
      </c>
      <c r="G199" s="11">
        <v>0</v>
      </c>
      <c r="H199" s="11">
        <v>0</v>
      </c>
      <c r="I199" s="11">
        <v>0</v>
      </c>
      <c r="J199" s="11">
        <v>0</v>
      </c>
      <c r="K199" s="11">
        <v>0</v>
      </c>
      <c r="L199" s="11">
        <v>0</v>
      </c>
      <c r="M199" s="11">
        <v>0</v>
      </c>
      <c r="N199" s="11">
        <v>0</v>
      </c>
      <c r="O199" s="11">
        <v>0</v>
      </c>
      <c r="P199" s="11">
        <v>0</v>
      </c>
      <c r="Q199" s="11">
        <v>0</v>
      </c>
      <c r="R199" s="12">
        <f>$G$199*$G$8+$H$199*$H$8+$I$199*$I$8+$J$199*$J$8+$K$199*$K$8+$L$199*$L$8+$M$199*$M$8+$N$199*$N$8+$O$199*$O$8+$P$199*$P$8+$Q$199*$Q$8</f>
        <v>0</v>
      </c>
      <c r="S199" s="12">
        <v>0</v>
      </c>
      <c r="T199" s="12">
        <f>$R$199+$S$199</f>
        <v>0</v>
      </c>
    </row>
    <row r="200" spans="1:20" x14ac:dyDescent="0.3">
      <c r="A200" s="13" t="s">
        <v>754</v>
      </c>
      <c r="B200" s="14" t="s">
        <v>755</v>
      </c>
      <c r="C200" s="14"/>
      <c r="D200" s="14" t="s">
        <v>756</v>
      </c>
      <c r="E200" s="14">
        <f xml:space="preserve"> IF($T$200,1,0)</f>
        <v>0</v>
      </c>
      <c r="F200" s="14" t="s">
        <v>757</v>
      </c>
      <c r="G200" s="14">
        <v>0</v>
      </c>
      <c r="H200" s="14">
        <v>0</v>
      </c>
      <c r="I200" s="14">
        <v>0</v>
      </c>
      <c r="J200" s="14">
        <v>0</v>
      </c>
      <c r="K200" s="14">
        <v>0</v>
      </c>
      <c r="L200" s="14">
        <v>0</v>
      </c>
      <c r="M200" s="14">
        <v>0</v>
      </c>
      <c r="N200" s="14">
        <v>0</v>
      </c>
      <c r="O200" s="14">
        <v>0</v>
      </c>
      <c r="P200" s="14">
        <v>0</v>
      </c>
      <c r="Q200" s="14">
        <v>0</v>
      </c>
      <c r="R200" s="15">
        <f>$G$200*$G$8+$H$200*$H$8+$I$200*$I$8+$J$200*$J$8+$K$200*$K$8+$L$200*$L$8+$M$200*$M$8+$N$200*$N$8+$O$200*$O$8+$P$200*$P$8+$Q$200*$Q$8</f>
        <v>0</v>
      </c>
      <c r="S200" s="15">
        <v>0</v>
      </c>
      <c r="T200" s="15">
        <f>$R$200+$S$200</f>
        <v>0</v>
      </c>
    </row>
    <row r="201" spans="1:20" x14ac:dyDescent="0.3">
      <c r="A201" s="10" t="s">
        <v>758</v>
      </c>
      <c r="B201" s="11" t="s">
        <v>759</v>
      </c>
      <c r="C201" s="11"/>
      <c r="D201" s="11" t="s">
        <v>760</v>
      </c>
      <c r="E201" s="11">
        <f xml:space="preserve"> IF($T$201,1,0)</f>
        <v>0</v>
      </c>
      <c r="F201" s="11" t="s">
        <v>761</v>
      </c>
      <c r="G201" s="11">
        <v>0</v>
      </c>
      <c r="H201" s="11">
        <v>0</v>
      </c>
      <c r="I201" s="11">
        <v>0</v>
      </c>
      <c r="J201" s="11">
        <v>0</v>
      </c>
      <c r="K201" s="11">
        <v>0</v>
      </c>
      <c r="L201" s="11">
        <v>0</v>
      </c>
      <c r="M201" s="11">
        <v>0</v>
      </c>
      <c r="N201" s="11">
        <v>0</v>
      </c>
      <c r="O201" s="11">
        <v>0</v>
      </c>
      <c r="P201" s="11">
        <v>0</v>
      </c>
      <c r="Q201" s="11">
        <v>0</v>
      </c>
      <c r="R201" s="12">
        <f>$G$201*$G$8+$H$201*$H$8+$I$201*$I$8+$J$201*$J$8+$K$201*$K$8+$L$201*$L$8+$M$201*$M$8+$N$201*$N$8+$O$201*$O$8+$P$201*$P$8+$Q$201*$Q$8</f>
        <v>0</v>
      </c>
      <c r="S201" s="12">
        <v>0</v>
      </c>
      <c r="T201" s="12">
        <f>$R$201+$S$201</f>
        <v>0</v>
      </c>
    </row>
    <row r="202" spans="1:20" x14ac:dyDescent="0.3">
      <c r="A202" s="13" t="s">
        <v>762</v>
      </c>
      <c r="B202" s="14" t="s">
        <v>763</v>
      </c>
      <c r="C202" s="14"/>
      <c r="D202" s="14" t="s">
        <v>764</v>
      </c>
      <c r="E202" s="14">
        <f xml:space="preserve"> IF($T$202,1,0)</f>
        <v>0</v>
      </c>
      <c r="F202" s="14" t="s">
        <v>765</v>
      </c>
      <c r="G202" s="14">
        <v>0</v>
      </c>
      <c r="H202" s="14">
        <v>0</v>
      </c>
      <c r="I202" s="14">
        <v>0</v>
      </c>
      <c r="J202" s="14">
        <v>0</v>
      </c>
      <c r="K202" s="14">
        <v>0</v>
      </c>
      <c r="L202" s="14">
        <v>0</v>
      </c>
      <c r="M202" s="14">
        <v>0</v>
      </c>
      <c r="N202" s="14">
        <v>0</v>
      </c>
      <c r="O202" s="14">
        <v>0</v>
      </c>
      <c r="P202" s="14">
        <v>0</v>
      </c>
      <c r="Q202" s="14">
        <v>0</v>
      </c>
      <c r="R202" s="15">
        <f>$G$202*$G$8+$H$202*$H$8+$I$202*$I$8+$J$202*$J$8+$K$202*$K$8+$L$202*$L$8+$M$202*$M$8+$N$202*$N$8+$O$202*$O$8+$P$202*$P$8+$Q$202*$Q$8</f>
        <v>0</v>
      </c>
      <c r="S202" s="15">
        <v>0</v>
      </c>
      <c r="T202" s="15">
        <f>$R$202+$S$202</f>
        <v>0</v>
      </c>
    </row>
    <row r="203" spans="1:20" x14ac:dyDescent="0.3">
      <c r="A203" s="10" t="s">
        <v>766</v>
      </c>
      <c r="B203" s="11" t="s">
        <v>767</v>
      </c>
      <c r="C203" s="11"/>
      <c r="D203" s="11" t="s">
        <v>768</v>
      </c>
      <c r="E203" s="11">
        <f xml:space="preserve"> IF($T$203,1,0)</f>
        <v>0</v>
      </c>
      <c r="F203" s="11" t="s">
        <v>769</v>
      </c>
      <c r="G203" s="11">
        <v>0</v>
      </c>
      <c r="H203" s="11">
        <v>0</v>
      </c>
      <c r="I203" s="11">
        <v>0</v>
      </c>
      <c r="J203" s="11">
        <v>0</v>
      </c>
      <c r="K203" s="11">
        <v>0</v>
      </c>
      <c r="L203" s="11">
        <v>0</v>
      </c>
      <c r="M203" s="11">
        <v>0</v>
      </c>
      <c r="N203" s="11">
        <v>0</v>
      </c>
      <c r="O203" s="11">
        <v>0</v>
      </c>
      <c r="P203" s="11">
        <v>0</v>
      </c>
      <c r="Q203" s="11">
        <v>0</v>
      </c>
      <c r="R203" s="12">
        <f>$G$203*$G$8+$H$203*$H$8+$I$203*$I$8+$J$203*$J$8+$K$203*$K$8+$L$203*$L$8+$M$203*$M$8+$N$203*$N$8+$O$203*$O$8+$P$203*$P$8+$Q$203*$Q$8</f>
        <v>0</v>
      </c>
      <c r="S203" s="12">
        <v>0</v>
      </c>
      <c r="T203" s="12">
        <f>$R$203+$S$203</f>
        <v>0</v>
      </c>
    </row>
    <row r="204" spans="1:20" x14ac:dyDescent="0.3">
      <c r="A204" s="13" t="s">
        <v>770</v>
      </c>
      <c r="B204" s="14" t="s">
        <v>771</v>
      </c>
      <c r="C204" s="14"/>
      <c r="D204" s="14" t="s">
        <v>772</v>
      </c>
      <c r="E204" s="14">
        <f xml:space="preserve"> IF($T$204,1,0)</f>
        <v>0</v>
      </c>
      <c r="F204" s="14" t="s">
        <v>773</v>
      </c>
      <c r="G204" s="14">
        <v>0</v>
      </c>
      <c r="H204" s="14">
        <v>0</v>
      </c>
      <c r="I204" s="14">
        <v>0</v>
      </c>
      <c r="J204" s="14">
        <v>0</v>
      </c>
      <c r="K204" s="14">
        <v>0</v>
      </c>
      <c r="L204" s="14">
        <v>0</v>
      </c>
      <c r="M204" s="14">
        <v>0</v>
      </c>
      <c r="N204" s="14">
        <v>0</v>
      </c>
      <c r="O204" s="14">
        <v>0</v>
      </c>
      <c r="P204" s="14">
        <v>0</v>
      </c>
      <c r="Q204" s="14">
        <v>0</v>
      </c>
      <c r="R204" s="15">
        <f>$G$204*$G$8+$H$204*$H$8+$I$204*$I$8+$J$204*$J$8+$K$204*$K$8+$L$204*$L$8+$M$204*$M$8+$N$204*$N$8+$O$204*$O$8+$P$204*$P$8+$Q$204*$Q$8</f>
        <v>0</v>
      </c>
      <c r="S204" s="15">
        <v>0</v>
      </c>
      <c r="T204" s="15">
        <f>$R$204+$S$204</f>
        <v>0</v>
      </c>
    </row>
    <row r="205" spans="1:20" x14ac:dyDescent="0.3">
      <c r="A205" s="10" t="s">
        <v>774</v>
      </c>
      <c r="B205" s="11" t="s">
        <v>775</v>
      </c>
      <c r="C205" s="11"/>
      <c r="D205" s="11" t="s">
        <v>776</v>
      </c>
      <c r="E205" s="11">
        <f xml:space="preserve"> IF($T$205,1,0)</f>
        <v>1</v>
      </c>
      <c r="F205" s="11" t="s">
        <v>777</v>
      </c>
      <c r="G205" s="11">
        <v>1</v>
      </c>
      <c r="H205" s="11">
        <v>0</v>
      </c>
      <c r="I205" s="11">
        <v>0</v>
      </c>
      <c r="J205" s="11">
        <v>0</v>
      </c>
      <c r="K205" s="11">
        <v>0</v>
      </c>
      <c r="L205" s="11">
        <v>0</v>
      </c>
      <c r="M205" s="11">
        <v>0</v>
      </c>
      <c r="N205" s="11">
        <v>0</v>
      </c>
      <c r="O205" s="11">
        <v>0</v>
      </c>
      <c r="P205" s="11">
        <v>0</v>
      </c>
      <c r="Q205" s="11">
        <v>1</v>
      </c>
      <c r="R205" s="12">
        <f>$G$205*$G$8+$H$205*$H$8+$I$205*$I$8+$J$205*$J$8+$K$205*$K$8+$L$205*$L$8+$M$205*$M$8+$N$205*$N$8+$O$205*$O$8+$P$205*$P$8+$Q$205*$Q$8</f>
        <v>2.1</v>
      </c>
      <c r="S205" s="12">
        <v>0</v>
      </c>
      <c r="T205" s="12">
        <f>$R$205+$S$205</f>
        <v>2.1</v>
      </c>
    </row>
    <row r="206" spans="1:20" x14ac:dyDescent="0.3">
      <c r="A206" s="13" t="s">
        <v>778</v>
      </c>
      <c r="B206" s="14" t="s">
        <v>779</v>
      </c>
      <c r="C206" s="14"/>
      <c r="D206" s="14" t="s">
        <v>780</v>
      </c>
      <c r="E206" s="14">
        <f xml:space="preserve"> IF($T$206,1,0)</f>
        <v>0</v>
      </c>
      <c r="F206" s="14" t="s">
        <v>781</v>
      </c>
      <c r="G206" s="14">
        <v>0</v>
      </c>
      <c r="H206" s="14">
        <v>0</v>
      </c>
      <c r="I206" s="14">
        <v>0</v>
      </c>
      <c r="J206" s="14">
        <v>0</v>
      </c>
      <c r="K206" s="14">
        <v>0</v>
      </c>
      <c r="L206" s="14">
        <v>0</v>
      </c>
      <c r="M206" s="14">
        <v>0</v>
      </c>
      <c r="N206" s="14">
        <v>0</v>
      </c>
      <c r="O206" s="14">
        <v>0</v>
      </c>
      <c r="P206" s="14">
        <v>0</v>
      </c>
      <c r="Q206" s="14">
        <v>0</v>
      </c>
      <c r="R206" s="15">
        <f>$G$206*$G$8+$H$206*$H$8+$I$206*$I$8+$J$206*$J$8+$K$206*$K$8+$L$206*$L$8+$M$206*$M$8+$N$206*$N$8+$O$206*$O$8+$P$206*$P$8+$Q$206*$Q$8</f>
        <v>0</v>
      </c>
      <c r="S206" s="15">
        <v>0</v>
      </c>
      <c r="T206" s="15">
        <f>$R$206+$S$206</f>
        <v>0</v>
      </c>
    </row>
    <row r="207" spans="1:20" x14ac:dyDescent="0.3">
      <c r="A207" s="10" t="s">
        <v>782</v>
      </c>
      <c r="B207" s="11" t="s">
        <v>779</v>
      </c>
      <c r="C207" s="11"/>
      <c r="D207" s="11" t="s">
        <v>783</v>
      </c>
      <c r="E207" s="11">
        <f xml:space="preserve"> IF($T$207,1,0)</f>
        <v>0</v>
      </c>
      <c r="F207" s="11" t="s">
        <v>784</v>
      </c>
      <c r="G207" s="11">
        <v>0</v>
      </c>
      <c r="H207" s="11">
        <v>0</v>
      </c>
      <c r="I207" s="11">
        <v>0</v>
      </c>
      <c r="J207" s="11">
        <v>0</v>
      </c>
      <c r="K207" s="11">
        <v>0</v>
      </c>
      <c r="L207" s="11">
        <v>0</v>
      </c>
      <c r="M207" s="11">
        <v>0</v>
      </c>
      <c r="N207" s="11">
        <v>0</v>
      </c>
      <c r="O207" s="11">
        <v>0</v>
      </c>
      <c r="P207" s="11">
        <v>0</v>
      </c>
      <c r="Q207" s="11">
        <v>0</v>
      </c>
      <c r="R207" s="12">
        <f>$G$207*$G$8+$H$207*$H$8+$I$207*$I$8+$J$207*$J$8+$K$207*$K$8+$L$207*$L$8+$M$207*$M$8+$N$207*$N$8+$O$207*$O$8+$P$207*$P$8+$Q$207*$Q$8</f>
        <v>0</v>
      </c>
      <c r="S207" s="12">
        <v>0</v>
      </c>
      <c r="T207" s="12">
        <f>$R$207+$S$207</f>
        <v>0</v>
      </c>
    </row>
    <row r="208" spans="1:20" x14ac:dyDescent="0.3">
      <c r="A208" s="13" t="s">
        <v>785</v>
      </c>
      <c r="B208" s="14" t="s">
        <v>779</v>
      </c>
      <c r="C208" s="14"/>
      <c r="D208" s="14" t="s">
        <v>786</v>
      </c>
      <c r="E208" s="14">
        <f xml:space="preserve"> IF($T$208,1,0)</f>
        <v>1</v>
      </c>
      <c r="F208" s="14" t="s">
        <v>787</v>
      </c>
      <c r="G208" s="14">
        <v>1</v>
      </c>
      <c r="H208" s="14">
        <v>0</v>
      </c>
      <c r="I208" s="14">
        <v>0</v>
      </c>
      <c r="J208" s="14">
        <v>2</v>
      </c>
      <c r="K208" s="14">
        <v>0</v>
      </c>
      <c r="L208" s="14">
        <v>0</v>
      </c>
      <c r="M208" s="14">
        <v>0</v>
      </c>
      <c r="N208" s="14">
        <v>0</v>
      </c>
      <c r="O208" s="14">
        <v>0</v>
      </c>
      <c r="P208" s="14">
        <v>0</v>
      </c>
      <c r="Q208" s="14">
        <v>0</v>
      </c>
      <c r="R208" s="15">
        <f>$G$208*$G$8+$H$208*$H$8+$I$208*$I$8+$J$208*$J$8+$K$208*$K$8+$L$208*$L$8+$M$208*$M$8+$N$208*$N$8+$O$208*$O$8+$P$208*$P$8+$Q$208*$Q$8</f>
        <v>5.0999999999999996</v>
      </c>
      <c r="S208" s="15">
        <v>0</v>
      </c>
      <c r="T208" s="15">
        <f>$R$208+$S$208</f>
        <v>5.0999999999999996</v>
      </c>
    </row>
    <row r="209" spans="1:20" x14ac:dyDescent="0.3">
      <c r="A209" s="10" t="s">
        <v>788</v>
      </c>
      <c r="B209" s="11" t="s">
        <v>789</v>
      </c>
      <c r="C209" s="11"/>
      <c r="D209" s="11" t="s">
        <v>790</v>
      </c>
      <c r="E209" s="11">
        <f xml:space="preserve"> IF($T$209,1,0)</f>
        <v>0</v>
      </c>
      <c r="F209" s="11" t="s">
        <v>791</v>
      </c>
      <c r="G209" s="11">
        <v>0</v>
      </c>
      <c r="H209" s="11">
        <v>0</v>
      </c>
      <c r="I209" s="11">
        <v>0</v>
      </c>
      <c r="J209" s="11">
        <v>0</v>
      </c>
      <c r="K209" s="11">
        <v>0</v>
      </c>
      <c r="L209" s="11">
        <v>0</v>
      </c>
      <c r="M209" s="11">
        <v>0</v>
      </c>
      <c r="N209" s="11">
        <v>0</v>
      </c>
      <c r="O209" s="11">
        <v>0</v>
      </c>
      <c r="P209" s="11">
        <v>0</v>
      </c>
      <c r="Q209" s="11">
        <v>0</v>
      </c>
      <c r="R209" s="12">
        <f>$G$209*$G$8+$H$209*$H$8+$I$209*$I$8+$J$209*$J$8+$K$209*$K$8+$L$209*$L$8+$M$209*$M$8+$N$209*$N$8+$O$209*$O$8+$P$209*$P$8+$Q$209*$Q$8</f>
        <v>0</v>
      </c>
      <c r="S209" s="12">
        <v>0</v>
      </c>
      <c r="T209" s="12">
        <f>$R$209+$S$209</f>
        <v>0</v>
      </c>
    </row>
    <row r="210" spans="1:20" x14ac:dyDescent="0.3">
      <c r="A210" s="13" t="s">
        <v>792</v>
      </c>
      <c r="B210" s="14" t="s">
        <v>793</v>
      </c>
      <c r="C210" s="14"/>
      <c r="D210" s="14" t="s">
        <v>794</v>
      </c>
      <c r="E210" s="14">
        <f xml:space="preserve"> IF($T$210,1,0)</f>
        <v>1</v>
      </c>
      <c r="F210" s="14" t="s">
        <v>795</v>
      </c>
      <c r="G210" s="14">
        <v>0</v>
      </c>
      <c r="H210" s="14">
        <v>0</v>
      </c>
      <c r="I210" s="14">
        <v>0</v>
      </c>
      <c r="J210" s="14">
        <v>3</v>
      </c>
      <c r="K210" s="14">
        <v>0</v>
      </c>
      <c r="L210" s="14">
        <v>0</v>
      </c>
      <c r="M210" s="14">
        <v>0</v>
      </c>
      <c r="N210" s="14">
        <v>0</v>
      </c>
      <c r="O210" s="14">
        <v>0</v>
      </c>
      <c r="P210" s="14">
        <v>0</v>
      </c>
      <c r="Q210" s="14">
        <v>0</v>
      </c>
      <c r="R210" s="15">
        <f>$G$210*$G$8+$H$210*$H$8+$I$210*$I$8+$J$210*$J$8+$K$210*$K$8+$L$210*$L$8+$M$210*$M$8+$N$210*$N$8+$O$210*$O$8+$P$210*$P$8+$Q$210*$Q$8</f>
        <v>6</v>
      </c>
      <c r="S210" s="15">
        <v>0</v>
      </c>
      <c r="T210" s="15">
        <f>$R$210+$S$210</f>
        <v>6</v>
      </c>
    </row>
    <row r="211" spans="1:20" x14ac:dyDescent="0.3">
      <c r="A211" s="10" t="s">
        <v>796</v>
      </c>
      <c r="B211" s="11" t="s">
        <v>797</v>
      </c>
      <c r="C211" s="11"/>
      <c r="D211" s="11" t="s">
        <v>798</v>
      </c>
      <c r="E211" s="11">
        <f xml:space="preserve"> IF($T$211,1,0)</f>
        <v>0</v>
      </c>
      <c r="F211" s="11" t="s">
        <v>799</v>
      </c>
      <c r="G211" s="11">
        <v>0</v>
      </c>
      <c r="H211" s="11">
        <v>0</v>
      </c>
      <c r="I211" s="11">
        <v>0</v>
      </c>
      <c r="J211" s="11">
        <v>0</v>
      </c>
      <c r="K211" s="11">
        <v>0</v>
      </c>
      <c r="L211" s="11">
        <v>0</v>
      </c>
      <c r="M211" s="11">
        <v>0</v>
      </c>
      <c r="N211" s="11">
        <v>0</v>
      </c>
      <c r="O211" s="11">
        <v>0</v>
      </c>
      <c r="P211" s="11">
        <v>0</v>
      </c>
      <c r="Q211" s="11">
        <v>0</v>
      </c>
      <c r="R211" s="12">
        <f>$G$211*$G$8+$H$211*$H$8+$I$211*$I$8+$J$211*$J$8+$K$211*$K$8+$L$211*$L$8+$M$211*$M$8+$N$211*$N$8+$O$211*$O$8+$P$211*$P$8+$Q$211*$Q$8</f>
        <v>0</v>
      </c>
      <c r="S211" s="12">
        <v>0</v>
      </c>
      <c r="T211" s="12">
        <f>$R$211+$S$211</f>
        <v>0</v>
      </c>
    </row>
    <row r="212" spans="1:20" x14ac:dyDescent="0.3">
      <c r="A212" s="13" t="s">
        <v>800</v>
      </c>
      <c r="B212" s="14" t="s">
        <v>797</v>
      </c>
      <c r="C212" s="14" t="s">
        <v>34</v>
      </c>
      <c r="D212" s="14" t="s">
        <v>801</v>
      </c>
      <c r="E212" s="14">
        <f xml:space="preserve"> IF($T$212,1,0)</f>
        <v>0</v>
      </c>
      <c r="F212" s="14" t="s">
        <v>802</v>
      </c>
      <c r="G212" s="14">
        <v>0</v>
      </c>
      <c r="H212" s="14">
        <v>0</v>
      </c>
      <c r="I212" s="14">
        <v>0</v>
      </c>
      <c r="J212" s="14">
        <v>0</v>
      </c>
      <c r="K212" s="14">
        <v>0</v>
      </c>
      <c r="L212" s="14">
        <v>0</v>
      </c>
      <c r="M212" s="14">
        <v>0</v>
      </c>
      <c r="N212" s="14">
        <v>0</v>
      </c>
      <c r="O212" s="14">
        <v>0</v>
      </c>
      <c r="P212" s="14">
        <v>0</v>
      </c>
      <c r="Q212" s="14">
        <v>0</v>
      </c>
      <c r="R212" s="15">
        <f>$G$212*$G$8+$H$212*$H$8+$I$212*$I$8+$J$212*$J$8+$K$212*$K$8+$L$212*$L$8+$M$212*$M$8+$N$212*$N$8+$O$212*$O$8+$P$212*$P$8+$Q$212*$Q$8</f>
        <v>0</v>
      </c>
      <c r="S212" s="15">
        <v>0</v>
      </c>
      <c r="T212" s="15">
        <f>$R$212+$S$212</f>
        <v>0</v>
      </c>
    </row>
    <row r="213" spans="1:20" x14ac:dyDescent="0.3">
      <c r="A213" s="10" t="s">
        <v>803</v>
      </c>
      <c r="B213" s="11" t="s">
        <v>804</v>
      </c>
      <c r="C213" s="11" t="s">
        <v>34</v>
      </c>
      <c r="D213" s="11" t="s">
        <v>805</v>
      </c>
      <c r="E213" s="11">
        <f xml:space="preserve"> IF($T$213,1,0)</f>
        <v>0</v>
      </c>
      <c r="F213" s="11" t="s">
        <v>806</v>
      </c>
      <c r="G213" s="11">
        <v>0</v>
      </c>
      <c r="H213" s="11">
        <v>0</v>
      </c>
      <c r="I213" s="11">
        <v>0</v>
      </c>
      <c r="J213" s="11">
        <v>0</v>
      </c>
      <c r="K213" s="11">
        <v>0</v>
      </c>
      <c r="L213" s="11">
        <v>0</v>
      </c>
      <c r="M213" s="11">
        <v>0</v>
      </c>
      <c r="N213" s="11">
        <v>0</v>
      </c>
      <c r="O213" s="11">
        <v>0</v>
      </c>
      <c r="P213" s="11">
        <v>0</v>
      </c>
      <c r="Q213" s="11">
        <v>0</v>
      </c>
      <c r="R213" s="12">
        <f>$G$213*$G$8+$H$213*$H$8+$I$213*$I$8+$J$213*$J$8+$K$213*$K$8+$L$213*$L$8+$M$213*$M$8+$N$213*$N$8+$O$213*$O$8+$P$213*$P$8+$Q$213*$Q$8</f>
        <v>0</v>
      </c>
      <c r="S213" s="12">
        <v>0</v>
      </c>
      <c r="T213" s="12">
        <f>$R$213+$S$213</f>
        <v>0</v>
      </c>
    </row>
    <row r="214" spans="1:20" x14ac:dyDescent="0.3">
      <c r="A214" s="13" t="s">
        <v>807</v>
      </c>
      <c r="B214" s="14" t="s">
        <v>808</v>
      </c>
      <c r="C214" s="14"/>
      <c r="D214" s="14" t="s">
        <v>809</v>
      </c>
      <c r="E214" s="14">
        <f xml:space="preserve"> IF($T$214,1,0)</f>
        <v>1</v>
      </c>
      <c r="F214" s="14" t="s">
        <v>810</v>
      </c>
      <c r="G214" s="14">
        <v>0</v>
      </c>
      <c r="H214" s="14">
        <v>0</v>
      </c>
      <c r="I214" s="14">
        <v>0</v>
      </c>
      <c r="J214" s="14">
        <v>2</v>
      </c>
      <c r="K214" s="14">
        <v>0</v>
      </c>
      <c r="L214" s="14">
        <v>0</v>
      </c>
      <c r="M214" s="14">
        <v>0</v>
      </c>
      <c r="N214" s="14">
        <v>0</v>
      </c>
      <c r="O214" s="14">
        <v>1</v>
      </c>
      <c r="P214" s="14">
        <v>0</v>
      </c>
      <c r="Q214" s="14">
        <v>0</v>
      </c>
      <c r="R214" s="15">
        <f>$G$214*$G$8+$H$214*$H$8+$I$214*$I$8+$J$214*$J$8+$K$214*$K$8+$L$214*$L$8+$M$214*$M$8+$N$214*$N$8+$O$214*$O$8+$P$214*$P$8+$Q$214*$Q$8</f>
        <v>9</v>
      </c>
      <c r="S214" s="15">
        <v>0</v>
      </c>
      <c r="T214" s="15">
        <f>$R$214+$S$214</f>
        <v>9</v>
      </c>
    </row>
    <row r="215" spans="1:20" x14ac:dyDescent="0.3">
      <c r="A215" s="10" t="s">
        <v>811</v>
      </c>
      <c r="B215" s="11" t="s">
        <v>812</v>
      </c>
      <c r="C215" s="11"/>
      <c r="D215" s="11" t="s">
        <v>813</v>
      </c>
      <c r="E215" s="11">
        <f xml:space="preserve"> IF($T$215,1,0)</f>
        <v>0</v>
      </c>
      <c r="F215" s="11" t="s">
        <v>814</v>
      </c>
      <c r="G215" s="11">
        <v>0</v>
      </c>
      <c r="H215" s="11">
        <v>0</v>
      </c>
      <c r="I215" s="11">
        <v>0</v>
      </c>
      <c r="J215" s="11">
        <v>0</v>
      </c>
      <c r="K215" s="11">
        <v>0</v>
      </c>
      <c r="L215" s="11">
        <v>0</v>
      </c>
      <c r="M215" s="11">
        <v>0</v>
      </c>
      <c r="N215" s="11">
        <v>0</v>
      </c>
      <c r="O215" s="11">
        <v>0</v>
      </c>
      <c r="P215" s="11">
        <v>0</v>
      </c>
      <c r="Q215" s="11">
        <v>0</v>
      </c>
      <c r="R215" s="12">
        <f>$G$215*$G$8+$H$215*$H$8+$I$215*$I$8+$J$215*$J$8+$K$215*$K$8+$L$215*$L$8+$M$215*$M$8+$N$215*$N$8+$O$215*$O$8+$P$215*$P$8+$Q$215*$Q$8</f>
        <v>0</v>
      </c>
      <c r="S215" s="12">
        <v>0</v>
      </c>
      <c r="T215" s="12">
        <f>$R$215+$S$215</f>
        <v>0</v>
      </c>
    </row>
    <row r="216" spans="1:20" x14ac:dyDescent="0.3">
      <c r="A216" s="13" t="s">
        <v>815</v>
      </c>
      <c r="B216" s="14" t="s">
        <v>816</v>
      </c>
      <c r="C216" s="14"/>
      <c r="D216" s="14" t="s">
        <v>817</v>
      </c>
      <c r="E216" s="14">
        <f xml:space="preserve"> IF($T$216,1,0)</f>
        <v>0</v>
      </c>
      <c r="F216" s="14" t="s">
        <v>818</v>
      </c>
      <c r="G216" s="14">
        <v>0</v>
      </c>
      <c r="H216" s="14">
        <v>0</v>
      </c>
      <c r="I216" s="14">
        <v>0</v>
      </c>
      <c r="J216" s="14">
        <v>0</v>
      </c>
      <c r="K216" s="14">
        <v>0</v>
      </c>
      <c r="L216" s="14">
        <v>0</v>
      </c>
      <c r="M216" s="14">
        <v>0</v>
      </c>
      <c r="N216" s="14">
        <v>0</v>
      </c>
      <c r="O216" s="14">
        <v>0</v>
      </c>
      <c r="P216" s="14">
        <v>0</v>
      </c>
      <c r="Q216" s="14">
        <v>0</v>
      </c>
      <c r="R216" s="15">
        <f>$G$216*$G$8+$H$216*$H$8+$I$216*$I$8+$J$216*$J$8+$K$216*$K$8+$L$216*$L$8+$M$216*$M$8+$N$216*$N$8+$O$216*$O$8+$P$216*$P$8+$Q$216*$Q$8</f>
        <v>0</v>
      </c>
      <c r="S216" s="15">
        <v>0</v>
      </c>
      <c r="T216" s="15">
        <f>$R$216+$S$216</f>
        <v>0</v>
      </c>
    </row>
    <row r="217" spans="1:20" x14ac:dyDescent="0.3">
      <c r="A217" s="10" t="s">
        <v>819</v>
      </c>
      <c r="B217" s="11" t="s">
        <v>820</v>
      </c>
      <c r="C217" s="11"/>
      <c r="D217" s="11" t="s">
        <v>821</v>
      </c>
      <c r="E217" s="11">
        <f xml:space="preserve"> IF($T$217,1,0)</f>
        <v>0</v>
      </c>
      <c r="F217" s="11" t="s">
        <v>822</v>
      </c>
      <c r="G217" s="11">
        <v>0</v>
      </c>
      <c r="H217" s="11">
        <v>0</v>
      </c>
      <c r="I217" s="11">
        <v>0</v>
      </c>
      <c r="J217" s="11">
        <v>0</v>
      </c>
      <c r="K217" s="11">
        <v>0</v>
      </c>
      <c r="L217" s="11">
        <v>0</v>
      </c>
      <c r="M217" s="11">
        <v>0</v>
      </c>
      <c r="N217" s="11">
        <v>0</v>
      </c>
      <c r="O217" s="11">
        <v>0</v>
      </c>
      <c r="P217" s="11">
        <v>0</v>
      </c>
      <c r="Q217" s="11">
        <v>0</v>
      </c>
      <c r="R217" s="12">
        <f>$G$217*$G$8+$H$217*$H$8+$I$217*$I$8+$J$217*$J$8+$K$217*$K$8+$L$217*$L$8+$M$217*$M$8+$N$217*$N$8+$O$217*$O$8+$P$217*$P$8+$Q$217*$Q$8</f>
        <v>0</v>
      </c>
      <c r="S217" s="12">
        <v>0</v>
      </c>
      <c r="T217" s="12">
        <f>$R$217+$S$217</f>
        <v>0</v>
      </c>
    </row>
    <row r="218" spans="1:20" x14ac:dyDescent="0.3">
      <c r="A218" s="13" t="s">
        <v>823</v>
      </c>
      <c r="B218" s="14" t="s">
        <v>824</v>
      </c>
      <c r="C218" s="14"/>
      <c r="D218" s="14" t="s">
        <v>825</v>
      </c>
      <c r="E218" s="14">
        <f xml:space="preserve"> IF($T$218,1,0)</f>
        <v>0</v>
      </c>
      <c r="F218" s="14" t="s">
        <v>826</v>
      </c>
      <c r="G218" s="14">
        <v>0</v>
      </c>
      <c r="H218" s="14">
        <v>0</v>
      </c>
      <c r="I218" s="14">
        <v>0</v>
      </c>
      <c r="J218" s="14">
        <v>0</v>
      </c>
      <c r="K218" s="14">
        <v>0</v>
      </c>
      <c r="L218" s="14">
        <v>0</v>
      </c>
      <c r="M218" s="14">
        <v>0</v>
      </c>
      <c r="N218" s="14">
        <v>0</v>
      </c>
      <c r="O218" s="14">
        <v>0</v>
      </c>
      <c r="P218" s="14">
        <v>0</v>
      </c>
      <c r="Q218" s="14">
        <v>0</v>
      </c>
      <c r="R218" s="15">
        <f>$G$218*$G$8+$H$218*$H$8+$I$218*$I$8+$J$218*$J$8+$K$218*$K$8+$L$218*$L$8+$M$218*$M$8+$N$218*$N$8+$O$218*$O$8+$P$218*$P$8+$Q$218*$Q$8</f>
        <v>0</v>
      </c>
      <c r="S218" s="15">
        <v>0</v>
      </c>
      <c r="T218" s="15">
        <f>$R$218+$S$218</f>
        <v>0</v>
      </c>
    </row>
    <row r="219" spans="1:20" x14ac:dyDescent="0.3">
      <c r="A219" s="10" t="s">
        <v>827</v>
      </c>
      <c r="B219" s="11" t="s">
        <v>828</v>
      </c>
      <c r="C219" s="11"/>
      <c r="D219" s="11" t="s">
        <v>829</v>
      </c>
      <c r="E219" s="11">
        <f xml:space="preserve"> IF($T$219,1,0)</f>
        <v>0</v>
      </c>
      <c r="F219" s="11" t="s">
        <v>830</v>
      </c>
      <c r="G219" s="11">
        <v>0</v>
      </c>
      <c r="H219" s="11">
        <v>0</v>
      </c>
      <c r="I219" s="11">
        <v>0</v>
      </c>
      <c r="J219" s="11">
        <v>0</v>
      </c>
      <c r="K219" s="11">
        <v>0</v>
      </c>
      <c r="L219" s="11">
        <v>0</v>
      </c>
      <c r="M219" s="11">
        <v>0</v>
      </c>
      <c r="N219" s="11">
        <v>0</v>
      </c>
      <c r="O219" s="11">
        <v>0</v>
      </c>
      <c r="P219" s="11">
        <v>0</v>
      </c>
      <c r="Q219" s="11">
        <v>0</v>
      </c>
      <c r="R219" s="12">
        <f>$G$219*$G$8+$H$219*$H$8+$I$219*$I$8+$J$219*$J$8+$K$219*$K$8+$L$219*$L$8+$M$219*$M$8+$N$219*$N$8+$O$219*$O$8+$P$219*$P$8+$Q$219*$Q$8</f>
        <v>0</v>
      </c>
      <c r="S219" s="12">
        <v>0</v>
      </c>
      <c r="T219" s="12">
        <f>$R$219+$S$219</f>
        <v>0</v>
      </c>
    </row>
    <row r="220" spans="1:20" x14ac:dyDescent="0.3">
      <c r="A220" s="13" t="s">
        <v>831</v>
      </c>
      <c r="B220" s="14" t="s">
        <v>832</v>
      </c>
      <c r="C220" s="14"/>
      <c r="D220" s="14" t="s">
        <v>833</v>
      </c>
      <c r="E220" s="14">
        <f xml:space="preserve"> IF($T$220,1,0)</f>
        <v>0</v>
      </c>
      <c r="F220" s="14" t="s">
        <v>834</v>
      </c>
      <c r="G220" s="14">
        <v>0</v>
      </c>
      <c r="H220" s="14">
        <v>0</v>
      </c>
      <c r="I220" s="14">
        <v>0</v>
      </c>
      <c r="J220" s="14">
        <v>0</v>
      </c>
      <c r="K220" s="14">
        <v>0</v>
      </c>
      <c r="L220" s="14">
        <v>0</v>
      </c>
      <c r="M220" s="14">
        <v>0</v>
      </c>
      <c r="N220" s="14">
        <v>0</v>
      </c>
      <c r="O220" s="14">
        <v>0</v>
      </c>
      <c r="P220" s="14">
        <v>0</v>
      </c>
      <c r="Q220" s="14">
        <v>0</v>
      </c>
      <c r="R220" s="15">
        <f>$G$220*$G$8+$H$220*$H$8+$I$220*$I$8+$J$220*$J$8+$K$220*$K$8+$L$220*$L$8+$M$220*$M$8+$N$220*$N$8+$O$220*$O$8+$P$220*$P$8+$Q$220*$Q$8</f>
        <v>0</v>
      </c>
      <c r="S220" s="15">
        <v>0</v>
      </c>
      <c r="T220" s="15">
        <f>$R$220+$S$220</f>
        <v>0</v>
      </c>
    </row>
    <row r="221" spans="1:20" x14ac:dyDescent="0.3">
      <c r="A221" s="10" t="s">
        <v>835</v>
      </c>
      <c r="B221" s="11" t="s">
        <v>836</v>
      </c>
      <c r="C221" s="11"/>
      <c r="D221" s="11" t="s">
        <v>837</v>
      </c>
      <c r="E221" s="11">
        <f xml:space="preserve"> IF($T$221,1,0)</f>
        <v>0</v>
      </c>
      <c r="F221" s="11" t="s">
        <v>838</v>
      </c>
      <c r="G221" s="11">
        <v>0</v>
      </c>
      <c r="H221" s="11">
        <v>0</v>
      </c>
      <c r="I221" s="11">
        <v>0</v>
      </c>
      <c r="J221" s="11">
        <v>0</v>
      </c>
      <c r="K221" s="11">
        <v>0</v>
      </c>
      <c r="L221" s="11">
        <v>0</v>
      </c>
      <c r="M221" s="11">
        <v>0</v>
      </c>
      <c r="N221" s="11">
        <v>0</v>
      </c>
      <c r="O221" s="11">
        <v>0</v>
      </c>
      <c r="P221" s="11">
        <v>0</v>
      </c>
      <c r="Q221" s="11">
        <v>0</v>
      </c>
      <c r="R221" s="12">
        <f>$G$221*$G$8+$H$221*$H$8+$I$221*$I$8+$J$221*$J$8+$K$221*$K$8+$L$221*$L$8+$M$221*$M$8+$N$221*$N$8+$O$221*$O$8+$P$221*$P$8+$Q$221*$Q$8</f>
        <v>0</v>
      </c>
      <c r="S221" s="12">
        <v>0</v>
      </c>
      <c r="T221" s="12">
        <f>$R$221+$S$221</f>
        <v>0</v>
      </c>
    </row>
    <row r="222" spans="1:20" x14ac:dyDescent="0.3">
      <c r="A222" s="13" t="s">
        <v>839</v>
      </c>
      <c r="B222" s="14" t="s">
        <v>840</v>
      </c>
      <c r="C222" s="14"/>
      <c r="D222" s="14" t="s">
        <v>841</v>
      </c>
      <c r="E222" s="14">
        <f xml:space="preserve"> IF($T$222,1,0)</f>
        <v>0</v>
      </c>
      <c r="F222" s="14" t="s">
        <v>842</v>
      </c>
      <c r="G222" s="14">
        <v>0</v>
      </c>
      <c r="H222" s="14">
        <v>0</v>
      </c>
      <c r="I222" s="14">
        <v>0</v>
      </c>
      <c r="J222" s="14">
        <v>0</v>
      </c>
      <c r="K222" s="14">
        <v>0</v>
      </c>
      <c r="L222" s="14">
        <v>0</v>
      </c>
      <c r="M222" s="14">
        <v>0</v>
      </c>
      <c r="N222" s="14">
        <v>0</v>
      </c>
      <c r="O222" s="14">
        <v>0</v>
      </c>
      <c r="P222" s="14">
        <v>0</v>
      </c>
      <c r="Q222" s="14">
        <v>0</v>
      </c>
      <c r="R222" s="15">
        <f>$G$222*$G$8+$H$222*$H$8+$I$222*$I$8+$J$222*$J$8+$K$222*$K$8+$L$222*$L$8+$M$222*$M$8+$N$222*$N$8+$O$222*$O$8+$P$222*$P$8+$Q$222*$Q$8</f>
        <v>0</v>
      </c>
      <c r="S222" s="15">
        <v>0</v>
      </c>
      <c r="T222" s="15">
        <f>$R$222+$S$222</f>
        <v>0</v>
      </c>
    </row>
    <row r="223" spans="1:20" x14ac:dyDescent="0.3">
      <c r="A223" s="10" t="s">
        <v>843</v>
      </c>
      <c r="B223" s="11" t="s">
        <v>844</v>
      </c>
      <c r="C223" s="11"/>
      <c r="D223" s="11" t="s">
        <v>845</v>
      </c>
      <c r="E223" s="11">
        <f xml:space="preserve"> IF($T$223,1,0)</f>
        <v>0</v>
      </c>
      <c r="F223" s="11" t="s">
        <v>846</v>
      </c>
      <c r="G223" s="11">
        <v>0</v>
      </c>
      <c r="H223" s="11">
        <v>0</v>
      </c>
      <c r="I223" s="11">
        <v>0</v>
      </c>
      <c r="J223" s="11">
        <v>0</v>
      </c>
      <c r="K223" s="11">
        <v>0</v>
      </c>
      <c r="L223" s="11">
        <v>0</v>
      </c>
      <c r="M223" s="11">
        <v>0</v>
      </c>
      <c r="N223" s="11">
        <v>0</v>
      </c>
      <c r="O223" s="11">
        <v>0</v>
      </c>
      <c r="P223" s="11">
        <v>0</v>
      </c>
      <c r="Q223" s="11">
        <v>0</v>
      </c>
      <c r="R223" s="12">
        <f>$G$223*$G$8+$H$223*$H$8+$I$223*$I$8+$J$223*$J$8+$K$223*$K$8+$L$223*$L$8+$M$223*$M$8+$N$223*$N$8+$O$223*$O$8+$P$223*$P$8+$Q$223*$Q$8</f>
        <v>0</v>
      </c>
      <c r="S223" s="12">
        <v>0</v>
      </c>
      <c r="T223" s="12">
        <f>$R$223+$S$223</f>
        <v>0</v>
      </c>
    </row>
    <row r="224" spans="1:20" x14ac:dyDescent="0.3">
      <c r="A224" s="13" t="s">
        <v>847</v>
      </c>
      <c r="B224" s="14" t="s">
        <v>848</v>
      </c>
      <c r="C224" s="14" t="s">
        <v>202</v>
      </c>
      <c r="D224" s="14" t="s">
        <v>849</v>
      </c>
      <c r="E224" s="14">
        <f xml:space="preserve"> IF($T$224,1,0)</f>
        <v>1</v>
      </c>
      <c r="F224" s="14" t="s">
        <v>850</v>
      </c>
      <c r="G224" s="14">
        <v>0</v>
      </c>
      <c r="H224" s="14">
        <v>4</v>
      </c>
      <c r="I224" s="14">
        <v>0</v>
      </c>
      <c r="J224" s="14">
        <v>1</v>
      </c>
      <c r="K224" s="14">
        <v>0</v>
      </c>
      <c r="L224" s="14">
        <v>0</v>
      </c>
      <c r="M224" s="14">
        <v>0</v>
      </c>
      <c r="N224" s="14">
        <v>0</v>
      </c>
      <c r="O224" s="14">
        <v>0</v>
      </c>
      <c r="P224" s="14">
        <v>1</v>
      </c>
      <c r="Q224" s="14">
        <v>2</v>
      </c>
      <c r="R224" s="15">
        <f>$G$224*$G$8+$H$224*$H$8+$I$224*$I$8+$J$224*$J$8+$K$224*$K$8+$L$224*$L$8+$M$224*$M$8+$N$224*$N$8+$O$224*$O$8+$P$224*$P$8+$Q$224*$Q$8</f>
        <v>13.3</v>
      </c>
      <c r="S224" s="15">
        <v>0</v>
      </c>
      <c r="T224" s="15">
        <f>$R$224+$S$224</f>
        <v>13.3</v>
      </c>
    </row>
    <row r="225" spans="1:20" x14ac:dyDescent="0.3">
      <c r="A225" s="10" t="s">
        <v>851</v>
      </c>
      <c r="B225" s="11" t="s">
        <v>852</v>
      </c>
      <c r="C225" s="11"/>
      <c r="D225" s="11" t="s">
        <v>853</v>
      </c>
      <c r="E225" s="11">
        <f xml:space="preserve"> IF($T$225,1,0)</f>
        <v>0</v>
      </c>
      <c r="F225" s="11" t="s">
        <v>854</v>
      </c>
      <c r="G225" s="11">
        <v>0</v>
      </c>
      <c r="H225" s="11">
        <v>0</v>
      </c>
      <c r="I225" s="11">
        <v>0</v>
      </c>
      <c r="J225" s="11">
        <v>0</v>
      </c>
      <c r="K225" s="11">
        <v>0</v>
      </c>
      <c r="L225" s="11">
        <v>0</v>
      </c>
      <c r="M225" s="11">
        <v>0</v>
      </c>
      <c r="N225" s="11">
        <v>0</v>
      </c>
      <c r="O225" s="11">
        <v>0</v>
      </c>
      <c r="P225" s="11">
        <v>0</v>
      </c>
      <c r="Q225" s="11">
        <v>0</v>
      </c>
      <c r="R225" s="12">
        <f>$G$225*$G$8+$H$225*$H$8+$I$225*$I$8+$J$225*$J$8+$K$225*$K$8+$L$225*$L$8+$M$225*$M$8+$N$225*$N$8+$O$225*$O$8+$P$225*$P$8+$Q$225*$Q$8</f>
        <v>0</v>
      </c>
      <c r="S225" s="12">
        <v>0</v>
      </c>
      <c r="T225" s="12">
        <f>$R$225+$S$225</f>
        <v>0</v>
      </c>
    </row>
    <row r="226" spans="1:20" x14ac:dyDescent="0.3">
      <c r="A226" s="13" t="s">
        <v>855</v>
      </c>
      <c r="B226" s="14" t="s">
        <v>856</v>
      </c>
      <c r="C226" s="14"/>
      <c r="D226" s="14" t="s">
        <v>790</v>
      </c>
      <c r="E226" s="14">
        <f xml:space="preserve"> IF($T$226,1,0)</f>
        <v>1</v>
      </c>
      <c r="F226" s="14" t="s">
        <v>857</v>
      </c>
      <c r="G226" s="14">
        <v>4</v>
      </c>
      <c r="H226" s="14">
        <v>0</v>
      </c>
      <c r="I226" s="14">
        <v>0</v>
      </c>
      <c r="J226" s="14">
        <v>0</v>
      </c>
      <c r="K226" s="14">
        <v>0</v>
      </c>
      <c r="L226" s="14">
        <v>0</v>
      </c>
      <c r="M226" s="14">
        <v>0</v>
      </c>
      <c r="N226" s="14">
        <v>0</v>
      </c>
      <c r="O226" s="14">
        <v>0</v>
      </c>
      <c r="P226" s="14">
        <v>0</v>
      </c>
      <c r="Q226" s="14">
        <v>1</v>
      </c>
      <c r="R226" s="15">
        <f>$G$226*$G$8+$H$226*$H$8+$I$226*$I$8+$J$226*$J$8+$K$226*$K$8+$L$226*$L$8+$M$226*$M$8+$N$226*$N$8+$O$226*$O$8+$P$226*$P$8+$Q$226*$Q$8</f>
        <v>5.4</v>
      </c>
      <c r="S226" s="15">
        <v>0</v>
      </c>
      <c r="T226" s="15">
        <f>$R$226+$S$226</f>
        <v>5.4</v>
      </c>
    </row>
    <row r="227" spans="1:20" x14ac:dyDescent="0.3">
      <c r="A227" s="10" t="s">
        <v>858</v>
      </c>
      <c r="B227" s="11" t="s">
        <v>859</v>
      </c>
      <c r="C227" s="11"/>
      <c r="D227" s="11" t="s">
        <v>860</v>
      </c>
      <c r="E227" s="11">
        <f xml:space="preserve"> IF($T$227,1,0)</f>
        <v>0</v>
      </c>
      <c r="F227" s="11" t="s">
        <v>861</v>
      </c>
      <c r="G227" s="11">
        <v>0</v>
      </c>
      <c r="H227" s="11">
        <v>0</v>
      </c>
      <c r="I227" s="11">
        <v>0</v>
      </c>
      <c r="J227" s="11">
        <v>0</v>
      </c>
      <c r="K227" s="11">
        <v>0</v>
      </c>
      <c r="L227" s="11">
        <v>0</v>
      </c>
      <c r="M227" s="11">
        <v>0</v>
      </c>
      <c r="N227" s="11">
        <v>0</v>
      </c>
      <c r="O227" s="11">
        <v>0</v>
      </c>
      <c r="P227" s="11">
        <v>0</v>
      </c>
      <c r="Q227" s="11">
        <v>0</v>
      </c>
      <c r="R227" s="12">
        <f>$G$227*$G$8+$H$227*$H$8+$I$227*$I$8+$J$227*$J$8+$K$227*$K$8+$L$227*$L$8+$M$227*$M$8+$N$227*$N$8+$O$227*$O$8+$P$227*$P$8+$Q$227*$Q$8</f>
        <v>0</v>
      </c>
      <c r="S227" s="12">
        <v>0</v>
      </c>
      <c r="T227" s="12">
        <f>$R$227+$S$227</f>
        <v>0</v>
      </c>
    </row>
    <row r="228" spans="1:20" x14ac:dyDescent="0.3">
      <c r="A228" s="13" t="s">
        <v>862</v>
      </c>
      <c r="B228" s="14" t="s">
        <v>863</v>
      </c>
      <c r="C228" s="14"/>
      <c r="D228" s="14" t="s">
        <v>864</v>
      </c>
      <c r="E228" s="14">
        <f xml:space="preserve"> IF($T$228,1,0)</f>
        <v>0</v>
      </c>
      <c r="F228" s="14" t="s">
        <v>865</v>
      </c>
      <c r="G228" s="14">
        <v>0</v>
      </c>
      <c r="H228" s="14">
        <v>0</v>
      </c>
      <c r="I228" s="14">
        <v>0</v>
      </c>
      <c r="J228" s="14">
        <v>0</v>
      </c>
      <c r="K228" s="14">
        <v>0</v>
      </c>
      <c r="L228" s="14">
        <v>0</v>
      </c>
      <c r="M228" s="14">
        <v>0</v>
      </c>
      <c r="N228" s="14">
        <v>0</v>
      </c>
      <c r="O228" s="14">
        <v>0</v>
      </c>
      <c r="P228" s="14">
        <v>0</v>
      </c>
      <c r="Q228" s="14">
        <v>0</v>
      </c>
      <c r="R228" s="15">
        <f>$G$228*$G$8+$H$228*$H$8+$I$228*$I$8+$J$228*$J$8+$K$228*$K$8+$L$228*$L$8+$M$228*$M$8+$N$228*$N$8+$O$228*$O$8+$P$228*$P$8+$Q$228*$Q$8</f>
        <v>0</v>
      </c>
      <c r="S228" s="15">
        <v>0</v>
      </c>
      <c r="T228" s="15">
        <f>$R$228+$S$228</f>
        <v>0</v>
      </c>
    </row>
    <row r="229" spans="1:20" x14ac:dyDescent="0.3">
      <c r="A229" s="10" t="s">
        <v>866</v>
      </c>
      <c r="B229" s="11" t="s">
        <v>867</v>
      </c>
      <c r="C229" s="11"/>
      <c r="D229" s="11" t="s">
        <v>868</v>
      </c>
      <c r="E229" s="11">
        <f xml:space="preserve"> IF($T$229,1,0)</f>
        <v>0</v>
      </c>
      <c r="F229" s="11" t="s">
        <v>869</v>
      </c>
      <c r="G229" s="11">
        <v>0</v>
      </c>
      <c r="H229" s="11">
        <v>0</v>
      </c>
      <c r="I229" s="11">
        <v>0</v>
      </c>
      <c r="J229" s="11">
        <v>0</v>
      </c>
      <c r="K229" s="11">
        <v>0</v>
      </c>
      <c r="L229" s="11">
        <v>0</v>
      </c>
      <c r="M229" s="11">
        <v>0</v>
      </c>
      <c r="N229" s="11">
        <v>0</v>
      </c>
      <c r="O229" s="11">
        <v>0</v>
      </c>
      <c r="P229" s="11">
        <v>0</v>
      </c>
      <c r="Q229" s="11">
        <v>0</v>
      </c>
      <c r="R229" s="12">
        <f>$G$229*$G$8+$H$229*$H$8+$I$229*$I$8+$J$229*$J$8+$K$229*$K$8+$L$229*$L$8+$M$229*$M$8+$N$229*$N$8+$O$229*$O$8+$P$229*$P$8+$Q$229*$Q$8</f>
        <v>0</v>
      </c>
      <c r="S229" s="12">
        <v>0</v>
      </c>
      <c r="T229" s="12">
        <f>$R$229+$S$229</f>
        <v>0</v>
      </c>
    </row>
    <row r="230" spans="1:20" x14ac:dyDescent="0.3">
      <c r="A230" s="13" t="s">
        <v>870</v>
      </c>
      <c r="B230" s="14" t="s">
        <v>871</v>
      </c>
      <c r="C230" s="14" t="s">
        <v>243</v>
      </c>
      <c r="D230" s="14" t="s">
        <v>399</v>
      </c>
      <c r="E230" s="14">
        <f xml:space="preserve"> IF($T$230,1,0)</f>
        <v>0</v>
      </c>
      <c r="F230" s="14" t="s">
        <v>872</v>
      </c>
      <c r="G230" s="14">
        <v>0</v>
      </c>
      <c r="H230" s="14">
        <v>0</v>
      </c>
      <c r="I230" s="14">
        <v>0</v>
      </c>
      <c r="J230" s="14">
        <v>0</v>
      </c>
      <c r="K230" s="14">
        <v>0</v>
      </c>
      <c r="L230" s="14">
        <v>0</v>
      </c>
      <c r="M230" s="14">
        <v>0</v>
      </c>
      <c r="N230" s="14">
        <v>0</v>
      </c>
      <c r="O230" s="14">
        <v>0</v>
      </c>
      <c r="P230" s="14">
        <v>0</v>
      </c>
      <c r="Q230" s="14">
        <v>0</v>
      </c>
      <c r="R230" s="15">
        <f>$G$230*$G$8+$H$230*$H$8+$I$230*$I$8+$J$230*$J$8+$K$230*$K$8+$L$230*$L$8+$M$230*$M$8+$N$230*$N$8+$O$230*$O$8+$P$230*$P$8+$Q$230*$Q$8</f>
        <v>0</v>
      </c>
      <c r="S230" s="15">
        <v>0</v>
      </c>
      <c r="T230" s="15">
        <f>$R$230+$S$230</f>
        <v>0</v>
      </c>
    </row>
    <row r="231" spans="1:20" x14ac:dyDescent="0.3">
      <c r="A231" s="10" t="s">
        <v>873</v>
      </c>
      <c r="B231" s="11" t="s">
        <v>874</v>
      </c>
      <c r="C231" s="11"/>
      <c r="D231" s="11" t="s">
        <v>875</v>
      </c>
      <c r="E231" s="11">
        <f xml:space="preserve"> IF($T$231,1,0)</f>
        <v>0</v>
      </c>
      <c r="F231" s="11" t="s">
        <v>876</v>
      </c>
      <c r="G231" s="11">
        <v>0</v>
      </c>
      <c r="H231" s="11">
        <v>0</v>
      </c>
      <c r="I231" s="11">
        <v>0</v>
      </c>
      <c r="J231" s="11">
        <v>0</v>
      </c>
      <c r="K231" s="11">
        <v>0</v>
      </c>
      <c r="L231" s="11">
        <v>0</v>
      </c>
      <c r="M231" s="11">
        <v>0</v>
      </c>
      <c r="N231" s="11">
        <v>0</v>
      </c>
      <c r="O231" s="11">
        <v>0</v>
      </c>
      <c r="P231" s="11">
        <v>0</v>
      </c>
      <c r="Q231" s="11">
        <v>0</v>
      </c>
      <c r="R231" s="12">
        <f>$G$231*$G$8+$H$231*$H$8+$I$231*$I$8+$J$231*$J$8+$K$231*$K$8+$L$231*$L$8+$M$231*$M$8+$N$231*$N$8+$O$231*$O$8+$P$231*$P$8+$Q$231*$Q$8</f>
        <v>0</v>
      </c>
      <c r="S231" s="12">
        <v>0</v>
      </c>
      <c r="T231" s="12">
        <f>$R$231+$S$231</f>
        <v>0</v>
      </c>
    </row>
    <row r="232" spans="1:20" x14ac:dyDescent="0.3">
      <c r="A232" s="13" t="s">
        <v>877</v>
      </c>
      <c r="B232" s="14" t="s">
        <v>878</v>
      </c>
      <c r="C232" s="14"/>
      <c r="D232" s="14" t="s">
        <v>879</v>
      </c>
      <c r="E232" s="14">
        <f xml:space="preserve"> IF($T$232,1,0)</f>
        <v>1</v>
      </c>
      <c r="F232" s="14" t="s">
        <v>880</v>
      </c>
      <c r="G232" s="14">
        <v>0</v>
      </c>
      <c r="H232" s="14">
        <v>1</v>
      </c>
      <c r="I232" s="14">
        <v>0</v>
      </c>
      <c r="J232" s="14">
        <v>0</v>
      </c>
      <c r="K232" s="14">
        <v>0</v>
      </c>
      <c r="L232" s="14">
        <v>0</v>
      </c>
      <c r="M232" s="14">
        <v>0</v>
      </c>
      <c r="N232" s="14">
        <v>0</v>
      </c>
      <c r="O232" s="14">
        <v>0</v>
      </c>
      <c r="P232" s="14">
        <v>0</v>
      </c>
      <c r="Q232" s="14">
        <v>0</v>
      </c>
      <c r="R232" s="15">
        <f>$G$232*$G$8+$H$232*$H$8+$I$232*$I$8+$J$232*$J$8+$K$232*$K$8+$L$232*$L$8+$M$232*$M$8+$N$232*$N$8+$O$232*$O$8+$P$232*$P$8+$Q$232*$Q$8</f>
        <v>2.2000000000000002</v>
      </c>
      <c r="S232" s="15">
        <v>0</v>
      </c>
      <c r="T232" s="15">
        <f>$R$232+$S$232</f>
        <v>2.2000000000000002</v>
      </c>
    </row>
    <row r="233" spans="1:20" x14ac:dyDescent="0.3">
      <c r="A233" s="10" t="s">
        <v>881</v>
      </c>
      <c r="B233" s="11" t="s">
        <v>882</v>
      </c>
      <c r="C233" s="11"/>
      <c r="D233" s="11" t="s">
        <v>883</v>
      </c>
      <c r="E233" s="11">
        <f xml:space="preserve"> IF($T$233,1,0)</f>
        <v>1</v>
      </c>
      <c r="F233" s="11" t="s">
        <v>884</v>
      </c>
      <c r="G233" s="11">
        <v>4</v>
      </c>
      <c r="H233" s="11">
        <v>2</v>
      </c>
      <c r="I233" s="11">
        <v>0</v>
      </c>
      <c r="J233" s="11">
        <v>0</v>
      </c>
      <c r="K233" s="11">
        <v>0</v>
      </c>
      <c r="L233" s="11">
        <v>0</v>
      </c>
      <c r="M233" s="11">
        <v>0</v>
      </c>
      <c r="N233" s="11">
        <v>0</v>
      </c>
      <c r="O233" s="11">
        <v>0</v>
      </c>
      <c r="P233" s="11">
        <v>0</v>
      </c>
      <c r="Q233" s="11">
        <v>0</v>
      </c>
      <c r="R233" s="12">
        <f>$G$233*$G$8+$H$233*$H$8+$I$233*$I$8+$J$233*$J$8+$K$233*$K$8+$L$233*$L$8+$M$233*$M$8+$N$233*$N$8+$O$233*$O$8+$P$233*$P$8+$Q$233*$Q$8</f>
        <v>8.8000000000000007</v>
      </c>
      <c r="S233" s="12">
        <v>0</v>
      </c>
      <c r="T233" s="12">
        <f>$R$233+$S$233</f>
        <v>8.8000000000000007</v>
      </c>
    </row>
    <row r="234" spans="1:20" x14ac:dyDescent="0.3">
      <c r="A234" s="13" t="s">
        <v>885</v>
      </c>
      <c r="B234" s="14" t="s">
        <v>886</v>
      </c>
      <c r="C234" s="14" t="s">
        <v>887</v>
      </c>
      <c r="D234" s="14" t="s">
        <v>888</v>
      </c>
      <c r="E234" s="14">
        <f xml:space="preserve"> IF($T$234,1,0)</f>
        <v>0</v>
      </c>
      <c r="F234" s="14" t="s">
        <v>889</v>
      </c>
      <c r="G234" s="14">
        <v>0</v>
      </c>
      <c r="H234" s="14">
        <v>0</v>
      </c>
      <c r="I234" s="14">
        <v>0</v>
      </c>
      <c r="J234" s="14">
        <v>0</v>
      </c>
      <c r="K234" s="14">
        <v>0</v>
      </c>
      <c r="L234" s="14">
        <v>0</v>
      </c>
      <c r="M234" s="14">
        <v>0</v>
      </c>
      <c r="N234" s="14">
        <v>0</v>
      </c>
      <c r="O234" s="14">
        <v>0</v>
      </c>
      <c r="P234" s="14">
        <v>0</v>
      </c>
      <c r="Q234" s="14">
        <v>0</v>
      </c>
      <c r="R234" s="15">
        <f>$G$234*$G$8+$H$234*$H$8+$I$234*$I$8+$J$234*$J$8+$K$234*$K$8+$L$234*$L$8+$M$234*$M$8+$N$234*$N$8+$O$234*$O$8+$P$234*$P$8+$Q$234*$Q$8</f>
        <v>0</v>
      </c>
      <c r="S234" s="15">
        <v>0</v>
      </c>
      <c r="T234" s="15">
        <f>$R$234+$S$234</f>
        <v>0</v>
      </c>
    </row>
    <row r="235" spans="1:20" x14ac:dyDescent="0.3">
      <c r="A235" s="10" t="s">
        <v>890</v>
      </c>
      <c r="B235" s="11" t="s">
        <v>886</v>
      </c>
      <c r="C235" s="11"/>
      <c r="D235" s="11" t="s">
        <v>891</v>
      </c>
      <c r="E235" s="11">
        <f xml:space="preserve"> IF($T$235,1,0)</f>
        <v>0</v>
      </c>
      <c r="F235" s="11" t="s">
        <v>892</v>
      </c>
      <c r="G235" s="11">
        <v>0</v>
      </c>
      <c r="H235" s="11">
        <v>0</v>
      </c>
      <c r="I235" s="11">
        <v>0</v>
      </c>
      <c r="J235" s="11">
        <v>0</v>
      </c>
      <c r="K235" s="11">
        <v>0</v>
      </c>
      <c r="L235" s="11">
        <v>0</v>
      </c>
      <c r="M235" s="11">
        <v>0</v>
      </c>
      <c r="N235" s="11">
        <v>0</v>
      </c>
      <c r="O235" s="11">
        <v>0</v>
      </c>
      <c r="P235" s="11">
        <v>0</v>
      </c>
      <c r="Q235" s="11">
        <v>0</v>
      </c>
      <c r="R235" s="12">
        <f>$G$235*$G$8+$H$235*$H$8+$I$235*$I$8+$J$235*$J$8+$K$235*$K$8+$L$235*$L$8+$M$235*$M$8+$N$235*$N$8+$O$235*$O$8+$P$235*$P$8+$Q$235*$Q$8</f>
        <v>0</v>
      </c>
      <c r="S235" s="12">
        <v>0</v>
      </c>
      <c r="T235" s="12">
        <f>$R$235+$S$235</f>
        <v>0</v>
      </c>
    </row>
    <row r="236" spans="1:20" x14ac:dyDescent="0.3">
      <c r="A236" s="13" t="s">
        <v>893</v>
      </c>
      <c r="B236" s="14" t="s">
        <v>894</v>
      </c>
      <c r="C236" s="14"/>
      <c r="D236" s="14" t="s">
        <v>895</v>
      </c>
      <c r="E236" s="14">
        <f xml:space="preserve"> IF($T$236,1,0)</f>
        <v>0</v>
      </c>
      <c r="F236" s="14" t="s">
        <v>896</v>
      </c>
      <c r="G236" s="14">
        <v>0</v>
      </c>
      <c r="H236" s="14">
        <v>0</v>
      </c>
      <c r="I236" s="14">
        <v>0</v>
      </c>
      <c r="J236" s="14">
        <v>0</v>
      </c>
      <c r="K236" s="14">
        <v>0</v>
      </c>
      <c r="L236" s="14">
        <v>0</v>
      </c>
      <c r="M236" s="14">
        <v>0</v>
      </c>
      <c r="N236" s="14">
        <v>0</v>
      </c>
      <c r="O236" s="14">
        <v>0</v>
      </c>
      <c r="P236" s="14">
        <v>0</v>
      </c>
      <c r="Q236" s="14">
        <v>0</v>
      </c>
      <c r="R236" s="15">
        <f>$G$236*$G$8+$H$236*$H$8+$I$236*$I$8+$J$236*$J$8+$K$236*$K$8+$L$236*$L$8+$M$236*$M$8+$N$236*$N$8+$O$236*$O$8+$P$236*$P$8+$Q$236*$Q$8</f>
        <v>0</v>
      </c>
      <c r="S236" s="15">
        <v>0</v>
      </c>
      <c r="T236" s="15">
        <f>$R$236+$S$236</f>
        <v>0</v>
      </c>
    </row>
    <row r="237" spans="1:20" x14ac:dyDescent="0.3">
      <c r="A237" s="10" t="s">
        <v>897</v>
      </c>
      <c r="B237" s="11" t="s">
        <v>898</v>
      </c>
      <c r="C237" s="11"/>
      <c r="D237" s="11" t="s">
        <v>899</v>
      </c>
      <c r="E237" s="11">
        <f xml:space="preserve"> IF($T$237,1,0)</f>
        <v>0</v>
      </c>
      <c r="F237" s="11" t="s">
        <v>900</v>
      </c>
      <c r="G237" s="11">
        <v>0</v>
      </c>
      <c r="H237" s="11">
        <v>0</v>
      </c>
      <c r="I237" s="11">
        <v>0</v>
      </c>
      <c r="J237" s="11">
        <v>0</v>
      </c>
      <c r="K237" s="11">
        <v>0</v>
      </c>
      <c r="L237" s="11">
        <v>0</v>
      </c>
      <c r="M237" s="11">
        <v>0</v>
      </c>
      <c r="N237" s="11">
        <v>0</v>
      </c>
      <c r="O237" s="11">
        <v>0</v>
      </c>
      <c r="P237" s="11">
        <v>0</v>
      </c>
      <c r="Q237" s="11">
        <v>0</v>
      </c>
      <c r="R237" s="12">
        <f>$G$237*$G$8+$H$237*$H$8+$I$237*$I$8+$J$237*$J$8+$K$237*$K$8+$L$237*$L$8+$M$237*$M$8+$N$237*$N$8+$O$237*$O$8+$P$237*$P$8+$Q$237*$Q$8</f>
        <v>0</v>
      </c>
      <c r="S237" s="12">
        <v>0</v>
      </c>
      <c r="T237" s="12">
        <f>$R$237+$S$237</f>
        <v>0</v>
      </c>
    </row>
    <row r="238" spans="1:20" x14ac:dyDescent="0.3">
      <c r="A238" s="13" t="s">
        <v>901</v>
      </c>
      <c r="B238" s="14" t="s">
        <v>902</v>
      </c>
      <c r="C238" s="14"/>
      <c r="D238" s="14" t="s">
        <v>903</v>
      </c>
      <c r="E238" s="14">
        <f xml:space="preserve"> IF($T$238,1,0)</f>
        <v>0</v>
      </c>
      <c r="F238" s="14" t="s">
        <v>904</v>
      </c>
      <c r="G238" s="14">
        <v>0</v>
      </c>
      <c r="H238" s="14">
        <v>0</v>
      </c>
      <c r="I238" s="14">
        <v>0</v>
      </c>
      <c r="J238" s="14">
        <v>0</v>
      </c>
      <c r="K238" s="14">
        <v>0</v>
      </c>
      <c r="L238" s="14">
        <v>0</v>
      </c>
      <c r="M238" s="14">
        <v>0</v>
      </c>
      <c r="N238" s="14">
        <v>0</v>
      </c>
      <c r="O238" s="14">
        <v>0</v>
      </c>
      <c r="P238" s="14">
        <v>0</v>
      </c>
      <c r="Q238" s="14">
        <v>0</v>
      </c>
      <c r="R238" s="15">
        <f>$G$238*$G$8+$H$238*$H$8+$I$238*$I$8+$J$238*$J$8+$K$238*$K$8+$L$238*$L$8+$M$238*$M$8+$N$238*$N$8+$O$238*$O$8+$P$238*$P$8+$Q$238*$Q$8</f>
        <v>0</v>
      </c>
      <c r="S238" s="15">
        <v>0</v>
      </c>
      <c r="T238" s="15">
        <f>$R$238+$S$238</f>
        <v>0</v>
      </c>
    </row>
    <row r="239" spans="1:20" x14ac:dyDescent="0.3">
      <c r="A239" s="10" t="s">
        <v>905</v>
      </c>
      <c r="B239" s="11" t="s">
        <v>906</v>
      </c>
      <c r="C239" s="11" t="s">
        <v>283</v>
      </c>
      <c r="D239" s="11" t="s">
        <v>296</v>
      </c>
      <c r="E239" s="11">
        <f xml:space="preserve"> IF($T$239,1,0)</f>
        <v>0</v>
      </c>
      <c r="F239" s="11" t="s">
        <v>907</v>
      </c>
      <c r="G239" s="11">
        <v>0</v>
      </c>
      <c r="H239" s="11">
        <v>0</v>
      </c>
      <c r="I239" s="11">
        <v>0</v>
      </c>
      <c r="J239" s="11">
        <v>0</v>
      </c>
      <c r="K239" s="11">
        <v>0</v>
      </c>
      <c r="L239" s="11">
        <v>0</v>
      </c>
      <c r="M239" s="11">
        <v>0</v>
      </c>
      <c r="N239" s="11">
        <v>0</v>
      </c>
      <c r="O239" s="11">
        <v>0</v>
      </c>
      <c r="P239" s="11">
        <v>0</v>
      </c>
      <c r="Q239" s="11">
        <v>0</v>
      </c>
      <c r="R239" s="12">
        <f>$G$239*$G$8+$H$239*$H$8+$I$239*$I$8+$J$239*$J$8+$K$239*$K$8+$L$239*$L$8+$M$239*$M$8+$N$239*$N$8+$O$239*$O$8+$P$239*$P$8+$Q$239*$Q$8</f>
        <v>0</v>
      </c>
      <c r="S239" s="12">
        <v>0</v>
      </c>
      <c r="T239" s="12">
        <f>$R$239+$S$239</f>
        <v>0</v>
      </c>
    </row>
    <row r="240" spans="1:20" x14ac:dyDescent="0.3">
      <c r="A240" s="13" t="s">
        <v>908</v>
      </c>
      <c r="B240" s="14" t="s">
        <v>909</v>
      </c>
      <c r="C240" s="14"/>
      <c r="D240" s="14" t="s">
        <v>910</v>
      </c>
      <c r="E240" s="14">
        <f xml:space="preserve"> IF($T$240,1,0)</f>
        <v>0</v>
      </c>
      <c r="F240" s="14" t="s">
        <v>911</v>
      </c>
      <c r="G240" s="14">
        <v>0</v>
      </c>
      <c r="H240" s="14">
        <v>0</v>
      </c>
      <c r="I240" s="14">
        <v>0</v>
      </c>
      <c r="J240" s="14">
        <v>0</v>
      </c>
      <c r="K240" s="14">
        <v>0</v>
      </c>
      <c r="L240" s="14">
        <v>0</v>
      </c>
      <c r="M240" s="14">
        <v>0</v>
      </c>
      <c r="N240" s="14">
        <v>0</v>
      </c>
      <c r="O240" s="14">
        <v>0</v>
      </c>
      <c r="P240" s="14">
        <v>0</v>
      </c>
      <c r="Q240" s="14">
        <v>0</v>
      </c>
      <c r="R240" s="15">
        <f>$G$240*$G$8+$H$240*$H$8+$I$240*$I$8+$J$240*$J$8+$K$240*$K$8+$L$240*$L$8+$M$240*$M$8+$N$240*$N$8+$O$240*$O$8+$P$240*$P$8+$Q$240*$Q$8</f>
        <v>0</v>
      </c>
      <c r="S240" s="15">
        <v>0</v>
      </c>
      <c r="T240" s="15">
        <f>$R$240+$S$240</f>
        <v>0</v>
      </c>
    </row>
    <row r="241" spans="1:20" x14ac:dyDescent="0.3">
      <c r="A241" s="10" t="s">
        <v>912</v>
      </c>
      <c r="B241" s="11" t="s">
        <v>913</v>
      </c>
      <c r="C241" s="11" t="s">
        <v>65</v>
      </c>
      <c r="D241" s="11" t="s">
        <v>914</v>
      </c>
      <c r="E241" s="11">
        <f xml:space="preserve"> IF($T$241,1,0)</f>
        <v>0</v>
      </c>
      <c r="F241" s="11" t="s">
        <v>915</v>
      </c>
      <c r="G241" s="11">
        <v>0</v>
      </c>
      <c r="H241" s="11">
        <v>0</v>
      </c>
      <c r="I241" s="11">
        <v>0</v>
      </c>
      <c r="J241" s="11">
        <v>0</v>
      </c>
      <c r="K241" s="11">
        <v>0</v>
      </c>
      <c r="L241" s="11">
        <v>0</v>
      </c>
      <c r="M241" s="11">
        <v>0</v>
      </c>
      <c r="N241" s="11">
        <v>0</v>
      </c>
      <c r="O241" s="11">
        <v>0</v>
      </c>
      <c r="P241" s="11">
        <v>0</v>
      </c>
      <c r="Q241" s="11">
        <v>0</v>
      </c>
      <c r="R241" s="12">
        <f>$G$241*$G$8+$H$241*$H$8+$I$241*$I$8+$J$241*$J$8+$K$241*$K$8+$L$241*$L$8+$M$241*$M$8+$N$241*$N$8+$O$241*$O$8+$P$241*$P$8+$Q$241*$Q$8</f>
        <v>0</v>
      </c>
      <c r="S241" s="12">
        <v>0</v>
      </c>
      <c r="T241" s="12">
        <f>$R$241+$S$241</f>
        <v>0</v>
      </c>
    </row>
    <row r="242" spans="1:20" x14ac:dyDescent="0.3">
      <c r="A242" s="13" t="s">
        <v>916</v>
      </c>
      <c r="B242" s="14" t="s">
        <v>917</v>
      </c>
      <c r="C242" s="14"/>
      <c r="D242" s="14" t="s">
        <v>918</v>
      </c>
      <c r="E242" s="14">
        <f xml:space="preserve"> IF($T$242,1,0)</f>
        <v>0</v>
      </c>
      <c r="F242" s="14" t="s">
        <v>919</v>
      </c>
      <c r="G242" s="14">
        <v>0</v>
      </c>
      <c r="H242" s="14">
        <v>0</v>
      </c>
      <c r="I242" s="14">
        <v>0</v>
      </c>
      <c r="J242" s="14">
        <v>0</v>
      </c>
      <c r="K242" s="14">
        <v>0</v>
      </c>
      <c r="L242" s="14">
        <v>0</v>
      </c>
      <c r="M242" s="14">
        <v>0</v>
      </c>
      <c r="N242" s="14">
        <v>0</v>
      </c>
      <c r="O242" s="14">
        <v>0</v>
      </c>
      <c r="P242" s="14">
        <v>0</v>
      </c>
      <c r="Q242" s="14">
        <v>0</v>
      </c>
      <c r="R242" s="15">
        <f>$G$242*$G$8+$H$242*$H$8+$I$242*$I$8+$J$242*$J$8+$K$242*$K$8+$L$242*$L$8+$M$242*$M$8+$N$242*$N$8+$O$242*$O$8+$P$242*$P$8+$Q$242*$Q$8</f>
        <v>0</v>
      </c>
      <c r="S242" s="15">
        <v>0</v>
      </c>
      <c r="T242" s="15">
        <f>$R$242+$S$242</f>
        <v>0</v>
      </c>
    </row>
    <row r="243" spans="1:20" x14ac:dyDescent="0.3">
      <c r="A243" s="10" t="s">
        <v>920</v>
      </c>
      <c r="B243" s="11" t="s">
        <v>917</v>
      </c>
      <c r="C243" s="11"/>
      <c r="D243" s="11" t="s">
        <v>921</v>
      </c>
      <c r="E243" s="11">
        <f xml:space="preserve"> IF($T$243,1,0)</f>
        <v>0</v>
      </c>
      <c r="F243" s="11" t="s">
        <v>922</v>
      </c>
      <c r="G243" s="11">
        <v>0</v>
      </c>
      <c r="H243" s="11">
        <v>0</v>
      </c>
      <c r="I243" s="11">
        <v>0</v>
      </c>
      <c r="J243" s="11">
        <v>0</v>
      </c>
      <c r="K243" s="11">
        <v>0</v>
      </c>
      <c r="L243" s="11">
        <v>0</v>
      </c>
      <c r="M243" s="11">
        <v>0</v>
      </c>
      <c r="N243" s="11">
        <v>0</v>
      </c>
      <c r="O243" s="11">
        <v>0</v>
      </c>
      <c r="P243" s="11">
        <v>0</v>
      </c>
      <c r="Q243" s="11">
        <v>0</v>
      </c>
      <c r="R243" s="12">
        <f>$G$243*$G$8+$H$243*$H$8+$I$243*$I$8+$J$243*$J$8+$K$243*$K$8+$L$243*$L$8+$M$243*$M$8+$N$243*$N$8+$O$243*$O$8+$P$243*$P$8+$Q$243*$Q$8</f>
        <v>0</v>
      </c>
      <c r="S243" s="12">
        <v>0</v>
      </c>
      <c r="T243" s="12">
        <f>$R$243+$S$243</f>
        <v>0</v>
      </c>
    </row>
    <row r="244" spans="1:20" x14ac:dyDescent="0.3">
      <c r="A244" s="13" t="s">
        <v>923</v>
      </c>
      <c r="B244" s="14" t="s">
        <v>917</v>
      </c>
      <c r="C244" s="14" t="s">
        <v>34</v>
      </c>
      <c r="D244" s="14" t="s">
        <v>924</v>
      </c>
      <c r="E244" s="14">
        <f xml:space="preserve"> IF($T$244,1,0)</f>
        <v>1</v>
      </c>
      <c r="F244" s="14" t="s">
        <v>925</v>
      </c>
      <c r="G244" s="14">
        <v>0</v>
      </c>
      <c r="H244" s="14">
        <v>5</v>
      </c>
      <c r="I244" s="14">
        <v>0</v>
      </c>
      <c r="J244" s="14">
        <v>0</v>
      </c>
      <c r="K244" s="14">
        <v>0</v>
      </c>
      <c r="L244" s="14">
        <v>0</v>
      </c>
      <c r="M244" s="14">
        <v>0</v>
      </c>
      <c r="N244" s="14">
        <v>0</v>
      </c>
      <c r="O244" s="14">
        <v>0</v>
      </c>
      <c r="P244" s="14">
        <v>0</v>
      </c>
      <c r="Q244" s="14">
        <v>0</v>
      </c>
      <c r="R244" s="15">
        <f>$G$244*$G$8+$H$244*$H$8+$I$244*$I$8+$J$244*$J$8+$K$244*$K$8+$L$244*$L$8+$M$244*$M$8+$N$244*$N$8+$O$244*$O$8+$P$244*$P$8+$Q$244*$Q$8</f>
        <v>11</v>
      </c>
      <c r="S244" s="15">
        <v>0</v>
      </c>
      <c r="T244" s="15">
        <f>$R$244+$S$244</f>
        <v>11</v>
      </c>
    </row>
    <row r="245" spans="1:20" x14ac:dyDescent="0.3">
      <c r="A245" s="10" t="s">
        <v>926</v>
      </c>
      <c r="B245" s="11" t="s">
        <v>927</v>
      </c>
      <c r="C245" s="11"/>
      <c r="D245" s="11" t="s">
        <v>928</v>
      </c>
      <c r="E245" s="11">
        <f xml:space="preserve"> IF($T$245,1,0)</f>
        <v>0</v>
      </c>
      <c r="F245" s="11" t="s">
        <v>929</v>
      </c>
      <c r="G245" s="11">
        <v>0</v>
      </c>
      <c r="H245" s="11">
        <v>0</v>
      </c>
      <c r="I245" s="11">
        <v>0</v>
      </c>
      <c r="J245" s="11">
        <v>0</v>
      </c>
      <c r="K245" s="11">
        <v>0</v>
      </c>
      <c r="L245" s="11">
        <v>0</v>
      </c>
      <c r="M245" s="11">
        <v>0</v>
      </c>
      <c r="N245" s="11">
        <v>0</v>
      </c>
      <c r="O245" s="11">
        <v>0</v>
      </c>
      <c r="P245" s="11">
        <v>0</v>
      </c>
      <c r="Q245" s="11">
        <v>0</v>
      </c>
      <c r="R245" s="12">
        <f>$G$245*$G$8+$H$245*$H$8+$I$245*$I$8+$J$245*$J$8+$K$245*$K$8+$L$245*$L$8+$M$245*$M$8+$N$245*$N$8+$O$245*$O$8+$P$245*$P$8+$Q$245*$Q$8</f>
        <v>0</v>
      </c>
      <c r="S245" s="12">
        <v>0</v>
      </c>
      <c r="T245" s="12">
        <f>$R$245+$S$245</f>
        <v>0</v>
      </c>
    </row>
    <row r="246" spans="1:20" x14ac:dyDescent="0.3">
      <c r="A246" s="13" t="s">
        <v>930</v>
      </c>
      <c r="B246" s="14" t="s">
        <v>931</v>
      </c>
      <c r="C246" s="14"/>
      <c r="D246" s="14" t="s">
        <v>932</v>
      </c>
      <c r="E246" s="14">
        <f xml:space="preserve"> IF($T$246,1,0)</f>
        <v>0</v>
      </c>
      <c r="F246" s="14" t="s">
        <v>933</v>
      </c>
      <c r="G246" s="14">
        <v>0</v>
      </c>
      <c r="H246" s="14">
        <v>0</v>
      </c>
      <c r="I246" s="14">
        <v>0</v>
      </c>
      <c r="J246" s="14">
        <v>0</v>
      </c>
      <c r="K246" s="14">
        <v>0</v>
      </c>
      <c r="L246" s="14">
        <v>0</v>
      </c>
      <c r="M246" s="14">
        <v>0</v>
      </c>
      <c r="N246" s="14">
        <v>0</v>
      </c>
      <c r="O246" s="14">
        <v>0</v>
      </c>
      <c r="P246" s="14">
        <v>0</v>
      </c>
      <c r="Q246" s="14">
        <v>0</v>
      </c>
      <c r="R246" s="15">
        <f>$G$246*$G$8+$H$246*$H$8+$I$246*$I$8+$J$246*$J$8+$K$246*$K$8+$L$246*$L$8+$M$246*$M$8+$N$246*$N$8+$O$246*$O$8+$P$246*$P$8+$Q$246*$Q$8</f>
        <v>0</v>
      </c>
      <c r="S246" s="15">
        <v>0</v>
      </c>
      <c r="T246" s="15">
        <f>$R$246+$S$246</f>
        <v>0</v>
      </c>
    </row>
    <row r="247" spans="1:20" x14ac:dyDescent="0.3">
      <c r="A247" s="10" t="s">
        <v>934</v>
      </c>
      <c r="B247" s="11" t="s">
        <v>935</v>
      </c>
      <c r="C247" s="11"/>
      <c r="D247" s="11" t="s">
        <v>936</v>
      </c>
      <c r="E247" s="11">
        <f xml:space="preserve"> IF($T$247,1,0)</f>
        <v>1</v>
      </c>
      <c r="F247" s="11" t="s">
        <v>937</v>
      </c>
      <c r="G247" s="11">
        <v>5</v>
      </c>
      <c r="H247" s="11">
        <v>0</v>
      </c>
      <c r="I247" s="11">
        <v>1</v>
      </c>
      <c r="J247" s="11">
        <v>0</v>
      </c>
      <c r="K247" s="11">
        <v>0</v>
      </c>
      <c r="L247" s="11">
        <v>0</v>
      </c>
      <c r="M247" s="11">
        <v>0</v>
      </c>
      <c r="N247" s="11">
        <v>0</v>
      </c>
      <c r="O247" s="11">
        <v>0</v>
      </c>
      <c r="P247" s="11">
        <v>0</v>
      </c>
      <c r="Q247" s="11">
        <v>0</v>
      </c>
      <c r="R247" s="12">
        <f>$G$247*$G$8+$H$247*$H$8+$I$247*$I$8+$J$247*$J$8+$K$247*$K$8+$L$247*$L$8+$M$247*$M$8+$N$247*$N$8+$O$247*$O$8+$P$247*$P$8+$Q$247*$Q$8</f>
        <v>6.5</v>
      </c>
      <c r="S247" s="12">
        <v>0</v>
      </c>
      <c r="T247" s="12">
        <f>$R$247+$S$247</f>
        <v>6.5</v>
      </c>
    </row>
    <row r="248" spans="1:20" x14ac:dyDescent="0.3">
      <c r="A248" s="13" t="s">
        <v>938</v>
      </c>
      <c r="B248" s="14" t="s">
        <v>939</v>
      </c>
      <c r="C248" s="14"/>
      <c r="D248" s="14" t="s">
        <v>940</v>
      </c>
      <c r="E248" s="14">
        <f xml:space="preserve"> IF($T$248,1,0)</f>
        <v>1</v>
      </c>
      <c r="F248" s="14" t="s">
        <v>941</v>
      </c>
      <c r="G248" s="14">
        <v>1</v>
      </c>
      <c r="H248" s="14">
        <v>2</v>
      </c>
      <c r="I248" s="14">
        <v>1</v>
      </c>
      <c r="J248" s="14">
        <v>3</v>
      </c>
      <c r="K248" s="14">
        <v>0</v>
      </c>
      <c r="L248" s="14">
        <v>0</v>
      </c>
      <c r="M248" s="14">
        <v>1</v>
      </c>
      <c r="N248" s="14">
        <v>0</v>
      </c>
      <c r="O248" s="14">
        <v>0</v>
      </c>
      <c r="P248" s="14">
        <v>0</v>
      </c>
      <c r="Q248" s="14">
        <v>0</v>
      </c>
      <c r="R248" s="15">
        <f>$G$248*$G$8+$H$248*$H$8+$I$248*$I$8+$J$248*$J$8+$K$248*$K$8+$L$248*$L$8+$M$248*$M$8+$N$248*$N$8+$O$248*$O$8+$P$248*$P$8+$Q$248*$Q$8</f>
        <v>15.5</v>
      </c>
      <c r="S248" s="15">
        <v>0</v>
      </c>
      <c r="T248" s="15">
        <f>$R$248+$S$248</f>
        <v>15.5</v>
      </c>
    </row>
    <row r="249" spans="1:20" x14ac:dyDescent="0.3">
      <c r="A249" s="10" t="s">
        <v>942</v>
      </c>
      <c r="B249" s="11" t="s">
        <v>943</v>
      </c>
      <c r="C249" s="11"/>
      <c r="D249" s="11" t="s">
        <v>944</v>
      </c>
      <c r="E249" s="11">
        <f xml:space="preserve"> IF($T$249,1,0)</f>
        <v>0</v>
      </c>
      <c r="F249" s="11" t="s">
        <v>945</v>
      </c>
      <c r="G249" s="11">
        <v>0</v>
      </c>
      <c r="H249" s="11">
        <v>0</v>
      </c>
      <c r="I249" s="11">
        <v>0</v>
      </c>
      <c r="J249" s="11">
        <v>0</v>
      </c>
      <c r="K249" s="11">
        <v>0</v>
      </c>
      <c r="L249" s="11">
        <v>0</v>
      </c>
      <c r="M249" s="11">
        <v>0</v>
      </c>
      <c r="N249" s="11">
        <v>0</v>
      </c>
      <c r="O249" s="11">
        <v>0</v>
      </c>
      <c r="P249" s="11">
        <v>0</v>
      </c>
      <c r="Q249" s="11">
        <v>0</v>
      </c>
      <c r="R249" s="12">
        <f>$G$249*$G$8+$H$249*$H$8+$I$249*$I$8+$J$249*$J$8+$K$249*$K$8+$L$249*$L$8+$M$249*$M$8+$N$249*$N$8+$O$249*$O$8+$P$249*$P$8+$Q$249*$Q$8</f>
        <v>0</v>
      </c>
      <c r="S249" s="12">
        <v>0</v>
      </c>
      <c r="T249" s="12">
        <f>$R$249+$S$249</f>
        <v>0</v>
      </c>
    </row>
    <row r="250" spans="1:20" x14ac:dyDescent="0.3">
      <c r="A250" s="13" t="s">
        <v>946</v>
      </c>
      <c r="B250" s="14" t="s">
        <v>947</v>
      </c>
      <c r="C250" s="14"/>
      <c r="D250" s="14" t="s">
        <v>948</v>
      </c>
      <c r="E250" s="14">
        <f xml:space="preserve"> IF($T$250,1,0)</f>
        <v>0</v>
      </c>
      <c r="F250" s="14" t="s">
        <v>949</v>
      </c>
      <c r="G250" s="14">
        <v>0</v>
      </c>
      <c r="H250" s="14">
        <v>0</v>
      </c>
      <c r="I250" s="14">
        <v>0</v>
      </c>
      <c r="J250" s="14">
        <v>0</v>
      </c>
      <c r="K250" s="14">
        <v>0</v>
      </c>
      <c r="L250" s="14">
        <v>0</v>
      </c>
      <c r="M250" s="14">
        <v>0</v>
      </c>
      <c r="N250" s="14">
        <v>0</v>
      </c>
      <c r="O250" s="14">
        <v>0</v>
      </c>
      <c r="P250" s="14">
        <v>0</v>
      </c>
      <c r="Q250" s="14">
        <v>0</v>
      </c>
      <c r="R250" s="15">
        <f>$G$250*$G$8+$H$250*$H$8+$I$250*$I$8+$J$250*$J$8+$K$250*$K$8+$L$250*$L$8+$M$250*$M$8+$N$250*$N$8+$O$250*$O$8+$P$250*$P$8+$Q$250*$Q$8</f>
        <v>0</v>
      </c>
      <c r="S250" s="15">
        <v>0</v>
      </c>
      <c r="T250" s="15">
        <f>$R$250+$S$250</f>
        <v>0</v>
      </c>
    </row>
    <row r="251" spans="1:20" x14ac:dyDescent="0.3">
      <c r="A251" s="10" t="s">
        <v>950</v>
      </c>
      <c r="B251" s="11" t="s">
        <v>951</v>
      </c>
      <c r="C251" s="11" t="s">
        <v>34</v>
      </c>
      <c r="D251" s="11" t="s">
        <v>118</v>
      </c>
      <c r="E251" s="11">
        <f xml:space="preserve"> IF($T$251,1,0)</f>
        <v>0</v>
      </c>
      <c r="F251" s="11" t="s">
        <v>952</v>
      </c>
      <c r="G251" s="11">
        <v>0</v>
      </c>
      <c r="H251" s="11">
        <v>0</v>
      </c>
      <c r="I251" s="11">
        <v>0</v>
      </c>
      <c r="J251" s="11">
        <v>0</v>
      </c>
      <c r="K251" s="11">
        <v>0</v>
      </c>
      <c r="L251" s="11">
        <v>0</v>
      </c>
      <c r="M251" s="11">
        <v>0</v>
      </c>
      <c r="N251" s="11">
        <v>0</v>
      </c>
      <c r="O251" s="11">
        <v>0</v>
      </c>
      <c r="P251" s="11">
        <v>0</v>
      </c>
      <c r="Q251" s="11">
        <v>0</v>
      </c>
      <c r="R251" s="12">
        <f>$G$251*$G$8+$H$251*$H$8+$I$251*$I$8+$J$251*$J$8+$K$251*$K$8+$L$251*$L$8+$M$251*$M$8+$N$251*$N$8+$O$251*$O$8+$P$251*$P$8+$Q$251*$Q$8</f>
        <v>0</v>
      </c>
      <c r="S251" s="12">
        <v>0</v>
      </c>
      <c r="T251" s="12">
        <f>$R$251+$S$251</f>
        <v>0</v>
      </c>
    </row>
    <row r="252" spans="1:20" x14ac:dyDescent="0.3">
      <c r="A252" s="13" t="s">
        <v>953</v>
      </c>
      <c r="B252" s="14" t="s">
        <v>954</v>
      </c>
      <c r="C252" s="14"/>
      <c r="D252" s="14" t="s">
        <v>955</v>
      </c>
      <c r="E252" s="14">
        <f xml:space="preserve"> IF($T$252,1,0)</f>
        <v>1</v>
      </c>
      <c r="F252" s="14" t="s">
        <v>956</v>
      </c>
      <c r="G252" s="14">
        <v>6</v>
      </c>
      <c r="H252" s="14">
        <v>2</v>
      </c>
      <c r="I252" s="14">
        <v>1</v>
      </c>
      <c r="J252" s="14">
        <v>0</v>
      </c>
      <c r="K252" s="14">
        <v>0</v>
      </c>
      <c r="L252" s="14">
        <v>0</v>
      </c>
      <c r="M252" s="14">
        <v>0</v>
      </c>
      <c r="N252" s="14">
        <v>0</v>
      </c>
      <c r="O252" s="14">
        <v>0</v>
      </c>
      <c r="P252" s="14">
        <v>0</v>
      </c>
      <c r="Q252" s="14">
        <v>0</v>
      </c>
      <c r="R252" s="15">
        <f>$G$252*$G$8+$H$252*$H$8+$I$252*$I$8+$J$252*$J$8+$K$252*$K$8+$L$252*$L$8+$M$252*$M$8+$N$252*$N$8+$O$252*$O$8+$P$252*$P$8+$Q$252*$Q$8</f>
        <v>12</v>
      </c>
      <c r="S252" s="15">
        <v>0</v>
      </c>
      <c r="T252" s="15">
        <f>$R$252+$S$252</f>
        <v>12</v>
      </c>
    </row>
    <row r="253" spans="1:20" x14ac:dyDescent="0.3">
      <c r="A253" s="10" t="s">
        <v>957</v>
      </c>
      <c r="B253" s="11" t="s">
        <v>958</v>
      </c>
      <c r="C253" s="11" t="s">
        <v>65</v>
      </c>
      <c r="D253" s="11" t="s">
        <v>959</v>
      </c>
      <c r="E253" s="11">
        <f xml:space="preserve"> IF($T$253,1,0)</f>
        <v>0</v>
      </c>
      <c r="F253" s="11" t="s">
        <v>960</v>
      </c>
      <c r="G253" s="11">
        <v>0</v>
      </c>
      <c r="H253" s="11">
        <v>0</v>
      </c>
      <c r="I253" s="11">
        <v>0</v>
      </c>
      <c r="J253" s="11">
        <v>0</v>
      </c>
      <c r="K253" s="11">
        <v>0</v>
      </c>
      <c r="L253" s="11">
        <v>0</v>
      </c>
      <c r="M253" s="11">
        <v>0</v>
      </c>
      <c r="N253" s="11">
        <v>0</v>
      </c>
      <c r="O253" s="11">
        <v>0</v>
      </c>
      <c r="P253" s="11">
        <v>0</v>
      </c>
      <c r="Q253" s="11">
        <v>0</v>
      </c>
      <c r="R253" s="12">
        <f>$G$253*$G$8+$H$253*$H$8+$I$253*$I$8+$J$253*$J$8+$K$253*$K$8+$L$253*$L$8+$M$253*$M$8+$N$253*$N$8+$O$253*$O$8+$P$253*$P$8+$Q$253*$Q$8</f>
        <v>0</v>
      </c>
      <c r="S253" s="12">
        <v>0</v>
      </c>
      <c r="T253" s="12">
        <f>$R$253+$S$253</f>
        <v>0</v>
      </c>
    </row>
    <row r="254" spans="1:20" x14ac:dyDescent="0.3">
      <c r="A254" s="13" t="s">
        <v>961</v>
      </c>
      <c r="B254" s="14" t="s">
        <v>962</v>
      </c>
      <c r="C254" s="14" t="s">
        <v>202</v>
      </c>
      <c r="D254" s="14" t="s">
        <v>963</v>
      </c>
      <c r="E254" s="14">
        <f xml:space="preserve"> IF($T$254,1,0)</f>
        <v>0</v>
      </c>
      <c r="F254" s="14" t="s">
        <v>964</v>
      </c>
      <c r="G254" s="14">
        <v>0</v>
      </c>
      <c r="H254" s="14">
        <v>0</v>
      </c>
      <c r="I254" s="14">
        <v>0</v>
      </c>
      <c r="J254" s="14">
        <v>0</v>
      </c>
      <c r="K254" s="14">
        <v>0</v>
      </c>
      <c r="L254" s="14">
        <v>0</v>
      </c>
      <c r="M254" s="14">
        <v>0</v>
      </c>
      <c r="N254" s="14">
        <v>0</v>
      </c>
      <c r="O254" s="14">
        <v>0</v>
      </c>
      <c r="P254" s="14">
        <v>0</v>
      </c>
      <c r="Q254" s="14">
        <v>0</v>
      </c>
      <c r="R254" s="15">
        <f>$G$254*$G$8+$H$254*$H$8+$I$254*$I$8+$J$254*$J$8+$K$254*$K$8+$L$254*$L$8+$M$254*$M$8+$N$254*$N$8+$O$254*$O$8+$P$254*$P$8+$Q$254*$Q$8</f>
        <v>0</v>
      </c>
      <c r="S254" s="15">
        <v>0</v>
      </c>
      <c r="T254" s="15">
        <f>$R$254+$S$254</f>
        <v>0</v>
      </c>
    </row>
    <row r="255" spans="1:20" x14ac:dyDescent="0.3">
      <c r="A255" s="10" t="s">
        <v>965</v>
      </c>
      <c r="B255" s="11" t="s">
        <v>966</v>
      </c>
      <c r="C255" s="11"/>
      <c r="D255" s="11" t="s">
        <v>609</v>
      </c>
      <c r="E255" s="11">
        <f xml:space="preserve"> IF($T$255,1,0)</f>
        <v>1</v>
      </c>
      <c r="F255" s="11" t="s">
        <v>967</v>
      </c>
      <c r="G255" s="11">
        <v>6</v>
      </c>
      <c r="H255" s="11">
        <v>2</v>
      </c>
      <c r="I255" s="11">
        <v>0</v>
      </c>
      <c r="J255" s="11">
        <v>0</v>
      </c>
      <c r="K255" s="11">
        <v>0</v>
      </c>
      <c r="L255" s="11">
        <v>0</v>
      </c>
      <c r="M255" s="11">
        <v>0</v>
      </c>
      <c r="N255" s="11">
        <v>0</v>
      </c>
      <c r="O255" s="11">
        <v>0</v>
      </c>
      <c r="P255" s="11">
        <v>0</v>
      </c>
      <c r="Q255" s="11">
        <v>0</v>
      </c>
      <c r="R255" s="12">
        <f>$G$255*$G$8+$H$255*$H$8+$I$255*$I$8+$J$255*$J$8+$K$255*$K$8+$L$255*$L$8+$M$255*$M$8+$N$255*$N$8+$O$255*$O$8+$P$255*$P$8+$Q$255*$Q$8</f>
        <v>11</v>
      </c>
      <c r="S255" s="12">
        <v>0</v>
      </c>
      <c r="T255" s="12">
        <f>$R$255+$S$255</f>
        <v>11</v>
      </c>
    </row>
    <row r="256" spans="1:20" x14ac:dyDescent="0.3">
      <c r="A256" s="13" t="s">
        <v>968</v>
      </c>
      <c r="B256" s="14" t="s">
        <v>969</v>
      </c>
      <c r="C256" s="14"/>
      <c r="D256" s="14" t="s">
        <v>970</v>
      </c>
      <c r="E256" s="14">
        <f xml:space="preserve"> IF($T$256,1,0)</f>
        <v>0</v>
      </c>
      <c r="F256" s="14" t="s">
        <v>971</v>
      </c>
      <c r="G256" s="14">
        <v>0</v>
      </c>
      <c r="H256" s="14">
        <v>0</v>
      </c>
      <c r="I256" s="14">
        <v>0</v>
      </c>
      <c r="J256" s="14">
        <v>0</v>
      </c>
      <c r="K256" s="14">
        <v>0</v>
      </c>
      <c r="L256" s="14">
        <v>0</v>
      </c>
      <c r="M256" s="14">
        <v>0</v>
      </c>
      <c r="N256" s="14">
        <v>0</v>
      </c>
      <c r="O256" s="14">
        <v>0</v>
      </c>
      <c r="P256" s="14">
        <v>0</v>
      </c>
      <c r="Q256" s="14">
        <v>0</v>
      </c>
      <c r="R256" s="15">
        <f>$G$256*$G$8+$H$256*$H$8+$I$256*$I$8+$J$256*$J$8+$K$256*$K$8+$L$256*$L$8+$M$256*$M$8+$N$256*$N$8+$O$256*$O$8+$P$256*$P$8+$Q$256*$Q$8</f>
        <v>0</v>
      </c>
      <c r="S256" s="15">
        <v>0</v>
      </c>
      <c r="T256" s="15">
        <f>$R$256+$S$256</f>
        <v>0</v>
      </c>
    </row>
    <row r="257" spans="1:20" x14ac:dyDescent="0.3">
      <c r="A257" s="10" t="s">
        <v>972</v>
      </c>
      <c r="B257" s="11" t="s">
        <v>973</v>
      </c>
      <c r="C257" s="11"/>
      <c r="D257" s="11" t="s">
        <v>974</v>
      </c>
      <c r="E257" s="11">
        <f xml:space="preserve"> IF($T$257,1,0)</f>
        <v>0</v>
      </c>
      <c r="F257" s="11" t="s">
        <v>975</v>
      </c>
      <c r="G257" s="11">
        <v>0</v>
      </c>
      <c r="H257" s="11">
        <v>0</v>
      </c>
      <c r="I257" s="11">
        <v>0</v>
      </c>
      <c r="J257" s="11">
        <v>0</v>
      </c>
      <c r="K257" s="11">
        <v>0</v>
      </c>
      <c r="L257" s="11">
        <v>0</v>
      </c>
      <c r="M257" s="11">
        <v>0</v>
      </c>
      <c r="N257" s="11">
        <v>0</v>
      </c>
      <c r="O257" s="11">
        <v>0</v>
      </c>
      <c r="P257" s="11">
        <v>0</v>
      </c>
      <c r="Q257" s="11">
        <v>0</v>
      </c>
      <c r="R257" s="12">
        <f>$G$257*$G$8+$H$257*$H$8+$I$257*$I$8+$J$257*$J$8+$K$257*$K$8+$L$257*$L$8+$M$257*$M$8+$N$257*$N$8+$O$257*$O$8+$P$257*$P$8+$Q$257*$Q$8</f>
        <v>0</v>
      </c>
      <c r="S257" s="12">
        <v>0</v>
      </c>
      <c r="T257" s="12">
        <f>$R$257+$S$257</f>
        <v>0</v>
      </c>
    </row>
    <row r="258" spans="1:20" x14ac:dyDescent="0.3">
      <c r="A258" s="13" t="s">
        <v>976</v>
      </c>
      <c r="B258" s="14" t="s">
        <v>977</v>
      </c>
      <c r="C258" s="14"/>
      <c r="D258" s="14" t="s">
        <v>978</v>
      </c>
      <c r="E258" s="14">
        <f xml:space="preserve"> IF($T$258,1,0)</f>
        <v>0</v>
      </c>
      <c r="F258" s="14" t="s">
        <v>979</v>
      </c>
      <c r="G258" s="14">
        <v>0</v>
      </c>
      <c r="H258" s="14">
        <v>0</v>
      </c>
      <c r="I258" s="14">
        <v>0</v>
      </c>
      <c r="J258" s="14">
        <v>0</v>
      </c>
      <c r="K258" s="14">
        <v>0</v>
      </c>
      <c r="L258" s="14">
        <v>0</v>
      </c>
      <c r="M258" s="14">
        <v>0</v>
      </c>
      <c r="N258" s="14">
        <v>0</v>
      </c>
      <c r="O258" s="14">
        <v>0</v>
      </c>
      <c r="P258" s="14">
        <v>0</v>
      </c>
      <c r="Q258" s="14">
        <v>0</v>
      </c>
      <c r="R258" s="15">
        <f>$G$258*$G$8+$H$258*$H$8+$I$258*$I$8+$J$258*$J$8+$K$258*$K$8+$L$258*$L$8+$M$258*$M$8+$N$258*$N$8+$O$258*$O$8+$P$258*$P$8+$Q$258*$Q$8</f>
        <v>0</v>
      </c>
      <c r="S258" s="15">
        <v>0</v>
      </c>
      <c r="T258" s="15">
        <f>$R$258+$S$258</f>
        <v>0</v>
      </c>
    </row>
    <row r="259" spans="1:20" x14ac:dyDescent="0.3">
      <c r="A259" s="10" t="s">
        <v>980</v>
      </c>
      <c r="B259" s="11" t="s">
        <v>981</v>
      </c>
      <c r="C259" s="11" t="s">
        <v>34</v>
      </c>
      <c r="D259" s="11" t="s">
        <v>982</v>
      </c>
      <c r="E259" s="11">
        <f xml:space="preserve"> IF($T$259,1,0)</f>
        <v>0</v>
      </c>
      <c r="F259" s="11" t="s">
        <v>983</v>
      </c>
      <c r="G259" s="11">
        <v>0</v>
      </c>
      <c r="H259" s="11">
        <v>0</v>
      </c>
      <c r="I259" s="11">
        <v>0</v>
      </c>
      <c r="J259" s="11">
        <v>0</v>
      </c>
      <c r="K259" s="11">
        <v>0</v>
      </c>
      <c r="L259" s="11">
        <v>0</v>
      </c>
      <c r="M259" s="11">
        <v>0</v>
      </c>
      <c r="N259" s="11">
        <v>0</v>
      </c>
      <c r="O259" s="11">
        <v>0</v>
      </c>
      <c r="P259" s="11">
        <v>0</v>
      </c>
      <c r="Q259" s="11">
        <v>0</v>
      </c>
      <c r="R259" s="12">
        <f>$G$259*$G$8+$H$259*$H$8+$I$259*$I$8+$J$259*$J$8+$K$259*$K$8+$L$259*$L$8+$M$259*$M$8+$N$259*$N$8+$O$259*$O$8+$P$259*$P$8+$Q$259*$Q$8</f>
        <v>0</v>
      </c>
      <c r="S259" s="12">
        <v>0</v>
      </c>
      <c r="T259" s="12">
        <f>$R$259+$S$259</f>
        <v>0</v>
      </c>
    </row>
    <row r="260" spans="1:20" x14ac:dyDescent="0.3">
      <c r="A260" s="13" t="s">
        <v>984</v>
      </c>
      <c r="B260" s="14" t="s">
        <v>985</v>
      </c>
      <c r="C260" s="14" t="s">
        <v>202</v>
      </c>
      <c r="D260" s="14" t="s">
        <v>986</v>
      </c>
      <c r="E260" s="14">
        <f xml:space="preserve"> IF($T$260,1,0)</f>
        <v>0</v>
      </c>
      <c r="F260" s="14" t="s">
        <v>987</v>
      </c>
      <c r="G260" s="14">
        <v>0</v>
      </c>
      <c r="H260" s="14">
        <v>0</v>
      </c>
      <c r="I260" s="14">
        <v>0</v>
      </c>
      <c r="J260" s="14">
        <v>0</v>
      </c>
      <c r="K260" s="14">
        <v>0</v>
      </c>
      <c r="L260" s="14">
        <v>0</v>
      </c>
      <c r="M260" s="14">
        <v>0</v>
      </c>
      <c r="N260" s="14">
        <v>0</v>
      </c>
      <c r="O260" s="14">
        <v>0</v>
      </c>
      <c r="P260" s="14">
        <v>0</v>
      </c>
      <c r="Q260" s="14">
        <v>0</v>
      </c>
      <c r="R260" s="15">
        <f>$G$260*$G$8+$H$260*$H$8+$I$260*$I$8+$J$260*$J$8+$K$260*$K$8+$L$260*$L$8+$M$260*$M$8+$N$260*$N$8+$O$260*$O$8+$P$260*$P$8+$Q$260*$Q$8</f>
        <v>0</v>
      </c>
      <c r="S260" s="15">
        <v>0</v>
      </c>
      <c r="T260" s="15">
        <f>$R$260+$S$260</f>
        <v>0</v>
      </c>
    </row>
    <row r="261" spans="1:20" x14ac:dyDescent="0.3">
      <c r="A261" s="10" t="s">
        <v>988</v>
      </c>
      <c r="B261" s="11" t="s">
        <v>989</v>
      </c>
      <c r="C261" s="11" t="s">
        <v>887</v>
      </c>
      <c r="D261" s="11" t="s">
        <v>990</v>
      </c>
      <c r="E261" s="11">
        <f xml:space="preserve"> IF($T$261,1,0)</f>
        <v>0</v>
      </c>
      <c r="F261" s="11" t="s">
        <v>991</v>
      </c>
      <c r="G261" s="11">
        <v>0</v>
      </c>
      <c r="H261" s="11">
        <v>0</v>
      </c>
      <c r="I261" s="11">
        <v>0</v>
      </c>
      <c r="J261" s="11">
        <v>0</v>
      </c>
      <c r="K261" s="11">
        <v>0</v>
      </c>
      <c r="L261" s="11">
        <v>0</v>
      </c>
      <c r="M261" s="11">
        <v>0</v>
      </c>
      <c r="N261" s="11">
        <v>0</v>
      </c>
      <c r="O261" s="11">
        <v>0</v>
      </c>
      <c r="P261" s="11">
        <v>0</v>
      </c>
      <c r="Q261" s="11">
        <v>0</v>
      </c>
      <c r="R261" s="12">
        <f>$G$261*$G$8+$H$261*$H$8+$I$261*$I$8+$J$261*$J$8+$K$261*$K$8+$L$261*$L$8+$M$261*$M$8+$N$261*$N$8+$O$261*$O$8+$P$261*$P$8+$Q$261*$Q$8</f>
        <v>0</v>
      </c>
      <c r="S261" s="12">
        <v>0</v>
      </c>
      <c r="T261" s="12">
        <f>$R$261+$S$261</f>
        <v>0</v>
      </c>
    </row>
    <row r="262" spans="1:20" x14ac:dyDescent="0.3">
      <c r="A262" s="13" t="s">
        <v>992</v>
      </c>
      <c r="B262" s="14" t="s">
        <v>343</v>
      </c>
      <c r="C262" s="14"/>
      <c r="D262" s="14" t="s">
        <v>993</v>
      </c>
      <c r="E262" s="14">
        <f xml:space="preserve"> IF($T$262,1,0)</f>
        <v>1</v>
      </c>
      <c r="F262" s="14" t="s">
        <v>994</v>
      </c>
      <c r="G262" s="14">
        <v>0</v>
      </c>
      <c r="H262" s="14">
        <v>0</v>
      </c>
      <c r="I262" s="14">
        <v>2</v>
      </c>
      <c r="J262" s="14">
        <v>0</v>
      </c>
      <c r="K262" s="14">
        <v>0</v>
      </c>
      <c r="L262" s="14">
        <v>0</v>
      </c>
      <c r="M262" s="14">
        <v>0</v>
      </c>
      <c r="N262" s="14">
        <v>0</v>
      </c>
      <c r="O262" s="14">
        <v>0</v>
      </c>
      <c r="P262" s="14">
        <v>0</v>
      </c>
      <c r="Q262" s="14">
        <v>0</v>
      </c>
      <c r="R262" s="15">
        <f>$G$262*$G$8+$H$262*$H$8+$I$262*$I$8+$J$262*$J$8+$K$262*$K$8+$L$262*$L$8+$M$262*$M$8+$N$262*$N$8+$O$262*$O$8+$P$262*$P$8+$Q$262*$Q$8</f>
        <v>2</v>
      </c>
      <c r="S262" s="15">
        <v>0</v>
      </c>
      <c r="T262" s="15">
        <f>$R$262+$S$262</f>
        <v>2</v>
      </c>
    </row>
    <row r="263" spans="1:20" x14ac:dyDescent="0.3">
      <c r="A263" s="10" t="s">
        <v>995</v>
      </c>
      <c r="B263" s="11" t="s">
        <v>996</v>
      </c>
      <c r="C263" s="11"/>
      <c r="D263" s="11" t="s">
        <v>997</v>
      </c>
      <c r="E263" s="11">
        <f xml:space="preserve"> IF($T$263,1,0)</f>
        <v>1</v>
      </c>
      <c r="F263" s="11" t="s">
        <v>998</v>
      </c>
      <c r="G263" s="11">
        <v>1</v>
      </c>
      <c r="H263" s="11">
        <v>2</v>
      </c>
      <c r="I263" s="11">
        <v>0</v>
      </c>
      <c r="J263" s="11">
        <v>2</v>
      </c>
      <c r="K263" s="11">
        <v>0</v>
      </c>
      <c r="L263" s="11">
        <v>0</v>
      </c>
      <c r="M263" s="11">
        <v>0</v>
      </c>
      <c r="N263" s="11">
        <v>0</v>
      </c>
      <c r="O263" s="11">
        <v>0</v>
      </c>
      <c r="P263" s="11">
        <v>0</v>
      </c>
      <c r="Q263" s="11">
        <v>1</v>
      </c>
      <c r="R263" s="12">
        <f>$G$263*$G$8+$H$263*$H$8+$I$263*$I$8+$J$263*$J$8+$K$263*$K$8+$L$263*$L$8+$M$263*$M$8+$N$263*$N$8+$O$263*$O$8+$P$263*$P$8+$Q$263*$Q$8</f>
        <v>10.5</v>
      </c>
      <c r="S263" s="12">
        <v>0</v>
      </c>
      <c r="T263" s="12">
        <f>$R$263+$S$263</f>
        <v>10.5</v>
      </c>
    </row>
    <row r="264" spans="1:20" x14ac:dyDescent="0.3">
      <c r="A264" s="13" t="s">
        <v>999</v>
      </c>
      <c r="B264" s="14" t="s">
        <v>1000</v>
      </c>
      <c r="C264" s="14" t="s">
        <v>202</v>
      </c>
      <c r="D264" s="14" t="s">
        <v>1001</v>
      </c>
      <c r="E264" s="14">
        <f xml:space="preserve"> IF($T$264,1,0)</f>
        <v>0</v>
      </c>
      <c r="F264" s="14" t="s">
        <v>1002</v>
      </c>
      <c r="G264" s="14">
        <v>0</v>
      </c>
      <c r="H264" s="14">
        <v>0</v>
      </c>
      <c r="I264" s="14">
        <v>0</v>
      </c>
      <c r="J264" s="14">
        <v>0</v>
      </c>
      <c r="K264" s="14">
        <v>0</v>
      </c>
      <c r="L264" s="14">
        <v>0</v>
      </c>
      <c r="M264" s="14">
        <v>0</v>
      </c>
      <c r="N264" s="14">
        <v>0</v>
      </c>
      <c r="O264" s="14">
        <v>0</v>
      </c>
      <c r="P264" s="14">
        <v>0</v>
      </c>
      <c r="Q264" s="14">
        <v>0</v>
      </c>
      <c r="R264" s="15">
        <f>$G$264*$G$8+$H$264*$H$8+$I$264*$I$8+$J$264*$J$8+$K$264*$K$8+$L$264*$L$8+$M$264*$M$8+$N$264*$N$8+$O$264*$O$8+$P$264*$P$8+$Q$264*$Q$8</f>
        <v>0</v>
      </c>
      <c r="S264" s="15">
        <v>0</v>
      </c>
      <c r="T264" s="15">
        <f>$R$264+$S$264</f>
        <v>0</v>
      </c>
    </row>
    <row r="265" spans="1:20" x14ac:dyDescent="0.3">
      <c r="A265" s="10" t="s">
        <v>1003</v>
      </c>
      <c r="B265" s="11" t="s">
        <v>1004</v>
      </c>
      <c r="C265" s="11"/>
      <c r="D265" s="11" t="s">
        <v>1005</v>
      </c>
      <c r="E265" s="11">
        <f xml:space="preserve"> IF($T$265,1,0)</f>
        <v>1</v>
      </c>
      <c r="F265" s="11" t="s">
        <v>1006</v>
      </c>
      <c r="G265" s="11">
        <v>2</v>
      </c>
      <c r="H265" s="11">
        <v>3</v>
      </c>
      <c r="I265" s="11">
        <v>0</v>
      </c>
      <c r="J265" s="11">
        <v>0</v>
      </c>
      <c r="K265" s="11">
        <v>0</v>
      </c>
      <c r="L265" s="11">
        <v>0</v>
      </c>
      <c r="M265" s="11">
        <v>0</v>
      </c>
      <c r="N265" s="11">
        <v>0</v>
      </c>
      <c r="O265" s="11">
        <v>0</v>
      </c>
      <c r="P265" s="11">
        <v>0</v>
      </c>
      <c r="Q265" s="11">
        <v>0</v>
      </c>
      <c r="R265" s="12">
        <f>$G$265*$G$8+$H$265*$H$8+$I$265*$I$8+$J$265*$J$8+$K$265*$K$8+$L$265*$L$8+$M$265*$M$8+$N$265*$N$8+$O$265*$O$8+$P$265*$P$8+$Q$265*$Q$8</f>
        <v>8.8000000000000007</v>
      </c>
      <c r="S265" s="12">
        <v>0</v>
      </c>
      <c r="T265" s="12">
        <f>$R$265+$S$265</f>
        <v>8.8000000000000007</v>
      </c>
    </row>
    <row r="266" spans="1:20" x14ac:dyDescent="0.3">
      <c r="A266" s="13" t="s">
        <v>1007</v>
      </c>
      <c r="B266" s="14" t="s">
        <v>1004</v>
      </c>
      <c r="C266" s="14"/>
      <c r="D266" s="14" t="s">
        <v>1008</v>
      </c>
      <c r="E266" s="14">
        <f xml:space="preserve"> IF($T$266,1,0)</f>
        <v>0</v>
      </c>
      <c r="F266" s="14" t="s">
        <v>1009</v>
      </c>
      <c r="G266" s="14">
        <v>0</v>
      </c>
      <c r="H266" s="14">
        <v>0</v>
      </c>
      <c r="I266" s="14">
        <v>0</v>
      </c>
      <c r="J266" s="14">
        <v>0</v>
      </c>
      <c r="K266" s="14">
        <v>0</v>
      </c>
      <c r="L266" s="14">
        <v>0</v>
      </c>
      <c r="M266" s="14">
        <v>0</v>
      </c>
      <c r="N266" s="14">
        <v>0</v>
      </c>
      <c r="O266" s="14">
        <v>0</v>
      </c>
      <c r="P266" s="14">
        <v>0</v>
      </c>
      <c r="Q266" s="14">
        <v>0</v>
      </c>
      <c r="R266" s="15">
        <f>$G$266*$G$8+$H$266*$H$8+$I$266*$I$8+$J$266*$J$8+$K$266*$K$8+$L$266*$L$8+$M$266*$M$8+$N$266*$N$8+$O$266*$O$8+$P$266*$P$8+$Q$266*$Q$8</f>
        <v>0</v>
      </c>
      <c r="S266" s="15">
        <v>0</v>
      </c>
      <c r="T266" s="15">
        <f>$R$266+$S$266</f>
        <v>0</v>
      </c>
    </row>
    <row r="267" spans="1:20" x14ac:dyDescent="0.3">
      <c r="A267" s="10" t="s">
        <v>1010</v>
      </c>
      <c r="B267" s="11" t="s">
        <v>1011</v>
      </c>
      <c r="C267" s="11"/>
      <c r="D267" s="11" t="s">
        <v>1012</v>
      </c>
      <c r="E267" s="11">
        <f xml:space="preserve"> IF($T$267,1,0)</f>
        <v>0</v>
      </c>
      <c r="F267" s="11" t="s">
        <v>1013</v>
      </c>
      <c r="G267" s="11">
        <v>0</v>
      </c>
      <c r="H267" s="11">
        <v>0</v>
      </c>
      <c r="I267" s="11">
        <v>0</v>
      </c>
      <c r="J267" s="11">
        <v>0</v>
      </c>
      <c r="K267" s="11">
        <v>0</v>
      </c>
      <c r="L267" s="11">
        <v>0</v>
      </c>
      <c r="M267" s="11">
        <v>0</v>
      </c>
      <c r="N267" s="11">
        <v>0</v>
      </c>
      <c r="O267" s="11">
        <v>0</v>
      </c>
      <c r="P267" s="11">
        <v>0</v>
      </c>
      <c r="Q267" s="11">
        <v>0</v>
      </c>
      <c r="R267" s="12">
        <f>$G$267*$G$8+$H$267*$H$8+$I$267*$I$8+$J$267*$J$8+$K$267*$K$8+$L$267*$L$8+$M$267*$M$8+$N$267*$N$8+$O$267*$O$8+$P$267*$P$8+$Q$267*$Q$8</f>
        <v>0</v>
      </c>
      <c r="S267" s="12">
        <v>0</v>
      </c>
      <c r="T267" s="12">
        <f>$R$267+$S$267</f>
        <v>0</v>
      </c>
    </row>
    <row r="268" spans="1:20" x14ac:dyDescent="0.3">
      <c r="A268" s="13" t="s">
        <v>1014</v>
      </c>
      <c r="B268" s="14" t="s">
        <v>1015</v>
      </c>
      <c r="C268" s="14"/>
      <c r="D268" s="14" t="s">
        <v>1016</v>
      </c>
      <c r="E268" s="14">
        <f xml:space="preserve"> IF($T$268,1,0)</f>
        <v>0</v>
      </c>
      <c r="F268" s="14" t="s">
        <v>1017</v>
      </c>
      <c r="G268" s="14">
        <v>0</v>
      </c>
      <c r="H268" s="14">
        <v>0</v>
      </c>
      <c r="I268" s="14">
        <v>0</v>
      </c>
      <c r="J268" s="14">
        <v>0</v>
      </c>
      <c r="K268" s="14">
        <v>0</v>
      </c>
      <c r="L268" s="14">
        <v>0</v>
      </c>
      <c r="M268" s="14">
        <v>0</v>
      </c>
      <c r="N268" s="14">
        <v>0</v>
      </c>
      <c r="O268" s="14">
        <v>0</v>
      </c>
      <c r="P268" s="14">
        <v>0</v>
      </c>
      <c r="Q268" s="14">
        <v>0</v>
      </c>
      <c r="R268" s="15">
        <f>$G$268*$G$8+$H$268*$H$8+$I$268*$I$8+$J$268*$J$8+$K$268*$K$8+$L$268*$L$8+$M$268*$M$8+$N$268*$N$8+$O$268*$O$8+$P$268*$P$8+$Q$268*$Q$8</f>
        <v>0</v>
      </c>
      <c r="S268" s="15">
        <v>0</v>
      </c>
      <c r="T268" s="15">
        <f>$R$268+$S$268</f>
        <v>0</v>
      </c>
    </row>
    <row r="269" spans="1:20" x14ac:dyDescent="0.3">
      <c r="A269" s="10" t="s">
        <v>1018</v>
      </c>
      <c r="B269" s="11" t="s">
        <v>1015</v>
      </c>
      <c r="C269" s="11"/>
      <c r="D269" s="11" t="s">
        <v>1019</v>
      </c>
      <c r="E269" s="11">
        <f xml:space="preserve"> IF($T$269,1,0)</f>
        <v>0</v>
      </c>
      <c r="F269" s="11" t="s">
        <v>1020</v>
      </c>
      <c r="G269" s="11">
        <v>0</v>
      </c>
      <c r="H269" s="11">
        <v>0</v>
      </c>
      <c r="I269" s="11">
        <v>0</v>
      </c>
      <c r="J269" s="11">
        <v>0</v>
      </c>
      <c r="K269" s="11">
        <v>0</v>
      </c>
      <c r="L269" s="11">
        <v>0</v>
      </c>
      <c r="M269" s="11">
        <v>0</v>
      </c>
      <c r="N269" s="11">
        <v>0</v>
      </c>
      <c r="O269" s="11">
        <v>0</v>
      </c>
      <c r="P269" s="11">
        <v>0</v>
      </c>
      <c r="Q269" s="11">
        <v>0</v>
      </c>
      <c r="R269" s="12">
        <f>$G$269*$G$8+$H$269*$H$8+$I$269*$I$8+$J$269*$J$8+$K$269*$K$8+$L$269*$L$8+$M$269*$M$8+$N$269*$N$8+$O$269*$O$8+$P$269*$P$8+$Q$269*$Q$8</f>
        <v>0</v>
      </c>
      <c r="S269" s="12">
        <v>0</v>
      </c>
      <c r="T269" s="12">
        <f>$R$269+$S$269</f>
        <v>0</v>
      </c>
    </row>
    <row r="270" spans="1:20" x14ac:dyDescent="0.3">
      <c r="A270" s="13" t="s">
        <v>1021</v>
      </c>
      <c r="B270" s="14" t="s">
        <v>1022</v>
      </c>
      <c r="C270" s="14" t="s">
        <v>283</v>
      </c>
      <c r="D270" s="14" t="s">
        <v>1023</v>
      </c>
      <c r="E270" s="14">
        <f xml:space="preserve"> IF($T$270,1,0)</f>
        <v>0</v>
      </c>
      <c r="F270" s="14" t="s">
        <v>1024</v>
      </c>
      <c r="G270" s="14">
        <v>0</v>
      </c>
      <c r="H270" s="14">
        <v>0</v>
      </c>
      <c r="I270" s="14">
        <v>0</v>
      </c>
      <c r="J270" s="14">
        <v>0</v>
      </c>
      <c r="K270" s="14">
        <v>0</v>
      </c>
      <c r="L270" s="14">
        <v>0</v>
      </c>
      <c r="M270" s="14">
        <v>0</v>
      </c>
      <c r="N270" s="14">
        <v>0</v>
      </c>
      <c r="O270" s="14">
        <v>0</v>
      </c>
      <c r="P270" s="14">
        <v>0</v>
      </c>
      <c r="Q270" s="14">
        <v>0</v>
      </c>
      <c r="R270" s="15">
        <f>$G$270*$G$8+$H$270*$H$8+$I$270*$I$8+$J$270*$J$8+$K$270*$K$8+$L$270*$L$8+$M$270*$M$8+$N$270*$N$8+$O$270*$O$8+$P$270*$P$8+$Q$270*$Q$8</f>
        <v>0</v>
      </c>
      <c r="S270" s="15">
        <v>0</v>
      </c>
      <c r="T270" s="15">
        <f>$R$270+$S$270</f>
        <v>0</v>
      </c>
    </row>
    <row r="271" spans="1:20" x14ac:dyDescent="0.3">
      <c r="A271" s="10" t="s">
        <v>1025</v>
      </c>
      <c r="B271" s="11" t="s">
        <v>1026</v>
      </c>
      <c r="C271" s="11"/>
      <c r="D271" s="11" t="s">
        <v>1027</v>
      </c>
      <c r="E271" s="11">
        <f xml:space="preserve"> IF($T$271,1,0)</f>
        <v>0</v>
      </c>
      <c r="F271" s="11" t="s">
        <v>1028</v>
      </c>
      <c r="G271" s="11">
        <v>0</v>
      </c>
      <c r="H271" s="11">
        <v>0</v>
      </c>
      <c r="I271" s="11">
        <v>0</v>
      </c>
      <c r="J271" s="11">
        <v>0</v>
      </c>
      <c r="K271" s="11">
        <v>0</v>
      </c>
      <c r="L271" s="11">
        <v>0</v>
      </c>
      <c r="M271" s="11">
        <v>0</v>
      </c>
      <c r="N271" s="11">
        <v>0</v>
      </c>
      <c r="O271" s="11">
        <v>0</v>
      </c>
      <c r="P271" s="11">
        <v>0</v>
      </c>
      <c r="Q271" s="11">
        <v>0</v>
      </c>
      <c r="R271" s="12">
        <f>$G$271*$G$8+$H$271*$H$8+$I$271*$I$8+$J$271*$J$8+$K$271*$K$8+$L$271*$L$8+$M$271*$M$8+$N$271*$N$8+$O$271*$O$8+$P$271*$P$8+$Q$271*$Q$8</f>
        <v>0</v>
      </c>
      <c r="S271" s="12">
        <v>0</v>
      </c>
      <c r="T271" s="12">
        <f>$R$271+$S$271</f>
        <v>0</v>
      </c>
    </row>
    <row r="272" spans="1:20" x14ac:dyDescent="0.3">
      <c r="A272" s="13" t="s">
        <v>1029</v>
      </c>
      <c r="B272" s="14" t="s">
        <v>1030</v>
      </c>
      <c r="C272" s="14" t="s">
        <v>34</v>
      </c>
      <c r="D272" s="14" t="s">
        <v>1031</v>
      </c>
      <c r="E272" s="14">
        <f xml:space="preserve"> IF($T$272,1,0)</f>
        <v>0</v>
      </c>
      <c r="F272" s="14" t="s">
        <v>1032</v>
      </c>
      <c r="G272" s="14">
        <v>0</v>
      </c>
      <c r="H272" s="14">
        <v>0</v>
      </c>
      <c r="I272" s="14">
        <v>0</v>
      </c>
      <c r="J272" s="14">
        <v>0</v>
      </c>
      <c r="K272" s="14">
        <v>0</v>
      </c>
      <c r="L272" s="14">
        <v>0</v>
      </c>
      <c r="M272" s="14">
        <v>0</v>
      </c>
      <c r="N272" s="14">
        <v>0</v>
      </c>
      <c r="O272" s="14">
        <v>0</v>
      </c>
      <c r="P272" s="14">
        <v>0</v>
      </c>
      <c r="Q272" s="14">
        <v>0</v>
      </c>
      <c r="R272" s="15">
        <f>$G$272*$G$8+$H$272*$H$8+$I$272*$I$8+$J$272*$J$8+$K$272*$K$8+$L$272*$L$8+$M$272*$M$8+$N$272*$N$8+$O$272*$O$8+$P$272*$P$8+$Q$272*$Q$8</f>
        <v>0</v>
      </c>
      <c r="S272" s="15">
        <v>0</v>
      </c>
      <c r="T272" s="15">
        <f>$R$272+$S$272</f>
        <v>0</v>
      </c>
    </row>
    <row r="273" spans="1:20" x14ac:dyDescent="0.3">
      <c r="A273" s="10" t="s">
        <v>1033</v>
      </c>
      <c r="B273" s="11" t="s">
        <v>1030</v>
      </c>
      <c r="C273" s="11"/>
      <c r="D273" s="11" t="s">
        <v>1034</v>
      </c>
      <c r="E273" s="11">
        <f xml:space="preserve"> IF($T$273,1,0)</f>
        <v>0</v>
      </c>
      <c r="F273" s="11" t="s">
        <v>1035</v>
      </c>
      <c r="G273" s="11">
        <v>0</v>
      </c>
      <c r="H273" s="11">
        <v>0</v>
      </c>
      <c r="I273" s="11">
        <v>0</v>
      </c>
      <c r="J273" s="11">
        <v>0</v>
      </c>
      <c r="K273" s="11">
        <v>0</v>
      </c>
      <c r="L273" s="11">
        <v>0</v>
      </c>
      <c r="M273" s="11">
        <v>0</v>
      </c>
      <c r="N273" s="11">
        <v>0</v>
      </c>
      <c r="O273" s="11">
        <v>0</v>
      </c>
      <c r="P273" s="11">
        <v>0</v>
      </c>
      <c r="Q273" s="11">
        <v>0</v>
      </c>
      <c r="R273" s="12">
        <f>$G$273*$G$8+$H$273*$H$8+$I$273*$I$8+$J$273*$J$8+$K$273*$K$8+$L$273*$L$8+$M$273*$M$8+$N$273*$N$8+$O$273*$O$8+$P$273*$P$8+$Q$273*$Q$8</f>
        <v>0</v>
      </c>
      <c r="S273" s="12">
        <v>0</v>
      </c>
      <c r="T273" s="12">
        <f>$R$273+$S$273</f>
        <v>0</v>
      </c>
    </row>
    <row r="274" spans="1:20" x14ac:dyDescent="0.3">
      <c r="A274" s="13" t="s">
        <v>1036</v>
      </c>
      <c r="B274" s="14" t="s">
        <v>1037</v>
      </c>
      <c r="C274" s="14"/>
      <c r="D274" s="14" t="s">
        <v>1038</v>
      </c>
      <c r="E274" s="14">
        <f xml:space="preserve"> IF($T$274,1,0)</f>
        <v>1</v>
      </c>
      <c r="F274" s="14" t="s">
        <v>1039</v>
      </c>
      <c r="G274" s="14">
        <v>4</v>
      </c>
      <c r="H274" s="14">
        <v>0</v>
      </c>
      <c r="I274" s="14">
        <v>0</v>
      </c>
      <c r="J274" s="14">
        <v>0</v>
      </c>
      <c r="K274" s="14">
        <v>0</v>
      </c>
      <c r="L274" s="14">
        <v>0</v>
      </c>
      <c r="M274" s="14">
        <v>0</v>
      </c>
      <c r="N274" s="14">
        <v>0</v>
      </c>
      <c r="O274" s="14">
        <v>0</v>
      </c>
      <c r="P274" s="14">
        <v>0</v>
      </c>
      <c r="Q274" s="14">
        <v>0</v>
      </c>
      <c r="R274" s="15">
        <f>$G$274*$G$8+$H$274*$H$8+$I$274*$I$8+$J$274*$J$8+$K$274*$K$8+$L$274*$L$8+$M$274*$M$8+$N$274*$N$8+$O$274*$O$8+$P$274*$P$8+$Q$274*$Q$8</f>
        <v>4.4000000000000004</v>
      </c>
      <c r="S274" s="15">
        <v>0</v>
      </c>
      <c r="T274" s="15">
        <f>$R$274+$S$274</f>
        <v>4.4000000000000004</v>
      </c>
    </row>
    <row r="275" spans="1:20" x14ac:dyDescent="0.3">
      <c r="A275" s="10" t="s">
        <v>1040</v>
      </c>
      <c r="B275" s="11" t="s">
        <v>1037</v>
      </c>
      <c r="C275" s="11" t="s">
        <v>202</v>
      </c>
      <c r="D275" s="11" t="s">
        <v>1041</v>
      </c>
      <c r="E275" s="11">
        <f xml:space="preserve"> IF($T$275,1,0)</f>
        <v>0</v>
      </c>
      <c r="F275" s="11" t="s">
        <v>1042</v>
      </c>
      <c r="G275" s="11">
        <v>0</v>
      </c>
      <c r="H275" s="11">
        <v>0</v>
      </c>
      <c r="I275" s="11">
        <v>0</v>
      </c>
      <c r="J275" s="11">
        <v>0</v>
      </c>
      <c r="K275" s="11">
        <v>0</v>
      </c>
      <c r="L275" s="11">
        <v>0</v>
      </c>
      <c r="M275" s="11">
        <v>0</v>
      </c>
      <c r="N275" s="11">
        <v>0</v>
      </c>
      <c r="O275" s="11">
        <v>0</v>
      </c>
      <c r="P275" s="11">
        <v>0</v>
      </c>
      <c r="Q275" s="11">
        <v>0</v>
      </c>
      <c r="R275" s="12">
        <f>$G$275*$G$8+$H$275*$H$8+$I$275*$I$8+$J$275*$J$8+$K$275*$K$8+$L$275*$L$8+$M$275*$M$8+$N$275*$N$8+$O$275*$O$8+$P$275*$P$8+$Q$275*$Q$8</f>
        <v>0</v>
      </c>
      <c r="S275" s="12">
        <v>0</v>
      </c>
      <c r="T275" s="12">
        <f>$R$275+$S$275</f>
        <v>0</v>
      </c>
    </row>
    <row r="276" spans="1:20" x14ac:dyDescent="0.3">
      <c r="A276" s="13" t="s">
        <v>1043</v>
      </c>
      <c r="B276" s="14" t="s">
        <v>1044</v>
      </c>
      <c r="C276" s="14"/>
      <c r="D276" s="14" t="s">
        <v>1045</v>
      </c>
      <c r="E276" s="14">
        <f xml:space="preserve"> IF($T$276,1,0)</f>
        <v>0</v>
      </c>
      <c r="F276" s="14" t="s">
        <v>1046</v>
      </c>
      <c r="G276" s="14">
        <v>0</v>
      </c>
      <c r="H276" s="14">
        <v>0</v>
      </c>
      <c r="I276" s="14">
        <v>0</v>
      </c>
      <c r="J276" s="14">
        <v>0</v>
      </c>
      <c r="K276" s="14">
        <v>0</v>
      </c>
      <c r="L276" s="14">
        <v>0</v>
      </c>
      <c r="M276" s="14">
        <v>0</v>
      </c>
      <c r="N276" s="14">
        <v>0</v>
      </c>
      <c r="O276" s="14">
        <v>0</v>
      </c>
      <c r="P276" s="14">
        <v>0</v>
      </c>
      <c r="Q276" s="14">
        <v>0</v>
      </c>
      <c r="R276" s="15">
        <f>$G$276*$G$8+$H$276*$H$8+$I$276*$I$8+$J$276*$J$8+$K$276*$K$8+$L$276*$L$8+$M$276*$M$8+$N$276*$N$8+$O$276*$O$8+$P$276*$P$8+$Q$276*$Q$8</f>
        <v>0</v>
      </c>
      <c r="S276" s="15">
        <v>0</v>
      </c>
      <c r="T276" s="15">
        <f>$R$276+$S$276</f>
        <v>0</v>
      </c>
    </row>
    <row r="277" spans="1:20" x14ac:dyDescent="0.3">
      <c r="A277" s="10" t="s">
        <v>1047</v>
      </c>
      <c r="B277" s="11" t="s">
        <v>1048</v>
      </c>
      <c r="C277" s="11"/>
      <c r="D277" s="11" t="s">
        <v>1049</v>
      </c>
      <c r="E277" s="11">
        <f xml:space="preserve"> IF($T$277,1,0)</f>
        <v>0</v>
      </c>
      <c r="F277" s="11" t="s">
        <v>1050</v>
      </c>
      <c r="G277" s="11">
        <v>0</v>
      </c>
      <c r="H277" s="11">
        <v>0</v>
      </c>
      <c r="I277" s="11">
        <v>0</v>
      </c>
      <c r="J277" s="11">
        <v>0</v>
      </c>
      <c r="K277" s="11">
        <v>0</v>
      </c>
      <c r="L277" s="11">
        <v>0</v>
      </c>
      <c r="M277" s="11">
        <v>0</v>
      </c>
      <c r="N277" s="11">
        <v>0</v>
      </c>
      <c r="O277" s="11">
        <v>0</v>
      </c>
      <c r="P277" s="11">
        <v>0</v>
      </c>
      <c r="Q277" s="11">
        <v>0</v>
      </c>
      <c r="R277" s="12">
        <f>$G$277*$G$8+$H$277*$H$8+$I$277*$I$8+$J$277*$J$8+$K$277*$K$8+$L$277*$L$8+$M$277*$M$8+$N$277*$N$8+$O$277*$O$8+$P$277*$P$8+$Q$277*$Q$8</f>
        <v>0</v>
      </c>
      <c r="S277" s="12">
        <v>0</v>
      </c>
      <c r="T277" s="12">
        <f>$R$277+$S$277</f>
        <v>0</v>
      </c>
    </row>
    <row r="278" spans="1:20" x14ac:dyDescent="0.3">
      <c r="A278" s="13" t="s">
        <v>1051</v>
      </c>
      <c r="B278" s="14" t="s">
        <v>1052</v>
      </c>
      <c r="C278" s="14" t="s">
        <v>34</v>
      </c>
      <c r="D278" s="14" t="s">
        <v>1053</v>
      </c>
      <c r="E278" s="14">
        <f xml:space="preserve"> IF($T$278,1,0)</f>
        <v>0</v>
      </c>
      <c r="F278" s="14" t="s">
        <v>1054</v>
      </c>
      <c r="G278" s="14">
        <v>0</v>
      </c>
      <c r="H278" s="14">
        <v>0</v>
      </c>
      <c r="I278" s="14">
        <v>0</v>
      </c>
      <c r="J278" s="14">
        <v>0</v>
      </c>
      <c r="K278" s="14">
        <v>0</v>
      </c>
      <c r="L278" s="14">
        <v>0</v>
      </c>
      <c r="M278" s="14">
        <v>0</v>
      </c>
      <c r="N278" s="14">
        <v>0</v>
      </c>
      <c r="O278" s="14">
        <v>0</v>
      </c>
      <c r="P278" s="14">
        <v>0</v>
      </c>
      <c r="Q278" s="14">
        <v>0</v>
      </c>
      <c r="R278" s="15">
        <f>$G$278*$G$8+$H$278*$H$8+$I$278*$I$8+$J$278*$J$8+$K$278*$K$8+$L$278*$L$8+$M$278*$M$8+$N$278*$N$8+$O$278*$O$8+$P$278*$P$8+$Q$278*$Q$8</f>
        <v>0</v>
      </c>
      <c r="S278" s="15">
        <v>0</v>
      </c>
      <c r="T278" s="15">
        <f>$R$278+$S$278</f>
        <v>0</v>
      </c>
    </row>
    <row r="279" spans="1:20" x14ac:dyDescent="0.3">
      <c r="A279" s="10" t="s">
        <v>1055</v>
      </c>
      <c r="B279" s="11" t="s">
        <v>1056</v>
      </c>
      <c r="C279" s="11" t="s">
        <v>243</v>
      </c>
      <c r="D279" s="11" t="s">
        <v>1057</v>
      </c>
      <c r="E279" s="11">
        <f xml:space="preserve"> IF($T$279,1,0)</f>
        <v>0</v>
      </c>
      <c r="F279" s="11" t="s">
        <v>1058</v>
      </c>
      <c r="G279" s="11">
        <v>0</v>
      </c>
      <c r="H279" s="11">
        <v>0</v>
      </c>
      <c r="I279" s="11">
        <v>0</v>
      </c>
      <c r="J279" s="11">
        <v>0</v>
      </c>
      <c r="K279" s="11">
        <v>0</v>
      </c>
      <c r="L279" s="11">
        <v>0</v>
      </c>
      <c r="M279" s="11">
        <v>0</v>
      </c>
      <c r="N279" s="11">
        <v>0</v>
      </c>
      <c r="O279" s="11">
        <v>0</v>
      </c>
      <c r="P279" s="11">
        <v>0</v>
      </c>
      <c r="Q279" s="11">
        <v>0</v>
      </c>
      <c r="R279" s="12">
        <f>$G$279*$G$8+$H$279*$H$8+$I$279*$I$8+$J$279*$J$8+$K$279*$K$8+$L$279*$L$8+$M$279*$M$8+$N$279*$N$8+$O$279*$O$8+$P$279*$P$8+$Q$279*$Q$8</f>
        <v>0</v>
      </c>
      <c r="S279" s="12">
        <v>0</v>
      </c>
      <c r="T279" s="12">
        <f>$R$279+$S$279</f>
        <v>0</v>
      </c>
    </row>
    <row r="280" spans="1:20" x14ac:dyDescent="0.3">
      <c r="A280" s="13" t="s">
        <v>1059</v>
      </c>
      <c r="B280" s="14" t="s">
        <v>1056</v>
      </c>
      <c r="C280" s="14" t="s">
        <v>278</v>
      </c>
      <c r="D280" s="14" t="s">
        <v>1060</v>
      </c>
      <c r="E280" s="14">
        <f xml:space="preserve"> IF($T$280,1,0)</f>
        <v>0</v>
      </c>
      <c r="F280" s="14" t="s">
        <v>1061</v>
      </c>
      <c r="G280" s="14">
        <v>0</v>
      </c>
      <c r="H280" s="14">
        <v>0</v>
      </c>
      <c r="I280" s="14">
        <v>0</v>
      </c>
      <c r="J280" s="14">
        <v>0</v>
      </c>
      <c r="K280" s="14">
        <v>0</v>
      </c>
      <c r="L280" s="14">
        <v>0</v>
      </c>
      <c r="M280" s="14">
        <v>0</v>
      </c>
      <c r="N280" s="14">
        <v>0</v>
      </c>
      <c r="O280" s="14">
        <v>0</v>
      </c>
      <c r="P280" s="14">
        <v>0</v>
      </c>
      <c r="Q280" s="14">
        <v>0</v>
      </c>
      <c r="R280" s="15">
        <f>$G$280*$G$8+$H$280*$H$8+$I$280*$I$8+$J$280*$J$8+$K$280*$K$8+$L$280*$L$8+$M$280*$M$8+$N$280*$N$8+$O$280*$O$8+$P$280*$P$8+$Q$280*$Q$8</f>
        <v>0</v>
      </c>
      <c r="S280" s="15">
        <v>0</v>
      </c>
      <c r="T280" s="15">
        <f>$R$280+$S$280</f>
        <v>0</v>
      </c>
    </row>
    <row r="281" spans="1:20" x14ac:dyDescent="0.3">
      <c r="A281" s="10" t="s">
        <v>1062</v>
      </c>
      <c r="B281" s="11" t="s">
        <v>1063</v>
      </c>
      <c r="C281" s="11"/>
      <c r="D281" s="11" t="s">
        <v>1064</v>
      </c>
      <c r="E281" s="11">
        <f xml:space="preserve"> IF($T$281,1,0)</f>
        <v>0</v>
      </c>
      <c r="F281" s="11" t="s">
        <v>1065</v>
      </c>
      <c r="G281" s="11">
        <v>0</v>
      </c>
      <c r="H281" s="11">
        <v>0</v>
      </c>
      <c r="I281" s="11">
        <v>0</v>
      </c>
      <c r="J281" s="11">
        <v>0</v>
      </c>
      <c r="K281" s="11">
        <v>0</v>
      </c>
      <c r="L281" s="11">
        <v>0</v>
      </c>
      <c r="M281" s="11">
        <v>0</v>
      </c>
      <c r="N281" s="11">
        <v>0</v>
      </c>
      <c r="O281" s="11">
        <v>0</v>
      </c>
      <c r="P281" s="11">
        <v>0</v>
      </c>
      <c r="Q281" s="11">
        <v>0</v>
      </c>
      <c r="R281" s="12">
        <f>$G$281*$G$8+$H$281*$H$8+$I$281*$I$8+$J$281*$J$8+$K$281*$K$8+$L$281*$L$8+$M$281*$M$8+$N$281*$N$8+$O$281*$O$8+$P$281*$P$8+$Q$281*$Q$8</f>
        <v>0</v>
      </c>
      <c r="S281" s="12">
        <v>0</v>
      </c>
      <c r="T281" s="12">
        <f>$R$281+$S$281</f>
        <v>0</v>
      </c>
    </row>
    <row r="282" spans="1:20" x14ac:dyDescent="0.3">
      <c r="A282" s="13" t="s">
        <v>1066</v>
      </c>
      <c r="B282" s="14" t="s">
        <v>1067</v>
      </c>
      <c r="C282" s="14" t="s">
        <v>202</v>
      </c>
      <c r="D282" s="14" t="s">
        <v>1068</v>
      </c>
      <c r="E282" s="14">
        <f xml:space="preserve"> IF($T$282,1,0)</f>
        <v>0</v>
      </c>
      <c r="F282" s="14" t="s">
        <v>1069</v>
      </c>
      <c r="G282" s="14">
        <v>0</v>
      </c>
      <c r="H282" s="14">
        <v>0</v>
      </c>
      <c r="I282" s="14">
        <v>0</v>
      </c>
      <c r="J282" s="14">
        <v>0</v>
      </c>
      <c r="K282" s="14">
        <v>0</v>
      </c>
      <c r="L282" s="14">
        <v>0</v>
      </c>
      <c r="M282" s="14">
        <v>0</v>
      </c>
      <c r="N282" s="14">
        <v>0</v>
      </c>
      <c r="O282" s="14">
        <v>0</v>
      </c>
      <c r="P282" s="14">
        <v>0</v>
      </c>
      <c r="Q282" s="14">
        <v>0</v>
      </c>
      <c r="R282" s="15">
        <f>$G$282*$G$8+$H$282*$H$8+$I$282*$I$8+$J$282*$J$8+$K$282*$K$8+$L$282*$L$8+$M$282*$M$8+$N$282*$N$8+$O$282*$O$8+$P$282*$P$8+$Q$282*$Q$8</f>
        <v>0</v>
      </c>
      <c r="S282" s="15">
        <v>0</v>
      </c>
      <c r="T282" s="15">
        <f>$R$282+$S$282</f>
        <v>0</v>
      </c>
    </row>
    <row r="283" spans="1:20" x14ac:dyDescent="0.3">
      <c r="A283" s="10" t="s">
        <v>1070</v>
      </c>
      <c r="B283" s="11" t="s">
        <v>1071</v>
      </c>
      <c r="C283" s="11"/>
      <c r="D283" s="11" t="s">
        <v>1072</v>
      </c>
      <c r="E283" s="11">
        <f xml:space="preserve"> IF($T$283,1,0)</f>
        <v>0</v>
      </c>
      <c r="F283" s="11" t="s">
        <v>1073</v>
      </c>
      <c r="G283" s="11">
        <v>0</v>
      </c>
      <c r="H283" s="11">
        <v>0</v>
      </c>
      <c r="I283" s="11">
        <v>0</v>
      </c>
      <c r="J283" s="11">
        <v>0</v>
      </c>
      <c r="K283" s="11">
        <v>0</v>
      </c>
      <c r="L283" s="11">
        <v>0</v>
      </c>
      <c r="M283" s="11">
        <v>0</v>
      </c>
      <c r="N283" s="11">
        <v>0</v>
      </c>
      <c r="O283" s="11">
        <v>0</v>
      </c>
      <c r="P283" s="11">
        <v>0</v>
      </c>
      <c r="Q283" s="11">
        <v>0</v>
      </c>
      <c r="R283" s="12">
        <f>$G$283*$G$8+$H$283*$H$8+$I$283*$I$8+$J$283*$J$8+$K$283*$K$8+$L$283*$L$8+$M$283*$M$8+$N$283*$N$8+$O$283*$O$8+$P$283*$P$8+$Q$283*$Q$8</f>
        <v>0</v>
      </c>
      <c r="S283" s="12">
        <v>0</v>
      </c>
      <c r="T283" s="12">
        <f>$R$283+$S$283</f>
        <v>0</v>
      </c>
    </row>
    <row r="284" spans="1:20" x14ac:dyDescent="0.3">
      <c r="A284" s="13" t="s">
        <v>1074</v>
      </c>
      <c r="B284" s="14" t="s">
        <v>1071</v>
      </c>
      <c r="C284" s="14"/>
      <c r="D284" s="14" t="s">
        <v>1075</v>
      </c>
      <c r="E284" s="14">
        <f xml:space="preserve"> IF($T$284,1,0)</f>
        <v>1</v>
      </c>
      <c r="F284" s="14" t="s">
        <v>1076</v>
      </c>
      <c r="G284" s="14">
        <v>0</v>
      </c>
      <c r="H284" s="14">
        <v>2</v>
      </c>
      <c r="I284" s="14">
        <v>0</v>
      </c>
      <c r="J284" s="14">
        <v>0</v>
      </c>
      <c r="K284" s="14">
        <v>0</v>
      </c>
      <c r="L284" s="14">
        <v>0</v>
      </c>
      <c r="M284" s="14">
        <v>0</v>
      </c>
      <c r="N284" s="14">
        <v>0</v>
      </c>
      <c r="O284" s="14">
        <v>0</v>
      </c>
      <c r="P284" s="14">
        <v>0</v>
      </c>
      <c r="Q284" s="14">
        <v>1</v>
      </c>
      <c r="R284" s="15">
        <f>$G$284*$G$8+$H$284*$H$8+$I$284*$I$8+$J$284*$J$8+$K$284*$K$8+$L$284*$L$8+$M$284*$M$8+$N$284*$N$8+$O$284*$O$8+$P$284*$P$8+$Q$284*$Q$8</f>
        <v>5.4</v>
      </c>
      <c r="S284" s="15">
        <v>0</v>
      </c>
      <c r="T284" s="15">
        <f>$R$284+$S$284</f>
        <v>5.4</v>
      </c>
    </row>
    <row r="285" spans="1:20" x14ac:dyDescent="0.3">
      <c r="A285" s="10" t="s">
        <v>1077</v>
      </c>
      <c r="B285" s="11" t="s">
        <v>1078</v>
      </c>
      <c r="C285" s="11"/>
      <c r="D285" s="11" t="s">
        <v>1079</v>
      </c>
      <c r="E285" s="11">
        <f xml:space="preserve"> IF($T$285,1,0)</f>
        <v>0</v>
      </c>
      <c r="F285" s="11" t="s">
        <v>1080</v>
      </c>
      <c r="G285" s="11">
        <v>0</v>
      </c>
      <c r="H285" s="11">
        <v>0</v>
      </c>
      <c r="I285" s="11">
        <v>0</v>
      </c>
      <c r="J285" s="11">
        <v>0</v>
      </c>
      <c r="K285" s="11">
        <v>0</v>
      </c>
      <c r="L285" s="11">
        <v>0</v>
      </c>
      <c r="M285" s="11">
        <v>0</v>
      </c>
      <c r="N285" s="11">
        <v>0</v>
      </c>
      <c r="O285" s="11">
        <v>0</v>
      </c>
      <c r="P285" s="11">
        <v>0</v>
      </c>
      <c r="Q285" s="11">
        <v>0</v>
      </c>
      <c r="R285" s="12">
        <f>$G$285*$G$8+$H$285*$H$8+$I$285*$I$8+$J$285*$J$8+$K$285*$K$8+$L$285*$L$8+$M$285*$M$8+$N$285*$N$8+$O$285*$O$8+$P$285*$P$8+$Q$285*$Q$8</f>
        <v>0</v>
      </c>
      <c r="S285" s="12">
        <v>0</v>
      </c>
      <c r="T285" s="12">
        <f>$R$285+$S$285</f>
        <v>0</v>
      </c>
    </row>
    <row r="286" spans="1:20" x14ac:dyDescent="0.3">
      <c r="A286" s="13" t="s">
        <v>1081</v>
      </c>
      <c r="B286" s="14" t="s">
        <v>1082</v>
      </c>
      <c r="C286" s="14"/>
      <c r="D286" s="14" t="s">
        <v>1083</v>
      </c>
      <c r="E286" s="14">
        <f xml:space="preserve"> IF($T$286,1,0)</f>
        <v>0</v>
      </c>
      <c r="F286" s="14" t="s">
        <v>1084</v>
      </c>
      <c r="G286" s="14">
        <v>0</v>
      </c>
      <c r="H286" s="14">
        <v>0</v>
      </c>
      <c r="I286" s="14">
        <v>0</v>
      </c>
      <c r="J286" s="14">
        <v>0</v>
      </c>
      <c r="K286" s="14">
        <v>0</v>
      </c>
      <c r="L286" s="14">
        <v>0</v>
      </c>
      <c r="M286" s="14">
        <v>0</v>
      </c>
      <c r="N286" s="14">
        <v>0</v>
      </c>
      <c r="O286" s="14">
        <v>0</v>
      </c>
      <c r="P286" s="14">
        <v>0</v>
      </c>
      <c r="Q286" s="14">
        <v>0</v>
      </c>
      <c r="R286" s="15">
        <f>$G$286*$G$8+$H$286*$H$8+$I$286*$I$8+$J$286*$J$8+$K$286*$K$8+$L$286*$L$8+$M$286*$M$8+$N$286*$N$8+$O$286*$O$8+$P$286*$P$8+$Q$286*$Q$8</f>
        <v>0</v>
      </c>
      <c r="S286" s="15">
        <v>0</v>
      </c>
      <c r="T286" s="15">
        <f>$R$286+$S$286</f>
        <v>0</v>
      </c>
    </row>
    <row r="287" spans="1:20" x14ac:dyDescent="0.3">
      <c r="A287" s="10" t="s">
        <v>1085</v>
      </c>
      <c r="B287" s="11" t="s">
        <v>1082</v>
      </c>
      <c r="C287" s="11"/>
      <c r="D287" s="11" t="s">
        <v>1086</v>
      </c>
      <c r="E287" s="11">
        <f xml:space="preserve"> IF($T$287,1,0)</f>
        <v>0</v>
      </c>
      <c r="F287" s="11" t="s">
        <v>1087</v>
      </c>
      <c r="G287" s="11">
        <v>0</v>
      </c>
      <c r="H287" s="11">
        <v>0</v>
      </c>
      <c r="I287" s="11">
        <v>0</v>
      </c>
      <c r="J287" s="11">
        <v>0</v>
      </c>
      <c r="K287" s="11">
        <v>0</v>
      </c>
      <c r="L287" s="11">
        <v>0</v>
      </c>
      <c r="M287" s="11">
        <v>0</v>
      </c>
      <c r="N287" s="11">
        <v>0</v>
      </c>
      <c r="O287" s="11">
        <v>0</v>
      </c>
      <c r="P287" s="11">
        <v>0</v>
      </c>
      <c r="Q287" s="11">
        <v>0</v>
      </c>
      <c r="R287" s="12">
        <f>$G$287*$G$8+$H$287*$H$8+$I$287*$I$8+$J$287*$J$8+$K$287*$K$8+$L$287*$L$8+$M$287*$M$8+$N$287*$N$8+$O$287*$O$8+$P$287*$P$8+$Q$287*$Q$8</f>
        <v>0</v>
      </c>
      <c r="S287" s="12">
        <v>0</v>
      </c>
      <c r="T287" s="12">
        <f>$R$287+$S$287</f>
        <v>0</v>
      </c>
    </row>
    <row r="288" spans="1:20" x14ac:dyDescent="0.3">
      <c r="A288" s="13" t="s">
        <v>1088</v>
      </c>
      <c r="B288" s="14" t="s">
        <v>1082</v>
      </c>
      <c r="C288" s="14" t="s">
        <v>65</v>
      </c>
      <c r="D288" s="14" t="s">
        <v>1089</v>
      </c>
      <c r="E288" s="14">
        <f xml:space="preserve"> IF($T$288,1,0)</f>
        <v>1</v>
      </c>
      <c r="F288" s="14" t="s">
        <v>1090</v>
      </c>
      <c r="G288" s="14">
        <v>1</v>
      </c>
      <c r="H288" s="14">
        <v>1</v>
      </c>
      <c r="I288" s="14">
        <v>3</v>
      </c>
      <c r="J288" s="14">
        <v>0</v>
      </c>
      <c r="K288" s="14">
        <v>0</v>
      </c>
      <c r="L288" s="14">
        <v>0</v>
      </c>
      <c r="M288" s="14">
        <v>0</v>
      </c>
      <c r="N288" s="14">
        <v>0</v>
      </c>
      <c r="O288" s="14">
        <v>0</v>
      </c>
      <c r="P288" s="14">
        <v>0</v>
      </c>
      <c r="Q288" s="14">
        <v>0</v>
      </c>
      <c r="R288" s="15">
        <f>$G$288*$G$8+$H$288*$H$8+$I$288*$I$8+$J$288*$J$8+$K$288*$K$8+$L$288*$L$8+$M$288*$M$8+$N$288*$N$8+$O$288*$O$8+$P$288*$P$8+$Q$288*$Q$8</f>
        <v>6.3000000000000007</v>
      </c>
      <c r="S288" s="15">
        <v>0</v>
      </c>
      <c r="T288" s="15">
        <f>$R$288+$S$288</f>
        <v>6.3000000000000007</v>
      </c>
    </row>
    <row r="289" spans="1:20" x14ac:dyDescent="0.3">
      <c r="A289" s="10" t="s">
        <v>1091</v>
      </c>
      <c r="B289" s="11" t="s">
        <v>1082</v>
      </c>
      <c r="C289" s="11"/>
      <c r="D289" s="11" t="s">
        <v>1092</v>
      </c>
      <c r="E289" s="11">
        <f xml:space="preserve"> IF($T$289,1,0)</f>
        <v>1</v>
      </c>
      <c r="F289" s="11" t="s">
        <v>1093</v>
      </c>
      <c r="G289" s="11">
        <v>0</v>
      </c>
      <c r="H289" s="11">
        <v>0</v>
      </c>
      <c r="I289" s="11">
        <v>0</v>
      </c>
      <c r="J289" s="11">
        <v>0</v>
      </c>
      <c r="K289" s="11">
        <v>0</v>
      </c>
      <c r="L289" s="11">
        <v>0</v>
      </c>
      <c r="M289" s="11">
        <v>3</v>
      </c>
      <c r="N289" s="11">
        <v>0</v>
      </c>
      <c r="O289" s="11">
        <v>0</v>
      </c>
      <c r="P289" s="11">
        <v>0</v>
      </c>
      <c r="Q289" s="11">
        <v>0</v>
      </c>
      <c r="R289" s="12">
        <f>$G$289*$G$8+$H$289*$H$8+$I$289*$I$8+$J$289*$J$8+$K$289*$K$8+$L$289*$L$8+$M$289*$M$8+$N$289*$N$8+$O$289*$O$8+$P$289*$P$8+$Q$289*$Q$8</f>
        <v>9</v>
      </c>
      <c r="S289" s="12">
        <v>0</v>
      </c>
      <c r="T289" s="12">
        <f>$R$289+$S$289</f>
        <v>9</v>
      </c>
    </row>
    <row r="290" spans="1:20" x14ac:dyDescent="0.3">
      <c r="A290" s="13" t="s">
        <v>1094</v>
      </c>
      <c r="B290" s="14" t="s">
        <v>1095</v>
      </c>
      <c r="C290" s="14" t="s">
        <v>34</v>
      </c>
      <c r="D290" s="14" t="s">
        <v>1096</v>
      </c>
      <c r="E290" s="14">
        <f xml:space="preserve"> IF($T$290,1,0)</f>
        <v>0</v>
      </c>
      <c r="F290" s="14" t="s">
        <v>1097</v>
      </c>
      <c r="G290" s="14">
        <v>0</v>
      </c>
      <c r="H290" s="14">
        <v>0</v>
      </c>
      <c r="I290" s="14">
        <v>0</v>
      </c>
      <c r="J290" s="14">
        <v>0</v>
      </c>
      <c r="K290" s="14">
        <v>0</v>
      </c>
      <c r="L290" s="14">
        <v>0</v>
      </c>
      <c r="M290" s="14">
        <v>0</v>
      </c>
      <c r="N290" s="14">
        <v>0</v>
      </c>
      <c r="O290" s="14">
        <v>0</v>
      </c>
      <c r="P290" s="14">
        <v>0</v>
      </c>
      <c r="Q290" s="14">
        <v>0</v>
      </c>
      <c r="R290" s="15">
        <f>$G$290*$G$8+$H$290*$H$8+$I$290*$I$8+$J$290*$J$8+$K$290*$K$8+$L$290*$L$8+$M$290*$M$8+$N$290*$N$8+$O$290*$O$8+$P$290*$P$8+$Q$290*$Q$8</f>
        <v>0</v>
      </c>
      <c r="S290" s="15">
        <v>0</v>
      </c>
      <c r="T290" s="15">
        <f>$R$290+$S$290</f>
        <v>0</v>
      </c>
    </row>
    <row r="291" spans="1:20" x14ac:dyDescent="0.3">
      <c r="A291" s="10" t="s">
        <v>1098</v>
      </c>
      <c r="B291" s="11" t="s">
        <v>1099</v>
      </c>
      <c r="C291" s="11"/>
      <c r="D291" s="11" t="s">
        <v>1100</v>
      </c>
      <c r="E291" s="11">
        <f xml:space="preserve"> IF($T$291,1,0)</f>
        <v>0</v>
      </c>
      <c r="F291" s="11" t="s">
        <v>1101</v>
      </c>
      <c r="G291" s="11">
        <v>0</v>
      </c>
      <c r="H291" s="11">
        <v>0</v>
      </c>
      <c r="I291" s="11">
        <v>0</v>
      </c>
      <c r="J291" s="11">
        <v>0</v>
      </c>
      <c r="K291" s="11">
        <v>0</v>
      </c>
      <c r="L291" s="11">
        <v>0</v>
      </c>
      <c r="M291" s="11">
        <v>0</v>
      </c>
      <c r="N291" s="11">
        <v>0</v>
      </c>
      <c r="O291" s="11">
        <v>0</v>
      </c>
      <c r="P291" s="11">
        <v>0</v>
      </c>
      <c r="Q291" s="11">
        <v>0</v>
      </c>
      <c r="R291" s="12">
        <f>$G$291*$G$8+$H$291*$H$8+$I$291*$I$8+$J$291*$J$8+$K$291*$K$8+$L$291*$L$8+$M$291*$M$8+$N$291*$N$8+$O$291*$O$8+$P$291*$P$8+$Q$291*$Q$8</f>
        <v>0</v>
      </c>
      <c r="S291" s="12">
        <v>0</v>
      </c>
      <c r="T291" s="12">
        <f>$R$291+$S$291</f>
        <v>0</v>
      </c>
    </row>
    <row r="292" spans="1:20" x14ac:dyDescent="0.3">
      <c r="A292" s="13" t="s">
        <v>1102</v>
      </c>
      <c r="B292" s="14" t="s">
        <v>1103</v>
      </c>
      <c r="C292" s="14"/>
      <c r="D292" s="14" t="s">
        <v>1104</v>
      </c>
      <c r="E292" s="14">
        <f xml:space="preserve"> IF($T$292,1,0)</f>
        <v>0</v>
      </c>
      <c r="F292" s="14" t="s">
        <v>1105</v>
      </c>
      <c r="G292" s="14">
        <v>0</v>
      </c>
      <c r="H292" s="14">
        <v>0</v>
      </c>
      <c r="I292" s="14">
        <v>0</v>
      </c>
      <c r="J292" s="14">
        <v>0</v>
      </c>
      <c r="K292" s="14">
        <v>0</v>
      </c>
      <c r="L292" s="14">
        <v>0</v>
      </c>
      <c r="M292" s="14">
        <v>0</v>
      </c>
      <c r="N292" s="14">
        <v>0</v>
      </c>
      <c r="O292" s="14">
        <v>0</v>
      </c>
      <c r="P292" s="14">
        <v>0</v>
      </c>
      <c r="Q292" s="14">
        <v>0</v>
      </c>
      <c r="R292" s="15">
        <f>$G$292*$G$8+$H$292*$H$8+$I$292*$I$8+$J$292*$J$8+$K$292*$K$8+$L$292*$L$8+$M$292*$M$8+$N$292*$N$8+$O$292*$O$8+$P$292*$P$8+$Q$292*$Q$8</f>
        <v>0</v>
      </c>
      <c r="S292" s="15">
        <v>0</v>
      </c>
      <c r="T292" s="15">
        <f>$R$292+$S$292</f>
        <v>0</v>
      </c>
    </row>
    <row r="293" spans="1:20" x14ac:dyDescent="0.3">
      <c r="A293" s="10" t="s">
        <v>1106</v>
      </c>
      <c r="B293" s="11" t="s">
        <v>1107</v>
      </c>
      <c r="C293" s="11"/>
      <c r="D293" s="11" t="s">
        <v>1107</v>
      </c>
      <c r="E293" s="11">
        <f xml:space="preserve"> IF($T$293,1,0)</f>
        <v>0</v>
      </c>
      <c r="F293" s="11" t="s">
        <v>1108</v>
      </c>
      <c r="G293" s="11">
        <v>0</v>
      </c>
      <c r="H293" s="11">
        <v>0</v>
      </c>
      <c r="I293" s="11">
        <v>0</v>
      </c>
      <c r="J293" s="11">
        <v>0</v>
      </c>
      <c r="K293" s="11">
        <v>0</v>
      </c>
      <c r="L293" s="11">
        <v>0</v>
      </c>
      <c r="M293" s="11">
        <v>0</v>
      </c>
      <c r="N293" s="11">
        <v>0</v>
      </c>
      <c r="O293" s="11">
        <v>0</v>
      </c>
      <c r="P293" s="11">
        <v>0</v>
      </c>
      <c r="Q293" s="11">
        <v>0</v>
      </c>
      <c r="R293" s="12">
        <f>$G$293*$G$8+$H$293*$H$8+$I$293*$I$8+$J$293*$J$8+$K$293*$K$8+$L$293*$L$8+$M$293*$M$8+$N$293*$N$8+$O$293*$O$8+$P$293*$P$8+$Q$293*$Q$8</f>
        <v>0</v>
      </c>
      <c r="S293" s="12">
        <v>0</v>
      </c>
      <c r="T293" s="12">
        <f>$R$293+$S$293</f>
        <v>0</v>
      </c>
    </row>
    <row r="294" spans="1:20" x14ac:dyDescent="0.3">
      <c r="A294" s="13" t="s">
        <v>1109</v>
      </c>
      <c r="B294" s="14" t="s">
        <v>1110</v>
      </c>
      <c r="C294" s="14" t="s">
        <v>34</v>
      </c>
      <c r="D294" s="14" t="s">
        <v>1111</v>
      </c>
      <c r="E294" s="14">
        <f xml:space="preserve"> IF($T$294,1,0)</f>
        <v>1</v>
      </c>
      <c r="F294" s="14" t="s">
        <v>1112</v>
      </c>
      <c r="G294" s="14">
        <v>1</v>
      </c>
      <c r="H294" s="14">
        <v>4</v>
      </c>
      <c r="I294" s="14">
        <v>0</v>
      </c>
      <c r="J294" s="14">
        <v>0</v>
      </c>
      <c r="K294" s="14">
        <v>0</v>
      </c>
      <c r="L294" s="14">
        <v>0</v>
      </c>
      <c r="M294" s="14">
        <v>0</v>
      </c>
      <c r="N294" s="14">
        <v>0</v>
      </c>
      <c r="O294" s="14">
        <v>0</v>
      </c>
      <c r="P294" s="14">
        <v>0</v>
      </c>
      <c r="Q294" s="14">
        <v>0</v>
      </c>
      <c r="R294" s="15">
        <f>$G$294*$G$8+$H$294*$H$8+$I$294*$I$8+$J$294*$J$8+$K$294*$K$8+$L$294*$L$8+$M$294*$M$8+$N$294*$N$8+$O$294*$O$8+$P$294*$P$8+$Q$294*$Q$8</f>
        <v>9.9</v>
      </c>
      <c r="S294" s="15">
        <v>0</v>
      </c>
      <c r="T294" s="15">
        <f>$R$294+$S$294</f>
        <v>9.9</v>
      </c>
    </row>
    <row r="295" spans="1:20" x14ac:dyDescent="0.3">
      <c r="A295" s="10" t="s">
        <v>1113</v>
      </c>
      <c r="B295" s="11" t="s">
        <v>1114</v>
      </c>
      <c r="C295" s="11" t="s">
        <v>34</v>
      </c>
      <c r="D295" s="11" t="s">
        <v>239</v>
      </c>
      <c r="E295" s="11">
        <f xml:space="preserve"> IF($T$295,1,0)</f>
        <v>1</v>
      </c>
      <c r="F295" s="11" t="s">
        <v>1115</v>
      </c>
      <c r="G295" s="11">
        <v>2</v>
      </c>
      <c r="H295" s="11">
        <v>1</v>
      </c>
      <c r="I295" s="11">
        <v>0</v>
      </c>
      <c r="J295" s="11">
        <v>0</v>
      </c>
      <c r="K295" s="11">
        <v>0</v>
      </c>
      <c r="L295" s="11">
        <v>0</v>
      </c>
      <c r="M295" s="11">
        <v>3</v>
      </c>
      <c r="N295" s="11">
        <v>0</v>
      </c>
      <c r="O295" s="11">
        <v>0</v>
      </c>
      <c r="P295" s="11">
        <v>0</v>
      </c>
      <c r="Q295" s="11">
        <v>0</v>
      </c>
      <c r="R295" s="12">
        <f>$G$295*$G$8+$H$295*$H$8+$I$295*$I$8+$J$295*$J$8+$K$295*$K$8+$L$295*$L$8+$M$295*$M$8+$N$295*$N$8+$O$295*$O$8+$P$295*$P$8+$Q$295*$Q$8</f>
        <v>13.4</v>
      </c>
      <c r="S295" s="12">
        <v>0</v>
      </c>
      <c r="T295" s="12">
        <f>$R$295+$S$295</f>
        <v>13.4</v>
      </c>
    </row>
    <row r="296" spans="1:20" x14ac:dyDescent="0.3">
      <c r="A296" s="13" t="s">
        <v>1116</v>
      </c>
      <c r="B296" s="14" t="s">
        <v>1117</v>
      </c>
      <c r="C296" s="14"/>
      <c r="D296" s="14" t="s">
        <v>1118</v>
      </c>
      <c r="E296" s="14">
        <f xml:space="preserve"> IF($T$296,1,0)</f>
        <v>0</v>
      </c>
      <c r="F296" s="14" t="s">
        <v>1119</v>
      </c>
      <c r="G296" s="14">
        <v>0</v>
      </c>
      <c r="H296" s="14">
        <v>0</v>
      </c>
      <c r="I296" s="14">
        <v>0</v>
      </c>
      <c r="J296" s="14">
        <v>0</v>
      </c>
      <c r="K296" s="14">
        <v>0</v>
      </c>
      <c r="L296" s="14">
        <v>0</v>
      </c>
      <c r="M296" s="14">
        <v>0</v>
      </c>
      <c r="N296" s="14">
        <v>0</v>
      </c>
      <c r="O296" s="14">
        <v>0</v>
      </c>
      <c r="P296" s="14">
        <v>0</v>
      </c>
      <c r="Q296" s="14">
        <v>0</v>
      </c>
      <c r="R296" s="15">
        <f>$G$296*$G$8+$H$296*$H$8+$I$296*$I$8+$J$296*$J$8+$K$296*$K$8+$L$296*$L$8+$M$296*$M$8+$N$296*$N$8+$O$296*$O$8+$P$296*$P$8+$Q$296*$Q$8</f>
        <v>0</v>
      </c>
      <c r="S296" s="15">
        <v>0</v>
      </c>
      <c r="T296" s="15">
        <f>$R$296+$S$296</f>
        <v>0</v>
      </c>
    </row>
    <row r="297" spans="1:20" x14ac:dyDescent="0.3">
      <c r="A297" s="10" t="s">
        <v>1120</v>
      </c>
      <c r="B297" s="11" t="s">
        <v>1117</v>
      </c>
      <c r="C297" s="11"/>
      <c r="D297" s="11" t="s">
        <v>1121</v>
      </c>
      <c r="E297" s="11">
        <f xml:space="preserve"> IF($T$297,1,0)</f>
        <v>0</v>
      </c>
      <c r="F297" s="11" t="s">
        <v>1122</v>
      </c>
      <c r="G297" s="11">
        <v>0</v>
      </c>
      <c r="H297" s="11">
        <v>0</v>
      </c>
      <c r="I297" s="11">
        <v>0</v>
      </c>
      <c r="J297" s="11">
        <v>0</v>
      </c>
      <c r="K297" s="11">
        <v>0</v>
      </c>
      <c r="L297" s="11">
        <v>0</v>
      </c>
      <c r="M297" s="11">
        <v>0</v>
      </c>
      <c r="N297" s="11">
        <v>0</v>
      </c>
      <c r="O297" s="11">
        <v>0</v>
      </c>
      <c r="P297" s="11">
        <v>0</v>
      </c>
      <c r="Q297" s="11">
        <v>0</v>
      </c>
      <c r="R297" s="12">
        <f>$G$297*$G$8+$H$297*$H$8+$I$297*$I$8+$J$297*$J$8+$K$297*$K$8+$L$297*$L$8+$M$297*$M$8+$N$297*$N$8+$O$297*$O$8+$P$297*$P$8+$Q$297*$Q$8</f>
        <v>0</v>
      </c>
      <c r="S297" s="12">
        <v>0</v>
      </c>
      <c r="T297" s="12">
        <f>$R$297+$S$297</f>
        <v>0</v>
      </c>
    </row>
    <row r="298" spans="1:20" x14ac:dyDescent="0.3">
      <c r="A298" s="13" t="s">
        <v>1123</v>
      </c>
      <c r="B298" s="14" t="s">
        <v>1117</v>
      </c>
      <c r="C298" s="14"/>
      <c r="D298" s="14" t="s">
        <v>1124</v>
      </c>
      <c r="E298" s="14">
        <f xml:space="preserve"> IF($T$298,1,0)</f>
        <v>1</v>
      </c>
      <c r="F298" s="14" t="s">
        <v>1125</v>
      </c>
      <c r="G298" s="14">
        <v>7</v>
      </c>
      <c r="H298" s="14">
        <v>5</v>
      </c>
      <c r="I298" s="14">
        <v>0</v>
      </c>
      <c r="J298" s="14">
        <v>0</v>
      </c>
      <c r="K298" s="14">
        <v>0</v>
      </c>
      <c r="L298" s="14">
        <v>0</v>
      </c>
      <c r="M298" s="14">
        <v>0</v>
      </c>
      <c r="N298" s="14">
        <v>0</v>
      </c>
      <c r="O298" s="14">
        <v>0</v>
      </c>
      <c r="P298" s="14">
        <v>0</v>
      </c>
      <c r="Q298" s="14">
        <v>0</v>
      </c>
      <c r="R298" s="15">
        <f>$G$298*$G$8+$H$298*$H$8+$I$298*$I$8+$J$298*$J$8+$K$298*$K$8+$L$298*$L$8+$M$298*$M$8+$N$298*$N$8+$O$298*$O$8+$P$298*$P$8+$Q$298*$Q$8</f>
        <v>18.700000000000003</v>
      </c>
      <c r="S298" s="15">
        <v>0</v>
      </c>
      <c r="T298" s="15">
        <f>$R$298+$S$298</f>
        <v>18.700000000000003</v>
      </c>
    </row>
    <row r="299" spans="1:20" x14ac:dyDescent="0.3">
      <c r="A299" s="10" t="s">
        <v>1126</v>
      </c>
      <c r="B299" s="11" t="s">
        <v>1117</v>
      </c>
      <c r="C299" s="11"/>
      <c r="D299" s="11" t="s">
        <v>1127</v>
      </c>
      <c r="E299" s="11">
        <f xml:space="preserve"> IF($T$299,1,0)</f>
        <v>0</v>
      </c>
      <c r="F299" s="11" t="s">
        <v>1128</v>
      </c>
      <c r="G299" s="11">
        <v>0</v>
      </c>
      <c r="H299" s="11">
        <v>0</v>
      </c>
      <c r="I299" s="11">
        <v>0</v>
      </c>
      <c r="J299" s="11">
        <v>0</v>
      </c>
      <c r="K299" s="11">
        <v>0</v>
      </c>
      <c r="L299" s="11">
        <v>0</v>
      </c>
      <c r="M299" s="11">
        <v>0</v>
      </c>
      <c r="N299" s="11">
        <v>0</v>
      </c>
      <c r="O299" s="11">
        <v>0</v>
      </c>
      <c r="P299" s="11">
        <v>0</v>
      </c>
      <c r="Q299" s="11">
        <v>0</v>
      </c>
      <c r="R299" s="12">
        <f>$G$299*$G$8+$H$299*$H$8+$I$299*$I$8+$J$299*$J$8+$K$299*$K$8+$L$299*$L$8+$M$299*$M$8+$N$299*$N$8+$O$299*$O$8+$P$299*$P$8+$Q$299*$Q$8</f>
        <v>0</v>
      </c>
      <c r="S299" s="12">
        <v>0</v>
      </c>
      <c r="T299" s="12">
        <f>$R$299+$S$299</f>
        <v>0</v>
      </c>
    </row>
    <row r="300" spans="1:20" x14ac:dyDescent="0.3">
      <c r="A300" s="13" t="s">
        <v>1129</v>
      </c>
      <c r="B300" s="14" t="s">
        <v>1130</v>
      </c>
      <c r="C300" s="14" t="s">
        <v>34</v>
      </c>
      <c r="D300" s="14" t="s">
        <v>1131</v>
      </c>
      <c r="E300" s="14">
        <f xml:space="preserve"> IF($T$300,1,0)</f>
        <v>0</v>
      </c>
      <c r="F300" s="14" t="s">
        <v>1132</v>
      </c>
      <c r="G300" s="14">
        <v>0</v>
      </c>
      <c r="H300" s="14">
        <v>0</v>
      </c>
      <c r="I300" s="14">
        <v>0</v>
      </c>
      <c r="J300" s="14">
        <v>0</v>
      </c>
      <c r="K300" s="14">
        <v>0</v>
      </c>
      <c r="L300" s="14">
        <v>0</v>
      </c>
      <c r="M300" s="14">
        <v>0</v>
      </c>
      <c r="N300" s="14">
        <v>0</v>
      </c>
      <c r="O300" s="14">
        <v>0</v>
      </c>
      <c r="P300" s="14">
        <v>0</v>
      </c>
      <c r="Q300" s="14">
        <v>0</v>
      </c>
      <c r="R300" s="15">
        <f>$G$300*$G$8+$H$300*$H$8+$I$300*$I$8+$J$300*$J$8+$K$300*$K$8+$L$300*$L$8+$M$300*$M$8+$N$300*$N$8+$O$300*$O$8+$P$300*$P$8+$Q$300*$Q$8</f>
        <v>0</v>
      </c>
      <c r="S300" s="15">
        <v>0</v>
      </c>
      <c r="T300" s="15">
        <f>$R$300+$S$300</f>
        <v>0</v>
      </c>
    </row>
    <row r="301" spans="1:20" x14ac:dyDescent="0.3">
      <c r="A301" s="10" t="s">
        <v>1133</v>
      </c>
      <c r="B301" s="11" t="s">
        <v>1134</v>
      </c>
      <c r="C301" s="11"/>
      <c r="D301" s="11" t="s">
        <v>1135</v>
      </c>
      <c r="E301" s="11">
        <f xml:space="preserve"> IF($T$301,1,0)</f>
        <v>0</v>
      </c>
      <c r="F301" s="11" t="s">
        <v>1136</v>
      </c>
      <c r="G301" s="11">
        <v>0</v>
      </c>
      <c r="H301" s="11">
        <v>0</v>
      </c>
      <c r="I301" s="11">
        <v>0</v>
      </c>
      <c r="J301" s="11">
        <v>0</v>
      </c>
      <c r="K301" s="11">
        <v>0</v>
      </c>
      <c r="L301" s="11">
        <v>0</v>
      </c>
      <c r="M301" s="11">
        <v>0</v>
      </c>
      <c r="N301" s="11">
        <v>0</v>
      </c>
      <c r="O301" s="11">
        <v>0</v>
      </c>
      <c r="P301" s="11">
        <v>0</v>
      </c>
      <c r="Q301" s="11">
        <v>0</v>
      </c>
      <c r="R301" s="12">
        <f>$G$301*$G$8+$H$301*$H$8+$I$301*$I$8+$J$301*$J$8+$K$301*$K$8+$L$301*$L$8+$M$301*$M$8+$N$301*$N$8+$O$301*$O$8+$P$301*$P$8+$Q$301*$Q$8</f>
        <v>0</v>
      </c>
      <c r="S301" s="12">
        <v>0</v>
      </c>
      <c r="T301" s="12">
        <f>$R$301+$S$301</f>
        <v>0</v>
      </c>
    </row>
    <row r="302" spans="1:20" x14ac:dyDescent="0.3">
      <c r="A302" s="13" t="s">
        <v>1137</v>
      </c>
      <c r="B302" s="14" t="s">
        <v>1138</v>
      </c>
      <c r="C302" s="14"/>
      <c r="D302" s="14" t="s">
        <v>1139</v>
      </c>
      <c r="E302" s="14">
        <f xml:space="preserve"> IF($T$302,1,0)</f>
        <v>1</v>
      </c>
      <c r="F302" s="14" t="s">
        <v>1140</v>
      </c>
      <c r="G302" s="14">
        <v>0</v>
      </c>
      <c r="H302" s="14">
        <v>2</v>
      </c>
      <c r="I302" s="14">
        <v>0</v>
      </c>
      <c r="J302" s="14">
        <v>1</v>
      </c>
      <c r="K302" s="14">
        <v>0</v>
      </c>
      <c r="L302" s="14">
        <v>0</v>
      </c>
      <c r="M302" s="14">
        <v>0</v>
      </c>
      <c r="N302" s="14">
        <v>0</v>
      </c>
      <c r="O302" s="14">
        <v>0</v>
      </c>
      <c r="P302" s="14">
        <v>0</v>
      </c>
      <c r="Q302" s="14">
        <v>0</v>
      </c>
      <c r="R302" s="15">
        <f>$G$302*$G$8+$H$302*$H$8+$I$302*$I$8+$J$302*$J$8+$K$302*$K$8+$L$302*$L$8+$M$302*$M$8+$N$302*$N$8+$O$302*$O$8+$P$302*$P$8+$Q$302*$Q$8</f>
        <v>6.4</v>
      </c>
      <c r="S302" s="15">
        <v>0</v>
      </c>
      <c r="T302" s="15">
        <f>$R$302+$S$302</f>
        <v>6.4</v>
      </c>
    </row>
    <row r="303" spans="1:20" x14ac:dyDescent="0.3">
      <c r="A303" s="10" t="s">
        <v>1141</v>
      </c>
      <c r="B303" s="11" t="s">
        <v>1142</v>
      </c>
      <c r="C303" s="11" t="s">
        <v>202</v>
      </c>
      <c r="D303" s="11" t="s">
        <v>442</v>
      </c>
      <c r="E303" s="11">
        <f xml:space="preserve"> IF($T$303,1,0)</f>
        <v>0</v>
      </c>
      <c r="F303" s="11" t="s">
        <v>1143</v>
      </c>
      <c r="G303" s="11">
        <v>0</v>
      </c>
      <c r="H303" s="11">
        <v>0</v>
      </c>
      <c r="I303" s="11">
        <v>0</v>
      </c>
      <c r="J303" s="11">
        <v>0</v>
      </c>
      <c r="K303" s="11">
        <v>0</v>
      </c>
      <c r="L303" s="11">
        <v>0</v>
      </c>
      <c r="M303" s="11">
        <v>0</v>
      </c>
      <c r="N303" s="11">
        <v>0</v>
      </c>
      <c r="O303" s="11">
        <v>0</v>
      </c>
      <c r="P303" s="11">
        <v>0</v>
      </c>
      <c r="Q303" s="11">
        <v>0</v>
      </c>
      <c r="R303" s="12">
        <f>$G$303*$G$8+$H$303*$H$8+$I$303*$I$8+$J$303*$J$8+$K$303*$K$8+$L$303*$L$8+$M$303*$M$8+$N$303*$N$8+$O$303*$O$8+$P$303*$P$8+$Q$303*$Q$8</f>
        <v>0</v>
      </c>
      <c r="S303" s="12">
        <v>0</v>
      </c>
      <c r="T303" s="12">
        <f>$R$303+$S$303</f>
        <v>0</v>
      </c>
    </row>
    <row r="304" spans="1:20" x14ac:dyDescent="0.3">
      <c r="A304" s="13" t="s">
        <v>1144</v>
      </c>
      <c r="B304" s="14" t="s">
        <v>1142</v>
      </c>
      <c r="C304" s="14"/>
      <c r="D304" s="14" t="s">
        <v>1145</v>
      </c>
      <c r="E304" s="14">
        <f xml:space="preserve"> IF($T$304,1,0)</f>
        <v>1</v>
      </c>
      <c r="F304" s="14" t="s">
        <v>1146</v>
      </c>
      <c r="G304" s="14">
        <v>0</v>
      </c>
      <c r="H304" s="14">
        <v>3</v>
      </c>
      <c r="I304" s="14">
        <v>0</v>
      </c>
      <c r="J304" s="14">
        <v>0</v>
      </c>
      <c r="K304" s="14">
        <v>0</v>
      </c>
      <c r="L304" s="14">
        <v>0</v>
      </c>
      <c r="M304" s="14">
        <v>0</v>
      </c>
      <c r="N304" s="14">
        <v>1</v>
      </c>
      <c r="O304" s="14">
        <v>0</v>
      </c>
      <c r="P304" s="14">
        <v>0</v>
      </c>
      <c r="Q304" s="14">
        <v>2</v>
      </c>
      <c r="R304" s="15">
        <f>$G$304*$G$8+$H$304*$H$8+$I$304*$I$8+$J$304*$J$8+$K$304*$K$8+$L$304*$L$8+$M$304*$M$8+$N$304*$N$8+$O$304*$O$8+$P$304*$P$8+$Q$304*$Q$8</f>
        <v>12.600000000000001</v>
      </c>
      <c r="S304" s="15">
        <v>0</v>
      </c>
      <c r="T304" s="15">
        <f>$R$304+$S$304</f>
        <v>12.600000000000001</v>
      </c>
    </row>
    <row r="305" spans="1:20" x14ac:dyDescent="0.3">
      <c r="A305" s="10" t="s">
        <v>1147</v>
      </c>
      <c r="B305" s="11" t="s">
        <v>1142</v>
      </c>
      <c r="C305" s="11"/>
      <c r="D305" s="11" t="s">
        <v>138</v>
      </c>
      <c r="E305" s="11">
        <f xml:space="preserve"> IF($T$305,1,0)</f>
        <v>0</v>
      </c>
      <c r="F305" s="11" t="s">
        <v>1148</v>
      </c>
      <c r="G305" s="11">
        <v>0</v>
      </c>
      <c r="H305" s="11">
        <v>0</v>
      </c>
      <c r="I305" s="11">
        <v>0</v>
      </c>
      <c r="J305" s="11">
        <v>0</v>
      </c>
      <c r="K305" s="11">
        <v>0</v>
      </c>
      <c r="L305" s="11">
        <v>0</v>
      </c>
      <c r="M305" s="11">
        <v>0</v>
      </c>
      <c r="N305" s="11">
        <v>0</v>
      </c>
      <c r="O305" s="11">
        <v>0</v>
      </c>
      <c r="P305" s="11">
        <v>0</v>
      </c>
      <c r="Q305" s="11">
        <v>0</v>
      </c>
      <c r="R305" s="12">
        <f>$G$305*$G$8+$H$305*$H$8+$I$305*$I$8+$J$305*$J$8+$K$305*$K$8+$L$305*$L$8+$M$305*$M$8+$N$305*$N$8+$O$305*$O$8+$P$305*$P$8+$Q$305*$Q$8</f>
        <v>0</v>
      </c>
      <c r="S305" s="12">
        <v>0</v>
      </c>
      <c r="T305" s="12">
        <f>$R$305+$S$305</f>
        <v>0</v>
      </c>
    </row>
    <row r="306" spans="1:20" x14ac:dyDescent="0.3">
      <c r="A306" s="13" t="s">
        <v>1149</v>
      </c>
      <c r="B306" s="14" t="s">
        <v>1142</v>
      </c>
      <c r="C306" s="14"/>
      <c r="D306" s="14" t="s">
        <v>1150</v>
      </c>
      <c r="E306" s="14">
        <f xml:space="preserve"> IF($T$306,1,0)</f>
        <v>0</v>
      </c>
      <c r="F306" s="14" t="s">
        <v>1151</v>
      </c>
      <c r="G306" s="14">
        <v>0</v>
      </c>
      <c r="H306" s="14">
        <v>0</v>
      </c>
      <c r="I306" s="14">
        <v>0</v>
      </c>
      <c r="J306" s="14">
        <v>0</v>
      </c>
      <c r="K306" s="14">
        <v>0</v>
      </c>
      <c r="L306" s="14">
        <v>0</v>
      </c>
      <c r="M306" s="14">
        <v>0</v>
      </c>
      <c r="N306" s="14">
        <v>0</v>
      </c>
      <c r="O306" s="14">
        <v>0</v>
      </c>
      <c r="P306" s="14">
        <v>0</v>
      </c>
      <c r="Q306" s="14">
        <v>0</v>
      </c>
      <c r="R306" s="15">
        <f>$G$306*$G$8+$H$306*$H$8+$I$306*$I$8+$J$306*$J$8+$K$306*$K$8+$L$306*$L$8+$M$306*$M$8+$N$306*$N$8+$O$306*$O$8+$P$306*$P$8+$Q$306*$Q$8</f>
        <v>0</v>
      </c>
      <c r="S306" s="15">
        <v>0</v>
      </c>
      <c r="T306" s="15">
        <f>$R$306+$S$306</f>
        <v>0</v>
      </c>
    </row>
    <row r="307" spans="1:20" x14ac:dyDescent="0.3">
      <c r="A307" s="10" t="s">
        <v>1152</v>
      </c>
      <c r="B307" s="11" t="s">
        <v>1142</v>
      </c>
      <c r="C307" s="11"/>
      <c r="D307" s="11" t="s">
        <v>1153</v>
      </c>
      <c r="E307" s="11">
        <f xml:space="preserve"> IF($T$307,1,0)</f>
        <v>0</v>
      </c>
      <c r="F307" s="11" t="s">
        <v>1154</v>
      </c>
      <c r="G307" s="11">
        <v>0</v>
      </c>
      <c r="H307" s="11">
        <v>0</v>
      </c>
      <c r="I307" s="11">
        <v>0</v>
      </c>
      <c r="J307" s="11">
        <v>0</v>
      </c>
      <c r="K307" s="11">
        <v>0</v>
      </c>
      <c r="L307" s="11">
        <v>0</v>
      </c>
      <c r="M307" s="11">
        <v>0</v>
      </c>
      <c r="N307" s="11">
        <v>0</v>
      </c>
      <c r="O307" s="11">
        <v>0</v>
      </c>
      <c r="P307" s="11">
        <v>0</v>
      </c>
      <c r="Q307" s="11">
        <v>0</v>
      </c>
      <c r="R307" s="12">
        <f>$G$307*$G$8+$H$307*$H$8+$I$307*$I$8+$J$307*$J$8+$K$307*$K$8+$L$307*$L$8+$M$307*$M$8+$N$307*$N$8+$O$307*$O$8+$P$307*$P$8+$Q$307*$Q$8</f>
        <v>0</v>
      </c>
      <c r="S307" s="12">
        <v>0</v>
      </c>
      <c r="T307" s="12">
        <f>$R$307+$S$307</f>
        <v>0</v>
      </c>
    </row>
    <row r="308" spans="1:20" x14ac:dyDescent="0.3">
      <c r="A308" s="13" t="s">
        <v>1155</v>
      </c>
      <c r="B308" s="14" t="s">
        <v>1156</v>
      </c>
      <c r="C308" s="14"/>
      <c r="D308" s="14" t="s">
        <v>1157</v>
      </c>
      <c r="E308" s="14">
        <f xml:space="preserve"> IF($T$308,1,0)</f>
        <v>1</v>
      </c>
      <c r="F308" s="14" t="s">
        <v>1158</v>
      </c>
      <c r="G308" s="14">
        <v>0</v>
      </c>
      <c r="H308" s="14">
        <v>3</v>
      </c>
      <c r="I308" s="14">
        <v>0</v>
      </c>
      <c r="J308" s="14">
        <v>0</v>
      </c>
      <c r="K308" s="14">
        <v>0</v>
      </c>
      <c r="L308" s="14">
        <v>0</v>
      </c>
      <c r="M308" s="14">
        <v>0</v>
      </c>
      <c r="N308" s="14">
        <v>0</v>
      </c>
      <c r="O308" s="14">
        <v>0</v>
      </c>
      <c r="P308" s="14">
        <v>0</v>
      </c>
      <c r="Q308" s="14">
        <v>1</v>
      </c>
      <c r="R308" s="15">
        <f>$G$308*$G$8+$H$308*$H$8+$I$308*$I$8+$J$308*$J$8+$K$308*$K$8+$L$308*$L$8+$M$308*$M$8+$N$308*$N$8+$O$308*$O$8+$P$308*$P$8+$Q$308*$Q$8</f>
        <v>7.6000000000000005</v>
      </c>
      <c r="S308" s="15">
        <v>0</v>
      </c>
      <c r="T308" s="15">
        <f>$R$308+$S$308</f>
        <v>7.6000000000000005</v>
      </c>
    </row>
    <row r="309" spans="1:20" x14ac:dyDescent="0.3">
      <c r="A309" s="10" t="s">
        <v>1159</v>
      </c>
      <c r="B309" s="11" t="s">
        <v>1160</v>
      </c>
      <c r="C309" s="11"/>
      <c r="D309" s="11" t="s">
        <v>1161</v>
      </c>
      <c r="E309" s="11">
        <f xml:space="preserve"> IF($T$309,1,0)</f>
        <v>0</v>
      </c>
      <c r="F309" s="11" t="s">
        <v>1162</v>
      </c>
      <c r="G309" s="11">
        <v>0</v>
      </c>
      <c r="H309" s="11">
        <v>0</v>
      </c>
      <c r="I309" s="11">
        <v>0</v>
      </c>
      <c r="J309" s="11">
        <v>0</v>
      </c>
      <c r="K309" s="11">
        <v>0</v>
      </c>
      <c r="L309" s="11">
        <v>0</v>
      </c>
      <c r="M309" s="11">
        <v>0</v>
      </c>
      <c r="N309" s="11">
        <v>0</v>
      </c>
      <c r="O309" s="11">
        <v>0</v>
      </c>
      <c r="P309" s="11">
        <v>0</v>
      </c>
      <c r="Q309" s="11">
        <v>0</v>
      </c>
      <c r="R309" s="12">
        <f>$G$309*$G$8+$H$309*$H$8+$I$309*$I$8+$J$309*$J$8+$K$309*$K$8+$L$309*$L$8+$M$309*$M$8+$N$309*$N$8+$O$309*$O$8+$P$309*$P$8+$Q$309*$Q$8</f>
        <v>0</v>
      </c>
      <c r="S309" s="12">
        <v>0</v>
      </c>
      <c r="T309" s="12">
        <f>$R$309+$S$309</f>
        <v>0</v>
      </c>
    </row>
    <row r="310" spans="1:20" x14ac:dyDescent="0.3">
      <c r="A310" s="13" t="s">
        <v>1163</v>
      </c>
      <c r="B310" s="14" t="s">
        <v>1160</v>
      </c>
      <c r="C310" s="14"/>
      <c r="D310" s="14" t="s">
        <v>1164</v>
      </c>
      <c r="E310" s="14">
        <f xml:space="preserve"> IF($T$310,1,0)</f>
        <v>0</v>
      </c>
      <c r="F310" s="14" t="s">
        <v>1165</v>
      </c>
      <c r="G310" s="14">
        <v>0</v>
      </c>
      <c r="H310" s="14">
        <v>0</v>
      </c>
      <c r="I310" s="14">
        <v>0</v>
      </c>
      <c r="J310" s="14">
        <v>0</v>
      </c>
      <c r="K310" s="14">
        <v>0</v>
      </c>
      <c r="L310" s="14">
        <v>0</v>
      </c>
      <c r="M310" s="14">
        <v>0</v>
      </c>
      <c r="N310" s="14">
        <v>0</v>
      </c>
      <c r="O310" s="14">
        <v>0</v>
      </c>
      <c r="P310" s="14">
        <v>0</v>
      </c>
      <c r="Q310" s="14">
        <v>0</v>
      </c>
      <c r="R310" s="15">
        <f>$G$310*$G$8+$H$310*$H$8+$I$310*$I$8+$J$310*$J$8+$K$310*$K$8+$L$310*$L$8+$M$310*$M$8+$N$310*$N$8+$O$310*$O$8+$P$310*$P$8+$Q$310*$Q$8</f>
        <v>0</v>
      </c>
      <c r="S310" s="15">
        <v>0</v>
      </c>
      <c r="T310" s="15">
        <f>$R$310+$S$310</f>
        <v>0</v>
      </c>
    </row>
    <row r="311" spans="1:20" x14ac:dyDescent="0.3">
      <c r="A311" s="10" t="s">
        <v>1166</v>
      </c>
      <c r="B311" s="11" t="s">
        <v>1160</v>
      </c>
      <c r="C311" s="11" t="s">
        <v>243</v>
      </c>
      <c r="D311" s="11" t="s">
        <v>1167</v>
      </c>
      <c r="E311" s="11">
        <f xml:space="preserve"> IF($T$311,1,0)</f>
        <v>0</v>
      </c>
      <c r="F311" s="11" t="s">
        <v>1168</v>
      </c>
      <c r="G311" s="11">
        <v>0</v>
      </c>
      <c r="H311" s="11">
        <v>0</v>
      </c>
      <c r="I311" s="11">
        <v>0</v>
      </c>
      <c r="J311" s="11">
        <v>0</v>
      </c>
      <c r="K311" s="11">
        <v>0</v>
      </c>
      <c r="L311" s="11">
        <v>0</v>
      </c>
      <c r="M311" s="11">
        <v>0</v>
      </c>
      <c r="N311" s="11">
        <v>0</v>
      </c>
      <c r="O311" s="11">
        <v>0</v>
      </c>
      <c r="P311" s="11">
        <v>0</v>
      </c>
      <c r="Q311" s="11">
        <v>0</v>
      </c>
      <c r="R311" s="12">
        <f>$G$311*$G$8+$H$311*$H$8+$I$311*$I$8+$J$311*$J$8+$K$311*$K$8+$L$311*$L$8+$M$311*$M$8+$N$311*$N$8+$O$311*$O$8+$P$311*$P$8+$Q$311*$Q$8</f>
        <v>0</v>
      </c>
      <c r="S311" s="12">
        <v>0</v>
      </c>
      <c r="T311" s="12">
        <f>$R$311+$S$311</f>
        <v>0</v>
      </c>
    </row>
    <row r="312" spans="1:20" x14ac:dyDescent="0.3">
      <c r="A312" s="13" t="s">
        <v>1169</v>
      </c>
      <c r="B312" s="14" t="s">
        <v>1170</v>
      </c>
      <c r="C312" s="14"/>
      <c r="D312" s="14" t="s">
        <v>1171</v>
      </c>
      <c r="E312" s="14">
        <f xml:space="preserve"> IF($T$312,1,0)</f>
        <v>0</v>
      </c>
      <c r="F312" s="14" t="s">
        <v>1172</v>
      </c>
      <c r="G312" s="14">
        <v>0</v>
      </c>
      <c r="H312" s="14">
        <v>0</v>
      </c>
      <c r="I312" s="14">
        <v>0</v>
      </c>
      <c r="J312" s="14">
        <v>0</v>
      </c>
      <c r="K312" s="14">
        <v>0</v>
      </c>
      <c r="L312" s="14">
        <v>0</v>
      </c>
      <c r="M312" s="14">
        <v>0</v>
      </c>
      <c r="N312" s="14">
        <v>0</v>
      </c>
      <c r="O312" s="14">
        <v>0</v>
      </c>
      <c r="P312" s="14">
        <v>0</v>
      </c>
      <c r="Q312" s="14">
        <v>0</v>
      </c>
      <c r="R312" s="15">
        <f>$G$312*$G$8+$H$312*$H$8+$I$312*$I$8+$J$312*$J$8+$K$312*$K$8+$L$312*$L$8+$M$312*$M$8+$N$312*$N$8+$O$312*$O$8+$P$312*$P$8+$Q$312*$Q$8</f>
        <v>0</v>
      </c>
      <c r="S312" s="15">
        <v>0</v>
      </c>
      <c r="T312" s="15">
        <f>$R$312+$S$312</f>
        <v>0</v>
      </c>
    </row>
    <row r="313" spans="1:20" x14ac:dyDescent="0.3">
      <c r="A313" s="10" t="s">
        <v>1173</v>
      </c>
      <c r="B313" s="11" t="s">
        <v>1174</v>
      </c>
      <c r="C313" s="11"/>
      <c r="D313" s="11" t="s">
        <v>1175</v>
      </c>
      <c r="E313" s="11">
        <f xml:space="preserve"> IF($T$313,1,0)</f>
        <v>0</v>
      </c>
      <c r="F313" s="11" t="s">
        <v>1176</v>
      </c>
      <c r="G313" s="11">
        <v>0</v>
      </c>
      <c r="H313" s="11">
        <v>0</v>
      </c>
      <c r="I313" s="11">
        <v>0</v>
      </c>
      <c r="J313" s="11">
        <v>0</v>
      </c>
      <c r="K313" s="11">
        <v>0</v>
      </c>
      <c r="L313" s="11">
        <v>0</v>
      </c>
      <c r="M313" s="11">
        <v>0</v>
      </c>
      <c r="N313" s="11">
        <v>0</v>
      </c>
      <c r="O313" s="11">
        <v>0</v>
      </c>
      <c r="P313" s="11">
        <v>0</v>
      </c>
      <c r="Q313" s="11">
        <v>0</v>
      </c>
      <c r="R313" s="12">
        <f>$G$313*$G$8+$H$313*$H$8+$I$313*$I$8+$J$313*$J$8+$K$313*$K$8+$L$313*$L$8+$M$313*$M$8+$N$313*$N$8+$O$313*$O$8+$P$313*$P$8+$Q$313*$Q$8</f>
        <v>0</v>
      </c>
      <c r="S313" s="12">
        <v>0</v>
      </c>
      <c r="T313" s="12">
        <f>$R$313+$S$313</f>
        <v>0</v>
      </c>
    </row>
    <row r="314" spans="1:20" x14ac:dyDescent="0.3">
      <c r="A314" s="13" t="s">
        <v>1177</v>
      </c>
      <c r="B314" s="14" t="s">
        <v>1174</v>
      </c>
      <c r="C314" s="14" t="s">
        <v>65</v>
      </c>
      <c r="D314" s="14" t="s">
        <v>1178</v>
      </c>
      <c r="E314" s="14">
        <f xml:space="preserve"> IF($T$314,1,0)</f>
        <v>0</v>
      </c>
      <c r="F314" s="14" t="s">
        <v>1179</v>
      </c>
      <c r="G314" s="14">
        <v>0</v>
      </c>
      <c r="H314" s="14">
        <v>0</v>
      </c>
      <c r="I314" s="14">
        <v>0</v>
      </c>
      <c r="J314" s="14">
        <v>0</v>
      </c>
      <c r="K314" s="14">
        <v>0</v>
      </c>
      <c r="L314" s="14">
        <v>0</v>
      </c>
      <c r="M314" s="14">
        <v>0</v>
      </c>
      <c r="N314" s="14">
        <v>0</v>
      </c>
      <c r="O314" s="14">
        <v>0</v>
      </c>
      <c r="P314" s="14">
        <v>0</v>
      </c>
      <c r="Q314" s="14">
        <v>0</v>
      </c>
      <c r="R314" s="15">
        <f>$G$314*$G$8+$H$314*$H$8+$I$314*$I$8+$J$314*$J$8+$K$314*$K$8+$L$314*$L$8+$M$314*$M$8+$N$314*$N$8+$O$314*$O$8+$P$314*$P$8+$Q$314*$Q$8</f>
        <v>0</v>
      </c>
      <c r="S314" s="15">
        <v>0</v>
      </c>
      <c r="T314" s="15">
        <f>$R$314+$S$314</f>
        <v>0</v>
      </c>
    </row>
    <row r="315" spans="1:20" x14ac:dyDescent="0.3">
      <c r="A315" s="10" t="s">
        <v>1180</v>
      </c>
      <c r="B315" s="11" t="s">
        <v>1181</v>
      </c>
      <c r="C315" s="11"/>
      <c r="D315" s="11" t="s">
        <v>1182</v>
      </c>
      <c r="E315" s="11">
        <f xml:space="preserve"> IF($T$315,1,0)</f>
        <v>1</v>
      </c>
      <c r="F315" s="11" t="s">
        <v>1183</v>
      </c>
      <c r="G315" s="11">
        <v>0</v>
      </c>
      <c r="H315" s="11">
        <v>0</v>
      </c>
      <c r="I315" s="11">
        <v>0</v>
      </c>
      <c r="J315" s="11">
        <v>2</v>
      </c>
      <c r="K315" s="11">
        <v>0</v>
      </c>
      <c r="L315" s="11">
        <v>0</v>
      </c>
      <c r="M315" s="11">
        <v>0</v>
      </c>
      <c r="N315" s="11">
        <v>0</v>
      </c>
      <c r="O315" s="11">
        <v>0</v>
      </c>
      <c r="P315" s="11">
        <v>0</v>
      </c>
      <c r="Q315" s="11">
        <v>0</v>
      </c>
      <c r="R315" s="12">
        <f>$G$315*$G$8+$H$315*$H$8+$I$315*$I$8+$J$315*$J$8+$K$315*$K$8+$L$315*$L$8+$M$315*$M$8+$N$315*$N$8+$O$315*$O$8+$P$315*$P$8+$Q$315*$Q$8</f>
        <v>4</v>
      </c>
      <c r="S315" s="12">
        <v>0</v>
      </c>
      <c r="T315" s="12">
        <f>$R$315+$S$315</f>
        <v>4</v>
      </c>
    </row>
    <row r="316" spans="1:20" x14ac:dyDescent="0.3">
      <c r="A316" s="13" t="s">
        <v>1184</v>
      </c>
      <c r="B316" s="14" t="s">
        <v>1185</v>
      </c>
      <c r="C316" s="14" t="s">
        <v>65</v>
      </c>
      <c r="D316" s="14" t="s">
        <v>1186</v>
      </c>
      <c r="E316" s="14">
        <f xml:space="preserve"> IF($T$316,1,0)</f>
        <v>0</v>
      </c>
      <c r="F316" s="14" t="s">
        <v>1187</v>
      </c>
      <c r="G316" s="14">
        <v>0</v>
      </c>
      <c r="H316" s="14">
        <v>0</v>
      </c>
      <c r="I316" s="14">
        <v>0</v>
      </c>
      <c r="J316" s="14">
        <v>0</v>
      </c>
      <c r="K316" s="14">
        <v>0</v>
      </c>
      <c r="L316" s="14">
        <v>0</v>
      </c>
      <c r="M316" s="14">
        <v>0</v>
      </c>
      <c r="N316" s="14">
        <v>0</v>
      </c>
      <c r="O316" s="14">
        <v>0</v>
      </c>
      <c r="P316" s="14">
        <v>0</v>
      </c>
      <c r="Q316" s="14">
        <v>0</v>
      </c>
      <c r="R316" s="15">
        <f>$G$316*$G$8+$H$316*$H$8+$I$316*$I$8+$J$316*$J$8+$K$316*$K$8+$L$316*$L$8+$M$316*$M$8+$N$316*$N$8+$O$316*$O$8+$P$316*$P$8+$Q$316*$Q$8</f>
        <v>0</v>
      </c>
      <c r="S316" s="15">
        <v>0</v>
      </c>
      <c r="T316" s="15">
        <f>$R$316+$S$316</f>
        <v>0</v>
      </c>
    </row>
    <row r="317" spans="1:20" x14ac:dyDescent="0.3">
      <c r="A317" s="10" t="s">
        <v>1188</v>
      </c>
      <c r="B317" s="11" t="s">
        <v>1189</v>
      </c>
      <c r="C317" s="11"/>
      <c r="D317" s="11" t="s">
        <v>1190</v>
      </c>
      <c r="E317" s="11">
        <f xml:space="preserve"> IF($T$317,1,0)</f>
        <v>0</v>
      </c>
      <c r="F317" s="11" t="s">
        <v>1191</v>
      </c>
      <c r="G317" s="11">
        <v>0</v>
      </c>
      <c r="H317" s="11">
        <v>0</v>
      </c>
      <c r="I317" s="11">
        <v>0</v>
      </c>
      <c r="J317" s="11">
        <v>0</v>
      </c>
      <c r="K317" s="11">
        <v>0</v>
      </c>
      <c r="L317" s="11">
        <v>0</v>
      </c>
      <c r="M317" s="11">
        <v>0</v>
      </c>
      <c r="N317" s="11">
        <v>0</v>
      </c>
      <c r="O317" s="11">
        <v>0</v>
      </c>
      <c r="P317" s="11">
        <v>0</v>
      </c>
      <c r="Q317" s="11">
        <v>0</v>
      </c>
      <c r="R317" s="12">
        <f>$G$317*$G$8+$H$317*$H$8+$I$317*$I$8+$J$317*$J$8+$K$317*$K$8+$L$317*$L$8+$M$317*$M$8+$N$317*$N$8+$O$317*$O$8+$P$317*$P$8+$Q$317*$Q$8</f>
        <v>0</v>
      </c>
      <c r="S317" s="12">
        <v>0</v>
      </c>
      <c r="T317" s="12">
        <f>$R$317+$S$317</f>
        <v>0</v>
      </c>
    </row>
    <row r="318" spans="1:20" x14ac:dyDescent="0.3">
      <c r="A318" s="13" t="s">
        <v>1192</v>
      </c>
      <c r="B318" s="14" t="s">
        <v>1193</v>
      </c>
      <c r="C318" s="14"/>
      <c r="D318" s="14" t="s">
        <v>1194</v>
      </c>
      <c r="E318" s="14">
        <f xml:space="preserve"> IF($T$318,1,0)</f>
        <v>1</v>
      </c>
      <c r="F318" s="14" t="s">
        <v>1195</v>
      </c>
      <c r="G318" s="14">
        <v>1</v>
      </c>
      <c r="H318" s="14">
        <v>0</v>
      </c>
      <c r="I318" s="14">
        <v>0</v>
      </c>
      <c r="J318" s="14">
        <v>1</v>
      </c>
      <c r="K318" s="14">
        <v>0</v>
      </c>
      <c r="L318" s="14">
        <v>0</v>
      </c>
      <c r="M318" s="14">
        <v>0</v>
      </c>
      <c r="N318" s="14">
        <v>0</v>
      </c>
      <c r="O318" s="14">
        <v>0</v>
      </c>
      <c r="P318" s="14">
        <v>0</v>
      </c>
      <c r="Q318" s="14">
        <v>0</v>
      </c>
      <c r="R318" s="15">
        <f>$G$318*$G$8+$H$318*$H$8+$I$318*$I$8+$J$318*$J$8+$K$318*$K$8+$L$318*$L$8+$M$318*$M$8+$N$318*$N$8+$O$318*$O$8+$P$318*$P$8+$Q$318*$Q$8</f>
        <v>3.1</v>
      </c>
      <c r="S318" s="15">
        <v>0</v>
      </c>
      <c r="T318" s="15">
        <f>$R$318+$S$318</f>
        <v>3.1</v>
      </c>
    </row>
    <row r="319" spans="1:20" x14ac:dyDescent="0.3">
      <c r="A319" s="10" t="s">
        <v>1196</v>
      </c>
      <c r="B319" s="11" t="s">
        <v>1197</v>
      </c>
      <c r="C319" s="11"/>
      <c r="D319" s="11" t="s">
        <v>1198</v>
      </c>
      <c r="E319" s="11">
        <f xml:space="preserve"> IF($T$319,1,0)</f>
        <v>0</v>
      </c>
      <c r="F319" s="11" t="s">
        <v>1199</v>
      </c>
      <c r="G319" s="11">
        <v>0</v>
      </c>
      <c r="H319" s="11">
        <v>0</v>
      </c>
      <c r="I319" s="11">
        <v>0</v>
      </c>
      <c r="J319" s="11">
        <v>0</v>
      </c>
      <c r="K319" s="11">
        <v>0</v>
      </c>
      <c r="L319" s="11">
        <v>0</v>
      </c>
      <c r="M319" s="11">
        <v>0</v>
      </c>
      <c r="N319" s="11">
        <v>0</v>
      </c>
      <c r="O319" s="11">
        <v>0</v>
      </c>
      <c r="P319" s="11">
        <v>0</v>
      </c>
      <c r="Q319" s="11">
        <v>0</v>
      </c>
      <c r="R319" s="12">
        <f>$G$319*$G$8+$H$319*$H$8+$I$319*$I$8+$J$319*$J$8+$K$319*$K$8+$L$319*$L$8+$M$319*$M$8+$N$319*$N$8+$O$319*$O$8+$P$319*$P$8+$Q$319*$Q$8</f>
        <v>0</v>
      </c>
      <c r="S319" s="12">
        <v>0</v>
      </c>
      <c r="T319" s="12">
        <f>$R$319+$S$319</f>
        <v>0</v>
      </c>
    </row>
    <row r="320" spans="1:20" x14ac:dyDescent="0.3">
      <c r="A320" s="13" t="s">
        <v>1200</v>
      </c>
      <c r="B320" s="14" t="s">
        <v>1201</v>
      </c>
      <c r="C320" s="14"/>
      <c r="D320" s="14" t="s">
        <v>1202</v>
      </c>
      <c r="E320" s="14">
        <f xml:space="preserve"> IF($T$320,1,0)</f>
        <v>1</v>
      </c>
      <c r="F320" s="14" t="s">
        <v>1203</v>
      </c>
      <c r="G320" s="14">
        <v>0</v>
      </c>
      <c r="H320" s="14">
        <v>4</v>
      </c>
      <c r="I320" s="14">
        <v>0</v>
      </c>
      <c r="J320" s="14">
        <v>0</v>
      </c>
      <c r="K320" s="14">
        <v>0</v>
      </c>
      <c r="L320" s="14">
        <v>0</v>
      </c>
      <c r="M320" s="14">
        <v>0</v>
      </c>
      <c r="N320" s="14">
        <v>0</v>
      </c>
      <c r="O320" s="14">
        <v>0</v>
      </c>
      <c r="P320" s="14">
        <v>0</v>
      </c>
      <c r="Q320" s="14">
        <v>0</v>
      </c>
      <c r="R320" s="15">
        <f>$G$320*$G$8+$H$320*$H$8+$I$320*$I$8+$J$320*$J$8+$K$320*$K$8+$L$320*$L$8+$M$320*$M$8+$N$320*$N$8+$O$320*$O$8+$P$320*$P$8+$Q$320*$Q$8</f>
        <v>8.8000000000000007</v>
      </c>
      <c r="S320" s="15">
        <v>0</v>
      </c>
      <c r="T320" s="15">
        <f>$R$320+$S$320</f>
        <v>8.8000000000000007</v>
      </c>
    </row>
    <row r="321" spans="1:20" x14ac:dyDescent="0.3">
      <c r="A321" s="10" t="s">
        <v>1204</v>
      </c>
      <c r="B321" s="11" t="s">
        <v>1205</v>
      </c>
      <c r="C321" s="11"/>
      <c r="D321" s="11" t="s">
        <v>1206</v>
      </c>
      <c r="E321" s="11">
        <f xml:space="preserve"> IF($T$321,1,0)</f>
        <v>0</v>
      </c>
      <c r="F321" s="11" t="s">
        <v>1207</v>
      </c>
      <c r="G321" s="11">
        <v>0</v>
      </c>
      <c r="H321" s="11">
        <v>0</v>
      </c>
      <c r="I321" s="11">
        <v>0</v>
      </c>
      <c r="J321" s="11">
        <v>0</v>
      </c>
      <c r="K321" s="11">
        <v>0</v>
      </c>
      <c r="L321" s="11">
        <v>0</v>
      </c>
      <c r="M321" s="11">
        <v>0</v>
      </c>
      <c r="N321" s="11">
        <v>0</v>
      </c>
      <c r="O321" s="11">
        <v>0</v>
      </c>
      <c r="P321" s="11">
        <v>0</v>
      </c>
      <c r="Q321" s="11">
        <v>0</v>
      </c>
      <c r="R321" s="12">
        <f>$G$321*$G$8+$H$321*$H$8+$I$321*$I$8+$J$321*$J$8+$K$321*$K$8+$L$321*$L$8+$M$321*$M$8+$N$321*$N$8+$O$321*$O$8+$P$321*$P$8+$Q$321*$Q$8</f>
        <v>0</v>
      </c>
      <c r="S321" s="12">
        <v>0</v>
      </c>
      <c r="T321" s="12">
        <f>$R$321+$S$321</f>
        <v>0</v>
      </c>
    </row>
    <row r="322" spans="1:20" x14ac:dyDescent="0.3">
      <c r="A322" s="13" t="s">
        <v>1208</v>
      </c>
      <c r="B322" s="14" t="s">
        <v>1205</v>
      </c>
      <c r="C322" s="14"/>
      <c r="D322" s="14" t="s">
        <v>1209</v>
      </c>
      <c r="E322" s="14">
        <f xml:space="preserve"> IF($T$322,1,0)</f>
        <v>0</v>
      </c>
      <c r="F322" s="14" t="s">
        <v>1210</v>
      </c>
      <c r="G322" s="14">
        <v>0</v>
      </c>
      <c r="H322" s="14">
        <v>0</v>
      </c>
      <c r="I322" s="14">
        <v>0</v>
      </c>
      <c r="J322" s="14">
        <v>0</v>
      </c>
      <c r="K322" s="14">
        <v>0</v>
      </c>
      <c r="L322" s="14">
        <v>0</v>
      </c>
      <c r="M322" s="14">
        <v>0</v>
      </c>
      <c r="N322" s="14">
        <v>0</v>
      </c>
      <c r="O322" s="14">
        <v>0</v>
      </c>
      <c r="P322" s="14">
        <v>0</v>
      </c>
      <c r="Q322" s="14">
        <v>0</v>
      </c>
      <c r="R322" s="15">
        <f>$G$322*$G$8+$H$322*$H$8+$I$322*$I$8+$J$322*$J$8+$K$322*$K$8+$L$322*$L$8+$M$322*$M$8+$N$322*$N$8+$O$322*$O$8+$P$322*$P$8+$Q$322*$Q$8</f>
        <v>0</v>
      </c>
      <c r="S322" s="15">
        <v>0</v>
      </c>
      <c r="T322" s="15">
        <f>$R$322+$S$322</f>
        <v>0</v>
      </c>
    </row>
    <row r="323" spans="1:20" x14ac:dyDescent="0.3">
      <c r="A323" s="10" t="s">
        <v>1211</v>
      </c>
      <c r="B323" s="11" t="s">
        <v>1212</v>
      </c>
      <c r="C323" s="11"/>
      <c r="D323" s="11" t="s">
        <v>670</v>
      </c>
      <c r="E323" s="11">
        <f xml:space="preserve"> IF($T$323,1,0)</f>
        <v>1</v>
      </c>
      <c r="F323" s="11" t="s">
        <v>1213</v>
      </c>
      <c r="G323" s="11">
        <v>2</v>
      </c>
      <c r="H323" s="11">
        <v>6</v>
      </c>
      <c r="I323" s="11">
        <v>0</v>
      </c>
      <c r="J323" s="11">
        <v>1</v>
      </c>
      <c r="K323" s="11">
        <v>0</v>
      </c>
      <c r="L323" s="11">
        <v>0</v>
      </c>
      <c r="M323" s="11">
        <v>0</v>
      </c>
      <c r="N323" s="11">
        <v>0</v>
      </c>
      <c r="O323" s="11">
        <v>0</v>
      </c>
      <c r="P323" s="11">
        <v>0</v>
      </c>
      <c r="Q323" s="11">
        <v>0</v>
      </c>
      <c r="R323" s="12">
        <f>$G$323*$G$8+$H$323*$H$8+$I$323*$I$8+$J$323*$J$8+$K$323*$K$8+$L$323*$L$8+$M$323*$M$8+$N$323*$N$8+$O$323*$O$8+$P$323*$P$8+$Q$323*$Q$8</f>
        <v>17.400000000000002</v>
      </c>
      <c r="S323" s="12">
        <v>0</v>
      </c>
      <c r="T323" s="12">
        <f>$R$323+$S$323</f>
        <v>17.400000000000002</v>
      </c>
    </row>
    <row r="324" spans="1:20" x14ac:dyDescent="0.3">
      <c r="A324" s="13" t="s">
        <v>1214</v>
      </c>
      <c r="B324" s="14" t="s">
        <v>1215</v>
      </c>
      <c r="C324" s="14"/>
      <c r="D324" s="14" t="s">
        <v>1216</v>
      </c>
      <c r="E324" s="14">
        <f xml:space="preserve"> IF($T$324,1,0)</f>
        <v>1</v>
      </c>
      <c r="F324" s="14" t="s">
        <v>1217</v>
      </c>
      <c r="G324" s="14">
        <v>1</v>
      </c>
      <c r="H324" s="14">
        <v>7</v>
      </c>
      <c r="I324" s="14">
        <v>0</v>
      </c>
      <c r="J324" s="14">
        <v>0</v>
      </c>
      <c r="K324" s="14">
        <v>0</v>
      </c>
      <c r="L324" s="14">
        <v>0</v>
      </c>
      <c r="M324" s="14">
        <v>0</v>
      </c>
      <c r="N324" s="14">
        <v>0</v>
      </c>
      <c r="O324" s="14">
        <v>0</v>
      </c>
      <c r="P324" s="14">
        <v>0</v>
      </c>
      <c r="Q324" s="14">
        <v>0</v>
      </c>
      <c r="R324" s="15">
        <f>$G$324*$G$8+$H$324*$H$8+$I$324*$I$8+$J$324*$J$8+$K$324*$K$8+$L$324*$L$8+$M$324*$M$8+$N$324*$N$8+$O$324*$O$8+$P$324*$P$8+$Q$324*$Q$8</f>
        <v>16.500000000000004</v>
      </c>
      <c r="S324" s="15">
        <v>0</v>
      </c>
      <c r="T324" s="15">
        <f>$R$324+$S$324</f>
        <v>16.500000000000004</v>
      </c>
    </row>
    <row r="325" spans="1:20" x14ac:dyDescent="0.3">
      <c r="A325" s="10" t="s">
        <v>1218</v>
      </c>
      <c r="B325" s="11" t="s">
        <v>1219</v>
      </c>
      <c r="C325" s="11" t="s">
        <v>202</v>
      </c>
      <c r="D325" s="11" t="s">
        <v>1068</v>
      </c>
      <c r="E325" s="11">
        <f xml:space="preserve"> IF($T$325,1,0)</f>
        <v>0</v>
      </c>
      <c r="F325" s="11" t="s">
        <v>1220</v>
      </c>
      <c r="G325" s="11">
        <v>0</v>
      </c>
      <c r="H325" s="11">
        <v>0</v>
      </c>
      <c r="I325" s="11">
        <v>0</v>
      </c>
      <c r="J325" s="11">
        <v>0</v>
      </c>
      <c r="K325" s="11">
        <v>0</v>
      </c>
      <c r="L325" s="11">
        <v>0</v>
      </c>
      <c r="M325" s="11">
        <v>0</v>
      </c>
      <c r="N325" s="11">
        <v>0</v>
      </c>
      <c r="O325" s="11">
        <v>0</v>
      </c>
      <c r="P325" s="11">
        <v>0</v>
      </c>
      <c r="Q325" s="11">
        <v>0</v>
      </c>
      <c r="R325" s="12">
        <f>$G$325*$G$8+$H$325*$H$8+$I$325*$I$8+$J$325*$J$8+$K$325*$K$8+$L$325*$L$8+$M$325*$M$8+$N$325*$N$8+$O$325*$O$8+$P$325*$P$8+$Q$325*$Q$8</f>
        <v>0</v>
      </c>
      <c r="S325" s="12">
        <v>0</v>
      </c>
      <c r="T325" s="12">
        <f>$R$325+$S$325</f>
        <v>0</v>
      </c>
    </row>
    <row r="326" spans="1:20" x14ac:dyDescent="0.3">
      <c r="A326" s="13" t="s">
        <v>1221</v>
      </c>
      <c r="B326" s="14" t="s">
        <v>1222</v>
      </c>
      <c r="C326" s="14"/>
      <c r="D326" s="14" t="s">
        <v>1223</v>
      </c>
      <c r="E326" s="14">
        <f xml:space="preserve"> IF($T$326,1,0)</f>
        <v>0</v>
      </c>
      <c r="F326" s="14" t="s">
        <v>1224</v>
      </c>
      <c r="G326" s="14">
        <v>0</v>
      </c>
      <c r="H326" s="14">
        <v>0</v>
      </c>
      <c r="I326" s="14">
        <v>0</v>
      </c>
      <c r="J326" s="14">
        <v>0</v>
      </c>
      <c r="K326" s="14">
        <v>0</v>
      </c>
      <c r="L326" s="14">
        <v>0</v>
      </c>
      <c r="M326" s="14">
        <v>0</v>
      </c>
      <c r="N326" s="14">
        <v>0</v>
      </c>
      <c r="O326" s="14">
        <v>0</v>
      </c>
      <c r="P326" s="14">
        <v>0</v>
      </c>
      <c r="Q326" s="14">
        <v>0</v>
      </c>
      <c r="R326" s="15">
        <f>$G$326*$G$8+$H$326*$H$8+$I$326*$I$8+$J$326*$J$8+$K$326*$K$8+$L$326*$L$8+$M$326*$M$8+$N$326*$N$8+$O$326*$O$8+$P$326*$P$8+$Q$326*$Q$8</f>
        <v>0</v>
      </c>
      <c r="S326" s="15">
        <v>0</v>
      </c>
      <c r="T326" s="15">
        <f>$R$326+$S$326</f>
        <v>0</v>
      </c>
    </row>
    <row r="327" spans="1:20" x14ac:dyDescent="0.3">
      <c r="A327" s="10" t="s">
        <v>1225</v>
      </c>
      <c r="B327" s="11" t="s">
        <v>1226</v>
      </c>
      <c r="C327" s="11" t="s">
        <v>34</v>
      </c>
      <c r="D327" s="11" t="s">
        <v>1227</v>
      </c>
      <c r="E327" s="11">
        <f xml:space="preserve"> IF($T$327,1,0)</f>
        <v>0</v>
      </c>
      <c r="F327" s="11" t="s">
        <v>1228</v>
      </c>
      <c r="G327" s="11">
        <v>0</v>
      </c>
      <c r="H327" s="11">
        <v>0</v>
      </c>
      <c r="I327" s="11">
        <v>0</v>
      </c>
      <c r="J327" s="11">
        <v>0</v>
      </c>
      <c r="K327" s="11">
        <v>0</v>
      </c>
      <c r="L327" s="11">
        <v>0</v>
      </c>
      <c r="M327" s="11">
        <v>0</v>
      </c>
      <c r="N327" s="11">
        <v>0</v>
      </c>
      <c r="O327" s="11">
        <v>0</v>
      </c>
      <c r="P327" s="11">
        <v>0</v>
      </c>
      <c r="Q327" s="11">
        <v>0</v>
      </c>
      <c r="R327" s="12">
        <f>$G$327*$G$8+$H$327*$H$8+$I$327*$I$8+$J$327*$J$8+$K$327*$K$8+$L$327*$L$8+$M$327*$M$8+$N$327*$N$8+$O$327*$O$8+$P$327*$P$8+$Q$327*$Q$8</f>
        <v>0</v>
      </c>
      <c r="S327" s="12">
        <v>0</v>
      </c>
      <c r="T327" s="12">
        <f>$R$327+$S$327</f>
        <v>0</v>
      </c>
    </row>
    <row r="328" spans="1:20" x14ac:dyDescent="0.3">
      <c r="A328" s="13" t="s">
        <v>1229</v>
      </c>
      <c r="B328" s="14" t="s">
        <v>1230</v>
      </c>
      <c r="C328" s="14"/>
      <c r="D328" s="14" t="s">
        <v>1231</v>
      </c>
      <c r="E328" s="14">
        <f xml:space="preserve"> IF($T$328,1,0)</f>
        <v>1</v>
      </c>
      <c r="F328" s="14" t="s">
        <v>1232</v>
      </c>
      <c r="G328" s="14">
        <v>0</v>
      </c>
      <c r="H328" s="14">
        <v>0</v>
      </c>
      <c r="I328" s="14">
        <v>0</v>
      </c>
      <c r="J328" s="14">
        <v>0</v>
      </c>
      <c r="K328" s="14">
        <v>0</v>
      </c>
      <c r="L328" s="14">
        <v>1</v>
      </c>
      <c r="M328" s="14">
        <v>0</v>
      </c>
      <c r="N328" s="14">
        <v>0</v>
      </c>
      <c r="O328" s="14">
        <v>0</v>
      </c>
      <c r="P328" s="14">
        <v>0</v>
      </c>
      <c r="Q328" s="14">
        <v>0</v>
      </c>
      <c r="R328" s="15">
        <f>$G$328*$G$8+$H$328*$H$8+$I$328*$I$8+$J$328*$J$8+$K$328*$K$8+$L$328*$L$8+$M$328*$M$8+$N$328*$N$8+$O$328*$O$8+$P$328*$P$8+$Q$328*$Q$8</f>
        <v>2</v>
      </c>
      <c r="S328" s="15">
        <v>0</v>
      </c>
      <c r="T328" s="15">
        <f>$R$328+$S$328</f>
        <v>2</v>
      </c>
    </row>
    <row r="329" spans="1:20" x14ac:dyDescent="0.3">
      <c r="A329" s="10" t="s">
        <v>1233</v>
      </c>
      <c r="B329" s="11" t="s">
        <v>1230</v>
      </c>
      <c r="C329" s="11"/>
      <c r="D329" s="11" t="s">
        <v>1234</v>
      </c>
      <c r="E329" s="11">
        <f xml:space="preserve"> IF($T$329,1,0)</f>
        <v>1</v>
      </c>
      <c r="F329" s="11" t="s">
        <v>1235</v>
      </c>
      <c r="G329" s="11">
        <v>0</v>
      </c>
      <c r="H329" s="11">
        <v>2</v>
      </c>
      <c r="I329" s="11">
        <v>0</v>
      </c>
      <c r="J329" s="11">
        <v>1</v>
      </c>
      <c r="K329" s="11">
        <v>0</v>
      </c>
      <c r="L329" s="11">
        <v>0</v>
      </c>
      <c r="M329" s="11">
        <v>0</v>
      </c>
      <c r="N329" s="11">
        <v>0</v>
      </c>
      <c r="O329" s="11">
        <v>0</v>
      </c>
      <c r="P329" s="11">
        <v>0</v>
      </c>
      <c r="Q329" s="11">
        <v>0</v>
      </c>
      <c r="R329" s="12">
        <f>$G$329*$G$8+$H$329*$H$8+$I$329*$I$8+$J$329*$J$8+$K$329*$K$8+$L$329*$L$8+$M$329*$M$8+$N$329*$N$8+$O$329*$O$8+$P$329*$P$8+$Q$329*$Q$8</f>
        <v>6.4</v>
      </c>
      <c r="S329" s="12">
        <v>0</v>
      </c>
      <c r="T329" s="12">
        <f>$R$329+$S$329</f>
        <v>6.4</v>
      </c>
    </row>
    <row r="330" spans="1:20" x14ac:dyDescent="0.3">
      <c r="A330" s="13" t="s">
        <v>1236</v>
      </c>
      <c r="B330" s="14" t="s">
        <v>1237</v>
      </c>
      <c r="C330" s="14"/>
      <c r="D330" s="14" t="s">
        <v>1237</v>
      </c>
      <c r="E330" s="14">
        <f xml:space="preserve"> IF($T$330,1,0)</f>
        <v>0</v>
      </c>
      <c r="F330" s="14" t="s">
        <v>1238</v>
      </c>
      <c r="G330" s="14">
        <v>0</v>
      </c>
      <c r="H330" s="14">
        <v>0</v>
      </c>
      <c r="I330" s="14">
        <v>0</v>
      </c>
      <c r="J330" s="14">
        <v>0</v>
      </c>
      <c r="K330" s="14">
        <v>0</v>
      </c>
      <c r="L330" s="14">
        <v>0</v>
      </c>
      <c r="M330" s="14">
        <v>0</v>
      </c>
      <c r="N330" s="14">
        <v>0</v>
      </c>
      <c r="O330" s="14">
        <v>0</v>
      </c>
      <c r="P330" s="14">
        <v>0</v>
      </c>
      <c r="Q330" s="14">
        <v>0</v>
      </c>
      <c r="R330" s="15">
        <f>$G$330*$G$8+$H$330*$H$8+$I$330*$I$8+$J$330*$J$8+$K$330*$K$8+$L$330*$L$8+$M$330*$M$8+$N$330*$N$8+$O$330*$O$8+$P$330*$P$8+$Q$330*$Q$8</f>
        <v>0</v>
      </c>
      <c r="S330" s="15">
        <v>0</v>
      </c>
      <c r="T330" s="15">
        <f>$R$330+$S$330</f>
        <v>0</v>
      </c>
    </row>
    <row r="332" spans="1:20" ht="15" thickBot="1" x14ac:dyDescent="0.35">
      <c r="E332" s="5" t="s">
        <v>18</v>
      </c>
      <c r="F332" s="6" t="s">
        <v>19</v>
      </c>
      <c r="G332" s="6" t="s">
        <v>4</v>
      </c>
      <c r="H332" s="6" t="s">
        <v>1265</v>
      </c>
      <c r="I332" s="6" t="s">
        <v>6</v>
      </c>
      <c r="J332" s="6" t="s">
        <v>1266</v>
      </c>
      <c r="K332" s="6" t="s">
        <v>7</v>
      </c>
      <c r="L332" s="6" t="s">
        <v>8</v>
      </c>
      <c r="M332" s="6" t="s">
        <v>9</v>
      </c>
      <c r="N332" s="6" t="s">
        <v>10</v>
      </c>
      <c r="O332" s="6" t="s">
        <v>11</v>
      </c>
      <c r="P332" s="6" t="s">
        <v>12</v>
      </c>
      <c r="Q332" s="6" t="s">
        <v>13</v>
      </c>
      <c r="R332" s="6" t="s">
        <v>23</v>
      </c>
      <c r="S332" s="6" t="s">
        <v>26</v>
      </c>
      <c r="T332" s="6" t="s">
        <v>25</v>
      </c>
    </row>
    <row r="333" spans="1:20" ht="15" thickTop="1" x14ac:dyDescent="0.3">
      <c r="E333" s="7">
        <f xml:space="preserve"> IF($T$333,1,0)</f>
        <v>0</v>
      </c>
      <c r="F333" s="8" t="s">
        <v>27</v>
      </c>
      <c r="G333" s="8">
        <v>0</v>
      </c>
      <c r="H333" s="8">
        <v>0</v>
      </c>
      <c r="I333" s="8">
        <v>0</v>
      </c>
      <c r="J333" s="8">
        <v>0</v>
      </c>
      <c r="K333" s="8">
        <v>0</v>
      </c>
      <c r="L333" s="8">
        <v>0</v>
      </c>
      <c r="M333" s="8">
        <v>0</v>
      </c>
      <c r="N333" s="8">
        <v>0</v>
      </c>
      <c r="O333" s="8">
        <v>0</v>
      </c>
      <c r="P333" s="8">
        <v>0</v>
      </c>
      <c r="Q333" s="8">
        <v>0</v>
      </c>
      <c r="R333" s="9">
        <f>$G$333*$G$8+$H$333*$H$8+$I$333*$I$8+$J$333*$J$8+$K$333*$K$8+$L$333*$L$8+$M$333*$M$8+$N$333*$N$8+$O$333*$O$8+$P$333*$P$8+$Q$333*$Q$8</f>
        <v>0</v>
      </c>
      <c r="S333" s="9">
        <f>$T$333/2</f>
        <v>0</v>
      </c>
      <c r="T333" s="9">
        <f>$G$333*$G$8+$H$333*$H$8+$I$333*$I$8+$J$333*$J$8+$K$333*$K$8+$L$333*$L$8+$M$333*$M$8+$N$333*$N$8+$O$333*$O$8+$P$333*$P$8+$Q$333*$Q$8</f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0C41F-0CC0-468D-BA0B-53736A235FF3}">
  <dimension ref="A2:U339"/>
  <sheetViews>
    <sheetView topLeftCell="G1" workbookViewId="0">
      <selection activeCell="R6" sqref="R6"/>
    </sheetView>
  </sheetViews>
  <sheetFormatPr defaultRowHeight="14.4" x14ac:dyDescent="0.3"/>
  <cols>
    <col min="2" max="2" width="14.77734375" customWidth="1"/>
    <col min="3" max="3" width="18.77734375" customWidth="1"/>
    <col min="4" max="4" width="20.77734375" customWidth="1"/>
    <col min="5" max="5" width="14.77734375" customWidth="1"/>
    <col min="6" max="6" width="25.77734375" customWidth="1"/>
    <col min="8" max="8" width="11.109375" customWidth="1"/>
    <col min="11" max="14" width="11.44140625" customWidth="1"/>
    <col min="16" max="16" width="14.21875" customWidth="1"/>
    <col min="17" max="17" width="13.21875" customWidth="1"/>
    <col min="18" max="18" width="12.21875" customWidth="1"/>
    <col min="19" max="19" width="22.109375" customWidth="1"/>
    <col min="20" max="20" width="18.6640625" customWidth="1"/>
  </cols>
  <sheetData>
    <row r="2" spans="1:21" x14ac:dyDescent="0.3">
      <c r="A2" t="s">
        <v>1239</v>
      </c>
      <c r="F2" t="s">
        <v>20</v>
      </c>
      <c r="G2">
        <f>SUM($G$10:$G$335)+ SUM($G$338:$G$339)</f>
        <v>228</v>
      </c>
      <c r="H2">
        <f>SUM($H$10:$H$335)+ SUM($H$338:$H$339)</f>
        <v>56</v>
      </c>
      <c r="I2">
        <f>SUM($I$10:$I$335)+ SUM($I$338:$I$339)</f>
        <v>13</v>
      </c>
      <c r="J2">
        <f>SUM($J$10:$J$335)+ SUM($J$338:$J$339)</f>
        <v>1</v>
      </c>
      <c r="K2">
        <f>SUM($K$10:$K$335)+ SUM($K$338:$K$339)</f>
        <v>12</v>
      </c>
      <c r="L2">
        <f>SUM($L$10:$L$335)+ SUM($L$338:$L$339)</f>
        <v>18</v>
      </c>
      <c r="M2">
        <f>SUM($M$10:$M$335)+ SUM($M$338:$M$339)</f>
        <v>11</v>
      </c>
      <c r="N2">
        <f>SUM($N$10:$N$335)+ SUM($N$338:$N$339)</f>
        <v>2</v>
      </c>
      <c r="O2">
        <f>SUM($O$10:$O$335)+ SUM($O$338:$O$339)</f>
        <v>3</v>
      </c>
      <c r="P2">
        <f>SUM($P$10:$P$335)+ SUM($P$338:$P$339)</f>
        <v>19</v>
      </c>
    </row>
    <row r="3" spans="1:21" x14ac:dyDescent="0.3">
      <c r="A3">
        <f>SUM($E$10:$E$335)</f>
        <v>69</v>
      </c>
      <c r="F3" t="s">
        <v>21</v>
      </c>
      <c r="G3" s="3">
        <f>$G$8*G2</f>
        <v>159.6</v>
      </c>
      <c r="H3" s="3">
        <f>$H$8*H2</f>
        <v>100.8</v>
      </c>
      <c r="I3" s="3">
        <f>$I$8*I2</f>
        <v>13</v>
      </c>
      <c r="J3" s="3">
        <f>$J$8*J2</f>
        <v>4.75</v>
      </c>
      <c r="K3" s="3">
        <f>$K$8*K2</f>
        <v>24</v>
      </c>
      <c r="L3" s="3">
        <f>$L$8*L2</f>
        <v>54</v>
      </c>
      <c r="M3" s="3">
        <f>$M$8*M2</f>
        <v>44</v>
      </c>
      <c r="N3" s="3">
        <f>$N$8*N2</f>
        <v>10</v>
      </c>
      <c r="O3" s="3">
        <f>$O$8*O2</f>
        <v>1.5</v>
      </c>
      <c r="P3" s="3">
        <f>$P$8*P2</f>
        <v>19</v>
      </c>
    </row>
    <row r="8" spans="1:21" x14ac:dyDescent="0.3">
      <c r="F8" t="s">
        <v>22</v>
      </c>
      <c r="G8" s="4">
        <v>0.7</v>
      </c>
      <c r="H8" s="4">
        <v>1.8</v>
      </c>
      <c r="I8" s="4">
        <v>1</v>
      </c>
      <c r="J8" s="4">
        <v>4.75</v>
      </c>
      <c r="K8" s="4">
        <v>2</v>
      </c>
      <c r="L8" s="4">
        <v>3</v>
      </c>
      <c r="M8" s="4">
        <v>4</v>
      </c>
      <c r="N8" s="4">
        <v>5</v>
      </c>
      <c r="O8" s="4">
        <v>0.5</v>
      </c>
      <c r="P8" s="4">
        <v>1</v>
      </c>
      <c r="Q8" s="3">
        <f>SUM(Q10:Q335)</f>
        <v>5</v>
      </c>
      <c r="R8" s="3">
        <f>SUM(R10:R335)</f>
        <v>3.7</v>
      </c>
      <c r="S8" s="3">
        <f>SUM($S$10:$S$335)</f>
        <v>421.95000000000005</v>
      </c>
      <c r="T8" s="3">
        <f>SUM($T$10:$T$335)</f>
        <v>8.6999999999999993</v>
      </c>
      <c r="U8" s="3">
        <f>SUM($U$10:$U$335)</f>
        <v>430.65</v>
      </c>
    </row>
    <row r="9" spans="1:21" ht="15" thickBot="1" x14ac:dyDescent="0.35">
      <c r="A9" s="5" t="s">
        <v>14</v>
      </c>
      <c r="B9" s="6" t="s">
        <v>15</v>
      </c>
      <c r="C9" s="6" t="s">
        <v>16</v>
      </c>
      <c r="D9" s="6" t="s">
        <v>17</v>
      </c>
      <c r="E9" s="6" t="s">
        <v>18</v>
      </c>
      <c r="F9" s="6" t="s">
        <v>19</v>
      </c>
      <c r="G9" s="6" t="s">
        <v>4</v>
      </c>
      <c r="H9" s="6" t="s">
        <v>1245</v>
      </c>
      <c r="I9" s="6" t="s">
        <v>6</v>
      </c>
      <c r="J9" s="6" t="s">
        <v>7</v>
      </c>
      <c r="K9" s="6" t="s">
        <v>8</v>
      </c>
      <c r="L9" s="6" t="s">
        <v>9</v>
      </c>
      <c r="M9" s="6" t="s">
        <v>10</v>
      </c>
      <c r="N9" s="6" t="s">
        <v>11</v>
      </c>
      <c r="O9" s="6" t="s">
        <v>12</v>
      </c>
      <c r="P9" s="6" t="s">
        <v>13</v>
      </c>
      <c r="Q9" s="6" t="s">
        <v>1247</v>
      </c>
      <c r="R9" s="6" t="s">
        <v>27</v>
      </c>
      <c r="S9" s="6" t="s">
        <v>23</v>
      </c>
      <c r="T9" s="6" t="s">
        <v>24</v>
      </c>
      <c r="U9" s="6" t="s">
        <v>25</v>
      </c>
    </row>
    <row r="10" spans="1:21" ht="15" thickTop="1" x14ac:dyDescent="0.3">
      <c r="A10" s="7" t="s">
        <v>28</v>
      </c>
      <c r="B10" s="8" t="s">
        <v>29</v>
      </c>
      <c r="C10" s="8"/>
      <c r="D10" s="8" t="s">
        <v>30</v>
      </c>
      <c r="E10" s="8">
        <f xml:space="preserve"> IF($U$10,1,0)</f>
        <v>0</v>
      </c>
      <c r="F10" s="8" t="s">
        <v>31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9">
        <v>0</v>
      </c>
      <c r="R10" s="9">
        <v>0</v>
      </c>
      <c r="S10" s="9">
        <f>$G$10*$G$8+$H$10*$H$8+$I$10*$I$8+$J$10*$J$8+$K$10*$K$8+$L$10*$L$8+$M$10*$M$8+$N$10*$N$8+$O$10*$O$8+$P$10*$P$8</f>
        <v>0</v>
      </c>
      <c r="T10" s="9">
        <f>SUM($Q$10:$R$10)</f>
        <v>0</v>
      </c>
      <c r="U10" s="9">
        <f>$S$10+$T$10</f>
        <v>0</v>
      </c>
    </row>
    <row r="11" spans="1:21" x14ac:dyDescent="0.3">
      <c r="A11" s="10" t="s">
        <v>32</v>
      </c>
      <c r="B11" s="11" t="s">
        <v>33</v>
      </c>
      <c r="C11" s="11" t="s">
        <v>34</v>
      </c>
      <c r="D11" s="11" t="s">
        <v>35</v>
      </c>
      <c r="E11" s="11">
        <f xml:space="preserve"> IF($U$11,1,0)</f>
        <v>1</v>
      </c>
      <c r="F11" s="11" t="s">
        <v>36</v>
      </c>
      <c r="G11" s="11">
        <v>0</v>
      </c>
      <c r="H11" s="11">
        <v>0</v>
      </c>
      <c r="I11" s="11">
        <v>1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2">
        <v>0</v>
      </c>
      <c r="R11" s="12">
        <v>0</v>
      </c>
      <c r="S11" s="12">
        <f>$G$11*$G$8+$H$11*$H$8+$I$11*$I$8+$J$11*$J$8+$K$11*$K$8+$L$11*$L$8+$M$11*$M$8+$N$11*$N$8+$O$11*$O$8+$P$11*$P$8</f>
        <v>1</v>
      </c>
      <c r="T11" s="12">
        <f>SUM($Q$11:$R$11)</f>
        <v>0</v>
      </c>
      <c r="U11" s="12">
        <f>$S$11+$T$11</f>
        <v>1</v>
      </c>
    </row>
    <row r="12" spans="1:21" x14ac:dyDescent="0.3">
      <c r="A12" s="13" t="s">
        <v>37</v>
      </c>
      <c r="B12" s="14" t="s">
        <v>38</v>
      </c>
      <c r="C12" s="14"/>
      <c r="D12" s="14" t="s">
        <v>39</v>
      </c>
      <c r="E12" s="14">
        <f xml:space="preserve"> IF($U$12,1,0)</f>
        <v>0</v>
      </c>
      <c r="F12" s="14" t="s">
        <v>40</v>
      </c>
      <c r="G12" s="14">
        <v>0</v>
      </c>
      <c r="H12" s="14">
        <v>0</v>
      </c>
      <c r="I12" s="14">
        <v>0</v>
      </c>
      <c r="J12" s="14">
        <v>0</v>
      </c>
      <c r="K12" s="14">
        <v>0</v>
      </c>
      <c r="L12" s="14">
        <v>0</v>
      </c>
      <c r="M12" s="14">
        <v>0</v>
      </c>
      <c r="N12" s="14">
        <v>0</v>
      </c>
      <c r="O12" s="14">
        <v>0</v>
      </c>
      <c r="P12" s="14">
        <v>0</v>
      </c>
      <c r="Q12" s="15">
        <v>0</v>
      </c>
      <c r="R12" s="15">
        <v>0</v>
      </c>
      <c r="S12" s="15">
        <f>$G$12*$G$8+$H$12*$H$8+$I$12*$I$8+$J$12*$J$8+$K$12*$K$8+$L$12*$L$8+$M$12*$M$8+$N$12*$N$8+$O$12*$O$8+$P$12*$P$8</f>
        <v>0</v>
      </c>
      <c r="T12" s="15">
        <f>SUM($Q$12:$R$12)</f>
        <v>0</v>
      </c>
      <c r="U12" s="15">
        <f>$S$12+$T$12</f>
        <v>0</v>
      </c>
    </row>
    <row r="13" spans="1:21" x14ac:dyDescent="0.3">
      <c r="A13" s="10" t="s">
        <v>41</v>
      </c>
      <c r="B13" s="11" t="s">
        <v>38</v>
      </c>
      <c r="C13" s="11"/>
      <c r="D13" s="11" t="s">
        <v>42</v>
      </c>
      <c r="E13" s="11">
        <f xml:space="preserve"> IF($U$13,1,0)</f>
        <v>0</v>
      </c>
      <c r="F13" s="11" t="s">
        <v>43</v>
      </c>
      <c r="G13" s="11">
        <v>0</v>
      </c>
      <c r="H13" s="11">
        <v>0</v>
      </c>
      <c r="I13" s="11">
        <v>0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2">
        <v>0</v>
      </c>
      <c r="R13" s="12">
        <v>0</v>
      </c>
      <c r="S13" s="12">
        <f>$G$13*$G$8+$H$13*$H$8+$I$13*$I$8+$J$13*$J$8+$K$13*$K$8+$L$13*$L$8+$M$13*$M$8+$N$13*$N$8+$O$13*$O$8+$P$13*$P$8</f>
        <v>0</v>
      </c>
      <c r="T13" s="12">
        <f>SUM($Q$13:$R$13)</f>
        <v>0</v>
      </c>
      <c r="U13" s="12">
        <f>$S$13+$T$13</f>
        <v>0</v>
      </c>
    </row>
    <row r="14" spans="1:21" x14ac:dyDescent="0.3">
      <c r="A14" s="13" t="s">
        <v>44</v>
      </c>
      <c r="B14" s="14" t="s">
        <v>45</v>
      </c>
      <c r="C14" s="14"/>
      <c r="D14" s="14" t="s">
        <v>46</v>
      </c>
      <c r="E14" s="14">
        <f xml:space="preserve"> IF($U$14,1,0)</f>
        <v>0</v>
      </c>
      <c r="F14" s="14" t="s">
        <v>47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5">
        <v>0</v>
      </c>
      <c r="R14" s="15">
        <v>0</v>
      </c>
      <c r="S14" s="15">
        <f>$G$14*$G$8+$H$14*$H$8+$I$14*$I$8+$J$14*$J$8+$K$14*$K$8+$L$14*$L$8+$M$14*$M$8+$N$14*$N$8+$O$14*$O$8+$P$14*$P$8</f>
        <v>0</v>
      </c>
      <c r="T14" s="15">
        <f>SUM($Q$14:$R$14)</f>
        <v>0</v>
      </c>
      <c r="U14" s="15">
        <f>$S$14+$T$14</f>
        <v>0</v>
      </c>
    </row>
    <row r="15" spans="1:21" x14ac:dyDescent="0.3">
      <c r="A15" s="10" t="s">
        <v>48</v>
      </c>
      <c r="B15" s="11" t="s">
        <v>45</v>
      </c>
      <c r="C15" s="11"/>
      <c r="D15" s="11" t="s">
        <v>49</v>
      </c>
      <c r="E15" s="11">
        <f xml:space="preserve"> IF($U$15,1,0)</f>
        <v>0</v>
      </c>
      <c r="F15" s="11" t="s">
        <v>50</v>
      </c>
      <c r="G15" s="11">
        <v>0</v>
      </c>
      <c r="H15" s="11">
        <v>0</v>
      </c>
      <c r="I15" s="11">
        <v>0</v>
      </c>
      <c r="J15" s="11">
        <v>0</v>
      </c>
      <c r="K15" s="11">
        <v>0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2">
        <v>0</v>
      </c>
      <c r="R15" s="12">
        <v>0</v>
      </c>
      <c r="S15" s="12">
        <f>$G$15*$G$8+$H$15*$H$8+$I$15*$I$8+$J$15*$J$8+$K$15*$K$8+$L$15*$L$8+$M$15*$M$8+$N$15*$N$8+$O$15*$O$8+$P$15*$P$8</f>
        <v>0</v>
      </c>
      <c r="T15" s="12">
        <f>SUM($Q$15:$R$15)</f>
        <v>0</v>
      </c>
      <c r="U15" s="12">
        <f>$S$15+$T$15</f>
        <v>0</v>
      </c>
    </row>
    <row r="16" spans="1:21" x14ac:dyDescent="0.3">
      <c r="A16" s="13" t="s">
        <v>51</v>
      </c>
      <c r="B16" s="14" t="s">
        <v>52</v>
      </c>
      <c r="C16" s="14"/>
      <c r="D16" s="14" t="s">
        <v>53</v>
      </c>
      <c r="E16" s="14">
        <f xml:space="preserve"> IF($U$16,1,0)</f>
        <v>1</v>
      </c>
      <c r="F16" s="14" t="s">
        <v>54</v>
      </c>
      <c r="G16" s="14">
        <v>5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4">
        <v>0</v>
      </c>
      <c r="O16" s="14">
        <v>0</v>
      </c>
      <c r="P16" s="14">
        <v>0</v>
      </c>
      <c r="Q16" s="15">
        <v>0</v>
      </c>
      <c r="R16" s="15">
        <v>0</v>
      </c>
      <c r="S16" s="15">
        <f>$G$16*$G$8+$H$16*$H$8+$I$16*$I$8+$J$16*$J$8+$K$16*$K$8+$L$16*$L$8+$M$16*$M$8+$N$16*$N$8+$O$16*$O$8+$P$16*$P$8</f>
        <v>3.5</v>
      </c>
      <c r="T16" s="15">
        <f>SUM($Q$16:$R$16)</f>
        <v>0</v>
      </c>
      <c r="U16" s="15">
        <f>$S$16+$T$16</f>
        <v>3.5</v>
      </c>
    </row>
    <row r="17" spans="1:21" x14ac:dyDescent="0.3">
      <c r="A17" s="10" t="s">
        <v>55</v>
      </c>
      <c r="B17" s="11" t="s">
        <v>56</v>
      </c>
      <c r="C17" s="11"/>
      <c r="D17" s="11" t="s">
        <v>57</v>
      </c>
      <c r="E17" s="11">
        <f xml:space="preserve"> IF($U$17,1,0)</f>
        <v>0</v>
      </c>
      <c r="F17" s="11" t="s">
        <v>58</v>
      </c>
      <c r="G17" s="11">
        <v>0</v>
      </c>
      <c r="H17" s="11">
        <v>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2">
        <v>0</v>
      </c>
      <c r="R17" s="12">
        <v>0</v>
      </c>
      <c r="S17" s="12">
        <f>$G$17*$G$8+$H$17*$H$8+$I$17*$I$8+$J$17*$J$8+$K$17*$K$8+$L$17*$L$8+$M$17*$M$8+$N$17*$N$8+$O$17*$O$8+$P$17*$P$8</f>
        <v>0</v>
      </c>
      <c r="T17" s="12">
        <f>SUM($Q$17:$R$17)</f>
        <v>0</v>
      </c>
      <c r="U17" s="12">
        <f>$S$17+$T$17</f>
        <v>0</v>
      </c>
    </row>
    <row r="18" spans="1:21" x14ac:dyDescent="0.3">
      <c r="A18" s="13" t="s">
        <v>59</v>
      </c>
      <c r="B18" s="14" t="s">
        <v>60</v>
      </c>
      <c r="C18" s="14"/>
      <c r="D18" s="14" t="s">
        <v>61</v>
      </c>
      <c r="E18" s="14">
        <f xml:space="preserve"> IF($U$18,1,0)</f>
        <v>0</v>
      </c>
      <c r="F18" s="14" t="s">
        <v>62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5">
        <v>0</v>
      </c>
      <c r="R18" s="15">
        <v>0</v>
      </c>
      <c r="S18" s="15">
        <f>$G$18*$G$8+$H$18*$H$8+$I$18*$I$8+$J$18*$J$8+$K$18*$K$8+$L$18*$L$8+$M$18*$M$8+$N$18*$N$8+$O$18*$O$8+$P$18*$P$8</f>
        <v>0</v>
      </c>
      <c r="T18" s="15">
        <f>SUM($Q$18:$R$18)</f>
        <v>0</v>
      </c>
      <c r="U18" s="15">
        <f>$S$18+$T$18</f>
        <v>0</v>
      </c>
    </row>
    <row r="19" spans="1:21" x14ac:dyDescent="0.3">
      <c r="A19" s="10" t="s">
        <v>63</v>
      </c>
      <c r="B19" s="11" t="s">
        <v>64</v>
      </c>
      <c r="C19" s="11" t="s">
        <v>65</v>
      </c>
      <c r="D19" s="11" t="s">
        <v>66</v>
      </c>
      <c r="E19" s="11">
        <f xml:space="preserve"> IF($U$19,1,0)</f>
        <v>0</v>
      </c>
      <c r="F19" s="11" t="s">
        <v>67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2">
        <v>0</v>
      </c>
      <c r="R19" s="12">
        <v>0</v>
      </c>
      <c r="S19" s="12">
        <f>$G$19*$G$8+$H$19*$H$8+$I$19*$I$8+$J$19*$J$8+$K$19*$K$8+$L$19*$L$8+$M$19*$M$8+$N$19*$N$8+$O$19*$O$8+$P$19*$P$8</f>
        <v>0</v>
      </c>
      <c r="T19" s="12">
        <f>SUM($Q$19:$R$19)</f>
        <v>0</v>
      </c>
      <c r="U19" s="12">
        <f>$S$19+$T$19</f>
        <v>0</v>
      </c>
    </row>
    <row r="20" spans="1:21" x14ac:dyDescent="0.3">
      <c r="A20" s="13" t="s">
        <v>68</v>
      </c>
      <c r="B20" s="14" t="s">
        <v>69</v>
      </c>
      <c r="C20" s="14"/>
      <c r="D20" s="14" t="s">
        <v>70</v>
      </c>
      <c r="E20" s="14">
        <f xml:space="preserve"> IF($U$20,1,0)</f>
        <v>0</v>
      </c>
      <c r="F20" s="14" t="s">
        <v>71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4">
        <v>0</v>
      </c>
      <c r="N20" s="14">
        <v>0</v>
      </c>
      <c r="O20" s="14">
        <v>0</v>
      </c>
      <c r="P20" s="14">
        <v>0</v>
      </c>
      <c r="Q20" s="15">
        <v>0</v>
      </c>
      <c r="R20" s="15">
        <v>0</v>
      </c>
      <c r="S20" s="15">
        <f>$G$20*$G$8+$H$20*$H$8+$I$20*$I$8+$J$20*$J$8+$K$20*$K$8+$L$20*$L$8+$M$20*$M$8+$N$20*$N$8+$O$20*$O$8+$P$20*$P$8</f>
        <v>0</v>
      </c>
      <c r="T20" s="15">
        <f>SUM($Q$20:$R$20)</f>
        <v>0</v>
      </c>
      <c r="U20" s="15">
        <f>$S$20+$T$20</f>
        <v>0</v>
      </c>
    </row>
    <row r="21" spans="1:21" x14ac:dyDescent="0.3">
      <c r="A21" s="10" t="s">
        <v>72</v>
      </c>
      <c r="B21" s="11" t="s">
        <v>73</v>
      </c>
      <c r="C21" s="11"/>
      <c r="D21" s="11" t="s">
        <v>74</v>
      </c>
      <c r="E21" s="11">
        <f xml:space="preserve"> IF($U$21,1,0)</f>
        <v>1</v>
      </c>
      <c r="F21" s="11" t="s">
        <v>75</v>
      </c>
      <c r="G21" s="11">
        <v>2</v>
      </c>
      <c r="H21" s="11">
        <v>0</v>
      </c>
      <c r="I21" s="11">
        <v>2</v>
      </c>
      <c r="J21" s="11">
        <v>0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2">
        <v>0</v>
      </c>
      <c r="R21" s="12">
        <v>0</v>
      </c>
      <c r="S21" s="12">
        <f>$G$21*$G$8+$H$21*$H$8+$I$21*$I$8+$J$21*$J$8+$K$21*$K$8+$L$21*$L$8+$M$21*$M$8+$N$21*$N$8+$O$21*$O$8+$P$21*$P$8</f>
        <v>3.4</v>
      </c>
      <c r="T21" s="12">
        <f>SUM($Q$21:$R$21)</f>
        <v>0</v>
      </c>
      <c r="U21" s="12">
        <f>$S$21+$T$21</f>
        <v>3.4</v>
      </c>
    </row>
    <row r="22" spans="1:21" x14ac:dyDescent="0.3">
      <c r="A22" s="13" t="s">
        <v>76</v>
      </c>
      <c r="B22" s="14" t="s">
        <v>77</v>
      </c>
      <c r="C22" s="14"/>
      <c r="D22" s="14" t="s">
        <v>78</v>
      </c>
      <c r="E22" s="14">
        <f xml:space="preserve"> IF($U$22,1,0)</f>
        <v>1</v>
      </c>
      <c r="F22" s="14" t="s">
        <v>79</v>
      </c>
      <c r="G22" s="14">
        <v>5</v>
      </c>
      <c r="H22" s="14">
        <v>0</v>
      </c>
      <c r="I22" s="14">
        <v>0</v>
      </c>
      <c r="J22" s="14">
        <v>0</v>
      </c>
      <c r="K22" s="14">
        <v>0</v>
      </c>
      <c r="L22" s="14">
        <v>0</v>
      </c>
      <c r="M22" s="14">
        <v>0</v>
      </c>
      <c r="N22" s="14">
        <v>0</v>
      </c>
      <c r="O22" s="14">
        <v>0</v>
      </c>
      <c r="P22" s="14">
        <v>2</v>
      </c>
      <c r="Q22" s="15">
        <v>0</v>
      </c>
      <c r="R22" s="15">
        <v>0</v>
      </c>
      <c r="S22" s="15">
        <f>$G$22*$G$8+$H$22*$H$8+$I$22*$I$8+$J$22*$J$8+$K$22*$K$8+$L$22*$L$8+$M$22*$M$8+$N$22*$N$8+$O$22*$O$8+$P$22*$P$8</f>
        <v>5.5</v>
      </c>
      <c r="T22" s="15">
        <f>SUM($Q$22:$R$22)</f>
        <v>0</v>
      </c>
      <c r="U22" s="15">
        <f>$S$22+$T$22</f>
        <v>5.5</v>
      </c>
    </row>
    <row r="23" spans="1:21" x14ac:dyDescent="0.3">
      <c r="A23" s="10" t="s">
        <v>80</v>
      </c>
      <c r="B23" s="11" t="s">
        <v>77</v>
      </c>
      <c r="C23" s="11" t="s">
        <v>65</v>
      </c>
      <c r="D23" s="11" t="s">
        <v>81</v>
      </c>
      <c r="E23" s="11">
        <f xml:space="preserve"> IF($U$23,1,0)</f>
        <v>0</v>
      </c>
      <c r="F23" s="11" t="s">
        <v>82</v>
      </c>
      <c r="G23" s="11">
        <v>0</v>
      </c>
      <c r="H23" s="11">
        <v>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2">
        <v>0</v>
      </c>
      <c r="R23" s="12">
        <v>0</v>
      </c>
      <c r="S23" s="12">
        <f>$G$23*$G$8+$H$23*$H$8+$I$23*$I$8+$J$23*$J$8+$K$23*$K$8+$L$23*$L$8+$M$23*$M$8+$N$23*$N$8+$O$23*$O$8+$P$23*$P$8</f>
        <v>0</v>
      </c>
      <c r="T23" s="12">
        <f>SUM($Q$23:$R$23)</f>
        <v>0</v>
      </c>
      <c r="U23" s="12">
        <f>$S$23+$T$23</f>
        <v>0</v>
      </c>
    </row>
    <row r="24" spans="1:21" x14ac:dyDescent="0.3">
      <c r="A24" s="13" t="s">
        <v>83</v>
      </c>
      <c r="B24" s="14" t="s">
        <v>84</v>
      </c>
      <c r="C24" s="14"/>
      <c r="D24" s="14" t="s">
        <v>81</v>
      </c>
      <c r="E24" s="14">
        <f xml:space="preserve"> IF($U$24,1,0)</f>
        <v>0</v>
      </c>
      <c r="F24" s="14" t="s">
        <v>85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5">
        <v>0</v>
      </c>
      <c r="R24" s="15">
        <v>0</v>
      </c>
      <c r="S24" s="15">
        <f>$G$24*$G$8+$H$24*$H$8+$I$24*$I$8+$J$24*$J$8+$K$24*$K$8+$L$24*$L$8+$M$24*$M$8+$N$24*$N$8+$O$24*$O$8+$P$24*$P$8</f>
        <v>0</v>
      </c>
      <c r="T24" s="15">
        <f>SUM($Q$24:$R$24)</f>
        <v>0</v>
      </c>
      <c r="U24" s="15">
        <f>$S$24+$T$24</f>
        <v>0</v>
      </c>
    </row>
    <row r="25" spans="1:21" x14ac:dyDescent="0.3">
      <c r="A25" s="10" t="s">
        <v>86</v>
      </c>
      <c r="B25" s="11" t="s">
        <v>87</v>
      </c>
      <c r="C25" s="11"/>
      <c r="D25" s="11" t="s">
        <v>88</v>
      </c>
      <c r="E25" s="11">
        <f xml:space="preserve"> IF($U$25,1,0)</f>
        <v>0</v>
      </c>
      <c r="F25" s="11" t="s">
        <v>89</v>
      </c>
      <c r="G25" s="11">
        <v>0</v>
      </c>
      <c r="H25" s="11">
        <v>0</v>
      </c>
      <c r="I25" s="11">
        <v>0</v>
      </c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2">
        <v>0</v>
      </c>
      <c r="R25" s="12">
        <v>0</v>
      </c>
      <c r="S25" s="12">
        <f>$G$25*$G$8+$H$25*$H$8+$I$25*$I$8+$J$25*$J$8+$K$25*$K$8+$L$25*$L$8+$M$25*$M$8+$N$25*$N$8+$O$25*$O$8+$P$25*$P$8</f>
        <v>0</v>
      </c>
      <c r="T25" s="12">
        <f>SUM($Q$25:$R$25)</f>
        <v>0</v>
      </c>
      <c r="U25" s="12">
        <f>$S$25+$T$25</f>
        <v>0</v>
      </c>
    </row>
    <row r="26" spans="1:21" x14ac:dyDescent="0.3">
      <c r="A26" s="13" t="s">
        <v>90</v>
      </c>
      <c r="B26" s="14" t="s">
        <v>91</v>
      </c>
      <c r="C26" s="14"/>
      <c r="D26" s="14" t="s">
        <v>92</v>
      </c>
      <c r="E26" s="14">
        <f xml:space="preserve"> IF($U$26,1,0)</f>
        <v>0</v>
      </c>
      <c r="F26" s="14" t="s">
        <v>93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5">
        <v>0</v>
      </c>
      <c r="R26" s="15">
        <v>0</v>
      </c>
      <c r="S26" s="15">
        <f>$G$26*$G$8+$H$26*$H$8+$I$26*$I$8+$J$26*$J$8+$K$26*$K$8+$L$26*$L$8+$M$26*$M$8+$N$26*$N$8+$O$26*$O$8+$P$26*$P$8</f>
        <v>0</v>
      </c>
      <c r="T26" s="15">
        <f>SUM($Q$26:$R$26)</f>
        <v>0</v>
      </c>
      <c r="U26" s="15">
        <f>$S$26+$T$26</f>
        <v>0</v>
      </c>
    </row>
    <row r="27" spans="1:21" x14ac:dyDescent="0.3">
      <c r="A27" s="10" t="s">
        <v>94</v>
      </c>
      <c r="B27" s="11" t="s">
        <v>95</v>
      </c>
      <c r="C27" s="11"/>
      <c r="D27" s="11" t="s">
        <v>96</v>
      </c>
      <c r="E27" s="11">
        <f xml:space="preserve"> IF($U$27,1,0)</f>
        <v>0</v>
      </c>
      <c r="F27" s="11" t="s">
        <v>97</v>
      </c>
      <c r="G27" s="11">
        <v>0</v>
      </c>
      <c r="H27" s="11">
        <v>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2">
        <v>0</v>
      </c>
      <c r="R27" s="12">
        <v>0</v>
      </c>
      <c r="S27" s="12">
        <f>$G$27*$G$8+$H$27*$H$8+$I$27*$I$8+$J$27*$J$8+$K$27*$K$8+$L$27*$L$8+$M$27*$M$8+$N$27*$N$8+$O$27*$O$8+$P$27*$P$8</f>
        <v>0</v>
      </c>
      <c r="T27" s="12">
        <f>SUM($Q$27:$R$27)</f>
        <v>0</v>
      </c>
      <c r="U27" s="12">
        <f>$S$27+$T$27</f>
        <v>0</v>
      </c>
    </row>
    <row r="28" spans="1:21" x14ac:dyDescent="0.3">
      <c r="A28" s="13" t="s">
        <v>98</v>
      </c>
      <c r="B28" s="14" t="s">
        <v>99</v>
      </c>
      <c r="C28" s="14"/>
      <c r="D28" s="14" t="s">
        <v>100</v>
      </c>
      <c r="E28" s="14">
        <f xml:space="preserve"> IF($U$28,1,0)</f>
        <v>0</v>
      </c>
      <c r="F28" s="14" t="s">
        <v>101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5">
        <v>0</v>
      </c>
      <c r="R28" s="15">
        <v>0</v>
      </c>
      <c r="S28" s="15">
        <f>$G$28*$G$8+$H$28*$H$8+$I$28*$I$8+$J$28*$J$8+$K$28*$K$8+$L$28*$L$8+$M$28*$M$8+$N$28*$N$8+$O$28*$O$8+$P$28*$P$8</f>
        <v>0</v>
      </c>
      <c r="T28" s="15">
        <f>SUM($Q$28:$R$28)</f>
        <v>0</v>
      </c>
      <c r="U28" s="15">
        <f>$S$28+$T$28</f>
        <v>0</v>
      </c>
    </row>
    <row r="29" spans="1:21" x14ac:dyDescent="0.3">
      <c r="A29" s="10" t="s">
        <v>102</v>
      </c>
      <c r="B29" s="11" t="s">
        <v>103</v>
      </c>
      <c r="C29" s="11"/>
      <c r="D29" s="11" t="s">
        <v>104</v>
      </c>
      <c r="E29" s="11">
        <f xml:space="preserve"> IF($U$29,1,0)</f>
        <v>1</v>
      </c>
      <c r="F29" s="11" t="s">
        <v>105</v>
      </c>
      <c r="G29" s="11">
        <v>3</v>
      </c>
      <c r="H29" s="11">
        <v>0</v>
      </c>
      <c r="I29" s="11">
        <v>0</v>
      </c>
      <c r="J29" s="11">
        <v>0</v>
      </c>
      <c r="K29" s="11">
        <v>0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2">
        <v>0</v>
      </c>
      <c r="R29" s="12">
        <v>0</v>
      </c>
      <c r="S29" s="12">
        <f>$G$29*$G$8+$H$29*$H$8+$I$29*$I$8+$J$29*$J$8+$K$29*$K$8+$L$29*$L$8+$M$29*$M$8+$N$29*$N$8+$O$29*$O$8+$P$29*$P$8</f>
        <v>2.0999999999999996</v>
      </c>
      <c r="T29" s="12">
        <f>SUM($Q$29:$R$29)</f>
        <v>0</v>
      </c>
      <c r="U29" s="12">
        <f>$S$29+$T$29</f>
        <v>2.0999999999999996</v>
      </c>
    </row>
    <row r="30" spans="1:21" x14ac:dyDescent="0.3">
      <c r="A30" s="13" t="s">
        <v>106</v>
      </c>
      <c r="B30" s="14" t="s">
        <v>103</v>
      </c>
      <c r="C30" s="14"/>
      <c r="D30" s="14" t="s">
        <v>107</v>
      </c>
      <c r="E30" s="14">
        <f xml:space="preserve"> IF($U$30,1,0)</f>
        <v>0</v>
      </c>
      <c r="F30" s="14" t="s">
        <v>108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5">
        <v>0</v>
      </c>
      <c r="R30" s="15">
        <v>0</v>
      </c>
      <c r="S30" s="15">
        <f>$G$30*$G$8+$H$30*$H$8+$I$30*$I$8+$J$30*$J$8+$K$30*$K$8+$L$30*$L$8+$M$30*$M$8+$N$30*$N$8+$O$30*$O$8+$P$30*$P$8</f>
        <v>0</v>
      </c>
      <c r="T30" s="15">
        <f>SUM($Q$30:$R$30)</f>
        <v>0</v>
      </c>
      <c r="U30" s="15">
        <f>$S$30+$T$30</f>
        <v>0</v>
      </c>
    </row>
    <row r="31" spans="1:21" x14ac:dyDescent="0.3">
      <c r="A31" s="10" t="s">
        <v>109</v>
      </c>
      <c r="B31" s="11" t="s">
        <v>103</v>
      </c>
      <c r="C31" s="11"/>
      <c r="D31" s="11" t="s">
        <v>110</v>
      </c>
      <c r="E31" s="11">
        <f xml:space="preserve"> IF($U$31,1,0)</f>
        <v>0</v>
      </c>
      <c r="F31" s="11" t="s">
        <v>111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2">
        <v>0</v>
      </c>
      <c r="R31" s="12">
        <v>0</v>
      </c>
      <c r="S31" s="12">
        <f>$G$31*$G$8+$H$31*$H$8+$I$31*$I$8+$J$31*$J$8+$K$31*$K$8+$L$31*$L$8+$M$31*$M$8+$N$31*$N$8+$O$31*$O$8+$P$31*$P$8</f>
        <v>0</v>
      </c>
      <c r="T31" s="12">
        <f>SUM($Q$31:$R$31)</f>
        <v>0</v>
      </c>
      <c r="U31" s="12">
        <f>$S$31+$T$31</f>
        <v>0</v>
      </c>
    </row>
    <row r="32" spans="1:21" x14ac:dyDescent="0.3">
      <c r="A32" s="13" t="s">
        <v>112</v>
      </c>
      <c r="B32" s="14" t="s">
        <v>113</v>
      </c>
      <c r="C32" s="14"/>
      <c r="D32" s="14" t="s">
        <v>114</v>
      </c>
      <c r="E32" s="14">
        <f xml:space="preserve"> IF($U$32,1,0)</f>
        <v>0</v>
      </c>
      <c r="F32" s="14" t="s">
        <v>115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5">
        <v>0</v>
      </c>
      <c r="R32" s="15">
        <v>0</v>
      </c>
      <c r="S32" s="15">
        <f>$G$32*$G$8+$H$32*$H$8+$I$32*$I$8+$J$32*$J$8+$K$32*$K$8+$L$32*$L$8+$M$32*$M$8+$N$32*$N$8+$O$32*$O$8+$P$32*$P$8</f>
        <v>0</v>
      </c>
      <c r="T32" s="15">
        <f>SUM($Q$32:$R$32)</f>
        <v>0</v>
      </c>
      <c r="U32" s="15">
        <f>$S$32+$T$32</f>
        <v>0</v>
      </c>
    </row>
    <row r="33" spans="1:21" x14ac:dyDescent="0.3">
      <c r="A33" s="10" t="s">
        <v>116</v>
      </c>
      <c r="B33" s="11" t="s">
        <v>117</v>
      </c>
      <c r="C33" s="11" t="s">
        <v>34</v>
      </c>
      <c r="D33" s="11" t="s">
        <v>118</v>
      </c>
      <c r="E33" s="11">
        <f xml:space="preserve"> IF($U$33,1,0)</f>
        <v>1</v>
      </c>
      <c r="F33" s="11" t="s">
        <v>119</v>
      </c>
      <c r="G33" s="11">
        <v>2</v>
      </c>
      <c r="H33" s="11">
        <v>0</v>
      </c>
      <c r="I33" s="11">
        <v>0</v>
      </c>
      <c r="J33" s="11">
        <v>0</v>
      </c>
      <c r="K33" s="11">
        <v>0</v>
      </c>
      <c r="L33" s="11">
        <v>0</v>
      </c>
      <c r="M33" s="11">
        <v>0</v>
      </c>
      <c r="N33" s="11">
        <v>0</v>
      </c>
      <c r="O33" s="11">
        <v>0</v>
      </c>
      <c r="P33" s="11">
        <v>0</v>
      </c>
      <c r="Q33" s="12">
        <v>0</v>
      </c>
      <c r="R33" s="12">
        <v>0</v>
      </c>
      <c r="S33" s="12">
        <f>$G$33*$G$8+$H$33*$H$8+$I$33*$I$8+$J$33*$J$8+$K$33*$K$8+$L$33*$L$8+$M$33*$M$8+$N$33*$N$8+$O$33*$O$8+$P$33*$P$8</f>
        <v>1.4</v>
      </c>
      <c r="T33" s="12">
        <f>SUM($Q$33:$R$33)</f>
        <v>0</v>
      </c>
      <c r="U33" s="12">
        <f>$S$33+$T$33</f>
        <v>1.4</v>
      </c>
    </row>
    <row r="34" spans="1:21" x14ac:dyDescent="0.3">
      <c r="A34" s="13" t="s">
        <v>120</v>
      </c>
      <c r="B34" s="14" t="s">
        <v>121</v>
      </c>
      <c r="C34" s="14"/>
      <c r="D34" s="14" t="s">
        <v>122</v>
      </c>
      <c r="E34" s="14">
        <f xml:space="preserve"> IF($U$34,1,0)</f>
        <v>0</v>
      </c>
      <c r="F34" s="14" t="s">
        <v>123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5">
        <v>0</v>
      </c>
      <c r="R34" s="15">
        <v>0</v>
      </c>
      <c r="S34" s="15">
        <f>$G$34*$G$8+$H$34*$H$8+$I$34*$I$8+$J$34*$J$8+$K$34*$K$8+$L$34*$L$8+$M$34*$M$8+$N$34*$N$8+$O$34*$O$8+$P$34*$P$8</f>
        <v>0</v>
      </c>
      <c r="T34" s="15">
        <f>SUM($Q$34:$R$34)</f>
        <v>0</v>
      </c>
      <c r="U34" s="15">
        <f>$S$34+$T$34</f>
        <v>0</v>
      </c>
    </row>
    <row r="35" spans="1:21" x14ac:dyDescent="0.3">
      <c r="A35" s="10" t="s">
        <v>124</v>
      </c>
      <c r="B35" s="11" t="s">
        <v>125</v>
      </c>
      <c r="C35" s="11"/>
      <c r="D35" s="11" t="s">
        <v>126</v>
      </c>
      <c r="E35" s="11">
        <f xml:space="preserve"> IF($U$35,1,0)</f>
        <v>0</v>
      </c>
      <c r="F35" s="11" t="s">
        <v>127</v>
      </c>
      <c r="G35" s="11">
        <v>0</v>
      </c>
      <c r="H35" s="11">
        <v>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0</v>
      </c>
      <c r="Q35" s="12">
        <v>0</v>
      </c>
      <c r="R35" s="12">
        <v>0</v>
      </c>
      <c r="S35" s="12">
        <f>$G$35*$G$8+$H$35*$H$8+$I$35*$I$8+$J$35*$J$8+$K$35*$K$8+$L$35*$L$8+$M$35*$M$8+$N$35*$N$8+$O$35*$O$8+$P$35*$P$8</f>
        <v>0</v>
      </c>
      <c r="T35" s="12">
        <f>SUM($Q$35:$R$35)</f>
        <v>0</v>
      </c>
      <c r="U35" s="12">
        <f>$S$35+$T$35</f>
        <v>0</v>
      </c>
    </row>
    <row r="36" spans="1:21" x14ac:dyDescent="0.3">
      <c r="A36" s="13" t="s">
        <v>128</v>
      </c>
      <c r="B36" s="14" t="s">
        <v>129</v>
      </c>
      <c r="C36" s="14" t="s">
        <v>34</v>
      </c>
      <c r="D36" s="14" t="s">
        <v>130</v>
      </c>
      <c r="E36" s="14">
        <f xml:space="preserve"> IF($U$36,1,0)</f>
        <v>0</v>
      </c>
      <c r="F36" s="14" t="s">
        <v>131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5">
        <v>0</v>
      </c>
      <c r="R36" s="15">
        <v>0</v>
      </c>
      <c r="S36" s="15">
        <f>$G$36*$G$8+$H$36*$H$8+$I$36*$I$8+$J$36*$J$8+$K$36*$K$8+$L$36*$L$8+$M$36*$M$8+$N$36*$N$8+$O$36*$O$8+$P$36*$P$8</f>
        <v>0</v>
      </c>
      <c r="T36" s="15">
        <f>SUM($Q$36:$R$36)</f>
        <v>0</v>
      </c>
      <c r="U36" s="15">
        <f>$S$36+$T$36</f>
        <v>0</v>
      </c>
    </row>
    <row r="37" spans="1:21" x14ac:dyDescent="0.3">
      <c r="A37" s="10" t="s">
        <v>132</v>
      </c>
      <c r="B37" s="11" t="s">
        <v>133</v>
      </c>
      <c r="C37" s="11"/>
      <c r="D37" s="11" t="s">
        <v>134</v>
      </c>
      <c r="E37" s="11">
        <f xml:space="preserve"> IF($U$37,1,0)</f>
        <v>0</v>
      </c>
      <c r="F37" s="11" t="s">
        <v>135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2">
        <v>0</v>
      </c>
      <c r="R37" s="12">
        <v>0</v>
      </c>
      <c r="S37" s="12">
        <f>$G$37*$G$8+$H$37*$H$8+$I$37*$I$8+$J$37*$J$8+$K$37*$K$8+$L$37*$L$8+$M$37*$M$8+$N$37*$N$8+$O$37*$O$8+$P$37*$P$8</f>
        <v>0</v>
      </c>
      <c r="T37" s="12">
        <f>SUM($Q$37:$R$37)</f>
        <v>0</v>
      </c>
      <c r="U37" s="12">
        <f>$S$37+$T$37</f>
        <v>0</v>
      </c>
    </row>
    <row r="38" spans="1:21" x14ac:dyDescent="0.3">
      <c r="A38" s="13" t="s">
        <v>136</v>
      </c>
      <c r="B38" s="14" t="s">
        <v>137</v>
      </c>
      <c r="C38" s="14"/>
      <c r="D38" s="14" t="s">
        <v>138</v>
      </c>
      <c r="E38" s="14">
        <f xml:space="preserve"> IF($U$38,1,0)</f>
        <v>0</v>
      </c>
      <c r="F38" s="14" t="s">
        <v>139</v>
      </c>
      <c r="G38" s="14">
        <v>0</v>
      </c>
      <c r="H38" s="14">
        <v>0</v>
      </c>
      <c r="I38" s="14">
        <v>0</v>
      </c>
      <c r="J38" s="14">
        <v>0</v>
      </c>
      <c r="K38" s="14">
        <v>0</v>
      </c>
      <c r="L38" s="14">
        <v>0</v>
      </c>
      <c r="M38" s="14">
        <v>0</v>
      </c>
      <c r="N38" s="14">
        <v>0</v>
      </c>
      <c r="O38" s="14">
        <v>0</v>
      </c>
      <c r="P38" s="14">
        <v>0</v>
      </c>
      <c r="Q38" s="15">
        <v>0</v>
      </c>
      <c r="R38" s="15">
        <v>0</v>
      </c>
      <c r="S38" s="15">
        <f>$G$38*$G$8+$H$38*$H$8+$I$38*$I$8+$J$38*$J$8+$K$38*$K$8+$L$38*$L$8+$M$38*$M$8+$N$38*$N$8+$O$38*$O$8+$P$38*$P$8</f>
        <v>0</v>
      </c>
      <c r="T38" s="15">
        <f>SUM($Q$38:$R$38)</f>
        <v>0</v>
      </c>
      <c r="U38" s="15">
        <f>$S$38+$T$38</f>
        <v>0</v>
      </c>
    </row>
    <row r="39" spans="1:21" x14ac:dyDescent="0.3">
      <c r="A39" s="10" t="s">
        <v>140</v>
      </c>
      <c r="B39" s="11" t="s">
        <v>141</v>
      </c>
      <c r="C39" s="11"/>
      <c r="D39" s="11" t="s">
        <v>142</v>
      </c>
      <c r="E39" s="11">
        <f xml:space="preserve"> IF($U$39,1,0)</f>
        <v>0</v>
      </c>
      <c r="F39" s="11" t="s">
        <v>143</v>
      </c>
      <c r="G39" s="11">
        <v>0</v>
      </c>
      <c r="H39" s="11">
        <v>0</v>
      </c>
      <c r="I39" s="11">
        <v>0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2">
        <v>0</v>
      </c>
      <c r="R39" s="12">
        <v>0</v>
      </c>
      <c r="S39" s="12">
        <f>$G$39*$G$8+$H$39*$H$8+$I$39*$I$8+$J$39*$J$8+$K$39*$K$8+$L$39*$L$8+$M$39*$M$8+$N$39*$N$8+$O$39*$O$8+$P$39*$P$8</f>
        <v>0</v>
      </c>
      <c r="T39" s="12">
        <f>SUM($Q$39:$R$39)</f>
        <v>0</v>
      </c>
      <c r="U39" s="12">
        <f>$S$39+$T$39</f>
        <v>0</v>
      </c>
    </row>
    <row r="40" spans="1:21" x14ac:dyDescent="0.3">
      <c r="A40" s="13" t="s">
        <v>144</v>
      </c>
      <c r="B40" s="14" t="s">
        <v>145</v>
      </c>
      <c r="C40" s="14"/>
      <c r="D40" s="14" t="s">
        <v>146</v>
      </c>
      <c r="E40" s="14">
        <f xml:space="preserve"> IF($U$40,1,0)</f>
        <v>0</v>
      </c>
      <c r="F40" s="14" t="s">
        <v>147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5">
        <v>0</v>
      </c>
      <c r="R40" s="15">
        <v>0</v>
      </c>
      <c r="S40" s="15">
        <f>$G$40*$G$8+$H$40*$H$8+$I$40*$I$8+$J$40*$J$8+$K$40*$K$8+$L$40*$L$8+$M$40*$M$8+$N$40*$N$8+$O$40*$O$8+$P$40*$P$8</f>
        <v>0</v>
      </c>
      <c r="T40" s="15">
        <f>SUM($Q$40:$R$40)</f>
        <v>0</v>
      </c>
      <c r="U40" s="15">
        <f>$S$40+$T$40</f>
        <v>0</v>
      </c>
    </row>
    <row r="41" spans="1:21" x14ac:dyDescent="0.3">
      <c r="A41" s="10" t="s">
        <v>148</v>
      </c>
      <c r="B41" s="11" t="s">
        <v>149</v>
      </c>
      <c r="C41" s="11"/>
      <c r="D41" s="11" t="s">
        <v>150</v>
      </c>
      <c r="E41" s="11">
        <f xml:space="preserve"> IF($U$41,1,0)</f>
        <v>0</v>
      </c>
      <c r="F41" s="11" t="s">
        <v>151</v>
      </c>
      <c r="G41" s="11">
        <v>0</v>
      </c>
      <c r="H41" s="11">
        <v>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2">
        <v>0</v>
      </c>
      <c r="R41" s="12">
        <v>0</v>
      </c>
      <c r="S41" s="12">
        <f>$G$41*$G$8+$H$41*$H$8+$I$41*$I$8+$J$41*$J$8+$K$41*$K$8+$L$41*$L$8+$M$41*$M$8+$N$41*$N$8+$O$41*$O$8+$P$41*$P$8</f>
        <v>0</v>
      </c>
      <c r="T41" s="12">
        <f>SUM($Q$41:$R$41)</f>
        <v>0</v>
      </c>
      <c r="U41" s="12">
        <f>$S$41+$T$41</f>
        <v>0</v>
      </c>
    </row>
    <row r="42" spans="1:21" x14ac:dyDescent="0.3">
      <c r="A42" s="13" t="s">
        <v>152</v>
      </c>
      <c r="B42" s="14" t="s">
        <v>153</v>
      </c>
      <c r="C42" s="14"/>
      <c r="D42" s="14" t="s">
        <v>154</v>
      </c>
      <c r="E42" s="14">
        <f xml:space="preserve"> IF($U$42,1,0)</f>
        <v>1</v>
      </c>
      <c r="F42" s="14" t="s">
        <v>155</v>
      </c>
      <c r="G42" s="14">
        <v>2</v>
      </c>
      <c r="H42" s="14">
        <v>2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2</v>
      </c>
      <c r="Q42" s="15">
        <v>0</v>
      </c>
      <c r="R42" s="15">
        <v>0</v>
      </c>
      <c r="S42" s="15">
        <f>$G$42*$G$8+$H$42*$H$8+$I$42*$I$8+$J$42*$J$8+$K$42*$K$8+$L$42*$L$8+$M$42*$M$8+$N$42*$N$8+$O$42*$O$8+$P$42*$P$8</f>
        <v>7</v>
      </c>
      <c r="T42" s="15">
        <f>SUM($Q$42:$R$42)</f>
        <v>0</v>
      </c>
      <c r="U42" s="15">
        <f>$S$42+$T$42</f>
        <v>7</v>
      </c>
    </row>
    <row r="43" spans="1:21" x14ac:dyDescent="0.3">
      <c r="A43" s="10" t="s">
        <v>156</v>
      </c>
      <c r="B43" s="11" t="s">
        <v>157</v>
      </c>
      <c r="C43" s="11" t="s">
        <v>65</v>
      </c>
      <c r="D43" s="11" t="s">
        <v>158</v>
      </c>
      <c r="E43" s="11">
        <f xml:space="preserve"> IF($U$43,1,0)</f>
        <v>0</v>
      </c>
      <c r="F43" s="11" t="s">
        <v>159</v>
      </c>
      <c r="G43" s="11">
        <v>0</v>
      </c>
      <c r="H43" s="11">
        <v>0</v>
      </c>
      <c r="I43" s="11">
        <v>0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2">
        <v>0</v>
      </c>
      <c r="R43" s="12">
        <v>0</v>
      </c>
      <c r="S43" s="12">
        <f>$G$43*$G$8+$H$43*$H$8+$I$43*$I$8+$J$43*$J$8+$K$43*$K$8+$L$43*$L$8+$M$43*$M$8+$N$43*$N$8+$O$43*$O$8+$P$43*$P$8</f>
        <v>0</v>
      </c>
      <c r="T43" s="12">
        <f>SUM($Q$43:$R$43)</f>
        <v>0</v>
      </c>
      <c r="U43" s="12">
        <f>$S$43+$T$43</f>
        <v>0</v>
      </c>
    </row>
    <row r="44" spans="1:21" x14ac:dyDescent="0.3">
      <c r="A44" s="13" t="s">
        <v>160</v>
      </c>
      <c r="B44" s="14" t="s">
        <v>161</v>
      </c>
      <c r="C44" s="14"/>
      <c r="D44" s="14" t="s">
        <v>162</v>
      </c>
      <c r="E44" s="14">
        <f xml:space="preserve"> IF($U$44,1,0)</f>
        <v>0</v>
      </c>
      <c r="F44" s="14" t="s">
        <v>163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14">
        <v>0</v>
      </c>
      <c r="P44" s="14">
        <v>0</v>
      </c>
      <c r="Q44" s="15">
        <v>0</v>
      </c>
      <c r="R44" s="15">
        <v>0</v>
      </c>
      <c r="S44" s="15">
        <f>$G$44*$G$8+$H$44*$H$8+$I$44*$I$8+$J$44*$J$8+$K$44*$K$8+$L$44*$L$8+$M$44*$M$8+$N$44*$N$8+$O$44*$O$8+$P$44*$P$8</f>
        <v>0</v>
      </c>
      <c r="T44" s="15">
        <f>SUM($Q$44:$R$44)</f>
        <v>0</v>
      </c>
      <c r="U44" s="15">
        <f>$S$44+$T$44</f>
        <v>0</v>
      </c>
    </row>
    <row r="45" spans="1:21" x14ac:dyDescent="0.3">
      <c r="A45" s="10" t="s">
        <v>164</v>
      </c>
      <c r="B45" s="11" t="s">
        <v>165</v>
      </c>
      <c r="C45" s="11"/>
      <c r="D45" s="11" t="s">
        <v>166</v>
      </c>
      <c r="E45" s="11">
        <f xml:space="preserve"> IF($U$45,1,0)</f>
        <v>0</v>
      </c>
      <c r="F45" s="11" t="s">
        <v>167</v>
      </c>
      <c r="G45" s="11">
        <v>0</v>
      </c>
      <c r="H45" s="11">
        <v>0</v>
      </c>
      <c r="I45" s="11">
        <v>0</v>
      </c>
      <c r="J45" s="11">
        <v>0</v>
      </c>
      <c r="K45" s="11">
        <v>0</v>
      </c>
      <c r="L45" s="11">
        <v>0</v>
      </c>
      <c r="M45" s="11">
        <v>0</v>
      </c>
      <c r="N45" s="11">
        <v>0</v>
      </c>
      <c r="O45" s="11">
        <v>0</v>
      </c>
      <c r="P45" s="11">
        <v>0</v>
      </c>
      <c r="Q45" s="12">
        <v>0</v>
      </c>
      <c r="R45" s="12">
        <v>0</v>
      </c>
      <c r="S45" s="12">
        <f>$G$45*$G$8+$H$45*$H$8+$I$45*$I$8+$J$45*$J$8+$K$45*$K$8+$L$45*$L$8+$M$45*$M$8+$N$45*$N$8+$O$45*$O$8+$P$45*$P$8</f>
        <v>0</v>
      </c>
      <c r="T45" s="12">
        <f>SUM($Q$45:$R$45)</f>
        <v>0</v>
      </c>
      <c r="U45" s="12">
        <f>$S$45+$T$45</f>
        <v>0</v>
      </c>
    </row>
    <row r="46" spans="1:21" x14ac:dyDescent="0.3">
      <c r="A46" s="13" t="s">
        <v>168</v>
      </c>
      <c r="B46" s="14" t="s">
        <v>169</v>
      </c>
      <c r="C46" s="14" t="s">
        <v>65</v>
      </c>
      <c r="D46" s="14" t="s">
        <v>170</v>
      </c>
      <c r="E46" s="14">
        <f xml:space="preserve"> IF($U$46,1,0)</f>
        <v>0</v>
      </c>
      <c r="F46" s="14" t="s">
        <v>171</v>
      </c>
      <c r="G46" s="14">
        <v>0</v>
      </c>
      <c r="H46" s="14">
        <v>0</v>
      </c>
      <c r="I46" s="14">
        <v>0</v>
      </c>
      <c r="J46" s="14">
        <v>0</v>
      </c>
      <c r="K46" s="14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5">
        <v>0</v>
      </c>
      <c r="R46" s="15">
        <v>0</v>
      </c>
      <c r="S46" s="15">
        <f>$G$46*$G$8+$H$46*$H$8+$I$46*$I$8+$J$46*$J$8+$K$46*$K$8+$L$46*$L$8+$M$46*$M$8+$N$46*$N$8+$O$46*$O$8+$P$46*$P$8</f>
        <v>0</v>
      </c>
      <c r="T46" s="15">
        <f>SUM($Q$46:$R$46)</f>
        <v>0</v>
      </c>
      <c r="U46" s="15">
        <f>$S$46+$T$46</f>
        <v>0</v>
      </c>
    </row>
    <row r="47" spans="1:21" x14ac:dyDescent="0.3">
      <c r="A47" s="10" t="s">
        <v>172</v>
      </c>
      <c r="B47" s="11" t="s">
        <v>173</v>
      </c>
      <c r="C47" s="11"/>
      <c r="D47" s="11" t="s">
        <v>174</v>
      </c>
      <c r="E47" s="11">
        <f xml:space="preserve"> IF($U$47,1,0)</f>
        <v>0</v>
      </c>
      <c r="F47" s="11" t="s">
        <v>175</v>
      </c>
      <c r="G47" s="11">
        <v>0</v>
      </c>
      <c r="H47" s="11">
        <v>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2">
        <v>0</v>
      </c>
      <c r="R47" s="12">
        <v>0</v>
      </c>
      <c r="S47" s="12">
        <f>$G$47*$G$8+$H$47*$H$8+$I$47*$I$8+$J$47*$J$8+$K$47*$K$8+$L$47*$L$8+$M$47*$M$8+$N$47*$N$8+$O$47*$O$8+$P$47*$P$8</f>
        <v>0</v>
      </c>
      <c r="T47" s="12">
        <f>SUM($Q$47:$R$47)</f>
        <v>0</v>
      </c>
      <c r="U47" s="12">
        <f>$S$47+$T$47</f>
        <v>0</v>
      </c>
    </row>
    <row r="48" spans="1:21" x14ac:dyDescent="0.3">
      <c r="A48" s="13" t="s">
        <v>176</v>
      </c>
      <c r="B48" s="14" t="s">
        <v>177</v>
      </c>
      <c r="C48" s="14"/>
      <c r="D48" s="14" t="s">
        <v>178</v>
      </c>
      <c r="E48" s="14">
        <f xml:space="preserve"> IF($U$48,1,0)</f>
        <v>0</v>
      </c>
      <c r="F48" s="14" t="s">
        <v>179</v>
      </c>
      <c r="G48" s="14">
        <v>0</v>
      </c>
      <c r="H48" s="14">
        <v>0</v>
      </c>
      <c r="I48" s="14">
        <v>0</v>
      </c>
      <c r="J48" s="14">
        <v>0</v>
      </c>
      <c r="K48" s="14">
        <v>0</v>
      </c>
      <c r="L48" s="14">
        <v>0</v>
      </c>
      <c r="M48" s="14">
        <v>0</v>
      </c>
      <c r="N48" s="14">
        <v>0</v>
      </c>
      <c r="O48" s="14">
        <v>0</v>
      </c>
      <c r="P48" s="14">
        <v>0</v>
      </c>
      <c r="Q48" s="15">
        <v>0</v>
      </c>
      <c r="R48" s="15">
        <v>0</v>
      </c>
      <c r="S48" s="15">
        <f>$G$48*$G$8+$H$48*$H$8+$I$48*$I$8+$J$48*$J$8+$K$48*$K$8+$L$48*$L$8+$M$48*$M$8+$N$48*$N$8+$O$48*$O$8+$P$48*$P$8</f>
        <v>0</v>
      </c>
      <c r="T48" s="15">
        <f>SUM($Q$48:$R$48)</f>
        <v>0</v>
      </c>
      <c r="U48" s="15">
        <f>$S$48+$T$48</f>
        <v>0</v>
      </c>
    </row>
    <row r="49" spans="1:21" x14ac:dyDescent="0.3">
      <c r="A49" s="10" t="s">
        <v>180</v>
      </c>
      <c r="B49" s="11" t="s">
        <v>177</v>
      </c>
      <c r="C49" s="11"/>
      <c r="D49" s="11" t="s">
        <v>181</v>
      </c>
      <c r="E49" s="11">
        <f xml:space="preserve"> IF($U$49,1,0)</f>
        <v>1</v>
      </c>
      <c r="F49" s="11" t="s">
        <v>182</v>
      </c>
      <c r="G49" s="11">
        <v>12</v>
      </c>
      <c r="H49" s="11">
        <v>0</v>
      </c>
      <c r="I49" s="11">
        <v>0</v>
      </c>
      <c r="J49" s="11">
        <v>0</v>
      </c>
      <c r="K49" s="11">
        <v>2</v>
      </c>
      <c r="L49" s="11">
        <v>2</v>
      </c>
      <c r="M49" s="11">
        <v>2</v>
      </c>
      <c r="N49" s="11">
        <v>0</v>
      </c>
      <c r="O49" s="11">
        <v>0</v>
      </c>
      <c r="P49" s="11">
        <v>0</v>
      </c>
      <c r="Q49" s="12">
        <v>0</v>
      </c>
      <c r="R49" s="12">
        <f>$T$339</f>
        <v>1.85</v>
      </c>
      <c r="S49" s="12">
        <f>$G$49*$G$8+$H$49*$H$8+$I$49*$I$8+$J$49*$J$8+$K$49*$K$8+$L$49*$L$8+$M$49*$M$8+$N$49*$N$8+$O$49*$O$8+$P$49*$P$8</f>
        <v>26.4</v>
      </c>
      <c r="T49" s="12">
        <f>SUM($Q$49:$R$49)</f>
        <v>1.85</v>
      </c>
      <c r="U49" s="12">
        <f>$S$49+$T$49</f>
        <v>28.25</v>
      </c>
    </row>
    <row r="50" spans="1:21" x14ac:dyDescent="0.3">
      <c r="A50" s="13" t="s">
        <v>183</v>
      </c>
      <c r="B50" s="14" t="s">
        <v>177</v>
      </c>
      <c r="C50" s="14"/>
      <c r="D50" s="14" t="s">
        <v>184</v>
      </c>
      <c r="E50" s="14">
        <f xml:space="preserve"> IF($U$50,1,0)</f>
        <v>0</v>
      </c>
      <c r="F50" s="14" t="s">
        <v>185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  <c r="M50" s="14">
        <v>0</v>
      </c>
      <c r="N50" s="14">
        <v>0</v>
      </c>
      <c r="O50" s="14">
        <v>0</v>
      </c>
      <c r="P50" s="14">
        <v>0</v>
      </c>
      <c r="Q50" s="15">
        <v>0</v>
      </c>
      <c r="R50" s="15">
        <v>0</v>
      </c>
      <c r="S50" s="15">
        <f>$G$50*$G$8+$H$50*$H$8+$I$50*$I$8+$J$50*$J$8+$K$50*$K$8+$L$50*$L$8+$M$50*$M$8+$N$50*$N$8+$O$50*$O$8+$P$50*$P$8</f>
        <v>0</v>
      </c>
      <c r="T50" s="15">
        <f>SUM($Q$50:$R$50)</f>
        <v>0</v>
      </c>
      <c r="U50" s="15">
        <f>$S$50+$T$50</f>
        <v>0</v>
      </c>
    </row>
    <row r="51" spans="1:21" x14ac:dyDescent="0.3">
      <c r="A51" s="10" t="s">
        <v>186</v>
      </c>
      <c r="B51" s="11" t="s">
        <v>177</v>
      </c>
      <c r="C51" s="11"/>
      <c r="D51" s="11" t="s">
        <v>187</v>
      </c>
      <c r="E51" s="11">
        <f xml:space="preserve"> IF($U$51,1,0)</f>
        <v>1</v>
      </c>
      <c r="F51" s="11" t="s">
        <v>188</v>
      </c>
      <c r="G51" s="11">
        <v>2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2">
        <v>0</v>
      </c>
      <c r="R51" s="12">
        <v>0</v>
      </c>
      <c r="S51" s="12">
        <f>$G$51*$G$8+$H$51*$H$8+$I$51*$I$8+$J$51*$J$8+$K$51*$K$8+$L$51*$L$8+$M$51*$M$8+$N$51*$N$8+$O$51*$O$8+$P$51*$P$8</f>
        <v>1.4</v>
      </c>
      <c r="T51" s="12">
        <f>SUM($Q$51:$R$51)</f>
        <v>0</v>
      </c>
      <c r="U51" s="12">
        <f>$S$51+$T$51</f>
        <v>1.4</v>
      </c>
    </row>
    <row r="52" spans="1:21" x14ac:dyDescent="0.3">
      <c r="A52" s="13" t="s">
        <v>189</v>
      </c>
      <c r="B52" s="14" t="s">
        <v>177</v>
      </c>
      <c r="C52" s="14"/>
      <c r="D52" s="14" t="s">
        <v>190</v>
      </c>
      <c r="E52" s="14">
        <f xml:space="preserve"> IF($U$52,1,0)</f>
        <v>0</v>
      </c>
      <c r="F52" s="14" t="s">
        <v>191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5">
        <v>0</v>
      </c>
      <c r="R52" s="15">
        <v>0</v>
      </c>
      <c r="S52" s="15">
        <f>$G$52*$G$8+$H$52*$H$8+$I$52*$I$8+$J$52*$J$8+$K$52*$K$8+$L$52*$L$8+$M$52*$M$8+$N$52*$N$8+$O$52*$O$8+$P$52*$P$8</f>
        <v>0</v>
      </c>
      <c r="T52" s="15">
        <f>SUM($Q$52:$R$52)</f>
        <v>0</v>
      </c>
      <c r="U52" s="15">
        <f>$S$52+$T$52</f>
        <v>0</v>
      </c>
    </row>
    <row r="53" spans="1:21" x14ac:dyDescent="0.3">
      <c r="A53" s="10" t="s">
        <v>192</v>
      </c>
      <c r="B53" s="11" t="s">
        <v>177</v>
      </c>
      <c r="C53" s="11"/>
      <c r="D53" s="11" t="s">
        <v>193</v>
      </c>
      <c r="E53" s="11">
        <f xml:space="preserve"> IF($U$53,1,0)</f>
        <v>0</v>
      </c>
      <c r="F53" s="11" t="s">
        <v>194</v>
      </c>
      <c r="G53" s="11">
        <v>0</v>
      </c>
      <c r="H53" s="11">
        <v>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2">
        <v>0</v>
      </c>
      <c r="R53" s="12">
        <v>0</v>
      </c>
      <c r="S53" s="12">
        <f>$G$53*$G$8+$H$53*$H$8+$I$53*$I$8+$J$53*$J$8+$K$53*$K$8+$L$53*$L$8+$M$53*$M$8+$N$53*$N$8+$O$53*$O$8+$P$53*$P$8</f>
        <v>0</v>
      </c>
      <c r="T53" s="12">
        <f>SUM($Q$53:$R$53)</f>
        <v>0</v>
      </c>
      <c r="U53" s="12">
        <f>$S$53+$T$53</f>
        <v>0</v>
      </c>
    </row>
    <row r="54" spans="1:21" x14ac:dyDescent="0.3">
      <c r="A54" s="13" t="s">
        <v>195</v>
      </c>
      <c r="B54" s="14" t="s">
        <v>177</v>
      </c>
      <c r="C54" s="14"/>
      <c r="D54" s="14" t="s">
        <v>196</v>
      </c>
      <c r="E54" s="14">
        <f xml:space="preserve"> IF($U$54,1,0)</f>
        <v>0</v>
      </c>
      <c r="F54" s="14" t="s">
        <v>197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5">
        <v>0</v>
      </c>
      <c r="R54" s="15">
        <v>0</v>
      </c>
      <c r="S54" s="15">
        <f>$G$54*$G$8+$H$54*$H$8+$I$54*$I$8+$J$54*$J$8+$K$54*$K$8+$L$54*$L$8+$M$54*$M$8+$N$54*$N$8+$O$54*$O$8+$P$54*$P$8</f>
        <v>0</v>
      </c>
      <c r="T54" s="15">
        <f>SUM($Q$54:$R$54)</f>
        <v>0</v>
      </c>
      <c r="U54" s="15">
        <f>$S$54+$T$54</f>
        <v>0</v>
      </c>
    </row>
    <row r="55" spans="1:21" x14ac:dyDescent="0.3">
      <c r="A55" s="10" t="s">
        <v>198</v>
      </c>
      <c r="B55" s="11" t="s">
        <v>177</v>
      </c>
      <c r="C55" s="11" t="s">
        <v>65</v>
      </c>
      <c r="D55" s="11" t="s">
        <v>199</v>
      </c>
      <c r="E55" s="11">
        <f xml:space="preserve"> IF($U$55,1,0)</f>
        <v>0</v>
      </c>
      <c r="F55" s="11" t="s">
        <v>200</v>
      </c>
      <c r="G55" s="11">
        <v>0</v>
      </c>
      <c r="H55" s="11">
        <v>0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2">
        <v>0</v>
      </c>
      <c r="R55" s="12">
        <v>0</v>
      </c>
      <c r="S55" s="12">
        <f>$G$55*$G$8+$H$55*$H$8+$I$55*$I$8+$J$55*$J$8+$K$55*$K$8+$L$55*$L$8+$M$55*$M$8+$N$55*$N$8+$O$55*$O$8+$P$55*$P$8</f>
        <v>0</v>
      </c>
      <c r="T55" s="12">
        <f>SUM($Q$55:$R$55)</f>
        <v>0</v>
      </c>
      <c r="U55" s="12">
        <f>$S$55+$T$55</f>
        <v>0</v>
      </c>
    </row>
    <row r="56" spans="1:21" x14ac:dyDescent="0.3">
      <c r="A56" s="13" t="s">
        <v>201</v>
      </c>
      <c r="B56" s="14" t="s">
        <v>177</v>
      </c>
      <c r="C56" s="14" t="s">
        <v>202</v>
      </c>
      <c r="D56" s="14" t="s">
        <v>203</v>
      </c>
      <c r="E56" s="14">
        <f xml:space="preserve"> IF($U$56,1,0)</f>
        <v>1</v>
      </c>
      <c r="F56" s="14" t="s">
        <v>204</v>
      </c>
      <c r="G56" s="14">
        <v>0</v>
      </c>
      <c r="H56" s="14">
        <v>4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5">
        <v>0</v>
      </c>
      <c r="R56" s="15">
        <v>0</v>
      </c>
      <c r="S56" s="15">
        <f>$G$56*$G$8+$H$56*$H$8+$I$56*$I$8+$J$56*$J$8+$K$56*$K$8+$L$56*$L$8+$M$56*$M$8+$N$56*$N$8+$O$56*$O$8+$P$56*$P$8</f>
        <v>7.2</v>
      </c>
      <c r="T56" s="15">
        <f>SUM($Q$56:$R$56)</f>
        <v>0</v>
      </c>
      <c r="U56" s="15">
        <f>$S$56+$T$56</f>
        <v>7.2</v>
      </c>
    </row>
    <row r="57" spans="1:21" x14ac:dyDescent="0.3">
      <c r="A57" s="10" t="s">
        <v>205</v>
      </c>
      <c r="B57" s="11" t="s">
        <v>206</v>
      </c>
      <c r="C57" s="11"/>
      <c r="D57" s="11" t="s">
        <v>207</v>
      </c>
      <c r="E57" s="11">
        <f xml:space="preserve"> IF($U$57,1,0)</f>
        <v>0</v>
      </c>
      <c r="F57" s="11" t="s">
        <v>208</v>
      </c>
      <c r="G57" s="11">
        <v>0</v>
      </c>
      <c r="H57" s="11">
        <v>0</v>
      </c>
      <c r="I57" s="11">
        <v>0</v>
      </c>
      <c r="J57" s="11">
        <v>0</v>
      </c>
      <c r="K57" s="11">
        <v>0</v>
      </c>
      <c r="L57" s="11">
        <v>0</v>
      </c>
      <c r="M57" s="11">
        <v>0</v>
      </c>
      <c r="N57" s="11">
        <v>0</v>
      </c>
      <c r="O57" s="11">
        <v>0</v>
      </c>
      <c r="P57" s="11">
        <v>0</v>
      </c>
      <c r="Q57" s="12">
        <v>0</v>
      </c>
      <c r="R57" s="12">
        <v>0</v>
      </c>
      <c r="S57" s="12">
        <f>$G$57*$G$8+$H$57*$H$8+$I$57*$I$8+$J$57*$J$8+$K$57*$K$8+$L$57*$L$8+$M$57*$M$8+$N$57*$N$8+$O$57*$O$8+$P$57*$P$8</f>
        <v>0</v>
      </c>
      <c r="T57" s="12">
        <f>SUM($Q$57:$R$57)</f>
        <v>0</v>
      </c>
      <c r="U57" s="12">
        <f>$S$57+$T$57</f>
        <v>0</v>
      </c>
    </row>
    <row r="58" spans="1:21" x14ac:dyDescent="0.3">
      <c r="A58" s="13" t="s">
        <v>209</v>
      </c>
      <c r="B58" s="14" t="s">
        <v>210</v>
      </c>
      <c r="C58" s="14"/>
      <c r="D58" s="14" t="s">
        <v>211</v>
      </c>
      <c r="E58" s="14">
        <f xml:space="preserve"> IF($U$58,1,0)</f>
        <v>1</v>
      </c>
      <c r="F58" s="14" t="s">
        <v>212</v>
      </c>
      <c r="G58" s="14">
        <v>4</v>
      </c>
      <c r="H58" s="14">
        <v>3</v>
      </c>
      <c r="I58" s="14">
        <v>0</v>
      </c>
      <c r="J58" s="14">
        <v>0</v>
      </c>
      <c r="K58" s="14">
        <v>2</v>
      </c>
      <c r="L58" s="14">
        <v>1</v>
      </c>
      <c r="M58" s="14">
        <v>0</v>
      </c>
      <c r="N58" s="14">
        <v>0</v>
      </c>
      <c r="O58" s="14">
        <v>0</v>
      </c>
      <c r="P58" s="14">
        <v>1</v>
      </c>
      <c r="Q58" s="15">
        <v>0</v>
      </c>
      <c r="R58" s="15">
        <v>0</v>
      </c>
      <c r="S58" s="15">
        <f>$G$58*$G$8+$H$58*$H$8+$I$58*$I$8+$J$58*$J$8+$K$58*$K$8+$L$58*$L$8+$M$58*$M$8+$N$58*$N$8+$O$58*$O$8+$P$58*$P$8</f>
        <v>16.2</v>
      </c>
      <c r="T58" s="15">
        <f>SUM($Q$58:$R$58)</f>
        <v>0</v>
      </c>
      <c r="U58" s="15">
        <f>$S$58+$T$58</f>
        <v>16.2</v>
      </c>
    </row>
    <row r="59" spans="1:21" x14ac:dyDescent="0.3">
      <c r="A59" s="10" t="s">
        <v>213</v>
      </c>
      <c r="B59" s="11" t="s">
        <v>210</v>
      </c>
      <c r="C59" s="11"/>
      <c r="D59" s="11" t="s">
        <v>214</v>
      </c>
      <c r="E59" s="11">
        <f xml:space="preserve"> IF($U$59,1,0)</f>
        <v>0</v>
      </c>
      <c r="F59" s="11" t="s">
        <v>215</v>
      </c>
      <c r="G59" s="11">
        <v>0</v>
      </c>
      <c r="H59" s="11">
        <v>0</v>
      </c>
      <c r="I59" s="11">
        <v>0</v>
      </c>
      <c r="J59" s="11">
        <v>0</v>
      </c>
      <c r="K59" s="11">
        <v>0</v>
      </c>
      <c r="L59" s="11">
        <v>0</v>
      </c>
      <c r="M59" s="11">
        <v>0</v>
      </c>
      <c r="N59" s="11">
        <v>0</v>
      </c>
      <c r="O59" s="11">
        <v>0</v>
      </c>
      <c r="P59" s="11">
        <v>0</v>
      </c>
      <c r="Q59" s="12">
        <v>0</v>
      </c>
      <c r="R59" s="12">
        <v>0</v>
      </c>
      <c r="S59" s="12">
        <f>$G$59*$G$8+$H$59*$H$8+$I$59*$I$8+$J$59*$J$8+$K$59*$K$8+$L$59*$L$8+$M$59*$M$8+$N$59*$N$8+$O$59*$O$8+$P$59*$P$8</f>
        <v>0</v>
      </c>
      <c r="T59" s="12">
        <f>SUM($Q$59:$R$59)</f>
        <v>0</v>
      </c>
      <c r="U59" s="12">
        <f>$S$59+$T$59</f>
        <v>0</v>
      </c>
    </row>
    <row r="60" spans="1:21" x14ac:dyDescent="0.3">
      <c r="A60" s="13" t="s">
        <v>216</v>
      </c>
      <c r="B60" s="14" t="s">
        <v>217</v>
      </c>
      <c r="C60" s="14"/>
      <c r="D60" s="14" t="s">
        <v>218</v>
      </c>
      <c r="E60" s="14">
        <f xml:space="preserve"> IF($U$60,1,0)</f>
        <v>0</v>
      </c>
      <c r="F60" s="14" t="s">
        <v>219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0</v>
      </c>
      <c r="M60" s="14">
        <v>0</v>
      </c>
      <c r="N60" s="14">
        <v>0</v>
      </c>
      <c r="O60" s="14">
        <v>0</v>
      </c>
      <c r="P60" s="14">
        <v>0</v>
      </c>
      <c r="Q60" s="15">
        <v>0</v>
      </c>
      <c r="R60" s="15">
        <v>0</v>
      </c>
      <c r="S60" s="15">
        <f>$G$60*$G$8+$H$60*$H$8+$I$60*$I$8+$J$60*$J$8+$K$60*$K$8+$L$60*$L$8+$M$60*$M$8+$N$60*$N$8+$O$60*$O$8+$P$60*$P$8</f>
        <v>0</v>
      </c>
      <c r="T60" s="15">
        <f>SUM($Q$60:$R$60)</f>
        <v>0</v>
      </c>
      <c r="U60" s="15">
        <f>$S$60+$T$60</f>
        <v>0</v>
      </c>
    </row>
    <row r="61" spans="1:21" x14ac:dyDescent="0.3">
      <c r="A61" s="10" t="s">
        <v>220</v>
      </c>
      <c r="B61" s="11" t="s">
        <v>221</v>
      </c>
      <c r="C61" s="11" t="s">
        <v>34</v>
      </c>
      <c r="D61" s="11" t="s">
        <v>222</v>
      </c>
      <c r="E61" s="11">
        <f xml:space="preserve"> IF($U$61,1,0)</f>
        <v>0</v>
      </c>
      <c r="F61" s="11" t="s">
        <v>223</v>
      </c>
      <c r="G61" s="11">
        <v>0</v>
      </c>
      <c r="H61" s="11">
        <v>0</v>
      </c>
      <c r="I61" s="11">
        <v>0</v>
      </c>
      <c r="J61" s="11">
        <v>0</v>
      </c>
      <c r="K61" s="11">
        <v>0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2">
        <v>0</v>
      </c>
      <c r="R61" s="12">
        <v>0</v>
      </c>
      <c r="S61" s="12">
        <f>$G$61*$G$8+$H$61*$H$8+$I$61*$I$8+$J$61*$J$8+$K$61*$K$8+$L$61*$L$8+$M$61*$M$8+$N$61*$N$8+$O$61*$O$8+$P$61*$P$8</f>
        <v>0</v>
      </c>
      <c r="T61" s="12">
        <f>SUM($Q$61:$R$61)</f>
        <v>0</v>
      </c>
      <c r="U61" s="12">
        <f>$S$61+$T$61</f>
        <v>0</v>
      </c>
    </row>
    <row r="62" spans="1:21" x14ac:dyDescent="0.3">
      <c r="A62" s="13" t="s">
        <v>224</v>
      </c>
      <c r="B62" s="14" t="s">
        <v>225</v>
      </c>
      <c r="C62" s="14"/>
      <c r="D62" s="14" t="s">
        <v>226</v>
      </c>
      <c r="E62" s="14">
        <f xml:space="preserve"> IF($U$62,1,0)</f>
        <v>0</v>
      </c>
      <c r="F62" s="14" t="s">
        <v>227</v>
      </c>
      <c r="G62" s="14">
        <v>0</v>
      </c>
      <c r="H62" s="14">
        <v>0</v>
      </c>
      <c r="I62" s="14">
        <v>0</v>
      </c>
      <c r="J62" s="14">
        <v>0</v>
      </c>
      <c r="K62" s="14">
        <v>0</v>
      </c>
      <c r="L62" s="14">
        <v>0</v>
      </c>
      <c r="M62" s="14">
        <v>0</v>
      </c>
      <c r="N62" s="14">
        <v>0</v>
      </c>
      <c r="O62" s="14">
        <v>0</v>
      </c>
      <c r="P62" s="14">
        <v>0</v>
      </c>
      <c r="Q62" s="15">
        <v>0</v>
      </c>
      <c r="R62" s="15">
        <v>0</v>
      </c>
      <c r="S62" s="15">
        <f>$G$62*$G$8+$H$62*$H$8+$I$62*$I$8+$J$62*$J$8+$K$62*$K$8+$L$62*$L$8+$M$62*$M$8+$N$62*$N$8+$O$62*$O$8+$P$62*$P$8</f>
        <v>0</v>
      </c>
      <c r="T62" s="15">
        <f>SUM($Q$62:$R$62)</f>
        <v>0</v>
      </c>
      <c r="U62" s="15">
        <f>$S$62+$T$62</f>
        <v>0</v>
      </c>
    </row>
    <row r="63" spans="1:21" x14ac:dyDescent="0.3">
      <c r="A63" s="10" t="s">
        <v>228</v>
      </c>
      <c r="B63" s="11" t="s">
        <v>225</v>
      </c>
      <c r="C63" s="11"/>
      <c r="D63" s="11" t="s">
        <v>229</v>
      </c>
      <c r="E63" s="11">
        <f xml:space="preserve"> IF($U$63,1,0)</f>
        <v>0</v>
      </c>
      <c r="F63" s="11" t="s">
        <v>230</v>
      </c>
      <c r="G63" s="11">
        <v>0</v>
      </c>
      <c r="H63" s="11">
        <v>0</v>
      </c>
      <c r="I63" s="11">
        <v>0</v>
      </c>
      <c r="J63" s="11">
        <v>0</v>
      </c>
      <c r="K63" s="11">
        <v>0</v>
      </c>
      <c r="L63" s="11">
        <v>0</v>
      </c>
      <c r="M63" s="11">
        <v>0</v>
      </c>
      <c r="N63" s="11">
        <v>0</v>
      </c>
      <c r="O63" s="11">
        <v>0</v>
      </c>
      <c r="P63" s="11">
        <v>0</v>
      </c>
      <c r="Q63" s="12">
        <v>0</v>
      </c>
      <c r="R63" s="12">
        <v>0</v>
      </c>
      <c r="S63" s="12">
        <f>$G$63*$G$8+$H$63*$H$8+$I$63*$I$8+$J$63*$J$8+$K$63*$K$8+$L$63*$L$8+$M$63*$M$8+$N$63*$N$8+$O$63*$O$8+$P$63*$P$8</f>
        <v>0</v>
      </c>
      <c r="T63" s="12">
        <f>SUM($Q$63:$R$63)</f>
        <v>0</v>
      </c>
      <c r="U63" s="12">
        <f>$S$63+$T$63</f>
        <v>0</v>
      </c>
    </row>
    <row r="64" spans="1:21" x14ac:dyDescent="0.3">
      <c r="A64" s="13" t="s">
        <v>231</v>
      </c>
      <c r="B64" s="14" t="s">
        <v>225</v>
      </c>
      <c r="C64" s="14"/>
      <c r="D64" s="14" t="s">
        <v>232</v>
      </c>
      <c r="E64" s="14">
        <f xml:space="preserve"> IF($U$64,1,0)</f>
        <v>0</v>
      </c>
      <c r="F64" s="14" t="s">
        <v>233</v>
      </c>
      <c r="G64" s="14">
        <v>0</v>
      </c>
      <c r="H64" s="14">
        <v>0</v>
      </c>
      <c r="I64" s="14">
        <v>0</v>
      </c>
      <c r="J64" s="14">
        <v>0</v>
      </c>
      <c r="K64" s="14">
        <v>0</v>
      </c>
      <c r="L64" s="14">
        <v>0</v>
      </c>
      <c r="M64" s="14">
        <v>0</v>
      </c>
      <c r="N64" s="14">
        <v>0</v>
      </c>
      <c r="O64" s="14">
        <v>0</v>
      </c>
      <c r="P64" s="14">
        <v>0</v>
      </c>
      <c r="Q64" s="15">
        <v>0</v>
      </c>
      <c r="R64" s="15">
        <v>0</v>
      </c>
      <c r="S64" s="15">
        <f>$G$64*$G$8+$H$64*$H$8+$I$64*$I$8+$J$64*$J$8+$K$64*$K$8+$L$64*$L$8+$M$64*$M$8+$N$64*$N$8+$O$64*$O$8+$P$64*$P$8</f>
        <v>0</v>
      </c>
      <c r="T64" s="15">
        <f>SUM($Q$64:$R$64)</f>
        <v>0</v>
      </c>
      <c r="U64" s="15">
        <f>$S$64+$T$64</f>
        <v>0</v>
      </c>
    </row>
    <row r="65" spans="1:21" x14ac:dyDescent="0.3">
      <c r="A65" s="10" t="s">
        <v>234</v>
      </c>
      <c r="B65" s="11" t="s">
        <v>235</v>
      </c>
      <c r="C65" s="11"/>
      <c r="D65" s="11" t="s">
        <v>236</v>
      </c>
      <c r="E65" s="11">
        <f xml:space="preserve"> IF($U$65,1,0)</f>
        <v>0</v>
      </c>
      <c r="F65" s="11" t="s">
        <v>237</v>
      </c>
      <c r="G65" s="11">
        <v>0</v>
      </c>
      <c r="H65" s="11">
        <v>0</v>
      </c>
      <c r="I65" s="11">
        <v>0</v>
      </c>
      <c r="J65" s="11">
        <v>0</v>
      </c>
      <c r="K65" s="11">
        <v>0</v>
      </c>
      <c r="L65" s="11">
        <v>0</v>
      </c>
      <c r="M65" s="11">
        <v>0</v>
      </c>
      <c r="N65" s="11">
        <v>0</v>
      </c>
      <c r="O65" s="11">
        <v>0</v>
      </c>
      <c r="P65" s="11">
        <v>0</v>
      </c>
      <c r="Q65" s="12">
        <v>0</v>
      </c>
      <c r="R65" s="12">
        <v>0</v>
      </c>
      <c r="S65" s="12">
        <f>$G$65*$G$8+$H$65*$H$8+$I$65*$I$8+$J$65*$J$8+$K$65*$K$8+$L$65*$L$8+$M$65*$M$8+$N$65*$N$8+$O$65*$O$8+$P$65*$P$8</f>
        <v>0</v>
      </c>
      <c r="T65" s="12">
        <f>SUM($Q$65:$R$65)</f>
        <v>0</v>
      </c>
      <c r="U65" s="12">
        <f>$S$65+$T$65</f>
        <v>0</v>
      </c>
    </row>
    <row r="66" spans="1:21" x14ac:dyDescent="0.3">
      <c r="A66" s="13" t="s">
        <v>238</v>
      </c>
      <c r="B66" s="14" t="s">
        <v>235</v>
      </c>
      <c r="C66" s="14" t="s">
        <v>34</v>
      </c>
      <c r="D66" s="14" t="s">
        <v>239</v>
      </c>
      <c r="E66" s="14">
        <f xml:space="preserve"> IF($U$66,1,0)</f>
        <v>0</v>
      </c>
      <c r="F66" s="14" t="s">
        <v>240</v>
      </c>
      <c r="G66" s="14">
        <v>0</v>
      </c>
      <c r="H66" s="14">
        <v>0</v>
      </c>
      <c r="I66" s="14">
        <v>0</v>
      </c>
      <c r="J66" s="14">
        <v>0</v>
      </c>
      <c r="K66" s="14">
        <v>0</v>
      </c>
      <c r="L66" s="14">
        <v>0</v>
      </c>
      <c r="M66" s="14">
        <v>0</v>
      </c>
      <c r="N66" s="14">
        <v>0</v>
      </c>
      <c r="O66" s="14">
        <v>0</v>
      </c>
      <c r="P66" s="14">
        <v>0</v>
      </c>
      <c r="Q66" s="15">
        <v>0</v>
      </c>
      <c r="R66" s="15">
        <v>0</v>
      </c>
      <c r="S66" s="15">
        <f>$G$66*$G$8+$H$66*$H$8+$I$66*$I$8+$J$66*$J$8+$K$66*$K$8+$L$66*$L$8+$M$66*$M$8+$N$66*$N$8+$O$66*$O$8+$P$66*$P$8</f>
        <v>0</v>
      </c>
      <c r="T66" s="15">
        <f>SUM($Q$66:$R$66)</f>
        <v>0</v>
      </c>
      <c r="U66" s="15">
        <f>$S$66+$T$66</f>
        <v>0</v>
      </c>
    </row>
    <row r="67" spans="1:21" x14ac:dyDescent="0.3">
      <c r="A67" s="10" t="s">
        <v>241</v>
      </c>
      <c r="B67" s="11" t="s">
        <v>242</v>
      </c>
      <c r="C67" s="11" t="s">
        <v>243</v>
      </c>
      <c r="D67" s="11" t="s">
        <v>244</v>
      </c>
      <c r="E67" s="11">
        <f xml:space="preserve"> IF($U$67,1,0)</f>
        <v>0</v>
      </c>
      <c r="F67" s="11" t="s">
        <v>245</v>
      </c>
      <c r="G67" s="11">
        <v>0</v>
      </c>
      <c r="H67" s="11">
        <v>0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2">
        <v>0</v>
      </c>
      <c r="R67" s="12">
        <v>0</v>
      </c>
      <c r="S67" s="12">
        <f>$G$67*$G$8+$H$67*$H$8+$I$67*$I$8+$J$67*$J$8+$K$67*$K$8+$L$67*$L$8+$M$67*$M$8+$N$67*$N$8+$O$67*$O$8+$P$67*$P$8</f>
        <v>0</v>
      </c>
      <c r="T67" s="12">
        <f>SUM($Q$67:$R$67)</f>
        <v>0</v>
      </c>
      <c r="U67" s="12">
        <f>$S$67+$T$67</f>
        <v>0</v>
      </c>
    </row>
    <row r="68" spans="1:21" x14ac:dyDescent="0.3">
      <c r="A68" s="13" t="s">
        <v>246</v>
      </c>
      <c r="B68" s="14" t="s">
        <v>242</v>
      </c>
      <c r="C68" s="14"/>
      <c r="D68" s="14" t="s">
        <v>247</v>
      </c>
      <c r="E68" s="14">
        <f xml:space="preserve"> IF($U$68,1,0)</f>
        <v>0</v>
      </c>
      <c r="F68" s="14" t="s">
        <v>248</v>
      </c>
      <c r="G68" s="14">
        <v>0</v>
      </c>
      <c r="H68" s="14">
        <v>0</v>
      </c>
      <c r="I68" s="14">
        <v>0</v>
      </c>
      <c r="J68" s="14">
        <v>0</v>
      </c>
      <c r="K68" s="14">
        <v>0</v>
      </c>
      <c r="L68" s="14">
        <v>0</v>
      </c>
      <c r="M68" s="14">
        <v>0</v>
      </c>
      <c r="N68" s="14">
        <v>0</v>
      </c>
      <c r="O68" s="14">
        <v>0</v>
      </c>
      <c r="P68" s="14">
        <v>0</v>
      </c>
      <c r="Q68" s="15">
        <v>0</v>
      </c>
      <c r="R68" s="15">
        <v>0</v>
      </c>
      <c r="S68" s="15">
        <f>$G$68*$G$8+$H$68*$H$8+$I$68*$I$8+$J$68*$J$8+$K$68*$K$8+$L$68*$L$8+$M$68*$M$8+$N$68*$N$8+$O$68*$O$8+$P$68*$P$8</f>
        <v>0</v>
      </c>
      <c r="T68" s="15">
        <f>SUM($Q$68:$R$68)</f>
        <v>0</v>
      </c>
      <c r="U68" s="15">
        <f>$S$68+$T$68</f>
        <v>0</v>
      </c>
    </row>
    <row r="69" spans="1:21" x14ac:dyDescent="0.3">
      <c r="A69" s="10" t="s">
        <v>249</v>
      </c>
      <c r="B69" s="11" t="s">
        <v>242</v>
      </c>
      <c r="C69" s="11" t="s">
        <v>34</v>
      </c>
      <c r="D69" s="11" t="s">
        <v>250</v>
      </c>
      <c r="E69" s="11">
        <f xml:space="preserve"> IF($U$69,1,0)</f>
        <v>0</v>
      </c>
      <c r="F69" s="11" t="s">
        <v>251</v>
      </c>
      <c r="G69" s="11">
        <v>0</v>
      </c>
      <c r="H69" s="11">
        <v>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2">
        <v>0</v>
      </c>
      <c r="R69" s="12">
        <v>0</v>
      </c>
      <c r="S69" s="12">
        <f>$G$69*$G$8+$H$69*$H$8+$I$69*$I$8+$J$69*$J$8+$K$69*$K$8+$L$69*$L$8+$M$69*$M$8+$N$69*$N$8+$O$69*$O$8+$P$69*$P$8</f>
        <v>0</v>
      </c>
      <c r="T69" s="12">
        <f>SUM($Q$69:$R$69)</f>
        <v>0</v>
      </c>
      <c r="U69" s="12">
        <f>$S$69+$T$69</f>
        <v>0</v>
      </c>
    </row>
    <row r="70" spans="1:21" x14ac:dyDescent="0.3">
      <c r="A70" s="13" t="s">
        <v>252</v>
      </c>
      <c r="B70" s="14" t="s">
        <v>253</v>
      </c>
      <c r="C70" s="14"/>
      <c r="D70" s="14" t="s">
        <v>254</v>
      </c>
      <c r="E70" s="14">
        <f xml:space="preserve"> IF($U$70,1,0)</f>
        <v>0</v>
      </c>
      <c r="F70" s="14" t="s">
        <v>255</v>
      </c>
      <c r="G70" s="14">
        <v>0</v>
      </c>
      <c r="H70" s="14">
        <v>0</v>
      </c>
      <c r="I70" s="14">
        <v>0</v>
      </c>
      <c r="J70" s="14">
        <v>0</v>
      </c>
      <c r="K70" s="14">
        <v>0</v>
      </c>
      <c r="L70" s="14">
        <v>0</v>
      </c>
      <c r="M70" s="14">
        <v>0</v>
      </c>
      <c r="N70" s="14">
        <v>0</v>
      </c>
      <c r="O70" s="14">
        <v>0</v>
      </c>
      <c r="P70" s="14">
        <v>0</v>
      </c>
      <c r="Q70" s="15">
        <v>0</v>
      </c>
      <c r="R70" s="15">
        <v>0</v>
      </c>
      <c r="S70" s="15">
        <f>$G$70*$G$8+$H$70*$H$8+$I$70*$I$8+$J$70*$J$8+$K$70*$K$8+$L$70*$L$8+$M$70*$M$8+$N$70*$N$8+$O$70*$O$8+$P$70*$P$8</f>
        <v>0</v>
      </c>
      <c r="T70" s="15">
        <f>SUM($Q$70:$R$70)</f>
        <v>0</v>
      </c>
      <c r="U70" s="15">
        <f>$S$70+$T$70</f>
        <v>0</v>
      </c>
    </row>
    <row r="71" spans="1:21" x14ac:dyDescent="0.3">
      <c r="A71" s="10" t="s">
        <v>256</v>
      </c>
      <c r="B71" s="11" t="s">
        <v>257</v>
      </c>
      <c r="C71" s="11"/>
      <c r="D71" s="11" t="s">
        <v>258</v>
      </c>
      <c r="E71" s="11">
        <f xml:space="preserve"> IF($U$71,1,0)</f>
        <v>0</v>
      </c>
      <c r="F71" s="11" t="s">
        <v>259</v>
      </c>
      <c r="G71" s="11">
        <v>0</v>
      </c>
      <c r="H71" s="11">
        <v>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0</v>
      </c>
      <c r="O71" s="11">
        <v>0</v>
      </c>
      <c r="P71" s="11">
        <v>0</v>
      </c>
      <c r="Q71" s="12">
        <v>0</v>
      </c>
      <c r="R71" s="12">
        <v>0</v>
      </c>
      <c r="S71" s="12">
        <f>$G$71*$G$8+$H$71*$H$8+$I$71*$I$8+$J$71*$J$8+$K$71*$K$8+$L$71*$L$8+$M$71*$M$8+$N$71*$N$8+$O$71*$O$8+$P$71*$P$8</f>
        <v>0</v>
      </c>
      <c r="T71" s="12">
        <f>SUM($Q$71:$R$71)</f>
        <v>0</v>
      </c>
      <c r="U71" s="12">
        <f>$S$71+$T$71</f>
        <v>0</v>
      </c>
    </row>
    <row r="72" spans="1:21" x14ac:dyDescent="0.3">
      <c r="A72" s="13" t="s">
        <v>1248</v>
      </c>
      <c r="B72" s="14" t="s">
        <v>1249</v>
      </c>
      <c r="C72" s="14"/>
      <c r="D72" s="14" t="s">
        <v>1250</v>
      </c>
      <c r="E72" s="14">
        <f xml:space="preserve"> IF($U$72,1,0)</f>
        <v>1</v>
      </c>
      <c r="F72" s="14" t="s">
        <v>1251</v>
      </c>
      <c r="G72" s="14">
        <v>0</v>
      </c>
      <c r="H72" s="14">
        <v>0</v>
      </c>
      <c r="I72" s="14">
        <v>0</v>
      </c>
      <c r="J72" s="14">
        <v>0</v>
      </c>
      <c r="K72" s="14">
        <v>0</v>
      </c>
      <c r="L72" s="14">
        <v>0</v>
      </c>
      <c r="M72" s="14">
        <v>1</v>
      </c>
      <c r="N72" s="14">
        <v>0</v>
      </c>
      <c r="O72" s="14">
        <v>0</v>
      </c>
      <c r="P72" s="14">
        <v>0</v>
      </c>
      <c r="Q72" s="15">
        <v>0</v>
      </c>
      <c r="R72" s="15">
        <v>0</v>
      </c>
      <c r="S72" s="15">
        <f>$G$72*$G$8+$H$72*$H$8+$I$72*$I$8+$J$72*$J$8+$K$72*$K$8+$L$72*$L$8+$M$72*$M$8+$N$72*$N$8+$O$72*$O$8+$P$72*$P$8</f>
        <v>4</v>
      </c>
      <c r="T72" s="15">
        <f>SUM($Q$72:$R$72)</f>
        <v>0</v>
      </c>
      <c r="U72" s="15">
        <f>$S$72+$T$72</f>
        <v>4</v>
      </c>
    </row>
    <row r="73" spans="1:21" x14ac:dyDescent="0.3">
      <c r="A73" s="10" t="s">
        <v>260</v>
      </c>
      <c r="B73" s="11" t="s">
        <v>261</v>
      </c>
      <c r="C73" s="11"/>
      <c r="D73" s="11" t="s">
        <v>262</v>
      </c>
      <c r="E73" s="11">
        <f xml:space="preserve"> IF($U$73,1,0)</f>
        <v>0</v>
      </c>
      <c r="F73" s="11" t="s">
        <v>263</v>
      </c>
      <c r="G73" s="11">
        <v>0</v>
      </c>
      <c r="H73" s="11">
        <v>0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2">
        <v>0</v>
      </c>
      <c r="R73" s="12">
        <v>0</v>
      </c>
      <c r="S73" s="12">
        <f>$G$73*$G$8+$H$73*$H$8+$I$73*$I$8+$J$73*$J$8+$K$73*$K$8+$L$73*$L$8+$M$73*$M$8+$N$73*$N$8+$O$73*$O$8+$P$73*$P$8</f>
        <v>0</v>
      </c>
      <c r="T73" s="12">
        <f>SUM($Q$73:$R$73)</f>
        <v>0</v>
      </c>
      <c r="U73" s="12">
        <f>$S$73+$T$73</f>
        <v>0</v>
      </c>
    </row>
    <row r="74" spans="1:21" x14ac:dyDescent="0.3">
      <c r="A74" s="13" t="s">
        <v>264</v>
      </c>
      <c r="B74" s="14" t="s">
        <v>265</v>
      </c>
      <c r="C74" s="14"/>
      <c r="D74" s="14" t="s">
        <v>266</v>
      </c>
      <c r="E74" s="14">
        <f xml:space="preserve"> IF($U$74,1,0)</f>
        <v>0</v>
      </c>
      <c r="F74" s="14" t="s">
        <v>267</v>
      </c>
      <c r="G74" s="14">
        <v>0</v>
      </c>
      <c r="H74" s="14">
        <v>0</v>
      </c>
      <c r="I74" s="14">
        <v>0</v>
      </c>
      <c r="J74" s="14">
        <v>0</v>
      </c>
      <c r="K74" s="14">
        <v>0</v>
      </c>
      <c r="L74" s="14">
        <v>0</v>
      </c>
      <c r="M74" s="14">
        <v>0</v>
      </c>
      <c r="N74" s="14">
        <v>0</v>
      </c>
      <c r="O74" s="14">
        <v>0</v>
      </c>
      <c r="P74" s="14">
        <v>0</v>
      </c>
      <c r="Q74" s="15">
        <v>0</v>
      </c>
      <c r="R74" s="15">
        <v>0</v>
      </c>
      <c r="S74" s="15">
        <f>$G$74*$G$8+$H$74*$H$8+$I$74*$I$8+$J$74*$J$8+$K$74*$K$8+$L$74*$L$8+$M$74*$M$8+$N$74*$N$8+$O$74*$O$8+$P$74*$P$8</f>
        <v>0</v>
      </c>
      <c r="T74" s="15">
        <f>SUM($Q$74:$R$74)</f>
        <v>0</v>
      </c>
      <c r="U74" s="15">
        <f>$S$74+$T$74</f>
        <v>0</v>
      </c>
    </row>
    <row r="75" spans="1:21" x14ac:dyDescent="0.3">
      <c r="A75" s="10" t="s">
        <v>268</v>
      </c>
      <c r="B75" s="11" t="s">
        <v>269</v>
      </c>
      <c r="C75" s="11"/>
      <c r="D75" s="11" t="s">
        <v>270</v>
      </c>
      <c r="E75" s="11">
        <f xml:space="preserve"> IF($U$75,1,0)</f>
        <v>0</v>
      </c>
      <c r="F75" s="11" t="s">
        <v>271</v>
      </c>
      <c r="G75" s="11">
        <v>0</v>
      </c>
      <c r="H75" s="11">
        <v>0</v>
      </c>
      <c r="I75" s="11">
        <v>0</v>
      </c>
      <c r="J75" s="11">
        <v>0</v>
      </c>
      <c r="K75" s="11">
        <v>0</v>
      </c>
      <c r="L75" s="11">
        <v>0</v>
      </c>
      <c r="M75" s="11">
        <v>0</v>
      </c>
      <c r="N75" s="11">
        <v>0</v>
      </c>
      <c r="O75" s="11">
        <v>0</v>
      </c>
      <c r="P75" s="11">
        <v>0</v>
      </c>
      <c r="Q75" s="12">
        <v>0</v>
      </c>
      <c r="R75" s="12">
        <v>0</v>
      </c>
      <c r="S75" s="12">
        <f>$G$75*$G$8+$H$75*$H$8+$I$75*$I$8+$J$75*$J$8+$K$75*$K$8+$L$75*$L$8+$M$75*$M$8+$N$75*$N$8+$O$75*$O$8+$P$75*$P$8</f>
        <v>0</v>
      </c>
      <c r="T75" s="12">
        <f>SUM($Q$75:$R$75)</f>
        <v>0</v>
      </c>
      <c r="U75" s="12">
        <f>$S$75+$T$75</f>
        <v>0</v>
      </c>
    </row>
    <row r="76" spans="1:21" x14ac:dyDescent="0.3">
      <c r="A76" s="13" t="s">
        <v>272</v>
      </c>
      <c r="B76" s="14" t="s">
        <v>273</v>
      </c>
      <c r="C76" s="14"/>
      <c r="D76" s="14" t="s">
        <v>274</v>
      </c>
      <c r="E76" s="14">
        <f xml:space="preserve"> IF($U$76,1,0)</f>
        <v>1</v>
      </c>
      <c r="F76" s="14" t="s">
        <v>275</v>
      </c>
      <c r="G76" s="14">
        <v>8</v>
      </c>
      <c r="H76" s="14">
        <v>1</v>
      </c>
      <c r="I76" s="14">
        <v>0</v>
      </c>
      <c r="J76" s="14">
        <v>0</v>
      </c>
      <c r="K76" s="14">
        <v>1</v>
      </c>
      <c r="L76" s="14">
        <v>3</v>
      </c>
      <c r="M76" s="14">
        <v>2</v>
      </c>
      <c r="N76" s="14">
        <v>0</v>
      </c>
      <c r="O76" s="14">
        <v>0</v>
      </c>
      <c r="P76" s="14">
        <v>0</v>
      </c>
      <c r="Q76" s="15">
        <v>0</v>
      </c>
      <c r="R76" s="15">
        <v>0</v>
      </c>
      <c r="S76" s="15">
        <f>$G$76*$G$8+$H$76*$H$8+$I$76*$I$8+$J$76*$J$8+$K$76*$K$8+$L$76*$L$8+$M$76*$M$8+$N$76*$N$8+$O$76*$O$8+$P$76*$P$8</f>
        <v>26.4</v>
      </c>
      <c r="T76" s="15">
        <f>SUM($Q$76:$R$76)</f>
        <v>0</v>
      </c>
      <c r="U76" s="15">
        <f>$S$76+$T$76</f>
        <v>26.4</v>
      </c>
    </row>
    <row r="77" spans="1:21" x14ac:dyDescent="0.3">
      <c r="A77" s="10" t="s">
        <v>276</v>
      </c>
      <c r="B77" s="11" t="s">
        <v>277</v>
      </c>
      <c r="C77" s="11" t="s">
        <v>278</v>
      </c>
      <c r="D77" s="11" t="s">
        <v>279</v>
      </c>
      <c r="E77" s="11">
        <f xml:space="preserve"> IF($U$77,1,0)</f>
        <v>1</v>
      </c>
      <c r="F77" s="11" t="s">
        <v>280</v>
      </c>
      <c r="G77" s="11">
        <v>2</v>
      </c>
      <c r="H77" s="11">
        <v>0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2">
        <v>0</v>
      </c>
      <c r="R77" s="12">
        <v>0</v>
      </c>
      <c r="S77" s="12">
        <f>$G$77*$G$8+$H$77*$H$8+$I$77*$I$8+$J$77*$J$8+$K$77*$K$8+$L$77*$L$8+$M$77*$M$8+$N$77*$N$8+$O$77*$O$8+$P$77*$P$8</f>
        <v>1.4</v>
      </c>
      <c r="T77" s="12">
        <f>SUM($Q$77:$R$77)</f>
        <v>0</v>
      </c>
      <c r="U77" s="12">
        <f>$S$77+$T$77</f>
        <v>1.4</v>
      </c>
    </row>
    <row r="78" spans="1:21" x14ac:dyDescent="0.3">
      <c r="A78" s="13" t="s">
        <v>281</v>
      </c>
      <c r="B78" s="14" t="s">
        <v>282</v>
      </c>
      <c r="C78" s="14" t="s">
        <v>283</v>
      </c>
      <c r="D78" s="14" t="s">
        <v>284</v>
      </c>
      <c r="E78" s="14">
        <f xml:space="preserve"> IF($U$78,1,0)</f>
        <v>0</v>
      </c>
      <c r="F78" s="14" t="s">
        <v>285</v>
      </c>
      <c r="G78" s="14">
        <v>0</v>
      </c>
      <c r="H78" s="14">
        <v>0</v>
      </c>
      <c r="I78" s="14">
        <v>0</v>
      </c>
      <c r="J78" s="14">
        <v>0</v>
      </c>
      <c r="K78" s="14">
        <v>0</v>
      </c>
      <c r="L78" s="14">
        <v>0</v>
      </c>
      <c r="M78" s="14">
        <v>0</v>
      </c>
      <c r="N78" s="14">
        <v>0</v>
      </c>
      <c r="O78" s="14">
        <v>0</v>
      </c>
      <c r="P78" s="14">
        <v>0</v>
      </c>
      <c r="Q78" s="15">
        <v>0</v>
      </c>
      <c r="R78" s="15">
        <v>0</v>
      </c>
      <c r="S78" s="15">
        <f>$G$78*$G$8+$H$78*$H$8+$I$78*$I$8+$J$78*$J$8+$K$78*$K$8+$L$78*$L$8+$M$78*$M$8+$N$78*$N$8+$O$78*$O$8+$P$78*$P$8</f>
        <v>0</v>
      </c>
      <c r="T78" s="15">
        <f>SUM($Q$78:$R$78)</f>
        <v>0</v>
      </c>
      <c r="U78" s="15">
        <f>$S$78+$T$78</f>
        <v>0</v>
      </c>
    </row>
    <row r="79" spans="1:21" x14ac:dyDescent="0.3">
      <c r="A79" s="10" t="s">
        <v>286</v>
      </c>
      <c r="B79" s="11" t="s">
        <v>287</v>
      </c>
      <c r="C79" s="11" t="s">
        <v>278</v>
      </c>
      <c r="D79" s="11" t="s">
        <v>288</v>
      </c>
      <c r="E79" s="11">
        <f xml:space="preserve"> IF($U$79,1,0)</f>
        <v>0</v>
      </c>
      <c r="F79" s="11" t="s">
        <v>289</v>
      </c>
      <c r="G79" s="11">
        <v>0</v>
      </c>
      <c r="H79" s="11">
        <v>0</v>
      </c>
      <c r="I79" s="11">
        <v>0</v>
      </c>
      <c r="J79" s="11">
        <v>0</v>
      </c>
      <c r="K79" s="11">
        <v>0</v>
      </c>
      <c r="L79" s="11">
        <v>0</v>
      </c>
      <c r="M79" s="11">
        <v>0</v>
      </c>
      <c r="N79" s="11">
        <v>0</v>
      </c>
      <c r="O79" s="11">
        <v>0</v>
      </c>
      <c r="P79" s="11">
        <v>0</v>
      </c>
      <c r="Q79" s="12">
        <v>0</v>
      </c>
      <c r="R79" s="12">
        <v>0</v>
      </c>
      <c r="S79" s="12">
        <f>$G$79*$G$8+$H$79*$H$8+$I$79*$I$8+$J$79*$J$8+$K$79*$K$8+$L$79*$L$8+$M$79*$M$8+$N$79*$N$8+$O$79*$O$8+$P$79*$P$8</f>
        <v>0</v>
      </c>
      <c r="T79" s="12">
        <f>SUM($Q$79:$R$79)</f>
        <v>0</v>
      </c>
      <c r="U79" s="12">
        <f>$S$79+$T$79</f>
        <v>0</v>
      </c>
    </row>
    <row r="80" spans="1:21" x14ac:dyDescent="0.3">
      <c r="A80" s="13" t="s">
        <v>290</v>
      </c>
      <c r="B80" s="14" t="s">
        <v>291</v>
      </c>
      <c r="C80" s="14"/>
      <c r="D80" s="14" t="s">
        <v>292</v>
      </c>
      <c r="E80" s="14">
        <f xml:space="preserve"> IF($U$80,1,0)</f>
        <v>0</v>
      </c>
      <c r="F80" s="14" t="s">
        <v>293</v>
      </c>
      <c r="G80" s="14">
        <v>0</v>
      </c>
      <c r="H80" s="14">
        <v>0</v>
      </c>
      <c r="I80" s="14">
        <v>0</v>
      </c>
      <c r="J80" s="14">
        <v>0</v>
      </c>
      <c r="K80" s="14">
        <v>0</v>
      </c>
      <c r="L80" s="14">
        <v>0</v>
      </c>
      <c r="M80" s="14">
        <v>0</v>
      </c>
      <c r="N80" s="14">
        <v>0</v>
      </c>
      <c r="O80" s="14">
        <v>0</v>
      </c>
      <c r="P80" s="14">
        <v>0</v>
      </c>
      <c r="Q80" s="15">
        <v>0</v>
      </c>
      <c r="R80" s="15">
        <v>0</v>
      </c>
      <c r="S80" s="15">
        <f>$G$80*$G$8+$H$80*$H$8+$I$80*$I$8+$J$80*$J$8+$K$80*$K$8+$L$80*$L$8+$M$80*$M$8+$N$80*$N$8+$O$80*$O$8+$P$80*$P$8</f>
        <v>0</v>
      </c>
      <c r="T80" s="15">
        <f>SUM($Q$80:$R$80)</f>
        <v>0</v>
      </c>
      <c r="U80" s="15">
        <f>$S$80+$T$80</f>
        <v>0</v>
      </c>
    </row>
    <row r="81" spans="1:21" x14ac:dyDescent="0.3">
      <c r="A81" s="10" t="s">
        <v>294</v>
      </c>
      <c r="B81" s="11" t="s">
        <v>295</v>
      </c>
      <c r="C81" s="11"/>
      <c r="D81" s="11" t="s">
        <v>296</v>
      </c>
      <c r="E81" s="11">
        <f xml:space="preserve"> IF($U$81,1,0)</f>
        <v>0</v>
      </c>
      <c r="F81" s="11" t="s">
        <v>297</v>
      </c>
      <c r="G81" s="11">
        <v>0</v>
      </c>
      <c r="H81" s="11">
        <v>0</v>
      </c>
      <c r="I81" s="11">
        <v>0</v>
      </c>
      <c r="J81" s="11">
        <v>0</v>
      </c>
      <c r="K81" s="11">
        <v>0</v>
      </c>
      <c r="L81" s="11">
        <v>0</v>
      </c>
      <c r="M81" s="11">
        <v>0</v>
      </c>
      <c r="N81" s="11">
        <v>0</v>
      </c>
      <c r="O81" s="11">
        <v>0</v>
      </c>
      <c r="P81" s="11">
        <v>0</v>
      </c>
      <c r="Q81" s="12">
        <v>0</v>
      </c>
      <c r="R81" s="12">
        <v>0</v>
      </c>
      <c r="S81" s="12">
        <f>$G$81*$G$8+$H$81*$H$8+$I$81*$I$8+$J$81*$J$8+$K$81*$K$8+$L$81*$L$8+$M$81*$M$8+$N$81*$N$8+$O$81*$O$8+$P$81*$P$8</f>
        <v>0</v>
      </c>
      <c r="T81" s="12">
        <f>SUM($Q$81:$R$81)</f>
        <v>0</v>
      </c>
      <c r="U81" s="12">
        <f>$S$81+$T$81</f>
        <v>0</v>
      </c>
    </row>
    <row r="82" spans="1:21" x14ac:dyDescent="0.3">
      <c r="A82" s="13" t="s">
        <v>298</v>
      </c>
      <c r="B82" s="14" t="s">
        <v>295</v>
      </c>
      <c r="C82" s="14"/>
      <c r="D82" s="14" t="s">
        <v>299</v>
      </c>
      <c r="E82" s="14">
        <f xml:space="preserve"> IF($U$82,1,0)</f>
        <v>0</v>
      </c>
      <c r="F82" s="14" t="s">
        <v>300</v>
      </c>
      <c r="G82" s="14">
        <v>0</v>
      </c>
      <c r="H82" s="14">
        <v>0</v>
      </c>
      <c r="I82" s="14">
        <v>0</v>
      </c>
      <c r="J82" s="14">
        <v>0</v>
      </c>
      <c r="K82" s="14">
        <v>0</v>
      </c>
      <c r="L82" s="14">
        <v>0</v>
      </c>
      <c r="M82" s="14">
        <v>0</v>
      </c>
      <c r="N82" s="14">
        <v>0</v>
      </c>
      <c r="O82" s="14">
        <v>0</v>
      </c>
      <c r="P82" s="14">
        <v>0</v>
      </c>
      <c r="Q82" s="15">
        <v>0</v>
      </c>
      <c r="R82" s="15">
        <v>0</v>
      </c>
      <c r="S82" s="15">
        <f>$G$82*$G$8+$H$82*$H$8+$I$82*$I$8+$J$82*$J$8+$K$82*$K$8+$L$82*$L$8+$M$82*$M$8+$N$82*$N$8+$O$82*$O$8+$P$82*$P$8</f>
        <v>0</v>
      </c>
      <c r="T82" s="15">
        <f>SUM($Q$82:$R$82)</f>
        <v>0</v>
      </c>
      <c r="U82" s="15">
        <f>$S$82+$T$82</f>
        <v>0</v>
      </c>
    </row>
    <row r="83" spans="1:21" x14ac:dyDescent="0.3">
      <c r="A83" s="10" t="s">
        <v>301</v>
      </c>
      <c r="B83" s="11" t="s">
        <v>302</v>
      </c>
      <c r="C83" s="11"/>
      <c r="D83" s="11" t="s">
        <v>303</v>
      </c>
      <c r="E83" s="11">
        <f xml:space="preserve"> IF($U$83,1,0)</f>
        <v>0</v>
      </c>
      <c r="F83" s="11" t="s">
        <v>304</v>
      </c>
      <c r="G83" s="11">
        <v>0</v>
      </c>
      <c r="H83" s="11">
        <v>0</v>
      </c>
      <c r="I83" s="11">
        <v>0</v>
      </c>
      <c r="J83" s="11">
        <v>0</v>
      </c>
      <c r="K83" s="11">
        <v>0</v>
      </c>
      <c r="L83" s="11">
        <v>0</v>
      </c>
      <c r="M83" s="11">
        <v>0</v>
      </c>
      <c r="N83" s="11">
        <v>0</v>
      </c>
      <c r="O83" s="11">
        <v>0</v>
      </c>
      <c r="P83" s="11">
        <v>0</v>
      </c>
      <c r="Q83" s="12">
        <v>0</v>
      </c>
      <c r="R83" s="12">
        <v>0</v>
      </c>
      <c r="S83" s="12">
        <f>$G$83*$G$8+$H$83*$H$8+$I$83*$I$8+$J$83*$J$8+$K$83*$K$8+$L$83*$L$8+$M$83*$M$8+$N$83*$N$8+$O$83*$O$8+$P$83*$P$8</f>
        <v>0</v>
      </c>
      <c r="T83" s="12">
        <f>SUM($Q$83:$R$83)</f>
        <v>0</v>
      </c>
      <c r="U83" s="12">
        <f>$S$83+$T$83</f>
        <v>0</v>
      </c>
    </row>
    <row r="84" spans="1:21" x14ac:dyDescent="0.3">
      <c r="A84" s="13" t="s">
        <v>305</v>
      </c>
      <c r="B84" s="14" t="s">
        <v>306</v>
      </c>
      <c r="C84" s="14"/>
      <c r="D84" s="14" t="s">
        <v>307</v>
      </c>
      <c r="E84" s="14">
        <f xml:space="preserve"> IF($U$84,1,0)</f>
        <v>0</v>
      </c>
      <c r="F84" s="14" t="s">
        <v>308</v>
      </c>
      <c r="G84" s="14">
        <v>0</v>
      </c>
      <c r="H84" s="14">
        <v>0</v>
      </c>
      <c r="I84" s="14">
        <v>0</v>
      </c>
      <c r="J84" s="14">
        <v>0</v>
      </c>
      <c r="K84" s="14">
        <v>0</v>
      </c>
      <c r="L84" s="14">
        <v>0</v>
      </c>
      <c r="M84" s="14">
        <v>0</v>
      </c>
      <c r="N84" s="14">
        <v>0</v>
      </c>
      <c r="O84" s="14">
        <v>0</v>
      </c>
      <c r="P84" s="14">
        <v>0</v>
      </c>
      <c r="Q84" s="15">
        <v>0</v>
      </c>
      <c r="R84" s="15">
        <v>0</v>
      </c>
      <c r="S84" s="15">
        <f>$G$84*$G$8+$H$84*$H$8+$I$84*$I$8+$J$84*$J$8+$K$84*$K$8+$L$84*$L$8+$M$84*$M$8+$N$84*$N$8+$O$84*$O$8+$P$84*$P$8</f>
        <v>0</v>
      </c>
      <c r="T84" s="15">
        <f>SUM($Q$84:$R$84)</f>
        <v>0</v>
      </c>
      <c r="U84" s="15">
        <f>$S$84+$T$84</f>
        <v>0</v>
      </c>
    </row>
    <row r="85" spans="1:21" x14ac:dyDescent="0.3">
      <c r="A85" s="10" t="s">
        <v>309</v>
      </c>
      <c r="B85" s="11" t="s">
        <v>310</v>
      </c>
      <c r="C85" s="11"/>
      <c r="D85" s="11" t="s">
        <v>311</v>
      </c>
      <c r="E85" s="11">
        <f xml:space="preserve"> IF($U$85,1,0)</f>
        <v>0</v>
      </c>
      <c r="F85" s="11" t="s">
        <v>312</v>
      </c>
      <c r="G85" s="11">
        <v>0</v>
      </c>
      <c r="H85" s="11">
        <v>0</v>
      </c>
      <c r="I85" s="11">
        <v>0</v>
      </c>
      <c r="J85" s="11">
        <v>0</v>
      </c>
      <c r="K85" s="11">
        <v>0</v>
      </c>
      <c r="L85" s="11">
        <v>0</v>
      </c>
      <c r="M85" s="11">
        <v>0</v>
      </c>
      <c r="N85" s="11">
        <v>0</v>
      </c>
      <c r="O85" s="11">
        <v>0</v>
      </c>
      <c r="P85" s="11">
        <v>0</v>
      </c>
      <c r="Q85" s="12">
        <v>0</v>
      </c>
      <c r="R85" s="12">
        <v>0</v>
      </c>
      <c r="S85" s="12">
        <f>$G$85*$G$8+$H$85*$H$8+$I$85*$I$8+$J$85*$J$8+$K$85*$K$8+$L$85*$L$8+$M$85*$M$8+$N$85*$N$8+$O$85*$O$8+$P$85*$P$8</f>
        <v>0</v>
      </c>
      <c r="T85" s="12">
        <f>SUM($Q$85:$R$85)</f>
        <v>0</v>
      </c>
      <c r="U85" s="12">
        <f>$S$85+$T$85</f>
        <v>0</v>
      </c>
    </row>
    <row r="86" spans="1:21" x14ac:dyDescent="0.3">
      <c r="A86" s="13" t="s">
        <v>313</v>
      </c>
      <c r="B86" s="14" t="s">
        <v>314</v>
      </c>
      <c r="C86" s="14"/>
      <c r="D86" s="14" t="s">
        <v>315</v>
      </c>
      <c r="E86" s="14">
        <f xml:space="preserve"> IF($U$86,1,0)</f>
        <v>1</v>
      </c>
      <c r="F86" s="14" t="s">
        <v>316</v>
      </c>
      <c r="G86" s="14">
        <v>4</v>
      </c>
      <c r="H86" s="14">
        <v>2</v>
      </c>
      <c r="I86" s="14">
        <v>0</v>
      </c>
      <c r="J86" s="14">
        <v>0</v>
      </c>
      <c r="K86" s="14">
        <v>0</v>
      </c>
      <c r="L86" s="14">
        <v>0</v>
      </c>
      <c r="M86" s="14">
        <v>0</v>
      </c>
      <c r="N86" s="14">
        <v>0</v>
      </c>
      <c r="O86" s="14">
        <v>0</v>
      </c>
      <c r="P86" s="14">
        <v>0</v>
      </c>
      <c r="Q86" s="15">
        <v>0</v>
      </c>
      <c r="R86" s="15">
        <v>0</v>
      </c>
      <c r="S86" s="15">
        <f>$G$86*$G$8+$H$86*$H$8+$I$86*$I$8+$J$86*$J$8+$K$86*$K$8+$L$86*$L$8+$M$86*$M$8+$N$86*$N$8+$O$86*$O$8+$P$86*$P$8</f>
        <v>6.4</v>
      </c>
      <c r="T86" s="15">
        <f>SUM($Q$86:$R$86)</f>
        <v>0</v>
      </c>
      <c r="U86" s="15">
        <f>$S$86+$T$86</f>
        <v>6.4</v>
      </c>
    </row>
    <row r="87" spans="1:21" x14ac:dyDescent="0.3">
      <c r="A87" s="10" t="s">
        <v>317</v>
      </c>
      <c r="B87" s="11" t="s">
        <v>318</v>
      </c>
      <c r="C87" s="11"/>
      <c r="D87" s="11" t="s">
        <v>319</v>
      </c>
      <c r="E87" s="11">
        <f xml:space="preserve"> IF($U$87,1,0)</f>
        <v>0</v>
      </c>
      <c r="F87" s="11" t="s">
        <v>320</v>
      </c>
      <c r="G87" s="11">
        <v>0</v>
      </c>
      <c r="H87" s="11">
        <v>0</v>
      </c>
      <c r="I87" s="11">
        <v>0</v>
      </c>
      <c r="J87" s="11">
        <v>0</v>
      </c>
      <c r="K87" s="11">
        <v>0</v>
      </c>
      <c r="L87" s="11">
        <v>0</v>
      </c>
      <c r="M87" s="11">
        <v>0</v>
      </c>
      <c r="N87" s="11">
        <v>0</v>
      </c>
      <c r="O87" s="11">
        <v>0</v>
      </c>
      <c r="P87" s="11">
        <v>0</v>
      </c>
      <c r="Q87" s="12">
        <v>0</v>
      </c>
      <c r="R87" s="12">
        <v>0</v>
      </c>
      <c r="S87" s="12">
        <f>$G$87*$G$8+$H$87*$H$8+$I$87*$I$8+$J$87*$J$8+$K$87*$K$8+$L$87*$L$8+$M$87*$M$8+$N$87*$N$8+$O$87*$O$8+$P$87*$P$8</f>
        <v>0</v>
      </c>
      <c r="T87" s="12">
        <f>SUM($Q$87:$R$87)</f>
        <v>0</v>
      </c>
      <c r="U87" s="12">
        <f>$S$87+$T$87</f>
        <v>0</v>
      </c>
    </row>
    <row r="88" spans="1:21" x14ac:dyDescent="0.3">
      <c r="A88" s="13" t="s">
        <v>321</v>
      </c>
      <c r="B88" s="14" t="s">
        <v>322</v>
      </c>
      <c r="C88" s="14"/>
      <c r="D88" s="14" t="s">
        <v>323</v>
      </c>
      <c r="E88" s="14">
        <f xml:space="preserve"> IF($U$88,1,0)</f>
        <v>0</v>
      </c>
      <c r="F88" s="14" t="s">
        <v>324</v>
      </c>
      <c r="G88" s="14">
        <v>0</v>
      </c>
      <c r="H88" s="14">
        <v>0</v>
      </c>
      <c r="I88" s="14">
        <v>0</v>
      </c>
      <c r="J88" s="14">
        <v>0</v>
      </c>
      <c r="K88" s="14">
        <v>0</v>
      </c>
      <c r="L88" s="14">
        <v>0</v>
      </c>
      <c r="M88" s="14">
        <v>0</v>
      </c>
      <c r="N88" s="14">
        <v>0</v>
      </c>
      <c r="O88" s="14">
        <v>0</v>
      </c>
      <c r="P88" s="14">
        <v>0</v>
      </c>
      <c r="Q88" s="15">
        <v>0</v>
      </c>
      <c r="R88" s="15">
        <v>0</v>
      </c>
      <c r="S88" s="15">
        <f>$G$88*$G$8+$H$88*$H$8+$I$88*$I$8+$J$88*$J$8+$K$88*$K$8+$L$88*$L$8+$M$88*$M$8+$N$88*$N$8+$O$88*$O$8+$P$88*$P$8</f>
        <v>0</v>
      </c>
      <c r="T88" s="15">
        <f>SUM($Q$88:$R$88)</f>
        <v>0</v>
      </c>
      <c r="U88" s="15">
        <f>$S$88+$T$88</f>
        <v>0</v>
      </c>
    </row>
    <row r="89" spans="1:21" x14ac:dyDescent="0.3">
      <c r="A89" s="10" t="s">
        <v>325</v>
      </c>
      <c r="B89" s="11" t="s">
        <v>326</v>
      </c>
      <c r="C89" s="11" t="s">
        <v>243</v>
      </c>
      <c r="D89" s="11" t="s">
        <v>327</v>
      </c>
      <c r="E89" s="11">
        <f xml:space="preserve"> IF($U$89,1,0)</f>
        <v>0</v>
      </c>
      <c r="F89" s="11" t="s">
        <v>328</v>
      </c>
      <c r="G89" s="11">
        <v>0</v>
      </c>
      <c r="H89" s="11">
        <v>0</v>
      </c>
      <c r="I89" s="11">
        <v>0</v>
      </c>
      <c r="J89" s="11">
        <v>0</v>
      </c>
      <c r="K89" s="11">
        <v>0</v>
      </c>
      <c r="L89" s="11">
        <v>0</v>
      </c>
      <c r="M89" s="11">
        <v>0</v>
      </c>
      <c r="N89" s="11">
        <v>0</v>
      </c>
      <c r="O89" s="11">
        <v>0</v>
      </c>
      <c r="P89" s="11">
        <v>0</v>
      </c>
      <c r="Q89" s="12">
        <v>0</v>
      </c>
      <c r="R89" s="12">
        <v>0</v>
      </c>
      <c r="S89" s="12">
        <f>$G$89*$G$8+$H$89*$H$8+$I$89*$I$8+$J$89*$J$8+$K$89*$K$8+$L$89*$L$8+$M$89*$M$8+$N$89*$N$8+$O$89*$O$8+$P$89*$P$8</f>
        <v>0</v>
      </c>
      <c r="T89" s="12">
        <f>SUM($Q$89:$R$89)</f>
        <v>0</v>
      </c>
      <c r="U89" s="12">
        <f>$S$89+$T$89</f>
        <v>0</v>
      </c>
    </row>
    <row r="90" spans="1:21" x14ac:dyDescent="0.3">
      <c r="A90" s="13" t="s">
        <v>329</v>
      </c>
      <c r="B90" s="14" t="s">
        <v>330</v>
      </c>
      <c r="C90" s="14"/>
      <c r="D90" s="14" t="s">
        <v>331</v>
      </c>
      <c r="E90" s="14">
        <f xml:space="preserve"> IF($U$90,1,0)</f>
        <v>1</v>
      </c>
      <c r="F90" s="14" t="s">
        <v>332</v>
      </c>
      <c r="G90" s="14">
        <v>0</v>
      </c>
      <c r="H90" s="14">
        <v>0</v>
      </c>
      <c r="I90" s="14">
        <v>0</v>
      </c>
      <c r="J90" s="14">
        <v>0</v>
      </c>
      <c r="K90" s="14">
        <v>1</v>
      </c>
      <c r="L90" s="14">
        <v>1</v>
      </c>
      <c r="M90" s="14">
        <v>0</v>
      </c>
      <c r="N90" s="14">
        <v>0</v>
      </c>
      <c r="O90" s="14">
        <v>0</v>
      </c>
      <c r="P90" s="14">
        <v>0</v>
      </c>
      <c r="Q90" s="15">
        <v>0</v>
      </c>
      <c r="R90" s="15">
        <v>0</v>
      </c>
      <c r="S90" s="15">
        <f>$G$90*$G$8+$H$90*$H$8+$I$90*$I$8+$J$90*$J$8+$K$90*$K$8+$L$90*$L$8+$M$90*$M$8+$N$90*$N$8+$O$90*$O$8+$P$90*$P$8</f>
        <v>5</v>
      </c>
      <c r="T90" s="15">
        <f>SUM($Q$90:$R$90)</f>
        <v>0</v>
      </c>
      <c r="U90" s="15">
        <f>$S$90+$T$90</f>
        <v>5</v>
      </c>
    </row>
    <row r="91" spans="1:21" x14ac:dyDescent="0.3">
      <c r="A91" s="10" t="s">
        <v>333</v>
      </c>
      <c r="B91" s="11" t="s">
        <v>334</v>
      </c>
      <c r="C91" s="11"/>
      <c r="D91" s="11" t="s">
        <v>335</v>
      </c>
      <c r="E91" s="11">
        <f xml:space="preserve"> IF($U$91,1,0)</f>
        <v>0</v>
      </c>
      <c r="F91" s="11" t="s">
        <v>336</v>
      </c>
      <c r="G91" s="11">
        <v>0</v>
      </c>
      <c r="H91" s="11">
        <v>0</v>
      </c>
      <c r="I91" s="11">
        <v>0</v>
      </c>
      <c r="J91" s="11">
        <v>0</v>
      </c>
      <c r="K91" s="11">
        <v>0</v>
      </c>
      <c r="L91" s="11">
        <v>0</v>
      </c>
      <c r="M91" s="11">
        <v>0</v>
      </c>
      <c r="N91" s="11">
        <v>0</v>
      </c>
      <c r="O91" s="11">
        <v>0</v>
      </c>
      <c r="P91" s="11">
        <v>0</v>
      </c>
      <c r="Q91" s="12">
        <v>0</v>
      </c>
      <c r="R91" s="12">
        <v>0</v>
      </c>
      <c r="S91" s="12">
        <f>$G$91*$G$8+$H$91*$H$8+$I$91*$I$8+$J$91*$J$8+$K$91*$K$8+$L$91*$L$8+$M$91*$M$8+$N$91*$N$8+$O$91*$O$8+$P$91*$P$8</f>
        <v>0</v>
      </c>
      <c r="T91" s="12">
        <f>SUM($Q$91:$R$91)</f>
        <v>0</v>
      </c>
      <c r="U91" s="12">
        <f>$S$91+$T$91</f>
        <v>0</v>
      </c>
    </row>
    <row r="92" spans="1:21" x14ac:dyDescent="0.3">
      <c r="A92" s="13" t="s">
        <v>337</v>
      </c>
      <c r="B92" s="14" t="s">
        <v>334</v>
      </c>
      <c r="C92" s="14"/>
      <c r="D92" s="14" t="s">
        <v>338</v>
      </c>
      <c r="E92" s="14">
        <f xml:space="preserve"> IF($U$92,1,0)</f>
        <v>0</v>
      </c>
      <c r="F92" s="14" t="s">
        <v>339</v>
      </c>
      <c r="G92" s="14">
        <v>0</v>
      </c>
      <c r="H92" s="14">
        <v>0</v>
      </c>
      <c r="I92" s="14">
        <v>0</v>
      </c>
      <c r="J92" s="14">
        <v>0</v>
      </c>
      <c r="K92" s="14">
        <v>0</v>
      </c>
      <c r="L92" s="14">
        <v>0</v>
      </c>
      <c r="M92" s="14">
        <v>0</v>
      </c>
      <c r="N92" s="14">
        <v>0</v>
      </c>
      <c r="O92" s="14">
        <v>0</v>
      </c>
      <c r="P92" s="14">
        <v>0</v>
      </c>
      <c r="Q92" s="15">
        <v>0</v>
      </c>
      <c r="R92" s="15">
        <v>0</v>
      </c>
      <c r="S92" s="15">
        <f>$G$92*$G$8+$H$92*$H$8+$I$92*$I$8+$J$92*$J$8+$K$92*$K$8+$L$92*$L$8+$M$92*$M$8+$N$92*$N$8+$O$92*$O$8+$P$92*$P$8</f>
        <v>0</v>
      </c>
      <c r="T92" s="15">
        <f>SUM($Q$92:$R$92)</f>
        <v>0</v>
      </c>
      <c r="U92" s="15">
        <f>$S$92+$T$92</f>
        <v>0</v>
      </c>
    </row>
    <row r="93" spans="1:21" x14ac:dyDescent="0.3">
      <c r="A93" s="10" t="s">
        <v>340</v>
      </c>
      <c r="B93" s="11" t="s">
        <v>341</v>
      </c>
      <c r="C93" s="11" t="s">
        <v>342</v>
      </c>
      <c r="D93" s="11" t="s">
        <v>343</v>
      </c>
      <c r="E93" s="11">
        <f xml:space="preserve"> IF($U$93,1,0)</f>
        <v>0</v>
      </c>
      <c r="F93" s="11" t="s">
        <v>344</v>
      </c>
      <c r="G93" s="11">
        <v>0</v>
      </c>
      <c r="H93" s="11">
        <v>0</v>
      </c>
      <c r="I93" s="11">
        <v>0</v>
      </c>
      <c r="J93" s="11">
        <v>0</v>
      </c>
      <c r="K93" s="11">
        <v>0</v>
      </c>
      <c r="L93" s="11">
        <v>0</v>
      </c>
      <c r="M93" s="11">
        <v>0</v>
      </c>
      <c r="N93" s="11">
        <v>0</v>
      </c>
      <c r="O93" s="11">
        <v>0</v>
      </c>
      <c r="P93" s="11">
        <v>0</v>
      </c>
      <c r="Q93" s="12">
        <v>0</v>
      </c>
      <c r="R93" s="12">
        <v>0</v>
      </c>
      <c r="S93" s="12">
        <f>$G$93*$G$8+$H$93*$H$8+$I$93*$I$8+$J$93*$J$8+$K$93*$K$8+$L$93*$L$8+$M$93*$M$8+$N$93*$N$8+$O$93*$O$8+$P$93*$P$8</f>
        <v>0</v>
      </c>
      <c r="T93" s="12">
        <f>SUM($Q$93:$R$93)</f>
        <v>0</v>
      </c>
      <c r="U93" s="12">
        <f>$S$93+$T$93</f>
        <v>0</v>
      </c>
    </row>
    <row r="94" spans="1:21" x14ac:dyDescent="0.3">
      <c r="A94" s="13" t="s">
        <v>345</v>
      </c>
      <c r="B94" s="14" t="s">
        <v>346</v>
      </c>
      <c r="C94" s="14"/>
      <c r="D94" s="14" t="s">
        <v>347</v>
      </c>
      <c r="E94" s="14">
        <f xml:space="preserve"> IF($U$94,1,0)</f>
        <v>0</v>
      </c>
      <c r="F94" s="14" t="s">
        <v>348</v>
      </c>
      <c r="G94" s="14">
        <v>0</v>
      </c>
      <c r="H94" s="14">
        <v>0</v>
      </c>
      <c r="I94" s="14">
        <v>0</v>
      </c>
      <c r="J94" s="14">
        <v>0</v>
      </c>
      <c r="K94" s="14">
        <v>0</v>
      </c>
      <c r="L94" s="14">
        <v>0</v>
      </c>
      <c r="M94" s="14">
        <v>0</v>
      </c>
      <c r="N94" s="14">
        <v>0</v>
      </c>
      <c r="O94" s="14">
        <v>0</v>
      </c>
      <c r="P94" s="14">
        <v>0</v>
      </c>
      <c r="Q94" s="15">
        <v>0</v>
      </c>
      <c r="R94" s="15">
        <v>0</v>
      </c>
      <c r="S94" s="15">
        <f>$G$94*$G$8+$H$94*$H$8+$I$94*$I$8+$J$94*$J$8+$K$94*$K$8+$L$94*$L$8+$M$94*$M$8+$N$94*$N$8+$O$94*$O$8+$P$94*$P$8</f>
        <v>0</v>
      </c>
      <c r="T94" s="15">
        <f>SUM($Q$94:$R$94)</f>
        <v>0</v>
      </c>
      <c r="U94" s="15">
        <f>$S$94+$T$94</f>
        <v>0</v>
      </c>
    </row>
    <row r="95" spans="1:21" x14ac:dyDescent="0.3">
      <c r="A95" s="10" t="s">
        <v>349</v>
      </c>
      <c r="B95" s="11" t="s">
        <v>350</v>
      </c>
      <c r="C95" s="11"/>
      <c r="D95" s="11" t="s">
        <v>351</v>
      </c>
      <c r="E95" s="11">
        <f xml:space="preserve"> IF($U$95,1,0)</f>
        <v>0</v>
      </c>
      <c r="F95" s="11" t="s">
        <v>352</v>
      </c>
      <c r="G95" s="11">
        <v>0</v>
      </c>
      <c r="H95" s="11">
        <v>0</v>
      </c>
      <c r="I95" s="11">
        <v>0</v>
      </c>
      <c r="J95" s="11">
        <v>0</v>
      </c>
      <c r="K95" s="11">
        <v>0</v>
      </c>
      <c r="L95" s="11">
        <v>0</v>
      </c>
      <c r="M95" s="11">
        <v>0</v>
      </c>
      <c r="N95" s="11">
        <v>0</v>
      </c>
      <c r="O95" s="11">
        <v>0</v>
      </c>
      <c r="P95" s="11">
        <v>0</v>
      </c>
      <c r="Q95" s="12">
        <v>0</v>
      </c>
      <c r="R95" s="12">
        <v>0</v>
      </c>
      <c r="S95" s="12">
        <f>$G$95*$G$8+$H$95*$H$8+$I$95*$I$8+$J$95*$J$8+$K$95*$K$8+$L$95*$L$8+$M$95*$M$8+$N$95*$N$8+$O$95*$O$8+$P$95*$P$8</f>
        <v>0</v>
      </c>
      <c r="T95" s="12">
        <f>SUM($Q$95:$R$95)</f>
        <v>0</v>
      </c>
      <c r="U95" s="12">
        <f>$S$95+$T$95</f>
        <v>0</v>
      </c>
    </row>
    <row r="96" spans="1:21" x14ac:dyDescent="0.3">
      <c r="A96" s="13" t="s">
        <v>353</v>
      </c>
      <c r="B96" s="14" t="s">
        <v>354</v>
      </c>
      <c r="C96" s="14"/>
      <c r="D96" s="14" t="s">
        <v>355</v>
      </c>
      <c r="E96" s="14">
        <f xml:space="preserve"> IF($U$96,1,0)</f>
        <v>0</v>
      </c>
      <c r="F96" s="14" t="s">
        <v>356</v>
      </c>
      <c r="G96" s="14">
        <v>0</v>
      </c>
      <c r="H96" s="14">
        <v>0</v>
      </c>
      <c r="I96" s="14">
        <v>0</v>
      </c>
      <c r="J96" s="14">
        <v>0</v>
      </c>
      <c r="K96" s="14">
        <v>0</v>
      </c>
      <c r="L96" s="14">
        <v>0</v>
      </c>
      <c r="M96" s="14">
        <v>0</v>
      </c>
      <c r="N96" s="14">
        <v>0</v>
      </c>
      <c r="O96" s="14">
        <v>0</v>
      </c>
      <c r="P96" s="14">
        <v>0</v>
      </c>
      <c r="Q96" s="15">
        <v>0</v>
      </c>
      <c r="R96" s="15">
        <v>0</v>
      </c>
      <c r="S96" s="15">
        <f>$G$96*$G$8+$H$96*$H$8+$I$96*$I$8+$J$96*$J$8+$K$96*$K$8+$L$96*$L$8+$M$96*$M$8+$N$96*$N$8+$O$96*$O$8+$P$96*$P$8</f>
        <v>0</v>
      </c>
      <c r="T96" s="15">
        <f>SUM($Q$96:$R$96)</f>
        <v>0</v>
      </c>
      <c r="U96" s="15">
        <f>$S$96+$T$96</f>
        <v>0</v>
      </c>
    </row>
    <row r="97" spans="1:21" x14ac:dyDescent="0.3">
      <c r="A97" s="10" t="s">
        <v>357</v>
      </c>
      <c r="B97" s="11" t="s">
        <v>358</v>
      </c>
      <c r="C97" s="11" t="s">
        <v>34</v>
      </c>
      <c r="D97" s="11" t="s">
        <v>359</v>
      </c>
      <c r="E97" s="11">
        <f xml:space="preserve"> IF($U$97,1,0)</f>
        <v>0</v>
      </c>
      <c r="F97" s="11" t="s">
        <v>360</v>
      </c>
      <c r="G97" s="11">
        <v>0</v>
      </c>
      <c r="H97" s="11">
        <v>0</v>
      </c>
      <c r="I97" s="11">
        <v>0</v>
      </c>
      <c r="J97" s="11">
        <v>0</v>
      </c>
      <c r="K97" s="11">
        <v>0</v>
      </c>
      <c r="L97" s="11">
        <v>0</v>
      </c>
      <c r="M97" s="11">
        <v>0</v>
      </c>
      <c r="N97" s="11">
        <v>0</v>
      </c>
      <c r="O97" s="11">
        <v>0</v>
      </c>
      <c r="P97" s="11">
        <v>0</v>
      </c>
      <c r="Q97" s="12">
        <v>0</v>
      </c>
      <c r="R97" s="12">
        <v>0</v>
      </c>
      <c r="S97" s="12">
        <f>$G$97*$G$8+$H$97*$H$8+$I$97*$I$8+$J$97*$J$8+$K$97*$K$8+$L$97*$L$8+$M$97*$M$8+$N$97*$N$8+$O$97*$O$8+$P$97*$P$8</f>
        <v>0</v>
      </c>
      <c r="T97" s="12">
        <f>SUM($Q$97:$R$97)</f>
        <v>0</v>
      </c>
      <c r="U97" s="12">
        <f>$S$97+$T$97</f>
        <v>0</v>
      </c>
    </row>
    <row r="98" spans="1:21" x14ac:dyDescent="0.3">
      <c r="A98" s="13" t="s">
        <v>361</v>
      </c>
      <c r="B98" s="14" t="s">
        <v>358</v>
      </c>
      <c r="C98" s="14" t="s">
        <v>34</v>
      </c>
      <c r="D98" s="14" t="s">
        <v>362</v>
      </c>
      <c r="E98" s="14">
        <f xml:space="preserve"> IF($U$98,1,0)</f>
        <v>1</v>
      </c>
      <c r="F98" s="14" t="s">
        <v>363</v>
      </c>
      <c r="G98" s="14">
        <v>2</v>
      </c>
      <c r="H98" s="14">
        <v>0</v>
      </c>
      <c r="I98" s="14">
        <v>0</v>
      </c>
      <c r="J98" s="14">
        <v>0</v>
      </c>
      <c r="K98" s="14">
        <v>2</v>
      </c>
      <c r="L98" s="14">
        <v>4</v>
      </c>
      <c r="M98" s="14">
        <v>3</v>
      </c>
      <c r="N98" s="14">
        <v>2</v>
      </c>
      <c r="O98" s="14">
        <v>0</v>
      </c>
      <c r="P98" s="14">
        <v>2</v>
      </c>
      <c r="Q98" s="15">
        <v>0</v>
      </c>
      <c r="R98" s="15">
        <v>0</v>
      </c>
      <c r="S98" s="15">
        <f>$G$98*$G$8+$H$98*$H$8+$I$98*$I$8+$J$98*$J$8+$K$98*$K$8+$L$98*$L$8+$M$98*$M$8+$N$98*$N$8+$O$98*$O$8+$P$98*$P$8</f>
        <v>41.4</v>
      </c>
      <c r="T98" s="15">
        <f>SUM($Q$98:$R$98)</f>
        <v>0</v>
      </c>
      <c r="U98" s="15">
        <f>$S$98+$T$98</f>
        <v>41.4</v>
      </c>
    </row>
    <row r="99" spans="1:21" x14ac:dyDescent="0.3">
      <c r="A99" s="10" t="s">
        <v>364</v>
      </c>
      <c r="B99" s="11" t="s">
        <v>358</v>
      </c>
      <c r="C99" s="11"/>
      <c r="D99" s="11" t="s">
        <v>365</v>
      </c>
      <c r="E99" s="11">
        <f xml:space="preserve"> IF($U$99,1,0)</f>
        <v>1</v>
      </c>
      <c r="F99" s="11" t="s">
        <v>366</v>
      </c>
      <c r="G99" s="11">
        <v>0</v>
      </c>
      <c r="H99" s="11">
        <v>2</v>
      </c>
      <c r="I99" s="11">
        <v>0</v>
      </c>
      <c r="J99" s="11">
        <v>0</v>
      </c>
      <c r="K99" s="11">
        <v>0</v>
      </c>
      <c r="L99" s="11">
        <v>1</v>
      </c>
      <c r="M99" s="11">
        <v>2</v>
      </c>
      <c r="N99" s="11">
        <v>0</v>
      </c>
      <c r="O99" s="11">
        <v>0</v>
      </c>
      <c r="P99" s="11">
        <v>0</v>
      </c>
      <c r="Q99" s="12">
        <f>$T$338</f>
        <v>2.5</v>
      </c>
      <c r="R99" s="12">
        <f>$T$339</f>
        <v>1.85</v>
      </c>
      <c r="S99" s="12">
        <f>$G$99*$G$8+$H$99*$H$8+$I$99*$I$8+$J$99*$J$8+$K$99*$K$8+$L$99*$L$8+$M$99*$M$8+$N$99*$N$8+$O$99*$O$8+$P$99*$P$8</f>
        <v>14.6</v>
      </c>
      <c r="T99" s="12">
        <f>SUM($Q$99:$R$99)</f>
        <v>4.3499999999999996</v>
      </c>
      <c r="U99" s="12">
        <f>$S$99+$T$99</f>
        <v>18.95</v>
      </c>
    </row>
    <row r="100" spans="1:21" x14ac:dyDescent="0.3">
      <c r="A100" s="13" t="s">
        <v>367</v>
      </c>
      <c r="B100" s="14" t="s">
        <v>368</v>
      </c>
      <c r="C100" s="14" t="s">
        <v>34</v>
      </c>
      <c r="D100" s="14" t="s">
        <v>118</v>
      </c>
      <c r="E100" s="14">
        <f xml:space="preserve"> IF($U$100,1,0)</f>
        <v>0</v>
      </c>
      <c r="F100" s="14" t="s">
        <v>369</v>
      </c>
      <c r="G100" s="14">
        <v>0</v>
      </c>
      <c r="H100" s="14">
        <v>0</v>
      </c>
      <c r="I100" s="14">
        <v>0</v>
      </c>
      <c r="J100" s="14">
        <v>0</v>
      </c>
      <c r="K100" s="14">
        <v>0</v>
      </c>
      <c r="L100" s="14">
        <v>0</v>
      </c>
      <c r="M100" s="14">
        <v>0</v>
      </c>
      <c r="N100" s="14">
        <v>0</v>
      </c>
      <c r="O100" s="14">
        <v>0</v>
      </c>
      <c r="P100" s="14">
        <v>0</v>
      </c>
      <c r="Q100" s="15">
        <v>0</v>
      </c>
      <c r="R100" s="15">
        <v>0</v>
      </c>
      <c r="S100" s="15">
        <f>$G$100*$G$8+$H$100*$H$8+$I$100*$I$8+$J$100*$J$8+$K$100*$K$8+$L$100*$L$8+$M$100*$M$8+$N$100*$N$8+$O$100*$O$8+$P$100*$P$8</f>
        <v>0</v>
      </c>
      <c r="T100" s="15">
        <f>SUM($Q$100:$R$100)</f>
        <v>0</v>
      </c>
      <c r="U100" s="15">
        <f>$S$100+$T$100</f>
        <v>0</v>
      </c>
    </row>
    <row r="101" spans="1:21" x14ac:dyDescent="0.3">
      <c r="A101" s="10" t="s">
        <v>370</v>
      </c>
      <c r="B101" s="11" t="s">
        <v>371</v>
      </c>
      <c r="C101" s="11"/>
      <c r="D101" s="11" t="s">
        <v>372</v>
      </c>
      <c r="E101" s="11">
        <f xml:space="preserve"> IF($U$101,1,0)</f>
        <v>0</v>
      </c>
      <c r="F101" s="11" t="s">
        <v>373</v>
      </c>
      <c r="G101" s="11">
        <v>0</v>
      </c>
      <c r="H101" s="11">
        <v>0</v>
      </c>
      <c r="I101" s="11">
        <v>0</v>
      </c>
      <c r="J101" s="11">
        <v>0</v>
      </c>
      <c r="K101" s="11">
        <v>0</v>
      </c>
      <c r="L101" s="11">
        <v>0</v>
      </c>
      <c r="M101" s="11">
        <v>0</v>
      </c>
      <c r="N101" s="11">
        <v>0</v>
      </c>
      <c r="O101" s="11">
        <v>0</v>
      </c>
      <c r="P101" s="11">
        <v>0</v>
      </c>
      <c r="Q101" s="12">
        <v>0</v>
      </c>
      <c r="R101" s="12">
        <v>0</v>
      </c>
      <c r="S101" s="12">
        <f>$G$101*$G$8+$H$101*$H$8+$I$101*$I$8+$J$101*$J$8+$K$101*$K$8+$L$101*$L$8+$M$101*$M$8+$N$101*$N$8+$O$101*$O$8+$P$101*$P$8</f>
        <v>0</v>
      </c>
      <c r="T101" s="12">
        <f>SUM($Q$101:$R$101)</f>
        <v>0</v>
      </c>
      <c r="U101" s="12">
        <f>$S$101+$T$101</f>
        <v>0</v>
      </c>
    </row>
    <row r="102" spans="1:21" x14ac:dyDescent="0.3">
      <c r="A102" s="13" t="s">
        <v>374</v>
      </c>
      <c r="B102" s="14" t="s">
        <v>375</v>
      </c>
      <c r="C102" s="14"/>
      <c r="D102" s="14" t="s">
        <v>376</v>
      </c>
      <c r="E102" s="14">
        <f xml:space="preserve"> IF($U$102,1,0)</f>
        <v>0</v>
      </c>
      <c r="F102" s="14" t="s">
        <v>377</v>
      </c>
      <c r="G102" s="14">
        <v>0</v>
      </c>
      <c r="H102" s="14">
        <v>0</v>
      </c>
      <c r="I102" s="14">
        <v>0</v>
      </c>
      <c r="J102" s="14">
        <v>0</v>
      </c>
      <c r="K102" s="14">
        <v>0</v>
      </c>
      <c r="L102" s="14">
        <v>0</v>
      </c>
      <c r="M102" s="14">
        <v>0</v>
      </c>
      <c r="N102" s="14">
        <v>0</v>
      </c>
      <c r="O102" s="14">
        <v>0</v>
      </c>
      <c r="P102" s="14">
        <v>0</v>
      </c>
      <c r="Q102" s="15">
        <v>0</v>
      </c>
      <c r="R102" s="15">
        <v>0</v>
      </c>
      <c r="S102" s="15">
        <f>$G$102*$G$8+$H$102*$H$8+$I$102*$I$8+$J$102*$J$8+$K$102*$K$8+$L$102*$L$8+$M$102*$M$8+$N$102*$N$8+$O$102*$O$8+$P$102*$P$8</f>
        <v>0</v>
      </c>
      <c r="T102" s="15">
        <f>SUM($Q$102:$R$102)</f>
        <v>0</v>
      </c>
      <c r="U102" s="15">
        <f>$S$102+$T$102</f>
        <v>0</v>
      </c>
    </row>
    <row r="103" spans="1:21" x14ac:dyDescent="0.3">
      <c r="A103" s="10" t="s">
        <v>378</v>
      </c>
      <c r="B103" s="11" t="s">
        <v>379</v>
      </c>
      <c r="C103" s="11"/>
      <c r="D103" s="11" t="s">
        <v>380</v>
      </c>
      <c r="E103" s="11">
        <f xml:space="preserve"> IF($U$103,1,0)</f>
        <v>0</v>
      </c>
      <c r="F103" s="11" t="s">
        <v>381</v>
      </c>
      <c r="G103" s="11">
        <v>0</v>
      </c>
      <c r="H103" s="11">
        <v>0</v>
      </c>
      <c r="I103" s="11">
        <v>0</v>
      </c>
      <c r="J103" s="11">
        <v>0</v>
      </c>
      <c r="K103" s="11">
        <v>0</v>
      </c>
      <c r="L103" s="11">
        <v>0</v>
      </c>
      <c r="M103" s="11">
        <v>0</v>
      </c>
      <c r="N103" s="11">
        <v>0</v>
      </c>
      <c r="O103" s="11">
        <v>0</v>
      </c>
      <c r="P103" s="11">
        <v>0</v>
      </c>
      <c r="Q103" s="12">
        <v>0</v>
      </c>
      <c r="R103" s="12">
        <v>0</v>
      </c>
      <c r="S103" s="12">
        <f>$G$103*$G$8+$H$103*$H$8+$I$103*$I$8+$J$103*$J$8+$K$103*$K$8+$L$103*$L$8+$M$103*$M$8+$N$103*$N$8+$O$103*$O$8+$P$103*$P$8</f>
        <v>0</v>
      </c>
      <c r="T103" s="12">
        <f>SUM($Q$103:$R$103)</f>
        <v>0</v>
      </c>
      <c r="U103" s="12">
        <f>$S$103+$T$103</f>
        <v>0</v>
      </c>
    </row>
    <row r="104" spans="1:21" x14ac:dyDescent="0.3">
      <c r="A104" s="13" t="s">
        <v>382</v>
      </c>
      <c r="B104" s="14" t="s">
        <v>383</v>
      </c>
      <c r="C104" s="14"/>
      <c r="D104" s="14" t="s">
        <v>384</v>
      </c>
      <c r="E104" s="14">
        <f xml:space="preserve"> IF($U$104,1,0)</f>
        <v>1</v>
      </c>
      <c r="F104" s="14" t="s">
        <v>385</v>
      </c>
      <c r="G104" s="14">
        <v>2</v>
      </c>
      <c r="H104" s="14">
        <v>0</v>
      </c>
      <c r="I104" s="14">
        <v>0</v>
      </c>
      <c r="J104" s="14">
        <v>0</v>
      </c>
      <c r="K104" s="14">
        <v>0</v>
      </c>
      <c r="L104" s="14">
        <v>0</v>
      </c>
      <c r="M104" s="14">
        <v>0</v>
      </c>
      <c r="N104" s="14">
        <v>0</v>
      </c>
      <c r="O104" s="14">
        <v>0</v>
      </c>
      <c r="P104" s="14">
        <v>0</v>
      </c>
      <c r="Q104" s="15">
        <v>0</v>
      </c>
      <c r="R104" s="15">
        <v>0</v>
      </c>
      <c r="S104" s="15">
        <f>$G$104*$G$8+$H$104*$H$8+$I$104*$I$8+$J$104*$J$8+$K$104*$K$8+$L$104*$L$8+$M$104*$M$8+$N$104*$N$8+$O$104*$O$8+$P$104*$P$8</f>
        <v>1.4</v>
      </c>
      <c r="T104" s="15">
        <f>SUM($Q$104:$R$104)</f>
        <v>0</v>
      </c>
      <c r="U104" s="15">
        <f>$S$104+$T$104</f>
        <v>1.4</v>
      </c>
    </row>
    <row r="105" spans="1:21" x14ac:dyDescent="0.3">
      <c r="A105" s="10" t="s">
        <v>386</v>
      </c>
      <c r="B105" s="11" t="s">
        <v>387</v>
      </c>
      <c r="C105" s="11" t="s">
        <v>278</v>
      </c>
      <c r="D105" s="11" t="s">
        <v>388</v>
      </c>
      <c r="E105" s="11">
        <f xml:space="preserve"> IF($U$105,1,0)</f>
        <v>0</v>
      </c>
      <c r="F105" s="11" t="s">
        <v>389</v>
      </c>
      <c r="G105" s="11">
        <v>0</v>
      </c>
      <c r="H105" s="11">
        <v>0</v>
      </c>
      <c r="I105" s="11">
        <v>0</v>
      </c>
      <c r="J105" s="11">
        <v>0</v>
      </c>
      <c r="K105" s="11">
        <v>0</v>
      </c>
      <c r="L105" s="11">
        <v>0</v>
      </c>
      <c r="M105" s="11">
        <v>0</v>
      </c>
      <c r="N105" s="11">
        <v>0</v>
      </c>
      <c r="O105" s="11">
        <v>0</v>
      </c>
      <c r="P105" s="11">
        <v>0</v>
      </c>
      <c r="Q105" s="12">
        <v>0</v>
      </c>
      <c r="R105" s="12">
        <v>0</v>
      </c>
      <c r="S105" s="12">
        <f>$G$105*$G$8+$H$105*$H$8+$I$105*$I$8+$J$105*$J$8+$K$105*$K$8+$L$105*$L$8+$M$105*$M$8+$N$105*$N$8+$O$105*$O$8+$P$105*$P$8</f>
        <v>0</v>
      </c>
      <c r="T105" s="12">
        <f>SUM($Q$105:$R$105)</f>
        <v>0</v>
      </c>
      <c r="U105" s="12">
        <f>$S$105+$T$105</f>
        <v>0</v>
      </c>
    </row>
    <row r="106" spans="1:21" x14ac:dyDescent="0.3">
      <c r="A106" s="13" t="s">
        <v>390</v>
      </c>
      <c r="B106" s="14" t="s">
        <v>387</v>
      </c>
      <c r="C106" s="14" t="s">
        <v>34</v>
      </c>
      <c r="D106" s="14" t="s">
        <v>391</v>
      </c>
      <c r="E106" s="14">
        <f xml:space="preserve"> IF($U$106,1,0)</f>
        <v>0</v>
      </c>
      <c r="F106" s="14" t="s">
        <v>392</v>
      </c>
      <c r="G106" s="14">
        <v>0</v>
      </c>
      <c r="H106" s="14">
        <v>0</v>
      </c>
      <c r="I106" s="14">
        <v>0</v>
      </c>
      <c r="J106" s="14">
        <v>0</v>
      </c>
      <c r="K106" s="14">
        <v>0</v>
      </c>
      <c r="L106" s="14">
        <v>0</v>
      </c>
      <c r="M106" s="14">
        <v>0</v>
      </c>
      <c r="N106" s="14">
        <v>0</v>
      </c>
      <c r="O106" s="14">
        <v>0</v>
      </c>
      <c r="P106" s="14">
        <v>0</v>
      </c>
      <c r="Q106" s="15">
        <v>0</v>
      </c>
      <c r="R106" s="15">
        <v>0</v>
      </c>
      <c r="S106" s="15">
        <f>$G$106*$G$8+$H$106*$H$8+$I$106*$I$8+$J$106*$J$8+$K$106*$K$8+$L$106*$L$8+$M$106*$M$8+$N$106*$N$8+$O$106*$O$8+$P$106*$P$8</f>
        <v>0</v>
      </c>
      <c r="T106" s="15">
        <f>SUM($Q$106:$R$106)</f>
        <v>0</v>
      </c>
      <c r="U106" s="15">
        <f>$S$106+$T$106</f>
        <v>0</v>
      </c>
    </row>
    <row r="107" spans="1:21" x14ac:dyDescent="0.3">
      <c r="A107" s="10" t="s">
        <v>393</v>
      </c>
      <c r="B107" s="11" t="s">
        <v>394</v>
      </c>
      <c r="C107" s="11"/>
      <c r="D107" s="11" t="s">
        <v>395</v>
      </c>
      <c r="E107" s="11">
        <f xml:space="preserve"> IF($U$107,1,0)</f>
        <v>1</v>
      </c>
      <c r="F107" s="11" t="s">
        <v>396</v>
      </c>
      <c r="G107" s="11">
        <v>10</v>
      </c>
      <c r="H107" s="11">
        <v>7</v>
      </c>
      <c r="I107" s="11">
        <v>0</v>
      </c>
      <c r="J107" s="11">
        <v>0</v>
      </c>
      <c r="K107" s="11">
        <v>0</v>
      </c>
      <c r="L107" s="11">
        <v>0</v>
      </c>
      <c r="M107" s="11">
        <v>0</v>
      </c>
      <c r="N107" s="11">
        <v>0</v>
      </c>
      <c r="O107" s="11">
        <v>0</v>
      </c>
      <c r="P107" s="11">
        <v>1</v>
      </c>
      <c r="Q107" s="12">
        <v>0</v>
      </c>
      <c r="R107" s="12">
        <v>0</v>
      </c>
      <c r="S107" s="12">
        <f>$G$107*$G$8+$H$107*$H$8+$I$107*$I$8+$J$107*$J$8+$K$107*$K$8+$L$107*$L$8+$M$107*$M$8+$N$107*$N$8+$O$107*$O$8+$P$107*$P$8</f>
        <v>20.6</v>
      </c>
      <c r="T107" s="12">
        <f>SUM($Q$107:$R$107)</f>
        <v>0</v>
      </c>
      <c r="U107" s="12">
        <f>$S$107+$T$107</f>
        <v>20.6</v>
      </c>
    </row>
    <row r="108" spans="1:21" x14ac:dyDescent="0.3">
      <c r="A108" s="13" t="s">
        <v>397</v>
      </c>
      <c r="B108" s="14" t="s">
        <v>398</v>
      </c>
      <c r="C108" s="14" t="s">
        <v>243</v>
      </c>
      <c r="D108" s="14" t="s">
        <v>399</v>
      </c>
      <c r="E108" s="14">
        <f xml:space="preserve"> IF($U$108,1,0)</f>
        <v>0</v>
      </c>
      <c r="F108" s="14" t="s">
        <v>400</v>
      </c>
      <c r="G108" s="14">
        <v>0</v>
      </c>
      <c r="H108" s="14">
        <v>0</v>
      </c>
      <c r="I108" s="14">
        <v>0</v>
      </c>
      <c r="J108" s="14">
        <v>0</v>
      </c>
      <c r="K108" s="14">
        <v>0</v>
      </c>
      <c r="L108" s="14">
        <v>0</v>
      </c>
      <c r="M108" s="14">
        <v>0</v>
      </c>
      <c r="N108" s="14">
        <v>0</v>
      </c>
      <c r="O108" s="14">
        <v>0</v>
      </c>
      <c r="P108" s="14">
        <v>0</v>
      </c>
      <c r="Q108" s="15">
        <v>0</v>
      </c>
      <c r="R108" s="15">
        <v>0</v>
      </c>
      <c r="S108" s="15">
        <f>$G$108*$G$8+$H$108*$H$8+$I$108*$I$8+$J$108*$J$8+$K$108*$K$8+$L$108*$L$8+$M$108*$M$8+$N$108*$N$8+$O$108*$O$8+$P$108*$P$8</f>
        <v>0</v>
      </c>
      <c r="T108" s="15">
        <f>SUM($Q$108:$R$108)</f>
        <v>0</v>
      </c>
      <c r="U108" s="15">
        <f>$S$108+$T$108</f>
        <v>0</v>
      </c>
    </row>
    <row r="109" spans="1:21" x14ac:dyDescent="0.3">
      <c r="A109" s="10" t="s">
        <v>401</v>
      </c>
      <c r="B109" s="11" t="s">
        <v>402</v>
      </c>
      <c r="C109" s="11"/>
      <c r="D109" s="11" t="s">
        <v>403</v>
      </c>
      <c r="E109" s="11">
        <f xml:space="preserve"> IF($U$109,1,0)</f>
        <v>1</v>
      </c>
      <c r="F109" s="11" t="s">
        <v>404</v>
      </c>
      <c r="G109" s="11">
        <v>3</v>
      </c>
      <c r="H109" s="11">
        <v>0</v>
      </c>
      <c r="I109" s="11">
        <v>0</v>
      </c>
      <c r="J109" s="11">
        <v>0</v>
      </c>
      <c r="K109" s="11">
        <v>0</v>
      </c>
      <c r="L109" s="11">
        <v>0</v>
      </c>
      <c r="M109" s="11">
        <v>0</v>
      </c>
      <c r="N109" s="11">
        <v>0</v>
      </c>
      <c r="O109" s="11">
        <v>0</v>
      </c>
      <c r="P109" s="11">
        <v>1</v>
      </c>
      <c r="Q109" s="12">
        <v>0</v>
      </c>
      <c r="R109" s="12">
        <v>0</v>
      </c>
      <c r="S109" s="12">
        <f>$G$109*$G$8+$H$109*$H$8+$I$109*$I$8+$J$109*$J$8+$K$109*$K$8+$L$109*$L$8+$M$109*$M$8+$N$109*$N$8+$O$109*$O$8+$P$109*$P$8</f>
        <v>3.0999999999999996</v>
      </c>
      <c r="T109" s="12">
        <f>SUM($Q$109:$R$109)</f>
        <v>0</v>
      </c>
      <c r="U109" s="12">
        <f>$S$109+$T$109</f>
        <v>3.0999999999999996</v>
      </c>
    </row>
    <row r="110" spans="1:21" x14ac:dyDescent="0.3">
      <c r="A110" s="13" t="s">
        <v>405</v>
      </c>
      <c r="B110" s="14" t="s">
        <v>406</v>
      </c>
      <c r="C110" s="14"/>
      <c r="D110" s="14" t="s">
        <v>407</v>
      </c>
      <c r="E110" s="14">
        <f xml:space="preserve"> IF($U$110,1,0)</f>
        <v>1</v>
      </c>
      <c r="F110" s="14" t="s">
        <v>408</v>
      </c>
      <c r="G110" s="14">
        <v>4</v>
      </c>
      <c r="H110" s="14">
        <v>0</v>
      </c>
      <c r="I110" s="14">
        <v>0</v>
      </c>
      <c r="J110" s="14">
        <v>0</v>
      </c>
      <c r="K110" s="14">
        <v>0</v>
      </c>
      <c r="L110" s="14">
        <v>0</v>
      </c>
      <c r="M110" s="14">
        <v>0</v>
      </c>
      <c r="N110" s="14">
        <v>0</v>
      </c>
      <c r="O110" s="14">
        <v>0</v>
      </c>
      <c r="P110" s="14">
        <v>0</v>
      </c>
      <c r="Q110" s="15">
        <v>0</v>
      </c>
      <c r="R110" s="15">
        <v>0</v>
      </c>
      <c r="S110" s="15">
        <f>$G$110*$G$8+$H$110*$H$8+$I$110*$I$8+$J$110*$J$8+$K$110*$K$8+$L$110*$L$8+$M$110*$M$8+$N$110*$N$8+$O$110*$O$8+$P$110*$P$8</f>
        <v>2.8</v>
      </c>
      <c r="T110" s="15">
        <f>SUM($Q$110:$R$110)</f>
        <v>0</v>
      </c>
      <c r="U110" s="15">
        <f>$S$110+$T$110</f>
        <v>2.8</v>
      </c>
    </row>
    <row r="111" spans="1:21" x14ac:dyDescent="0.3">
      <c r="A111" s="10" t="s">
        <v>409</v>
      </c>
      <c r="B111" s="11" t="s">
        <v>410</v>
      </c>
      <c r="C111" s="11"/>
      <c r="D111" s="11" t="s">
        <v>411</v>
      </c>
      <c r="E111" s="11">
        <f xml:space="preserve"> IF($U$111,1,0)</f>
        <v>0</v>
      </c>
      <c r="F111" s="11" t="s">
        <v>412</v>
      </c>
      <c r="G111" s="11">
        <v>0</v>
      </c>
      <c r="H111" s="11">
        <v>0</v>
      </c>
      <c r="I111" s="11">
        <v>0</v>
      </c>
      <c r="J111" s="11">
        <v>0</v>
      </c>
      <c r="K111" s="11">
        <v>0</v>
      </c>
      <c r="L111" s="11">
        <v>0</v>
      </c>
      <c r="M111" s="11">
        <v>0</v>
      </c>
      <c r="N111" s="11">
        <v>0</v>
      </c>
      <c r="O111" s="11">
        <v>0</v>
      </c>
      <c r="P111" s="11">
        <v>0</v>
      </c>
      <c r="Q111" s="12">
        <v>0</v>
      </c>
      <c r="R111" s="12">
        <v>0</v>
      </c>
      <c r="S111" s="12">
        <f>$G$111*$G$8+$H$111*$H$8+$I$111*$I$8+$J$111*$J$8+$K$111*$K$8+$L$111*$L$8+$M$111*$M$8+$N$111*$N$8+$O$111*$O$8+$P$111*$P$8</f>
        <v>0</v>
      </c>
      <c r="T111" s="12">
        <f>SUM($Q$111:$R$111)</f>
        <v>0</v>
      </c>
      <c r="U111" s="12">
        <f>$S$111+$T$111</f>
        <v>0</v>
      </c>
    </row>
    <row r="112" spans="1:21" x14ac:dyDescent="0.3">
      <c r="A112" s="13" t="s">
        <v>413</v>
      </c>
      <c r="B112" s="14" t="s">
        <v>414</v>
      </c>
      <c r="C112" s="14"/>
      <c r="D112" s="14" t="s">
        <v>415</v>
      </c>
      <c r="E112" s="14">
        <f xml:space="preserve"> IF($U$112,1,0)</f>
        <v>0</v>
      </c>
      <c r="F112" s="14" t="s">
        <v>416</v>
      </c>
      <c r="G112" s="14">
        <v>0</v>
      </c>
      <c r="H112" s="14">
        <v>0</v>
      </c>
      <c r="I112" s="14">
        <v>0</v>
      </c>
      <c r="J112" s="14">
        <v>0</v>
      </c>
      <c r="K112" s="14">
        <v>0</v>
      </c>
      <c r="L112" s="14">
        <v>0</v>
      </c>
      <c r="M112" s="14">
        <v>0</v>
      </c>
      <c r="N112" s="14">
        <v>0</v>
      </c>
      <c r="O112" s="14">
        <v>0</v>
      </c>
      <c r="P112" s="14">
        <v>0</v>
      </c>
      <c r="Q112" s="15">
        <v>0</v>
      </c>
      <c r="R112" s="15">
        <v>0</v>
      </c>
      <c r="S112" s="15">
        <f>$G$112*$G$8+$H$112*$H$8+$I$112*$I$8+$J$112*$J$8+$K$112*$K$8+$L$112*$L$8+$M$112*$M$8+$N$112*$N$8+$O$112*$O$8+$P$112*$P$8</f>
        <v>0</v>
      </c>
      <c r="T112" s="15">
        <f>SUM($Q$112:$R$112)</f>
        <v>0</v>
      </c>
      <c r="U112" s="15">
        <f>$S$112+$T$112</f>
        <v>0</v>
      </c>
    </row>
    <row r="113" spans="1:21" x14ac:dyDescent="0.3">
      <c r="A113" s="10" t="s">
        <v>417</v>
      </c>
      <c r="B113" s="11" t="s">
        <v>418</v>
      </c>
      <c r="C113" s="11"/>
      <c r="D113" s="11" t="s">
        <v>419</v>
      </c>
      <c r="E113" s="11">
        <f xml:space="preserve"> IF($U$113,1,0)</f>
        <v>0</v>
      </c>
      <c r="F113" s="11" t="s">
        <v>420</v>
      </c>
      <c r="G113" s="11">
        <v>0</v>
      </c>
      <c r="H113" s="11">
        <v>0</v>
      </c>
      <c r="I113" s="11">
        <v>0</v>
      </c>
      <c r="J113" s="11">
        <v>0</v>
      </c>
      <c r="K113" s="11">
        <v>0</v>
      </c>
      <c r="L113" s="11">
        <v>0</v>
      </c>
      <c r="M113" s="11">
        <v>0</v>
      </c>
      <c r="N113" s="11">
        <v>0</v>
      </c>
      <c r="O113" s="11">
        <v>0</v>
      </c>
      <c r="P113" s="11">
        <v>0</v>
      </c>
      <c r="Q113" s="12">
        <v>0</v>
      </c>
      <c r="R113" s="12">
        <v>0</v>
      </c>
      <c r="S113" s="12">
        <f>$G$113*$G$8+$H$113*$H$8+$I$113*$I$8+$J$113*$J$8+$K$113*$K$8+$L$113*$L$8+$M$113*$M$8+$N$113*$N$8+$O$113*$O$8+$P$113*$P$8</f>
        <v>0</v>
      </c>
      <c r="T113" s="12">
        <f>SUM($Q$113:$R$113)</f>
        <v>0</v>
      </c>
      <c r="U113" s="12">
        <f>$S$113+$T$113</f>
        <v>0</v>
      </c>
    </row>
    <row r="114" spans="1:21" x14ac:dyDescent="0.3">
      <c r="A114" s="13" t="s">
        <v>421</v>
      </c>
      <c r="B114" s="14" t="s">
        <v>422</v>
      </c>
      <c r="C114" s="14"/>
      <c r="D114" s="14" t="s">
        <v>423</v>
      </c>
      <c r="E114" s="14">
        <f xml:space="preserve"> IF($U$114,1,0)</f>
        <v>0</v>
      </c>
      <c r="F114" s="14" t="s">
        <v>424</v>
      </c>
      <c r="G114" s="14">
        <v>0</v>
      </c>
      <c r="H114" s="14">
        <v>0</v>
      </c>
      <c r="I114" s="14">
        <v>0</v>
      </c>
      <c r="J114" s="14">
        <v>0</v>
      </c>
      <c r="K114" s="14">
        <v>0</v>
      </c>
      <c r="L114" s="14">
        <v>0</v>
      </c>
      <c r="M114" s="14">
        <v>0</v>
      </c>
      <c r="N114" s="14">
        <v>0</v>
      </c>
      <c r="O114" s="14">
        <v>0</v>
      </c>
      <c r="P114" s="14">
        <v>0</v>
      </c>
      <c r="Q114" s="15">
        <v>0</v>
      </c>
      <c r="R114" s="15">
        <v>0</v>
      </c>
      <c r="S114" s="15">
        <f>$G$114*$G$8+$H$114*$H$8+$I$114*$I$8+$J$114*$J$8+$K$114*$K$8+$L$114*$L$8+$M$114*$M$8+$N$114*$N$8+$O$114*$O$8+$P$114*$P$8</f>
        <v>0</v>
      </c>
      <c r="T114" s="15">
        <f>SUM($Q$114:$R$114)</f>
        <v>0</v>
      </c>
      <c r="U114" s="15">
        <f>$S$114+$T$114</f>
        <v>0</v>
      </c>
    </row>
    <row r="115" spans="1:21" x14ac:dyDescent="0.3">
      <c r="A115" s="10" t="s">
        <v>425</v>
      </c>
      <c r="B115" s="11" t="s">
        <v>426</v>
      </c>
      <c r="C115" s="11" t="s">
        <v>34</v>
      </c>
      <c r="D115" s="11" t="s">
        <v>427</v>
      </c>
      <c r="E115" s="11">
        <f xml:space="preserve"> IF($U$115,1,0)</f>
        <v>0</v>
      </c>
      <c r="F115" s="11" t="s">
        <v>428</v>
      </c>
      <c r="G115" s="11">
        <v>0</v>
      </c>
      <c r="H115" s="11">
        <v>0</v>
      </c>
      <c r="I115" s="11">
        <v>0</v>
      </c>
      <c r="J115" s="11">
        <v>0</v>
      </c>
      <c r="K115" s="11">
        <v>0</v>
      </c>
      <c r="L115" s="11">
        <v>0</v>
      </c>
      <c r="M115" s="11">
        <v>0</v>
      </c>
      <c r="N115" s="11">
        <v>0</v>
      </c>
      <c r="O115" s="11">
        <v>0</v>
      </c>
      <c r="P115" s="11">
        <v>0</v>
      </c>
      <c r="Q115" s="12">
        <v>0</v>
      </c>
      <c r="R115" s="12">
        <v>0</v>
      </c>
      <c r="S115" s="12">
        <f>$G$115*$G$8+$H$115*$H$8+$I$115*$I$8+$J$115*$J$8+$K$115*$K$8+$L$115*$L$8+$M$115*$M$8+$N$115*$N$8+$O$115*$O$8+$P$115*$P$8</f>
        <v>0</v>
      </c>
      <c r="T115" s="12">
        <f>SUM($Q$115:$R$115)</f>
        <v>0</v>
      </c>
      <c r="U115" s="12">
        <f>$S$115+$T$115</f>
        <v>0</v>
      </c>
    </row>
    <row r="116" spans="1:21" x14ac:dyDescent="0.3">
      <c r="A116" s="13" t="s">
        <v>429</v>
      </c>
      <c r="B116" s="14" t="s">
        <v>430</v>
      </c>
      <c r="C116" s="14"/>
      <c r="D116" s="14" t="s">
        <v>431</v>
      </c>
      <c r="E116" s="14">
        <f xml:space="preserve"> IF($U$116,1,0)</f>
        <v>0</v>
      </c>
      <c r="F116" s="14" t="s">
        <v>432</v>
      </c>
      <c r="G116" s="14">
        <v>0</v>
      </c>
      <c r="H116" s="14">
        <v>0</v>
      </c>
      <c r="I116" s="14">
        <v>0</v>
      </c>
      <c r="J116" s="14">
        <v>0</v>
      </c>
      <c r="K116" s="14">
        <v>0</v>
      </c>
      <c r="L116" s="14">
        <v>0</v>
      </c>
      <c r="M116" s="14">
        <v>0</v>
      </c>
      <c r="N116" s="14">
        <v>0</v>
      </c>
      <c r="O116" s="14">
        <v>0</v>
      </c>
      <c r="P116" s="14">
        <v>0</v>
      </c>
      <c r="Q116" s="15">
        <v>0</v>
      </c>
      <c r="R116" s="15">
        <v>0</v>
      </c>
      <c r="S116" s="15">
        <f>$G$116*$G$8+$H$116*$H$8+$I$116*$I$8+$J$116*$J$8+$K$116*$K$8+$L$116*$L$8+$M$116*$M$8+$N$116*$N$8+$O$116*$O$8+$P$116*$P$8</f>
        <v>0</v>
      </c>
      <c r="T116" s="15">
        <f>SUM($Q$116:$R$116)</f>
        <v>0</v>
      </c>
      <c r="U116" s="15">
        <f>$S$116+$T$116</f>
        <v>0</v>
      </c>
    </row>
    <row r="117" spans="1:21" x14ac:dyDescent="0.3">
      <c r="A117" s="10" t="s">
        <v>1252</v>
      </c>
      <c r="B117" s="11" t="s">
        <v>1253</v>
      </c>
      <c r="C117" s="11"/>
      <c r="D117" s="11" t="s">
        <v>1254</v>
      </c>
      <c r="E117" s="11">
        <f xml:space="preserve"> IF($U$117,1,0)</f>
        <v>1</v>
      </c>
      <c r="F117" s="11" t="s">
        <v>1255</v>
      </c>
      <c r="G117" s="11">
        <v>9</v>
      </c>
      <c r="H117" s="11">
        <v>0</v>
      </c>
      <c r="I117" s="11">
        <v>0</v>
      </c>
      <c r="J117" s="11">
        <v>0</v>
      </c>
      <c r="K117" s="11">
        <v>0</v>
      </c>
      <c r="L117" s="11">
        <v>0</v>
      </c>
      <c r="M117" s="11">
        <v>0</v>
      </c>
      <c r="N117" s="11">
        <v>0</v>
      </c>
      <c r="O117" s="11">
        <v>0</v>
      </c>
      <c r="P117" s="11">
        <v>0</v>
      </c>
      <c r="Q117" s="12">
        <v>0</v>
      </c>
      <c r="R117" s="12">
        <v>0</v>
      </c>
      <c r="S117" s="12">
        <f>$G$117*$G$8+$H$117*$H$8+$I$117*$I$8+$J$117*$J$8+$K$117*$K$8+$L$117*$L$8+$M$117*$M$8+$N$117*$N$8+$O$117*$O$8+$P$117*$P$8</f>
        <v>6.3</v>
      </c>
      <c r="T117" s="12">
        <f>SUM($Q$117:$R$117)</f>
        <v>0</v>
      </c>
      <c r="U117" s="12">
        <f>$S$117+$T$117</f>
        <v>6.3</v>
      </c>
    </row>
    <row r="118" spans="1:21" x14ac:dyDescent="0.3">
      <c r="A118" s="13" t="s">
        <v>433</v>
      </c>
      <c r="B118" s="14" t="s">
        <v>434</v>
      </c>
      <c r="C118" s="14" t="s">
        <v>202</v>
      </c>
      <c r="D118" s="14" t="s">
        <v>435</v>
      </c>
      <c r="E118" s="14">
        <f xml:space="preserve"> IF($U$118,1,0)</f>
        <v>0</v>
      </c>
      <c r="F118" s="14" t="s">
        <v>436</v>
      </c>
      <c r="G118" s="14">
        <v>0</v>
      </c>
      <c r="H118" s="14">
        <v>0</v>
      </c>
      <c r="I118" s="14">
        <v>0</v>
      </c>
      <c r="J118" s="14">
        <v>0</v>
      </c>
      <c r="K118" s="14">
        <v>0</v>
      </c>
      <c r="L118" s="14">
        <v>0</v>
      </c>
      <c r="M118" s="14">
        <v>0</v>
      </c>
      <c r="N118" s="14">
        <v>0</v>
      </c>
      <c r="O118" s="14">
        <v>0</v>
      </c>
      <c r="P118" s="14">
        <v>0</v>
      </c>
      <c r="Q118" s="15">
        <v>0</v>
      </c>
      <c r="R118" s="15">
        <v>0</v>
      </c>
      <c r="S118" s="15">
        <f>$G$118*$G$8+$H$118*$H$8+$I$118*$I$8+$J$118*$J$8+$K$118*$K$8+$L$118*$L$8+$M$118*$M$8+$N$118*$N$8+$O$118*$O$8+$P$118*$P$8</f>
        <v>0</v>
      </c>
      <c r="T118" s="15">
        <f>SUM($Q$118:$R$118)</f>
        <v>0</v>
      </c>
      <c r="U118" s="15">
        <f>$S$118+$T$118</f>
        <v>0</v>
      </c>
    </row>
    <row r="119" spans="1:21" x14ac:dyDescent="0.3">
      <c r="A119" s="10" t="s">
        <v>437</v>
      </c>
      <c r="B119" s="11" t="s">
        <v>434</v>
      </c>
      <c r="C119" s="11"/>
      <c r="D119" s="11" t="s">
        <v>438</v>
      </c>
      <c r="E119" s="11">
        <f xml:space="preserve"> IF($U$119,1,0)</f>
        <v>0</v>
      </c>
      <c r="F119" s="11" t="s">
        <v>439</v>
      </c>
      <c r="G119" s="11">
        <v>0</v>
      </c>
      <c r="H119" s="11">
        <v>0</v>
      </c>
      <c r="I119" s="11">
        <v>0</v>
      </c>
      <c r="J119" s="11">
        <v>0</v>
      </c>
      <c r="K119" s="11">
        <v>0</v>
      </c>
      <c r="L119" s="11">
        <v>0</v>
      </c>
      <c r="M119" s="11">
        <v>0</v>
      </c>
      <c r="N119" s="11">
        <v>0</v>
      </c>
      <c r="O119" s="11">
        <v>0</v>
      </c>
      <c r="P119" s="11">
        <v>0</v>
      </c>
      <c r="Q119" s="12">
        <v>0</v>
      </c>
      <c r="R119" s="12">
        <v>0</v>
      </c>
      <c r="S119" s="12">
        <f>$G$119*$G$8+$H$119*$H$8+$I$119*$I$8+$J$119*$J$8+$K$119*$K$8+$L$119*$L$8+$M$119*$M$8+$N$119*$N$8+$O$119*$O$8+$P$119*$P$8</f>
        <v>0</v>
      </c>
      <c r="T119" s="12">
        <f>SUM($Q$119:$R$119)</f>
        <v>0</v>
      </c>
      <c r="U119" s="12">
        <f>$S$119+$T$119</f>
        <v>0</v>
      </c>
    </row>
    <row r="120" spans="1:21" x14ac:dyDescent="0.3">
      <c r="A120" s="13" t="s">
        <v>440</v>
      </c>
      <c r="B120" s="14" t="s">
        <v>441</v>
      </c>
      <c r="C120" s="14" t="s">
        <v>202</v>
      </c>
      <c r="D120" s="14" t="s">
        <v>442</v>
      </c>
      <c r="E120" s="14">
        <f xml:space="preserve"> IF($U$120,1,0)</f>
        <v>0</v>
      </c>
      <c r="F120" s="14" t="s">
        <v>443</v>
      </c>
      <c r="G120" s="14">
        <v>0</v>
      </c>
      <c r="H120" s="14">
        <v>0</v>
      </c>
      <c r="I120" s="14">
        <v>0</v>
      </c>
      <c r="J120" s="14">
        <v>0</v>
      </c>
      <c r="K120" s="14">
        <v>0</v>
      </c>
      <c r="L120" s="14">
        <v>0</v>
      </c>
      <c r="M120" s="14">
        <v>0</v>
      </c>
      <c r="N120" s="14">
        <v>0</v>
      </c>
      <c r="O120" s="14">
        <v>0</v>
      </c>
      <c r="P120" s="14">
        <v>0</v>
      </c>
      <c r="Q120" s="15">
        <v>0</v>
      </c>
      <c r="R120" s="15">
        <v>0</v>
      </c>
      <c r="S120" s="15">
        <f>$G$120*$G$8+$H$120*$H$8+$I$120*$I$8+$J$120*$J$8+$K$120*$K$8+$L$120*$L$8+$M$120*$M$8+$N$120*$N$8+$O$120*$O$8+$P$120*$P$8</f>
        <v>0</v>
      </c>
      <c r="T120" s="15">
        <f>SUM($Q$120:$R$120)</f>
        <v>0</v>
      </c>
      <c r="U120" s="15">
        <f>$S$120+$T$120</f>
        <v>0</v>
      </c>
    </row>
    <row r="121" spans="1:21" x14ac:dyDescent="0.3">
      <c r="A121" s="10" t="s">
        <v>444</v>
      </c>
      <c r="B121" s="11" t="s">
        <v>445</v>
      </c>
      <c r="C121" s="11"/>
      <c r="D121" s="11" t="s">
        <v>446</v>
      </c>
      <c r="E121" s="11">
        <f xml:space="preserve"> IF($U$121,1,0)</f>
        <v>0</v>
      </c>
      <c r="F121" s="11" t="s">
        <v>447</v>
      </c>
      <c r="G121" s="11">
        <v>0</v>
      </c>
      <c r="H121" s="11">
        <v>0</v>
      </c>
      <c r="I121" s="11">
        <v>0</v>
      </c>
      <c r="J121" s="11">
        <v>0</v>
      </c>
      <c r="K121" s="11">
        <v>0</v>
      </c>
      <c r="L121" s="11">
        <v>0</v>
      </c>
      <c r="M121" s="11">
        <v>0</v>
      </c>
      <c r="N121" s="11">
        <v>0</v>
      </c>
      <c r="O121" s="11">
        <v>0</v>
      </c>
      <c r="P121" s="11">
        <v>0</v>
      </c>
      <c r="Q121" s="12">
        <v>0</v>
      </c>
      <c r="R121" s="12">
        <v>0</v>
      </c>
      <c r="S121" s="12">
        <f>$G$121*$G$8+$H$121*$H$8+$I$121*$I$8+$J$121*$J$8+$K$121*$K$8+$L$121*$L$8+$M$121*$M$8+$N$121*$N$8+$O$121*$O$8+$P$121*$P$8</f>
        <v>0</v>
      </c>
      <c r="T121" s="12">
        <f>SUM($Q$121:$R$121)</f>
        <v>0</v>
      </c>
      <c r="U121" s="12">
        <f>$S$121+$T$121</f>
        <v>0</v>
      </c>
    </row>
    <row r="122" spans="1:21" x14ac:dyDescent="0.3">
      <c r="A122" s="13" t="s">
        <v>448</v>
      </c>
      <c r="B122" s="14" t="s">
        <v>449</v>
      </c>
      <c r="C122" s="14"/>
      <c r="D122" s="14" t="s">
        <v>450</v>
      </c>
      <c r="E122" s="14">
        <f xml:space="preserve"> IF($U$122,1,0)</f>
        <v>0</v>
      </c>
      <c r="F122" s="14" t="s">
        <v>451</v>
      </c>
      <c r="G122" s="14">
        <v>0</v>
      </c>
      <c r="H122" s="14">
        <v>0</v>
      </c>
      <c r="I122" s="14">
        <v>0</v>
      </c>
      <c r="J122" s="14">
        <v>0</v>
      </c>
      <c r="K122" s="14">
        <v>0</v>
      </c>
      <c r="L122" s="14">
        <v>0</v>
      </c>
      <c r="M122" s="14">
        <v>0</v>
      </c>
      <c r="N122" s="14">
        <v>0</v>
      </c>
      <c r="O122" s="14">
        <v>0</v>
      </c>
      <c r="P122" s="14">
        <v>0</v>
      </c>
      <c r="Q122" s="15">
        <v>0</v>
      </c>
      <c r="R122" s="15">
        <v>0</v>
      </c>
      <c r="S122" s="15">
        <f>$G$122*$G$8+$H$122*$H$8+$I$122*$I$8+$J$122*$J$8+$K$122*$K$8+$L$122*$L$8+$M$122*$M$8+$N$122*$N$8+$O$122*$O$8+$P$122*$P$8</f>
        <v>0</v>
      </c>
      <c r="T122" s="15">
        <f>SUM($Q$122:$R$122)</f>
        <v>0</v>
      </c>
      <c r="U122" s="15">
        <f>$S$122+$T$122</f>
        <v>0</v>
      </c>
    </row>
    <row r="123" spans="1:21" x14ac:dyDescent="0.3">
      <c r="A123" s="10" t="s">
        <v>452</v>
      </c>
      <c r="B123" s="11" t="s">
        <v>453</v>
      </c>
      <c r="C123" s="11"/>
      <c r="D123" s="11" t="s">
        <v>454</v>
      </c>
      <c r="E123" s="11">
        <f xml:space="preserve"> IF($U$123,1,0)</f>
        <v>1</v>
      </c>
      <c r="F123" s="11" t="s">
        <v>455</v>
      </c>
      <c r="G123" s="11">
        <v>16</v>
      </c>
      <c r="H123" s="11">
        <v>0</v>
      </c>
      <c r="I123" s="11">
        <v>0</v>
      </c>
      <c r="J123" s="11">
        <v>0</v>
      </c>
      <c r="K123" s="11">
        <v>0</v>
      </c>
      <c r="L123" s="11">
        <v>0</v>
      </c>
      <c r="M123" s="11">
        <v>0</v>
      </c>
      <c r="N123" s="11">
        <v>0</v>
      </c>
      <c r="O123" s="11">
        <v>0</v>
      </c>
      <c r="P123" s="11">
        <v>0</v>
      </c>
      <c r="Q123" s="12">
        <v>0</v>
      </c>
      <c r="R123" s="12">
        <v>0</v>
      </c>
      <c r="S123" s="12">
        <f>$G$123*$G$8+$H$123*$H$8+$I$123*$I$8+$J$123*$J$8+$K$123*$K$8+$L$123*$L$8+$M$123*$M$8+$N$123*$N$8+$O$123*$O$8+$P$123*$P$8</f>
        <v>11.2</v>
      </c>
      <c r="T123" s="12">
        <f>SUM($Q$123:$R$123)</f>
        <v>0</v>
      </c>
      <c r="U123" s="12">
        <f>$S$123+$T$123</f>
        <v>11.2</v>
      </c>
    </row>
    <row r="124" spans="1:21" x14ac:dyDescent="0.3">
      <c r="A124" s="13" t="s">
        <v>456</v>
      </c>
      <c r="B124" s="14" t="s">
        <v>457</v>
      </c>
      <c r="C124" s="14"/>
      <c r="D124" s="14" t="s">
        <v>458</v>
      </c>
      <c r="E124" s="14">
        <f xml:space="preserve"> IF($U$124,1,0)</f>
        <v>0</v>
      </c>
      <c r="F124" s="14" t="s">
        <v>459</v>
      </c>
      <c r="G124" s="14">
        <v>0</v>
      </c>
      <c r="H124" s="14">
        <v>0</v>
      </c>
      <c r="I124" s="14">
        <v>0</v>
      </c>
      <c r="J124" s="14">
        <v>0</v>
      </c>
      <c r="K124" s="14">
        <v>0</v>
      </c>
      <c r="L124" s="14">
        <v>0</v>
      </c>
      <c r="M124" s="14">
        <v>0</v>
      </c>
      <c r="N124" s="14">
        <v>0</v>
      </c>
      <c r="O124" s="14">
        <v>0</v>
      </c>
      <c r="P124" s="14">
        <v>0</v>
      </c>
      <c r="Q124" s="15">
        <v>0</v>
      </c>
      <c r="R124" s="15">
        <v>0</v>
      </c>
      <c r="S124" s="15">
        <f>$G$124*$G$8+$H$124*$H$8+$I$124*$I$8+$J$124*$J$8+$K$124*$K$8+$L$124*$L$8+$M$124*$M$8+$N$124*$N$8+$O$124*$O$8+$P$124*$P$8</f>
        <v>0</v>
      </c>
      <c r="T124" s="15">
        <f>SUM($Q$124:$R$124)</f>
        <v>0</v>
      </c>
      <c r="U124" s="15">
        <f>$S$124+$T$124</f>
        <v>0</v>
      </c>
    </row>
    <row r="125" spans="1:21" x14ac:dyDescent="0.3">
      <c r="A125" s="10" t="s">
        <v>460</v>
      </c>
      <c r="B125" s="11" t="s">
        <v>457</v>
      </c>
      <c r="C125" s="11"/>
      <c r="D125" s="11" t="s">
        <v>461</v>
      </c>
      <c r="E125" s="11">
        <f xml:space="preserve"> IF($U$125,1,0)</f>
        <v>0</v>
      </c>
      <c r="F125" s="11" t="s">
        <v>462</v>
      </c>
      <c r="G125" s="11">
        <v>0</v>
      </c>
      <c r="H125" s="11">
        <v>0</v>
      </c>
      <c r="I125" s="11">
        <v>0</v>
      </c>
      <c r="J125" s="11">
        <v>0</v>
      </c>
      <c r="K125" s="11">
        <v>0</v>
      </c>
      <c r="L125" s="11">
        <v>0</v>
      </c>
      <c r="M125" s="11">
        <v>0</v>
      </c>
      <c r="N125" s="11">
        <v>0</v>
      </c>
      <c r="O125" s="11">
        <v>0</v>
      </c>
      <c r="P125" s="11">
        <v>0</v>
      </c>
      <c r="Q125" s="12">
        <v>0</v>
      </c>
      <c r="R125" s="12">
        <v>0</v>
      </c>
      <c r="S125" s="12">
        <f>$G$125*$G$8+$H$125*$H$8+$I$125*$I$8+$J$125*$J$8+$K$125*$K$8+$L$125*$L$8+$M$125*$M$8+$N$125*$N$8+$O$125*$O$8+$P$125*$P$8</f>
        <v>0</v>
      </c>
      <c r="T125" s="12">
        <f>SUM($Q$125:$R$125)</f>
        <v>0</v>
      </c>
      <c r="U125" s="12">
        <f>$S$125+$T$125</f>
        <v>0</v>
      </c>
    </row>
    <row r="126" spans="1:21" x14ac:dyDescent="0.3">
      <c r="A126" s="13" t="s">
        <v>463</v>
      </c>
      <c r="B126" s="14" t="s">
        <v>457</v>
      </c>
      <c r="C126" s="14" t="s">
        <v>34</v>
      </c>
      <c r="D126" s="14" t="s">
        <v>464</v>
      </c>
      <c r="E126" s="14">
        <f xml:space="preserve"> IF($U$126,1,0)</f>
        <v>1</v>
      </c>
      <c r="F126" s="14" t="s">
        <v>465</v>
      </c>
      <c r="G126" s="14">
        <v>0</v>
      </c>
      <c r="H126" s="14">
        <v>0</v>
      </c>
      <c r="I126" s="14">
        <v>0</v>
      </c>
      <c r="J126" s="14">
        <v>0</v>
      </c>
      <c r="K126" s="14">
        <v>0</v>
      </c>
      <c r="L126" s="14">
        <v>0</v>
      </c>
      <c r="M126" s="14">
        <v>0</v>
      </c>
      <c r="N126" s="14">
        <v>0</v>
      </c>
      <c r="O126" s="14">
        <v>0</v>
      </c>
      <c r="P126" s="14">
        <v>0</v>
      </c>
      <c r="Q126" s="15">
        <f>$T$338</f>
        <v>2.5</v>
      </c>
      <c r="R126" s="15">
        <v>0</v>
      </c>
      <c r="S126" s="15">
        <f>$G$126*$G$8+$H$126*$H$8+$I$126*$I$8+$J$126*$J$8+$K$126*$K$8+$L$126*$L$8+$M$126*$M$8+$N$126*$N$8+$O$126*$O$8+$P$126*$P$8</f>
        <v>0</v>
      </c>
      <c r="T126" s="15">
        <f>SUM($Q$126:$R$126)</f>
        <v>2.5</v>
      </c>
      <c r="U126" s="15">
        <f>$S$126+$T$126</f>
        <v>2.5</v>
      </c>
    </row>
    <row r="127" spans="1:21" x14ac:dyDescent="0.3">
      <c r="A127" s="10" t="s">
        <v>466</v>
      </c>
      <c r="B127" s="11" t="s">
        <v>457</v>
      </c>
      <c r="C127" s="11"/>
      <c r="D127" s="11" t="s">
        <v>467</v>
      </c>
      <c r="E127" s="11">
        <f xml:space="preserve"> IF($U$127,1,0)</f>
        <v>0</v>
      </c>
      <c r="F127" s="11" t="s">
        <v>468</v>
      </c>
      <c r="G127" s="11">
        <v>0</v>
      </c>
      <c r="H127" s="11">
        <v>0</v>
      </c>
      <c r="I127" s="11">
        <v>0</v>
      </c>
      <c r="J127" s="11">
        <v>0</v>
      </c>
      <c r="K127" s="11">
        <v>0</v>
      </c>
      <c r="L127" s="11">
        <v>0</v>
      </c>
      <c r="M127" s="11">
        <v>0</v>
      </c>
      <c r="N127" s="11">
        <v>0</v>
      </c>
      <c r="O127" s="11">
        <v>0</v>
      </c>
      <c r="P127" s="11">
        <v>0</v>
      </c>
      <c r="Q127" s="12">
        <v>0</v>
      </c>
      <c r="R127" s="12">
        <v>0</v>
      </c>
      <c r="S127" s="12">
        <f>$G$127*$G$8+$H$127*$H$8+$I$127*$I$8+$J$127*$J$8+$K$127*$K$8+$L$127*$L$8+$M$127*$M$8+$N$127*$N$8+$O$127*$O$8+$P$127*$P$8</f>
        <v>0</v>
      </c>
      <c r="T127" s="12">
        <f>SUM($Q$127:$R$127)</f>
        <v>0</v>
      </c>
      <c r="U127" s="12">
        <f>$S$127+$T$127</f>
        <v>0</v>
      </c>
    </row>
    <row r="128" spans="1:21" x14ac:dyDescent="0.3">
      <c r="A128" s="13" t="s">
        <v>469</v>
      </c>
      <c r="B128" s="14" t="s">
        <v>470</v>
      </c>
      <c r="C128" s="14"/>
      <c r="D128" s="14" t="s">
        <v>471</v>
      </c>
      <c r="E128" s="14">
        <f xml:space="preserve"> IF($U$128,1,0)</f>
        <v>0</v>
      </c>
      <c r="F128" s="14" t="s">
        <v>472</v>
      </c>
      <c r="G128" s="14">
        <v>0</v>
      </c>
      <c r="H128" s="14">
        <v>0</v>
      </c>
      <c r="I128" s="14">
        <v>0</v>
      </c>
      <c r="J128" s="14">
        <v>0</v>
      </c>
      <c r="K128" s="14">
        <v>0</v>
      </c>
      <c r="L128" s="14">
        <v>0</v>
      </c>
      <c r="M128" s="14">
        <v>0</v>
      </c>
      <c r="N128" s="14">
        <v>0</v>
      </c>
      <c r="O128" s="14">
        <v>0</v>
      </c>
      <c r="P128" s="14">
        <v>0</v>
      </c>
      <c r="Q128" s="15">
        <v>0</v>
      </c>
      <c r="R128" s="15">
        <v>0</v>
      </c>
      <c r="S128" s="15">
        <f>$G$128*$G$8+$H$128*$H$8+$I$128*$I$8+$J$128*$J$8+$K$128*$K$8+$L$128*$L$8+$M$128*$M$8+$N$128*$N$8+$O$128*$O$8+$P$128*$P$8</f>
        <v>0</v>
      </c>
      <c r="T128" s="15">
        <f>SUM($Q$128:$R$128)</f>
        <v>0</v>
      </c>
      <c r="U128" s="15">
        <f>$S$128+$T$128</f>
        <v>0</v>
      </c>
    </row>
    <row r="129" spans="1:21" x14ac:dyDescent="0.3">
      <c r="A129" s="10" t="s">
        <v>473</v>
      </c>
      <c r="B129" s="11" t="s">
        <v>474</v>
      </c>
      <c r="C129" s="11"/>
      <c r="D129" s="11" t="s">
        <v>475</v>
      </c>
      <c r="E129" s="11">
        <f xml:space="preserve"> IF($U$129,1,0)</f>
        <v>0</v>
      </c>
      <c r="F129" s="11" t="s">
        <v>476</v>
      </c>
      <c r="G129" s="11">
        <v>0</v>
      </c>
      <c r="H129" s="11">
        <v>0</v>
      </c>
      <c r="I129" s="11">
        <v>0</v>
      </c>
      <c r="J129" s="11">
        <v>0</v>
      </c>
      <c r="K129" s="11">
        <v>0</v>
      </c>
      <c r="L129" s="11">
        <v>0</v>
      </c>
      <c r="M129" s="11">
        <v>0</v>
      </c>
      <c r="N129" s="11">
        <v>0</v>
      </c>
      <c r="O129" s="11">
        <v>0</v>
      </c>
      <c r="P129" s="11">
        <v>0</v>
      </c>
      <c r="Q129" s="12">
        <v>0</v>
      </c>
      <c r="R129" s="12">
        <v>0</v>
      </c>
      <c r="S129" s="12">
        <f>$G$129*$G$8+$H$129*$H$8+$I$129*$I$8+$J$129*$J$8+$K$129*$K$8+$L$129*$L$8+$M$129*$M$8+$N$129*$N$8+$O$129*$O$8+$P$129*$P$8</f>
        <v>0</v>
      </c>
      <c r="T129" s="12">
        <f>SUM($Q$129:$R$129)</f>
        <v>0</v>
      </c>
      <c r="U129" s="12">
        <f>$S$129+$T$129</f>
        <v>0</v>
      </c>
    </row>
    <row r="130" spans="1:21" x14ac:dyDescent="0.3">
      <c r="A130" s="13" t="s">
        <v>477</v>
      </c>
      <c r="B130" s="14" t="s">
        <v>478</v>
      </c>
      <c r="C130" s="14"/>
      <c r="D130" s="14" t="s">
        <v>479</v>
      </c>
      <c r="E130" s="14">
        <f xml:space="preserve"> IF($U$130,1,0)</f>
        <v>0</v>
      </c>
      <c r="F130" s="14" t="s">
        <v>480</v>
      </c>
      <c r="G130" s="14">
        <v>0</v>
      </c>
      <c r="H130" s="14">
        <v>0</v>
      </c>
      <c r="I130" s="14">
        <v>0</v>
      </c>
      <c r="J130" s="14">
        <v>0</v>
      </c>
      <c r="K130" s="14">
        <v>0</v>
      </c>
      <c r="L130" s="14">
        <v>0</v>
      </c>
      <c r="M130" s="14">
        <v>0</v>
      </c>
      <c r="N130" s="14">
        <v>0</v>
      </c>
      <c r="O130" s="14">
        <v>0</v>
      </c>
      <c r="P130" s="14">
        <v>0</v>
      </c>
      <c r="Q130" s="15">
        <v>0</v>
      </c>
      <c r="R130" s="15">
        <v>0</v>
      </c>
      <c r="S130" s="15">
        <f>$G$130*$G$8+$H$130*$H$8+$I$130*$I$8+$J$130*$J$8+$K$130*$K$8+$L$130*$L$8+$M$130*$M$8+$N$130*$N$8+$O$130*$O$8+$P$130*$P$8</f>
        <v>0</v>
      </c>
      <c r="T130" s="15">
        <f>SUM($Q$130:$R$130)</f>
        <v>0</v>
      </c>
      <c r="U130" s="15">
        <f>$S$130+$T$130</f>
        <v>0</v>
      </c>
    </row>
    <row r="131" spans="1:21" x14ac:dyDescent="0.3">
      <c r="A131" s="10" t="s">
        <v>481</v>
      </c>
      <c r="B131" s="11" t="s">
        <v>482</v>
      </c>
      <c r="C131" s="11"/>
      <c r="D131" s="11" t="s">
        <v>483</v>
      </c>
      <c r="E131" s="11">
        <f xml:space="preserve"> IF($U$131,1,0)</f>
        <v>0</v>
      </c>
      <c r="F131" s="11" t="s">
        <v>484</v>
      </c>
      <c r="G131" s="11">
        <v>0</v>
      </c>
      <c r="H131" s="11">
        <v>0</v>
      </c>
      <c r="I131" s="11">
        <v>0</v>
      </c>
      <c r="J131" s="11">
        <v>0</v>
      </c>
      <c r="K131" s="11">
        <v>0</v>
      </c>
      <c r="L131" s="11">
        <v>0</v>
      </c>
      <c r="M131" s="11">
        <v>0</v>
      </c>
      <c r="N131" s="11">
        <v>0</v>
      </c>
      <c r="O131" s="11">
        <v>0</v>
      </c>
      <c r="P131" s="11">
        <v>0</v>
      </c>
      <c r="Q131" s="12">
        <v>0</v>
      </c>
      <c r="R131" s="12">
        <v>0</v>
      </c>
      <c r="S131" s="12">
        <f>$G$131*$G$8+$H$131*$H$8+$I$131*$I$8+$J$131*$J$8+$K$131*$K$8+$L$131*$L$8+$M$131*$M$8+$N$131*$N$8+$O$131*$O$8+$P$131*$P$8</f>
        <v>0</v>
      </c>
      <c r="T131" s="12">
        <f>SUM($Q$131:$R$131)</f>
        <v>0</v>
      </c>
      <c r="U131" s="12">
        <f>$S$131+$T$131</f>
        <v>0</v>
      </c>
    </row>
    <row r="132" spans="1:21" x14ac:dyDescent="0.3">
      <c r="A132" s="13" t="s">
        <v>485</v>
      </c>
      <c r="B132" s="14" t="s">
        <v>486</v>
      </c>
      <c r="C132" s="14"/>
      <c r="D132" s="14" t="s">
        <v>487</v>
      </c>
      <c r="E132" s="14">
        <f xml:space="preserve"> IF($U$132,1,0)</f>
        <v>1</v>
      </c>
      <c r="F132" s="14" t="s">
        <v>488</v>
      </c>
      <c r="G132" s="14">
        <v>2</v>
      </c>
      <c r="H132" s="14">
        <v>0</v>
      </c>
      <c r="I132" s="14">
        <v>0</v>
      </c>
      <c r="J132" s="14">
        <v>0</v>
      </c>
      <c r="K132" s="14">
        <v>0</v>
      </c>
      <c r="L132" s="14">
        <v>0</v>
      </c>
      <c r="M132" s="14">
        <v>0</v>
      </c>
      <c r="N132" s="14">
        <v>0</v>
      </c>
      <c r="O132" s="14">
        <v>0</v>
      </c>
      <c r="P132" s="14">
        <v>0</v>
      </c>
      <c r="Q132" s="15">
        <v>0</v>
      </c>
      <c r="R132" s="15">
        <v>0</v>
      </c>
      <c r="S132" s="15">
        <f>$G$132*$G$8+$H$132*$H$8+$I$132*$I$8+$J$132*$J$8+$K$132*$K$8+$L$132*$L$8+$M$132*$M$8+$N$132*$N$8+$O$132*$O$8+$P$132*$P$8</f>
        <v>1.4</v>
      </c>
      <c r="T132" s="15">
        <f>SUM($Q$132:$R$132)</f>
        <v>0</v>
      </c>
      <c r="U132" s="15">
        <f>$S$132+$T$132</f>
        <v>1.4</v>
      </c>
    </row>
    <row r="133" spans="1:21" x14ac:dyDescent="0.3">
      <c r="A133" s="10" t="s">
        <v>489</v>
      </c>
      <c r="B133" s="11" t="s">
        <v>490</v>
      </c>
      <c r="C133" s="11"/>
      <c r="D133" s="11" t="s">
        <v>491</v>
      </c>
      <c r="E133" s="11">
        <f xml:space="preserve"> IF($U$133,1,0)</f>
        <v>0</v>
      </c>
      <c r="F133" s="11" t="s">
        <v>492</v>
      </c>
      <c r="G133" s="11">
        <v>0</v>
      </c>
      <c r="H133" s="11">
        <v>0</v>
      </c>
      <c r="I133" s="11">
        <v>0</v>
      </c>
      <c r="J133" s="11">
        <v>0</v>
      </c>
      <c r="K133" s="11">
        <v>0</v>
      </c>
      <c r="L133" s="11">
        <v>0</v>
      </c>
      <c r="M133" s="11">
        <v>0</v>
      </c>
      <c r="N133" s="11">
        <v>0</v>
      </c>
      <c r="O133" s="11">
        <v>0</v>
      </c>
      <c r="P133" s="11">
        <v>0</v>
      </c>
      <c r="Q133" s="12">
        <v>0</v>
      </c>
      <c r="R133" s="12">
        <v>0</v>
      </c>
      <c r="S133" s="12">
        <f>$G$133*$G$8+$H$133*$H$8+$I$133*$I$8+$J$133*$J$8+$K$133*$K$8+$L$133*$L$8+$M$133*$M$8+$N$133*$N$8+$O$133*$O$8+$P$133*$P$8</f>
        <v>0</v>
      </c>
      <c r="T133" s="12">
        <f>SUM($Q$133:$R$133)</f>
        <v>0</v>
      </c>
      <c r="U133" s="12">
        <f>$S$133+$T$133</f>
        <v>0</v>
      </c>
    </row>
    <row r="134" spans="1:21" x14ac:dyDescent="0.3">
      <c r="A134" s="13" t="s">
        <v>493</v>
      </c>
      <c r="B134" s="14" t="s">
        <v>494</v>
      </c>
      <c r="C134" s="14" t="s">
        <v>34</v>
      </c>
      <c r="D134" s="14" t="s">
        <v>495</v>
      </c>
      <c r="E134" s="14">
        <f xml:space="preserve"> IF($U$134,1,0)</f>
        <v>0</v>
      </c>
      <c r="F134" s="14" t="s">
        <v>496</v>
      </c>
      <c r="G134" s="14">
        <v>0</v>
      </c>
      <c r="H134" s="14">
        <v>0</v>
      </c>
      <c r="I134" s="14">
        <v>0</v>
      </c>
      <c r="J134" s="14">
        <v>0</v>
      </c>
      <c r="K134" s="14">
        <v>0</v>
      </c>
      <c r="L134" s="14">
        <v>0</v>
      </c>
      <c r="M134" s="14">
        <v>0</v>
      </c>
      <c r="N134" s="14">
        <v>0</v>
      </c>
      <c r="O134" s="14">
        <v>0</v>
      </c>
      <c r="P134" s="14">
        <v>0</v>
      </c>
      <c r="Q134" s="15">
        <v>0</v>
      </c>
      <c r="R134" s="15">
        <v>0</v>
      </c>
      <c r="S134" s="15">
        <f>$G$134*$G$8+$H$134*$H$8+$I$134*$I$8+$J$134*$J$8+$K$134*$K$8+$L$134*$L$8+$M$134*$M$8+$N$134*$N$8+$O$134*$O$8+$P$134*$P$8</f>
        <v>0</v>
      </c>
      <c r="T134" s="15">
        <f>SUM($Q$134:$R$134)</f>
        <v>0</v>
      </c>
      <c r="U134" s="15">
        <f>$S$134+$T$134</f>
        <v>0</v>
      </c>
    </row>
    <row r="135" spans="1:21" x14ac:dyDescent="0.3">
      <c r="A135" s="10" t="s">
        <v>497</v>
      </c>
      <c r="B135" s="11" t="s">
        <v>498</v>
      </c>
      <c r="C135" s="11"/>
      <c r="D135" s="11" t="s">
        <v>499</v>
      </c>
      <c r="E135" s="11">
        <f xml:space="preserve"> IF($U$135,1,0)</f>
        <v>0</v>
      </c>
      <c r="F135" s="11" t="s">
        <v>500</v>
      </c>
      <c r="G135" s="11">
        <v>0</v>
      </c>
      <c r="H135" s="11">
        <v>0</v>
      </c>
      <c r="I135" s="11">
        <v>0</v>
      </c>
      <c r="J135" s="11">
        <v>0</v>
      </c>
      <c r="K135" s="11">
        <v>0</v>
      </c>
      <c r="L135" s="11">
        <v>0</v>
      </c>
      <c r="M135" s="11">
        <v>0</v>
      </c>
      <c r="N135" s="11">
        <v>0</v>
      </c>
      <c r="O135" s="11">
        <v>0</v>
      </c>
      <c r="P135" s="11">
        <v>0</v>
      </c>
      <c r="Q135" s="12">
        <v>0</v>
      </c>
      <c r="R135" s="12">
        <v>0</v>
      </c>
      <c r="S135" s="12">
        <f>$G$135*$G$8+$H$135*$H$8+$I$135*$I$8+$J$135*$J$8+$K$135*$K$8+$L$135*$L$8+$M$135*$M$8+$N$135*$N$8+$O$135*$O$8+$P$135*$P$8</f>
        <v>0</v>
      </c>
      <c r="T135" s="12">
        <f>SUM($Q$135:$R$135)</f>
        <v>0</v>
      </c>
      <c r="U135" s="12">
        <f>$S$135+$T$135</f>
        <v>0</v>
      </c>
    </row>
    <row r="136" spans="1:21" x14ac:dyDescent="0.3">
      <c r="A136" s="13" t="s">
        <v>501</v>
      </c>
      <c r="B136" s="14" t="s">
        <v>502</v>
      </c>
      <c r="C136" s="14" t="s">
        <v>34</v>
      </c>
      <c r="D136" s="14" t="s">
        <v>503</v>
      </c>
      <c r="E136" s="14">
        <f xml:space="preserve"> IF($U$136,1,0)</f>
        <v>1</v>
      </c>
      <c r="F136" s="14" t="s">
        <v>504</v>
      </c>
      <c r="G136" s="14">
        <v>12</v>
      </c>
      <c r="H136" s="14">
        <v>0</v>
      </c>
      <c r="I136" s="14">
        <v>0</v>
      </c>
      <c r="J136" s="14">
        <v>0</v>
      </c>
      <c r="K136" s="14">
        <v>0</v>
      </c>
      <c r="L136" s="14">
        <v>0</v>
      </c>
      <c r="M136" s="14">
        <v>0</v>
      </c>
      <c r="N136" s="14">
        <v>0</v>
      </c>
      <c r="O136" s="14">
        <v>0</v>
      </c>
      <c r="P136" s="14">
        <v>1</v>
      </c>
      <c r="Q136" s="15">
        <v>0</v>
      </c>
      <c r="R136" s="15">
        <v>0</v>
      </c>
      <c r="S136" s="15">
        <f>$G$136*$G$8+$H$136*$H$8+$I$136*$I$8+$J$136*$J$8+$K$136*$K$8+$L$136*$L$8+$M$136*$M$8+$N$136*$N$8+$O$136*$O$8+$P$136*$P$8</f>
        <v>9.3999999999999986</v>
      </c>
      <c r="T136" s="15">
        <f>SUM($Q$136:$R$136)</f>
        <v>0</v>
      </c>
      <c r="U136" s="15">
        <f>$S$136+$T$136</f>
        <v>9.3999999999999986</v>
      </c>
    </row>
    <row r="137" spans="1:21" x14ac:dyDescent="0.3">
      <c r="A137" s="10" t="s">
        <v>505</v>
      </c>
      <c r="B137" s="11" t="s">
        <v>502</v>
      </c>
      <c r="C137" s="11"/>
      <c r="D137" s="11" t="s">
        <v>232</v>
      </c>
      <c r="E137" s="11">
        <f xml:space="preserve"> IF($U$137,1,0)</f>
        <v>0</v>
      </c>
      <c r="F137" s="11" t="s">
        <v>506</v>
      </c>
      <c r="G137" s="11">
        <v>0</v>
      </c>
      <c r="H137" s="11">
        <v>0</v>
      </c>
      <c r="I137" s="11">
        <v>0</v>
      </c>
      <c r="J137" s="11">
        <v>0</v>
      </c>
      <c r="K137" s="11">
        <v>0</v>
      </c>
      <c r="L137" s="11">
        <v>0</v>
      </c>
      <c r="M137" s="11">
        <v>0</v>
      </c>
      <c r="N137" s="11">
        <v>0</v>
      </c>
      <c r="O137" s="11">
        <v>0</v>
      </c>
      <c r="P137" s="11">
        <v>0</v>
      </c>
      <c r="Q137" s="12">
        <v>0</v>
      </c>
      <c r="R137" s="12">
        <v>0</v>
      </c>
      <c r="S137" s="12">
        <f>$G$137*$G$8+$H$137*$H$8+$I$137*$I$8+$J$137*$J$8+$K$137*$K$8+$L$137*$L$8+$M$137*$M$8+$N$137*$N$8+$O$137*$O$8+$P$137*$P$8</f>
        <v>0</v>
      </c>
      <c r="T137" s="12">
        <f>SUM($Q$137:$R$137)</f>
        <v>0</v>
      </c>
      <c r="U137" s="12">
        <f>$S$137+$T$137</f>
        <v>0</v>
      </c>
    </row>
    <row r="138" spans="1:21" x14ac:dyDescent="0.3">
      <c r="A138" s="13" t="s">
        <v>507</v>
      </c>
      <c r="B138" s="14" t="s">
        <v>508</v>
      </c>
      <c r="C138" s="14" t="s">
        <v>65</v>
      </c>
      <c r="D138" s="14" t="s">
        <v>509</v>
      </c>
      <c r="E138" s="14">
        <f xml:space="preserve"> IF($U$138,1,0)</f>
        <v>0</v>
      </c>
      <c r="F138" s="14" t="s">
        <v>510</v>
      </c>
      <c r="G138" s="14">
        <v>0</v>
      </c>
      <c r="H138" s="14">
        <v>0</v>
      </c>
      <c r="I138" s="14">
        <v>0</v>
      </c>
      <c r="J138" s="14">
        <v>0</v>
      </c>
      <c r="K138" s="14">
        <v>0</v>
      </c>
      <c r="L138" s="14">
        <v>0</v>
      </c>
      <c r="M138" s="14">
        <v>0</v>
      </c>
      <c r="N138" s="14">
        <v>0</v>
      </c>
      <c r="O138" s="14">
        <v>0</v>
      </c>
      <c r="P138" s="14">
        <v>0</v>
      </c>
      <c r="Q138" s="15">
        <v>0</v>
      </c>
      <c r="R138" s="15">
        <v>0</v>
      </c>
      <c r="S138" s="15">
        <f>$G$138*$G$8+$H$138*$H$8+$I$138*$I$8+$J$138*$J$8+$K$138*$K$8+$L$138*$L$8+$M$138*$M$8+$N$138*$N$8+$O$138*$O$8+$P$138*$P$8</f>
        <v>0</v>
      </c>
      <c r="T138" s="15">
        <f>SUM($Q$138:$R$138)</f>
        <v>0</v>
      </c>
      <c r="U138" s="15">
        <f>$S$138+$T$138</f>
        <v>0</v>
      </c>
    </row>
    <row r="139" spans="1:21" x14ac:dyDescent="0.3">
      <c r="A139" s="10" t="s">
        <v>511</v>
      </c>
      <c r="B139" s="11" t="s">
        <v>512</v>
      </c>
      <c r="C139" s="11" t="s">
        <v>513</v>
      </c>
      <c r="D139" s="11" t="s">
        <v>514</v>
      </c>
      <c r="E139" s="11">
        <f xml:space="preserve"> IF($U$139,1,0)</f>
        <v>1</v>
      </c>
      <c r="F139" s="11" t="s">
        <v>515</v>
      </c>
      <c r="G139" s="11">
        <v>0</v>
      </c>
      <c r="H139" s="11">
        <v>4</v>
      </c>
      <c r="I139" s="11">
        <v>0</v>
      </c>
      <c r="J139" s="11">
        <v>0</v>
      </c>
      <c r="K139" s="11">
        <v>0</v>
      </c>
      <c r="L139" s="11">
        <v>0</v>
      </c>
      <c r="M139" s="11">
        <v>1</v>
      </c>
      <c r="N139" s="11">
        <v>0</v>
      </c>
      <c r="O139" s="11">
        <v>0</v>
      </c>
      <c r="P139" s="11">
        <v>0</v>
      </c>
      <c r="Q139" s="12">
        <v>0</v>
      </c>
      <c r="R139" s="12">
        <v>0</v>
      </c>
      <c r="S139" s="12">
        <f>$G$139*$G$8+$H$139*$H$8+$I$139*$I$8+$J$139*$J$8+$K$139*$K$8+$L$139*$L$8+$M$139*$M$8+$N$139*$N$8+$O$139*$O$8+$P$139*$P$8</f>
        <v>11.2</v>
      </c>
      <c r="T139" s="12">
        <f>SUM($Q$139:$R$139)</f>
        <v>0</v>
      </c>
      <c r="U139" s="12">
        <f>$S$139+$T$139</f>
        <v>11.2</v>
      </c>
    </row>
    <row r="140" spans="1:21" x14ac:dyDescent="0.3">
      <c r="A140" s="13" t="s">
        <v>516</v>
      </c>
      <c r="B140" s="14" t="s">
        <v>517</v>
      </c>
      <c r="C140" s="14" t="s">
        <v>65</v>
      </c>
      <c r="D140" s="14" t="s">
        <v>518</v>
      </c>
      <c r="E140" s="14">
        <f xml:space="preserve"> IF($U$140,1,0)</f>
        <v>1</v>
      </c>
      <c r="F140" s="14" t="s">
        <v>519</v>
      </c>
      <c r="G140" s="14">
        <v>2</v>
      </c>
      <c r="H140" s="14">
        <v>0</v>
      </c>
      <c r="I140" s="14">
        <v>0</v>
      </c>
      <c r="J140" s="14">
        <v>0</v>
      </c>
      <c r="K140" s="14">
        <v>0</v>
      </c>
      <c r="L140" s="14">
        <v>0</v>
      </c>
      <c r="M140" s="14">
        <v>0</v>
      </c>
      <c r="N140" s="14">
        <v>0</v>
      </c>
      <c r="O140" s="14">
        <v>0</v>
      </c>
      <c r="P140" s="14">
        <v>0</v>
      </c>
      <c r="Q140" s="15">
        <v>0</v>
      </c>
      <c r="R140" s="15">
        <v>0</v>
      </c>
      <c r="S140" s="15">
        <f>$G$140*$G$8+$H$140*$H$8+$I$140*$I$8+$J$140*$J$8+$K$140*$K$8+$L$140*$L$8+$M$140*$M$8+$N$140*$N$8+$O$140*$O$8+$P$140*$P$8</f>
        <v>1.4</v>
      </c>
      <c r="T140" s="15">
        <f>SUM($Q$140:$R$140)</f>
        <v>0</v>
      </c>
      <c r="U140" s="15">
        <f>$S$140+$T$140</f>
        <v>1.4</v>
      </c>
    </row>
    <row r="141" spans="1:21" x14ac:dyDescent="0.3">
      <c r="A141" s="10" t="s">
        <v>520</v>
      </c>
      <c r="B141" s="11" t="s">
        <v>517</v>
      </c>
      <c r="C141" s="11"/>
      <c r="D141" s="11" t="s">
        <v>521</v>
      </c>
      <c r="E141" s="11">
        <f xml:space="preserve"> IF($U$141,1,0)</f>
        <v>1</v>
      </c>
      <c r="F141" s="11" t="s">
        <v>522</v>
      </c>
      <c r="G141" s="11">
        <v>3</v>
      </c>
      <c r="H141" s="11">
        <v>0</v>
      </c>
      <c r="I141" s="11">
        <v>1</v>
      </c>
      <c r="J141" s="11">
        <v>0</v>
      </c>
      <c r="K141" s="11">
        <v>0</v>
      </c>
      <c r="L141" s="11">
        <v>0</v>
      </c>
      <c r="M141" s="11">
        <v>0</v>
      </c>
      <c r="N141" s="11">
        <v>0</v>
      </c>
      <c r="O141" s="11">
        <v>0</v>
      </c>
      <c r="P141" s="11">
        <v>0</v>
      </c>
      <c r="Q141" s="12">
        <v>0</v>
      </c>
      <c r="R141" s="12">
        <v>0</v>
      </c>
      <c r="S141" s="12">
        <f>$G$141*$G$8+$H$141*$H$8+$I$141*$I$8+$J$141*$J$8+$K$141*$K$8+$L$141*$L$8+$M$141*$M$8+$N$141*$N$8+$O$141*$O$8+$P$141*$P$8</f>
        <v>3.0999999999999996</v>
      </c>
      <c r="T141" s="12">
        <f>SUM($Q$141:$R$141)</f>
        <v>0</v>
      </c>
      <c r="U141" s="12">
        <f>$S$141+$T$141</f>
        <v>3.0999999999999996</v>
      </c>
    </row>
    <row r="142" spans="1:21" x14ac:dyDescent="0.3">
      <c r="A142" s="13" t="s">
        <v>523</v>
      </c>
      <c r="B142" s="14" t="s">
        <v>524</v>
      </c>
      <c r="C142" s="14" t="s">
        <v>65</v>
      </c>
      <c r="D142" s="14" t="s">
        <v>327</v>
      </c>
      <c r="E142" s="14">
        <f xml:space="preserve"> IF($U$142,1,0)</f>
        <v>0</v>
      </c>
      <c r="F142" s="14" t="s">
        <v>525</v>
      </c>
      <c r="G142" s="14">
        <v>0</v>
      </c>
      <c r="H142" s="14">
        <v>0</v>
      </c>
      <c r="I142" s="14">
        <v>0</v>
      </c>
      <c r="J142" s="14">
        <v>0</v>
      </c>
      <c r="K142" s="14">
        <v>0</v>
      </c>
      <c r="L142" s="14">
        <v>0</v>
      </c>
      <c r="M142" s="14">
        <v>0</v>
      </c>
      <c r="N142" s="14">
        <v>0</v>
      </c>
      <c r="O142" s="14">
        <v>0</v>
      </c>
      <c r="P142" s="14">
        <v>0</v>
      </c>
      <c r="Q142" s="15">
        <v>0</v>
      </c>
      <c r="R142" s="15">
        <v>0</v>
      </c>
      <c r="S142" s="15">
        <f>$G$142*$G$8+$H$142*$H$8+$I$142*$I$8+$J$142*$J$8+$K$142*$K$8+$L$142*$L$8+$M$142*$M$8+$N$142*$N$8+$O$142*$O$8+$P$142*$P$8</f>
        <v>0</v>
      </c>
      <c r="T142" s="15">
        <f>SUM($Q$142:$R$142)</f>
        <v>0</v>
      </c>
      <c r="U142" s="15">
        <f>$S$142+$T$142</f>
        <v>0</v>
      </c>
    </row>
    <row r="143" spans="1:21" x14ac:dyDescent="0.3">
      <c r="A143" s="10" t="s">
        <v>526</v>
      </c>
      <c r="B143" s="11" t="s">
        <v>527</v>
      </c>
      <c r="C143" s="11"/>
      <c r="D143" s="11" t="s">
        <v>528</v>
      </c>
      <c r="E143" s="11">
        <f xml:space="preserve"> IF($U$143,1,0)</f>
        <v>0</v>
      </c>
      <c r="F143" s="11" t="s">
        <v>529</v>
      </c>
      <c r="G143" s="11">
        <v>0</v>
      </c>
      <c r="H143" s="11">
        <v>0</v>
      </c>
      <c r="I143" s="11">
        <v>0</v>
      </c>
      <c r="J143" s="11">
        <v>0</v>
      </c>
      <c r="K143" s="11">
        <v>0</v>
      </c>
      <c r="L143" s="11">
        <v>0</v>
      </c>
      <c r="M143" s="11">
        <v>0</v>
      </c>
      <c r="N143" s="11">
        <v>0</v>
      </c>
      <c r="O143" s="11">
        <v>0</v>
      </c>
      <c r="P143" s="11">
        <v>0</v>
      </c>
      <c r="Q143" s="12">
        <v>0</v>
      </c>
      <c r="R143" s="12">
        <v>0</v>
      </c>
      <c r="S143" s="12">
        <f>$G$143*$G$8+$H$143*$H$8+$I$143*$I$8+$J$143*$J$8+$K$143*$K$8+$L$143*$L$8+$M$143*$M$8+$N$143*$N$8+$O$143*$O$8+$P$143*$P$8</f>
        <v>0</v>
      </c>
      <c r="T143" s="12">
        <f>SUM($Q$143:$R$143)</f>
        <v>0</v>
      </c>
      <c r="U143" s="12">
        <f>$S$143+$T$143</f>
        <v>0</v>
      </c>
    </row>
    <row r="144" spans="1:21" x14ac:dyDescent="0.3">
      <c r="A144" s="13" t="s">
        <v>530</v>
      </c>
      <c r="B144" s="14" t="s">
        <v>531</v>
      </c>
      <c r="C144" s="14"/>
      <c r="D144" s="14" t="s">
        <v>532</v>
      </c>
      <c r="E144" s="14">
        <f xml:space="preserve"> IF($U$144,1,0)</f>
        <v>1</v>
      </c>
      <c r="F144" s="14" t="s">
        <v>533</v>
      </c>
      <c r="G144" s="14">
        <v>0</v>
      </c>
      <c r="H144" s="14">
        <v>0</v>
      </c>
      <c r="I144" s="14">
        <v>1</v>
      </c>
      <c r="J144" s="14">
        <v>0</v>
      </c>
      <c r="K144" s="14">
        <v>0</v>
      </c>
      <c r="L144" s="14">
        <v>0</v>
      </c>
      <c r="M144" s="14">
        <v>0</v>
      </c>
      <c r="N144" s="14">
        <v>0</v>
      </c>
      <c r="O144" s="14">
        <v>0</v>
      </c>
      <c r="P144" s="14">
        <v>0</v>
      </c>
      <c r="Q144" s="15">
        <v>0</v>
      </c>
      <c r="R144" s="15">
        <v>0</v>
      </c>
      <c r="S144" s="15">
        <f>$G$144*$G$8+$H$144*$H$8+$I$144*$I$8+$J$144*$J$8+$K$144*$K$8+$L$144*$L$8+$M$144*$M$8+$N$144*$N$8+$O$144*$O$8+$P$144*$P$8</f>
        <v>1</v>
      </c>
      <c r="T144" s="15">
        <f>SUM($Q$144:$R$144)</f>
        <v>0</v>
      </c>
      <c r="U144" s="15">
        <f>$S$144+$T$144</f>
        <v>1</v>
      </c>
    </row>
    <row r="145" spans="1:21" x14ac:dyDescent="0.3">
      <c r="A145" s="10" t="s">
        <v>534</v>
      </c>
      <c r="B145" s="11" t="s">
        <v>535</v>
      </c>
      <c r="C145" s="11"/>
      <c r="D145" s="11" t="s">
        <v>536</v>
      </c>
      <c r="E145" s="11">
        <f xml:space="preserve"> IF($U$145,1,0)</f>
        <v>1</v>
      </c>
      <c r="F145" s="11" t="s">
        <v>537</v>
      </c>
      <c r="G145" s="11">
        <v>3</v>
      </c>
      <c r="H145" s="11">
        <v>0</v>
      </c>
      <c r="I145" s="11">
        <v>0</v>
      </c>
      <c r="J145" s="11">
        <v>0</v>
      </c>
      <c r="K145" s="11">
        <v>0</v>
      </c>
      <c r="L145" s="11">
        <v>0</v>
      </c>
      <c r="M145" s="11">
        <v>0</v>
      </c>
      <c r="N145" s="11">
        <v>0</v>
      </c>
      <c r="O145" s="11">
        <v>0</v>
      </c>
      <c r="P145" s="11">
        <v>0</v>
      </c>
      <c r="Q145" s="12">
        <v>0</v>
      </c>
      <c r="R145" s="12">
        <v>0</v>
      </c>
      <c r="S145" s="12">
        <f>$G$145*$G$8+$H$145*$H$8+$I$145*$I$8+$J$145*$J$8+$K$145*$K$8+$L$145*$L$8+$M$145*$M$8+$N$145*$N$8+$O$145*$O$8+$P$145*$P$8</f>
        <v>2.0999999999999996</v>
      </c>
      <c r="T145" s="12">
        <f>SUM($Q$145:$R$145)</f>
        <v>0</v>
      </c>
      <c r="U145" s="12">
        <f>$S$145+$T$145</f>
        <v>2.0999999999999996</v>
      </c>
    </row>
    <row r="146" spans="1:21" x14ac:dyDescent="0.3">
      <c r="A146" s="13" t="s">
        <v>538</v>
      </c>
      <c r="B146" s="14" t="s">
        <v>535</v>
      </c>
      <c r="C146" s="14"/>
      <c r="D146" s="14" t="s">
        <v>539</v>
      </c>
      <c r="E146" s="14">
        <f xml:space="preserve"> IF($U$146,1,0)</f>
        <v>0</v>
      </c>
      <c r="F146" s="14" t="s">
        <v>540</v>
      </c>
      <c r="G146" s="14">
        <v>0</v>
      </c>
      <c r="H146" s="14">
        <v>0</v>
      </c>
      <c r="I146" s="14">
        <v>0</v>
      </c>
      <c r="J146" s="14">
        <v>0</v>
      </c>
      <c r="K146" s="14">
        <v>0</v>
      </c>
      <c r="L146" s="14">
        <v>0</v>
      </c>
      <c r="M146" s="14">
        <v>0</v>
      </c>
      <c r="N146" s="14">
        <v>0</v>
      </c>
      <c r="O146" s="14">
        <v>0</v>
      </c>
      <c r="P146" s="14">
        <v>0</v>
      </c>
      <c r="Q146" s="15">
        <v>0</v>
      </c>
      <c r="R146" s="15">
        <v>0</v>
      </c>
      <c r="S146" s="15">
        <f>$G$146*$G$8+$H$146*$H$8+$I$146*$I$8+$J$146*$J$8+$K$146*$K$8+$L$146*$L$8+$M$146*$M$8+$N$146*$N$8+$O$146*$O$8+$P$146*$P$8</f>
        <v>0</v>
      </c>
      <c r="T146" s="15">
        <f>SUM($Q$146:$R$146)</f>
        <v>0</v>
      </c>
      <c r="U146" s="15">
        <f>$S$146+$T$146</f>
        <v>0</v>
      </c>
    </row>
    <row r="147" spans="1:21" x14ac:dyDescent="0.3">
      <c r="A147" s="10" t="s">
        <v>541</v>
      </c>
      <c r="B147" s="11" t="s">
        <v>542</v>
      </c>
      <c r="C147" s="11"/>
      <c r="D147" s="11" t="s">
        <v>543</v>
      </c>
      <c r="E147" s="11">
        <f xml:space="preserve"> IF($U$147,1,0)</f>
        <v>0</v>
      </c>
      <c r="F147" s="11" t="s">
        <v>544</v>
      </c>
      <c r="G147" s="11">
        <v>0</v>
      </c>
      <c r="H147" s="11">
        <v>0</v>
      </c>
      <c r="I147" s="11">
        <v>0</v>
      </c>
      <c r="J147" s="11">
        <v>0</v>
      </c>
      <c r="K147" s="11">
        <v>0</v>
      </c>
      <c r="L147" s="11">
        <v>0</v>
      </c>
      <c r="M147" s="11">
        <v>0</v>
      </c>
      <c r="N147" s="11">
        <v>0</v>
      </c>
      <c r="O147" s="11">
        <v>0</v>
      </c>
      <c r="P147" s="11">
        <v>0</v>
      </c>
      <c r="Q147" s="12">
        <v>0</v>
      </c>
      <c r="R147" s="12">
        <v>0</v>
      </c>
      <c r="S147" s="12">
        <f>$G$147*$G$8+$H$147*$H$8+$I$147*$I$8+$J$147*$J$8+$K$147*$K$8+$L$147*$L$8+$M$147*$M$8+$N$147*$N$8+$O$147*$O$8+$P$147*$P$8</f>
        <v>0</v>
      </c>
      <c r="T147" s="12">
        <f>SUM($Q$147:$R$147)</f>
        <v>0</v>
      </c>
      <c r="U147" s="12">
        <f>$S$147+$T$147</f>
        <v>0</v>
      </c>
    </row>
    <row r="148" spans="1:21" x14ac:dyDescent="0.3">
      <c r="A148" s="13" t="s">
        <v>545</v>
      </c>
      <c r="B148" s="14" t="s">
        <v>546</v>
      </c>
      <c r="C148" s="14"/>
      <c r="D148" s="14" t="s">
        <v>547</v>
      </c>
      <c r="E148" s="14">
        <f xml:space="preserve"> IF($U$148,1,0)</f>
        <v>0</v>
      </c>
      <c r="F148" s="14" t="s">
        <v>548</v>
      </c>
      <c r="G148" s="14">
        <v>0</v>
      </c>
      <c r="H148" s="14">
        <v>0</v>
      </c>
      <c r="I148" s="14">
        <v>0</v>
      </c>
      <c r="J148" s="14">
        <v>0</v>
      </c>
      <c r="K148" s="14">
        <v>0</v>
      </c>
      <c r="L148" s="14">
        <v>0</v>
      </c>
      <c r="M148" s="14">
        <v>0</v>
      </c>
      <c r="N148" s="14">
        <v>0</v>
      </c>
      <c r="O148" s="14">
        <v>0</v>
      </c>
      <c r="P148" s="14">
        <v>0</v>
      </c>
      <c r="Q148" s="15">
        <v>0</v>
      </c>
      <c r="R148" s="15">
        <v>0</v>
      </c>
      <c r="S148" s="15">
        <f>$G$148*$G$8+$H$148*$H$8+$I$148*$I$8+$J$148*$J$8+$K$148*$K$8+$L$148*$L$8+$M$148*$M$8+$N$148*$N$8+$O$148*$O$8+$P$148*$P$8</f>
        <v>0</v>
      </c>
      <c r="T148" s="15">
        <f>SUM($Q$148:$R$148)</f>
        <v>0</v>
      </c>
      <c r="U148" s="15">
        <f>$S$148+$T$148</f>
        <v>0</v>
      </c>
    </row>
    <row r="149" spans="1:21" x14ac:dyDescent="0.3">
      <c r="A149" s="10" t="s">
        <v>549</v>
      </c>
      <c r="B149" s="11" t="s">
        <v>550</v>
      </c>
      <c r="C149" s="11" t="s">
        <v>34</v>
      </c>
      <c r="D149" s="11" t="s">
        <v>551</v>
      </c>
      <c r="E149" s="11">
        <f xml:space="preserve"> IF($U$149,1,0)</f>
        <v>1</v>
      </c>
      <c r="F149" s="11" t="s">
        <v>552</v>
      </c>
      <c r="G149" s="11">
        <v>2</v>
      </c>
      <c r="H149" s="11">
        <v>0</v>
      </c>
      <c r="I149" s="11">
        <v>0</v>
      </c>
      <c r="J149" s="11">
        <v>0</v>
      </c>
      <c r="K149" s="11">
        <v>0</v>
      </c>
      <c r="L149" s="11">
        <v>0</v>
      </c>
      <c r="M149" s="11">
        <v>0</v>
      </c>
      <c r="N149" s="11">
        <v>0</v>
      </c>
      <c r="O149" s="11">
        <v>0</v>
      </c>
      <c r="P149" s="11">
        <v>0</v>
      </c>
      <c r="Q149" s="12">
        <v>0</v>
      </c>
      <c r="R149" s="12">
        <v>0</v>
      </c>
      <c r="S149" s="12">
        <f>$G$149*$G$8+$H$149*$H$8+$I$149*$I$8+$J$149*$J$8+$K$149*$K$8+$L$149*$L$8+$M$149*$M$8+$N$149*$N$8+$O$149*$O$8+$P$149*$P$8</f>
        <v>1.4</v>
      </c>
      <c r="T149" s="12">
        <f>SUM($Q$149:$R$149)</f>
        <v>0</v>
      </c>
      <c r="U149" s="12">
        <f>$S$149+$T$149</f>
        <v>1.4</v>
      </c>
    </row>
    <row r="150" spans="1:21" x14ac:dyDescent="0.3">
      <c r="A150" s="13" t="s">
        <v>553</v>
      </c>
      <c r="B150" s="14" t="s">
        <v>554</v>
      </c>
      <c r="C150" s="14"/>
      <c r="D150" s="14" t="s">
        <v>555</v>
      </c>
      <c r="E150" s="14">
        <f xml:space="preserve"> IF($U$150,1,0)</f>
        <v>0</v>
      </c>
      <c r="F150" s="14" t="s">
        <v>556</v>
      </c>
      <c r="G150" s="14">
        <v>0</v>
      </c>
      <c r="H150" s="14">
        <v>0</v>
      </c>
      <c r="I150" s="14">
        <v>0</v>
      </c>
      <c r="J150" s="14">
        <v>0</v>
      </c>
      <c r="K150" s="14">
        <v>0</v>
      </c>
      <c r="L150" s="14">
        <v>0</v>
      </c>
      <c r="M150" s="14">
        <v>0</v>
      </c>
      <c r="N150" s="14">
        <v>0</v>
      </c>
      <c r="O150" s="14">
        <v>0</v>
      </c>
      <c r="P150" s="14">
        <v>0</v>
      </c>
      <c r="Q150" s="15">
        <v>0</v>
      </c>
      <c r="R150" s="15">
        <v>0</v>
      </c>
      <c r="S150" s="15">
        <f>$G$150*$G$8+$H$150*$H$8+$I$150*$I$8+$J$150*$J$8+$K$150*$K$8+$L$150*$L$8+$M$150*$M$8+$N$150*$N$8+$O$150*$O$8+$P$150*$P$8</f>
        <v>0</v>
      </c>
      <c r="T150" s="15">
        <f>SUM($Q$150:$R$150)</f>
        <v>0</v>
      </c>
      <c r="U150" s="15">
        <f>$S$150+$T$150</f>
        <v>0</v>
      </c>
    </row>
    <row r="151" spans="1:21" x14ac:dyDescent="0.3">
      <c r="A151" s="10" t="s">
        <v>557</v>
      </c>
      <c r="B151" s="11" t="s">
        <v>554</v>
      </c>
      <c r="C151" s="11"/>
      <c r="D151" s="11" t="s">
        <v>558</v>
      </c>
      <c r="E151" s="11">
        <f xml:space="preserve"> IF($U$151,1,0)</f>
        <v>0</v>
      </c>
      <c r="F151" s="11" t="s">
        <v>559</v>
      </c>
      <c r="G151" s="11">
        <v>0</v>
      </c>
      <c r="H151" s="11">
        <v>0</v>
      </c>
      <c r="I151" s="11">
        <v>0</v>
      </c>
      <c r="J151" s="11">
        <v>0</v>
      </c>
      <c r="K151" s="11">
        <v>0</v>
      </c>
      <c r="L151" s="11">
        <v>0</v>
      </c>
      <c r="M151" s="11">
        <v>0</v>
      </c>
      <c r="N151" s="11">
        <v>0</v>
      </c>
      <c r="O151" s="11">
        <v>0</v>
      </c>
      <c r="P151" s="11">
        <v>0</v>
      </c>
      <c r="Q151" s="12">
        <v>0</v>
      </c>
      <c r="R151" s="12">
        <v>0</v>
      </c>
      <c r="S151" s="12">
        <f>$G$151*$G$8+$H$151*$H$8+$I$151*$I$8+$J$151*$J$8+$K$151*$K$8+$L$151*$L$8+$M$151*$M$8+$N$151*$N$8+$O$151*$O$8+$P$151*$P$8</f>
        <v>0</v>
      </c>
      <c r="T151" s="12">
        <f>SUM($Q$151:$R$151)</f>
        <v>0</v>
      </c>
      <c r="U151" s="12">
        <f>$S$151+$T$151</f>
        <v>0</v>
      </c>
    </row>
    <row r="152" spans="1:21" x14ac:dyDescent="0.3">
      <c r="A152" s="13" t="s">
        <v>560</v>
      </c>
      <c r="B152" s="14" t="s">
        <v>561</v>
      </c>
      <c r="C152" s="14"/>
      <c r="D152" s="14" t="s">
        <v>562</v>
      </c>
      <c r="E152" s="14">
        <f xml:space="preserve"> IF($U$152,1,0)</f>
        <v>0</v>
      </c>
      <c r="F152" s="14" t="s">
        <v>563</v>
      </c>
      <c r="G152" s="14">
        <v>0</v>
      </c>
      <c r="H152" s="14">
        <v>0</v>
      </c>
      <c r="I152" s="14">
        <v>0</v>
      </c>
      <c r="J152" s="14">
        <v>0</v>
      </c>
      <c r="K152" s="14">
        <v>0</v>
      </c>
      <c r="L152" s="14">
        <v>0</v>
      </c>
      <c r="M152" s="14">
        <v>0</v>
      </c>
      <c r="N152" s="14">
        <v>0</v>
      </c>
      <c r="O152" s="14">
        <v>0</v>
      </c>
      <c r="P152" s="14">
        <v>0</v>
      </c>
      <c r="Q152" s="15">
        <v>0</v>
      </c>
      <c r="R152" s="15">
        <v>0</v>
      </c>
      <c r="S152" s="15">
        <f>$G$152*$G$8+$H$152*$H$8+$I$152*$I$8+$J$152*$J$8+$K$152*$K$8+$L$152*$L$8+$M$152*$M$8+$N$152*$N$8+$O$152*$O$8+$P$152*$P$8</f>
        <v>0</v>
      </c>
      <c r="T152" s="15">
        <f>SUM($Q$152:$R$152)</f>
        <v>0</v>
      </c>
      <c r="U152" s="15">
        <f>$S$152+$T$152</f>
        <v>0</v>
      </c>
    </row>
    <row r="153" spans="1:21" x14ac:dyDescent="0.3">
      <c r="A153" s="10" t="s">
        <v>564</v>
      </c>
      <c r="B153" s="11" t="s">
        <v>565</v>
      </c>
      <c r="C153" s="11"/>
      <c r="D153" s="11" t="s">
        <v>566</v>
      </c>
      <c r="E153" s="11">
        <f xml:space="preserve"> IF($U$153,1,0)</f>
        <v>1</v>
      </c>
      <c r="F153" s="11" t="s">
        <v>567</v>
      </c>
      <c r="G153" s="11">
        <v>2</v>
      </c>
      <c r="H153" s="11">
        <v>0</v>
      </c>
      <c r="I153" s="11">
        <v>0</v>
      </c>
      <c r="J153" s="11">
        <v>1</v>
      </c>
      <c r="K153" s="11">
        <v>0</v>
      </c>
      <c r="L153" s="11">
        <v>0</v>
      </c>
      <c r="M153" s="11">
        <v>0</v>
      </c>
      <c r="N153" s="11">
        <v>0</v>
      </c>
      <c r="O153" s="11">
        <v>0</v>
      </c>
      <c r="P153" s="11">
        <v>0</v>
      </c>
      <c r="Q153" s="12">
        <v>0</v>
      </c>
      <c r="R153" s="12">
        <v>0</v>
      </c>
      <c r="S153" s="12">
        <f>$G$153*$G$8+$H$153*$H$8+$I$153*$I$8+$J$153*$J$8+$K$153*$K$8+$L$153*$L$8+$M$153*$M$8+$N$153*$N$8+$O$153*$O$8+$P$153*$P$8</f>
        <v>6.15</v>
      </c>
      <c r="T153" s="12">
        <f>SUM($Q$153:$R$153)</f>
        <v>0</v>
      </c>
      <c r="U153" s="12">
        <f>$S$153+$T$153</f>
        <v>6.15</v>
      </c>
    </row>
    <row r="154" spans="1:21" x14ac:dyDescent="0.3">
      <c r="A154" s="13" t="s">
        <v>568</v>
      </c>
      <c r="B154" s="14" t="s">
        <v>569</v>
      </c>
      <c r="C154" s="14"/>
      <c r="D154" s="14" t="s">
        <v>570</v>
      </c>
      <c r="E154" s="14">
        <f xml:space="preserve"> IF($U$154,1,0)</f>
        <v>1</v>
      </c>
      <c r="F154" s="14" t="s">
        <v>571</v>
      </c>
      <c r="G154" s="14">
        <v>2</v>
      </c>
      <c r="H154" s="14">
        <v>0</v>
      </c>
      <c r="I154" s="14">
        <v>0</v>
      </c>
      <c r="J154" s="14">
        <v>0</v>
      </c>
      <c r="K154" s="14">
        <v>0</v>
      </c>
      <c r="L154" s="14">
        <v>0</v>
      </c>
      <c r="M154" s="14">
        <v>0</v>
      </c>
      <c r="N154" s="14">
        <v>0</v>
      </c>
      <c r="O154" s="14">
        <v>0</v>
      </c>
      <c r="P154" s="14">
        <v>0</v>
      </c>
      <c r="Q154" s="15">
        <v>0</v>
      </c>
      <c r="R154" s="15">
        <v>0</v>
      </c>
      <c r="S154" s="15">
        <f>$G$154*$G$8+$H$154*$H$8+$I$154*$I$8+$J$154*$J$8+$K$154*$K$8+$L$154*$L$8+$M$154*$M$8+$N$154*$N$8+$O$154*$O$8+$P$154*$P$8</f>
        <v>1.4</v>
      </c>
      <c r="T154" s="15">
        <f>SUM($Q$154:$R$154)</f>
        <v>0</v>
      </c>
      <c r="U154" s="15">
        <f>$S$154+$T$154</f>
        <v>1.4</v>
      </c>
    </row>
    <row r="155" spans="1:21" x14ac:dyDescent="0.3">
      <c r="A155" s="10" t="s">
        <v>572</v>
      </c>
      <c r="B155" s="11" t="s">
        <v>573</v>
      </c>
      <c r="C155" s="11" t="s">
        <v>34</v>
      </c>
      <c r="D155" s="11" t="s">
        <v>574</v>
      </c>
      <c r="E155" s="11">
        <f xml:space="preserve"> IF($U$155,1,0)</f>
        <v>0</v>
      </c>
      <c r="F155" s="11" t="s">
        <v>575</v>
      </c>
      <c r="G155" s="11">
        <v>0</v>
      </c>
      <c r="H155" s="11">
        <v>0</v>
      </c>
      <c r="I155" s="11">
        <v>0</v>
      </c>
      <c r="J155" s="11">
        <v>0</v>
      </c>
      <c r="K155" s="11">
        <v>0</v>
      </c>
      <c r="L155" s="11">
        <v>0</v>
      </c>
      <c r="M155" s="11">
        <v>0</v>
      </c>
      <c r="N155" s="11">
        <v>0</v>
      </c>
      <c r="O155" s="11">
        <v>0</v>
      </c>
      <c r="P155" s="11">
        <v>0</v>
      </c>
      <c r="Q155" s="12">
        <v>0</v>
      </c>
      <c r="R155" s="12">
        <v>0</v>
      </c>
      <c r="S155" s="12">
        <f>$G$155*$G$8+$H$155*$H$8+$I$155*$I$8+$J$155*$J$8+$K$155*$K$8+$L$155*$L$8+$M$155*$M$8+$N$155*$N$8+$O$155*$O$8+$P$155*$P$8</f>
        <v>0</v>
      </c>
      <c r="T155" s="12">
        <f>SUM($Q$155:$R$155)</f>
        <v>0</v>
      </c>
      <c r="U155" s="12">
        <f>$S$155+$T$155</f>
        <v>0</v>
      </c>
    </row>
    <row r="156" spans="1:21" x14ac:dyDescent="0.3">
      <c r="A156" s="13" t="s">
        <v>576</v>
      </c>
      <c r="B156" s="14" t="s">
        <v>577</v>
      </c>
      <c r="C156" s="14"/>
      <c r="D156" s="14" t="s">
        <v>578</v>
      </c>
      <c r="E156" s="14">
        <f xml:space="preserve"> IF($U$156,1,0)</f>
        <v>0</v>
      </c>
      <c r="F156" s="14" t="s">
        <v>579</v>
      </c>
      <c r="G156" s="14">
        <v>0</v>
      </c>
      <c r="H156" s="14">
        <v>0</v>
      </c>
      <c r="I156" s="14">
        <v>0</v>
      </c>
      <c r="J156" s="14">
        <v>0</v>
      </c>
      <c r="K156" s="14">
        <v>0</v>
      </c>
      <c r="L156" s="14">
        <v>0</v>
      </c>
      <c r="M156" s="14">
        <v>0</v>
      </c>
      <c r="N156" s="14">
        <v>0</v>
      </c>
      <c r="O156" s="14">
        <v>0</v>
      </c>
      <c r="P156" s="14">
        <v>0</v>
      </c>
      <c r="Q156" s="15">
        <v>0</v>
      </c>
      <c r="R156" s="15">
        <v>0</v>
      </c>
      <c r="S156" s="15">
        <f>$G$156*$G$8+$H$156*$H$8+$I$156*$I$8+$J$156*$J$8+$K$156*$K$8+$L$156*$L$8+$M$156*$M$8+$N$156*$N$8+$O$156*$O$8+$P$156*$P$8</f>
        <v>0</v>
      </c>
      <c r="T156" s="15">
        <f>SUM($Q$156:$R$156)</f>
        <v>0</v>
      </c>
      <c r="U156" s="15">
        <f>$S$156+$T$156</f>
        <v>0</v>
      </c>
    </row>
    <row r="157" spans="1:21" x14ac:dyDescent="0.3">
      <c r="A157" s="10" t="s">
        <v>580</v>
      </c>
      <c r="B157" s="11" t="s">
        <v>581</v>
      </c>
      <c r="C157" s="11"/>
      <c r="D157" s="11" t="s">
        <v>582</v>
      </c>
      <c r="E157" s="11">
        <f xml:space="preserve"> IF($U$157,1,0)</f>
        <v>1</v>
      </c>
      <c r="F157" s="11" t="s">
        <v>583</v>
      </c>
      <c r="G157" s="11">
        <v>4</v>
      </c>
      <c r="H157" s="11">
        <v>1</v>
      </c>
      <c r="I157" s="11">
        <v>1</v>
      </c>
      <c r="J157" s="11">
        <v>0</v>
      </c>
      <c r="K157" s="11">
        <v>0</v>
      </c>
      <c r="L157" s="11">
        <v>0</v>
      </c>
      <c r="M157" s="11">
        <v>0</v>
      </c>
      <c r="N157" s="11">
        <v>0</v>
      </c>
      <c r="O157" s="11">
        <v>0</v>
      </c>
      <c r="P157" s="11">
        <v>1</v>
      </c>
      <c r="Q157" s="12">
        <v>0</v>
      </c>
      <c r="R157" s="12">
        <v>0</v>
      </c>
      <c r="S157" s="12">
        <f>$G$157*$G$8+$H$157*$H$8+$I$157*$I$8+$J$157*$J$8+$K$157*$K$8+$L$157*$L$8+$M$157*$M$8+$N$157*$N$8+$O$157*$O$8+$P$157*$P$8</f>
        <v>6.6</v>
      </c>
      <c r="T157" s="12">
        <f>SUM($Q$157:$R$157)</f>
        <v>0</v>
      </c>
      <c r="U157" s="12">
        <f>$S$157+$T$157</f>
        <v>6.6</v>
      </c>
    </row>
    <row r="158" spans="1:21" x14ac:dyDescent="0.3">
      <c r="A158" s="13" t="s">
        <v>584</v>
      </c>
      <c r="B158" s="14" t="s">
        <v>585</v>
      </c>
      <c r="C158" s="14"/>
      <c r="D158" s="14" t="s">
        <v>586</v>
      </c>
      <c r="E158" s="14">
        <f xml:space="preserve"> IF($U$158,1,0)</f>
        <v>0</v>
      </c>
      <c r="F158" s="14" t="s">
        <v>587</v>
      </c>
      <c r="G158" s="14">
        <v>0</v>
      </c>
      <c r="H158" s="14">
        <v>0</v>
      </c>
      <c r="I158" s="14">
        <v>0</v>
      </c>
      <c r="J158" s="14">
        <v>0</v>
      </c>
      <c r="K158" s="14">
        <v>0</v>
      </c>
      <c r="L158" s="14">
        <v>0</v>
      </c>
      <c r="M158" s="14">
        <v>0</v>
      </c>
      <c r="N158" s="14">
        <v>0</v>
      </c>
      <c r="O158" s="14">
        <v>0</v>
      </c>
      <c r="P158" s="14">
        <v>0</v>
      </c>
      <c r="Q158" s="15">
        <v>0</v>
      </c>
      <c r="R158" s="15">
        <v>0</v>
      </c>
      <c r="S158" s="15">
        <f>$G$158*$G$8+$H$158*$H$8+$I$158*$I$8+$J$158*$J$8+$K$158*$K$8+$L$158*$L$8+$M$158*$M$8+$N$158*$N$8+$O$158*$O$8+$P$158*$P$8</f>
        <v>0</v>
      </c>
      <c r="T158" s="15">
        <f>SUM($Q$158:$R$158)</f>
        <v>0</v>
      </c>
      <c r="U158" s="15">
        <f>$S$158+$T$158</f>
        <v>0</v>
      </c>
    </row>
    <row r="159" spans="1:21" x14ac:dyDescent="0.3">
      <c r="A159" s="10" t="s">
        <v>588</v>
      </c>
      <c r="B159" s="11" t="s">
        <v>589</v>
      </c>
      <c r="C159" s="11"/>
      <c r="D159" s="11" t="s">
        <v>590</v>
      </c>
      <c r="E159" s="11">
        <f xml:space="preserve"> IF($U$159,1,0)</f>
        <v>0</v>
      </c>
      <c r="F159" s="11" t="s">
        <v>591</v>
      </c>
      <c r="G159" s="11">
        <v>0</v>
      </c>
      <c r="H159" s="11">
        <v>0</v>
      </c>
      <c r="I159" s="11">
        <v>0</v>
      </c>
      <c r="J159" s="11">
        <v>0</v>
      </c>
      <c r="K159" s="11">
        <v>0</v>
      </c>
      <c r="L159" s="11">
        <v>0</v>
      </c>
      <c r="M159" s="11">
        <v>0</v>
      </c>
      <c r="N159" s="11">
        <v>0</v>
      </c>
      <c r="O159" s="11">
        <v>0</v>
      </c>
      <c r="P159" s="11">
        <v>0</v>
      </c>
      <c r="Q159" s="12">
        <v>0</v>
      </c>
      <c r="R159" s="12">
        <v>0</v>
      </c>
      <c r="S159" s="12">
        <f>$G$159*$G$8+$H$159*$H$8+$I$159*$I$8+$J$159*$J$8+$K$159*$K$8+$L$159*$L$8+$M$159*$M$8+$N$159*$N$8+$O$159*$O$8+$P$159*$P$8</f>
        <v>0</v>
      </c>
      <c r="T159" s="12">
        <f>SUM($Q$159:$R$159)</f>
        <v>0</v>
      </c>
      <c r="U159" s="12">
        <f>$S$159+$T$159</f>
        <v>0</v>
      </c>
    </row>
    <row r="160" spans="1:21" x14ac:dyDescent="0.3">
      <c r="A160" s="13" t="s">
        <v>592</v>
      </c>
      <c r="B160" s="14" t="s">
        <v>593</v>
      </c>
      <c r="C160" s="14"/>
      <c r="D160" s="14" t="s">
        <v>594</v>
      </c>
      <c r="E160" s="14">
        <f xml:space="preserve"> IF($U$160,1,0)</f>
        <v>0</v>
      </c>
      <c r="F160" s="14" t="s">
        <v>595</v>
      </c>
      <c r="G160" s="14">
        <v>0</v>
      </c>
      <c r="H160" s="14">
        <v>0</v>
      </c>
      <c r="I160" s="14">
        <v>0</v>
      </c>
      <c r="J160" s="14">
        <v>0</v>
      </c>
      <c r="K160" s="14">
        <v>0</v>
      </c>
      <c r="L160" s="14">
        <v>0</v>
      </c>
      <c r="M160" s="14">
        <v>0</v>
      </c>
      <c r="N160" s="14">
        <v>0</v>
      </c>
      <c r="O160" s="14">
        <v>0</v>
      </c>
      <c r="P160" s="14">
        <v>0</v>
      </c>
      <c r="Q160" s="15">
        <v>0</v>
      </c>
      <c r="R160" s="15">
        <v>0</v>
      </c>
      <c r="S160" s="15">
        <f>$G$160*$G$8+$H$160*$H$8+$I$160*$I$8+$J$160*$J$8+$K$160*$K$8+$L$160*$L$8+$M$160*$M$8+$N$160*$N$8+$O$160*$O$8+$P$160*$P$8</f>
        <v>0</v>
      </c>
      <c r="T160" s="15">
        <f>SUM($Q$160:$R$160)</f>
        <v>0</v>
      </c>
      <c r="U160" s="15">
        <f>$S$160+$T$160</f>
        <v>0</v>
      </c>
    </row>
    <row r="161" spans="1:21" x14ac:dyDescent="0.3">
      <c r="A161" s="10" t="s">
        <v>596</v>
      </c>
      <c r="B161" s="11" t="s">
        <v>597</v>
      </c>
      <c r="C161" s="11"/>
      <c r="D161" s="11" t="s">
        <v>598</v>
      </c>
      <c r="E161" s="11">
        <f xml:space="preserve"> IF($U$161,1,0)</f>
        <v>0</v>
      </c>
      <c r="F161" s="11" t="s">
        <v>599</v>
      </c>
      <c r="G161" s="11">
        <v>0</v>
      </c>
      <c r="H161" s="11">
        <v>0</v>
      </c>
      <c r="I161" s="11">
        <v>0</v>
      </c>
      <c r="J161" s="11">
        <v>0</v>
      </c>
      <c r="K161" s="11">
        <v>0</v>
      </c>
      <c r="L161" s="11">
        <v>0</v>
      </c>
      <c r="M161" s="11">
        <v>0</v>
      </c>
      <c r="N161" s="11">
        <v>0</v>
      </c>
      <c r="O161" s="11">
        <v>0</v>
      </c>
      <c r="P161" s="11">
        <v>0</v>
      </c>
      <c r="Q161" s="12">
        <v>0</v>
      </c>
      <c r="R161" s="12">
        <v>0</v>
      </c>
      <c r="S161" s="12">
        <f>$G$161*$G$8+$H$161*$H$8+$I$161*$I$8+$J$161*$J$8+$K$161*$K$8+$L$161*$L$8+$M$161*$M$8+$N$161*$N$8+$O$161*$O$8+$P$161*$P$8</f>
        <v>0</v>
      </c>
      <c r="T161" s="12">
        <f>SUM($Q$161:$R$161)</f>
        <v>0</v>
      </c>
      <c r="U161" s="12">
        <f>$S$161+$T$161</f>
        <v>0</v>
      </c>
    </row>
    <row r="162" spans="1:21" x14ac:dyDescent="0.3">
      <c r="A162" s="13" t="s">
        <v>600</v>
      </c>
      <c r="B162" s="14" t="s">
        <v>601</v>
      </c>
      <c r="C162" s="14"/>
      <c r="D162" s="14" t="s">
        <v>70</v>
      </c>
      <c r="E162" s="14">
        <f xml:space="preserve"> IF($U$162,1,0)</f>
        <v>0</v>
      </c>
      <c r="F162" s="14" t="s">
        <v>602</v>
      </c>
      <c r="G162" s="14">
        <v>0</v>
      </c>
      <c r="H162" s="14">
        <v>0</v>
      </c>
      <c r="I162" s="14">
        <v>0</v>
      </c>
      <c r="J162" s="14">
        <v>0</v>
      </c>
      <c r="K162" s="14">
        <v>0</v>
      </c>
      <c r="L162" s="14">
        <v>0</v>
      </c>
      <c r="M162" s="14">
        <v>0</v>
      </c>
      <c r="N162" s="14">
        <v>0</v>
      </c>
      <c r="O162" s="14">
        <v>0</v>
      </c>
      <c r="P162" s="14">
        <v>0</v>
      </c>
      <c r="Q162" s="15">
        <v>0</v>
      </c>
      <c r="R162" s="15">
        <v>0</v>
      </c>
      <c r="S162" s="15">
        <f>$G$162*$G$8+$H$162*$H$8+$I$162*$I$8+$J$162*$J$8+$K$162*$K$8+$L$162*$L$8+$M$162*$M$8+$N$162*$N$8+$O$162*$O$8+$P$162*$P$8</f>
        <v>0</v>
      </c>
      <c r="T162" s="15">
        <f>SUM($Q$162:$R$162)</f>
        <v>0</v>
      </c>
      <c r="U162" s="15">
        <f>$S$162+$T$162</f>
        <v>0</v>
      </c>
    </row>
    <row r="163" spans="1:21" x14ac:dyDescent="0.3">
      <c r="A163" s="10" t="s">
        <v>603</v>
      </c>
      <c r="B163" s="11" t="s">
        <v>604</v>
      </c>
      <c r="C163" s="11"/>
      <c r="D163" s="11" t="s">
        <v>605</v>
      </c>
      <c r="E163" s="11">
        <f xml:space="preserve"> IF($U$163,1,0)</f>
        <v>0</v>
      </c>
      <c r="F163" s="11" t="s">
        <v>606</v>
      </c>
      <c r="G163" s="11">
        <v>0</v>
      </c>
      <c r="H163" s="11">
        <v>0</v>
      </c>
      <c r="I163" s="11">
        <v>0</v>
      </c>
      <c r="J163" s="11">
        <v>0</v>
      </c>
      <c r="K163" s="11">
        <v>0</v>
      </c>
      <c r="L163" s="11">
        <v>0</v>
      </c>
      <c r="M163" s="11">
        <v>0</v>
      </c>
      <c r="N163" s="11">
        <v>0</v>
      </c>
      <c r="O163" s="11">
        <v>0</v>
      </c>
      <c r="P163" s="11">
        <v>0</v>
      </c>
      <c r="Q163" s="12">
        <v>0</v>
      </c>
      <c r="R163" s="12">
        <v>0</v>
      </c>
      <c r="S163" s="12">
        <f>$G$163*$G$8+$H$163*$H$8+$I$163*$I$8+$J$163*$J$8+$K$163*$K$8+$L$163*$L$8+$M$163*$M$8+$N$163*$N$8+$O$163*$O$8+$P$163*$P$8</f>
        <v>0</v>
      </c>
      <c r="T163" s="12">
        <f>SUM($Q$163:$R$163)</f>
        <v>0</v>
      </c>
      <c r="U163" s="12">
        <f>$S$163+$T$163</f>
        <v>0</v>
      </c>
    </row>
    <row r="164" spans="1:21" x14ac:dyDescent="0.3">
      <c r="A164" s="13" t="s">
        <v>607</v>
      </c>
      <c r="B164" s="14" t="s">
        <v>608</v>
      </c>
      <c r="C164" s="14"/>
      <c r="D164" s="14" t="s">
        <v>609</v>
      </c>
      <c r="E164" s="14">
        <f xml:space="preserve"> IF($U$164,1,0)</f>
        <v>0</v>
      </c>
      <c r="F164" s="14" t="s">
        <v>610</v>
      </c>
      <c r="G164" s="14">
        <v>0</v>
      </c>
      <c r="H164" s="14">
        <v>0</v>
      </c>
      <c r="I164" s="14">
        <v>0</v>
      </c>
      <c r="J164" s="14">
        <v>0</v>
      </c>
      <c r="K164" s="14">
        <v>0</v>
      </c>
      <c r="L164" s="14">
        <v>0</v>
      </c>
      <c r="M164" s="14">
        <v>0</v>
      </c>
      <c r="N164" s="14">
        <v>0</v>
      </c>
      <c r="O164" s="14">
        <v>0</v>
      </c>
      <c r="P164" s="14">
        <v>0</v>
      </c>
      <c r="Q164" s="15">
        <v>0</v>
      </c>
      <c r="R164" s="15">
        <v>0</v>
      </c>
      <c r="S164" s="15">
        <f>$G$164*$G$8+$H$164*$H$8+$I$164*$I$8+$J$164*$J$8+$K$164*$K$8+$L$164*$L$8+$M$164*$M$8+$N$164*$N$8+$O$164*$O$8+$P$164*$P$8</f>
        <v>0</v>
      </c>
      <c r="T164" s="15">
        <f>SUM($Q$164:$R$164)</f>
        <v>0</v>
      </c>
      <c r="U164" s="15">
        <f>$S$164+$T$164</f>
        <v>0</v>
      </c>
    </row>
    <row r="165" spans="1:21" x14ac:dyDescent="0.3">
      <c r="A165" s="10" t="s">
        <v>611</v>
      </c>
      <c r="B165" s="11" t="s">
        <v>612</v>
      </c>
      <c r="C165" s="11"/>
      <c r="D165" s="11" t="s">
        <v>613</v>
      </c>
      <c r="E165" s="11">
        <f xml:space="preserve"> IF($U$165,1,0)</f>
        <v>0</v>
      </c>
      <c r="F165" s="11" t="s">
        <v>614</v>
      </c>
      <c r="G165" s="11">
        <v>0</v>
      </c>
      <c r="H165" s="11">
        <v>0</v>
      </c>
      <c r="I165" s="11">
        <v>0</v>
      </c>
      <c r="J165" s="11">
        <v>0</v>
      </c>
      <c r="K165" s="11">
        <v>0</v>
      </c>
      <c r="L165" s="11">
        <v>0</v>
      </c>
      <c r="M165" s="11">
        <v>0</v>
      </c>
      <c r="N165" s="11">
        <v>0</v>
      </c>
      <c r="O165" s="11">
        <v>0</v>
      </c>
      <c r="P165" s="11">
        <v>0</v>
      </c>
      <c r="Q165" s="12">
        <v>0</v>
      </c>
      <c r="R165" s="12">
        <v>0</v>
      </c>
      <c r="S165" s="12">
        <f>$G$165*$G$8+$H$165*$H$8+$I$165*$I$8+$J$165*$J$8+$K$165*$K$8+$L$165*$L$8+$M$165*$M$8+$N$165*$N$8+$O$165*$O$8+$P$165*$P$8</f>
        <v>0</v>
      </c>
      <c r="T165" s="12">
        <f>SUM($Q$165:$R$165)</f>
        <v>0</v>
      </c>
      <c r="U165" s="12">
        <f>$S$165+$T$165</f>
        <v>0</v>
      </c>
    </row>
    <row r="166" spans="1:21" x14ac:dyDescent="0.3">
      <c r="A166" s="13" t="s">
        <v>615</v>
      </c>
      <c r="B166" s="14" t="s">
        <v>616</v>
      </c>
      <c r="C166" s="14"/>
      <c r="D166" s="14" t="s">
        <v>617</v>
      </c>
      <c r="E166" s="14">
        <f xml:space="preserve"> IF($U$166,1,0)</f>
        <v>0</v>
      </c>
      <c r="F166" s="14" t="s">
        <v>618</v>
      </c>
      <c r="G166" s="14">
        <v>0</v>
      </c>
      <c r="H166" s="14">
        <v>0</v>
      </c>
      <c r="I166" s="14">
        <v>0</v>
      </c>
      <c r="J166" s="14">
        <v>0</v>
      </c>
      <c r="K166" s="14">
        <v>0</v>
      </c>
      <c r="L166" s="14">
        <v>0</v>
      </c>
      <c r="M166" s="14">
        <v>0</v>
      </c>
      <c r="N166" s="14">
        <v>0</v>
      </c>
      <c r="O166" s="14">
        <v>0</v>
      </c>
      <c r="P166" s="14">
        <v>0</v>
      </c>
      <c r="Q166" s="15">
        <v>0</v>
      </c>
      <c r="R166" s="15">
        <v>0</v>
      </c>
      <c r="S166" s="15">
        <f>$G$166*$G$8+$H$166*$H$8+$I$166*$I$8+$J$166*$J$8+$K$166*$K$8+$L$166*$L$8+$M$166*$M$8+$N$166*$N$8+$O$166*$O$8+$P$166*$P$8</f>
        <v>0</v>
      </c>
      <c r="T166" s="15">
        <f>SUM($Q$166:$R$166)</f>
        <v>0</v>
      </c>
      <c r="U166" s="15">
        <f>$S$166+$T$166</f>
        <v>0</v>
      </c>
    </row>
    <row r="167" spans="1:21" x14ac:dyDescent="0.3">
      <c r="A167" s="10" t="s">
        <v>619</v>
      </c>
      <c r="B167" s="11" t="s">
        <v>620</v>
      </c>
      <c r="C167" s="11" t="s">
        <v>34</v>
      </c>
      <c r="D167" s="11" t="s">
        <v>621</v>
      </c>
      <c r="E167" s="11">
        <f xml:space="preserve"> IF($U$167,1,0)</f>
        <v>0</v>
      </c>
      <c r="F167" s="11" t="s">
        <v>622</v>
      </c>
      <c r="G167" s="11">
        <v>0</v>
      </c>
      <c r="H167" s="11">
        <v>0</v>
      </c>
      <c r="I167" s="11">
        <v>0</v>
      </c>
      <c r="J167" s="11">
        <v>0</v>
      </c>
      <c r="K167" s="11">
        <v>0</v>
      </c>
      <c r="L167" s="11">
        <v>0</v>
      </c>
      <c r="M167" s="11">
        <v>0</v>
      </c>
      <c r="N167" s="11">
        <v>0</v>
      </c>
      <c r="O167" s="11">
        <v>0</v>
      </c>
      <c r="P167" s="11">
        <v>0</v>
      </c>
      <c r="Q167" s="12">
        <v>0</v>
      </c>
      <c r="R167" s="12">
        <v>0</v>
      </c>
      <c r="S167" s="12">
        <f>$G$167*$G$8+$H$167*$H$8+$I$167*$I$8+$J$167*$J$8+$K$167*$K$8+$L$167*$L$8+$M$167*$M$8+$N$167*$N$8+$O$167*$O$8+$P$167*$P$8</f>
        <v>0</v>
      </c>
      <c r="T167" s="12">
        <f>SUM($Q$167:$R$167)</f>
        <v>0</v>
      </c>
      <c r="U167" s="12">
        <f>$S$167+$T$167</f>
        <v>0</v>
      </c>
    </row>
    <row r="168" spans="1:21" x14ac:dyDescent="0.3">
      <c r="A168" s="13" t="s">
        <v>623</v>
      </c>
      <c r="B168" s="14" t="s">
        <v>624</v>
      </c>
      <c r="C168" s="14"/>
      <c r="D168" s="14" t="s">
        <v>625</v>
      </c>
      <c r="E168" s="14">
        <f xml:space="preserve"> IF($U$168,1,0)</f>
        <v>0</v>
      </c>
      <c r="F168" s="14" t="s">
        <v>626</v>
      </c>
      <c r="G168" s="14">
        <v>0</v>
      </c>
      <c r="H168" s="14">
        <v>0</v>
      </c>
      <c r="I168" s="14">
        <v>0</v>
      </c>
      <c r="J168" s="14">
        <v>0</v>
      </c>
      <c r="K168" s="14">
        <v>0</v>
      </c>
      <c r="L168" s="14">
        <v>0</v>
      </c>
      <c r="M168" s="14">
        <v>0</v>
      </c>
      <c r="N168" s="14">
        <v>0</v>
      </c>
      <c r="O168" s="14">
        <v>0</v>
      </c>
      <c r="P168" s="14">
        <v>0</v>
      </c>
      <c r="Q168" s="15">
        <v>0</v>
      </c>
      <c r="R168" s="15">
        <v>0</v>
      </c>
      <c r="S168" s="15">
        <f>$G$168*$G$8+$H$168*$H$8+$I$168*$I$8+$J$168*$J$8+$K$168*$K$8+$L$168*$L$8+$M$168*$M$8+$N$168*$N$8+$O$168*$O$8+$P$168*$P$8</f>
        <v>0</v>
      </c>
      <c r="T168" s="15">
        <f>SUM($Q$168:$R$168)</f>
        <v>0</v>
      </c>
      <c r="U168" s="15">
        <f>$S$168+$T$168</f>
        <v>0</v>
      </c>
    </row>
    <row r="169" spans="1:21" x14ac:dyDescent="0.3">
      <c r="A169" s="10" t="s">
        <v>627</v>
      </c>
      <c r="B169" s="11" t="s">
        <v>624</v>
      </c>
      <c r="C169" s="11"/>
      <c r="D169" s="11" t="s">
        <v>628</v>
      </c>
      <c r="E169" s="11">
        <f xml:space="preserve"> IF($U$169,1,0)</f>
        <v>0</v>
      </c>
      <c r="F169" s="11" t="s">
        <v>629</v>
      </c>
      <c r="G169" s="11">
        <v>0</v>
      </c>
      <c r="H169" s="11">
        <v>0</v>
      </c>
      <c r="I169" s="11">
        <v>0</v>
      </c>
      <c r="J169" s="11">
        <v>0</v>
      </c>
      <c r="K169" s="11">
        <v>0</v>
      </c>
      <c r="L169" s="11">
        <v>0</v>
      </c>
      <c r="M169" s="11">
        <v>0</v>
      </c>
      <c r="N169" s="11">
        <v>0</v>
      </c>
      <c r="O169" s="11">
        <v>0</v>
      </c>
      <c r="P169" s="11">
        <v>0</v>
      </c>
      <c r="Q169" s="12">
        <v>0</v>
      </c>
      <c r="R169" s="12">
        <v>0</v>
      </c>
      <c r="S169" s="12">
        <f>$G$169*$G$8+$H$169*$H$8+$I$169*$I$8+$J$169*$J$8+$K$169*$K$8+$L$169*$L$8+$M$169*$M$8+$N$169*$N$8+$O$169*$O$8+$P$169*$P$8</f>
        <v>0</v>
      </c>
      <c r="T169" s="12">
        <f>SUM($Q$169:$R$169)</f>
        <v>0</v>
      </c>
      <c r="U169" s="12">
        <f>$S$169+$T$169</f>
        <v>0</v>
      </c>
    </row>
    <row r="170" spans="1:21" x14ac:dyDescent="0.3">
      <c r="A170" s="13" t="s">
        <v>630</v>
      </c>
      <c r="B170" s="14" t="s">
        <v>631</v>
      </c>
      <c r="C170" s="14"/>
      <c r="D170" s="14" t="s">
        <v>632</v>
      </c>
      <c r="E170" s="14">
        <f xml:space="preserve"> IF($U$170,1,0)</f>
        <v>1</v>
      </c>
      <c r="F170" s="14" t="s">
        <v>633</v>
      </c>
      <c r="G170" s="14">
        <v>4</v>
      </c>
      <c r="H170" s="14">
        <v>1</v>
      </c>
      <c r="I170" s="14">
        <v>2</v>
      </c>
      <c r="J170" s="14">
        <v>0</v>
      </c>
      <c r="K170" s="14">
        <v>0</v>
      </c>
      <c r="L170" s="14">
        <v>0</v>
      </c>
      <c r="M170" s="14">
        <v>0</v>
      </c>
      <c r="N170" s="14">
        <v>0</v>
      </c>
      <c r="O170" s="14">
        <v>0</v>
      </c>
      <c r="P170" s="14">
        <v>0</v>
      </c>
      <c r="Q170" s="15">
        <v>0</v>
      </c>
      <c r="R170" s="15">
        <v>0</v>
      </c>
      <c r="S170" s="15">
        <f>$G$170*$G$8+$H$170*$H$8+$I$170*$I$8+$J$170*$J$8+$K$170*$K$8+$L$170*$L$8+$M$170*$M$8+$N$170*$N$8+$O$170*$O$8+$P$170*$P$8</f>
        <v>6.6</v>
      </c>
      <c r="T170" s="15">
        <f>SUM($Q$170:$R$170)</f>
        <v>0</v>
      </c>
      <c r="U170" s="15">
        <f>$S$170+$T$170</f>
        <v>6.6</v>
      </c>
    </row>
    <row r="171" spans="1:21" x14ac:dyDescent="0.3">
      <c r="A171" s="10" t="s">
        <v>634</v>
      </c>
      <c r="B171" s="11" t="s">
        <v>635</v>
      </c>
      <c r="C171" s="11"/>
      <c r="D171" s="11" t="s">
        <v>636</v>
      </c>
      <c r="E171" s="11">
        <f xml:space="preserve"> IF($U$171,1,0)</f>
        <v>0</v>
      </c>
      <c r="F171" s="11" t="s">
        <v>637</v>
      </c>
      <c r="G171" s="11">
        <v>0</v>
      </c>
      <c r="H171" s="11">
        <v>0</v>
      </c>
      <c r="I171" s="11">
        <v>0</v>
      </c>
      <c r="J171" s="11">
        <v>0</v>
      </c>
      <c r="K171" s="11">
        <v>0</v>
      </c>
      <c r="L171" s="11">
        <v>0</v>
      </c>
      <c r="M171" s="11">
        <v>0</v>
      </c>
      <c r="N171" s="11">
        <v>0</v>
      </c>
      <c r="O171" s="11">
        <v>0</v>
      </c>
      <c r="P171" s="11">
        <v>0</v>
      </c>
      <c r="Q171" s="12">
        <v>0</v>
      </c>
      <c r="R171" s="12">
        <v>0</v>
      </c>
      <c r="S171" s="12">
        <f>$G$171*$G$8+$H$171*$H$8+$I$171*$I$8+$J$171*$J$8+$K$171*$K$8+$L$171*$L$8+$M$171*$M$8+$N$171*$N$8+$O$171*$O$8+$P$171*$P$8</f>
        <v>0</v>
      </c>
      <c r="T171" s="12">
        <f>SUM($Q$171:$R$171)</f>
        <v>0</v>
      </c>
      <c r="U171" s="12">
        <f>$S$171+$T$171</f>
        <v>0</v>
      </c>
    </row>
    <row r="172" spans="1:21" x14ac:dyDescent="0.3">
      <c r="A172" s="13" t="s">
        <v>638</v>
      </c>
      <c r="B172" s="14" t="s">
        <v>639</v>
      </c>
      <c r="C172" s="14"/>
      <c r="D172" s="14" t="s">
        <v>274</v>
      </c>
      <c r="E172" s="14">
        <f xml:space="preserve"> IF($U$172,1,0)</f>
        <v>0</v>
      </c>
      <c r="F172" s="14" t="s">
        <v>640</v>
      </c>
      <c r="G172" s="14">
        <v>0</v>
      </c>
      <c r="H172" s="14">
        <v>0</v>
      </c>
      <c r="I172" s="14">
        <v>0</v>
      </c>
      <c r="J172" s="14">
        <v>0</v>
      </c>
      <c r="K172" s="14">
        <v>0</v>
      </c>
      <c r="L172" s="14">
        <v>0</v>
      </c>
      <c r="M172" s="14">
        <v>0</v>
      </c>
      <c r="N172" s="14">
        <v>0</v>
      </c>
      <c r="O172" s="14">
        <v>0</v>
      </c>
      <c r="P172" s="14">
        <v>0</v>
      </c>
      <c r="Q172" s="15">
        <v>0</v>
      </c>
      <c r="R172" s="15">
        <v>0</v>
      </c>
      <c r="S172" s="15">
        <f>$G$172*$G$8+$H$172*$H$8+$I$172*$I$8+$J$172*$J$8+$K$172*$K$8+$L$172*$L$8+$M$172*$M$8+$N$172*$N$8+$O$172*$O$8+$P$172*$P$8</f>
        <v>0</v>
      </c>
      <c r="T172" s="15">
        <f>SUM($Q$172:$R$172)</f>
        <v>0</v>
      </c>
      <c r="U172" s="15">
        <f>$S$172+$T$172</f>
        <v>0</v>
      </c>
    </row>
    <row r="173" spans="1:21" x14ac:dyDescent="0.3">
      <c r="A173" s="10" t="s">
        <v>641</v>
      </c>
      <c r="B173" s="11" t="s">
        <v>642</v>
      </c>
      <c r="C173" s="11"/>
      <c r="D173" s="11" t="s">
        <v>643</v>
      </c>
      <c r="E173" s="11">
        <f xml:space="preserve"> IF($U$173,1,0)</f>
        <v>0</v>
      </c>
      <c r="F173" s="11" t="s">
        <v>644</v>
      </c>
      <c r="G173" s="11">
        <v>0</v>
      </c>
      <c r="H173" s="11">
        <v>0</v>
      </c>
      <c r="I173" s="11">
        <v>0</v>
      </c>
      <c r="J173" s="11">
        <v>0</v>
      </c>
      <c r="K173" s="11">
        <v>0</v>
      </c>
      <c r="L173" s="11">
        <v>0</v>
      </c>
      <c r="M173" s="11">
        <v>0</v>
      </c>
      <c r="N173" s="11">
        <v>0</v>
      </c>
      <c r="O173" s="11">
        <v>0</v>
      </c>
      <c r="P173" s="11">
        <v>0</v>
      </c>
      <c r="Q173" s="12">
        <v>0</v>
      </c>
      <c r="R173" s="12">
        <v>0</v>
      </c>
      <c r="S173" s="12">
        <f>$G$173*$G$8+$H$173*$H$8+$I$173*$I$8+$J$173*$J$8+$K$173*$K$8+$L$173*$L$8+$M$173*$M$8+$N$173*$N$8+$O$173*$O$8+$P$173*$P$8</f>
        <v>0</v>
      </c>
      <c r="T173" s="12">
        <f>SUM($Q$173:$R$173)</f>
        <v>0</v>
      </c>
      <c r="U173" s="12">
        <f>$S$173+$T$173</f>
        <v>0</v>
      </c>
    </row>
    <row r="174" spans="1:21" x14ac:dyDescent="0.3">
      <c r="A174" s="13" t="s">
        <v>645</v>
      </c>
      <c r="B174" s="14" t="s">
        <v>646</v>
      </c>
      <c r="C174" s="14"/>
      <c r="D174" s="14" t="s">
        <v>647</v>
      </c>
      <c r="E174" s="14">
        <f xml:space="preserve"> IF($U$174,1,0)</f>
        <v>0</v>
      </c>
      <c r="F174" s="14" t="s">
        <v>648</v>
      </c>
      <c r="G174" s="14">
        <v>0</v>
      </c>
      <c r="H174" s="14">
        <v>0</v>
      </c>
      <c r="I174" s="14">
        <v>0</v>
      </c>
      <c r="J174" s="14">
        <v>0</v>
      </c>
      <c r="K174" s="14">
        <v>0</v>
      </c>
      <c r="L174" s="14">
        <v>0</v>
      </c>
      <c r="M174" s="14">
        <v>0</v>
      </c>
      <c r="N174" s="14">
        <v>0</v>
      </c>
      <c r="O174" s="14">
        <v>0</v>
      </c>
      <c r="P174" s="14">
        <v>0</v>
      </c>
      <c r="Q174" s="15">
        <v>0</v>
      </c>
      <c r="R174" s="15">
        <v>0</v>
      </c>
      <c r="S174" s="15">
        <f>$G$174*$G$8+$H$174*$H$8+$I$174*$I$8+$J$174*$J$8+$K$174*$K$8+$L$174*$L$8+$M$174*$M$8+$N$174*$N$8+$O$174*$O$8+$P$174*$P$8</f>
        <v>0</v>
      </c>
      <c r="T174" s="15">
        <f>SUM($Q$174:$R$174)</f>
        <v>0</v>
      </c>
      <c r="U174" s="15">
        <f>$S$174+$T$174</f>
        <v>0</v>
      </c>
    </row>
    <row r="175" spans="1:21" x14ac:dyDescent="0.3">
      <c r="A175" s="10" t="s">
        <v>649</v>
      </c>
      <c r="B175" s="11" t="s">
        <v>650</v>
      </c>
      <c r="C175" s="11"/>
      <c r="D175" s="11" t="s">
        <v>651</v>
      </c>
      <c r="E175" s="11">
        <f xml:space="preserve"> IF($U$175,1,0)</f>
        <v>0</v>
      </c>
      <c r="F175" s="11" t="s">
        <v>652</v>
      </c>
      <c r="G175" s="11">
        <v>0</v>
      </c>
      <c r="H175" s="11">
        <v>0</v>
      </c>
      <c r="I175" s="11">
        <v>0</v>
      </c>
      <c r="J175" s="11">
        <v>0</v>
      </c>
      <c r="K175" s="11">
        <v>0</v>
      </c>
      <c r="L175" s="11">
        <v>0</v>
      </c>
      <c r="M175" s="11">
        <v>0</v>
      </c>
      <c r="N175" s="11">
        <v>0</v>
      </c>
      <c r="O175" s="11">
        <v>0</v>
      </c>
      <c r="P175" s="11">
        <v>0</v>
      </c>
      <c r="Q175" s="12">
        <v>0</v>
      </c>
      <c r="R175" s="12">
        <v>0</v>
      </c>
      <c r="S175" s="12">
        <f>$G$175*$G$8+$H$175*$H$8+$I$175*$I$8+$J$175*$J$8+$K$175*$K$8+$L$175*$L$8+$M$175*$M$8+$N$175*$N$8+$O$175*$O$8+$P$175*$P$8</f>
        <v>0</v>
      </c>
      <c r="T175" s="12">
        <f>SUM($Q$175:$R$175)</f>
        <v>0</v>
      </c>
      <c r="U175" s="12">
        <f>$S$175+$T$175</f>
        <v>0</v>
      </c>
    </row>
    <row r="176" spans="1:21" x14ac:dyDescent="0.3">
      <c r="A176" s="13" t="s">
        <v>653</v>
      </c>
      <c r="B176" s="14" t="s">
        <v>654</v>
      </c>
      <c r="C176" s="14"/>
      <c r="D176" s="14" t="s">
        <v>655</v>
      </c>
      <c r="E176" s="14">
        <f xml:space="preserve"> IF($U$176,1,0)</f>
        <v>0</v>
      </c>
      <c r="F176" s="14" t="s">
        <v>656</v>
      </c>
      <c r="G176" s="14">
        <v>0</v>
      </c>
      <c r="H176" s="14">
        <v>0</v>
      </c>
      <c r="I176" s="14">
        <v>0</v>
      </c>
      <c r="J176" s="14">
        <v>0</v>
      </c>
      <c r="K176" s="14">
        <v>0</v>
      </c>
      <c r="L176" s="14">
        <v>0</v>
      </c>
      <c r="M176" s="14">
        <v>0</v>
      </c>
      <c r="N176" s="14">
        <v>0</v>
      </c>
      <c r="O176" s="14">
        <v>0</v>
      </c>
      <c r="P176" s="14">
        <v>0</v>
      </c>
      <c r="Q176" s="15">
        <v>0</v>
      </c>
      <c r="R176" s="15">
        <v>0</v>
      </c>
      <c r="S176" s="15">
        <f>$G$176*$G$8+$H$176*$H$8+$I$176*$I$8+$J$176*$J$8+$K$176*$K$8+$L$176*$L$8+$M$176*$M$8+$N$176*$N$8+$O$176*$O$8+$P$176*$P$8</f>
        <v>0</v>
      </c>
      <c r="T176" s="15">
        <f>SUM($Q$176:$R$176)</f>
        <v>0</v>
      </c>
      <c r="U176" s="15">
        <f>$S$176+$T$176</f>
        <v>0</v>
      </c>
    </row>
    <row r="177" spans="1:21" x14ac:dyDescent="0.3">
      <c r="A177" s="10" t="s">
        <v>657</v>
      </c>
      <c r="B177" s="11" t="s">
        <v>658</v>
      </c>
      <c r="C177" s="11"/>
      <c r="D177" s="11" t="s">
        <v>659</v>
      </c>
      <c r="E177" s="11">
        <f xml:space="preserve"> IF($U$177,1,0)</f>
        <v>0</v>
      </c>
      <c r="F177" s="11" t="s">
        <v>660</v>
      </c>
      <c r="G177" s="11">
        <v>0</v>
      </c>
      <c r="H177" s="11">
        <v>0</v>
      </c>
      <c r="I177" s="11">
        <v>0</v>
      </c>
      <c r="J177" s="11">
        <v>0</v>
      </c>
      <c r="K177" s="11">
        <v>0</v>
      </c>
      <c r="L177" s="11">
        <v>0</v>
      </c>
      <c r="M177" s="11">
        <v>0</v>
      </c>
      <c r="N177" s="11">
        <v>0</v>
      </c>
      <c r="O177" s="11">
        <v>0</v>
      </c>
      <c r="P177" s="11">
        <v>0</v>
      </c>
      <c r="Q177" s="12">
        <v>0</v>
      </c>
      <c r="R177" s="12">
        <v>0</v>
      </c>
      <c r="S177" s="12">
        <f>$G$177*$G$8+$H$177*$H$8+$I$177*$I$8+$J$177*$J$8+$K$177*$K$8+$L$177*$L$8+$M$177*$M$8+$N$177*$N$8+$O$177*$O$8+$P$177*$P$8</f>
        <v>0</v>
      </c>
      <c r="T177" s="12">
        <f>SUM($Q$177:$R$177)</f>
        <v>0</v>
      </c>
      <c r="U177" s="12">
        <f>$S$177+$T$177</f>
        <v>0</v>
      </c>
    </row>
    <row r="178" spans="1:21" x14ac:dyDescent="0.3">
      <c r="A178" s="13" t="s">
        <v>661</v>
      </c>
      <c r="B178" s="14" t="s">
        <v>658</v>
      </c>
      <c r="C178" s="14" t="s">
        <v>202</v>
      </c>
      <c r="D178" s="14" t="s">
        <v>662</v>
      </c>
      <c r="E178" s="14">
        <f xml:space="preserve"> IF($U$178,1,0)</f>
        <v>0</v>
      </c>
      <c r="F178" s="14" t="s">
        <v>663</v>
      </c>
      <c r="G178" s="14">
        <v>0</v>
      </c>
      <c r="H178" s="14">
        <v>0</v>
      </c>
      <c r="I178" s="14">
        <v>0</v>
      </c>
      <c r="J178" s="14">
        <v>0</v>
      </c>
      <c r="K178" s="14">
        <v>0</v>
      </c>
      <c r="L178" s="14">
        <v>0</v>
      </c>
      <c r="M178" s="14">
        <v>0</v>
      </c>
      <c r="N178" s="14">
        <v>0</v>
      </c>
      <c r="O178" s="14">
        <v>0</v>
      </c>
      <c r="P178" s="14">
        <v>0</v>
      </c>
      <c r="Q178" s="15">
        <v>0</v>
      </c>
      <c r="R178" s="15">
        <v>0</v>
      </c>
      <c r="S178" s="15">
        <f>$G$178*$G$8+$H$178*$H$8+$I$178*$I$8+$J$178*$J$8+$K$178*$K$8+$L$178*$L$8+$M$178*$M$8+$N$178*$N$8+$O$178*$O$8+$P$178*$P$8</f>
        <v>0</v>
      </c>
      <c r="T178" s="15">
        <f>SUM($Q$178:$R$178)</f>
        <v>0</v>
      </c>
      <c r="U178" s="15">
        <f>$S$178+$T$178</f>
        <v>0</v>
      </c>
    </row>
    <row r="179" spans="1:21" x14ac:dyDescent="0.3">
      <c r="A179" s="10" t="s">
        <v>664</v>
      </c>
      <c r="B179" s="11" t="s">
        <v>665</v>
      </c>
      <c r="C179" s="11"/>
      <c r="D179" s="11" t="s">
        <v>666</v>
      </c>
      <c r="E179" s="11">
        <f xml:space="preserve"> IF($U$179,1,0)</f>
        <v>0</v>
      </c>
      <c r="F179" s="11" t="s">
        <v>667</v>
      </c>
      <c r="G179" s="11">
        <v>0</v>
      </c>
      <c r="H179" s="11">
        <v>0</v>
      </c>
      <c r="I179" s="11">
        <v>0</v>
      </c>
      <c r="J179" s="11">
        <v>0</v>
      </c>
      <c r="K179" s="11">
        <v>0</v>
      </c>
      <c r="L179" s="11">
        <v>0</v>
      </c>
      <c r="M179" s="11">
        <v>0</v>
      </c>
      <c r="N179" s="11">
        <v>0</v>
      </c>
      <c r="O179" s="11">
        <v>0</v>
      </c>
      <c r="P179" s="11">
        <v>0</v>
      </c>
      <c r="Q179" s="12">
        <v>0</v>
      </c>
      <c r="R179" s="12">
        <v>0</v>
      </c>
      <c r="S179" s="12">
        <f>$G$179*$G$8+$H$179*$H$8+$I$179*$I$8+$J$179*$J$8+$K$179*$K$8+$L$179*$L$8+$M$179*$M$8+$N$179*$N$8+$O$179*$O$8+$P$179*$P$8</f>
        <v>0</v>
      </c>
      <c r="T179" s="12">
        <f>SUM($Q$179:$R$179)</f>
        <v>0</v>
      </c>
      <c r="U179" s="12">
        <f>$S$179+$T$179</f>
        <v>0</v>
      </c>
    </row>
    <row r="180" spans="1:21" x14ac:dyDescent="0.3">
      <c r="A180" s="13" t="s">
        <v>668</v>
      </c>
      <c r="B180" s="14" t="s">
        <v>669</v>
      </c>
      <c r="C180" s="14"/>
      <c r="D180" s="14" t="s">
        <v>670</v>
      </c>
      <c r="E180" s="14">
        <f xml:space="preserve"> IF($U$180,1,0)</f>
        <v>0</v>
      </c>
      <c r="F180" s="14" t="s">
        <v>671</v>
      </c>
      <c r="G180" s="14">
        <v>0</v>
      </c>
      <c r="H180" s="14">
        <v>0</v>
      </c>
      <c r="I180" s="14">
        <v>0</v>
      </c>
      <c r="J180" s="14">
        <v>0</v>
      </c>
      <c r="K180" s="14">
        <v>0</v>
      </c>
      <c r="L180" s="14">
        <v>0</v>
      </c>
      <c r="M180" s="14">
        <v>0</v>
      </c>
      <c r="N180" s="14">
        <v>0</v>
      </c>
      <c r="O180" s="14">
        <v>0</v>
      </c>
      <c r="P180" s="14">
        <v>0</v>
      </c>
      <c r="Q180" s="15">
        <v>0</v>
      </c>
      <c r="R180" s="15">
        <v>0</v>
      </c>
      <c r="S180" s="15">
        <f>$G$180*$G$8+$H$180*$H$8+$I$180*$I$8+$J$180*$J$8+$K$180*$K$8+$L$180*$L$8+$M$180*$M$8+$N$180*$N$8+$O$180*$O$8+$P$180*$P$8</f>
        <v>0</v>
      </c>
      <c r="T180" s="15">
        <f>SUM($Q$180:$R$180)</f>
        <v>0</v>
      </c>
      <c r="U180" s="15">
        <f>$S$180+$T$180</f>
        <v>0</v>
      </c>
    </row>
    <row r="181" spans="1:21" x14ac:dyDescent="0.3">
      <c r="A181" s="10" t="s">
        <v>672</v>
      </c>
      <c r="B181" s="11" t="s">
        <v>673</v>
      </c>
      <c r="C181" s="11"/>
      <c r="D181" s="11" t="s">
        <v>674</v>
      </c>
      <c r="E181" s="11">
        <f xml:space="preserve"> IF($U$181,1,0)</f>
        <v>0</v>
      </c>
      <c r="F181" s="11" t="s">
        <v>675</v>
      </c>
      <c r="G181" s="11">
        <v>0</v>
      </c>
      <c r="H181" s="11">
        <v>0</v>
      </c>
      <c r="I181" s="11">
        <v>0</v>
      </c>
      <c r="J181" s="11">
        <v>0</v>
      </c>
      <c r="K181" s="11">
        <v>0</v>
      </c>
      <c r="L181" s="11">
        <v>0</v>
      </c>
      <c r="M181" s="11">
        <v>0</v>
      </c>
      <c r="N181" s="11">
        <v>0</v>
      </c>
      <c r="O181" s="11">
        <v>0</v>
      </c>
      <c r="P181" s="11">
        <v>0</v>
      </c>
      <c r="Q181" s="12">
        <v>0</v>
      </c>
      <c r="R181" s="12">
        <v>0</v>
      </c>
      <c r="S181" s="12">
        <f>$G$181*$G$8+$H$181*$H$8+$I$181*$I$8+$J$181*$J$8+$K$181*$K$8+$L$181*$L$8+$M$181*$M$8+$N$181*$N$8+$O$181*$O$8+$P$181*$P$8</f>
        <v>0</v>
      </c>
      <c r="T181" s="12">
        <f>SUM($Q$181:$R$181)</f>
        <v>0</v>
      </c>
      <c r="U181" s="12">
        <f>$S$181+$T$181</f>
        <v>0</v>
      </c>
    </row>
    <row r="182" spans="1:21" x14ac:dyDescent="0.3">
      <c r="A182" s="13" t="s">
        <v>676</v>
      </c>
      <c r="B182" s="14" t="s">
        <v>677</v>
      </c>
      <c r="C182" s="14"/>
      <c r="D182" s="14" t="s">
        <v>678</v>
      </c>
      <c r="E182" s="14">
        <f xml:space="preserve"> IF($U$182,1,0)</f>
        <v>0</v>
      </c>
      <c r="F182" s="14" t="s">
        <v>679</v>
      </c>
      <c r="G182" s="14">
        <v>0</v>
      </c>
      <c r="H182" s="14">
        <v>0</v>
      </c>
      <c r="I182" s="14">
        <v>0</v>
      </c>
      <c r="J182" s="14">
        <v>0</v>
      </c>
      <c r="K182" s="14">
        <v>0</v>
      </c>
      <c r="L182" s="14">
        <v>0</v>
      </c>
      <c r="M182" s="14">
        <v>0</v>
      </c>
      <c r="N182" s="14">
        <v>0</v>
      </c>
      <c r="O182" s="14">
        <v>0</v>
      </c>
      <c r="P182" s="14">
        <v>0</v>
      </c>
      <c r="Q182" s="15">
        <v>0</v>
      </c>
      <c r="R182" s="15">
        <v>0</v>
      </c>
      <c r="S182" s="15">
        <f>$G$182*$G$8+$H$182*$H$8+$I$182*$I$8+$J$182*$J$8+$K$182*$K$8+$L$182*$L$8+$M$182*$M$8+$N$182*$N$8+$O$182*$O$8+$P$182*$P$8</f>
        <v>0</v>
      </c>
      <c r="T182" s="15">
        <f>SUM($Q$182:$R$182)</f>
        <v>0</v>
      </c>
      <c r="U182" s="15">
        <f>$S$182+$T$182</f>
        <v>0</v>
      </c>
    </row>
    <row r="183" spans="1:21" x14ac:dyDescent="0.3">
      <c r="A183" s="10" t="s">
        <v>680</v>
      </c>
      <c r="B183" s="11" t="s">
        <v>681</v>
      </c>
      <c r="C183" s="11"/>
      <c r="D183" s="11" t="s">
        <v>682</v>
      </c>
      <c r="E183" s="11">
        <f xml:space="preserve"> IF($U$183,1,0)</f>
        <v>0</v>
      </c>
      <c r="F183" s="11" t="s">
        <v>683</v>
      </c>
      <c r="G183" s="11">
        <v>0</v>
      </c>
      <c r="H183" s="11">
        <v>0</v>
      </c>
      <c r="I183" s="11">
        <v>0</v>
      </c>
      <c r="J183" s="11">
        <v>0</v>
      </c>
      <c r="K183" s="11">
        <v>0</v>
      </c>
      <c r="L183" s="11">
        <v>0</v>
      </c>
      <c r="M183" s="11">
        <v>0</v>
      </c>
      <c r="N183" s="11">
        <v>0</v>
      </c>
      <c r="O183" s="11">
        <v>0</v>
      </c>
      <c r="P183" s="11">
        <v>0</v>
      </c>
      <c r="Q183" s="12">
        <v>0</v>
      </c>
      <c r="R183" s="12">
        <v>0</v>
      </c>
      <c r="S183" s="12">
        <f>$G$183*$G$8+$H$183*$H$8+$I$183*$I$8+$J$183*$J$8+$K$183*$K$8+$L$183*$L$8+$M$183*$M$8+$N$183*$N$8+$O$183*$O$8+$P$183*$P$8</f>
        <v>0</v>
      </c>
      <c r="T183" s="12">
        <f>SUM($Q$183:$R$183)</f>
        <v>0</v>
      </c>
      <c r="U183" s="12">
        <f>$S$183+$T$183</f>
        <v>0</v>
      </c>
    </row>
    <row r="184" spans="1:21" x14ac:dyDescent="0.3">
      <c r="A184" s="13" t="s">
        <v>684</v>
      </c>
      <c r="B184" s="14" t="s">
        <v>685</v>
      </c>
      <c r="C184" s="14"/>
      <c r="D184" s="14" t="s">
        <v>686</v>
      </c>
      <c r="E184" s="14">
        <f xml:space="preserve"> IF($U$184,1,0)</f>
        <v>1</v>
      </c>
      <c r="F184" s="14" t="s">
        <v>687</v>
      </c>
      <c r="G184" s="14">
        <v>4</v>
      </c>
      <c r="H184" s="14">
        <v>0</v>
      </c>
      <c r="I184" s="14">
        <v>0</v>
      </c>
      <c r="J184" s="14">
        <v>0</v>
      </c>
      <c r="K184" s="14">
        <v>0</v>
      </c>
      <c r="L184" s="14">
        <v>0</v>
      </c>
      <c r="M184" s="14">
        <v>0</v>
      </c>
      <c r="N184" s="14">
        <v>0</v>
      </c>
      <c r="O184" s="14">
        <v>0</v>
      </c>
      <c r="P184" s="14">
        <v>0</v>
      </c>
      <c r="Q184" s="15">
        <v>0</v>
      </c>
      <c r="R184" s="15">
        <v>0</v>
      </c>
      <c r="S184" s="15">
        <f>$G$184*$G$8+$H$184*$H$8+$I$184*$I$8+$J$184*$J$8+$K$184*$K$8+$L$184*$L$8+$M$184*$M$8+$N$184*$N$8+$O$184*$O$8+$P$184*$P$8</f>
        <v>2.8</v>
      </c>
      <c r="T184" s="15">
        <f>SUM($Q$184:$R$184)</f>
        <v>0</v>
      </c>
      <c r="U184" s="15">
        <f>$S$184+$T$184</f>
        <v>2.8</v>
      </c>
    </row>
    <row r="185" spans="1:21" x14ac:dyDescent="0.3">
      <c r="A185" s="10" t="s">
        <v>688</v>
      </c>
      <c r="B185" s="11" t="s">
        <v>689</v>
      </c>
      <c r="C185" s="11"/>
      <c r="D185" s="11" t="s">
        <v>690</v>
      </c>
      <c r="E185" s="11">
        <f xml:space="preserve"> IF($U$185,1,0)</f>
        <v>1</v>
      </c>
      <c r="F185" s="11" t="s">
        <v>691</v>
      </c>
      <c r="G185" s="11">
        <v>6</v>
      </c>
      <c r="H185" s="11">
        <v>0</v>
      </c>
      <c r="I185" s="11">
        <v>0</v>
      </c>
      <c r="J185" s="11">
        <v>0</v>
      </c>
      <c r="K185" s="11">
        <v>0</v>
      </c>
      <c r="L185" s="11">
        <v>0</v>
      </c>
      <c r="M185" s="11">
        <v>0</v>
      </c>
      <c r="N185" s="11">
        <v>0</v>
      </c>
      <c r="O185" s="11">
        <v>0</v>
      </c>
      <c r="P185" s="11">
        <v>0</v>
      </c>
      <c r="Q185" s="12">
        <v>0</v>
      </c>
      <c r="R185" s="12">
        <v>0</v>
      </c>
      <c r="S185" s="12">
        <f>$G$185*$G$8+$H$185*$H$8+$I$185*$I$8+$J$185*$J$8+$K$185*$K$8+$L$185*$L$8+$M$185*$M$8+$N$185*$N$8+$O$185*$O$8+$P$185*$P$8</f>
        <v>4.1999999999999993</v>
      </c>
      <c r="T185" s="12">
        <f>SUM($Q$185:$R$185)</f>
        <v>0</v>
      </c>
      <c r="U185" s="12">
        <f>$S$185+$T$185</f>
        <v>4.1999999999999993</v>
      </c>
    </row>
    <row r="186" spans="1:21" x14ac:dyDescent="0.3">
      <c r="A186" s="13" t="s">
        <v>692</v>
      </c>
      <c r="B186" s="14" t="s">
        <v>693</v>
      </c>
      <c r="C186" s="14" t="s">
        <v>65</v>
      </c>
      <c r="D186" s="14" t="s">
        <v>694</v>
      </c>
      <c r="E186" s="14">
        <f xml:space="preserve"> IF($U$186,1,0)</f>
        <v>1</v>
      </c>
      <c r="F186" s="14" t="s">
        <v>695</v>
      </c>
      <c r="G186" s="14">
        <v>0</v>
      </c>
      <c r="H186" s="14">
        <v>0</v>
      </c>
      <c r="I186" s="14">
        <v>1</v>
      </c>
      <c r="J186" s="14">
        <v>0</v>
      </c>
      <c r="K186" s="14">
        <v>0</v>
      </c>
      <c r="L186" s="14">
        <v>0</v>
      </c>
      <c r="M186" s="14">
        <v>0</v>
      </c>
      <c r="N186" s="14">
        <v>0</v>
      </c>
      <c r="O186" s="14">
        <v>0</v>
      </c>
      <c r="P186" s="14">
        <v>0</v>
      </c>
      <c r="Q186" s="15">
        <v>0</v>
      </c>
      <c r="R186" s="15">
        <v>0</v>
      </c>
      <c r="S186" s="15">
        <f>$G$186*$G$8+$H$186*$H$8+$I$186*$I$8+$J$186*$J$8+$K$186*$K$8+$L$186*$L$8+$M$186*$M$8+$N$186*$N$8+$O$186*$O$8+$P$186*$P$8</f>
        <v>1</v>
      </c>
      <c r="T186" s="15">
        <f>SUM($Q$186:$R$186)</f>
        <v>0</v>
      </c>
      <c r="U186" s="15">
        <f>$S$186+$T$186</f>
        <v>1</v>
      </c>
    </row>
    <row r="187" spans="1:21" x14ac:dyDescent="0.3">
      <c r="A187" s="10" t="s">
        <v>696</v>
      </c>
      <c r="B187" s="11" t="s">
        <v>697</v>
      </c>
      <c r="C187" s="11"/>
      <c r="D187" s="11" t="s">
        <v>698</v>
      </c>
      <c r="E187" s="11">
        <f xml:space="preserve"> IF($U$187,1,0)</f>
        <v>1</v>
      </c>
      <c r="F187" s="11" t="s">
        <v>699</v>
      </c>
      <c r="G187" s="11">
        <v>0</v>
      </c>
      <c r="H187" s="11">
        <v>0</v>
      </c>
      <c r="I187" s="11">
        <v>0</v>
      </c>
      <c r="J187" s="11">
        <v>0</v>
      </c>
      <c r="K187" s="11">
        <v>0</v>
      </c>
      <c r="L187" s="11">
        <v>0</v>
      </c>
      <c r="M187" s="11">
        <v>0</v>
      </c>
      <c r="N187" s="11">
        <v>0</v>
      </c>
      <c r="O187" s="11">
        <v>1</v>
      </c>
      <c r="P187" s="11">
        <v>0</v>
      </c>
      <c r="Q187" s="12">
        <v>0</v>
      </c>
      <c r="R187" s="12">
        <v>0</v>
      </c>
      <c r="S187" s="12">
        <f>$G$187*$G$8+$H$187*$H$8+$I$187*$I$8+$J$187*$J$8+$K$187*$K$8+$L$187*$L$8+$M$187*$M$8+$N$187*$N$8+$O$187*$O$8+$P$187*$P$8</f>
        <v>0.5</v>
      </c>
      <c r="T187" s="12">
        <f>SUM($Q$187:$R$187)</f>
        <v>0</v>
      </c>
      <c r="U187" s="12">
        <f>$S$187+$T$187</f>
        <v>0.5</v>
      </c>
    </row>
    <row r="188" spans="1:21" x14ac:dyDescent="0.3">
      <c r="A188" s="13" t="s">
        <v>700</v>
      </c>
      <c r="B188" s="14" t="s">
        <v>697</v>
      </c>
      <c r="C188" s="14"/>
      <c r="D188" s="14" t="s">
        <v>701</v>
      </c>
      <c r="E188" s="14">
        <f xml:space="preserve"> IF($U$188,1,0)</f>
        <v>0</v>
      </c>
      <c r="F188" s="14" t="s">
        <v>702</v>
      </c>
      <c r="G188" s="14">
        <v>0</v>
      </c>
      <c r="H188" s="14">
        <v>0</v>
      </c>
      <c r="I188" s="14">
        <v>0</v>
      </c>
      <c r="J188" s="14">
        <v>0</v>
      </c>
      <c r="K188" s="14">
        <v>0</v>
      </c>
      <c r="L188" s="14">
        <v>0</v>
      </c>
      <c r="M188" s="14">
        <v>0</v>
      </c>
      <c r="N188" s="14">
        <v>0</v>
      </c>
      <c r="O188" s="14">
        <v>0</v>
      </c>
      <c r="P188" s="14">
        <v>0</v>
      </c>
      <c r="Q188" s="15">
        <v>0</v>
      </c>
      <c r="R188" s="15">
        <v>0</v>
      </c>
      <c r="S188" s="15">
        <f>$G$188*$G$8+$H$188*$H$8+$I$188*$I$8+$J$188*$J$8+$K$188*$K$8+$L$188*$L$8+$M$188*$M$8+$N$188*$N$8+$O$188*$O$8+$P$188*$P$8</f>
        <v>0</v>
      </c>
      <c r="T188" s="15">
        <f>SUM($Q$188:$R$188)</f>
        <v>0</v>
      </c>
      <c r="U188" s="15">
        <f>$S$188+$T$188</f>
        <v>0</v>
      </c>
    </row>
    <row r="189" spans="1:21" x14ac:dyDescent="0.3">
      <c r="A189" s="10" t="s">
        <v>703</v>
      </c>
      <c r="B189" s="11" t="s">
        <v>704</v>
      </c>
      <c r="C189" s="11"/>
      <c r="D189" s="11" t="s">
        <v>705</v>
      </c>
      <c r="E189" s="11">
        <f xml:space="preserve"> IF($U$189,1,0)</f>
        <v>0</v>
      </c>
      <c r="F189" s="11" t="s">
        <v>706</v>
      </c>
      <c r="G189" s="11">
        <v>0</v>
      </c>
      <c r="H189" s="11">
        <v>0</v>
      </c>
      <c r="I189" s="11">
        <v>0</v>
      </c>
      <c r="J189" s="11">
        <v>0</v>
      </c>
      <c r="K189" s="11">
        <v>0</v>
      </c>
      <c r="L189" s="11">
        <v>0</v>
      </c>
      <c r="M189" s="11">
        <v>0</v>
      </c>
      <c r="N189" s="11">
        <v>0</v>
      </c>
      <c r="O189" s="11">
        <v>0</v>
      </c>
      <c r="P189" s="11">
        <v>0</v>
      </c>
      <c r="Q189" s="12">
        <v>0</v>
      </c>
      <c r="R189" s="12">
        <v>0</v>
      </c>
      <c r="S189" s="12">
        <f>$G$189*$G$8+$H$189*$H$8+$I$189*$I$8+$J$189*$J$8+$K$189*$K$8+$L$189*$L$8+$M$189*$M$8+$N$189*$N$8+$O$189*$O$8+$P$189*$P$8</f>
        <v>0</v>
      </c>
      <c r="T189" s="12">
        <f>SUM($Q$189:$R$189)</f>
        <v>0</v>
      </c>
      <c r="U189" s="12">
        <f>$S$189+$T$189</f>
        <v>0</v>
      </c>
    </row>
    <row r="190" spans="1:21" x14ac:dyDescent="0.3">
      <c r="A190" s="13" t="s">
        <v>707</v>
      </c>
      <c r="B190" s="14" t="s">
        <v>708</v>
      </c>
      <c r="C190" s="14"/>
      <c r="D190" s="14" t="s">
        <v>222</v>
      </c>
      <c r="E190" s="14">
        <f xml:space="preserve"> IF($U$190,1,0)</f>
        <v>0</v>
      </c>
      <c r="F190" s="14" t="s">
        <v>709</v>
      </c>
      <c r="G190" s="14">
        <v>0</v>
      </c>
      <c r="H190" s="14">
        <v>0</v>
      </c>
      <c r="I190" s="14">
        <v>0</v>
      </c>
      <c r="J190" s="14">
        <v>0</v>
      </c>
      <c r="K190" s="14">
        <v>0</v>
      </c>
      <c r="L190" s="14">
        <v>0</v>
      </c>
      <c r="M190" s="14">
        <v>0</v>
      </c>
      <c r="N190" s="14">
        <v>0</v>
      </c>
      <c r="O190" s="14">
        <v>0</v>
      </c>
      <c r="P190" s="14">
        <v>0</v>
      </c>
      <c r="Q190" s="15">
        <v>0</v>
      </c>
      <c r="R190" s="15">
        <v>0</v>
      </c>
      <c r="S190" s="15">
        <f>$G$190*$G$8+$H$190*$H$8+$I$190*$I$8+$J$190*$J$8+$K$190*$K$8+$L$190*$L$8+$M$190*$M$8+$N$190*$N$8+$O$190*$O$8+$P$190*$P$8</f>
        <v>0</v>
      </c>
      <c r="T190" s="15">
        <f>SUM($Q$190:$R$190)</f>
        <v>0</v>
      </c>
      <c r="U190" s="15">
        <f>$S$190+$T$190</f>
        <v>0</v>
      </c>
    </row>
    <row r="191" spans="1:21" x14ac:dyDescent="0.3">
      <c r="A191" s="10" t="s">
        <v>710</v>
      </c>
      <c r="B191" s="11" t="s">
        <v>708</v>
      </c>
      <c r="C191" s="11"/>
      <c r="D191" s="11" t="s">
        <v>711</v>
      </c>
      <c r="E191" s="11">
        <f xml:space="preserve"> IF($U$191,1,0)</f>
        <v>0</v>
      </c>
      <c r="F191" s="11" t="s">
        <v>712</v>
      </c>
      <c r="G191" s="11">
        <v>0</v>
      </c>
      <c r="H191" s="11">
        <v>0</v>
      </c>
      <c r="I191" s="11">
        <v>0</v>
      </c>
      <c r="J191" s="11">
        <v>0</v>
      </c>
      <c r="K191" s="11">
        <v>0</v>
      </c>
      <c r="L191" s="11">
        <v>0</v>
      </c>
      <c r="M191" s="11">
        <v>0</v>
      </c>
      <c r="N191" s="11">
        <v>0</v>
      </c>
      <c r="O191" s="11">
        <v>0</v>
      </c>
      <c r="P191" s="11">
        <v>0</v>
      </c>
      <c r="Q191" s="12">
        <v>0</v>
      </c>
      <c r="R191" s="12">
        <v>0</v>
      </c>
      <c r="S191" s="12">
        <f>$G$191*$G$8+$H$191*$H$8+$I$191*$I$8+$J$191*$J$8+$K$191*$K$8+$L$191*$L$8+$M$191*$M$8+$N$191*$N$8+$O$191*$O$8+$P$191*$P$8</f>
        <v>0</v>
      </c>
      <c r="T191" s="12">
        <f>SUM($Q$191:$R$191)</f>
        <v>0</v>
      </c>
      <c r="U191" s="12">
        <f>$S$191+$T$191</f>
        <v>0</v>
      </c>
    </row>
    <row r="192" spans="1:21" x14ac:dyDescent="0.3">
      <c r="A192" s="13" t="s">
        <v>713</v>
      </c>
      <c r="B192" s="14" t="s">
        <v>708</v>
      </c>
      <c r="C192" s="14"/>
      <c r="D192" s="14" t="s">
        <v>714</v>
      </c>
      <c r="E192" s="14">
        <f xml:space="preserve"> IF($U$192,1,0)</f>
        <v>1</v>
      </c>
      <c r="F192" s="14" t="s">
        <v>715</v>
      </c>
      <c r="G192" s="14">
        <v>4</v>
      </c>
      <c r="H192" s="14">
        <v>0</v>
      </c>
      <c r="I192" s="14">
        <v>0</v>
      </c>
      <c r="J192" s="14">
        <v>0</v>
      </c>
      <c r="K192" s="14">
        <v>0</v>
      </c>
      <c r="L192" s="14">
        <v>2</v>
      </c>
      <c r="M192" s="14">
        <v>0</v>
      </c>
      <c r="N192" s="14">
        <v>0</v>
      </c>
      <c r="O192" s="14">
        <v>0</v>
      </c>
      <c r="P192" s="14">
        <v>0</v>
      </c>
      <c r="Q192" s="15">
        <v>0</v>
      </c>
      <c r="R192" s="15">
        <v>0</v>
      </c>
      <c r="S192" s="15">
        <f>$G$192*$G$8+$H$192*$H$8+$I$192*$I$8+$J$192*$J$8+$K$192*$K$8+$L$192*$L$8+$M$192*$M$8+$N$192*$N$8+$O$192*$O$8+$P$192*$P$8</f>
        <v>8.8000000000000007</v>
      </c>
      <c r="T192" s="15">
        <f>SUM($Q$192:$R$192)</f>
        <v>0</v>
      </c>
      <c r="U192" s="15">
        <f>$S$192+$T$192</f>
        <v>8.8000000000000007</v>
      </c>
    </row>
    <row r="193" spans="1:21" x14ac:dyDescent="0.3">
      <c r="A193" s="10" t="s">
        <v>716</v>
      </c>
      <c r="B193" s="11" t="s">
        <v>717</v>
      </c>
      <c r="C193" s="11"/>
      <c r="D193" s="11" t="s">
        <v>718</v>
      </c>
      <c r="E193" s="11">
        <f xml:space="preserve"> IF($U$193,1,0)</f>
        <v>0</v>
      </c>
      <c r="F193" s="11" t="s">
        <v>719</v>
      </c>
      <c r="G193" s="11">
        <v>0</v>
      </c>
      <c r="H193" s="11">
        <v>0</v>
      </c>
      <c r="I193" s="11">
        <v>0</v>
      </c>
      <c r="J193" s="11">
        <v>0</v>
      </c>
      <c r="K193" s="11">
        <v>0</v>
      </c>
      <c r="L193" s="11">
        <v>0</v>
      </c>
      <c r="M193" s="11">
        <v>0</v>
      </c>
      <c r="N193" s="11">
        <v>0</v>
      </c>
      <c r="O193" s="11">
        <v>0</v>
      </c>
      <c r="P193" s="11">
        <v>0</v>
      </c>
      <c r="Q193" s="12">
        <v>0</v>
      </c>
      <c r="R193" s="12">
        <v>0</v>
      </c>
      <c r="S193" s="12">
        <f>$G$193*$G$8+$H$193*$H$8+$I$193*$I$8+$J$193*$J$8+$K$193*$K$8+$L$193*$L$8+$M$193*$M$8+$N$193*$N$8+$O$193*$O$8+$P$193*$P$8</f>
        <v>0</v>
      </c>
      <c r="T193" s="12">
        <f>SUM($Q$193:$R$193)</f>
        <v>0</v>
      </c>
      <c r="U193" s="12">
        <f>$S$193+$T$193</f>
        <v>0</v>
      </c>
    </row>
    <row r="194" spans="1:21" x14ac:dyDescent="0.3">
      <c r="A194" s="13" t="s">
        <v>720</v>
      </c>
      <c r="B194" s="14" t="s">
        <v>721</v>
      </c>
      <c r="C194" s="14"/>
      <c r="D194" s="14" t="s">
        <v>722</v>
      </c>
      <c r="E194" s="14">
        <f xml:space="preserve"> IF($U$194,1,0)</f>
        <v>0</v>
      </c>
      <c r="F194" s="14" t="s">
        <v>723</v>
      </c>
      <c r="G194" s="14">
        <v>0</v>
      </c>
      <c r="H194" s="14">
        <v>0</v>
      </c>
      <c r="I194" s="14">
        <v>0</v>
      </c>
      <c r="J194" s="14">
        <v>0</v>
      </c>
      <c r="K194" s="14">
        <v>0</v>
      </c>
      <c r="L194" s="14">
        <v>0</v>
      </c>
      <c r="M194" s="14">
        <v>0</v>
      </c>
      <c r="N194" s="14">
        <v>0</v>
      </c>
      <c r="O194" s="14">
        <v>0</v>
      </c>
      <c r="P194" s="14">
        <v>0</v>
      </c>
      <c r="Q194" s="15">
        <v>0</v>
      </c>
      <c r="R194" s="15">
        <v>0</v>
      </c>
      <c r="S194" s="15">
        <f>$G$194*$G$8+$H$194*$H$8+$I$194*$I$8+$J$194*$J$8+$K$194*$K$8+$L$194*$L$8+$M$194*$M$8+$N$194*$N$8+$O$194*$O$8+$P$194*$P$8</f>
        <v>0</v>
      </c>
      <c r="T194" s="15">
        <f>SUM($Q$194:$R$194)</f>
        <v>0</v>
      </c>
      <c r="U194" s="15">
        <f>$S$194+$T$194</f>
        <v>0</v>
      </c>
    </row>
    <row r="195" spans="1:21" x14ac:dyDescent="0.3">
      <c r="A195" s="10" t="s">
        <v>724</v>
      </c>
      <c r="B195" s="11" t="s">
        <v>721</v>
      </c>
      <c r="C195" s="11"/>
      <c r="D195" s="11" t="s">
        <v>725</v>
      </c>
      <c r="E195" s="11">
        <f xml:space="preserve"> IF($U$195,1,0)</f>
        <v>1</v>
      </c>
      <c r="F195" s="11" t="s">
        <v>726</v>
      </c>
      <c r="G195" s="11">
        <v>2</v>
      </c>
      <c r="H195" s="11">
        <v>2</v>
      </c>
      <c r="I195" s="11">
        <v>0</v>
      </c>
      <c r="J195" s="11">
        <v>0</v>
      </c>
      <c r="K195" s="11">
        <v>0</v>
      </c>
      <c r="L195" s="11">
        <v>0</v>
      </c>
      <c r="M195" s="11">
        <v>0</v>
      </c>
      <c r="N195" s="11">
        <v>0</v>
      </c>
      <c r="O195" s="11">
        <v>0</v>
      </c>
      <c r="P195" s="11">
        <v>2</v>
      </c>
      <c r="Q195" s="12">
        <v>0</v>
      </c>
      <c r="R195" s="12">
        <v>0</v>
      </c>
      <c r="S195" s="12">
        <f>$G$195*$G$8+$H$195*$H$8+$I$195*$I$8+$J$195*$J$8+$K$195*$K$8+$L$195*$L$8+$M$195*$M$8+$N$195*$N$8+$O$195*$O$8+$P$195*$P$8</f>
        <v>7</v>
      </c>
      <c r="T195" s="12">
        <f>SUM($Q$195:$R$195)</f>
        <v>0</v>
      </c>
      <c r="U195" s="12">
        <f>$S$195+$T$195</f>
        <v>7</v>
      </c>
    </row>
    <row r="196" spans="1:21" x14ac:dyDescent="0.3">
      <c r="A196" s="13" t="s">
        <v>727</v>
      </c>
      <c r="B196" s="14" t="s">
        <v>728</v>
      </c>
      <c r="C196" s="14"/>
      <c r="D196" s="14" t="s">
        <v>729</v>
      </c>
      <c r="E196" s="14">
        <f xml:space="preserve"> IF($U$196,1,0)</f>
        <v>0</v>
      </c>
      <c r="F196" s="14" t="s">
        <v>730</v>
      </c>
      <c r="G196" s="14">
        <v>0</v>
      </c>
      <c r="H196" s="14">
        <v>0</v>
      </c>
      <c r="I196" s="14">
        <v>0</v>
      </c>
      <c r="J196" s="14">
        <v>0</v>
      </c>
      <c r="K196" s="14">
        <v>0</v>
      </c>
      <c r="L196" s="14">
        <v>0</v>
      </c>
      <c r="M196" s="14">
        <v>0</v>
      </c>
      <c r="N196" s="14">
        <v>0</v>
      </c>
      <c r="O196" s="14">
        <v>0</v>
      </c>
      <c r="P196" s="14">
        <v>0</v>
      </c>
      <c r="Q196" s="15">
        <v>0</v>
      </c>
      <c r="R196" s="15">
        <v>0</v>
      </c>
      <c r="S196" s="15">
        <f>$G$196*$G$8+$H$196*$H$8+$I$196*$I$8+$J$196*$J$8+$K$196*$K$8+$L$196*$L$8+$M$196*$M$8+$N$196*$N$8+$O$196*$O$8+$P$196*$P$8</f>
        <v>0</v>
      </c>
      <c r="T196" s="15">
        <f>SUM($Q$196:$R$196)</f>
        <v>0</v>
      </c>
      <c r="U196" s="15">
        <f>$S$196+$T$196</f>
        <v>0</v>
      </c>
    </row>
    <row r="197" spans="1:21" x14ac:dyDescent="0.3">
      <c r="A197" s="10" t="s">
        <v>731</v>
      </c>
      <c r="B197" s="11" t="s">
        <v>732</v>
      </c>
      <c r="C197" s="11"/>
      <c r="D197" s="11" t="s">
        <v>733</v>
      </c>
      <c r="E197" s="11">
        <f xml:space="preserve"> IF($U$197,1,0)</f>
        <v>0</v>
      </c>
      <c r="F197" s="11" t="s">
        <v>734</v>
      </c>
      <c r="G197" s="11">
        <v>0</v>
      </c>
      <c r="H197" s="11">
        <v>0</v>
      </c>
      <c r="I197" s="11">
        <v>0</v>
      </c>
      <c r="J197" s="11">
        <v>0</v>
      </c>
      <c r="K197" s="11">
        <v>0</v>
      </c>
      <c r="L197" s="11">
        <v>0</v>
      </c>
      <c r="M197" s="11">
        <v>0</v>
      </c>
      <c r="N197" s="11">
        <v>0</v>
      </c>
      <c r="O197" s="11">
        <v>0</v>
      </c>
      <c r="P197" s="11">
        <v>0</v>
      </c>
      <c r="Q197" s="12">
        <v>0</v>
      </c>
      <c r="R197" s="12">
        <v>0</v>
      </c>
      <c r="S197" s="12">
        <f>$G$197*$G$8+$H$197*$H$8+$I$197*$I$8+$J$197*$J$8+$K$197*$K$8+$L$197*$L$8+$M$197*$M$8+$N$197*$N$8+$O$197*$O$8+$P$197*$P$8</f>
        <v>0</v>
      </c>
      <c r="T197" s="12">
        <f>SUM($Q$197:$R$197)</f>
        <v>0</v>
      </c>
      <c r="U197" s="12">
        <f>$S$197+$T$197</f>
        <v>0</v>
      </c>
    </row>
    <row r="198" spans="1:21" x14ac:dyDescent="0.3">
      <c r="A198" s="13" t="s">
        <v>735</v>
      </c>
      <c r="B198" s="14" t="s">
        <v>736</v>
      </c>
      <c r="C198" s="14"/>
      <c r="D198" s="14" t="s">
        <v>737</v>
      </c>
      <c r="E198" s="14">
        <f xml:space="preserve"> IF($U$198,1,0)</f>
        <v>0</v>
      </c>
      <c r="F198" s="14" t="s">
        <v>738</v>
      </c>
      <c r="G198" s="14">
        <v>0</v>
      </c>
      <c r="H198" s="14">
        <v>0</v>
      </c>
      <c r="I198" s="14">
        <v>0</v>
      </c>
      <c r="J198" s="14">
        <v>0</v>
      </c>
      <c r="K198" s="14">
        <v>0</v>
      </c>
      <c r="L198" s="14">
        <v>0</v>
      </c>
      <c r="M198" s="14">
        <v>0</v>
      </c>
      <c r="N198" s="14">
        <v>0</v>
      </c>
      <c r="O198" s="14">
        <v>0</v>
      </c>
      <c r="P198" s="14">
        <v>0</v>
      </c>
      <c r="Q198" s="15">
        <v>0</v>
      </c>
      <c r="R198" s="15">
        <v>0</v>
      </c>
      <c r="S198" s="15">
        <f>$G$198*$G$8+$H$198*$H$8+$I$198*$I$8+$J$198*$J$8+$K$198*$K$8+$L$198*$L$8+$M$198*$M$8+$N$198*$N$8+$O$198*$O$8+$P$198*$P$8</f>
        <v>0</v>
      </c>
      <c r="T198" s="15">
        <f>SUM($Q$198:$R$198)</f>
        <v>0</v>
      </c>
      <c r="U198" s="15">
        <f>$S$198+$T$198</f>
        <v>0</v>
      </c>
    </row>
    <row r="199" spans="1:21" x14ac:dyDescent="0.3">
      <c r="A199" s="10" t="s">
        <v>739</v>
      </c>
      <c r="B199" s="11" t="s">
        <v>740</v>
      </c>
      <c r="C199" s="11" t="s">
        <v>65</v>
      </c>
      <c r="D199" s="11" t="s">
        <v>239</v>
      </c>
      <c r="E199" s="11">
        <f xml:space="preserve"> IF($U$199,1,0)</f>
        <v>0</v>
      </c>
      <c r="F199" s="11" t="s">
        <v>741</v>
      </c>
      <c r="G199" s="11">
        <v>0</v>
      </c>
      <c r="H199" s="11">
        <v>0</v>
      </c>
      <c r="I199" s="11">
        <v>0</v>
      </c>
      <c r="J199" s="11">
        <v>0</v>
      </c>
      <c r="K199" s="11">
        <v>0</v>
      </c>
      <c r="L199" s="11">
        <v>0</v>
      </c>
      <c r="M199" s="11">
        <v>0</v>
      </c>
      <c r="N199" s="11">
        <v>0</v>
      </c>
      <c r="O199" s="11">
        <v>0</v>
      </c>
      <c r="P199" s="11">
        <v>0</v>
      </c>
      <c r="Q199" s="12">
        <v>0</v>
      </c>
      <c r="R199" s="12">
        <v>0</v>
      </c>
      <c r="S199" s="12">
        <f>$G$199*$G$8+$H$199*$H$8+$I$199*$I$8+$J$199*$J$8+$K$199*$K$8+$L$199*$L$8+$M$199*$M$8+$N$199*$N$8+$O$199*$O$8+$P$199*$P$8</f>
        <v>0</v>
      </c>
      <c r="T199" s="12">
        <f>SUM($Q$199:$R$199)</f>
        <v>0</v>
      </c>
      <c r="U199" s="12">
        <f>$S$199+$T$199</f>
        <v>0</v>
      </c>
    </row>
    <row r="200" spans="1:21" x14ac:dyDescent="0.3">
      <c r="A200" s="13" t="s">
        <v>742</v>
      </c>
      <c r="B200" s="14" t="s">
        <v>743</v>
      </c>
      <c r="C200" s="14"/>
      <c r="D200" s="14" t="s">
        <v>744</v>
      </c>
      <c r="E200" s="14">
        <f xml:space="preserve"> IF($U$200,1,0)</f>
        <v>1</v>
      </c>
      <c r="F200" s="14" t="s">
        <v>745</v>
      </c>
      <c r="G200" s="14">
        <v>1</v>
      </c>
      <c r="H200" s="14">
        <v>6</v>
      </c>
      <c r="I200" s="14">
        <v>0</v>
      </c>
      <c r="J200" s="14">
        <v>0</v>
      </c>
      <c r="K200" s="14">
        <v>0</v>
      </c>
      <c r="L200" s="14">
        <v>1</v>
      </c>
      <c r="M200" s="14">
        <v>0</v>
      </c>
      <c r="N200" s="14">
        <v>0</v>
      </c>
      <c r="O200" s="14">
        <v>0</v>
      </c>
      <c r="P200" s="14">
        <v>0</v>
      </c>
      <c r="Q200" s="15">
        <v>0</v>
      </c>
      <c r="R200" s="15">
        <v>0</v>
      </c>
      <c r="S200" s="15">
        <f>$G$200*$G$8+$H$200*$H$8+$I$200*$I$8+$J$200*$J$8+$K$200*$K$8+$L$200*$L$8+$M$200*$M$8+$N$200*$N$8+$O$200*$O$8+$P$200*$P$8</f>
        <v>14.5</v>
      </c>
      <c r="T200" s="15">
        <f>SUM($Q$200:$R$200)</f>
        <v>0</v>
      </c>
      <c r="U200" s="15">
        <f>$S$200+$T$200</f>
        <v>14.5</v>
      </c>
    </row>
    <row r="201" spans="1:21" x14ac:dyDescent="0.3">
      <c r="A201" s="10" t="s">
        <v>746</v>
      </c>
      <c r="B201" s="11" t="s">
        <v>747</v>
      </c>
      <c r="C201" s="11"/>
      <c r="D201" s="11" t="s">
        <v>748</v>
      </c>
      <c r="E201" s="11">
        <f xml:space="preserve"> IF($U$201,1,0)</f>
        <v>0</v>
      </c>
      <c r="F201" s="11" t="s">
        <v>749</v>
      </c>
      <c r="G201" s="11">
        <v>0</v>
      </c>
      <c r="H201" s="11">
        <v>0</v>
      </c>
      <c r="I201" s="11">
        <v>0</v>
      </c>
      <c r="J201" s="11">
        <v>0</v>
      </c>
      <c r="K201" s="11">
        <v>0</v>
      </c>
      <c r="L201" s="11">
        <v>0</v>
      </c>
      <c r="M201" s="11">
        <v>0</v>
      </c>
      <c r="N201" s="11">
        <v>0</v>
      </c>
      <c r="O201" s="11">
        <v>0</v>
      </c>
      <c r="P201" s="11">
        <v>0</v>
      </c>
      <c r="Q201" s="12">
        <v>0</v>
      </c>
      <c r="R201" s="12">
        <v>0</v>
      </c>
      <c r="S201" s="12">
        <f>$G$201*$G$8+$H$201*$H$8+$I$201*$I$8+$J$201*$J$8+$K$201*$K$8+$L$201*$L$8+$M$201*$M$8+$N$201*$N$8+$O$201*$O$8+$P$201*$P$8</f>
        <v>0</v>
      </c>
      <c r="T201" s="12">
        <f>SUM($Q$201:$R$201)</f>
        <v>0</v>
      </c>
      <c r="U201" s="12">
        <f>$S$201+$T$201</f>
        <v>0</v>
      </c>
    </row>
    <row r="202" spans="1:21" x14ac:dyDescent="0.3">
      <c r="A202" s="13" t="s">
        <v>750</v>
      </c>
      <c r="B202" s="14" t="s">
        <v>751</v>
      </c>
      <c r="C202" s="14"/>
      <c r="D202" s="14" t="s">
        <v>752</v>
      </c>
      <c r="E202" s="14">
        <f xml:space="preserve"> IF($U$202,1,0)</f>
        <v>0</v>
      </c>
      <c r="F202" s="14" t="s">
        <v>753</v>
      </c>
      <c r="G202" s="14">
        <v>0</v>
      </c>
      <c r="H202" s="14">
        <v>0</v>
      </c>
      <c r="I202" s="14">
        <v>0</v>
      </c>
      <c r="J202" s="14">
        <v>0</v>
      </c>
      <c r="K202" s="14">
        <v>0</v>
      </c>
      <c r="L202" s="14">
        <v>0</v>
      </c>
      <c r="M202" s="14">
        <v>0</v>
      </c>
      <c r="N202" s="14">
        <v>0</v>
      </c>
      <c r="O202" s="14">
        <v>0</v>
      </c>
      <c r="P202" s="14">
        <v>0</v>
      </c>
      <c r="Q202" s="15">
        <v>0</v>
      </c>
      <c r="R202" s="15">
        <v>0</v>
      </c>
      <c r="S202" s="15">
        <f>$G$202*$G$8+$H$202*$H$8+$I$202*$I$8+$J$202*$J$8+$K$202*$K$8+$L$202*$L$8+$M$202*$M$8+$N$202*$N$8+$O$202*$O$8+$P$202*$P$8</f>
        <v>0</v>
      </c>
      <c r="T202" s="15">
        <f>SUM($Q$202:$R$202)</f>
        <v>0</v>
      </c>
      <c r="U202" s="15">
        <f>$S$202+$T$202</f>
        <v>0</v>
      </c>
    </row>
    <row r="203" spans="1:21" x14ac:dyDescent="0.3">
      <c r="A203" s="10" t="s">
        <v>754</v>
      </c>
      <c r="B203" s="11" t="s">
        <v>755</v>
      </c>
      <c r="C203" s="11"/>
      <c r="D203" s="11" t="s">
        <v>756</v>
      </c>
      <c r="E203" s="11">
        <f xml:space="preserve"> IF($U$203,1,0)</f>
        <v>0</v>
      </c>
      <c r="F203" s="11" t="s">
        <v>757</v>
      </c>
      <c r="G203" s="11">
        <v>0</v>
      </c>
      <c r="H203" s="11">
        <v>0</v>
      </c>
      <c r="I203" s="11">
        <v>0</v>
      </c>
      <c r="J203" s="11">
        <v>0</v>
      </c>
      <c r="K203" s="11">
        <v>0</v>
      </c>
      <c r="L203" s="11">
        <v>0</v>
      </c>
      <c r="M203" s="11">
        <v>0</v>
      </c>
      <c r="N203" s="11">
        <v>0</v>
      </c>
      <c r="O203" s="11">
        <v>0</v>
      </c>
      <c r="P203" s="11">
        <v>0</v>
      </c>
      <c r="Q203" s="12">
        <v>0</v>
      </c>
      <c r="R203" s="12">
        <v>0</v>
      </c>
      <c r="S203" s="12">
        <f>$G$203*$G$8+$H$203*$H$8+$I$203*$I$8+$J$203*$J$8+$K$203*$K$8+$L$203*$L$8+$M$203*$M$8+$N$203*$N$8+$O$203*$O$8+$P$203*$P$8</f>
        <v>0</v>
      </c>
      <c r="T203" s="12">
        <f>SUM($Q$203:$R$203)</f>
        <v>0</v>
      </c>
      <c r="U203" s="12">
        <f>$S$203+$T$203</f>
        <v>0</v>
      </c>
    </row>
    <row r="204" spans="1:21" x14ac:dyDescent="0.3">
      <c r="A204" s="13" t="s">
        <v>758</v>
      </c>
      <c r="B204" s="14" t="s">
        <v>759</v>
      </c>
      <c r="C204" s="14"/>
      <c r="D204" s="14" t="s">
        <v>760</v>
      </c>
      <c r="E204" s="14">
        <f xml:space="preserve"> IF($U$204,1,0)</f>
        <v>0</v>
      </c>
      <c r="F204" s="14" t="s">
        <v>761</v>
      </c>
      <c r="G204" s="14">
        <v>0</v>
      </c>
      <c r="H204" s="14">
        <v>0</v>
      </c>
      <c r="I204" s="14">
        <v>0</v>
      </c>
      <c r="J204" s="14">
        <v>0</v>
      </c>
      <c r="K204" s="14">
        <v>0</v>
      </c>
      <c r="L204" s="14">
        <v>0</v>
      </c>
      <c r="M204" s="14">
        <v>0</v>
      </c>
      <c r="N204" s="14">
        <v>0</v>
      </c>
      <c r="O204" s="14">
        <v>0</v>
      </c>
      <c r="P204" s="14">
        <v>0</v>
      </c>
      <c r="Q204" s="15">
        <v>0</v>
      </c>
      <c r="R204" s="15">
        <v>0</v>
      </c>
      <c r="S204" s="15">
        <f>$G$204*$G$8+$H$204*$H$8+$I$204*$I$8+$J$204*$J$8+$K$204*$K$8+$L$204*$L$8+$M$204*$M$8+$N$204*$N$8+$O$204*$O$8+$P$204*$P$8</f>
        <v>0</v>
      </c>
      <c r="T204" s="15">
        <f>SUM($Q$204:$R$204)</f>
        <v>0</v>
      </c>
      <c r="U204" s="15">
        <f>$S$204+$T$204</f>
        <v>0</v>
      </c>
    </row>
    <row r="205" spans="1:21" x14ac:dyDescent="0.3">
      <c r="A205" s="10" t="s">
        <v>762</v>
      </c>
      <c r="B205" s="11" t="s">
        <v>763</v>
      </c>
      <c r="C205" s="11"/>
      <c r="D205" s="11" t="s">
        <v>764</v>
      </c>
      <c r="E205" s="11">
        <f xml:space="preserve"> IF($U$205,1,0)</f>
        <v>0</v>
      </c>
      <c r="F205" s="11" t="s">
        <v>765</v>
      </c>
      <c r="G205" s="11">
        <v>0</v>
      </c>
      <c r="H205" s="11">
        <v>0</v>
      </c>
      <c r="I205" s="11">
        <v>0</v>
      </c>
      <c r="J205" s="11">
        <v>0</v>
      </c>
      <c r="K205" s="11">
        <v>0</v>
      </c>
      <c r="L205" s="11">
        <v>0</v>
      </c>
      <c r="M205" s="11">
        <v>0</v>
      </c>
      <c r="N205" s="11">
        <v>0</v>
      </c>
      <c r="O205" s="11">
        <v>0</v>
      </c>
      <c r="P205" s="11">
        <v>0</v>
      </c>
      <c r="Q205" s="12">
        <v>0</v>
      </c>
      <c r="R205" s="12">
        <v>0</v>
      </c>
      <c r="S205" s="12">
        <f>$G$205*$G$8+$H$205*$H$8+$I$205*$I$8+$J$205*$J$8+$K$205*$K$8+$L$205*$L$8+$M$205*$M$8+$N$205*$N$8+$O$205*$O$8+$P$205*$P$8</f>
        <v>0</v>
      </c>
      <c r="T205" s="12">
        <f>SUM($Q$205:$R$205)</f>
        <v>0</v>
      </c>
      <c r="U205" s="12">
        <f>$S$205+$T$205</f>
        <v>0</v>
      </c>
    </row>
    <row r="206" spans="1:21" x14ac:dyDescent="0.3">
      <c r="A206" s="13" t="s">
        <v>766</v>
      </c>
      <c r="B206" s="14" t="s">
        <v>767</v>
      </c>
      <c r="C206" s="14"/>
      <c r="D206" s="14" t="s">
        <v>768</v>
      </c>
      <c r="E206" s="14">
        <f xml:space="preserve"> IF($U$206,1,0)</f>
        <v>0</v>
      </c>
      <c r="F206" s="14" t="s">
        <v>769</v>
      </c>
      <c r="G206" s="14">
        <v>0</v>
      </c>
      <c r="H206" s="14">
        <v>0</v>
      </c>
      <c r="I206" s="14">
        <v>0</v>
      </c>
      <c r="J206" s="14">
        <v>0</v>
      </c>
      <c r="K206" s="14">
        <v>0</v>
      </c>
      <c r="L206" s="14">
        <v>0</v>
      </c>
      <c r="M206" s="14">
        <v>0</v>
      </c>
      <c r="N206" s="14">
        <v>0</v>
      </c>
      <c r="O206" s="14">
        <v>0</v>
      </c>
      <c r="P206" s="14">
        <v>0</v>
      </c>
      <c r="Q206" s="15">
        <v>0</v>
      </c>
      <c r="R206" s="15">
        <v>0</v>
      </c>
      <c r="S206" s="15">
        <f>$G$206*$G$8+$H$206*$H$8+$I$206*$I$8+$J$206*$J$8+$K$206*$K$8+$L$206*$L$8+$M$206*$M$8+$N$206*$N$8+$O$206*$O$8+$P$206*$P$8</f>
        <v>0</v>
      </c>
      <c r="T206" s="15">
        <f>SUM($Q$206:$R$206)</f>
        <v>0</v>
      </c>
      <c r="U206" s="15">
        <f>$S$206+$T$206</f>
        <v>0</v>
      </c>
    </row>
    <row r="207" spans="1:21" x14ac:dyDescent="0.3">
      <c r="A207" s="10" t="s">
        <v>770</v>
      </c>
      <c r="B207" s="11" t="s">
        <v>771</v>
      </c>
      <c r="C207" s="11"/>
      <c r="D207" s="11" t="s">
        <v>772</v>
      </c>
      <c r="E207" s="11">
        <f xml:space="preserve"> IF($U$207,1,0)</f>
        <v>0</v>
      </c>
      <c r="F207" s="11" t="s">
        <v>773</v>
      </c>
      <c r="G207" s="11">
        <v>0</v>
      </c>
      <c r="H207" s="11">
        <v>0</v>
      </c>
      <c r="I207" s="11">
        <v>0</v>
      </c>
      <c r="J207" s="11">
        <v>0</v>
      </c>
      <c r="K207" s="11">
        <v>0</v>
      </c>
      <c r="L207" s="11">
        <v>0</v>
      </c>
      <c r="M207" s="11">
        <v>0</v>
      </c>
      <c r="N207" s="11">
        <v>0</v>
      </c>
      <c r="O207" s="11">
        <v>0</v>
      </c>
      <c r="P207" s="11">
        <v>0</v>
      </c>
      <c r="Q207" s="12">
        <v>0</v>
      </c>
      <c r="R207" s="12">
        <v>0</v>
      </c>
      <c r="S207" s="12">
        <f>$G$207*$G$8+$H$207*$H$8+$I$207*$I$8+$J$207*$J$8+$K$207*$K$8+$L$207*$L$8+$M$207*$M$8+$N$207*$N$8+$O$207*$O$8+$P$207*$P$8</f>
        <v>0</v>
      </c>
      <c r="T207" s="12">
        <f>SUM($Q$207:$R$207)</f>
        <v>0</v>
      </c>
      <c r="U207" s="12">
        <f>$S$207+$T$207</f>
        <v>0</v>
      </c>
    </row>
    <row r="208" spans="1:21" x14ac:dyDescent="0.3">
      <c r="A208" s="13" t="s">
        <v>774</v>
      </c>
      <c r="B208" s="14" t="s">
        <v>775</v>
      </c>
      <c r="C208" s="14"/>
      <c r="D208" s="14" t="s">
        <v>776</v>
      </c>
      <c r="E208" s="14">
        <f xml:space="preserve"> IF($U$208,1,0)</f>
        <v>0</v>
      </c>
      <c r="F208" s="14" t="s">
        <v>777</v>
      </c>
      <c r="G208" s="14">
        <v>0</v>
      </c>
      <c r="H208" s="14">
        <v>0</v>
      </c>
      <c r="I208" s="14">
        <v>0</v>
      </c>
      <c r="J208" s="14">
        <v>0</v>
      </c>
      <c r="K208" s="14">
        <v>0</v>
      </c>
      <c r="L208" s="14">
        <v>0</v>
      </c>
      <c r="M208" s="14">
        <v>0</v>
      </c>
      <c r="N208" s="14">
        <v>0</v>
      </c>
      <c r="O208" s="14">
        <v>0</v>
      </c>
      <c r="P208" s="14">
        <v>0</v>
      </c>
      <c r="Q208" s="15">
        <v>0</v>
      </c>
      <c r="R208" s="15">
        <v>0</v>
      </c>
      <c r="S208" s="15">
        <f>$G$208*$G$8+$H$208*$H$8+$I$208*$I$8+$J$208*$J$8+$K$208*$K$8+$L$208*$L$8+$M$208*$M$8+$N$208*$N$8+$O$208*$O$8+$P$208*$P$8</f>
        <v>0</v>
      </c>
      <c r="T208" s="15">
        <f>SUM($Q$208:$R$208)</f>
        <v>0</v>
      </c>
      <c r="U208" s="15">
        <f>$S$208+$T$208</f>
        <v>0</v>
      </c>
    </row>
    <row r="209" spans="1:21" x14ac:dyDescent="0.3">
      <c r="A209" s="10" t="s">
        <v>778</v>
      </c>
      <c r="B209" s="11" t="s">
        <v>779</v>
      </c>
      <c r="C209" s="11"/>
      <c r="D209" s="11" t="s">
        <v>780</v>
      </c>
      <c r="E209" s="11">
        <f xml:space="preserve"> IF($U$209,1,0)</f>
        <v>0</v>
      </c>
      <c r="F209" s="11" t="s">
        <v>781</v>
      </c>
      <c r="G209" s="11">
        <v>0</v>
      </c>
      <c r="H209" s="11">
        <v>0</v>
      </c>
      <c r="I209" s="11">
        <v>0</v>
      </c>
      <c r="J209" s="11">
        <v>0</v>
      </c>
      <c r="K209" s="11">
        <v>0</v>
      </c>
      <c r="L209" s="11">
        <v>0</v>
      </c>
      <c r="M209" s="11">
        <v>0</v>
      </c>
      <c r="N209" s="11">
        <v>0</v>
      </c>
      <c r="O209" s="11">
        <v>0</v>
      </c>
      <c r="P209" s="11">
        <v>0</v>
      </c>
      <c r="Q209" s="12">
        <v>0</v>
      </c>
      <c r="R209" s="12">
        <v>0</v>
      </c>
      <c r="S209" s="12">
        <f>$G$209*$G$8+$H$209*$H$8+$I$209*$I$8+$J$209*$J$8+$K$209*$K$8+$L$209*$L$8+$M$209*$M$8+$N$209*$N$8+$O$209*$O$8+$P$209*$P$8</f>
        <v>0</v>
      </c>
      <c r="T209" s="12">
        <f>SUM($Q$209:$R$209)</f>
        <v>0</v>
      </c>
      <c r="U209" s="12">
        <f>$S$209+$T$209</f>
        <v>0</v>
      </c>
    </row>
    <row r="210" spans="1:21" x14ac:dyDescent="0.3">
      <c r="A210" s="13" t="s">
        <v>782</v>
      </c>
      <c r="B210" s="14" t="s">
        <v>779</v>
      </c>
      <c r="C210" s="14"/>
      <c r="D210" s="14" t="s">
        <v>783</v>
      </c>
      <c r="E210" s="14">
        <f xml:space="preserve"> IF($U$210,1,0)</f>
        <v>0</v>
      </c>
      <c r="F210" s="14" t="s">
        <v>784</v>
      </c>
      <c r="G210" s="14">
        <v>0</v>
      </c>
      <c r="H210" s="14">
        <v>0</v>
      </c>
      <c r="I210" s="14">
        <v>0</v>
      </c>
      <c r="J210" s="14">
        <v>0</v>
      </c>
      <c r="K210" s="14">
        <v>0</v>
      </c>
      <c r="L210" s="14">
        <v>0</v>
      </c>
      <c r="M210" s="14">
        <v>0</v>
      </c>
      <c r="N210" s="14">
        <v>0</v>
      </c>
      <c r="O210" s="14">
        <v>0</v>
      </c>
      <c r="P210" s="14">
        <v>0</v>
      </c>
      <c r="Q210" s="15">
        <v>0</v>
      </c>
      <c r="R210" s="15">
        <v>0</v>
      </c>
      <c r="S210" s="15">
        <f>$G$210*$G$8+$H$210*$H$8+$I$210*$I$8+$J$210*$J$8+$K$210*$K$8+$L$210*$L$8+$M$210*$M$8+$N$210*$N$8+$O$210*$O$8+$P$210*$P$8</f>
        <v>0</v>
      </c>
      <c r="T210" s="15">
        <f>SUM($Q$210:$R$210)</f>
        <v>0</v>
      </c>
      <c r="U210" s="15">
        <f>$S$210+$T$210</f>
        <v>0</v>
      </c>
    </row>
    <row r="211" spans="1:21" x14ac:dyDescent="0.3">
      <c r="A211" s="10" t="s">
        <v>785</v>
      </c>
      <c r="B211" s="11" t="s">
        <v>779</v>
      </c>
      <c r="C211" s="11"/>
      <c r="D211" s="11" t="s">
        <v>786</v>
      </c>
      <c r="E211" s="11">
        <f xml:space="preserve"> IF($U$211,1,0)</f>
        <v>1</v>
      </c>
      <c r="F211" s="11" t="s">
        <v>787</v>
      </c>
      <c r="G211" s="11">
        <v>1</v>
      </c>
      <c r="H211" s="11">
        <v>0</v>
      </c>
      <c r="I211" s="11">
        <v>1</v>
      </c>
      <c r="J211" s="11">
        <v>0</v>
      </c>
      <c r="K211" s="11">
        <v>0</v>
      </c>
      <c r="L211" s="11">
        <v>0</v>
      </c>
      <c r="M211" s="11">
        <v>0</v>
      </c>
      <c r="N211" s="11">
        <v>0</v>
      </c>
      <c r="O211" s="11">
        <v>0</v>
      </c>
      <c r="P211" s="11">
        <v>0</v>
      </c>
      <c r="Q211" s="12">
        <v>0</v>
      </c>
      <c r="R211" s="12">
        <v>0</v>
      </c>
      <c r="S211" s="12">
        <f>$G$211*$G$8+$H$211*$H$8+$I$211*$I$8+$J$211*$J$8+$K$211*$K$8+$L$211*$L$8+$M$211*$M$8+$N$211*$N$8+$O$211*$O$8+$P$211*$P$8</f>
        <v>1.7</v>
      </c>
      <c r="T211" s="12">
        <f>SUM($Q$211:$R$211)</f>
        <v>0</v>
      </c>
      <c r="U211" s="12">
        <f>$S$211+$T$211</f>
        <v>1.7</v>
      </c>
    </row>
    <row r="212" spans="1:21" x14ac:dyDescent="0.3">
      <c r="A212" s="13" t="s">
        <v>788</v>
      </c>
      <c r="B212" s="14" t="s">
        <v>789</v>
      </c>
      <c r="C212" s="14"/>
      <c r="D212" s="14" t="s">
        <v>790</v>
      </c>
      <c r="E212" s="14">
        <f xml:space="preserve"> IF($U$212,1,0)</f>
        <v>0</v>
      </c>
      <c r="F212" s="14" t="s">
        <v>791</v>
      </c>
      <c r="G212" s="14">
        <v>0</v>
      </c>
      <c r="H212" s="14">
        <v>0</v>
      </c>
      <c r="I212" s="14">
        <v>0</v>
      </c>
      <c r="J212" s="14">
        <v>0</v>
      </c>
      <c r="K212" s="14">
        <v>0</v>
      </c>
      <c r="L212" s="14">
        <v>0</v>
      </c>
      <c r="M212" s="14">
        <v>0</v>
      </c>
      <c r="N212" s="14">
        <v>0</v>
      </c>
      <c r="O212" s="14">
        <v>0</v>
      </c>
      <c r="P212" s="14">
        <v>0</v>
      </c>
      <c r="Q212" s="15">
        <v>0</v>
      </c>
      <c r="R212" s="15">
        <v>0</v>
      </c>
      <c r="S212" s="15">
        <f>$G$212*$G$8+$H$212*$H$8+$I$212*$I$8+$J$212*$J$8+$K$212*$K$8+$L$212*$L$8+$M$212*$M$8+$N$212*$N$8+$O$212*$O$8+$P$212*$P$8</f>
        <v>0</v>
      </c>
      <c r="T212" s="15">
        <f>SUM($Q$212:$R$212)</f>
        <v>0</v>
      </c>
      <c r="U212" s="15">
        <f>$S$212+$T$212</f>
        <v>0</v>
      </c>
    </row>
    <row r="213" spans="1:21" x14ac:dyDescent="0.3">
      <c r="A213" s="10" t="s">
        <v>792</v>
      </c>
      <c r="B213" s="11" t="s">
        <v>793</v>
      </c>
      <c r="C213" s="11"/>
      <c r="D213" s="11" t="s">
        <v>794</v>
      </c>
      <c r="E213" s="11">
        <f xml:space="preserve"> IF($U$213,1,0)</f>
        <v>0</v>
      </c>
      <c r="F213" s="11" t="s">
        <v>795</v>
      </c>
      <c r="G213" s="11">
        <v>0</v>
      </c>
      <c r="H213" s="11">
        <v>0</v>
      </c>
      <c r="I213" s="11">
        <v>0</v>
      </c>
      <c r="J213" s="11">
        <v>0</v>
      </c>
      <c r="K213" s="11">
        <v>0</v>
      </c>
      <c r="L213" s="11">
        <v>0</v>
      </c>
      <c r="M213" s="11">
        <v>0</v>
      </c>
      <c r="N213" s="11">
        <v>0</v>
      </c>
      <c r="O213" s="11">
        <v>0</v>
      </c>
      <c r="P213" s="11">
        <v>0</v>
      </c>
      <c r="Q213" s="12">
        <v>0</v>
      </c>
      <c r="R213" s="12">
        <v>0</v>
      </c>
      <c r="S213" s="12">
        <f>$G$213*$G$8+$H$213*$H$8+$I$213*$I$8+$J$213*$J$8+$K$213*$K$8+$L$213*$L$8+$M$213*$M$8+$N$213*$N$8+$O$213*$O$8+$P$213*$P$8</f>
        <v>0</v>
      </c>
      <c r="T213" s="12">
        <f>SUM($Q$213:$R$213)</f>
        <v>0</v>
      </c>
      <c r="U213" s="12">
        <f>$S$213+$T$213</f>
        <v>0</v>
      </c>
    </row>
    <row r="214" spans="1:21" x14ac:dyDescent="0.3">
      <c r="A214" s="13" t="s">
        <v>796</v>
      </c>
      <c r="B214" s="14" t="s">
        <v>797</v>
      </c>
      <c r="C214" s="14"/>
      <c r="D214" s="14" t="s">
        <v>798</v>
      </c>
      <c r="E214" s="14">
        <f xml:space="preserve"> IF($U$214,1,0)</f>
        <v>0</v>
      </c>
      <c r="F214" s="14" t="s">
        <v>799</v>
      </c>
      <c r="G214" s="14">
        <v>0</v>
      </c>
      <c r="H214" s="14">
        <v>0</v>
      </c>
      <c r="I214" s="14">
        <v>0</v>
      </c>
      <c r="J214" s="14">
        <v>0</v>
      </c>
      <c r="K214" s="14">
        <v>0</v>
      </c>
      <c r="L214" s="14">
        <v>0</v>
      </c>
      <c r="M214" s="14">
        <v>0</v>
      </c>
      <c r="N214" s="14">
        <v>0</v>
      </c>
      <c r="O214" s="14">
        <v>0</v>
      </c>
      <c r="P214" s="14">
        <v>0</v>
      </c>
      <c r="Q214" s="15">
        <v>0</v>
      </c>
      <c r="R214" s="15">
        <v>0</v>
      </c>
      <c r="S214" s="15">
        <f>$G$214*$G$8+$H$214*$H$8+$I$214*$I$8+$J$214*$J$8+$K$214*$K$8+$L$214*$L$8+$M$214*$M$8+$N$214*$N$8+$O$214*$O$8+$P$214*$P$8</f>
        <v>0</v>
      </c>
      <c r="T214" s="15">
        <f>SUM($Q$214:$R$214)</f>
        <v>0</v>
      </c>
      <c r="U214" s="15">
        <f>$S$214+$T$214</f>
        <v>0</v>
      </c>
    </row>
    <row r="215" spans="1:21" x14ac:dyDescent="0.3">
      <c r="A215" s="10" t="s">
        <v>800</v>
      </c>
      <c r="B215" s="11" t="s">
        <v>797</v>
      </c>
      <c r="C215" s="11" t="s">
        <v>34</v>
      </c>
      <c r="D215" s="11" t="s">
        <v>801</v>
      </c>
      <c r="E215" s="11">
        <f xml:space="preserve"> IF($U$215,1,0)</f>
        <v>0</v>
      </c>
      <c r="F215" s="11" t="s">
        <v>802</v>
      </c>
      <c r="G215" s="11">
        <v>0</v>
      </c>
      <c r="H215" s="11">
        <v>0</v>
      </c>
      <c r="I215" s="11">
        <v>0</v>
      </c>
      <c r="J215" s="11">
        <v>0</v>
      </c>
      <c r="K215" s="11">
        <v>0</v>
      </c>
      <c r="L215" s="11">
        <v>0</v>
      </c>
      <c r="M215" s="11">
        <v>0</v>
      </c>
      <c r="N215" s="11">
        <v>0</v>
      </c>
      <c r="O215" s="11">
        <v>0</v>
      </c>
      <c r="P215" s="11">
        <v>0</v>
      </c>
      <c r="Q215" s="12">
        <v>0</v>
      </c>
      <c r="R215" s="12">
        <v>0</v>
      </c>
      <c r="S215" s="12">
        <f>$G$215*$G$8+$H$215*$H$8+$I$215*$I$8+$J$215*$J$8+$K$215*$K$8+$L$215*$L$8+$M$215*$M$8+$N$215*$N$8+$O$215*$O$8+$P$215*$P$8</f>
        <v>0</v>
      </c>
      <c r="T215" s="12">
        <f>SUM($Q$215:$R$215)</f>
        <v>0</v>
      </c>
      <c r="U215" s="12">
        <f>$S$215+$T$215</f>
        <v>0</v>
      </c>
    </row>
    <row r="216" spans="1:21" x14ac:dyDescent="0.3">
      <c r="A216" s="13" t="s">
        <v>803</v>
      </c>
      <c r="B216" s="14" t="s">
        <v>804</v>
      </c>
      <c r="C216" s="14" t="s">
        <v>34</v>
      </c>
      <c r="D216" s="14" t="s">
        <v>805</v>
      </c>
      <c r="E216" s="14">
        <f xml:space="preserve"> IF($U$216,1,0)</f>
        <v>0</v>
      </c>
      <c r="F216" s="14" t="s">
        <v>806</v>
      </c>
      <c r="G216" s="14">
        <v>0</v>
      </c>
      <c r="H216" s="14">
        <v>0</v>
      </c>
      <c r="I216" s="14">
        <v>0</v>
      </c>
      <c r="J216" s="14">
        <v>0</v>
      </c>
      <c r="K216" s="14">
        <v>0</v>
      </c>
      <c r="L216" s="14">
        <v>0</v>
      </c>
      <c r="M216" s="14">
        <v>0</v>
      </c>
      <c r="N216" s="14">
        <v>0</v>
      </c>
      <c r="O216" s="14">
        <v>0</v>
      </c>
      <c r="P216" s="14">
        <v>0</v>
      </c>
      <c r="Q216" s="15">
        <v>0</v>
      </c>
      <c r="R216" s="15">
        <v>0</v>
      </c>
      <c r="S216" s="15">
        <f>$G$216*$G$8+$H$216*$H$8+$I$216*$I$8+$J$216*$J$8+$K$216*$K$8+$L$216*$L$8+$M$216*$M$8+$N$216*$N$8+$O$216*$O$8+$P$216*$P$8</f>
        <v>0</v>
      </c>
      <c r="T216" s="15">
        <f>SUM($Q$216:$R$216)</f>
        <v>0</v>
      </c>
      <c r="U216" s="15">
        <f>$S$216+$T$216</f>
        <v>0</v>
      </c>
    </row>
    <row r="217" spans="1:21" x14ac:dyDescent="0.3">
      <c r="A217" s="10" t="s">
        <v>807</v>
      </c>
      <c r="B217" s="11" t="s">
        <v>808</v>
      </c>
      <c r="C217" s="11"/>
      <c r="D217" s="11" t="s">
        <v>809</v>
      </c>
      <c r="E217" s="11">
        <f xml:space="preserve"> IF($U$217,1,0)</f>
        <v>0</v>
      </c>
      <c r="F217" s="11" t="s">
        <v>810</v>
      </c>
      <c r="G217" s="11">
        <v>0</v>
      </c>
      <c r="H217" s="11">
        <v>0</v>
      </c>
      <c r="I217" s="11">
        <v>0</v>
      </c>
      <c r="J217" s="11">
        <v>0</v>
      </c>
      <c r="K217" s="11">
        <v>0</v>
      </c>
      <c r="L217" s="11">
        <v>0</v>
      </c>
      <c r="M217" s="11">
        <v>0</v>
      </c>
      <c r="N217" s="11">
        <v>0</v>
      </c>
      <c r="O217" s="11">
        <v>0</v>
      </c>
      <c r="P217" s="11">
        <v>0</v>
      </c>
      <c r="Q217" s="12">
        <v>0</v>
      </c>
      <c r="R217" s="12">
        <v>0</v>
      </c>
      <c r="S217" s="12">
        <f>$G$217*$G$8+$H$217*$H$8+$I$217*$I$8+$J$217*$J$8+$K$217*$K$8+$L$217*$L$8+$M$217*$M$8+$N$217*$N$8+$O$217*$O$8+$P$217*$P$8</f>
        <v>0</v>
      </c>
      <c r="T217" s="12">
        <f>SUM($Q$217:$R$217)</f>
        <v>0</v>
      </c>
      <c r="U217" s="12">
        <f>$S$217+$T$217</f>
        <v>0</v>
      </c>
    </row>
    <row r="218" spans="1:21" x14ac:dyDescent="0.3">
      <c r="A218" s="13" t="s">
        <v>811</v>
      </c>
      <c r="B218" s="14" t="s">
        <v>812</v>
      </c>
      <c r="C218" s="14"/>
      <c r="D218" s="14" t="s">
        <v>813</v>
      </c>
      <c r="E218" s="14">
        <f xml:space="preserve"> IF($U$218,1,0)</f>
        <v>0</v>
      </c>
      <c r="F218" s="14" t="s">
        <v>814</v>
      </c>
      <c r="G218" s="14">
        <v>0</v>
      </c>
      <c r="H218" s="14">
        <v>0</v>
      </c>
      <c r="I218" s="14">
        <v>0</v>
      </c>
      <c r="J218" s="14">
        <v>0</v>
      </c>
      <c r="K218" s="14">
        <v>0</v>
      </c>
      <c r="L218" s="14">
        <v>0</v>
      </c>
      <c r="M218" s="14">
        <v>0</v>
      </c>
      <c r="N218" s="14">
        <v>0</v>
      </c>
      <c r="O218" s="14">
        <v>0</v>
      </c>
      <c r="P218" s="14">
        <v>0</v>
      </c>
      <c r="Q218" s="15">
        <v>0</v>
      </c>
      <c r="R218" s="15">
        <v>0</v>
      </c>
      <c r="S218" s="15">
        <f>$G$218*$G$8+$H$218*$H$8+$I$218*$I$8+$J$218*$J$8+$K$218*$K$8+$L$218*$L$8+$M$218*$M$8+$N$218*$N$8+$O$218*$O$8+$P$218*$P$8</f>
        <v>0</v>
      </c>
      <c r="T218" s="15">
        <f>SUM($Q$218:$R$218)</f>
        <v>0</v>
      </c>
      <c r="U218" s="15">
        <f>$S$218+$T$218</f>
        <v>0</v>
      </c>
    </row>
    <row r="219" spans="1:21" x14ac:dyDescent="0.3">
      <c r="A219" s="10" t="s">
        <v>815</v>
      </c>
      <c r="B219" s="11" t="s">
        <v>816</v>
      </c>
      <c r="C219" s="11"/>
      <c r="D219" s="11" t="s">
        <v>817</v>
      </c>
      <c r="E219" s="11">
        <f xml:space="preserve"> IF($U$219,1,0)</f>
        <v>0</v>
      </c>
      <c r="F219" s="11" t="s">
        <v>818</v>
      </c>
      <c r="G219" s="11">
        <v>0</v>
      </c>
      <c r="H219" s="11">
        <v>0</v>
      </c>
      <c r="I219" s="11">
        <v>0</v>
      </c>
      <c r="J219" s="11">
        <v>0</v>
      </c>
      <c r="K219" s="11">
        <v>0</v>
      </c>
      <c r="L219" s="11">
        <v>0</v>
      </c>
      <c r="M219" s="11">
        <v>0</v>
      </c>
      <c r="N219" s="11">
        <v>0</v>
      </c>
      <c r="O219" s="11">
        <v>0</v>
      </c>
      <c r="P219" s="11">
        <v>0</v>
      </c>
      <c r="Q219" s="12">
        <v>0</v>
      </c>
      <c r="R219" s="12">
        <v>0</v>
      </c>
      <c r="S219" s="12">
        <f>$G$219*$G$8+$H$219*$H$8+$I$219*$I$8+$J$219*$J$8+$K$219*$K$8+$L$219*$L$8+$M$219*$M$8+$N$219*$N$8+$O$219*$O$8+$P$219*$P$8</f>
        <v>0</v>
      </c>
      <c r="T219" s="12">
        <f>SUM($Q$219:$R$219)</f>
        <v>0</v>
      </c>
      <c r="U219" s="12">
        <f>$S$219+$T$219</f>
        <v>0</v>
      </c>
    </row>
    <row r="220" spans="1:21" x14ac:dyDescent="0.3">
      <c r="A220" s="13" t="s">
        <v>819</v>
      </c>
      <c r="B220" s="14" t="s">
        <v>820</v>
      </c>
      <c r="C220" s="14"/>
      <c r="D220" s="14" t="s">
        <v>821</v>
      </c>
      <c r="E220" s="14">
        <f xml:space="preserve"> IF($U$220,1,0)</f>
        <v>0</v>
      </c>
      <c r="F220" s="14" t="s">
        <v>822</v>
      </c>
      <c r="G220" s="14">
        <v>0</v>
      </c>
      <c r="H220" s="14">
        <v>0</v>
      </c>
      <c r="I220" s="14">
        <v>0</v>
      </c>
      <c r="J220" s="14">
        <v>0</v>
      </c>
      <c r="K220" s="14">
        <v>0</v>
      </c>
      <c r="L220" s="14">
        <v>0</v>
      </c>
      <c r="M220" s="14">
        <v>0</v>
      </c>
      <c r="N220" s="14">
        <v>0</v>
      </c>
      <c r="O220" s="14">
        <v>0</v>
      </c>
      <c r="P220" s="14">
        <v>0</v>
      </c>
      <c r="Q220" s="15">
        <v>0</v>
      </c>
      <c r="R220" s="15">
        <v>0</v>
      </c>
      <c r="S220" s="15">
        <f>$G$220*$G$8+$H$220*$H$8+$I$220*$I$8+$J$220*$J$8+$K$220*$K$8+$L$220*$L$8+$M$220*$M$8+$N$220*$N$8+$O$220*$O$8+$P$220*$P$8</f>
        <v>0</v>
      </c>
      <c r="T220" s="15">
        <f>SUM($Q$220:$R$220)</f>
        <v>0</v>
      </c>
      <c r="U220" s="15">
        <f>$S$220+$T$220</f>
        <v>0</v>
      </c>
    </row>
    <row r="221" spans="1:21" x14ac:dyDescent="0.3">
      <c r="A221" s="10" t="s">
        <v>823</v>
      </c>
      <c r="B221" s="11" t="s">
        <v>824</v>
      </c>
      <c r="C221" s="11"/>
      <c r="D221" s="11" t="s">
        <v>825</v>
      </c>
      <c r="E221" s="11">
        <f xml:space="preserve"> IF($U$221,1,0)</f>
        <v>0</v>
      </c>
      <c r="F221" s="11" t="s">
        <v>826</v>
      </c>
      <c r="G221" s="11">
        <v>0</v>
      </c>
      <c r="H221" s="11">
        <v>0</v>
      </c>
      <c r="I221" s="11">
        <v>0</v>
      </c>
      <c r="J221" s="11">
        <v>0</v>
      </c>
      <c r="K221" s="11">
        <v>0</v>
      </c>
      <c r="L221" s="11">
        <v>0</v>
      </c>
      <c r="M221" s="11">
        <v>0</v>
      </c>
      <c r="N221" s="11">
        <v>0</v>
      </c>
      <c r="O221" s="11">
        <v>0</v>
      </c>
      <c r="P221" s="11">
        <v>0</v>
      </c>
      <c r="Q221" s="12">
        <v>0</v>
      </c>
      <c r="R221" s="12">
        <v>0</v>
      </c>
      <c r="S221" s="12">
        <f>$G$221*$G$8+$H$221*$H$8+$I$221*$I$8+$J$221*$J$8+$K$221*$K$8+$L$221*$L$8+$M$221*$M$8+$N$221*$N$8+$O$221*$O$8+$P$221*$P$8</f>
        <v>0</v>
      </c>
      <c r="T221" s="12">
        <f>SUM($Q$221:$R$221)</f>
        <v>0</v>
      </c>
      <c r="U221" s="12">
        <f>$S$221+$T$221</f>
        <v>0</v>
      </c>
    </row>
    <row r="222" spans="1:21" x14ac:dyDescent="0.3">
      <c r="A222" s="13" t="s">
        <v>827</v>
      </c>
      <c r="B222" s="14" t="s">
        <v>828</v>
      </c>
      <c r="C222" s="14"/>
      <c r="D222" s="14" t="s">
        <v>829</v>
      </c>
      <c r="E222" s="14">
        <f xml:space="preserve"> IF($U$222,1,0)</f>
        <v>0</v>
      </c>
      <c r="F222" s="14" t="s">
        <v>830</v>
      </c>
      <c r="G222" s="14">
        <v>0</v>
      </c>
      <c r="H222" s="14">
        <v>0</v>
      </c>
      <c r="I222" s="14">
        <v>0</v>
      </c>
      <c r="J222" s="14">
        <v>0</v>
      </c>
      <c r="K222" s="14">
        <v>0</v>
      </c>
      <c r="L222" s="14">
        <v>0</v>
      </c>
      <c r="M222" s="14">
        <v>0</v>
      </c>
      <c r="N222" s="14">
        <v>0</v>
      </c>
      <c r="O222" s="14">
        <v>0</v>
      </c>
      <c r="P222" s="14">
        <v>0</v>
      </c>
      <c r="Q222" s="15">
        <v>0</v>
      </c>
      <c r="R222" s="15">
        <v>0</v>
      </c>
      <c r="S222" s="15">
        <f>$G$222*$G$8+$H$222*$H$8+$I$222*$I$8+$J$222*$J$8+$K$222*$K$8+$L$222*$L$8+$M$222*$M$8+$N$222*$N$8+$O$222*$O$8+$P$222*$P$8</f>
        <v>0</v>
      </c>
      <c r="T222" s="15">
        <f>SUM($Q$222:$R$222)</f>
        <v>0</v>
      </c>
      <c r="U222" s="15">
        <f>$S$222+$T$222</f>
        <v>0</v>
      </c>
    </row>
    <row r="223" spans="1:21" x14ac:dyDescent="0.3">
      <c r="A223" s="10" t="s">
        <v>831</v>
      </c>
      <c r="B223" s="11" t="s">
        <v>832</v>
      </c>
      <c r="C223" s="11"/>
      <c r="D223" s="11" t="s">
        <v>833</v>
      </c>
      <c r="E223" s="11">
        <f xml:space="preserve"> IF($U$223,1,0)</f>
        <v>1</v>
      </c>
      <c r="F223" s="11" t="s">
        <v>834</v>
      </c>
      <c r="G223" s="11">
        <v>5</v>
      </c>
      <c r="H223" s="11">
        <v>0</v>
      </c>
      <c r="I223" s="11">
        <v>0</v>
      </c>
      <c r="J223" s="11">
        <v>0</v>
      </c>
      <c r="K223" s="11">
        <v>0</v>
      </c>
      <c r="L223" s="11">
        <v>0</v>
      </c>
      <c r="M223" s="11">
        <v>0</v>
      </c>
      <c r="N223" s="11">
        <v>0</v>
      </c>
      <c r="O223" s="11">
        <v>0</v>
      </c>
      <c r="P223" s="11">
        <v>0</v>
      </c>
      <c r="Q223" s="12">
        <v>0</v>
      </c>
      <c r="R223" s="12">
        <v>0</v>
      </c>
      <c r="S223" s="12">
        <f>$G$223*$G$8+$H$223*$H$8+$I$223*$I$8+$J$223*$J$8+$K$223*$K$8+$L$223*$L$8+$M$223*$M$8+$N$223*$N$8+$O$223*$O$8+$P$223*$P$8</f>
        <v>3.5</v>
      </c>
      <c r="T223" s="12">
        <f>SUM($Q$223:$R$223)</f>
        <v>0</v>
      </c>
      <c r="U223" s="12">
        <f>$S$223+$T$223</f>
        <v>3.5</v>
      </c>
    </row>
    <row r="224" spans="1:21" x14ac:dyDescent="0.3">
      <c r="A224" s="13" t="s">
        <v>835</v>
      </c>
      <c r="B224" s="14" t="s">
        <v>836</v>
      </c>
      <c r="C224" s="14"/>
      <c r="D224" s="14" t="s">
        <v>837</v>
      </c>
      <c r="E224" s="14">
        <f xml:space="preserve"> IF($U$224,1,0)</f>
        <v>0</v>
      </c>
      <c r="F224" s="14" t="s">
        <v>838</v>
      </c>
      <c r="G224" s="14">
        <v>0</v>
      </c>
      <c r="H224" s="14">
        <v>0</v>
      </c>
      <c r="I224" s="14">
        <v>0</v>
      </c>
      <c r="J224" s="14">
        <v>0</v>
      </c>
      <c r="K224" s="14">
        <v>0</v>
      </c>
      <c r="L224" s="14">
        <v>0</v>
      </c>
      <c r="M224" s="14">
        <v>0</v>
      </c>
      <c r="N224" s="14">
        <v>0</v>
      </c>
      <c r="O224" s="14">
        <v>0</v>
      </c>
      <c r="P224" s="14">
        <v>0</v>
      </c>
      <c r="Q224" s="15">
        <v>0</v>
      </c>
      <c r="R224" s="15">
        <v>0</v>
      </c>
      <c r="S224" s="15">
        <f>$G$224*$G$8+$H$224*$H$8+$I$224*$I$8+$J$224*$J$8+$K$224*$K$8+$L$224*$L$8+$M$224*$M$8+$N$224*$N$8+$O$224*$O$8+$P$224*$P$8</f>
        <v>0</v>
      </c>
      <c r="T224" s="15">
        <f>SUM($Q$224:$R$224)</f>
        <v>0</v>
      </c>
      <c r="U224" s="15">
        <f>$S$224+$T$224</f>
        <v>0</v>
      </c>
    </row>
    <row r="225" spans="1:21" x14ac:dyDescent="0.3">
      <c r="A225" s="10" t="s">
        <v>839</v>
      </c>
      <c r="B225" s="11" t="s">
        <v>840</v>
      </c>
      <c r="C225" s="11"/>
      <c r="D225" s="11" t="s">
        <v>841</v>
      </c>
      <c r="E225" s="11">
        <f xml:space="preserve"> IF($U$225,1,0)</f>
        <v>0</v>
      </c>
      <c r="F225" s="11" t="s">
        <v>842</v>
      </c>
      <c r="G225" s="11">
        <v>0</v>
      </c>
      <c r="H225" s="11">
        <v>0</v>
      </c>
      <c r="I225" s="11">
        <v>0</v>
      </c>
      <c r="J225" s="11">
        <v>0</v>
      </c>
      <c r="K225" s="11">
        <v>0</v>
      </c>
      <c r="L225" s="11">
        <v>0</v>
      </c>
      <c r="M225" s="11">
        <v>0</v>
      </c>
      <c r="N225" s="11">
        <v>0</v>
      </c>
      <c r="O225" s="11">
        <v>0</v>
      </c>
      <c r="P225" s="11">
        <v>0</v>
      </c>
      <c r="Q225" s="12">
        <v>0</v>
      </c>
      <c r="R225" s="12">
        <v>0</v>
      </c>
      <c r="S225" s="12">
        <f>$G$225*$G$8+$H$225*$H$8+$I$225*$I$8+$J$225*$J$8+$K$225*$K$8+$L$225*$L$8+$M$225*$M$8+$N$225*$N$8+$O$225*$O$8+$P$225*$P$8</f>
        <v>0</v>
      </c>
      <c r="T225" s="12">
        <f>SUM($Q$225:$R$225)</f>
        <v>0</v>
      </c>
      <c r="U225" s="12">
        <f>$S$225+$T$225</f>
        <v>0</v>
      </c>
    </row>
    <row r="226" spans="1:21" x14ac:dyDescent="0.3">
      <c r="A226" s="13" t="s">
        <v>843</v>
      </c>
      <c r="B226" s="14" t="s">
        <v>844</v>
      </c>
      <c r="C226" s="14"/>
      <c r="D226" s="14" t="s">
        <v>845</v>
      </c>
      <c r="E226" s="14">
        <f xml:space="preserve"> IF($U$226,1,0)</f>
        <v>0</v>
      </c>
      <c r="F226" s="14" t="s">
        <v>846</v>
      </c>
      <c r="G226" s="14">
        <v>0</v>
      </c>
      <c r="H226" s="14">
        <v>0</v>
      </c>
      <c r="I226" s="14">
        <v>0</v>
      </c>
      <c r="J226" s="14">
        <v>0</v>
      </c>
      <c r="K226" s="14">
        <v>0</v>
      </c>
      <c r="L226" s="14">
        <v>0</v>
      </c>
      <c r="M226" s="14">
        <v>0</v>
      </c>
      <c r="N226" s="14">
        <v>0</v>
      </c>
      <c r="O226" s="14">
        <v>0</v>
      </c>
      <c r="P226" s="14">
        <v>0</v>
      </c>
      <c r="Q226" s="15">
        <v>0</v>
      </c>
      <c r="R226" s="15">
        <v>0</v>
      </c>
      <c r="S226" s="15">
        <f>$G$226*$G$8+$H$226*$H$8+$I$226*$I$8+$J$226*$J$8+$K$226*$K$8+$L$226*$L$8+$M$226*$M$8+$N$226*$N$8+$O$226*$O$8+$P$226*$P$8</f>
        <v>0</v>
      </c>
      <c r="T226" s="15">
        <f>SUM($Q$226:$R$226)</f>
        <v>0</v>
      </c>
      <c r="U226" s="15">
        <f>$S$226+$T$226</f>
        <v>0</v>
      </c>
    </row>
    <row r="227" spans="1:21" x14ac:dyDescent="0.3">
      <c r="A227" s="10" t="s">
        <v>847</v>
      </c>
      <c r="B227" s="11" t="s">
        <v>848</v>
      </c>
      <c r="C227" s="11" t="s">
        <v>202</v>
      </c>
      <c r="D227" s="11" t="s">
        <v>849</v>
      </c>
      <c r="E227" s="11">
        <f xml:space="preserve"> IF($U$227,1,0)</f>
        <v>1</v>
      </c>
      <c r="F227" s="11" t="s">
        <v>850</v>
      </c>
      <c r="G227" s="11">
        <v>0</v>
      </c>
      <c r="H227" s="11">
        <v>4</v>
      </c>
      <c r="I227" s="11">
        <v>0</v>
      </c>
      <c r="J227" s="11">
        <v>0</v>
      </c>
      <c r="K227" s="11">
        <v>0</v>
      </c>
      <c r="L227" s="11">
        <v>0</v>
      </c>
      <c r="M227" s="11">
        <v>0</v>
      </c>
      <c r="N227" s="11">
        <v>0</v>
      </c>
      <c r="O227" s="11">
        <v>0</v>
      </c>
      <c r="P227" s="11">
        <v>0</v>
      </c>
      <c r="Q227" s="12">
        <v>0</v>
      </c>
      <c r="R227" s="12">
        <v>0</v>
      </c>
      <c r="S227" s="12">
        <f>$G$227*$G$8+$H$227*$H$8+$I$227*$I$8+$J$227*$J$8+$K$227*$K$8+$L$227*$L$8+$M$227*$M$8+$N$227*$N$8+$O$227*$O$8+$P$227*$P$8</f>
        <v>7.2</v>
      </c>
      <c r="T227" s="12">
        <f>SUM($Q$227:$R$227)</f>
        <v>0</v>
      </c>
      <c r="U227" s="12">
        <f>$S$227+$T$227</f>
        <v>7.2</v>
      </c>
    </row>
    <row r="228" spans="1:21" x14ac:dyDescent="0.3">
      <c r="A228" s="13" t="s">
        <v>851</v>
      </c>
      <c r="B228" s="14" t="s">
        <v>852</v>
      </c>
      <c r="C228" s="14"/>
      <c r="D228" s="14" t="s">
        <v>853</v>
      </c>
      <c r="E228" s="14">
        <f xml:space="preserve"> IF($U$228,1,0)</f>
        <v>0</v>
      </c>
      <c r="F228" s="14" t="s">
        <v>854</v>
      </c>
      <c r="G228" s="14">
        <v>0</v>
      </c>
      <c r="H228" s="14">
        <v>0</v>
      </c>
      <c r="I228" s="14">
        <v>0</v>
      </c>
      <c r="J228" s="14">
        <v>0</v>
      </c>
      <c r="K228" s="14">
        <v>0</v>
      </c>
      <c r="L228" s="14">
        <v>0</v>
      </c>
      <c r="M228" s="14">
        <v>0</v>
      </c>
      <c r="N228" s="14">
        <v>0</v>
      </c>
      <c r="O228" s="14">
        <v>0</v>
      </c>
      <c r="P228" s="14">
        <v>0</v>
      </c>
      <c r="Q228" s="15">
        <v>0</v>
      </c>
      <c r="R228" s="15">
        <v>0</v>
      </c>
      <c r="S228" s="15">
        <f>$G$228*$G$8+$H$228*$H$8+$I$228*$I$8+$J$228*$J$8+$K$228*$K$8+$L$228*$L$8+$M$228*$M$8+$N$228*$N$8+$O$228*$O$8+$P$228*$P$8</f>
        <v>0</v>
      </c>
      <c r="T228" s="15">
        <f>SUM($Q$228:$R$228)</f>
        <v>0</v>
      </c>
      <c r="U228" s="15">
        <f>$S$228+$T$228</f>
        <v>0</v>
      </c>
    </row>
    <row r="229" spans="1:21" x14ac:dyDescent="0.3">
      <c r="A229" s="10" t="s">
        <v>855</v>
      </c>
      <c r="B229" s="11" t="s">
        <v>856</v>
      </c>
      <c r="C229" s="11"/>
      <c r="D229" s="11" t="s">
        <v>790</v>
      </c>
      <c r="E229" s="11">
        <f xml:space="preserve"> IF($U$229,1,0)</f>
        <v>0</v>
      </c>
      <c r="F229" s="11" t="s">
        <v>857</v>
      </c>
      <c r="G229" s="11">
        <v>0</v>
      </c>
      <c r="H229" s="11">
        <v>0</v>
      </c>
      <c r="I229" s="11">
        <v>0</v>
      </c>
      <c r="J229" s="11">
        <v>0</v>
      </c>
      <c r="K229" s="11">
        <v>0</v>
      </c>
      <c r="L229" s="11">
        <v>0</v>
      </c>
      <c r="M229" s="11">
        <v>0</v>
      </c>
      <c r="N229" s="11">
        <v>0</v>
      </c>
      <c r="O229" s="11">
        <v>0</v>
      </c>
      <c r="P229" s="11">
        <v>0</v>
      </c>
      <c r="Q229" s="12">
        <v>0</v>
      </c>
      <c r="R229" s="12">
        <v>0</v>
      </c>
      <c r="S229" s="12">
        <f>$G$229*$G$8+$H$229*$H$8+$I$229*$I$8+$J$229*$J$8+$K$229*$K$8+$L$229*$L$8+$M$229*$M$8+$N$229*$N$8+$O$229*$O$8+$P$229*$P$8</f>
        <v>0</v>
      </c>
      <c r="T229" s="12">
        <f>SUM($Q$229:$R$229)</f>
        <v>0</v>
      </c>
      <c r="U229" s="12">
        <f>$S$229+$T$229</f>
        <v>0</v>
      </c>
    </row>
    <row r="230" spans="1:21" x14ac:dyDescent="0.3">
      <c r="A230" s="13" t="s">
        <v>858</v>
      </c>
      <c r="B230" s="14" t="s">
        <v>859</v>
      </c>
      <c r="C230" s="14"/>
      <c r="D230" s="14" t="s">
        <v>860</v>
      </c>
      <c r="E230" s="14">
        <f xml:space="preserve"> IF($U$230,1,0)</f>
        <v>0</v>
      </c>
      <c r="F230" s="14" t="s">
        <v>861</v>
      </c>
      <c r="G230" s="14">
        <v>0</v>
      </c>
      <c r="H230" s="14">
        <v>0</v>
      </c>
      <c r="I230" s="14">
        <v>0</v>
      </c>
      <c r="J230" s="14">
        <v>0</v>
      </c>
      <c r="K230" s="14">
        <v>0</v>
      </c>
      <c r="L230" s="14">
        <v>0</v>
      </c>
      <c r="M230" s="14">
        <v>0</v>
      </c>
      <c r="N230" s="14">
        <v>0</v>
      </c>
      <c r="O230" s="14">
        <v>0</v>
      </c>
      <c r="P230" s="14">
        <v>0</v>
      </c>
      <c r="Q230" s="15">
        <v>0</v>
      </c>
      <c r="R230" s="15">
        <v>0</v>
      </c>
      <c r="S230" s="15">
        <f>$G$230*$G$8+$H$230*$H$8+$I$230*$I$8+$J$230*$J$8+$K$230*$K$8+$L$230*$L$8+$M$230*$M$8+$N$230*$N$8+$O$230*$O$8+$P$230*$P$8</f>
        <v>0</v>
      </c>
      <c r="T230" s="15">
        <f>SUM($Q$230:$R$230)</f>
        <v>0</v>
      </c>
      <c r="U230" s="15">
        <f>$S$230+$T$230</f>
        <v>0</v>
      </c>
    </row>
    <row r="231" spans="1:21" x14ac:dyDescent="0.3">
      <c r="A231" s="10" t="s">
        <v>862</v>
      </c>
      <c r="B231" s="11" t="s">
        <v>863</v>
      </c>
      <c r="C231" s="11"/>
      <c r="D231" s="11" t="s">
        <v>864</v>
      </c>
      <c r="E231" s="11">
        <f xml:space="preserve"> IF($U$231,1,0)</f>
        <v>0</v>
      </c>
      <c r="F231" s="11" t="s">
        <v>865</v>
      </c>
      <c r="G231" s="11">
        <v>0</v>
      </c>
      <c r="H231" s="11">
        <v>0</v>
      </c>
      <c r="I231" s="11">
        <v>0</v>
      </c>
      <c r="J231" s="11">
        <v>0</v>
      </c>
      <c r="K231" s="11">
        <v>0</v>
      </c>
      <c r="L231" s="11">
        <v>0</v>
      </c>
      <c r="M231" s="11">
        <v>0</v>
      </c>
      <c r="N231" s="11">
        <v>0</v>
      </c>
      <c r="O231" s="11">
        <v>0</v>
      </c>
      <c r="P231" s="11">
        <v>0</v>
      </c>
      <c r="Q231" s="12">
        <v>0</v>
      </c>
      <c r="R231" s="12">
        <v>0</v>
      </c>
      <c r="S231" s="12">
        <f>$G$231*$G$8+$H$231*$H$8+$I$231*$I$8+$J$231*$J$8+$K$231*$K$8+$L$231*$L$8+$M$231*$M$8+$N$231*$N$8+$O$231*$O$8+$P$231*$P$8</f>
        <v>0</v>
      </c>
      <c r="T231" s="12">
        <f>SUM($Q$231:$R$231)</f>
        <v>0</v>
      </c>
      <c r="U231" s="12">
        <f>$S$231+$T$231</f>
        <v>0</v>
      </c>
    </row>
    <row r="232" spans="1:21" x14ac:dyDescent="0.3">
      <c r="A232" s="13" t="s">
        <v>866</v>
      </c>
      <c r="B232" s="14" t="s">
        <v>867</v>
      </c>
      <c r="C232" s="14"/>
      <c r="D232" s="14" t="s">
        <v>868</v>
      </c>
      <c r="E232" s="14">
        <f xml:space="preserve"> IF($U$232,1,0)</f>
        <v>0</v>
      </c>
      <c r="F232" s="14" t="s">
        <v>869</v>
      </c>
      <c r="G232" s="14">
        <v>0</v>
      </c>
      <c r="H232" s="14">
        <v>0</v>
      </c>
      <c r="I232" s="14">
        <v>0</v>
      </c>
      <c r="J232" s="14">
        <v>0</v>
      </c>
      <c r="K232" s="14">
        <v>0</v>
      </c>
      <c r="L232" s="14">
        <v>0</v>
      </c>
      <c r="M232" s="14">
        <v>0</v>
      </c>
      <c r="N232" s="14">
        <v>0</v>
      </c>
      <c r="O232" s="14">
        <v>0</v>
      </c>
      <c r="P232" s="14">
        <v>0</v>
      </c>
      <c r="Q232" s="15">
        <v>0</v>
      </c>
      <c r="R232" s="15">
        <v>0</v>
      </c>
      <c r="S232" s="15">
        <f>$G$232*$G$8+$H$232*$H$8+$I$232*$I$8+$J$232*$J$8+$K$232*$K$8+$L$232*$L$8+$M$232*$M$8+$N$232*$N$8+$O$232*$O$8+$P$232*$P$8</f>
        <v>0</v>
      </c>
      <c r="T232" s="15">
        <f>SUM($Q$232:$R$232)</f>
        <v>0</v>
      </c>
      <c r="U232" s="15">
        <f>$S$232+$T$232</f>
        <v>0</v>
      </c>
    </row>
    <row r="233" spans="1:21" x14ac:dyDescent="0.3">
      <c r="A233" s="10" t="s">
        <v>870</v>
      </c>
      <c r="B233" s="11" t="s">
        <v>871</v>
      </c>
      <c r="C233" s="11" t="s">
        <v>243</v>
      </c>
      <c r="D233" s="11" t="s">
        <v>399</v>
      </c>
      <c r="E233" s="11">
        <f xml:space="preserve"> IF($U$233,1,0)</f>
        <v>0</v>
      </c>
      <c r="F233" s="11" t="s">
        <v>872</v>
      </c>
      <c r="G233" s="11">
        <v>0</v>
      </c>
      <c r="H233" s="11">
        <v>0</v>
      </c>
      <c r="I233" s="11">
        <v>0</v>
      </c>
      <c r="J233" s="11">
        <v>0</v>
      </c>
      <c r="K233" s="11">
        <v>0</v>
      </c>
      <c r="L233" s="11">
        <v>0</v>
      </c>
      <c r="M233" s="11">
        <v>0</v>
      </c>
      <c r="N233" s="11">
        <v>0</v>
      </c>
      <c r="O233" s="11">
        <v>0</v>
      </c>
      <c r="P233" s="11">
        <v>0</v>
      </c>
      <c r="Q233" s="12">
        <v>0</v>
      </c>
      <c r="R233" s="12">
        <v>0</v>
      </c>
      <c r="S233" s="12">
        <f>$G$233*$G$8+$H$233*$H$8+$I$233*$I$8+$J$233*$J$8+$K$233*$K$8+$L$233*$L$8+$M$233*$M$8+$N$233*$N$8+$O$233*$O$8+$P$233*$P$8</f>
        <v>0</v>
      </c>
      <c r="T233" s="12">
        <f>SUM($Q$233:$R$233)</f>
        <v>0</v>
      </c>
      <c r="U233" s="12">
        <f>$S$233+$T$233</f>
        <v>0</v>
      </c>
    </row>
    <row r="234" spans="1:21" x14ac:dyDescent="0.3">
      <c r="A234" s="13" t="s">
        <v>873</v>
      </c>
      <c r="B234" s="14" t="s">
        <v>874</v>
      </c>
      <c r="C234" s="14"/>
      <c r="D234" s="14" t="s">
        <v>875</v>
      </c>
      <c r="E234" s="14">
        <f xml:space="preserve"> IF($U$234,1,0)</f>
        <v>0</v>
      </c>
      <c r="F234" s="14" t="s">
        <v>876</v>
      </c>
      <c r="G234" s="14">
        <v>0</v>
      </c>
      <c r="H234" s="14">
        <v>0</v>
      </c>
      <c r="I234" s="14">
        <v>0</v>
      </c>
      <c r="J234" s="14">
        <v>0</v>
      </c>
      <c r="K234" s="14">
        <v>0</v>
      </c>
      <c r="L234" s="14">
        <v>0</v>
      </c>
      <c r="M234" s="14">
        <v>0</v>
      </c>
      <c r="N234" s="14">
        <v>0</v>
      </c>
      <c r="O234" s="14">
        <v>0</v>
      </c>
      <c r="P234" s="14">
        <v>0</v>
      </c>
      <c r="Q234" s="15">
        <v>0</v>
      </c>
      <c r="R234" s="15">
        <v>0</v>
      </c>
      <c r="S234" s="15">
        <f>$G$234*$G$8+$H$234*$H$8+$I$234*$I$8+$J$234*$J$8+$K$234*$K$8+$L$234*$L$8+$M$234*$M$8+$N$234*$N$8+$O$234*$O$8+$P$234*$P$8</f>
        <v>0</v>
      </c>
      <c r="T234" s="15">
        <f>SUM($Q$234:$R$234)</f>
        <v>0</v>
      </c>
      <c r="U234" s="15">
        <f>$S$234+$T$234</f>
        <v>0</v>
      </c>
    </row>
    <row r="235" spans="1:21" x14ac:dyDescent="0.3">
      <c r="A235" s="10" t="s">
        <v>877</v>
      </c>
      <c r="B235" s="11" t="s">
        <v>878</v>
      </c>
      <c r="C235" s="11"/>
      <c r="D235" s="11" t="s">
        <v>879</v>
      </c>
      <c r="E235" s="11">
        <f xml:space="preserve"> IF($U$235,1,0)</f>
        <v>1</v>
      </c>
      <c r="F235" s="11" t="s">
        <v>880</v>
      </c>
      <c r="G235" s="11">
        <v>2</v>
      </c>
      <c r="H235" s="11">
        <v>0</v>
      </c>
      <c r="I235" s="11">
        <v>0</v>
      </c>
      <c r="J235" s="11">
        <v>0</v>
      </c>
      <c r="K235" s="11">
        <v>0</v>
      </c>
      <c r="L235" s="11">
        <v>0</v>
      </c>
      <c r="M235" s="11">
        <v>0</v>
      </c>
      <c r="N235" s="11">
        <v>0</v>
      </c>
      <c r="O235" s="11">
        <v>0</v>
      </c>
      <c r="P235" s="11">
        <v>0</v>
      </c>
      <c r="Q235" s="12">
        <v>0</v>
      </c>
      <c r="R235" s="12">
        <v>0</v>
      </c>
      <c r="S235" s="12">
        <f>$G$235*$G$8+$H$235*$H$8+$I$235*$I$8+$J$235*$J$8+$K$235*$K$8+$L$235*$L$8+$M$235*$M$8+$N$235*$N$8+$O$235*$O$8+$P$235*$P$8</f>
        <v>1.4</v>
      </c>
      <c r="T235" s="12">
        <f>SUM($Q$235:$R$235)</f>
        <v>0</v>
      </c>
      <c r="U235" s="12">
        <f>$S$235+$T$235</f>
        <v>1.4</v>
      </c>
    </row>
    <row r="236" spans="1:21" x14ac:dyDescent="0.3">
      <c r="A236" s="13" t="s">
        <v>881</v>
      </c>
      <c r="B236" s="14" t="s">
        <v>882</v>
      </c>
      <c r="C236" s="14"/>
      <c r="D236" s="14" t="s">
        <v>883</v>
      </c>
      <c r="E236" s="14">
        <f xml:space="preserve"> IF($U$236,1,0)</f>
        <v>1</v>
      </c>
      <c r="F236" s="14" t="s">
        <v>884</v>
      </c>
      <c r="G236" s="14">
        <v>3</v>
      </c>
      <c r="H236" s="14">
        <v>2</v>
      </c>
      <c r="I236" s="14">
        <v>0</v>
      </c>
      <c r="J236" s="14">
        <v>0</v>
      </c>
      <c r="K236" s="14">
        <v>0</v>
      </c>
      <c r="L236" s="14">
        <v>0</v>
      </c>
      <c r="M236" s="14">
        <v>0</v>
      </c>
      <c r="N236" s="14">
        <v>0</v>
      </c>
      <c r="O236" s="14">
        <v>0</v>
      </c>
      <c r="P236" s="14">
        <v>0</v>
      </c>
      <c r="Q236" s="15">
        <v>0</v>
      </c>
      <c r="R236" s="15">
        <v>0</v>
      </c>
      <c r="S236" s="15">
        <f>$G$236*$G$8+$H$236*$H$8+$I$236*$I$8+$J$236*$J$8+$K$236*$K$8+$L$236*$L$8+$M$236*$M$8+$N$236*$N$8+$O$236*$O$8+$P$236*$P$8</f>
        <v>5.6999999999999993</v>
      </c>
      <c r="T236" s="15">
        <f>SUM($Q$236:$R$236)</f>
        <v>0</v>
      </c>
      <c r="U236" s="15">
        <f>$S$236+$T$236</f>
        <v>5.6999999999999993</v>
      </c>
    </row>
    <row r="237" spans="1:21" x14ac:dyDescent="0.3">
      <c r="A237" s="10" t="s">
        <v>885</v>
      </c>
      <c r="B237" s="11" t="s">
        <v>886</v>
      </c>
      <c r="C237" s="11" t="s">
        <v>887</v>
      </c>
      <c r="D237" s="11" t="s">
        <v>888</v>
      </c>
      <c r="E237" s="11">
        <f xml:space="preserve"> IF($U$237,1,0)</f>
        <v>0</v>
      </c>
      <c r="F237" s="11" t="s">
        <v>889</v>
      </c>
      <c r="G237" s="11">
        <v>0</v>
      </c>
      <c r="H237" s="11">
        <v>0</v>
      </c>
      <c r="I237" s="11">
        <v>0</v>
      </c>
      <c r="J237" s="11">
        <v>0</v>
      </c>
      <c r="K237" s="11">
        <v>0</v>
      </c>
      <c r="L237" s="11">
        <v>0</v>
      </c>
      <c r="M237" s="11">
        <v>0</v>
      </c>
      <c r="N237" s="11">
        <v>0</v>
      </c>
      <c r="O237" s="11">
        <v>0</v>
      </c>
      <c r="P237" s="11">
        <v>0</v>
      </c>
      <c r="Q237" s="12">
        <v>0</v>
      </c>
      <c r="R237" s="12">
        <v>0</v>
      </c>
      <c r="S237" s="12">
        <f>$G$237*$G$8+$H$237*$H$8+$I$237*$I$8+$J$237*$J$8+$K$237*$K$8+$L$237*$L$8+$M$237*$M$8+$N$237*$N$8+$O$237*$O$8+$P$237*$P$8</f>
        <v>0</v>
      </c>
      <c r="T237" s="12">
        <f>SUM($Q$237:$R$237)</f>
        <v>0</v>
      </c>
      <c r="U237" s="12">
        <f>$S$237+$T$237</f>
        <v>0</v>
      </c>
    </row>
    <row r="238" spans="1:21" x14ac:dyDescent="0.3">
      <c r="A238" s="13" t="s">
        <v>890</v>
      </c>
      <c r="B238" s="14" t="s">
        <v>886</v>
      </c>
      <c r="C238" s="14"/>
      <c r="D238" s="14" t="s">
        <v>891</v>
      </c>
      <c r="E238" s="14">
        <f xml:space="preserve"> IF($U$238,1,0)</f>
        <v>0</v>
      </c>
      <c r="F238" s="14" t="s">
        <v>892</v>
      </c>
      <c r="G238" s="14">
        <v>0</v>
      </c>
      <c r="H238" s="14">
        <v>0</v>
      </c>
      <c r="I238" s="14">
        <v>0</v>
      </c>
      <c r="J238" s="14">
        <v>0</v>
      </c>
      <c r="K238" s="14">
        <v>0</v>
      </c>
      <c r="L238" s="14">
        <v>0</v>
      </c>
      <c r="M238" s="14">
        <v>0</v>
      </c>
      <c r="N238" s="14">
        <v>0</v>
      </c>
      <c r="O238" s="14">
        <v>0</v>
      </c>
      <c r="P238" s="14">
        <v>0</v>
      </c>
      <c r="Q238" s="15">
        <v>0</v>
      </c>
      <c r="R238" s="15">
        <v>0</v>
      </c>
      <c r="S238" s="15">
        <f>$G$238*$G$8+$H$238*$H$8+$I$238*$I$8+$J$238*$J$8+$K$238*$K$8+$L$238*$L$8+$M$238*$M$8+$N$238*$N$8+$O$238*$O$8+$P$238*$P$8</f>
        <v>0</v>
      </c>
      <c r="T238" s="15">
        <f>SUM($Q$238:$R$238)</f>
        <v>0</v>
      </c>
      <c r="U238" s="15">
        <f>$S$238+$T$238</f>
        <v>0</v>
      </c>
    </row>
    <row r="239" spans="1:21" x14ac:dyDescent="0.3">
      <c r="A239" s="10" t="s">
        <v>893</v>
      </c>
      <c r="B239" s="11" t="s">
        <v>894</v>
      </c>
      <c r="C239" s="11"/>
      <c r="D239" s="11" t="s">
        <v>895</v>
      </c>
      <c r="E239" s="11">
        <f xml:space="preserve"> IF($U$239,1,0)</f>
        <v>0</v>
      </c>
      <c r="F239" s="11" t="s">
        <v>896</v>
      </c>
      <c r="G239" s="11">
        <v>0</v>
      </c>
      <c r="H239" s="11">
        <v>0</v>
      </c>
      <c r="I239" s="11">
        <v>0</v>
      </c>
      <c r="J239" s="11">
        <v>0</v>
      </c>
      <c r="K239" s="11">
        <v>0</v>
      </c>
      <c r="L239" s="11">
        <v>0</v>
      </c>
      <c r="M239" s="11">
        <v>0</v>
      </c>
      <c r="N239" s="11">
        <v>0</v>
      </c>
      <c r="O239" s="11">
        <v>0</v>
      </c>
      <c r="P239" s="11">
        <v>0</v>
      </c>
      <c r="Q239" s="12">
        <v>0</v>
      </c>
      <c r="R239" s="12">
        <v>0</v>
      </c>
      <c r="S239" s="12">
        <f>$G$239*$G$8+$H$239*$H$8+$I$239*$I$8+$J$239*$J$8+$K$239*$K$8+$L$239*$L$8+$M$239*$M$8+$N$239*$N$8+$O$239*$O$8+$P$239*$P$8</f>
        <v>0</v>
      </c>
      <c r="T239" s="12">
        <f>SUM($Q$239:$R$239)</f>
        <v>0</v>
      </c>
      <c r="U239" s="12">
        <f>$S$239+$T$239</f>
        <v>0</v>
      </c>
    </row>
    <row r="240" spans="1:21" x14ac:dyDescent="0.3">
      <c r="A240" s="13" t="s">
        <v>897</v>
      </c>
      <c r="B240" s="14" t="s">
        <v>898</v>
      </c>
      <c r="C240" s="14"/>
      <c r="D240" s="14" t="s">
        <v>899</v>
      </c>
      <c r="E240" s="14">
        <f xml:space="preserve"> IF($U$240,1,0)</f>
        <v>0</v>
      </c>
      <c r="F240" s="14" t="s">
        <v>900</v>
      </c>
      <c r="G240" s="14">
        <v>0</v>
      </c>
      <c r="H240" s="14">
        <v>0</v>
      </c>
      <c r="I240" s="14">
        <v>0</v>
      </c>
      <c r="J240" s="14">
        <v>0</v>
      </c>
      <c r="K240" s="14">
        <v>0</v>
      </c>
      <c r="L240" s="14">
        <v>0</v>
      </c>
      <c r="M240" s="14">
        <v>0</v>
      </c>
      <c r="N240" s="14">
        <v>0</v>
      </c>
      <c r="O240" s="14">
        <v>0</v>
      </c>
      <c r="P240" s="14">
        <v>0</v>
      </c>
      <c r="Q240" s="15">
        <v>0</v>
      </c>
      <c r="R240" s="15">
        <v>0</v>
      </c>
      <c r="S240" s="15">
        <f>$G$240*$G$8+$H$240*$H$8+$I$240*$I$8+$J$240*$J$8+$K$240*$K$8+$L$240*$L$8+$M$240*$M$8+$N$240*$N$8+$O$240*$O$8+$P$240*$P$8</f>
        <v>0</v>
      </c>
      <c r="T240" s="15">
        <f>SUM($Q$240:$R$240)</f>
        <v>0</v>
      </c>
      <c r="U240" s="15">
        <f>$S$240+$T$240</f>
        <v>0</v>
      </c>
    </row>
    <row r="241" spans="1:21" x14ac:dyDescent="0.3">
      <c r="A241" s="10" t="s">
        <v>901</v>
      </c>
      <c r="B241" s="11" t="s">
        <v>902</v>
      </c>
      <c r="C241" s="11"/>
      <c r="D241" s="11" t="s">
        <v>903</v>
      </c>
      <c r="E241" s="11">
        <f xml:space="preserve"> IF($U$241,1,0)</f>
        <v>0</v>
      </c>
      <c r="F241" s="11" t="s">
        <v>904</v>
      </c>
      <c r="G241" s="11">
        <v>0</v>
      </c>
      <c r="H241" s="11">
        <v>0</v>
      </c>
      <c r="I241" s="11">
        <v>0</v>
      </c>
      <c r="J241" s="11">
        <v>0</v>
      </c>
      <c r="K241" s="11">
        <v>0</v>
      </c>
      <c r="L241" s="11">
        <v>0</v>
      </c>
      <c r="M241" s="11">
        <v>0</v>
      </c>
      <c r="N241" s="11">
        <v>0</v>
      </c>
      <c r="O241" s="11">
        <v>0</v>
      </c>
      <c r="P241" s="11">
        <v>0</v>
      </c>
      <c r="Q241" s="12">
        <v>0</v>
      </c>
      <c r="R241" s="12">
        <v>0</v>
      </c>
      <c r="S241" s="12">
        <f>$G$241*$G$8+$H$241*$H$8+$I$241*$I$8+$J$241*$J$8+$K$241*$K$8+$L$241*$L$8+$M$241*$M$8+$N$241*$N$8+$O$241*$O$8+$P$241*$P$8</f>
        <v>0</v>
      </c>
      <c r="T241" s="12">
        <f>SUM($Q$241:$R$241)</f>
        <v>0</v>
      </c>
      <c r="U241" s="12">
        <f>$S$241+$T$241</f>
        <v>0</v>
      </c>
    </row>
    <row r="242" spans="1:21" x14ac:dyDescent="0.3">
      <c r="A242" s="13" t="s">
        <v>905</v>
      </c>
      <c r="B242" s="14" t="s">
        <v>906</v>
      </c>
      <c r="C242" s="14" t="s">
        <v>283</v>
      </c>
      <c r="D242" s="14" t="s">
        <v>296</v>
      </c>
      <c r="E242" s="14">
        <f xml:space="preserve"> IF($U$242,1,0)</f>
        <v>0</v>
      </c>
      <c r="F242" s="14" t="s">
        <v>907</v>
      </c>
      <c r="G242" s="14">
        <v>0</v>
      </c>
      <c r="H242" s="14">
        <v>0</v>
      </c>
      <c r="I242" s="14">
        <v>0</v>
      </c>
      <c r="J242" s="14">
        <v>0</v>
      </c>
      <c r="K242" s="14">
        <v>0</v>
      </c>
      <c r="L242" s="14">
        <v>0</v>
      </c>
      <c r="M242" s="14">
        <v>0</v>
      </c>
      <c r="N242" s="14">
        <v>0</v>
      </c>
      <c r="O242" s="14">
        <v>0</v>
      </c>
      <c r="P242" s="14">
        <v>0</v>
      </c>
      <c r="Q242" s="15">
        <v>0</v>
      </c>
      <c r="R242" s="15">
        <v>0</v>
      </c>
      <c r="S242" s="15">
        <f>$G$242*$G$8+$H$242*$H$8+$I$242*$I$8+$J$242*$J$8+$K$242*$K$8+$L$242*$L$8+$M$242*$M$8+$N$242*$N$8+$O$242*$O$8+$P$242*$P$8</f>
        <v>0</v>
      </c>
      <c r="T242" s="15">
        <f>SUM($Q$242:$R$242)</f>
        <v>0</v>
      </c>
      <c r="U242" s="15">
        <f>$S$242+$T$242</f>
        <v>0</v>
      </c>
    </row>
    <row r="243" spans="1:21" x14ac:dyDescent="0.3">
      <c r="A243" s="10" t="s">
        <v>908</v>
      </c>
      <c r="B243" s="11" t="s">
        <v>909</v>
      </c>
      <c r="C243" s="11"/>
      <c r="D243" s="11" t="s">
        <v>910</v>
      </c>
      <c r="E243" s="11">
        <f xml:space="preserve"> IF($U$243,1,0)</f>
        <v>0</v>
      </c>
      <c r="F243" s="11" t="s">
        <v>911</v>
      </c>
      <c r="G243" s="11">
        <v>0</v>
      </c>
      <c r="H243" s="11">
        <v>0</v>
      </c>
      <c r="I243" s="11">
        <v>0</v>
      </c>
      <c r="J243" s="11">
        <v>0</v>
      </c>
      <c r="K243" s="11">
        <v>0</v>
      </c>
      <c r="L243" s="11">
        <v>0</v>
      </c>
      <c r="M243" s="11">
        <v>0</v>
      </c>
      <c r="N243" s="11">
        <v>0</v>
      </c>
      <c r="O243" s="11">
        <v>0</v>
      </c>
      <c r="P243" s="11">
        <v>0</v>
      </c>
      <c r="Q243" s="12">
        <v>0</v>
      </c>
      <c r="R243" s="12">
        <v>0</v>
      </c>
      <c r="S243" s="12">
        <f>$G$243*$G$8+$H$243*$H$8+$I$243*$I$8+$J$243*$J$8+$K$243*$K$8+$L$243*$L$8+$M$243*$M$8+$N$243*$N$8+$O$243*$O$8+$P$243*$P$8</f>
        <v>0</v>
      </c>
      <c r="T243" s="12">
        <f>SUM($Q$243:$R$243)</f>
        <v>0</v>
      </c>
      <c r="U243" s="12">
        <f>$S$243+$T$243</f>
        <v>0</v>
      </c>
    </row>
    <row r="244" spans="1:21" x14ac:dyDescent="0.3">
      <c r="A244" s="13" t="s">
        <v>912</v>
      </c>
      <c r="B244" s="14" t="s">
        <v>913</v>
      </c>
      <c r="C244" s="14" t="s">
        <v>65</v>
      </c>
      <c r="D244" s="14" t="s">
        <v>914</v>
      </c>
      <c r="E244" s="14">
        <f xml:space="preserve"> IF($U$244,1,0)</f>
        <v>1</v>
      </c>
      <c r="F244" s="14" t="s">
        <v>915</v>
      </c>
      <c r="G244" s="14">
        <v>8</v>
      </c>
      <c r="H244" s="14">
        <v>0</v>
      </c>
      <c r="I244" s="14">
        <v>0</v>
      </c>
      <c r="J244" s="14">
        <v>0</v>
      </c>
      <c r="K244" s="14">
        <v>0</v>
      </c>
      <c r="L244" s="14">
        <v>0</v>
      </c>
      <c r="M244" s="14">
        <v>0</v>
      </c>
      <c r="N244" s="14">
        <v>0</v>
      </c>
      <c r="O244" s="14">
        <v>0</v>
      </c>
      <c r="P244" s="14">
        <v>0</v>
      </c>
      <c r="Q244" s="15">
        <v>0</v>
      </c>
      <c r="R244" s="15">
        <v>0</v>
      </c>
      <c r="S244" s="15">
        <f>$G$244*$G$8+$H$244*$H$8+$I$244*$I$8+$J$244*$J$8+$K$244*$K$8+$L$244*$L$8+$M$244*$M$8+$N$244*$N$8+$O$244*$O$8+$P$244*$P$8</f>
        <v>5.6</v>
      </c>
      <c r="T244" s="15">
        <f>SUM($Q$244:$R$244)</f>
        <v>0</v>
      </c>
      <c r="U244" s="15">
        <f>$S$244+$T$244</f>
        <v>5.6</v>
      </c>
    </row>
    <row r="245" spans="1:21" x14ac:dyDescent="0.3">
      <c r="A245" s="10" t="s">
        <v>916</v>
      </c>
      <c r="B245" s="11" t="s">
        <v>917</v>
      </c>
      <c r="C245" s="11"/>
      <c r="D245" s="11" t="s">
        <v>918</v>
      </c>
      <c r="E245" s="11">
        <f xml:space="preserve"> IF($U$245,1,0)</f>
        <v>0</v>
      </c>
      <c r="F245" s="11" t="s">
        <v>919</v>
      </c>
      <c r="G245" s="11">
        <v>0</v>
      </c>
      <c r="H245" s="11">
        <v>0</v>
      </c>
      <c r="I245" s="11">
        <v>0</v>
      </c>
      <c r="J245" s="11">
        <v>0</v>
      </c>
      <c r="K245" s="11">
        <v>0</v>
      </c>
      <c r="L245" s="11">
        <v>0</v>
      </c>
      <c r="M245" s="11">
        <v>0</v>
      </c>
      <c r="N245" s="11">
        <v>0</v>
      </c>
      <c r="O245" s="11">
        <v>0</v>
      </c>
      <c r="P245" s="11">
        <v>0</v>
      </c>
      <c r="Q245" s="12">
        <v>0</v>
      </c>
      <c r="R245" s="12">
        <v>0</v>
      </c>
      <c r="S245" s="12">
        <f>$G$245*$G$8+$H$245*$H$8+$I$245*$I$8+$J$245*$J$8+$K$245*$K$8+$L$245*$L$8+$M$245*$M$8+$N$245*$N$8+$O$245*$O$8+$P$245*$P$8</f>
        <v>0</v>
      </c>
      <c r="T245" s="12">
        <f>SUM($Q$245:$R$245)</f>
        <v>0</v>
      </c>
      <c r="U245" s="12">
        <f>$S$245+$T$245</f>
        <v>0</v>
      </c>
    </row>
    <row r="246" spans="1:21" x14ac:dyDescent="0.3">
      <c r="A246" s="13" t="s">
        <v>920</v>
      </c>
      <c r="B246" s="14" t="s">
        <v>917</v>
      </c>
      <c r="C246" s="14"/>
      <c r="D246" s="14" t="s">
        <v>921</v>
      </c>
      <c r="E246" s="14">
        <f xml:space="preserve"> IF($U$246,1,0)</f>
        <v>0</v>
      </c>
      <c r="F246" s="14" t="s">
        <v>922</v>
      </c>
      <c r="G246" s="14">
        <v>0</v>
      </c>
      <c r="H246" s="14">
        <v>0</v>
      </c>
      <c r="I246" s="14">
        <v>0</v>
      </c>
      <c r="J246" s="14">
        <v>0</v>
      </c>
      <c r="K246" s="14">
        <v>0</v>
      </c>
      <c r="L246" s="14">
        <v>0</v>
      </c>
      <c r="M246" s="14">
        <v>0</v>
      </c>
      <c r="N246" s="14">
        <v>0</v>
      </c>
      <c r="O246" s="14">
        <v>0</v>
      </c>
      <c r="P246" s="14">
        <v>0</v>
      </c>
      <c r="Q246" s="15">
        <v>0</v>
      </c>
      <c r="R246" s="15">
        <v>0</v>
      </c>
      <c r="S246" s="15">
        <f>$G$246*$G$8+$H$246*$H$8+$I$246*$I$8+$J$246*$J$8+$K$246*$K$8+$L$246*$L$8+$M$246*$M$8+$N$246*$N$8+$O$246*$O$8+$P$246*$P$8</f>
        <v>0</v>
      </c>
      <c r="T246" s="15">
        <f>SUM($Q$246:$R$246)</f>
        <v>0</v>
      </c>
      <c r="U246" s="15">
        <f>$S$246+$T$246</f>
        <v>0</v>
      </c>
    </row>
    <row r="247" spans="1:21" x14ac:dyDescent="0.3">
      <c r="A247" s="10" t="s">
        <v>923</v>
      </c>
      <c r="B247" s="11" t="s">
        <v>917</v>
      </c>
      <c r="C247" s="11" t="s">
        <v>34</v>
      </c>
      <c r="D247" s="11" t="s">
        <v>924</v>
      </c>
      <c r="E247" s="11">
        <f xml:space="preserve"> IF($U$247,1,0)</f>
        <v>0</v>
      </c>
      <c r="F247" s="11" t="s">
        <v>925</v>
      </c>
      <c r="G247" s="11">
        <v>0</v>
      </c>
      <c r="H247" s="11">
        <v>0</v>
      </c>
      <c r="I247" s="11">
        <v>0</v>
      </c>
      <c r="J247" s="11">
        <v>0</v>
      </c>
      <c r="K247" s="11">
        <v>0</v>
      </c>
      <c r="L247" s="11">
        <v>0</v>
      </c>
      <c r="M247" s="11">
        <v>0</v>
      </c>
      <c r="N247" s="11">
        <v>0</v>
      </c>
      <c r="O247" s="11">
        <v>0</v>
      </c>
      <c r="P247" s="11">
        <v>0</v>
      </c>
      <c r="Q247" s="12">
        <v>0</v>
      </c>
      <c r="R247" s="12">
        <v>0</v>
      </c>
      <c r="S247" s="12">
        <f>$G$247*$G$8+$H$247*$H$8+$I$247*$I$8+$J$247*$J$8+$K$247*$K$8+$L$247*$L$8+$M$247*$M$8+$N$247*$N$8+$O$247*$O$8+$P$247*$P$8</f>
        <v>0</v>
      </c>
      <c r="T247" s="12">
        <f>SUM($Q$247:$R$247)</f>
        <v>0</v>
      </c>
      <c r="U247" s="12">
        <f>$S$247+$T$247</f>
        <v>0</v>
      </c>
    </row>
    <row r="248" spans="1:21" x14ac:dyDescent="0.3">
      <c r="A248" s="13" t="s">
        <v>926</v>
      </c>
      <c r="B248" s="14" t="s">
        <v>927</v>
      </c>
      <c r="C248" s="14"/>
      <c r="D248" s="14" t="s">
        <v>928</v>
      </c>
      <c r="E248" s="14">
        <f xml:space="preserve"> IF($U$248,1,0)</f>
        <v>0</v>
      </c>
      <c r="F248" s="14" t="s">
        <v>929</v>
      </c>
      <c r="G248" s="14">
        <v>0</v>
      </c>
      <c r="H248" s="14">
        <v>0</v>
      </c>
      <c r="I248" s="14">
        <v>0</v>
      </c>
      <c r="J248" s="14">
        <v>0</v>
      </c>
      <c r="K248" s="14">
        <v>0</v>
      </c>
      <c r="L248" s="14">
        <v>0</v>
      </c>
      <c r="M248" s="14">
        <v>0</v>
      </c>
      <c r="N248" s="14">
        <v>0</v>
      </c>
      <c r="O248" s="14">
        <v>0</v>
      </c>
      <c r="P248" s="14">
        <v>0</v>
      </c>
      <c r="Q248" s="15">
        <v>0</v>
      </c>
      <c r="R248" s="15">
        <v>0</v>
      </c>
      <c r="S248" s="15">
        <f>$G$248*$G$8+$H$248*$H$8+$I$248*$I$8+$J$248*$J$8+$K$248*$K$8+$L$248*$L$8+$M$248*$M$8+$N$248*$N$8+$O$248*$O$8+$P$248*$P$8</f>
        <v>0</v>
      </c>
      <c r="T248" s="15">
        <f>SUM($Q$248:$R$248)</f>
        <v>0</v>
      </c>
      <c r="U248" s="15">
        <f>$S$248+$T$248</f>
        <v>0</v>
      </c>
    </row>
    <row r="249" spans="1:21" x14ac:dyDescent="0.3">
      <c r="A249" s="10" t="s">
        <v>930</v>
      </c>
      <c r="B249" s="11" t="s">
        <v>931</v>
      </c>
      <c r="C249" s="11"/>
      <c r="D249" s="11" t="s">
        <v>932</v>
      </c>
      <c r="E249" s="11">
        <f xml:space="preserve"> IF($U$249,1,0)</f>
        <v>0</v>
      </c>
      <c r="F249" s="11" t="s">
        <v>933</v>
      </c>
      <c r="G249" s="11">
        <v>0</v>
      </c>
      <c r="H249" s="11">
        <v>0</v>
      </c>
      <c r="I249" s="11">
        <v>0</v>
      </c>
      <c r="J249" s="11">
        <v>0</v>
      </c>
      <c r="K249" s="11">
        <v>0</v>
      </c>
      <c r="L249" s="11">
        <v>0</v>
      </c>
      <c r="M249" s="11">
        <v>0</v>
      </c>
      <c r="N249" s="11">
        <v>0</v>
      </c>
      <c r="O249" s="11">
        <v>0</v>
      </c>
      <c r="P249" s="11">
        <v>0</v>
      </c>
      <c r="Q249" s="12">
        <v>0</v>
      </c>
      <c r="R249" s="12">
        <v>0</v>
      </c>
      <c r="S249" s="12">
        <f>$G$249*$G$8+$H$249*$H$8+$I$249*$I$8+$J$249*$J$8+$K$249*$K$8+$L$249*$L$8+$M$249*$M$8+$N$249*$N$8+$O$249*$O$8+$P$249*$P$8</f>
        <v>0</v>
      </c>
      <c r="T249" s="12">
        <f>SUM($Q$249:$R$249)</f>
        <v>0</v>
      </c>
      <c r="U249" s="12">
        <f>$S$249+$T$249</f>
        <v>0</v>
      </c>
    </row>
    <row r="250" spans="1:21" x14ac:dyDescent="0.3">
      <c r="A250" s="13" t="s">
        <v>934</v>
      </c>
      <c r="B250" s="14" t="s">
        <v>935</v>
      </c>
      <c r="C250" s="14"/>
      <c r="D250" s="14" t="s">
        <v>936</v>
      </c>
      <c r="E250" s="14">
        <f xml:space="preserve"> IF($U$250,1,0)</f>
        <v>0</v>
      </c>
      <c r="F250" s="14" t="s">
        <v>937</v>
      </c>
      <c r="G250" s="14">
        <v>0</v>
      </c>
      <c r="H250" s="14">
        <v>0</v>
      </c>
      <c r="I250" s="14">
        <v>0</v>
      </c>
      <c r="J250" s="14">
        <v>0</v>
      </c>
      <c r="K250" s="14">
        <v>0</v>
      </c>
      <c r="L250" s="14">
        <v>0</v>
      </c>
      <c r="M250" s="14">
        <v>0</v>
      </c>
      <c r="N250" s="14">
        <v>0</v>
      </c>
      <c r="O250" s="14">
        <v>0</v>
      </c>
      <c r="P250" s="14">
        <v>0</v>
      </c>
      <c r="Q250" s="15">
        <v>0</v>
      </c>
      <c r="R250" s="15">
        <v>0</v>
      </c>
      <c r="S250" s="15">
        <f>$G$250*$G$8+$H$250*$H$8+$I$250*$I$8+$J$250*$J$8+$K$250*$K$8+$L$250*$L$8+$M$250*$M$8+$N$250*$N$8+$O$250*$O$8+$P$250*$P$8</f>
        <v>0</v>
      </c>
      <c r="T250" s="15">
        <f>SUM($Q$250:$R$250)</f>
        <v>0</v>
      </c>
      <c r="U250" s="15">
        <f>$S$250+$T$250</f>
        <v>0</v>
      </c>
    </row>
    <row r="251" spans="1:21" x14ac:dyDescent="0.3">
      <c r="A251" s="10" t="s">
        <v>938</v>
      </c>
      <c r="B251" s="11" t="s">
        <v>939</v>
      </c>
      <c r="C251" s="11"/>
      <c r="D251" s="11" t="s">
        <v>940</v>
      </c>
      <c r="E251" s="11">
        <f xml:space="preserve"> IF($U$251,1,0)</f>
        <v>1</v>
      </c>
      <c r="F251" s="11" t="s">
        <v>941</v>
      </c>
      <c r="G251" s="11">
        <v>0</v>
      </c>
      <c r="H251" s="11">
        <v>4</v>
      </c>
      <c r="I251" s="11">
        <v>1</v>
      </c>
      <c r="J251" s="11">
        <v>0</v>
      </c>
      <c r="K251" s="11">
        <v>0</v>
      </c>
      <c r="L251" s="11">
        <v>0</v>
      </c>
      <c r="M251" s="11">
        <v>0</v>
      </c>
      <c r="N251" s="11">
        <v>0</v>
      </c>
      <c r="O251" s="11">
        <v>1</v>
      </c>
      <c r="P251" s="11">
        <v>1</v>
      </c>
      <c r="Q251" s="12">
        <v>0</v>
      </c>
      <c r="R251" s="12">
        <v>0</v>
      </c>
      <c r="S251" s="12">
        <f>$G$251*$G$8+$H$251*$H$8+$I$251*$I$8+$J$251*$J$8+$K$251*$K$8+$L$251*$L$8+$M$251*$M$8+$N$251*$N$8+$O$251*$O$8+$P$251*$P$8</f>
        <v>9.6999999999999993</v>
      </c>
      <c r="T251" s="12">
        <f>SUM($Q$251:$R$251)</f>
        <v>0</v>
      </c>
      <c r="U251" s="12">
        <f>$S$251+$T$251</f>
        <v>9.6999999999999993</v>
      </c>
    </row>
    <row r="252" spans="1:21" x14ac:dyDescent="0.3">
      <c r="A252" s="13" t="s">
        <v>942</v>
      </c>
      <c r="B252" s="14" t="s">
        <v>943</v>
      </c>
      <c r="C252" s="14"/>
      <c r="D252" s="14" t="s">
        <v>944</v>
      </c>
      <c r="E252" s="14">
        <f xml:space="preserve"> IF($U$252,1,0)</f>
        <v>0</v>
      </c>
      <c r="F252" s="14" t="s">
        <v>945</v>
      </c>
      <c r="G252" s="14">
        <v>0</v>
      </c>
      <c r="H252" s="14">
        <v>0</v>
      </c>
      <c r="I252" s="14">
        <v>0</v>
      </c>
      <c r="J252" s="14">
        <v>0</v>
      </c>
      <c r="K252" s="14">
        <v>0</v>
      </c>
      <c r="L252" s="14">
        <v>0</v>
      </c>
      <c r="M252" s="14">
        <v>0</v>
      </c>
      <c r="N252" s="14">
        <v>0</v>
      </c>
      <c r="O252" s="14">
        <v>0</v>
      </c>
      <c r="P252" s="14">
        <v>0</v>
      </c>
      <c r="Q252" s="15">
        <v>0</v>
      </c>
      <c r="R252" s="15">
        <v>0</v>
      </c>
      <c r="S252" s="15">
        <f>$G$252*$G$8+$H$252*$H$8+$I$252*$I$8+$J$252*$J$8+$K$252*$K$8+$L$252*$L$8+$M$252*$M$8+$N$252*$N$8+$O$252*$O$8+$P$252*$P$8</f>
        <v>0</v>
      </c>
      <c r="T252" s="15">
        <f>SUM($Q$252:$R$252)</f>
        <v>0</v>
      </c>
      <c r="U252" s="15">
        <f>$S$252+$T$252</f>
        <v>0</v>
      </c>
    </row>
    <row r="253" spans="1:21" x14ac:dyDescent="0.3">
      <c r="A253" s="10" t="s">
        <v>946</v>
      </c>
      <c r="B253" s="11" t="s">
        <v>947</v>
      </c>
      <c r="C253" s="11"/>
      <c r="D253" s="11" t="s">
        <v>948</v>
      </c>
      <c r="E253" s="11">
        <f xml:space="preserve"> IF($U$253,1,0)</f>
        <v>1</v>
      </c>
      <c r="F253" s="11" t="s">
        <v>949</v>
      </c>
      <c r="G253" s="11">
        <v>3</v>
      </c>
      <c r="H253" s="11">
        <v>0</v>
      </c>
      <c r="I253" s="11">
        <v>0</v>
      </c>
      <c r="J253" s="11">
        <v>0</v>
      </c>
      <c r="K253" s="11">
        <v>0</v>
      </c>
      <c r="L253" s="11">
        <v>0</v>
      </c>
      <c r="M253" s="11">
        <v>0</v>
      </c>
      <c r="N253" s="11">
        <v>0</v>
      </c>
      <c r="O253" s="11">
        <v>0</v>
      </c>
      <c r="P253" s="11">
        <v>0</v>
      </c>
      <c r="Q253" s="12">
        <v>0</v>
      </c>
      <c r="R253" s="12">
        <v>0</v>
      </c>
      <c r="S253" s="12">
        <f>$G$253*$G$8+$H$253*$H$8+$I$253*$I$8+$J$253*$J$8+$K$253*$K$8+$L$253*$L$8+$M$253*$M$8+$N$253*$N$8+$O$253*$O$8+$P$253*$P$8</f>
        <v>2.0999999999999996</v>
      </c>
      <c r="T253" s="12">
        <f>SUM($Q$253:$R$253)</f>
        <v>0</v>
      </c>
      <c r="U253" s="12">
        <f>$S$253+$T$253</f>
        <v>2.0999999999999996</v>
      </c>
    </row>
    <row r="254" spans="1:21" x14ac:dyDescent="0.3">
      <c r="A254" s="13" t="s">
        <v>950</v>
      </c>
      <c r="B254" s="14" t="s">
        <v>951</v>
      </c>
      <c r="C254" s="14" t="s">
        <v>34</v>
      </c>
      <c r="D254" s="14" t="s">
        <v>118</v>
      </c>
      <c r="E254" s="14">
        <f xml:space="preserve"> IF($U$254,1,0)</f>
        <v>0</v>
      </c>
      <c r="F254" s="14" t="s">
        <v>952</v>
      </c>
      <c r="G254" s="14">
        <v>0</v>
      </c>
      <c r="H254" s="14">
        <v>0</v>
      </c>
      <c r="I254" s="14">
        <v>0</v>
      </c>
      <c r="J254" s="14">
        <v>0</v>
      </c>
      <c r="K254" s="14">
        <v>0</v>
      </c>
      <c r="L254" s="14">
        <v>0</v>
      </c>
      <c r="M254" s="14">
        <v>0</v>
      </c>
      <c r="N254" s="14">
        <v>0</v>
      </c>
      <c r="O254" s="14">
        <v>0</v>
      </c>
      <c r="P254" s="14">
        <v>0</v>
      </c>
      <c r="Q254" s="15">
        <v>0</v>
      </c>
      <c r="R254" s="15">
        <v>0</v>
      </c>
      <c r="S254" s="15">
        <f>$G$254*$G$8+$H$254*$H$8+$I$254*$I$8+$J$254*$J$8+$K$254*$K$8+$L$254*$L$8+$M$254*$M$8+$N$254*$N$8+$O$254*$O$8+$P$254*$P$8</f>
        <v>0</v>
      </c>
      <c r="T254" s="15">
        <f>SUM($Q$254:$R$254)</f>
        <v>0</v>
      </c>
      <c r="U254" s="15">
        <f>$S$254+$T$254</f>
        <v>0</v>
      </c>
    </row>
    <row r="255" spans="1:21" x14ac:dyDescent="0.3">
      <c r="A255" s="10" t="s">
        <v>953</v>
      </c>
      <c r="B255" s="11" t="s">
        <v>954</v>
      </c>
      <c r="C255" s="11"/>
      <c r="D255" s="11" t="s">
        <v>955</v>
      </c>
      <c r="E255" s="11">
        <f xml:space="preserve"> IF($U$255,1,0)</f>
        <v>1</v>
      </c>
      <c r="F255" s="11" t="s">
        <v>956</v>
      </c>
      <c r="G255" s="11">
        <v>8</v>
      </c>
      <c r="H255" s="11">
        <v>0</v>
      </c>
      <c r="I255" s="11">
        <v>0</v>
      </c>
      <c r="J255" s="11">
        <v>0</v>
      </c>
      <c r="K255" s="11">
        <v>0</v>
      </c>
      <c r="L255" s="11">
        <v>0</v>
      </c>
      <c r="M255" s="11">
        <v>0</v>
      </c>
      <c r="N255" s="11">
        <v>0</v>
      </c>
      <c r="O255" s="11">
        <v>0</v>
      </c>
      <c r="P255" s="11">
        <v>0</v>
      </c>
      <c r="Q255" s="12">
        <v>0</v>
      </c>
      <c r="R255" s="12">
        <v>0</v>
      </c>
      <c r="S255" s="12">
        <f>$G$255*$G$8+$H$255*$H$8+$I$255*$I$8+$J$255*$J$8+$K$255*$K$8+$L$255*$L$8+$M$255*$M$8+$N$255*$N$8+$O$255*$O$8+$P$255*$P$8</f>
        <v>5.6</v>
      </c>
      <c r="T255" s="12">
        <f>SUM($Q$255:$R$255)</f>
        <v>0</v>
      </c>
      <c r="U255" s="12">
        <f>$S$255+$T$255</f>
        <v>5.6</v>
      </c>
    </row>
    <row r="256" spans="1:21" x14ac:dyDescent="0.3">
      <c r="A256" s="13" t="s">
        <v>957</v>
      </c>
      <c r="B256" s="14" t="s">
        <v>958</v>
      </c>
      <c r="C256" s="14" t="s">
        <v>65</v>
      </c>
      <c r="D256" s="14" t="s">
        <v>959</v>
      </c>
      <c r="E256" s="14">
        <f xml:space="preserve"> IF($U$256,1,0)</f>
        <v>0</v>
      </c>
      <c r="F256" s="14" t="s">
        <v>960</v>
      </c>
      <c r="G256" s="14">
        <v>0</v>
      </c>
      <c r="H256" s="14">
        <v>0</v>
      </c>
      <c r="I256" s="14">
        <v>0</v>
      </c>
      <c r="J256" s="14">
        <v>0</v>
      </c>
      <c r="K256" s="14">
        <v>0</v>
      </c>
      <c r="L256" s="14">
        <v>0</v>
      </c>
      <c r="M256" s="14">
        <v>0</v>
      </c>
      <c r="N256" s="14">
        <v>0</v>
      </c>
      <c r="O256" s="14">
        <v>0</v>
      </c>
      <c r="P256" s="14">
        <v>0</v>
      </c>
      <c r="Q256" s="15">
        <v>0</v>
      </c>
      <c r="R256" s="15">
        <v>0</v>
      </c>
      <c r="S256" s="15">
        <f>$G$256*$G$8+$H$256*$H$8+$I$256*$I$8+$J$256*$J$8+$K$256*$K$8+$L$256*$L$8+$M$256*$M$8+$N$256*$N$8+$O$256*$O$8+$P$256*$P$8</f>
        <v>0</v>
      </c>
      <c r="T256" s="15">
        <f>SUM($Q$256:$R$256)</f>
        <v>0</v>
      </c>
      <c r="U256" s="15">
        <f>$S$256+$T$256</f>
        <v>0</v>
      </c>
    </row>
    <row r="257" spans="1:21" x14ac:dyDescent="0.3">
      <c r="A257" s="10" t="s">
        <v>961</v>
      </c>
      <c r="B257" s="11" t="s">
        <v>962</v>
      </c>
      <c r="C257" s="11" t="s">
        <v>202</v>
      </c>
      <c r="D257" s="11" t="s">
        <v>963</v>
      </c>
      <c r="E257" s="11">
        <f xml:space="preserve"> IF($U$257,1,0)</f>
        <v>0</v>
      </c>
      <c r="F257" s="11" t="s">
        <v>964</v>
      </c>
      <c r="G257" s="11">
        <v>0</v>
      </c>
      <c r="H257" s="11">
        <v>0</v>
      </c>
      <c r="I257" s="11">
        <v>0</v>
      </c>
      <c r="J257" s="11">
        <v>0</v>
      </c>
      <c r="K257" s="11">
        <v>0</v>
      </c>
      <c r="L257" s="11">
        <v>0</v>
      </c>
      <c r="M257" s="11">
        <v>0</v>
      </c>
      <c r="N257" s="11">
        <v>0</v>
      </c>
      <c r="O257" s="11">
        <v>0</v>
      </c>
      <c r="P257" s="11">
        <v>0</v>
      </c>
      <c r="Q257" s="12">
        <v>0</v>
      </c>
      <c r="R257" s="12">
        <v>0</v>
      </c>
      <c r="S257" s="12">
        <f>$G$257*$G$8+$H$257*$H$8+$I$257*$I$8+$J$257*$J$8+$K$257*$K$8+$L$257*$L$8+$M$257*$M$8+$N$257*$N$8+$O$257*$O$8+$P$257*$P$8</f>
        <v>0</v>
      </c>
      <c r="T257" s="12">
        <f>SUM($Q$257:$R$257)</f>
        <v>0</v>
      </c>
      <c r="U257" s="12">
        <f>$S$257+$T$257</f>
        <v>0</v>
      </c>
    </row>
    <row r="258" spans="1:21" x14ac:dyDescent="0.3">
      <c r="A258" s="13" t="s">
        <v>965</v>
      </c>
      <c r="B258" s="14" t="s">
        <v>966</v>
      </c>
      <c r="C258" s="14"/>
      <c r="D258" s="14" t="s">
        <v>609</v>
      </c>
      <c r="E258" s="14">
        <f xml:space="preserve"> IF($U$258,1,0)</f>
        <v>0</v>
      </c>
      <c r="F258" s="14" t="s">
        <v>967</v>
      </c>
      <c r="G258" s="14">
        <v>0</v>
      </c>
      <c r="H258" s="14">
        <v>0</v>
      </c>
      <c r="I258" s="14">
        <v>0</v>
      </c>
      <c r="J258" s="14">
        <v>0</v>
      </c>
      <c r="K258" s="14">
        <v>0</v>
      </c>
      <c r="L258" s="14">
        <v>0</v>
      </c>
      <c r="M258" s="14">
        <v>0</v>
      </c>
      <c r="N258" s="14">
        <v>0</v>
      </c>
      <c r="O258" s="14">
        <v>0</v>
      </c>
      <c r="P258" s="14">
        <v>0</v>
      </c>
      <c r="Q258" s="15">
        <v>0</v>
      </c>
      <c r="R258" s="15">
        <v>0</v>
      </c>
      <c r="S258" s="15">
        <f>$G$258*$G$8+$H$258*$H$8+$I$258*$I$8+$J$258*$J$8+$K$258*$K$8+$L$258*$L$8+$M$258*$M$8+$N$258*$N$8+$O$258*$O$8+$P$258*$P$8</f>
        <v>0</v>
      </c>
      <c r="T258" s="15">
        <f>SUM($Q$258:$R$258)</f>
        <v>0</v>
      </c>
      <c r="U258" s="15">
        <f>$S$258+$T$258</f>
        <v>0</v>
      </c>
    </row>
    <row r="259" spans="1:21" x14ac:dyDescent="0.3">
      <c r="A259" s="10" t="s">
        <v>968</v>
      </c>
      <c r="B259" s="11" t="s">
        <v>969</v>
      </c>
      <c r="C259" s="11"/>
      <c r="D259" s="11" t="s">
        <v>970</v>
      </c>
      <c r="E259" s="11">
        <f xml:space="preserve"> IF($U$259,1,0)</f>
        <v>1</v>
      </c>
      <c r="F259" s="11" t="s">
        <v>971</v>
      </c>
      <c r="G259" s="11">
        <v>4</v>
      </c>
      <c r="H259" s="11">
        <v>0</v>
      </c>
      <c r="I259" s="11">
        <v>0</v>
      </c>
      <c r="J259" s="11">
        <v>0</v>
      </c>
      <c r="K259" s="11">
        <v>0</v>
      </c>
      <c r="L259" s="11">
        <v>0</v>
      </c>
      <c r="M259" s="11">
        <v>0</v>
      </c>
      <c r="N259" s="11">
        <v>0</v>
      </c>
      <c r="O259" s="11">
        <v>0</v>
      </c>
      <c r="P259" s="11">
        <v>0</v>
      </c>
      <c r="Q259" s="12">
        <v>0</v>
      </c>
      <c r="R259" s="12">
        <v>0</v>
      </c>
      <c r="S259" s="12">
        <f>$G$259*$G$8+$H$259*$H$8+$I$259*$I$8+$J$259*$J$8+$K$259*$K$8+$L$259*$L$8+$M$259*$M$8+$N$259*$N$8+$O$259*$O$8+$P$259*$P$8</f>
        <v>2.8</v>
      </c>
      <c r="T259" s="12">
        <f>SUM($Q$259:$R$259)</f>
        <v>0</v>
      </c>
      <c r="U259" s="12">
        <f>$S$259+$T$259</f>
        <v>2.8</v>
      </c>
    </row>
    <row r="260" spans="1:21" x14ac:dyDescent="0.3">
      <c r="A260" s="13" t="s">
        <v>972</v>
      </c>
      <c r="B260" s="14" t="s">
        <v>973</v>
      </c>
      <c r="C260" s="14"/>
      <c r="D260" s="14" t="s">
        <v>974</v>
      </c>
      <c r="E260" s="14">
        <f xml:space="preserve"> IF($U$260,1,0)</f>
        <v>0</v>
      </c>
      <c r="F260" s="14" t="s">
        <v>975</v>
      </c>
      <c r="G260" s="14">
        <v>0</v>
      </c>
      <c r="H260" s="14">
        <v>0</v>
      </c>
      <c r="I260" s="14">
        <v>0</v>
      </c>
      <c r="J260" s="14">
        <v>0</v>
      </c>
      <c r="K260" s="14">
        <v>0</v>
      </c>
      <c r="L260" s="14">
        <v>0</v>
      </c>
      <c r="M260" s="14">
        <v>0</v>
      </c>
      <c r="N260" s="14">
        <v>0</v>
      </c>
      <c r="O260" s="14">
        <v>0</v>
      </c>
      <c r="P260" s="14">
        <v>0</v>
      </c>
      <c r="Q260" s="15">
        <v>0</v>
      </c>
      <c r="R260" s="15">
        <v>0</v>
      </c>
      <c r="S260" s="15">
        <f>$G$260*$G$8+$H$260*$H$8+$I$260*$I$8+$J$260*$J$8+$K$260*$K$8+$L$260*$L$8+$M$260*$M$8+$N$260*$N$8+$O$260*$O$8+$P$260*$P$8</f>
        <v>0</v>
      </c>
      <c r="T260" s="15">
        <f>SUM($Q$260:$R$260)</f>
        <v>0</v>
      </c>
      <c r="U260" s="15">
        <f>$S$260+$T$260</f>
        <v>0</v>
      </c>
    </row>
    <row r="261" spans="1:21" x14ac:dyDescent="0.3">
      <c r="A261" s="10" t="s">
        <v>976</v>
      </c>
      <c r="B261" s="11" t="s">
        <v>977</v>
      </c>
      <c r="C261" s="11"/>
      <c r="D261" s="11" t="s">
        <v>978</v>
      </c>
      <c r="E261" s="11">
        <f xml:space="preserve"> IF($U$261,1,0)</f>
        <v>0</v>
      </c>
      <c r="F261" s="11" t="s">
        <v>979</v>
      </c>
      <c r="G261" s="11">
        <v>0</v>
      </c>
      <c r="H261" s="11">
        <v>0</v>
      </c>
      <c r="I261" s="11">
        <v>0</v>
      </c>
      <c r="J261" s="11">
        <v>0</v>
      </c>
      <c r="K261" s="11">
        <v>0</v>
      </c>
      <c r="L261" s="11">
        <v>0</v>
      </c>
      <c r="M261" s="11">
        <v>0</v>
      </c>
      <c r="N261" s="11">
        <v>0</v>
      </c>
      <c r="O261" s="11">
        <v>0</v>
      </c>
      <c r="P261" s="11">
        <v>0</v>
      </c>
      <c r="Q261" s="12">
        <v>0</v>
      </c>
      <c r="R261" s="12">
        <v>0</v>
      </c>
      <c r="S261" s="12">
        <f>$G$261*$G$8+$H$261*$H$8+$I$261*$I$8+$J$261*$J$8+$K$261*$K$8+$L$261*$L$8+$M$261*$M$8+$N$261*$N$8+$O$261*$O$8+$P$261*$P$8</f>
        <v>0</v>
      </c>
      <c r="T261" s="12">
        <f>SUM($Q$261:$R$261)</f>
        <v>0</v>
      </c>
      <c r="U261" s="12">
        <f>$S$261+$T$261</f>
        <v>0</v>
      </c>
    </row>
    <row r="262" spans="1:21" x14ac:dyDescent="0.3">
      <c r="A262" s="13" t="s">
        <v>980</v>
      </c>
      <c r="B262" s="14" t="s">
        <v>981</v>
      </c>
      <c r="C262" s="14" t="s">
        <v>34</v>
      </c>
      <c r="D262" s="14" t="s">
        <v>982</v>
      </c>
      <c r="E262" s="14">
        <f xml:space="preserve"> IF($U$262,1,0)</f>
        <v>0</v>
      </c>
      <c r="F262" s="14" t="s">
        <v>983</v>
      </c>
      <c r="G262" s="14">
        <v>0</v>
      </c>
      <c r="H262" s="14">
        <v>0</v>
      </c>
      <c r="I262" s="14">
        <v>0</v>
      </c>
      <c r="J262" s="14">
        <v>0</v>
      </c>
      <c r="K262" s="14">
        <v>0</v>
      </c>
      <c r="L262" s="14">
        <v>0</v>
      </c>
      <c r="M262" s="14">
        <v>0</v>
      </c>
      <c r="N262" s="14">
        <v>0</v>
      </c>
      <c r="O262" s="14">
        <v>0</v>
      </c>
      <c r="P262" s="14">
        <v>0</v>
      </c>
      <c r="Q262" s="15">
        <v>0</v>
      </c>
      <c r="R262" s="15">
        <v>0</v>
      </c>
      <c r="S262" s="15">
        <f>$G$262*$G$8+$H$262*$H$8+$I$262*$I$8+$J$262*$J$8+$K$262*$K$8+$L$262*$L$8+$M$262*$M$8+$N$262*$N$8+$O$262*$O$8+$P$262*$P$8</f>
        <v>0</v>
      </c>
      <c r="T262" s="15">
        <f>SUM($Q$262:$R$262)</f>
        <v>0</v>
      </c>
      <c r="U262" s="15">
        <f>$S$262+$T$262</f>
        <v>0</v>
      </c>
    </row>
    <row r="263" spans="1:21" x14ac:dyDescent="0.3">
      <c r="A263" s="10" t="s">
        <v>984</v>
      </c>
      <c r="B263" s="11" t="s">
        <v>985</v>
      </c>
      <c r="C263" s="11" t="s">
        <v>202</v>
      </c>
      <c r="D263" s="11" t="s">
        <v>986</v>
      </c>
      <c r="E263" s="11">
        <f xml:space="preserve"> IF($U$263,1,0)</f>
        <v>0</v>
      </c>
      <c r="F263" s="11" t="s">
        <v>987</v>
      </c>
      <c r="G263" s="11">
        <v>0</v>
      </c>
      <c r="H263" s="11">
        <v>0</v>
      </c>
      <c r="I263" s="11">
        <v>0</v>
      </c>
      <c r="J263" s="11">
        <v>0</v>
      </c>
      <c r="K263" s="11">
        <v>0</v>
      </c>
      <c r="L263" s="11">
        <v>0</v>
      </c>
      <c r="M263" s="11">
        <v>0</v>
      </c>
      <c r="N263" s="11">
        <v>0</v>
      </c>
      <c r="O263" s="11">
        <v>0</v>
      </c>
      <c r="P263" s="11">
        <v>0</v>
      </c>
      <c r="Q263" s="12">
        <v>0</v>
      </c>
      <c r="R263" s="12">
        <v>0</v>
      </c>
      <c r="S263" s="12">
        <f>$G$263*$G$8+$H$263*$H$8+$I$263*$I$8+$J$263*$J$8+$K$263*$K$8+$L$263*$L$8+$M$263*$M$8+$N$263*$N$8+$O$263*$O$8+$P$263*$P$8</f>
        <v>0</v>
      </c>
      <c r="T263" s="12">
        <f>SUM($Q$263:$R$263)</f>
        <v>0</v>
      </c>
      <c r="U263" s="12">
        <f>$S$263+$T$263</f>
        <v>0</v>
      </c>
    </row>
    <row r="264" spans="1:21" x14ac:dyDescent="0.3">
      <c r="A264" s="13" t="s">
        <v>1261</v>
      </c>
      <c r="B264" s="14" t="s">
        <v>1262</v>
      </c>
      <c r="C264" s="14"/>
      <c r="D264" s="14" t="s">
        <v>1263</v>
      </c>
      <c r="E264" s="14">
        <f xml:space="preserve"> IF($U$264,1,0)</f>
        <v>1</v>
      </c>
      <c r="F264" s="14" t="s">
        <v>1264</v>
      </c>
      <c r="G264" s="14">
        <v>3</v>
      </c>
      <c r="H264" s="14">
        <v>5</v>
      </c>
      <c r="I264" s="14">
        <v>0</v>
      </c>
      <c r="J264" s="14">
        <v>0</v>
      </c>
      <c r="K264" s="14">
        <v>0</v>
      </c>
      <c r="L264" s="14">
        <v>1</v>
      </c>
      <c r="M264" s="14">
        <v>0</v>
      </c>
      <c r="N264" s="14">
        <v>0</v>
      </c>
      <c r="O264" s="14">
        <v>0</v>
      </c>
      <c r="P264" s="14">
        <v>0</v>
      </c>
      <c r="Q264" s="15">
        <v>0</v>
      </c>
      <c r="R264" s="15">
        <v>0</v>
      </c>
      <c r="S264" s="15">
        <f>$G$264*$G$8+$H$264*$H$8+$I$264*$I$8+$J$264*$J$8+$K$264*$K$8+$L$264*$L$8+$M$264*$M$8+$N$264*$N$8+$O$264*$O$8+$P$264*$P$8</f>
        <v>14.1</v>
      </c>
      <c r="T264" s="15">
        <f>SUM($Q$264:$R$264)</f>
        <v>0</v>
      </c>
      <c r="U264" s="15">
        <f>$S$264+$T$264</f>
        <v>14.1</v>
      </c>
    </row>
    <row r="265" spans="1:21" x14ac:dyDescent="0.3">
      <c r="A265" s="10" t="s">
        <v>988</v>
      </c>
      <c r="B265" s="11" t="s">
        <v>989</v>
      </c>
      <c r="C265" s="11" t="s">
        <v>887</v>
      </c>
      <c r="D265" s="11" t="s">
        <v>1060</v>
      </c>
      <c r="E265" s="11">
        <f xml:space="preserve"> IF($U$265,1,0)</f>
        <v>1</v>
      </c>
      <c r="F265" s="11" t="s">
        <v>1256</v>
      </c>
      <c r="G265" s="11">
        <v>7</v>
      </c>
      <c r="H265" s="11">
        <v>0</v>
      </c>
      <c r="I265" s="11">
        <v>0</v>
      </c>
      <c r="J265" s="11">
        <v>0</v>
      </c>
      <c r="K265" s="11">
        <v>0</v>
      </c>
      <c r="L265" s="11">
        <v>0</v>
      </c>
      <c r="M265" s="11">
        <v>0</v>
      </c>
      <c r="N265" s="11">
        <v>0</v>
      </c>
      <c r="O265" s="11">
        <v>0</v>
      </c>
      <c r="P265" s="11">
        <v>0</v>
      </c>
      <c r="Q265" s="12">
        <v>0</v>
      </c>
      <c r="R265" s="12">
        <v>0</v>
      </c>
      <c r="S265" s="12">
        <f>$G$265*$G$8+$H$265*$H$8+$I$265*$I$8+$J$265*$J$8+$K$265*$K$8+$L$265*$L$8+$M$265*$M$8+$N$265*$N$8+$O$265*$O$8+$P$265*$P$8</f>
        <v>4.8999999999999995</v>
      </c>
      <c r="T265" s="12">
        <f>SUM($Q$265:$R$265)</f>
        <v>0</v>
      </c>
      <c r="U265" s="12">
        <f>$S$265+$T$265</f>
        <v>4.8999999999999995</v>
      </c>
    </row>
    <row r="266" spans="1:21" x14ac:dyDescent="0.3">
      <c r="A266" s="13" t="s">
        <v>992</v>
      </c>
      <c r="B266" s="14" t="s">
        <v>343</v>
      </c>
      <c r="C266" s="14"/>
      <c r="D266" s="14" t="s">
        <v>993</v>
      </c>
      <c r="E266" s="14">
        <f xml:space="preserve"> IF($U$266,1,0)</f>
        <v>1</v>
      </c>
      <c r="F266" s="14" t="s">
        <v>994</v>
      </c>
      <c r="G266" s="14">
        <v>0</v>
      </c>
      <c r="H266" s="14">
        <v>0</v>
      </c>
      <c r="I266" s="14">
        <v>0</v>
      </c>
      <c r="J266" s="14">
        <v>0</v>
      </c>
      <c r="K266" s="14">
        <v>0</v>
      </c>
      <c r="L266" s="14">
        <v>0</v>
      </c>
      <c r="M266" s="14">
        <v>0</v>
      </c>
      <c r="N266" s="14">
        <v>0</v>
      </c>
      <c r="O266" s="14">
        <v>0</v>
      </c>
      <c r="P266" s="14">
        <v>1</v>
      </c>
      <c r="Q266" s="15">
        <v>0</v>
      </c>
      <c r="R266" s="15">
        <v>0</v>
      </c>
      <c r="S266" s="15">
        <f>$G$266*$G$8+$H$266*$H$8+$I$266*$I$8+$J$266*$J$8+$K$266*$K$8+$L$266*$L$8+$M$266*$M$8+$N$266*$N$8+$O$266*$O$8+$P$266*$P$8</f>
        <v>1</v>
      </c>
      <c r="T266" s="15">
        <f>SUM($Q$266:$R$266)</f>
        <v>0</v>
      </c>
      <c r="U266" s="15">
        <f>$S$266+$T$266</f>
        <v>1</v>
      </c>
    </row>
    <row r="267" spans="1:21" x14ac:dyDescent="0.3">
      <c r="A267" s="10" t="s">
        <v>995</v>
      </c>
      <c r="B267" s="11" t="s">
        <v>996</v>
      </c>
      <c r="C267" s="11"/>
      <c r="D267" s="11" t="s">
        <v>997</v>
      </c>
      <c r="E267" s="11">
        <f xml:space="preserve"> IF($U$267,1,0)</f>
        <v>0</v>
      </c>
      <c r="F267" s="11" t="s">
        <v>998</v>
      </c>
      <c r="G267" s="11">
        <v>0</v>
      </c>
      <c r="H267" s="11">
        <v>0</v>
      </c>
      <c r="I267" s="11">
        <v>0</v>
      </c>
      <c r="J267" s="11">
        <v>0</v>
      </c>
      <c r="K267" s="11">
        <v>0</v>
      </c>
      <c r="L267" s="11">
        <v>0</v>
      </c>
      <c r="M267" s="11">
        <v>0</v>
      </c>
      <c r="N267" s="11">
        <v>0</v>
      </c>
      <c r="O267" s="11">
        <v>0</v>
      </c>
      <c r="P267" s="11">
        <v>0</v>
      </c>
      <c r="Q267" s="12">
        <v>0</v>
      </c>
      <c r="R267" s="12">
        <v>0</v>
      </c>
      <c r="S267" s="12">
        <f>$G$267*$G$8+$H$267*$H$8+$I$267*$I$8+$J$267*$J$8+$K$267*$K$8+$L$267*$L$8+$M$267*$M$8+$N$267*$N$8+$O$267*$O$8+$P$267*$P$8</f>
        <v>0</v>
      </c>
      <c r="T267" s="12">
        <f>SUM($Q$267:$R$267)</f>
        <v>0</v>
      </c>
      <c r="U267" s="12">
        <f>$S$267+$T$267</f>
        <v>0</v>
      </c>
    </row>
    <row r="268" spans="1:21" x14ac:dyDescent="0.3">
      <c r="A268" s="13" t="s">
        <v>999</v>
      </c>
      <c r="B268" s="14" t="s">
        <v>1000</v>
      </c>
      <c r="C268" s="14" t="s">
        <v>202</v>
      </c>
      <c r="D268" s="14" t="s">
        <v>1001</v>
      </c>
      <c r="E268" s="14">
        <f xml:space="preserve"> IF($U$268,1,0)</f>
        <v>0</v>
      </c>
      <c r="F268" s="14" t="s">
        <v>1002</v>
      </c>
      <c r="G268" s="14">
        <v>0</v>
      </c>
      <c r="H268" s="14">
        <v>0</v>
      </c>
      <c r="I268" s="14">
        <v>0</v>
      </c>
      <c r="J268" s="14">
        <v>0</v>
      </c>
      <c r="K268" s="14">
        <v>0</v>
      </c>
      <c r="L268" s="14">
        <v>0</v>
      </c>
      <c r="M268" s="14">
        <v>0</v>
      </c>
      <c r="N268" s="14">
        <v>0</v>
      </c>
      <c r="O268" s="14">
        <v>0</v>
      </c>
      <c r="P268" s="14">
        <v>0</v>
      </c>
      <c r="Q268" s="15">
        <v>0</v>
      </c>
      <c r="R268" s="15">
        <v>0</v>
      </c>
      <c r="S268" s="15">
        <f>$G$268*$G$8+$H$268*$H$8+$I$268*$I$8+$J$268*$J$8+$K$268*$K$8+$L$268*$L$8+$M$268*$M$8+$N$268*$N$8+$O$268*$O$8+$P$268*$P$8</f>
        <v>0</v>
      </c>
      <c r="T268" s="15">
        <f>SUM($Q$268:$R$268)</f>
        <v>0</v>
      </c>
      <c r="U268" s="15">
        <f>$S$268+$T$268</f>
        <v>0</v>
      </c>
    </row>
    <row r="269" spans="1:21" x14ac:dyDescent="0.3">
      <c r="A269" s="10" t="s">
        <v>1003</v>
      </c>
      <c r="B269" s="11" t="s">
        <v>1004</v>
      </c>
      <c r="C269" s="11"/>
      <c r="D269" s="11" t="s">
        <v>1005</v>
      </c>
      <c r="E269" s="11">
        <f xml:space="preserve"> IF($U$269,1,0)</f>
        <v>0</v>
      </c>
      <c r="F269" s="11" t="s">
        <v>1006</v>
      </c>
      <c r="G269" s="11">
        <v>0</v>
      </c>
      <c r="H269" s="11">
        <v>0</v>
      </c>
      <c r="I269" s="11">
        <v>0</v>
      </c>
      <c r="J269" s="11">
        <v>0</v>
      </c>
      <c r="K269" s="11">
        <v>0</v>
      </c>
      <c r="L269" s="11">
        <v>0</v>
      </c>
      <c r="M269" s="11">
        <v>0</v>
      </c>
      <c r="N269" s="11">
        <v>0</v>
      </c>
      <c r="O269" s="11">
        <v>0</v>
      </c>
      <c r="P269" s="11">
        <v>0</v>
      </c>
      <c r="Q269" s="12">
        <v>0</v>
      </c>
      <c r="R269" s="12">
        <v>0</v>
      </c>
      <c r="S269" s="12">
        <f>$G$269*$G$8+$H$269*$H$8+$I$269*$I$8+$J$269*$J$8+$K$269*$K$8+$L$269*$L$8+$M$269*$M$8+$N$269*$N$8+$O$269*$O$8+$P$269*$P$8</f>
        <v>0</v>
      </c>
      <c r="T269" s="12">
        <f>SUM($Q$269:$R$269)</f>
        <v>0</v>
      </c>
      <c r="U269" s="12">
        <f>$S$269+$T$269</f>
        <v>0</v>
      </c>
    </row>
    <row r="270" spans="1:21" x14ac:dyDescent="0.3">
      <c r="A270" s="13" t="s">
        <v>1007</v>
      </c>
      <c r="B270" s="14" t="s">
        <v>1004</v>
      </c>
      <c r="C270" s="14"/>
      <c r="D270" s="14" t="s">
        <v>1008</v>
      </c>
      <c r="E270" s="14">
        <f xml:space="preserve"> IF($U$270,1,0)</f>
        <v>0</v>
      </c>
      <c r="F270" s="14" t="s">
        <v>1009</v>
      </c>
      <c r="G270" s="14">
        <v>0</v>
      </c>
      <c r="H270" s="14">
        <v>0</v>
      </c>
      <c r="I270" s="14">
        <v>0</v>
      </c>
      <c r="J270" s="14">
        <v>0</v>
      </c>
      <c r="K270" s="14">
        <v>0</v>
      </c>
      <c r="L270" s="14">
        <v>0</v>
      </c>
      <c r="M270" s="14">
        <v>0</v>
      </c>
      <c r="N270" s="14">
        <v>0</v>
      </c>
      <c r="O270" s="14">
        <v>0</v>
      </c>
      <c r="P270" s="14">
        <v>0</v>
      </c>
      <c r="Q270" s="15">
        <v>0</v>
      </c>
      <c r="R270" s="15">
        <v>0</v>
      </c>
      <c r="S270" s="15">
        <f>$G$270*$G$8+$H$270*$H$8+$I$270*$I$8+$J$270*$J$8+$K$270*$K$8+$L$270*$L$8+$M$270*$M$8+$N$270*$N$8+$O$270*$O$8+$P$270*$P$8</f>
        <v>0</v>
      </c>
      <c r="T270" s="15">
        <f>SUM($Q$270:$R$270)</f>
        <v>0</v>
      </c>
      <c r="U270" s="15">
        <f>$S$270+$T$270</f>
        <v>0</v>
      </c>
    </row>
    <row r="271" spans="1:21" x14ac:dyDescent="0.3">
      <c r="A271" s="10" t="s">
        <v>1010</v>
      </c>
      <c r="B271" s="11" t="s">
        <v>1011</v>
      </c>
      <c r="C271" s="11"/>
      <c r="D271" s="11" t="s">
        <v>1012</v>
      </c>
      <c r="E271" s="11">
        <f xml:space="preserve"> IF($U$271,1,0)</f>
        <v>0</v>
      </c>
      <c r="F271" s="11" t="s">
        <v>1013</v>
      </c>
      <c r="G271" s="11">
        <v>0</v>
      </c>
      <c r="H271" s="11">
        <v>0</v>
      </c>
      <c r="I271" s="11">
        <v>0</v>
      </c>
      <c r="J271" s="11">
        <v>0</v>
      </c>
      <c r="K271" s="11">
        <v>0</v>
      </c>
      <c r="L271" s="11">
        <v>0</v>
      </c>
      <c r="M271" s="11">
        <v>0</v>
      </c>
      <c r="N271" s="11">
        <v>0</v>
      </c>
      <c r="O271" s="11">
        <v>0</v>
      </c>
      <c r="P271" s="11">
        <v>0</v>
      </c>
      <c r="Q271" s="12">
        <v>0</v>
      </c>
      <c r="R271" s="12">
        <v>0</v>
      </c>
      <c r="S271" s="12">
        <f>$G$271*$G$8+$H$271*$H$8+$I$271*$I$8+$J$271*$J$8+$K$271*$K$8+$L$271*$L$8+$M$271*$M$8+$N$271*$N$8+$O$271*$O$8+$P$271*$P$8</f>
        <v>0</v>
      </c>
      <c r="T271" s="12">
        <f>SUM($Q$271:$R$271)</f>
        <v>0</v>
      </c>
      <c r="U271" s="12">
        <f>$S$271+$T$271</f>
        <v>0</v>
      </c>
    </row>
    <row r="272" spans="1:21" x14ac:dyDescent="0.3">
      <c r="A272" s="13" t="s">
        <v>1014</v>
      </c>
      <c r="B272" s="14" t="s">
        <v>1015</v>
      </c>
      <c r="C272" s="14"/>
      <c r="D272" s="14" t="s">
        <v>1016</v>
      </c>
      <c r="E272" s="14">
        <f xml:space="preserve"> IF($U$272,1,0)</f>
        <v>0</v>
      </c>
      <c r="F272" s="14" t="s">
        <v>1017</v>
      </c>
      <c r="G272" s="14">
        <v>0</v>
      </c>
      <c r="H272" s="14">
        <v>0</v>
      </c>
      <c r="I272" s="14">
        <v>0</v>
      </c>
      <c r="J272" s="14">
        <v>0</v>
      </c>
      <c r="K272" s="14">
        <v>0</v>
      </c>
      <c r="L272" s="14">
        <v>0</v>
      </c>
      <c r="M272" s="14">
        <v>0</v>
      </c>
      <c r="N272" s="14">
        <v>0</v>
      </c>
      <c r="O272" s="14">
        <v>0</v>
      </c>
      <c r="P272" s="14">
        <v>0</v>
      </c>
      <c r="Q272" s="15">
        <v>0</v>
      </c>
      <c r="R272" s="15">
        <v>0</v>
      </c>
      <c r="S272" s="15">
        <f>$G$272*$G$8+$H$272*$H$8+$I$272*$I$8+$J$272*$J$8+$K$272*$K$8+$L$272*$L$8+$M$272*$M$8+$N$272*$N$8+$O$272*$O$8+$P$272*$P$8</f>
        <v>0</v>
      </c>
      <c r="T272" s="15">
        <f>SUM($Q$272:$R$272)</f>
        <v>0</v>
      </c>
      <c r="U272" s="15">
        <f>$S$272+$T$272</f>
        <v>0</v>
      </c>
    </row>
    <row r="273" spans="1:21" x14ac:dyDescent="0.3">
      <c r="A273" s="10" t="s">
        <v>1018</v>
      </c>
      <c r="B273" s="11" t="s">
        <v>1015</v>
      </c>
      <c r="C273" s="11"/>
      <c r="D273" s="11" t="s">
        <v>1019</v>
      </c>
      <c r="E273" s="11">
        <f xml:space="preserve"> IF($U$273,1,0)</f>
        <v>0</v>
      </c>
      <c r="F273" s="11" t="s">
        <v>1020</v>
      </c>
      <c r="G273" s="11">
        <v>0</v>
      </c>
      <c r="H273" s="11">
        <v>0</v>
      </c>
      <c r="I273" s="11">
        <v>0</v>
      </c>
      <c r="J273" s="11">
        <v>0</v>
      </c>
      <c r="K273" s="11">
        <v>0</v>
      </c>
      <c r="L273" s="11">
        <v>0</v>
      </c>
      <c r="M273" s="11">
        <v>0</v>
      </c>
      <c r="N273" s="11">
        <v>0</v>
      </c>
      <c r="O273" s="11">
        <v>0</v>
      </c>
      <c r="P273" s="11">
        <v>0</v>
      </c>
      <c r="Q273" s="12">
        <v>0</v>
      </c>
      <c r="R273" s="12">
        <v>0</v>
      </c>
      <c r="S273" s="12">
        <f>$G$273*$G$8+$H$273*$H$8+$I$273*$I$8+$J$273*$J$8+$K$273*$K$8+$L$273*$L$8+$M$273*$M$8+$N$273*$N$8+$O$273*$O$8+$P$273*$P$8</f>
        <v>0</v>
      </c>
      <c r="T273" s="12">
        <f>SUM($Q$273:$R$273)</f>
        <v>0</v>
      </c>
      <c r="U273" s="12">
        <f>$S$273+$T$273</f>
        <v>0</v>
      </c>
    </row>
    <row r="274" spans="1:21" x14ac:dyDescent="0.3">
      <c r="A274" s="13" t="s">
        <v>1021</v>
      </c>
      <c r="B274" s="14" t="s">
        <v>1022</v>
      </c>
      <c r="C274" s="14" t="s">
        <v>283</v>
      </c>
      <c r="D274" s="14" t="s">
        <v>1023</v>
      </c>
      <c r="E274" s="14">
        <f xml:space="preserve"> IF($U$274,1,0)</f>
        <v>0</v>
      </c>
      <c r="F274" s="14" t="s">
        <v>1024</v>
      </c>
      <c r="G274" s="14">
        <v>0</v>
      </c>
      <c r="H274" s="14">
        <v>0</v>
      </c>
      <c r="I274" s="14">
        <v>0</v>
      </c>
      <c r="J274" s="14">
        <v>0</v>
      </c>
      <c r="K274" s="14">
        <v>0</v>
      </c>
      <c r="L274" s="14">
        <v>0</v>
      </c>
      <c r="M274" s="14">
        <v>0</v>
      </c>
      <c r="N274" s="14">
        <v>0</v>
      </c>
      <c r="O274" s="14">
        <v>0</v>
      </c>
      <c r="P274" s="14">
        <v>0</v>
      </c>
      <c r="Q274" s="15">
        <v>0</v>
      </c>
      <c r="R274" s="15">
        <v>0</v>
      </c>
      <c r="S274" s="15">
        <f>$G$274*$G$8+$H$274*$H$8+$I$274*$I$8+$J$274*$J$8+$K$274*$K$8+$L$274*$L$8+$M$274*$M$8+$N$274*$N$8+$O$274*$O$8+$P$274*$P$8</f>
        <v>0</v>
      </c>
      <c r="T274" s="15">
        <f>SUM($Q$274:$R$274)</f>
        <v>0</v>
      </c>
      <c r="U274" s="15">
        <f>$S$274+$T$274</f>
        <v>0</v>
      </c>
    </row>
    <row r="275" spans="1:21" x14ac:dyDescent="0.3">
      <c r="A275" s="10" t="s">
        <v>1025</v>
      </c>
      <c r="B275" s="11" t="s">
        <v>1026</v>
      </c>
      <c r="C275" s="11"/>
      <c r="D275" s="11" t="s">
        <v>1027</v>
      </c>
      <c r="E275" s="11">
        <f xml:space="preserve"> IF($U$275,1,0)</f>
        <v>0</v>
      </c>
      <c r="F275" s="11" t="s">
        <v>1028</v>
      </c>
      <c r="G275" s="11">
        <v>0</v>
      </c>
      <c r="H275" s="11">
        <v>0</v>
      </c>
      <c r="I275" s="11">
        <v>0</v>
      </c>
      <c r="J275" s="11">
        <v>0</v>
      </c>
      <c r="K275" s="11">
        <v>0</v>
      </c>
      <c r="L275" s="11">
        <v>0</v>
      </c>
      <c r="M275" s="11">
        <v>0</v>
      </c>
      <c r="N275" s="11">
        <v>0</v>
      </c>
      <c r="O275" s="11">
        <v>0</v>
      </c>
      <c r="P275" s="11">
        <v>0</v>
      </c>
      <c r="Q275" s="12">
        <v>0</v>
      </c>
      <c r="R275" s="12">
        <v>0</v>
      </c>
      <c r="S275" s="12">
        <f>$G$275*$G$8+$H$275*$H$8+$I$275*$I$8+$J$275*$J$8+$K$275*$K$8+$L$275*$L$8+$M$275*$M$8+$N$275*$N$8+$O$275*$O$8+$P$275*$P$8</f>
        <v>0</v>
      </c>
      <c r="T275" s="12">
        <f>SUM($Q$275:$R$275)</f>
        <v>0</v>
      </c>
      <c r="U275" s="12">
        <f>$S$275+$T$275</f>
        <v>0</v>
      </c>
    </row>
    <row r="276" spans="1:21" x14ac:dyDescent="0.3">
      <c r="A276" s="13" t="s">
        <v>1029</v>
      </c>
      <c r="B276" s="14" t="s">
        <v>1030</v>
      </c>
      <c r="C276" s="14" t="s">
        <v>34</v>
      </c>
      <c r="D276" s="14" t="s">
        <v>1031</v>
      </c>
      <c r="E276" s="14">
        <f xml:space="preserve"> IF($U$276,1,0)</f>
        <v>1</v>
      </c>
      <c r="F276" s="14" t="s">
        <v>1032</v>
      </c>
      <c r="G276" s="14">
        <v>1</v>
      </c>
      <c r="H276" s="14">
        <v>0</v>
      </c>
      <c r="I276" s="14">
        <v>1</v>
      </c>
      <c r="J276" s="14">
        <v>0</v>
      </c>
      <c r="K276" s="14">
        <v>1</v>
      </c>
      <c r="L276" s="14">
        <v>0</v>
      </c>
      <c r="M276" s="14">
        <v>0</v>
      </c>
      <c r="N276" s="14">
        <v>0</v>
      </c>
      <c r="O276" s="14">
        <v>1</v>
      </c>
      <c r="P276" s="14">
        <v>1</v>
      </c>
      <c r="Q276" s="15">
        <v>0</v>
      </c>
      <c r="R276" s="15">
        <v>0</v>
      </c>
      <c r="S276" s="15">
        <f>$G$276*$G$8+$H$276*$H$8+$I$276*$I$8+$J$276*$J$8+$K$276*$K$8+$L$276*$L$8+$M$276*$M$8+$N$276*$N$8+$O$276*$O$8+$P$276*$P$8</f>
        <v>5.2</v>
      </c>
      <c r="T276" s="15">
        <f>SUM($Q$276:$R$276)</f>
        <v>0</v>
      </c>
      <c r="U276" s="15">
        <f>$S$276+$T$276</f>
        <v>5.2</v>
      </c>
    </row>
    <row r="277" spans="1:21" x14ac:dyDescent="0.3">
      <c r="A277" s="10" t="s">
        <v>1033</v>
      </c>
      <c r="B277" s="11" t="s">
        <v>1030</v>
      </c>
      <c r="C277" s="11"/>
      <c r="D277" s="11" t="s">
        <v>1034</v>
      </c>
      <c r="E277" s="11">
        <f xml:space="preserve"> IF($U$277,1,0)</f>
        <v>0</v>
      </c>
      <c r="F277" s="11" t="s">
        <v>1035</v>
      </c>
      <c r="G277" s="11">
        <v>0</v>
      </c>
      <c r="H277" s="11">
        <v>0</v>
      </c>
      <c r="I277" s="11">
        <v>0</v>
      </c>
      <c r="J277" s="11">
        <v>0</v>
      </c>
      <c r="K277" s="11">
        <v>0</v>
      </c>
      <c r="L277" s="11">
        <v>0</v>
      </c>
      <c r="M277" s="11">
        <v>0</v>
      </c>
      <c r="N277" s="11">
        <v>0</v>
      </c>
      <c r="O277" s="11">
        <v>0</v>
      </c>
      <c r="P277" s="11">
        <v>0</v>
      </c>
      <c r="Q277" s="12">
        <v>0</v>
      </c>
      <c r="R277" s="12">
        <v>0</v>
      </c>
      <c r="S277" s="12">
        <f>$G$277*$G$8+$H$277*$H$8+$I$277*$I$8+$J$277*$J$8+$K$277*$K$8+$L$277*$L$8+$M$277*$M$8+$N$277*$N$8+$O$277*$O$8+$P$277*$P$8</f>
        <v>0</v>
      </c>
      <c r="T277" s="12">
        <f>SUM($Q$277:$R$277)</f>
        <v>0</v>
      </c>
      <c r="U277" s="12">
        <f>$S$277+$T$277</f>
        <v>0</v>
      </c>
    </row>
    <row r="278" spans="1:21" x14ac:dyDescent="0.3">
      <c r="A278" s="13" t="s">
        <v>1036</v>
      </c>
      <c r="B278" s="14" t="s">
        <v>1037</v>
      </c>
      <c r="C278" s="14"/>
      <c r="D278" s="14" t="s">
        <v>1038</v>
      </c>
      <c r="E278" s="14">
        <f xml:space="preserve"> IF($U$278,1,0)</f>
        <v>0</v>
      </c>
      <c r="F278" s="14" t="s">
        <v>1039</v>
      </c>
      <c r="G278" s="14">
        <v>0</v>
      </c>
      <c r="H278" s="14">
        <v>0</v>
      </c>
      <c r="I278" s="14">
        <v>0</v>
      </c>
      <c r="J278" s="14">
        <v>0</v>
      </c>
      <c r="K278" s="14">
        <v>0</v>
      </c>
      <c r="L278" s="14">
        <v>0</v>
      </c>
      <c r="M278" s="14">
        <v>0</v>
      </c>
      <c r="N278" s="14">
        <v>0</v>
      </c>
      <c r="O278" s="14">
        <v>0</v>
      </c>
      <c r="P278" s="14">
        <v>0</v>
      </c>
      <c r="Q278" s="15">
        <v>0</v>
      </c>
      <c r="R278" s="15">
        <v>0</v>
      </c>
      <c r="S278" s="15">
        <f>$G$278*$G$8+$H$278*$H$8+$I$278*$I$8+$J$278*$J$8+$K$278*$K$8+$L$278*$L$8+$M$278*$M$8+$N$278*$N$8+$O$278*$O$8+$P$278*$P$8</f>
        <v>0</v>
      </c>
      <c r="T278" s="15">
        <f>SUM($Q$278:$R$278)</f>
        <v>0</v>
      </c>
      <c r="U278" s="15">
        <f>$S$278+$T$278</f>
        <v>0</v>
      </c>
    </row>
    <row r="279" spans="1:21" x14ac:dyDescent="0.3">
      <c r="A279" s="10" t="s">
        <v>1040</v>
      </c>
      <c r="B279" s="11" t="s">
        <v>1037</v>
      </c>
      <c r="C279" s="11" t="s">
        <v>202</v>
      </c>
      <c r="D279" s="11" t="s">
        <v>1041</v>
      </c>
      <c r="E279" s="11">
        <f xml:space="preserve"> IF($U$279,1,0)</f>
        <v>0</v>
      </c>
      <c r="F279" s="11" t="s">
        <v>1042</v>
      </c>
      <c r="G279" s="11">
        <v>0</v>
      </c>
      <c r="H279" s="11">
        <v>0</v>
      </c>
      <c r="I279" s="11">
        <v>0</v>
      </c>
      <c r="J279" s="11">
        <v>0</v>
      </c>
      <c r="K279" s="11">
        <v>0</v>
      </c>
      <c r="L279" s="11">
        <v>0</v>
      </c>
      <c r="M279" s="11">
        <v>0</v>
      </c>
      <c r="N279" s="11">
        <v>0</v>
      </c>
      <c r="O279" s="11">
        <v>0</v>
      </c>
      <c r="P279" s="11">
        <v>0</v>
      </c>
      <c r="Q279" s="12">
        <v>0</v>
      </c>
      <c r="R279" s="12">
        <v>0</v>
      </c>
      <c r="S279" s="12">
        <f>$G$279*$G$8+$H$279*$H$8+$I$279*$I$8+$J$279*$J$8+$K$279*$K$8+$L$279*$L$8+$M$279*$M$8+$N$279*$N$8+$O$279*$O$8+$P$279*$P$8</f>
        <v>0</v>
      </c>
      <c r="T279" s="12">
        <f>SUM($Q$279:$R$279)</f>
        <v>0</v>
      </c>
      <c r="U279" s="12">
        <f>$S$279+$T$279</f>
        <v>0</v>
      </c>
    </row>
    <row r="280" spans="1:21" x14ac:dyDescent="0.3">
      <c r="A280" s="13" t="s">
        <v>1043</v>
      </c>
      <c r="B280" s="14" t="s">
        <v>1044</v>
      </c>
      <c r="C280" s="14"/>
      <c r="D280" s="14" t="s">
        <v>1045</v>
      </c>
      <c r="E280" s="14">
        <f xml:space="preserve"> IF($U$280,1,0)</f>
        <v>0</v>
      </c>
      <c r="F280" s="14" t="s">
        <v>1046</v>
      </c>
      <c r="G280" s="14">
        <v>0</v>
      </c>
      <c r="H280" s="14">
        <v>0</v>
      </c>
      <c r="I280" s="14">
        <v>0</v>
      </c>
      <c r="J280" s="14">
        <v>0</v>
      </c>
      <c r="K280" s="14">
        <v>0</v>
      </c>
      <c r="L280" s="14">
        <v>0</v>
      </c>
      <c r="M280" s="14">
        <v>0</v>
      </c>
      <c r="N280" s="14">
        <v>0</v>
      </c>
      <c r="O280" s="14">
        <v>0</v>
      </c>
      <c r="P280" s="14">
        <v>0</v>
      </c>
      <c r="Q280" s="15">
        <v>0</v>
      </c>
      <c r="R280" s="15">
        <v>0</v>
      </c>
      <c r="S280" s="15">
        <f>$G$280*$G$8+$H$280*$H$8+$I$280*$I$8+$J$280*$J$8+$K$280*$K$8+$L$280*$L$8+$M$280*$M$8+$N$280*$N$8+$O$280*$O$8+$P$280*$P$8</f>
        <v>0</v>
      </c>
      <c r="T280" s="15">
        <f>SUM($Q$280:$R$280)</f>
        <v>0</v>
      </c>
      <c r="U280" s="15">
        <f>$S$280+$T$280</f>
        <v>0</v>
      </c>
    </row>
    <row r="281" spans="1:21" x14ac:dyDescent="0.3">
      <c r="A281" s="10" t="s">
        <v>1047</v>
      </c>
      <c r="B281" s="11" t="s">
        <v>1048</v>
      </c>
      <c r="C281" s="11"/>
      <c r="D281" s="11" t="s">
        <v>1049</v>
      </c>
      <c r="E281" s="11">
        <f xml:space="preserve"> IF($U$281,1,0)</f>
        <v>1</v>
      </c>
      <c r="F281" s="11" t="s">
        <v>1050</v>
      </c>
      <c r="G281" s="11">
        <v>2</v>
      </c>
      <c r="H281" s="11">
        <v>0</v>
      </c>
      <c r="I281" s="11">
        <v>0</v>
      </c>
      <c r="J281" s="11">
        <v>0</v>
      </c>
      <c r="K281" s="11">
        <v>0</v>
      </c>
      <c r="L281" s="11">
        <v>0</v>
      </c>
      <c r="M281" s="11">
        <v>0</v>
      </c>
      <c r="N281" s="11">
        <v>0</v>
      </c>
      <c r="O281" s="11">
        <v>0</v>
      </c>
      <c r="P281" s="11">
        <v>0</v>
      </c>
      <c r="Q281" s="12">
        <v>0</v>
      </c>
      <c r="R281" s="12">
        <v>0</v>
      </c>
      <c r="S281" s="12">
        <f>$G$281*$G$8+$H$281*$H$8+$I$281*$I$8+$J$281*$J$8+$K$281*$K$8+$L$281*$L$8+$M$281*$M$8+$N$281*$N$8+$O$281*$O$8+$P$281*$P$8</f>
        <v>1.4</v>
      </c>
      <c r="T281" s="12">
        <f>SUM($Q$281:$R$281)</f>
        <v>0</v>
      </c>
      <c r="U281" s="12">
        <f>$S$281+$T$281</f>
        <v>1.4</v>
      </c>
    </row>
    <row r="282" spans="1:21" x14ac:dyDescent="0.3">
      <c r="A282" s="13" t="s">
        <v>1051</v>
      </c>
      <c r="B282" s="14" t="s">
        <v>1052</v>
      </c>
      <c r="C282" s="14" t="s">
        <v>34</v>
      </c>
      <c r="D282" s="14" t="s">
        <v>1053</v>
      </c>
      <c r="E282" s="14">
        <f xml:space="preserve"> IF($U$282,1,0)</f>
        <v>0</v>
      </c>
      <c r="F282" s="14" t="s">
        <v>1054</v>
      </c>
      <c r="G282" s="14">
        <v>0</v>
      </c>
      <c r="H282" s="14">
        <v>0</v>
      </c>
      <c r="I282" s="14">
        <v>0</v>
      </c>
      <c r="J282" s="14">
        <v>0</v>
      </c>
      <c r="K282" s="14">
        <v>0</v>
      </c>
      <c r="L282" s="14">
        <v>0</v>
      </c>
      <c r="M282" s="14">
        <v>0</v>
      </c>
      <c r="N282" s="14">
        <v>0</v>
      </c>
      <c r="O282" s="14">
        <v>0</v>
      </c>
      <c r="P282" s="14">
        <v>0</v>
      </c>
      <c r="Q282" s="15">
        <v>0</v>
      </c>
      <c r="R282" s="15">
        <v>0</v>
      </c>
      <c r="S282" s="15">
        <f>$G$282*$G$8+$H$282*$H$8+$I$282*$I$8+$J$282*$J$8+$K$282*$K$8+$L$282*$L$8+$M$282*$M$8+$N$282*$N$8+$O$282*$O$8+$P$282*$P$8</f>
        <v>0</v>
      </c>
      <c r="T282" s="15">
        <f>SUM($Q$282:$R$282)</f>
        <v>0</v>
      </c>
      <c r="U282" s="15">
        <f>$S$282+$T$282</f>
        <v>0</v>
      </c>
    </row>
    <row r="283" spans="1:21" x14ac:dyDescent="0.3">
      <c r="A283" s="10" t="s">
        <v>1055</v>
      </c>
      <c r="B283" s="11" t="s">
        <v>1056</v>
      </c>
      <c r="C283" s="11" t="s">
        <v>243</v>
      </c>
      <c r="D283" s="11" t="s">
        <v>1057</v>
      </c>
      <c r="E283" s="11">
        <f xml:space="preserve"> IF($U$283,1,0)</f>
        <v>0</v>
      </c>
      <c r="F283" s="11" t="s">
        <v>1058</v>
      </c>
      <c r="G283" s="11">
        <v>0</v>
      </c>
      <c r="H283" s="11">
        <v>0</v>
      </c>
      <c r="I283" s="11">
        <v>0</v>
      </c>
      <c r="J283" s="11">
        <v>0</v>
      </c>
      <c r="K283" s="11">
        <v>0</v>
      </c>
      <c r="L283" s="11">
        <v>0</v>
      </c>
      <c r="M283" s="11">
        <v>0</v>
      </c>
      <c r="N283" s="11">
        <v>0</v>
      </c>
      <c r="O283" s="11">
        <v>0</v>
      </c>
      <c r="P283" s="11">
        <v>0</v>
      </c>
      <c r="Q283" s="12">
        <v>0</v>
      </c>
      <c r="R283" s="12">
        <v>0</v>
      </c>
      <c r="S283" s="12">
        <f>$G$283*$G$8+$H$283*$H$8+$I$283*$I$8+$J$283*$J$8+$K$283*$K$8+$L$283*$L$8+$M$283*$M$8+$N$283*$N$8+$O$283*$O$8+$P$283*$P$8</f>
        <v>0</v>
      </c>
      <c r="T283" s="12">
        <f>SUM($Q$283:$R$283)</f>
        <v>0</v>
      </c>
      <c r="U283" s="12">
        <f>$S$283+$T$283</f>
        <v>0</v>
      </c>
    </row>
    <row r="284" spans="1:21" x14ac:dyDescent="0.3">
      <c r="A284" s="13" t="s">
        <v>1059</v>
      </c>
      <c r="B284" s="14" t="s">
        <v>1056</v>
      </c>
      <c r="C284" s="14" t="s">
        <v>278</v>
      </c>
      <c r="D284" s="14" t="s">
        <v>1060</v>
      </c>
      <c r="E284" s="14">
        <f xml:space="preserve"> IF($U$284,1,0)</f>
        <v>0</v>
      </c>
      <c r="F284" s="14" t="s">
        <v>1061</v>
      </c>
      <c r="G284" s="14">
        <v>0</v>
      </c>
      <c r="H284" s="14">
        <v>0</v>
      </c>
      <c r="I284" s="14">
        <v>0</v>
      </c>
      <c r="J284" s="14">
        <v>0</v>
      </c>
      <c r="K284" s="14">
        <v>0</v>
      </c>
      <c r="L284" s="14">
        <v>0</v>
      </c>
      <c r="M284" s="14">
        <v>0</v>
      </c>
      <c r="N284" s="14">
        <v>0</v>
      </c>
      <c r="O284" s="14">
        <v>0</v>
      </c>
      <c r="P284" s="14">
        <v>0</v>
      </c>
      <c r="Q284" s="15">
        <v>0</v>
      </c>
      <c r="R284" s="15">
        <v>0</v>
      </c>
      <c r="S284" s="15">
        <f>$G$284*$G$8+$H$284*$H$8+$I$284*$I$8+$J$284*$J$8+$K$284*$K$8+$L$284*$L$8+$M$284*$M$8+$N$284*$N$8+$O$284*$O$8+$P$284*$P$8</f>
        <v>0</v>
      </c>
      <c r="T284" s="15">
        <f>SUM($Q$284:$R$284)</f>
        <v>0</v>
      </c>
      <c r="U284" s="15">
        <f>$S$284+$T$284</f>
        <v>0</v>
      </c>
    </row>
    <row r="285" spans="1:21" x14ac:dyDescent="0.3">
      <c r="A285" s="10" t="s">
        <v>1062</v>
      </c>
      <c r="B285" s="11" t="s">
        <v>1063</v>
      </c>
      <c r="C285" s="11"/>
      <c r="D285" s="11" t="s">
        <v>1064</v>
      </c>
      <c r="E285" s="11">
        <f xml:space="preserve"> IF($U$285,1,0)</f>
        <v>0</v>
      </c>
      <c r="F285" s="11" t="s">
        <v>1065</v>
      </c>
      <c r="G285" s="11">
        <v>0</v>
      </c>
      <c r="H285" s="11">
        <v>0</v>
      </c>
      <c r="I285" s="11">
        <v>0</v>
      </c>
      <c r="J285" s="11">
        <v>0</v>
      </c>
      <c r="K285" s="11">
        <v>0</v>
      </c>
      <c r="L285" s="11">
        <v>0</v>
      </c>
      <c r="M285" s="11">
        <v>0</v>
      </c>
      <c r="N285" s="11">
        <v>0</v>
      </c>
      <c r="O285" s="11">
        <v>0</v>
      </c>
      <c r="P285" s="11">
        <v>0</v>
      </c>
      <c r="Q285" s="12">
        <v>0</v>
      </c>
      <c r="R285" s="12">
        <v>0</v>
      </c>
      <c r="S285" s="12">
        <f>$G$285*$G$8+$H$285*$H$8+$I$285*$I$8+$J$285*$J$8+$K$285*$K$8+$L$285*$L$8+$M$285*$M$8+$N$285*$N$8+$O$285*$O$8+$P$285*$P$8</f>
        <v>0</v>
      </c>
      <c r="T285" s="12">
        <f>SUM($Q$285:$R$285)</f>
        <v>0</v>
      </c>
      <c r="U285" s="12">
        <f>$S$285+$T$285</f>
        <v>0</v>
      </c>
    </row>
    <row r="286" spans="1:21" x14ac:dyDescent="0.3">
      <c r="A286" s="13" t="s">
        <v>1066</v>
      </c>
      <c r="B286" s="14" t="s">
        <v>1067</v>
      </c>
      <c r="C286" s="14" t="s">
        <v>202</v>
      </c>
      <c r="D286" s="14" t="s">
        <v>1068</v>
      </c>
      <c r="E286" s="14">
        <f xml:space="preserve"> IF($U$286,1,0)</f>
        <v>0</v>
      </c>
      <c r="F286" s="14" t="s">
        <v>1069</v>
      </c>
      <c r="G286" s="14">
        <v>0</v>
      </c>
      <c r="H286" s="14">
        <v>0</v>
      </c>
      <c r="I286" s="14">
        <v>0</v>
      </c>
      <c r="J286" s="14">
        <v>0</v>
      </c>
      <c r="K286" s="14">
        <v>0</v>
      </c>
      <c r="L286" s="14">
        <v>0</v>
      </c>
      <c r="M286" s="14">
        <v>0</v>
      </c>
      <c r="N286" s="14">
        <v>0</v>
      </c>
      <c r="O286" s="14">
        <v>0</v>
      </c>
      <c r="P286" s="14">
        <v>0</v>
      </c>
      <c r="Q286" s="15">
        <v>0</v>
      </c>
      <c r="R286" s="15">
        <v>0</v>
      </c>
      <c r="S286" s="15">
        <f>$G$286*$G$8+$H$286*$H$8+$I$286*$I$8+$J$286*$J$8+$K$286*$K$8+$L$286*$L$8+$M$286*$M$8+$N$286*$N$8+$O$286*$O$8+$P$286*$P$8</f>
        <v>0</v>
      </c>
      <c r="T286" s="15">
        <f>SUM($Q$286:$R$286)</f>
        <v>0</v>
      </c>
      <c r="U286" s="15">
        <f>$S$286+$T$286</f>
        <v>0</v>
      </c>
    </row>
    <row r="287" spans="1:21" x14ac:dyDescent="0.3">
      <c r="A287" s="10" t="s">
        <v>1070</v>
      </c>
      <c r="B287" s="11" t="s">
        <v>1071</v>
      </c>
      <c r="C287" s="11"/>
      <c r="D287" s="11" t="s">
        <v>1072</v>
      </c>
      <c r="E287" s="11">
        <f xml:space="preserve"> IF($U$287,1,0)</f>
        <v>1</v>
      </c>
      <c r="F287" s="11" t="s">
        <v>1073</v>
      </c>
      <c r="G287" s="11">
        <v>1</v>
      </c>
      <c r="H287" s="11">
        <v>0</v>
      </c>
      <c r="I287" s="11">
        <v>0</v>
      </c>
      <c r="J287" s="11">
        <v>0</v>
      </c>
      <c r="K287" s="11">
        <v>0</v>
      </c>
      <c r="L287" s="11">
        <v>0</v>
      </c>
      <c r="M287" s="11">
        <v>0</v>
      </c>
      <c r="N287" s="11">
        <v>0</v>
      </c>
      <c r="O287" s="11">
        <v>0</v>
      </c>
      <c r="P287" s="11">
        <v>0</v>
      </c>
      <c r="Q287" s="12">
        <v>0</v>
      </c>
      <c r="R287" s="12">
        <v>0</v>
      </c>
      <c r="S287" s="12">
        <f>$G$287*$G$8+$H$287*$H$8+$I$287*$I$8+$J$287*$J$8+$K$287*$K$8+$L$287*$L$8+$M$287*$M$8+$N$287*$N$8+$O$287*$O$8+$P$287*$P$8</f>
        <v>0.7</v>
      </c>
      <c r="T287" s="12">
        <f>SUM($Q$287:$R$287)</f>
        <v>0</v>
      </c>
      <c r="U287" s="12">
        <f>$S$287+$T$287</f>
        <v>0.7</v>
      </c>
    </row>
    <row r="288" spans="1:21" x14ac:dyDescent="0.3">
      <c r="A288" s="13" t="s">
        <v>1074</v>
      </c>
      <c r="B288" s="14" t="s">
        <v>1071</v>
      </c>
      <c r="C288" s="14"/>
      <c r="D288" s="14" t="s">
        <v>1075</v>
      </c>
      <c r="E288" s="14">
        <f xml:space="preserve"> IF($U$288,1,0)</f>
        <v>1</v>
      </c>
      <c r="F288" s="14" t="s">
        <v>1076</v>
      </c>
      <c r="G288" s="14">
        <v>3</v>
      </c>
      <c r="H288" s="14">
        <v>0</v>
      </c>
      <c r="I288" s="14">
        <v>0</v>
      </c>
      <c r="J288" s="14">
        <v>0</v>
      </c>
      <c r="K288" s="14">
        <v>1</v>
      </c>
      <c r="L288" s="14">
        <v>0</v>
      </c>
      <c r="M288" s="14">
        <v>0</v>
      </c>
      <c r="N288" s="14">
        <v>0</v>
      </c>
      <c r="O288" s="14">
        <v>0</v>
      </c>
      <c r="P288" s="14">
        <v>3</v>
      </c>
      <c r="Q288" s="15">
        <v>0</v>
      </c>
      <c r="R288" s="15">
        <v>0</v>
      </c>
      <c r="S288" s="15">
        <f>$G$288*$G$8+$H$288*$H$8+$I$288*$I$8+$J$288*$J$8+$K$288*$K$8+$L$288*$L$8+$M$288*$M$8+$N$288*$N$8+$O$288*$O$8+$P$288*$P$8</f>
        <v>7.1</v>
      </c>
      <c r="T288" s="15">
        <f>SUM($Q$288:$R$288)</f>
        <v>0</v>
      </c>
      <c r="U288" s="15">
        <f>$S$288+$T$288</f>
        <v>7.1</v>
      </c>
    </row>
    <row r="289" spans="1:21" x14ac:dyDescent="0.3">
      <c r="A289" s="10" t="s">
        <v>1077</v>
      </c>
      <c r="B289" s="11" t="s">
        <v>1078</v>
      </c>
      <c r="C289" s="11"/>
      <c r="D289" s="11" t="s">
        <v>1079</v>
      </c>
      <c r="E289" s="11">
        <f xml:space="preserve"> IF($U$289,1,0)</f>
        <v>0</v>
      </c>
      <c r="F289" s="11" t="s">
        <v>1080</v>
      </c>
      <c r="G289" s="11">
        <v>0</v>
      </c>
      <c r="H289" s="11">
        <v>0</v>
      </c>
      <c r="I289" s="11">
        <v>0</v>
      </c>
      <c r="J289" s="11">
        <v>0</v>
      </c>
      <c r="K289" s="11">
        <v>0</v>
      </c>
      <c r="L289" s="11">
        <v>0</v>
      </c>
      <c r="M289" s="11">
        <v>0</v>
      </c>
      <c r="N289" s="11">
        <v>0</v>
      </c>
      <c r="O289" s="11">
        <v>0</v>
      </c>
      <c r="P289" s="11">
        <v>0</v>
      </c>
      <c r="Q289" s="12">
        <v>0</v>
      </c>
      <c r="R289" s="12">
        <v>0</v>
      </c>
      <c r="S289" s="12">
        <f>$G$289*$G$8+$H$289*$H$8+$I$289*$I$8+$J$289*$J$8+$K$289*$K$8+$L$289*$L$8+$M$289*$M$8+$N$289*$N$8+$O$289*$O$8+$P$289*$P$8</f>
        <v>0</v>
      </c>
      <c r="T289" s="12">
        <f>SUM($Q$289:$R$289)</f>
        <v>0</v>
      </c>
      <c r="U289" s="12">
        <f>$S$289+$T$289</f>
        <v>0</v>
      </c>
    </row>
    <row r="290" spans="1:21" x14ac:dyDescent="0.3">
      <c r="A290" s="13" t="s">
        <v>1081</v>
      </c>
      <c r="B290" s="14" t="s">
        <v>1082</v>
      </c>
      <c r="C290" s="14"/>
      <c r="D290" s="14" t="s">
        <v>1083</v>
      </c>
      <c r="E290" s="14">
        <f xml:space="preserve"> IF($U$290,1,0)</f>
        <v>0</v>
      </c>
      <c r="F290" s="14" t="s">
        <v>1084</v>
      </c>
      <c r="G290" s="14">
        <v>0</v>
      </c>
      <c r="H290" s="14">
        <v>0</v>
      </c>
      <c r="I290" s="14">
        <v>0</v>
      </c>
      <c r="J290" s="14">
        <v>0</v>
      </c>
      <c r="K290" s="14">
        <v>0</v>
      </c>
      <c r="L290" s="14">
        <v>0</v>
      </c>
      <c r="M290" s="14">
        <v>0</v>
      </c>
      <c r="N290" s="14">
        <v>0</v>
      </c>
      <c r="O290" s="14">
        <v>0</v>
      </c>
      <c r="P290" s="14">
        <v>0</v>
      </c>
      <c r="Q290" s="15">
        <v>0</v>
      </c>
      <c r="R290" s="15">
        <v>0</v>
      </c>
      <c r="S290" s="15">
        <f>$G$290*$G$8+$H$290*$H$8+$I$290*$I$8+$J$290*$J$8+$K$290*$K$8+$L$290*$L$8+$M$290*$M$8+$N$290*$N$8+$O$290*$O$8+$P$290*$P$8</f>
        <v>0</v>
      </c>
      <c r="T290" s="15">
        <f>SUM($Q$290:$R$290)</f>
        <v>0</v>
      </c>
      <c r="U290" s="15">
        <f>$S$290+$T$290</f>
        <v>0</v>
      </c>
    </row>
    <row r="291" spans="1:21" x14ac:dyDescent="0.3">
      <c r="A291" s="10" t="s">
        <v>1085</v>
      </c>
      <c r="B291" s="11" t="s">
        <v>1082</v>
      </c>
      <c r="C291" s="11"/>
      <c r="D291" s="11" t="s">
        <v>1086</v>
      </c>
      <c r="E291" s="11">
        <f xml:space="preserve"> IF($U$291,1,0)</f>
        <v>0</v>
      </c>
      <c r="F291" s="11" t="s">
        <v>1087</v>
      </c>
      <c r="G291" s="11">
        <v>0</v>
      </c>
      <c r="H291" s="11">
        <v>0</v>
      </c>
      <c r="I291" s="11">
        <v>0</v>
      </c>
      <c r="J291" s="11">
        <v>0</v>
      </c>
      <c r="K291" s="11">
        <v>0</v>
      </c>
      <c r="L291" s="11">
        <v>0</v>
      </c>
      <c r="M291" s="11">
        <v>0</v>
      </c>
      <c r="N291" s="11">
        <v>0</v>
      </c>
      <c r="O291" s="11">
        <v>0</v>
      </c>
      <c r="P291" s="11">
        <v>0</v>
      </c>
      <c r="Q291" s="12">
        <v>0</v>
      </c>
      <c r="R291" s="12">
        <v>0</v>
      </c>
      <c r="S291" s="12">
        <f>$G$291*$G$8+$H$291*$H$8+$I$291*$I$8+$J$291*$J$8+$K$291*$K$8+$L$291*$L$8+$M$291*$M$8+$N$291*$N$8+$O$291*$O$8+$P$291*$P$8</f>
        <v>0</v>
      </c>
      <c r="T291" s="12">
        <f>SUM($Q$291:$R$291)</f>
        <v>0</v>
      </c>
      <c r="U291" s="12">
        <f>$S$291+$T$291</f>
        <v>0</v>
      </c>
    </row>
    <row r="292" spans="1:21" x14ac:dyDescent="0.3">
      <c r="A292" s="13" t="s">
        <v>1088</v>
      </c>
      <c r="B292" s="14" t="s">
        <v>1082</v>
      </c>
      <c r="C292" s="14" t="s">
        <v>65</v>
      </c>
      <c r="D292" s="14" t="s">
        <v>1089</v>
      </c>
      <c r="E292" s="14">
        <f xml:space="preserve"> IF($U$292,1,0)</f>
        <v>0</v>
      </c>
      <c r="F292" s="14" t="s">
        <v>1090</v>
      </c>
      <c r="G292" s="14">
        <v>0</v>
      </c>
      <c r="H292" s="14">
        <v>0</v>
      </c>
      <c r="I292" s="14">
        <v>0</v>
      </c>
      <c r="J292" s="14">
        <v>0</v>
      </c>
      <c r="K292" s="14">
        <v>0</v>
      </c>
      <c r="L292" s="14">
        <v>0</v>
      </c>
      <c r="M292" s="14">
        <v>0</v>
      </c>
      <c r="N292" s="14">
        <v>0</v>
      </c>
      <c r="O292" s="14">
        <v>0</v>
      </c>
      <c r="P292" s="14">
        <v>0</v>
      </c>
      <c r="Q292" s="15">
        <v>0</v>
      </c>
      <c r="R292" s="15">
        <v>0</v>
      </c>
      <c r="S292" s="15">
        <f>$G$292*$G$8+$H$292*$H$8+$I$292*$I$8+$J$292*$J$8+$K$292*$K$8+$L$292*$L$8+$M$292*$M$8+$N$292*$N$8+$O$292*$O$8+$P$292*$P$8</f>
        <v>0</v>
      </c>
      <c r="T292" s="15">
        <f>SUM($Q$292:$R$292)</f>
        <v>0</v>
      </c>
      <c r="U292" s="15">
        <f>$S$292+$T$292</f>
        <v>0</v>
      </c>
    </row>
    <row r="293" spans="1:21" x14ac:dyDescent="0.3">
      <c r="A293" s="10" t="s">
        <v>1091</v>
      </c>
      <c r="B293" s="11" t="s">
        <v>1082</v>
      </c>
      <c r="C293" s="11"/>
      <c r="D293" s="11" t="s">
        <v>1092</v>
      </c>
      <c r="E293" s="11">
        <f xml:space="preserve"> IF($U$293,1,0)</f>
        <v>0</v>
      </c>
      <c r="F293" s="11" t="s">
        <v>1093</v>
      </c>
      <c r="G293" s="11">
        <v>0</v>
      </c>
      <c r="H293" s="11">
        <v>0</v>
      </c>
      <c r="I293" s="11">
        <v>0</v>
      </c>
      <c r="J293" s="11">
        <v>0</v>
      </c>
      <c r="K293" s="11">
        <v>0</v>
      </c>
      <c r="L293" s="11">
        <v>0</v>
      </c>
      <c r="M293" s="11">
        <v>0</v>
      </c>
      <c r="N293" s="11">
        <v>0</v>
      </c>
      <c r="O293" s="11">
        <v>0</v>
      </c>
      <c r="P293" s="11">
        <v>0</v>
      </c>
      <c r="Q293" s="12">
        <v>0</v>
      </c>
      <c r="R293" s="12">
        <v>0</v>
      </c>
      <c r="S293" s="12">
        <f>$G$293*$G$8+$H$293*$H$8+$I$293*$I$8+$J$293*$J$8+$K$293*$K$8+$L$293*$L$8+$M$293*$M$8+$N$293*$N$8+$O$293*$O$8+$P$293*$P$8</f>
        <v>0</v>
      </c>
      <c r="T293" s="12">
        <f>SUM($Q$293:$R$293)</f>
        <v>0</v>
      </c>
      <c r="U293" s="12">
        <f>$S$293+$T$293</f>
        <v>0</v>
      </c>
    </row>
    <row r="294" spans="1:21" x14ac:dyDescent="0.3">
      <c r="A294" s="13" t="s">
        <v>1094</v>
      </c>
      <c r="B294" s="14" t="s">
        <v>1095</v>
      </c>
      <c r="C294" s="14" t="s">
        <v>34</v>
      </c>
      <c r="D294" s="14" t="s">
        <v>1096</v>
      </c>
      <c r="E294" s="14">
        <f xml:space="preserve"> IF($U$294,1,0)</f>
        <v>0</v>
      </c>
      <c r="F294" s="14" t="s">
        <v>1097</v>
      </c>
      <c r="G294" s="14">
        <v>0</v>
      </c>
      <c r="H294" s="14">
        <v>0</v>
      </c>
      <c r="I294" s="14">
        <v>0</v>
      </c>
      <c r="J294" s="14">
        <v>0</v>
      </c>
      <c r="K294" s="14">
        <v>0</v>
      </c>
      <c r="L294" s="14">
        <v>0</v>
      </c>
      <c r="M294" s="14">
        <v>0</v>
      </c>
      <c r="N294" s="14">
        <v>0</v>
      </c>
      <c r="O294" s="14">
        <v>0</v>
      </c>
      <c r="P294" s="14">
        <v>0</v>
      </c>
      <c r="Q294" s="15">
        <v>0</v>
      </c>
      <c r="R294" s="15">
        <v>0</v>
      </c>
      <c r="S294" s="15">
        <f>$G$294*$G$8+$H$294*$H$8+$I$294*$I$8+$J$294*$J$8+$K$294*$K$8+$L$294*$L$8+$M$294*$M$8+$N$294*$N$8+$O$294*$O$8+$P$294*$P$8</f>
        <v>0</v>
      </c>
      <c r="T294" s="15">
        <f>SUM($Q$294:$R$294)</f>
        <v>0</v>
      </c>
      <c r="U294" s="15">
        <f>$S$294+$T$294</f>
        <v>0</v>
      </c>
    </row>
    <row r="295" spans="1:21" x14ac:dyDescent="0.3">
      <c r="A295" s="10" t="s">
        <v>1098</v>
      </c>
      <c r="B295" s="11" t="s">
        <v>1099</v>
      </c>
      <c r="C295" s="11"/>
      <c r="D295" s="11" t="s">
        <v>1100</v>
      </c>
      <c r="E295" s="11">
        <f xml:space="preserve"> IF($U$295,1,0)</f>
        <v>0</v>
      </c>
      <c r="F295" s="11" t="s">
        <v>1101</v>
      </c>
      <c r="G295" s="11">
        <v>0</v>
      </c>
      <c r="H295" s="11">
        <v>0</v>
      </c>
      <c r="I295" s="11">
        <v>0</v>
      </c>
      <c r="J295" s="11">
        <v>0</v>
      </c>
      <c r="K295" s="11">
        <v>0</v>
      </c>
      <c r="L295" s="11">
        <v>0</v>
      </c>
      <c r="M295" s="11">
        <v>0</v>
      </c>
      <c r="N295" s="11">
        <v>0</v>
      </c>
      <c r="O295" s="11">
        <v>0</v>
      </c>
      <c r="P295" s="11">
        <v>0</v>
      </c>
      <c r="Q295" s="12">
        <v>0</v>
      </c>
      <c r="R295" s="12">
        <v>0</v>
      </c>
      <c r="S295" s="12">
        <f>$G$295*$G$8+$H$295*$H$8+$I$295*$I$8+$J$295*$J$8+$K$295*$K$8+$L$295*$L$8+$M$295*$M$8+$N$295*$N$8+$O$295*$O$8+$P$295*$P$8</f>
        <v>0</v>
      </c>
      <c r="T295" s="12">
        <f>SUM($Q$295:$R$295)</f>
        <v>0</v>
      </c>
      <c r="U295" s="12">
        <f>$S$295+$T$295</f>
        <v>0</v>
      </c>
    </row>
    <row r="296" spans="1:21" x14ac:dyDescent="0.3">
      <c r="A296" s="13" t="s">
        <v>1102</v>
      </c>
      <c r="B296" s="14" t="s">
        <v>1103</v>
      </c>
      <c r="C296" s="14"/>
      <c r="D296" s="14" t="s">
        <v>1104</v>
      </c>
      <c r="E296" s="14">
        <f xml:space="preserve"> IF($U$296,1,0)</f>
        <v>0</v>
      </c>
      <c r="F296" s="14" t="s">
        <v>1105</v>
      </c>
      <c r="G296" s="14">
        <v>0</v>
      </c>
      <c r="H296" s="14">
        <v>0</v>
      </c>
      <c r="I296" s="14">
        <v>0</v>
      </c>
      <c r="J296" s="14">
        <v>0</v>
      </c>
      <c r="K296" s="14">
        <v>0</v>
      </c>
      <c r="L296" s="14">
        <v>0</v>
      </c>
      <c r="M296" s="14">
        <v>0</v>
      </c>
      <c r="N296" s="14">
        <v>0</v>
      </c>
      <c r="O296" s="14">
        <v>0</v>
      </c>
      <c r="P296" s="14">
        <v>0</v>
      </c>
      <c r="Q296" s="15">
        <v>0</v>
      </c>
      <c r="R296" s="15">
        <v>0</v>
      </c>
      <c r="S296" s="15">
        <f>$G$296*$G$8+$H$296*$H$8+$I$296*$I$8+$J$296*$J$8+$K$296*$K$8+$L$296*$L$8+$M$296*$M$8+$N$296*$N$8+$O$296*$O$8+$P$296*$P$8</f>
        <v>0</v>
      </c>
      <c r="T296" s="15">
        <f>SUM($Q$296:$R$296)</f>
        <v>0</v>
      </c>
      <c r="U296" s="15">
        <f>$S$296+$T$296</f>
        <v>0</v>
      </c>
    </row>
    <row r="297" spans="1:21" x14ac:dyDescent="0.3">
      <c r="A297" s="10" t="s">
        <v>1106</v>
      </c>
      <c r="B297" s="11" t="s">
        <v>1107</v>
      </c>
      <c r="C297" s="11"/>
      <c r="D297" s="11" t="s">
        <v>1107</v>
      </c>
      <c r="E297" s="11">
        <f xml:space="preserve"> IF($U$297,1,0)</f>
        <v>0</v>
      </c>
      <c r="F297" s="11" t="s">
        <v>1108</v>
      </c>
      <c r="G297" s="11">
        <v>0</v>
      </c>
      <c r="H297" s="11">
        <v>0</v>
      </c>
      <c r="I297" s="11">
        <v>0</v>
      </c>
      <c r="J297" s="11">
        <v>0</v>
      </c>
      <c r="K297" s="11">
        <v>0</v>
      </c>
      <c r="L297" s="11">
        <v>0</v>
      </c>
      <c r="M297" s="11">
        <v>0</v>
      </c>
      <c r="N297" s="11">
        <v>0</v>
      </c>
      <c r="O297" s="11">
        <v>0</v>
      </c>
      <c r="P297" s="11">
        <v>0</v>
      </c>
      <c r="Q297" s="12">
        <v>0</v>
      </c>
      <c r="R297" s="12">
        <v>0</v>
      </c>
      <c r="S297" s="12">
        <f>$G$297*$G$8+$H$297*$H$8+$I$297*$I$8+$J$297*$J$8+$K$297*$K$8+$L$297*$L$8+$M$297*$M$8+$N$297*$N$8+$O$297*$O$8+$P$297*$P$8</f>
        <v>0</v>
      </c>
      <c r="T297" s="12">
        <f>SUM($Q$297:$R$297)</f>
        <v>0</v>
      </c>
      <c r="U297" s="12">
        <f>$S$297+$T$297</f>
        <v>0</v>
      </c>
    </row>
    <row r="298" spans="1:21" x14ac:dyDescent="0.3">
      <c r="A298" s="13" t="s">
        <v>1109</v>
      </c>
      <c r="B298" s="14" t="s">
        <v>1110</v>
      </c>
      <c r="C298" s="14" t="s">
        <v>34</v>
      </c>
      <c r="D298" s="14" t="s">
        <v>1111</v>
      </c>
      <c r="E298" s="14">
        <f xml:space="preserve"> IF($U$298,1,0)</f>
        <v>0</v>
      </c>
      <c r="F298" s="14" t="s">
        <v>1112</v>
      </c>
      <c r="G298" s="14">
        <v>0</v>
      </c>
      <c r="H298" s="14">
        <v>0</v>
      </c>
      <c r="I298" s="14">
        <v>0</v>
      </c>
      <c r="J298" s="14">
        <v>0</v>
      </c>
      <c r="K298" s="14">
        <v>0</v>
      </c>
      <c r="L298" s="14">
        <v>0</v>
      </c>
      <c r="M298" s="14">
        <v>0</v>
      </c>
      <c r="N298" s="14">
        <v>0</v>
      </c>
      <c r="O298" s="14">
        <v>0</v>
      </c>
      <c r="P298" s="14">
        <v>0</v>
      </c>
      <c r="Q298" s="15">
        <v>0</v>
      </c>
      <c r="R298" s="15">
        <v>0</v>
      </c>
      <c r="S298" s="15">
        <f>$G$298*$G$8+$H$298*$H$8+$I$298*$I$8+$J$298*$J$8+$K$298*$K$8+$L$298*$L$8+$M$298*$M$8+$N$298*$N$8+$O$298*$O$8+$P$298*$P$8</f>
        <v>0</v>
      </c>
      <c r="T298" s="15">
        <f>SUM($Q$298:$R$298)</f>
        <v>0</v>
      </c>
      <c r="U298" s="15">
        <f>$S$298+$T$298</f>
        <v>0</v>
      </c>
    </row>
    <row r="299" spans="1:21" x14ac:dyDescent="0.3">
      <c r="A299" s="10" t="s">
        <v>1113</v>
      </c>
      <c r="B299" s="11" t="s">
        <v>1114</v>
      </c>
      <c r="C299" s="11" t="s">
        <v>34</v>
      </c>
      <c r="D299" s="11" t="s">
        <v>239</v>
      </c>
      <c r="E299" s="11">
        <f xml:space="preserve"> IF($U$299,1,0)</f>
        <v>0</v>
      </c>
      <c r="F299" s="11" t="s">
        <v>1115</v>
      </c>
      <c r="G299" s="11">
        <v>0</v>
      </c>
      <c r="H299" s="11">
        <v>0</v>
      </c>
      <c r="I299" s="11">
        <v>0</v>
      </c>
      <c r="J299" s="11">
        <v>0</v>
      </c>
      <c r="K299" s="11">
        <v>0</v>
      </c>
      <c r="L299" s="11">
        <v>0</v>
      </c>
      <c r="M299" s="11">
        <v>0</v>
      </c>
      <c r="N299" s="11">
        <v>0</v>
      </c>
      <c r="O299" s="11">
        <v>0</v>
      </c>
      <c r="P299" s="11">
        <v>0</v>
      </c>
      <c r="Q299" s="12">
        <v>0</v>
      </c>
      <c r="R299" s="12">
        <v>0</v>
      </c>
      <c r="S299" s="12">
        <f>$G$299*$G$8+$H$299*$H$8+$I$299*$I$8+$J$299*$J$8+$K$299*$K$8+$L$299*$L$8+$M$299*$M$8+$N$299*$N$8+$O$299*$O$8+$P$299*$P$8</f>
        <v>0</v>
      </c>
      <c r="T299" s="12">
        <f>SUM($Q$299:$R$299)</f>
        <v>0</v>
      </c>
      <c r="U299" s="12">
        <f>$S$299+$T$299</f>
        <v>0</v>
      </c>
    </row>
    <row r="300" spans="1:21" x14ac:dyDescent="0.3">
      <c r="A300" s="13" t="s">
        <v>1257</v>
      </c>
      <c r="B300" s="14" t="s">
        <v>1117</v>
      </c>
      <c r="C300" s="14" t="s">
        <v>202</v>
      </c>
      <c r="D300" s="14" t="s">
        <v>442</v>
      </c>
      <c r="E300" s="14">
        <f xml:space="preserve"> IF($U$300,1,0)</f>
        <v>1</v>
      </c>
      <c r="F300" s="14" t="s">
        <v>1258</v>
      </c>
      <c r="G300" s="14">
        <v>4</v>
      </c>
      <c r="H300" s="14">
        <v>0</v>
      </c>
      <c r="I300" s="14">
        <v>0</v>
      </c>
      <c r="J300" s="14">
        <v>0</v>
      </c>
      <c r="K300" s="14">
        <v>0</v>
      </c>
      <c r="L300" s="14">
        <v>0</v>
      </c>
      <c r="M300" s="14">
        <v>0</v>
      </c>
      <c r="N300" s="14">
        <v>0</v>
      </c>
      <c r="O300" s="14">
        <v>0</v>
      </c>
      <c r="P300" s="14">
        <v>0</v>
      </c>
      <c r="Q300" s="15">
        <v>0</v>
      </c>
      <c r="R300" s="15">
        <v>0</v>
      </c>
      <c r="S300" s="15">
        <f>$G$300*$G$8+$H$300*$H$8+$I$300*$I$8+$J$300*$J$8+$K$300*$K$8+$L$300*$L$8+$M$300*$M$8+$N$300*$N$8+$O$300*$O$8+$P$300*$P$8</f>
        <v>2.8</v>
      </c>
      <c r="T300" s="15">
        <f>SUM($Q$300:$R$300)</f>
        <v>0</v>
      </c>
      <c r="U300" s="15">
        <f>$S$300+$T$300</f>
        <v>2.8</v>
      </c>
    </row>
    <row r="301" spans="1:21" x14ac:dyDescent="0.3">
      <c r="A301" s="10" t="s">
        <v>1116</v>
      </c>
      <c r="B301" s="11" t="s">
        <v>1117</v>
      </c>
      <c r="C301" s="11"/>
      <c r="D301" s="11" t="s">
        <v>1118</v>
      </c>
      <c r="E301" s="11">
        <f xml:space="preserve"> IF($U$301,1,0)</f>
        <v>0</v>
      </c>
      <c r="F301" s="11" t="s">
        <v>1119</v>
      </c>
      <c r="G301" s="11">
        <v>0</v>
      </c>
      <c r="H301" s="11">
        <v>0</v>
      </c>
      <c r="I301" s="11">
        <v>0</v>
      </c>
      <c r="J301" s="11">
        <v>0</v>
      </c>
      <c r="K301" s="11">
        <v>0</v>
      </c>
      <c r="L301" s="11">
        <v>0</v>
      </c>
      <c r="M301" s="11">
        <v>0</v>
      </c>
      <c r="N301" s="11">
        <v>0</v>
      </c>
      <c r="O301" s="11">
        <v>0</v>
      </c>
      <c r="P301" s="11">
        <v>0</v>
      </c>
      <c r="Q301" s="12">
        <v>0</v>
      </c>
      <c r="R301" s="12">
        <v>0</v>
      </c>
      <c r="S301" s="12">
        <f>$G$301*$G$8+$H$301*$H$8+$I$301*$I$8+$J$301*$J$8+$K$301*$K$8+$L$301*$L$8+$M$301*$M$8+$N$301*$N$8+$O$301*$O$8+$P$301*$P$8</f>
        <v>0</v>
      </c>
      <c r="T301" s="12">
        <f>SUM($Q$301:$R$301)</f>
        <v>0</v>
      </c>
      <c r="U301" s="12">
        <f>$S$301+$T$301</f>
        <v>0</v>
      </c>
    </row>
    <row r="302" spans="1:21" x14ac:dyDescent="0.3">
      <c r="A302" s="13" t="s">
        <v>1120</v>
      </c>
      <c r="B302" s="14" t="s">
        <v>1117</v>
      </c>
      <c r="C302" s="14"/>
      <c r="D302" s="14" t="s">
        <v>1121</v>
      </c>
      <c r="E302" s="14">
        <f xml:space="preserve"> IF($U$302,1,0)</f>
        <v>0</v>
      </c>
      <c r="F302" s="14" t="s">
        <v>1122</v>
      </c>
      <c r="G302" s="14">
        <v>0</v>
      </c>
      <c r="H302" s="14">
        <v>0</v>
      </c>
      <c r="I302" s="14">
        <v>0</v>
      </c>
      <c r="J302" s="14">
        <v>0</v>
      </c>
      <c r="K302" s="14">
        <v>0</v>
      </c>
      <c r="L302" s="14">
        <v>0</v>
      </c>
      <c r="M302" s="14">
        <v>0</v>
      </c>
      <c r="N302" s="14">
        <v>0</v>
      </c>
      <c r="O302" s="14">
        <v>0</v>
      </c>
      <c r="P302" s="14">
        <v>0</v>
      </c>
      <c r="Q302" s="15">
        <v>0</v>
      </c>
      <c r="R302" s="15">
        <v>0</v>
      </c>
      <c r="S302" s="15">
        <f>$G$302*$G$8+$H$302*$H$8+$I$302*$I$8+$J$302*$J$8+$K$302*$K$8+$L$302*$L$8+$M$302*$M$8+$N$302*$N$8+$O$302*$O$8+$P$302*$P$8</f>
        <v>0</v>
      </c>
      <c r="T302" s="15">
        <f>SUM($Q$302:$R$302)</f>
        <v>0</v>
      </c>
      <c r="U302" s="15">
        <f>$S$302+$T$302</f>
        <v>0</v>
      </c>
    </row>
    <row r="303" spans="1:21" x14ac:dyDescent="0.3">
      <c r="A303" s="10" t="s">
        <v>1123</v>
      </c>
      <c r="B303" s="11" t="s">
        <v>1117</v>
      </c>
      <c r="C303" s="11"/>
      <c r="D303" s="11" t="s">
        <v>1124</v>
      </c>
      <c r="E303" s="11">
        <f xml:space="preserve"> IF($U$303,1,0)</f>
        <v>0</v>
      </c>
      <c r="F303" s="11" t="s">
        <v>1125</v>
      </c>
      <c r="G303" s="11">
        <v>0</v>
      </c>
      <c r="H303" s="11">
        <v>0</v>
      </c>
      <c r="I303" s="11">
        <v>0</v>
      </c>
      <c r="J303" s="11">
        <v>0</v>
      </c>
      <c r="K303" s="11">
        <v>0</v>
      </c>
      <c r="L303" s="11">
        <v>0</v>
      </c>
      <c r="M303" s="11">
        <v>0</v>
      </c>
      <c r="N303" s="11">
        <v>0</v>
      </c>
      <c r="O303" s="11">
        <v>0</v>
      </c>
      <c r="P303" s="11">
        <v>0</v>
      </c>
      <c r="Q303" s="12">
        <v>0</v>
      </c>
      <c r="R303" s="12">
        <v>0</v>
      </c>
      <c r="S303" s="12">
        <f>$G$303*$G$8+$H$303*$H$8+$I$303*$I$8+$J$303*$J$8+$K$303*$K$8+$L$303*$L$8+$M$303*$M$8+$N$303*$N$8+$O$303*$O$8+$P$303*$P$8</f>
        <v>0</v>
      </c>
      <c r="T303" s="12">
        <f>SUM($Q$303:$R$303)</f>
        <v>0</v>
      </c>
      <c r="U303" s="12">
        <f>$S$303+$T$303</f>
        <v>0</v>
      </c>
    </row>
    <row r="304" spans="1:21" x14ac:dyDescent="0.3">
      <c r="A304" s="13" t="s">
        <v>1126</v>
      </c>
      <c r="B304" s="14" t="s">
        <v>1117</v>
      </c>
      <c r="C304" s="14"/>
      <c r="D304" s="14" t="s">
        <v>1127</v>
      </c>
      <c r="E304" s="14">
        <f xml:space="preserve"> IF($U$304,1,0)</f>
        <v>0</v>
      </c>
      <c r="F304" s="14" t="s">
        <v>1128</v>
      </c>
      <c r="G304" s="14">
        <v>0</v>
      </c>
      <c r="H304" s="14">
        <v>0</v>
      </c>
      <c r="I304" s="14">
        <v>0</v>
      </c>
      <c r="J304" s="14">
        <v>0</v>
      </c>
      <c r="K304" s="14">
        <v>0</v>
      </c>
      <c r="L304" s="14">
        <v>0</v>
      </c>
      <c r="M304" s="14">
        <v>0</v>
      </c>
      <c r="N304" s="14">
        <v>0</v>
      </c>
      <c r="O304" s="14">
        <v>0</v>
      </c>
      <c r="P304" s="14">
        <v>0</v>
      </c>
      <c r="Q304" s="15">
        <v>0</v>
      </c>
      <c r="R304" s="15">
        <v>0</v>
      </c>
      <c r="S304" s="15">
        <f>$G$304*$G$8+$H$304*$H$8+$I$304*$I$8+$J$304*$J$8+$K$304*$K$8+$L$304*$L$8+$M$304*$M$8+$N$304*$N$8+$O$304*$O$8+$P$304*$P$8</f>
        <v>0</v>
      </c>
      <c r="T304" s="15">
        <f>SUM($Q$304:$R$304)</f>
        <v>0</v>
      </c>
      <c r="U304" s="15">
        <f>$S$304+$T$304</f>
        <v>0</v>
      </c>
    </row>
    <row r="305" spans="1:21" x14ac:dyDescent="0.3">
      <c r="A305" s="10" t="s">
        <v>1129</v>
      </c>
      <c r="B305" s="11" t="s">
        <v>1130</v>
      </c>
      <c r="C305" s="11" t="s">
        <v>34</v>
      </c>
      <c r="D305" s="11" t="s">
        <v>1131</v>
      </c>
      <c r="E305" s="11">
        <f xml:space="preserve"> IF($U$305,1,0)</f>
        <v>0</v>
      </c>
      <c r="F305" s="11" t="s">
        <v>1132</v>
      </c>
      <c r="G305" s="11">
        <v>0</v>
      </c>
      <c r="H305" s="11">
        <v>0</v>
      </c>
      <c r="I305" s="11">
        <v>0</v>
      </c>
      <c r="J305" s="11">
        <v>0</v>
      </c>
      <c r="K305" s="11">
        <v>0</v>
      </c>
      <c r="L305" s="11">
        <v>0</v>
      </c>
      <c r="M305" s="11">
        <v>0</v>
      </c>
      <c r="N305" s="11">
        <v>0</v>
      </c>
      <c r="O305" s="11">
        <v>0</v>
      </c>
      <c r="P305" s="11">
        <v>0</v>
      </c>
      <c r="Q305" s="12">
        <v>0</v>
      </c>
      <c r="R305" s="12">
        <v>0</v>
      </c>
      <c r="S305" s="12">
        <f>$G$305*$G$8+$H$305*$H$8+$I$305*$I$8+$J$305*$J$8+$K$305*$K$8+$L$305*$L$8+$M$305*$M$8+$N$305*$N$8+$O$305*$O$8+$P$305*$P$8</f>
        <v>0</v>
      </c>
      <c r="T305" s="12">
        <f>SUM($Q$305:$R$305)</f>
        <v>0</v>
      </c>
      <c r="U305" s="12">
        <f>$S$305+$T$305</f>
        <v>0</v>
      </c>
    </row>
    <row r="306" spans="1:21" x14ac:dyDescent="0.3">
      <c r="A306" s="13" t="s">
        <v>1133</v>
      </c>
      <c r="B306" s="14" t="s">
        <v>1134</v>
      </c>
      <c r="C306" s="14"/>
      <c r="D306" s="14" t="s">
        <v>1135</v>
      </c>
      <c r="E306" s="14">
        <f xml:space="preserve"> IF($U$306,1,0)</f>
        <v>0</v>
      </c>
      <c r="F306" s="14" t="s">
        <v>1136</v>
      </c>
      <c r="G306" s="14">
        <v>0</v>
      </c>
      <c r="H306" s="14">
        <v>0</v>
      </c>
      <c r="I306" s="14">
        <v>0</v>
      </c>
      <c r="J306" s="14">
        <v>0</v>
      </c>
      <c r="K306" s="14">
        <v>0</v>
      </c>
      <c r="L306" s="14">
        <v>0</v>
      </c>
      <c r="M306" s="14">
        <v>0</v>
      </c>
      <c r="N306" s="14">
        <v>0</v>
      </c>
      <c r="O306" s="14">
        <v>0</v>
      </c>
      <c r="P306" s="14">
        <v>0</v>
      </c>
      <c r="Q306" s="15">
        <v>0</v>
      </c>
      <c r="R306" s="15">
        <v>0</v>
      </c>
      <c r="S306" s="15">
        <f>$G$306*$G$8+$H$306*$H$8+$I$306*$I$8+$J$306*$J$8+$K$306*$K$8+$L$306*$L$8+$M$306*$M$8+$N$306*$N$8+$O$306*$O$8+$P$306*$P$8</f>
        <v>0</v>
      </c>
      <c r="T306" s="15">
        <f>SUM($Q$306:$R$306)</f>
        <v>0</v>
      </c>
      <c r="U306" s="15">
        <f>$S$306+$T$306</f>
        <v>0</v>
      </c>
    </row>
    <row r="307" spans="1:21" x14ac:dyDescent="0.3">
      <c r="A307" s="10" t="s">
        <v>1137</v>
      </c>
      <c r="B307" s="11" t="s">
        <v>1138</v>
      </c>
      <c r="C307" s="11"/>
      <c r="D307" s="11" t="s">
        <v>1139</v>
      </c>
      <c r="E307" s="11">
        <f xml:space="preserve"> IF($U$307,1,0)</f>
        <v>0</v>
      </c>
      <c r="F307" s="11" t="s">
        <v>1140</v>
      </c>
      <c r="G307" s="11">
        <v>0</v>
      </c>
      <c r="H307" s="11">
        <v>0</v>
      </c>
      <c r="I307" s="11">
        <v>0</v>
      </c>
      <c r="J307" s="11">
        <v>0</v>
      </c>
      <c r="K307" s="11">
        <v>0</v>
      </c>
      <c r="L307" s="11">
        <v>0</v>
      </c>
      <c r="M307" s="11">
        <v>0</v>
      </c>
      <c r="N307" s="11">
        <v>0</v>
      </c>
      <c r="O307" s="11">
        <v>0</v>
      </c>
      <c r="P307" s="11">
        <v>0</v>
      </c>
      <c r="Q307" s="12">
        <v>0</v>
      </c>
      <c r="R307" s="12">
        <v>0</v>
      </c>
      <c r="S307" s="12">
        <f>$G$307*$G$8+$H$307*$H$8+$I$307*$I$8+$J$307*$J$8+$K$307*$K$8+$L$307*$L$8+$M$307*$M$8+$N$307*$N$8+$O$307*$O$8+$P$307*$P$8</f>
        <v>0</v>
      </c>
      <c r="T307" s="12">
        <f>SUM($Q$307:$R$307)</f>
        <v>0</v>
      </c>
      <c r="U307" s="12">
        <f>$S$307+$T$307</f>
        <v>0</v>
      </c>
    </row>
    <row r="308" spans="1:21" x14ac:dyDescent="0.3">
      <c r="A308" s="13" t="s">
        <v>1141</v>
      </c>
      <c r="B308" s="14" t="s">
        <v>1142</v>
      </c>
      <c r="C308" s="14" t="s">
        <v>202</v>
      </c>
      <c r="D308" s="14" t="s">
        <v>442</v>
      </c>
      <c r="E308" s="14">
        <f xml:space="preserve"> IF($U$308,1,0)</f>
        <v>0</v>
      </c>
      <c r="F308" s="14" t="s">
        <v>1143</v>
      </c>
      <c r="G308" s="14">
        <v>0</v>
      </c>
      <c r="H308" s="14">
        <v>0</v>
      </c>
      <c r="I308" s="14">
        <v>0</v>
      </c>
      <c r="J308" s="14">
        <v>0</v>
      </c>
      <c r="K308" s="14">
        <v>0</v>
      </c>
      <c r="L308" s="14">
        <v>0</v>
      </c>
      <c r="M308" s="14">
        <v>0</v>
      </c>
      <c r="N308" s="14">
        <v>0</v>
      </c>
      <c r="O308" s="14">
        <v>0</v>
      </c>
      <c r="P308" s="14">
        <v>0</v>
      </c>
      <c r="Q308" s="15">
        <v>0</v>
      </c>
      <c r="R308" s="15">
        <v>0</v>
      </c>
      <c r="S308" s="15">
        <f>$G$308*$G$8+$H$308*$H$8+$I$308*$I$8+$J$308*$J$8+$K$308*$K$8+$L$308*$L$8+$M$308*$M$8+$N$308*$N$8+$O$308*$O$8+$P$308*$P$8</f>
        <v>0</v>
      </c>
      <c r="T308" s="15">
        <f>SUM($Q$308:$R$308)</f>
        <v>0</v>
      </c>
      <c r="U308" s="15">
        <f>$S$308+$T$308</f>
        <v>0</v>
      </c>
    </row>
    <row r="309" spans="1:21" x14ac:dyDescent="0.3">
      <c r="A309" s="10" t="s">
        <v>1144</v>
      </c>
      <c r="B309" s="11" t="s">
        <v>1142</v>
      </c>
      <c r="C309" s="11"/>
      <c r="D309" s="11" t="s">
        <v>1145</v>
      </c>
      <c r="E309" s="11">
        <f xml:space="preserve"> IF($U$309,1,0)</f>
        <v>1</v>
      </c>
      <c r="F309" s="11" t="s">
        <v>1146</v>
      </c>
      <c r="G309" s="11">
        <v>3</v>
      </c>
      <c r="H309" s="11">
        <v>0</v>
      </c>
      <c r="I309" s="11">
        <v>1</v>
      </c>
      <c r="J309" s="11">
        <v>0</v>
      </c>
      <c r="K309" s="11">
        <v>0</v>
      </c>
      <c r="L309" s="11">
        <v>0</v>
      </c>
      <c r="M309" s="11">
        <v>0</v>
      </c>
      <c r="N309" s="11">
        <v>0</v>
      </c>
      <c r="O309" s="11">
        <v>0</v>
      </c>
      <c r="P309" s="11">
        <v>0</v>
      </c>
      <c r="Q309" s="12">
        <v>0</v>
      </c>
      <c r="R309" s="12">
        <v>0</v>
      </c>
      <c r="S309" s="12">
        <f>$G$309*$G$8+$H$309*$H$8+$I$309*$I$8+$J$309*$J$8+$K$309*$K$8+$L$309*$L$8+$M$309*$M$8+$N$309*$N$8+$O$309*$O$8+$P$309*$P$8</f>
        <v>3.0999999999999996</v>
      </c>
      <c r="T309" s="12">
        <f>SUM($Q$309:$R$309)</f>
        <v>0</v>
      </c>
      <c r="U309" s="12">
        <f>$S$309+$T$309</f>
        <v>3.0999999999999996</v>
      </c>
    </row>
    <row r="310" spans="1:21" x14ac:dyDescent="0.3">
      <c r="A310" s="13" t="s">
        <v>1147</v>
      </c>
      <c r="B310" s="14" t="s">
        <v>1142</v>
      </c>
      <c r="C310" s="14"/>
      <c r="D310" s="14" t="s">
        <v>138</v>
      </c>
      <c r="E310" s="14">
        <f xml:space="preserve"> IF($U$310,1,0)</f>
        <v>0</v>
      </c>
      <c r="F310" s="14" t="s">
        <v>1148</v>
      </c>
      <c r="G310" s="14">
        <v>0</v>
      </c>
      <c r="H310" s="14">
        <v>0</v>
      </c>
      <c r="I310" s="14">
        <v>0</v>
      </c>
      <c r="J310" s="14">
        <v>0</v>
      </c>
      <c r="K310" s="14">
        <v>0</v>
      </c>
      <c r="L310" s="14">
        <v>0</v>
      </c>
      <c r="M310" s="14">
        <v>0</v>
      </c>
      <c r="N310" s="14">
        <v>0</v>
      </c>
      <c r="O310" s="14">
        <v>0</v>
      </c>
      <c r="P310" s="14">
        <v>0</v>
      </c>
      <c r="Q310" s="15">
        <v>0</v>
      </c>
      <c r="R310" s="15">
        <v>0</v>
      </c>
      <c r="S310" s="15">
        <f>$G$310*$G$8+$H$310*$H$8+$I$310*$I$8+$J$310*$J$8+$K$310*$K$8+$L$310*$L$8+$M$310*$M$8+$N$310*$N$8+$O$310*$O$8+$P$310*$P$8</f>
        <v>0</v>
      </c>
      <c r="T310" s="15">
        <f>SUM($Q$310:$R$310)</f>
        <v>0</v>
      </c>
      <c r="U310" s="15">
        <f>$S$310+$T$310</f>
        <v>0</v>
      </c>
    </row>
    <row r="311" spans="1:21" x14ac:dyDescent="0.3">
      <c r="A311" s="10" t="s">
        <v>1149</v>
      </c>
      <c r="B311" s="11" t="s">
        <v>1142</v>
      </c>
      <c r="C311" s="11"/>
      <c r="D311" s="11" t="s">
        <v>1150</v>
      </c>
      <c r="E311" s="11">
        <f xml:space="preserve"> IF($U$311,1,0)</f>
        <v>0</v>
      </c>
      <c r="F311" s="11" t="s">
        <v>1151</v>
      </c>
      <c r="G311" s="11">
        <v>0</v>
      </c>
      <c r="H311" s="11">
        <v>0</v>
      </c>
      <c r="I311" s="11">
        <v>0</v>
      </c>
      <c r="J311" s="11">
        <v>0</v>
      </c>
      <c r="K311" s="11">
        <v>0</v>
      </c>
      <c r="L311" s="11">
        <v>0</v>
      </c>
      <c r="M311" s="11">
        <v>0</v>
      </c>
      <c r="N311" s="11">
        <v>0</v>
      </c>
      <c r="O311" s="11">
        <v>0</v>
      </c>
      <c r="P311" s="11">
        <v>0</v>
      </c>
      <c r="Q311" s="12">
        <v>0</v>
      </c>
      <c r="R311" s="12">
        <v>0</v>
      </c>
      <c r="S311" s="12">
        <f>$G$311*$G$8+$H$311*$H$8+$I$311*$I$8+$J$311*$J$8+$K$311*$K$8+$L$311*$L$8+$M$311*$M$8+$N$311*$N$8+$O$311*$O$8+$P$311*$P$8</f>
        <v>0</v>
      </c>
      <c r="T311" s="12">
        <f>SUM($Q$311:$R$311)</f>
        <v>0</v>
      </c>
      <c r="U311" s="12">
        <f>$S$311+$T$311</f>
        <v>0</v>
      </c>
    </row>
    <row r="312" spans="1:21" x14ac:dyDescent="0.3">
      <c r="A312" s="13" t="s">
        <v>1152</v>
      </c>
      <c r="B312" s="14" t="s">
        <v>1142</v>
      </c>
      <c r="C312" s="14"/>
      <c r="D312" s="14" t="s">
        <v>1153</v>
      </c>
      <c r="E312" s="14">
        <f xml:space="preserve"> IF($U$312,1,0)</f>
        <v>0</v>
      </c>
      <c r="F312" s="14" t="s">
        <v>1154</v>
      </c>
      <c r="G312" s="14">
        <v>0</v>
      </c>
      <c r="H312" s="14">
        <v>0</v>
      </c>
      <c r="I312" s="14">
        <v>0</v>
      </c>
      <c r="J312" s="14">
        <v>0</v>
      </c>
      <c r="K312" s="14">
        <v>0</v>
      </c>
      <c r="L312" s="14">
        <v>0</v>
      </c>
      <c r="M312" s="14">
        <v>0</v>
      </c>
      <c r="N312" s="14">
        <v>0</v>
      </c>
      <c r="O312" s="14">
        <v>0</v>
      </c>
      <c r="P312" s="14">
        <v>0</v>
      </c>
      <c r="Q312" s="15">
        <v>0</v>
      </c>
      <c r="R312" s="15">
        <v>0</v>
      </c>
      <c r="S312" s="15">
        <f>$G$312*$G$8+$H$312*$H$8+$I$312*$I$8+$J$312*$J$8+$K$312*$K$8+$L$312*$L$8+$M$312*$M$8+$N$312*$N$8+$O$312*$O$8+$P$312*$P$8</f>
        <v>0</v>
      </c>
      <c r="T312" s="15">
        <f>SUM($Q$312:$R$312)</f>
        <v>0</v>
      </c>
      <c r="U312" s="15">
        <f>$S$312+$T$312</f>
        <v>0</v>
      </c>
    </row>
    <row r="313" spans="1:21" x14ac:dyDescent="0.3">
      <c r="A313" s="10" t="s">
        <v>1155</v>
      </c>
      <c r="B313" s="11" t="s">
        <v>1156</v>
      </c>
      <c r="C313" s="11"/>
      <c r="D313" s="11" t="s">
        <v>1157</v>
      </c>
      <c r="E313" s="11">
        <f xml:space="preserve"> IF($U$313,1,0)</f>
        <v>0</v>
      </c>
      <c r="F313" s="11" t="s">
        <v>1158</v>
      </c>
      <c r="G313" s="11">
        <v>0</v>
      </c>
      <c r="H313" s="11">
        <v>0</v>
      </c>
      <c r="I313" s="11">
        <v>0</v>
      </c>
      <c r="J313" s="11">
        <v>0</v>
      </c>
      <c r="K313" s="11">
        <v>0</v>
      </c>
      <c r="L313" s="11">
        <v>0</v>
      </c>
      <c r="M313" s="11">
        <v>0</v>
      </c>
      <c r="N313" s="11">
        <v>0</v>
      </c>
      <c r="O313" s="11">
        <v>0</v>
      </c>
      <c r="P313" s="11">
        <v>0</v>
      </c>
      <c r="Q313" s="12">
        <v>0</v>
      </c>
      <c r="R313" s="12">
        <v>0</v>
      </c>
      <c r="S313" s="12">
        <f>$G$313*$G$8+$H$313*$H$8+$I$313*$I$8+$J$313*$J$8+$K$313*$K$8+$L$313*$L$8+$M$313*$M$8+$N$313*$N$8+$O$313*$O$8+$P$313*$P$8</f>
        <v>0</v>
      </c>
      <c r="T313" s="12">
        <f>SUM($Q$313:$R$313)</f>
        <v>0</v>
      </c>
      <c r="U313" s="12">
        <f>$S$313+$T$313</f>
        <v>0</v>
      </c>
    </row>
    <row r="314" spans="1:21" x14ac:dyDescent="0.3">
      <c r="A314" s="13" t="s">
        <v>1159</v>
      </c>
      <c r="B314" s="14" t="s">
        <v>1160</v>
      </c>
      <c r="C314" s="14"/>
      <c r="D314" s="14" t="s">
        <v>1161</v>
      </c>
      <c r="E314" s="14">
        <f xml:space="preserve"> IF($U$314,1,0)</f>
        <v>0</v>
      </c>
      <c r="F314" s="14" t="s">
        <v>1162</v>
      </c>
      <c r="G314" s="14">
        <v>0</v>
      </c>
      <c r="H314" s="14">
        <v>0</v>
      </c>
      <c r="I314" s="14">
        <v>0</v>
      </c>
      <c r="J314" s="14">
        <v>0</v>
      </c>
      <c r="K314" s="14">
        <v>0</v>
      </c>
      <c r="L314" s="14">
        <v>0</v>
      </c>
      <c r="M314" s="14">
        <v>0</v>
      </c>
      <c r="N314" s="14">
        <v>0</v>
      </c>
      <c r="O314" s="14">
        <v>0</v>
      </c>
      <c r="P314" s="14">
        <v>0</v>
      </c>
      <c r="Q314" s="15">
        <v>0</v>
      </c>
      <c r="R314" s="15">
        <v>0</v>
      </c>
      <c r="S314" s="15">
        <f>$G$314*$G$8+$H$314*$H$8+$I$314*$I$8+$J$314*$J$8+$K$314*$K$8+$L$314*$L$8+$M$314*$M$8+$N$314*$N$8+$O$314*$O$8+$P$314*$P$8</f>
        <v>0</v>
      </c>
      <c r="T314" s="15">
        <f>SUM($Q$314:$R$314)</f>
        <v>0</v>
      </c>
      <c r="U314" s="15">
        <f>$S$314+$T$314</f>
        <v>0</v>
      </c>
    </row>
    <row r="315" spans="1:21" x14ac:dyDescent="0.3">
      <c r="A315" s="10" t="s">
        <v>1163</v>
      </c>
      <c r="B315" s="11" t="s">
        <v>1160</v>
      </c>
      <c r="C315" s="11"/>
      <c r="D315" s="11" t="s">
        <v>1164</v>
      </c>
      <c r="E315" s="11">
        <f xml:space="preserve"> IF($U$315,1,0)</f>
        <v>0</v>
      </c>
      <c r="F315" s="11" t="s">
        <v>1165</v>
      </c>
      <c r="G315" s="11">
        <v>0</v>
      </c>
      <c r="H315" s="11">
        <v>0</v>
      </c>
      <c r="I315" s="11">
        <v>0</v>
      </c>
      <c r="J315" s="11">
        <v>0</v>
      </c>
      <c r="K315" s="11">
        <v>0</v>
      </c>
      <c r="L315" s="11">
        <v>0</v>
      </c>
      <c r="M315" s="11">
        <v>0</v>
      </c>
      <c r="N315" s="11">
        <v>0</v>
      </c>
      <c r="O315" s="11">
        <v>0</v>
      </c>
      <c r="P315" s="11">
        <v>0</v>
      </c>
      <c r="Q315" s="12">
        <v>0</v>
      </c>
      <c r="R315" s="12">
        <v>0</v>
      </c>
      <c r="S315" s="12">
        <f>$G$315*$G$8+$H$315*$H$8+$I$315*$I$8+$J$315*$J$8+$K$315*$K$8+$L$315*$L$8+$M$315*$M$8+$N$315*$N$8+$O$315*$O$8+$P$315*$P$8</f>
        <v>0</v>
      </c>
      <c r="T315" s="12">
        <f>SUM($Q$315:$R$315)</f>
        <v>0</v>
      </c>
      <c r="U315" s="12">
        <f>$S$315+$T$315</f>
        <v>0</v>
      </c>
    </row>
    <row r="316" spans="1:21" x14ac:dyDescent="0.3">
      <c r="A316" s="13" t="s">
        <v>1166</v>
      </c>
      <c r="B316" s="14" t="s">
        <v>1160</v>
      </c>
      <c r="C316" s="14" t="s">
        <v>243</v>
      </c>
      <c r="D316" s="14" t="s">
        <v>1167</v>
      </c>
      <c r="E316" s="14">
        <f xml:space="preserve"> IF($U$316,1,0)</f>
        <v>1</v>
      </c>
      <c r="F316" s="14" t="s">
        <v>1168</v>
      </c>
      <c r="G316" s="14">
        <v>1</v>
      </c>
      <c r="H316" s="14">
        <v>1</v>
      </c>
      <c r="I316" s="14">
        <v>0</v>
      </c>
      <c r="J316" s="14">
        <v>0</v>
      </c>
      <c r="K316" s="14">
        <v>0</v>
      </c>
      <c r="L316" s="14">
        <v>1</v>
      </c>
      <c r="M316" s="14">
        <v>0</v>
      </c>
      <c r="N316" s="14">
        <v>0</v>
      </c>
      <c r="O316" s="14">
        <v>0</v>
      </c>
      <c r="P316" s="14">
        <v>0</v>
      </c>
      <c r="Q316" s="15">
        <v>0</v>
      </c>
      <c r="R316" s="15">
        <v>0</v>
      </c>
      <c r="S316" s="15">
        <f>$G$316*$G$8+$H$316*$H$8+$I$316*$I$8+$J$316*$J$8+$K$316*$K$8+$L$316*$L$8+$M$316*$M$8+$N$316*$N$8+$O$316*$O$8+$P$316*$P$8</f>
        <v>5.5</v>
      </c>
      <c r="T316" s="15">
        <f>SUM($Q$316:$R$316)</f>
        <v>0</v>
      </c>
      <c r="U316" s="15">
        <f>$S$316+$T$316</f>
        <v>5.5</v>
      </c>
    </row>
    <row r="317" spans="1:21" x14ac:dyDescent="0.3">
      <c r="A317" s="10" t="s">
        <v>1169</v>
      </c>
      <c r="B317" s="11" t="s">
        <v>1170</v>
      </c>
      <c r="C317" s="11"/>
      <c r="D317" s="11" t="s">
        <v>1171</v>
      </c>
      <c r="E317" s="11">
        <f xml:space="preserve"> IF($U$317,1,0)</f>
        <v>0</v>
      </c>
      <c r="F317" s="11" t="s">
        <v>1172</v>
      </c>
      <c r="G317" s="11">
        <v>0</v>
      </c>
      <c r="H317" s="11">
        <v>0</v>
      </c>
      <c r="I317" s="11">
        <v>0</v>
      </c>
      <c r="J317" s="11">
        <v>0</v>
      </c>
      <c r="K317" s="11">
        <v>0</v>
      </c>
      <c r="L317" s="11">
        <v>0</v>
      </c>
      <c r="M317" s="11">
        <v>0</v>
      </c>
      <c r="N317" s="11">
        <v>0</v>
      </c>
      <c r="O317" s="11">
        <v>0</v>
      </c>
      <c r="P317" s="11">
        <v>0</v>
      </c>
      <c r="Q317" s="12">
        <v>0</v>
      </c>
      <c r="R317" s="12">
        <v>0</v>
      </c>
      <c r="S317" s="12">
        <f>$G$317*$G$8+$H$317*$H$8+$I$317*$I$8+$J$317*$J$8+$K$317*$K$8+$L$317*$L$8+$M$317*$M$8+$N$317*$N$8+$O$317*$O$8+$P$317*$P$8</f>
        <v>0</v>
      </c>
      <c r="T317" s="12">
        <f>SUM($Q$317:$R$317)</f>
        <v>0</v>
      </c>
      <c r="U317" s="12">
        <f>$S$317+$T$317</f>
        <v>0</v>
      </c>
    </row>
    <row r="318" spans="1:21" x14ac:dyDescent="0.3">
      <c r="A318" s="13" t="s">
        <v>1173</v>
      </c>
      <c r="B318" s="14" t="s">
        <v>1174</v>
      </c>
      <c r="C318" s="14"/>
      <c r="D318" s="14" t="s">
        <v>1175</v>
      </c>
      <c r="E318" s="14">
        <f xml:space="preserve"> IF($U$318,1,0)</f>
        <v>0</v>
      </c>
      <c r="F318" s="14" t="s">
        <v>1176</v>
      </c>
      <c r="G318" s="14">
        <v>0</v>
      </c>
      <c r="H318" s="14">
        <v>0</v>
      </c>
      <c r="I318" s="14">
        <v>0</v>
      </c>
      <c r="J318" s="14">
        <v>0</v>
      </c>
      <c r="K318" s="14">
        <v>0</v>
      </c>
      <c r="L318" s="14">
        <v>0</v>
      </c>
      <c r="M318" s="14">
        <v>0</v>
      </c>
      <c r="N318" s="14">
        <v>0</v>
      </c>
      <c r="O318" s="14">
        <v>0</v>
      </c>
      <c r="P318" s="14">
        <v>0</v>
      </c>
      <c r="Q318" s="15">
        <v>0</v>
      </c>
      <c r="R318" s="15">
        <v>0</v>
      </c>
      <c r="S318" s="15">
        <f>$G$318*$G$8+$H$318*$H$8+$I$318*$I$8+$J$318*$J$8+$K$318*$K$8+$L$318*$L$8+$M$318*$M$8+$N$318*$N$8+$O$318*$O$8+$P$318*$P$8</f>
        <v>0</v>
      </c>
      <c r="T318" s="15">
        <f>SUM($Q$318:$R$318)</f>
        <v>0</v>
      </c>
      <c r="U318" s="15">
        <f>$S$318+$T$318</f>
        <v>0</v>
      </c>
    </row>
    <row r="319" spans="1:21" x14ac:dyDescent="0.3">
      <c r="A319" s="10" t="s">
        <v>1177</v>
      </c>
      <c r="B319" s="11" t="s">
        <v>1174</v>
      </c>
      <c r="C319" s="11" t="s">
        <v>65</v>
      </c>
      <c r="D319" s="11" t="s">
        <v>1178</v>
      </c>
      <c r="E319" s="11">
        <f xml:space="preserve"> IF($U$319,1,0)</f>
        <v>0</v>
      </c>
      <c r="F319" s="11" t="s">
        <v>1179</v>
      </c>
      <c r="G319" s="11">
        <v>0</v>
      </c>
      <c r="H319" s="11">
        <v>0</v>
      </c>
      <c r="I319" s="11">
        <v>0</v>
      </c>
      <c r="J319" s="11">
        <v>0</v>
      </c>
      <c r="K319" s="11">
        <v>0</v>
      </c>
      <c r="L319" s="11">
        <v>0</v>
      </c>
      <c r="M319" s="11">
        <v>0</v>
      </c>
      <c r="N319" s="11">
        <v>0</v>
      </c>
      <c r="O319" s="11">
        <v>0</v>
      </c>
      <c r="P319" s="11">
        <v>0</v>
      </c>
      <c r="Q319" s="12">
        <v>0</v>
      </c>
      <c r="R319" s="12">
        <v>0</v>
      </c>
      <c r="S319" s="12">
        <f>$G$319*$G$8+$H$319*$H$8+$I$319*$I$8+$J$319*$J$8+$K$319*$K$8+$L$319*$L$8+$M$319*$M$8+$N$319*$N$8+$O$319*$O$8+$P$319*$P$8</f>
        <v>0</v>
      </c>
      <c r="T319" s="12">
        <f>SUM($Q$319:$R$319)</f>
        <v>0</v>
      </c>
      <c r="U319" s="12">
        <f>$S$319+$T$319</f>
        <v>0</v>
      </c>
    </row>
    <row r="320" spans="1:21" x14ac:dyDescent="0.3">
      <c r="A320" s="13" t="s">
        <v>1180</v>
      </c>
      <c r="B320" s="14" t="s">
        <v>1181</v>
      </c>
      <c r="C320" s="14"/>
      <c r="D320" s="14" t="s">
        <v>1182</v>
      </c>
      <c r="E320" s="14">
        <f xml:space="preserve"> IF($U$320,1,0)</f>
        <v>0</v>
      </c>
      <c r="F320" s="14" t="s">
        <v>1183</v>
      </c>
      <c r="G320" s="14">
        <v>0</v>
      </c>
      <c r="H320" s="14">
        <v>0</v>
      </c>
      <c r="I320" s="14">
        <v>0</v>
      </c>
      <c r="J320" s="14">
        <v>0</v>
      </c>
      <c r="K320" s="14">
        <v>0</v>
      </c>
      <c r="L320" s="14">
        <v>0</v>
      </c>
      <c r="M320" s="14">
        <v>0</v>
      </c>
      <c r="N320" s="14">
        <v>0</v>
      </c>
      <c r="O320" s="14">
        <v>0</v>
      </c>
      <c r="P320" s="14">
        <v>0</v>
      </c>
      <c r="Q320" s="15">
        <v>0</v>
      </c>
      <c r="R320" s="15">
        <v>0</v>
      </c>
      <c r="S320" s="15">
        <f>$G$320*$G$8+$H$320*$H$8+$I$320*$I$8+$J$320*$J$8+$K$320*$K$8+$L$320*$L$8+$M$320*$M$8+$N$320*$N$8+$O$320*$O$8+$P$320*$P$8</f>
        <v>0</v>
      </c>
      <c r="T320" s="15">
        <f>SUM($Q$320:$R$320)</f>
        <v>0</v>
      </c>
      <c r="U320" s="15">
        <f>$S$320+$T$320</f>
        <v>0</v>
      </c>
    </row>
    <row r="321" spans="1:21" x14ac:dyDescent="0.3">
      <c r="A321" s="10" t="s">
        <v>1184</v>
      </c>
      <c r="B321" s="11" t="s">
        <v>1185</v>
      </c>
      <c r="C321" s="11" t="s">
        <v>65</v>
      </c>
      <c r="D321" s="11" t="s">
        <v>1186</v>
      </c>
      <c r="E321" s="11">
        <f xml:space="preserve"> IF($U$321,1,0)</f>
        <v>0</v>
      </c>
      <c r="F321" s="11" t="s">
        <v>1187</v>
      </c>
      <c r="G321" s="11">
        <v>0</v>
      </c>
      <c r="H321" s="11">
        <v>0</v>
      </c>
      <c r="I321" s="11">
        <v>0</v>
      </c>
      <c r="J321" s="11">
        <v>0</v>
      </c>
      <c r="K321" s="11">
        <v>0</v>
      </c>
      <c r="L321" s="11">
        <v>0</v>
      </c>
      <c r="M321" s="11">
        <v>0</v>
      </c>
      <c r="N321" s="11">
        <v>0</v>
      </c>
      <c r="O321" s="11">
        <v>0</v>
      </c>
      <c r="P321" s="11">
        <v>0</v>
      </c>
      <c r="Q321" s="12">
        <v>0</v>
      </c>
      <c r="R321" s="12">
        <v>0</v>
      </c>
      <c r="S321" s="12">
        <f>$G$321*$G$8+$H$321*$H$8+$I$321*$I$8+$J$321*$J$8+$K$321*$K$8+$L$321*$L$8+$M$321*$M$8+$N$321*$N$8+$O$321*$O$8+$P$321*$P$8</f>
        <v>0</v>
      </c>
      <c r="T321" s="12">
        <f>SUM($Q$321:$R$321)</f>
        <v>0</v>
      </c>
      <c r="U321" s="12">
        <f>$S$321+$T$321</f>
        <v>0</v>
      </c>
    </row>
    <row r="322" spans="1:21" x14ac:dyDescent="0.3">
      <c r="A322" s="13" t="s">
        <v>1188</v>
      </c>
      <c r="B322" s="14" t="s">
        <v>1189</v>
      </c>
      <c r="C322" s="14"/>
      <c r="D322" s="14" t="s">
        <v>1190</v>
      </c>
      <c r="E322" s="14">
        <f xml:space="preserve"> IF($U$322,1,0)</f>
        <v>0</v>
      </c>
      <c r="F322" s="14" t="s">
        <v>1191</v>
      </c>
      <c r="G322" s="14">
        <v>0</v>
      </c>
      <c r="H322" s="14">
        <v>0</v>
      </c>
      <c r="I322" s="14">
        <v>0</v>
      </c>
      <c r="J322" s="14">
        <v>0</v>
      </c>
      <c r="K322" s="14">
        <v>0</v>
      </c>
      <c r="L322" s="14">
        <v>0</v>
      </c>
      <c r="M322" s="14">
        <v>0</v>
      </c>
      <c r="N322" s="14">
        <v>0</v>
      </c>
      <c r="O322" s="14">
        <v>0</v>
      </c>
      <c r="P322" s="14">
        <v>0</v>
      </c>
      <c r="Q322" s="15">
        <v>0</v>
      </c>
      <c r="R322" s="15">
        <v>0</v>
      </c>
      <c r="S322" s="15">
        <f>$G$322*$G$8+$H$322*$H$8+$I$322*$I$8+$J$322*$J$8+$K$322*$K$8+$L$322*$L$8+$M$322*$M$8+$N$322*$N$8+$O$322*$O$8+$P$322*$P$8</f>
        <v>0</v>
      </c>
      <c r="T322" s="15">
        <f>SUM($Q$322:$R$322)</f>
        <v>0</v>
      </c>
      <c r="U322" s="15">
        <f>$S$322+$T$322</f>
        <v>0</v>
      </c>
    </row>
    <row r="323" spans="1:21" x14ac:dyDescent="0.3">
      <c r="A323" s="10" t="s">
        <v>1192</v>
      </c>
      <c r="B323" s="11" t="s">
        <v>1193</v>
      </c>
      <c r="C323" s="11"/>
      <c r="D323" s="11" t="s">
        <v>1194</v>
      </c>
      <c r="E323" s="11">
        <f xml:space="preserve"> IF($U$323,1,0)</f>
        <v>1</v>
      </c>
      <c r="F323" s="11" t="s">
        <v>1195</v>
      </c>
      <c r="G323" s="11">
        <v>7</v>
      </c>
      <c r="H323" s="11">
        <v>1</v>
      </c>
      <c r="I323" s="11">
        <v>0</v>
      </c>
      <c r="J323" s="11">
        <v>0</v>
      </c>
      <c r="K323" s="11">
        <v>0</v>
      </c>
      <c r="L323" s="11">
        <v>0</v>
      </c>
      <c r="M323" s="11">
        <v>0</v>
      </c>
      <c r="N323" s="11">
        <v>0</v>
      </c>
      <c r="O323" s="11">
        <v>0</v>
      </c>
      <c r="P323" s="11">
        <v>0</v>
      </c>
      <c r="Q323" s="12">
        <v>0</v>
      </c>
      <c r="R323" s="12">
        <v>0</v>
      </c>
      <c r="S323" s="12">
        <f>$G$323*$G$8+$H$323*$H$8+$I$323*$I$8+$J$323*$J$8+$K$323*$K$8+$L$323*$L$8+$M$323*$M$8+$N$323*$N$8+$O$323*$O$8+$P$323*$P$8</f>
        <v>6.6999999999999993</v>
      </c>
      <c r="T323" s="12">
        <f>SUM($Q$323:$R$323)</f>
        <v>0</v>
      </c>
      <c r="U323" s="12">
        <f>$S$323+$T$323</f>
        <v>6.6999999999999993</v>
      </c>
    </row>
    <row r="324" spans="1:21" x14ac:dyDescent="0.3">
      <c r="A324" s="13" t="s">
        <v>1196</v>
      </c>
      <c r="B324" s="14" t="s">
        <v>1197</v>
      </c>
      <c r="C324" s="14"/>
      <c r="D324" s="14" t="s">
        <v>1198</v>
      </c>
      <c r="E324" s="14">
        <f xml:space="preserve"> IF($U$324,1,0)</f>
        <v>0</v>
      </c>
      <c r="F324" s="14" t="s">
        <v>1199</v>
      </c>
      <c r="G324" s="14">
        <v>0</v>
      </c>
      <c r="H324" s="14">
        <v>0</v>
      </c>
      <c r="I324" s="14">
        <v>0</v>
      </c>
      <c r="J324" s="14">
        <v>0</v>
      </c>
      <c r="K324" s="14">
        <v>0</v>
      </c>
      <c r="L324" s="14">
        <v>0</v>
      </c>
      <c r="M324" s="14">
        <v>0</v>
      </c>
      <c r="N324" s="14">
        <v>0</v>
      </c>
      <c r="O324" s="14">
        <v>0</v>
      </c>
      <c r="P324" s="14">
        <v>0</v>
      </c>
      <c r="Q324" s="15">
        <v>0</v>
      </c>
      <c r="R324" s="15">
        <v>0</v>
      </c>
      <c r="S324" s="15">
        <f>$G$324*$G$8+$H$324*$H$8+$I$324*$I$8+$J$324*$J$8+$K$324*$K$8+$L$324*$L$8+$M$324*$M$8+$N$324*$N$8+$O$324*$O$8+$P$324*$P$8</f>
        <v>0</v>
      </c>
      <c r="T324" s="15">
        <f>SUM($Q$324:$R$324)</f>
        <v>0</v>
      </c>
      <c r="U324" s="15">
        <f>$S$324+$T$324</f>
        <v>0</v>
      </c>
    </row>
    <row r="325" spans="1:21" x14ac:dyDescent="0.3">
      <c r="A325" s="10" t="s">
        <v>1200</v>
      </c>
      <c r="B325" s="11" t="s">
        <v>1201</v>
      </c>
      <c r="C325" s="11"/>
      <c r="D325" s="11" t="s">
        <v>1202</v>
      </c>
      <c r="E325" s="11">
        <f xml:space="preserve"> IF($U$325,1,0)</f>
        <v>0</v>
      </c>
      <c r="F325" s="11" t="s">
        <v>1203</v>
      </c>
      <c r="G325" s="11">
        <v>0</v>
      </c>
      <c r="H325" s="11">
        <v>0</v>
      </c>
      <c r="I325" s="11">
        <v>0</v>
      </c>
      <c r="J325" s="11">
        <v>0</v>
      </c>
      <c r="K325" s="11">
        <v>0</v>
      </c>
      <c r="L325" s="11">
        <v>0</v>
      </c>
      <c r="M325" s="11">
        <v>0</v>
      </c>
      <c r="N325" s="11">
        <v>0</v>
      </c>
      <c r="O325" s="11">
        <v>0</v>
      </c>
      <c r="P325" s="11">
        <v>0</v>
      </c>
      <c r="Q325" s="12">
        <v>0</v>
      </c>
      <c r="R325" s="12">
        <v>0</v>
      </c>
      <c r="S325" s="12">
        <f>$G$325*$G$8+$H$325*$H$8+$I$325*$I$8+$J$325*$J$8+$K$325*$K$8+$L$325*$L$8+$M$325*$M$8+$N$325*$N$8+$O$325*$O$8+$P$325*$P$8</f>
        <v>0</v>
      </c>
      <c r="T325" s="12">
        <f>SUM($Q$325:$R$325)</f>
        <v>0</v>
      </c>
      <c r="U325" s="12">
        <f>$S$325+$T$325</f>
        <v>0</v>
      </c>
    </row>
    <row r="326" spans="1:21" x14ac:dyDescent="0.3">
      <c r="A326" s="13" t="s">
        <v>1204</v>
      </c>
      <c r="B326" s="14" t="s">
        <v>1205</v>
      </c>
      <c r="C326" s="14"/>
      <c r="D326" s="14" t="s">
        <v>1206</v>
      </c>
      <c r="E326" s="14">
        <f xml:space="preserve"> IF($U$326,1,0)</f>
        <v>0</v>
      </c>
      <c r="F326" s="14" t="s">
        <v>1207</v>
      </c>
      <c r="G326" s="14">
        <v>0</v>
      </c>
      <c r="H326" s="14">
        <v>0</v>
      </c>
      <c r="I326" s="14">
        <v>0</v>
      </c>
      <c r="J326" s="14">
        <v>0</v>
      </c>
      <c r="K326" s="14">
        <v>0</v>
      </c>
      <c r="L326" s="14">
        <v>0</v>
      </c>
      <c r="M326" s="14">
        <v>0</v>
      </c>
      <c r="N326" s="14">
        <v>0</v>
      </c>
      <c r="O326" s="14">
        <v>0</v>
      </c>
      <c r="P326" s="14">
        <v>0</v>
      </c>
      <c r="Q326" s="15">
        <v>0</v>
      </c>
      <c r="R326" s="15">
        <v>0</v>
      </c>
      <c r="S326" s="15">
        <f>$G$326*$G$8+$H$326*$H$8+$I$326*$I$8+$J$326*$J$8+$K$326*$K$8+$L$326*$L$8+$M$326*$M$8+$N$326*$N$8+$O$326*$O$8+$P$326*$P$8</f>
        <v>0</v>
      </c>
      <c r="T326" s="15">
        <f>SUM($Q$326:$R$326)</f>
        <v>0</v>
      </c>
      <c r="U326" s="15">
        <f>$S$326+$T$326</f>
        <v>0</v>
      </c>
    </row>
    <row r="327" spans="1:21" x14ac:dyDescent="0.3">
      <c r="A327" s="10" t="s">
        <v>1208</v>
      </c>
      <c r="B327" s="11" t="s">
        <v>1205</v>
      </c>
      <c r="C327" s="11"/>
      <c r="D327" s="11" t="s">
        <v>1209</v>
      </c>
      <c r="E327" s="11">
        <f xml:space="preserve"> IF($U$327,1,0)</f>
        <v>1</v>
      </c>
      <c r="F327" s="11" t="s">
        <v>1210</v>
      </c>
      <c r="G327" s="11">
        <v>3</v>
      </c>
      <c r="H327" s="11">
        <v>2</v>
      </c>
      <c r="I327" s="11">
        <v>0</v>
      </c>
      <c r="J327" s="11">
        <v>0</v>
      </c>
      <c r="K327" s="11">
        <v>0</v>
      </c>
      <c r="L327" s="11">
        <v>0</v>
      </c>
      <c r="M327" s="11">
        <v>0</v>
      </c>
      <c r="N327" s="11">
        <v>0</v>
      </c>
      <c r="O327" s="11">
        <v>0</v>
      </c>
      <c r="P327" s="11">
        <v>0</v>
      </c>
      <c r="Q327" s="12">
        <v>0</v>
      </c>
      <c r="R327" s="12">
        <v>0</v>
      </c>
      <c r="S327" s="12">
        <f>$G$327*$G$8+$H$327*$H$8+$I$327*$I$8+$J$327*$J$8+$K$327*$K$8+$L$327*$L$8+$M$327*$M$8+$N$327*$N$8+$O$327*$O$8+$P$327*$P$8</f>
        <v>5.6999999999999993</v>
      </c>
      <c r="T327" s="12">
        <f>SUM($Q$327:$R$327)</f>
        <v>0</v>
      </c>
      <c r="U327" s="12">
        <f>$S$327+$T$327</f>
        <v>5.6999999999999993</v>
      </c>
    </row>
    <row r="328" spans="1:21" x14ac:dyDescent="0.3">
      <c r="A328" s="13" t="s">
        <v>1211</v>
      </c>
      <c r="B328" s="14" t="s">
        <v>1212</v>
      </c>
      <c r="C328" s="14"/>
      <c r="D328" s="14" t="s">
        <v>670</v>
      </c>
      <c r="E328" s="14">
        <f xml:space="preserve"> IF($U$328,1,0)</f>
        <v>1</v>
      </c>
      <c r="F328" s="14" t="s">
        <v>1213</v>
      </c>
      <c r="G328" s="14">
        <v>2</v>
      </c>
      <c r="H328" s="14">
        <v>0</v>
      </c>
      <c r="I328" s="14">
        <v>0</v>
      </c>
      <c r="J328" s="14">
        <v>0</v>
      </c>
      <c r="K328" s="14">
        <v>0</v>
      </c>
      <c r="L328" s="14">
        <v>0</v>
      </c>
      <c r="M328" s="14">
        <v>0</v>
      </c>
      <c r="N328" s="14">
        <v>0</v>
      </c>
      <c r="O328" s="14">
        <v>0</v>
      </c>
      <c r="P328" s="14">
        <v>0</v>
      </c>
      <c r="Q328" s="15">
        <v>0</v>
      </c>
      <c r="R328" s="15">
        <v>0</v>
      </c>
      <c r="S328" s="15">
        <f>$G$328*$G$8+$H$328*$H$8+$I$328*$I$8+$J$328*$J$8+$K$328*$K$8+$L$328*$L$8+$M$328*$M$8+$N$328*$N$8+$O$328*$O$8+$P$328*$P$8</f>
        <v>1.4</v>
      </c>
      <c r="T328" s="15">
        <f>SUM($Q$328:$R$328)</f>
        <v>0</v>
      </c>
      <c r="U328" s="15">
        <f>$S$328+$T$328</f>
        <v>1.4</v>
      </c>
    </row>
    <row r="329" spans="1:21" x14ac:dyDescent="0.3">
      <c r="A329" s="10" t="s">
        <v>1214</v>
      </c>
      <c r="B329" s="11" t="s">
        <v>1215</v>
      </c>
      <c r="C329" s="11"/>
      <c r="D329" s="11" t="s">
        <v>1216</v>
      </c>
      <c r="E329" s="11">
        <f xml:space="preserve"> IF($U$329,1,0)</f>
        <v>1</v>
      </c>
      <c r="F329" s="11" t="s">
        <v>1217</v>
      </c>
      <c r="G329" s="11">
        <v>4</v>
      </c>
      <c r="H329" s="11">
        <v>0</v>
      </c>
      <c r="I329" s="11">
        <v>0</v>
      </c>
      <c r="J329" s="11">
        <v>0</v>
      </c>
      <c r="K329" s="11">
        <v>1</v>
      </c>
      <c r="L329" s="11">
        <v>0</v>
      </c>
      <c r="M329" s="11">
        <v>0</v>
      </c>
      <c r="N329" s="11">
        <v>0</v>
      </c>
      <c r="O329" s="11">
        <v>0</v>
      </c>
      <c r="P329" s="11">
        <v>0</v>
      </c>
      <c r="Q329" s="12">
        <v>0</v>
      </c>
      <c r="R329" s="12">
        <v>0</v>
      </c>
      <c r="S329" s="12">
        <f>$G$329*$G$8+$H$329*$H$8+$I$329*$I$8+$J$329*$J$8+$K$329*$K$8+$L$329*$L$8+$M$329*$M$8+$N$329*$N$8+$O$329*$O$8+$P$329*$P$8</f>
        <v>4.8</v>
      </c>
      <c r="T329" s="12">
        <f>SUM($Q$329:$R$329)</f>
        <v>0</v>
      </c>
      <c r="U329" s="12">
        <f>$S$329+$T$329</f>
        <v>4.8</v>
      </c>
    </row>
    <row r="330" spans="1:21" x14ac:dyDescent="0.3">
      <c r="A330" s="13" t="s">
        <v>1218</v>
      </c>
      <c r="B330" s="14" t="s">
        <v>1219</v>
      </c>
      <c r="C330" s="14" t="s">
        <v>202</v>
      </c>
      <c r="D330" s="14" t="s">
        <v>1068</v>
      </c>
      <c r="E330" s="14">
        <f xml:space="preserve"> IF($U$330,1,0)</f>
        <v>0</v>
      </c>
      <c r="F330" s="14" t="s">
        <v>1220</v>
      </c>
      <c r="G330" s="14">
        <v>0</v>
      </c>
      <c r="H330" s="14">
        <v>0</v>
      </c>
      <c r="I330" s="14">
        <v>0</v>
      </c>
      <c r="J330" s="14">
        <v>0</v>
      </c>
      <c r="K330" s="14">
        <v>0</v>
      </c>
      <c r="L330" s="14">
        <v>0</v>
      </c>
      <c r="M330" s="14">
        <v>0</v>
      </c>
      <c r="N330" s="14">
        <v>0</v>
      </c>
      <c r="O330" s="14">
        <v>0</v>
      </c>
      <c r="P330" s="14">
        <v>0</v>
      </c>
      <c r="Q330" s="15">
        <v>0</v>
      </c>
      <c r="R330" s="15">
        <v>0</v>
      </c>
      <c r="S330" s="15">
        <f>$G$330*$G$8+$H$330*$H$8+$I$330*$I$8+$J$330*$J$8+$K$330*$K$8+$L$330*$L$8+$M$330*$M$8+$N$330*$N$8+$O$330*$O$8+$P$330*$P$8</f>
        <v>0</v>
      </c>
      <c r="T330" s="15">
        <f>SUM($Q$330:$R$330)</f>
        <v>0</v>
      </c>
      <c r="U330" s="15">
        <f>$S$330+$T$330</f>
        <v>0</v>
      </c>
    </row>
    <row r="331" spans="1:21" x14ac:dyDescent="0.3">
      <c r="A331" s="10" t="s">
        <v>1221</v>
      </c>
      <c r="B331" s="11" t="s">
        <v>1222</v>
      </c>
      <c r="C331" s="11"/>
      <c r="D331" s="11" t="s">
        <v>1223</v>
      </c>
      <c r="E331" s="11">
        <f xml:space="preserve"> IF($U$331,1,0)</f>
        <v>0</v>
      </c>
      <c r="F331" s="11" t="s">
        <v>1224</v>
      </c>
      <c r="G331" s="11">
        <v>0</v>
      </c>
      <c r="H331" s="11">
        <v>0</v>
      </c>
      <c r="I331" s="11">
        <v>0</v>
      </c>
      <c r="J331" s="11">
        <v>0</v>
      </c>
      <c r="K331" s="11">
        <v>0</v>
      </c>
      <c r="L331" s="11">
        <v>0</v>
      </c>
      <c r="M331" s="11">
        <v>0</v>
      </c>
      <c r="N331" s="11">
        <v>0</v>
      </c>
      <c r="O331" s="11">
        <v>0</v>
      </c>
      <c r="P331" s="11">
        <v>0</v>
      </c>
      <c r="Q331" s="12">
        <v>0</v>
      </c>
      <c r="R331" s="12">
        <v>0</v>
      </c>
      <c r="S331" s="12">
        <f>$G$331*$G$8+$H$331*$H$8+$I$331*$I$8+$J$331*$J$8+$K$331*$K$8+$L$331*$L$8+$M$331*$M$8+$N$331*$N$8+$O$331*$O$8+$P$331*$P$8</f>
        <v>0</v>
      </c>
      <c r="T331" s="12">
        <f>SUM($Q$331:$R$331)</f>
        <v>0</v>
      </c>
      <c r="U331" s="12">
        <f>$S$331+$T$331</f>
        <v>0</v>
      </c>
    </row>
    <row r="332" spans="1:21" x14ac:dyDescent="0.3">
      <c r="A332" s="13" t="s">
        <v>1225</v>
      </c>
      <c r="B332" s="14" t="s">
        <v>1226</v>
      </c>
      <c r="C332" s="14" t="s">
        <v>34</v>
      </c>
      <c r="D332" s="14" t="s">
        <v>1227</v>
      </c>
      <c r="E332" s="14">
        <f xml:space="preserve"> IF($U$332,1,0)</f>
        <v>0</v>
      </c>
      <c r="F332" s="14" t="s">
        <v>1228</v>
      </c>
      <c r="G332" s="14">
        <v>0</v>
      </c>
      <c r="H332" s="14">
        <v>0</v>
      </c>
      <c r="I332" s="14">
        <v>0</v>
      </c>
      <c r="J332" s="14">
        <v>0</v>
      </c>
      <c r="K332" s="14">
        <v>0</v>
      </c>
      <c r="L332" s="14">
        <v>0</v>
      </c>
      <c r="M332" s="14">
        <v>0</v>
      </c>
      <c r="N332" s="14">
        <v>0</v>
      </c>
      <c r="O332" s="14">
        <v>0</v>
      </c>
      <c r="P332" s="14">
        <v>0</v>
      </c>
      <c r="Q332" s="15">
        <v>0</v>
      </c>
      <c r="R332" s="15">
        <v>0</v>
      </c>
      <c r="S332" s="15">
        <f>$G$332*$G$8+$H$332*$H$8+$I$332*$I$8+$J$332*$J$8+$K$332*$K$8+$L$332*$L$8+$M$332*$M$8+$N$332*$N$8+$O$332*$O$8+$P$332*$P$8</f>
        <v>0</v>
      </c>
      <c r="T332" s="15">
        <f>SUM($Q$332:$R$332)</f>
        <v>0</v>
      </c>
      <c r="U332" s="15">
        <f>$S$332+$T$332</f>
        <v>0</v>
      </c>
    </row>
    <row r="333" spans="1:21" x14ac:dyDescent="0.3">
      <c r="A333" s="10" t="s">
        <v>1229</v>
      </c>
      <c r="B333" s="11" t="s">
        <v>1230</v>
      </c>
      <c r="C333" s="11"/>
      <c r="D333" s="11" t="s">
        <v>1231</v>
      </c>
      <c r="E333" s="11">
        <f xml:space="preserve"> IF($U$333,1,0)</f>
        <v>1</v>
      </c>
      <c r="F333" s="11" t="s">
        <v>1232</v>
      </c>
      <c r="G333" s="11">
        <v>0</v>
      </c>
      <c r="H333" s="11">
        <v>0</v>
      </c>
      <c r="I333" s="11">
        <v>0</v>
      </c>
      <c r="J333" s="11">
        <v>0</v>
      </c>
      <c r="K333" s="11">
        <v>1</v>
      </c>
      <c r="L333" s="11">
        <v>0</v>
      </c>
      <c r="M333" s="11">
        <v>0</v>
      </c>
      <c r="N333" s="11">
        <v>0</v>
      </c>
      <c r="O333" s="11">
        <v>0</v>
      </c>
      <c r="P333" s="11">
        <v>0</v>
      </c>
      <c r="Q333" s="12">
        <v>0</v>
      </c>
      <c r="R333" s="12">
        <v>0</v>
      </c>
      <c r="S333" s="12">
        <f>$G$333*$G$8+$H$333*$H$8+$I$333*$I$8+$J$333*$J$8+$K$333*$K$8+$L$333*$L$8+$M$333*$M$8+$N$333*$N$8+$O$333*$O$8+$P$333*$P$8</f>
        <v>2</v>
      </c>
      <c r="T333" s="12">
        <f>SUM($Q$333:$R$333)</f>
        <v>0</v>
      </c>
      <c r="U333" s="12">
        <f>$S$333+$T$333</f>
        <v>2</v>
      </c>
    </row>
    <row r="334" spans="1:21" x14ac:dyDescent="0.3">
      <c r="A334" s="13" t="s">
        <v>1233</v>
      </c>
      <c r="B334" s="14" t="s">
        <v>1230</v>
      </c>
      <c r="C334" s="14"/>
      <c r="D334" s="14" t="s">
        <v>1234</v>
      </c>
      <c r="E334" s="14">
        <f xml:space="preserve"> IF($U$334,1,0)</f>
        <v>0</v>
      </c>
      <c r="F334" s="14" t="s">
        <v>1235</v>
      </c>
      <c r="G334" s="14">
        <v>0</v>
      </c>
      <c r="H334" s="14">
        <v>0</v>
      </c>
      <c r="I334" s="14">
        <v>0</v>
      </c>
      <c r="J334" s="14">
        <v>0</v>
      </c>
      <c r="K334" s="14">
        <v>0</v>
      </c>
      <c r="L334" s="14">
        <v>0</v>
      </c>
      <c r="M334" s="14">
        <v>0</v>
      </c>
      <c r="N334" s="14">
        <v>0</v>
      </c>
      <c r="O334" s="14">
        <v>0</v>
      </c>
      <c r="P334" s="14">
        <v>0</v>
      </c>
      <c r="Q334" s="15">
        <v>0</v>
      </c>
      <c r="R334" s="15">
        <v>0</v>
      </c>
      <c r="S334" s="15">
        <f>$G$334*$G$8+$H$334*$H$8+$I$334*$I$8+$J$334*$J$8+$K$334*$K$8+$L$334*$L$8+$M$334*$M$8+$N$334*$N$8+$O$334*$O$8+$P$334*$P$8</f>
        <v>0</v>
      </c>
      <c r="T334" s="15">
        <f>SUM($Q$334:$R$334)</f>
        <v>0</v>
      </c>
      <c r="U334" s="15">
        <f>$S$334+$T$334</f>
        <v>0</v>
      </c>
    </row>
    <row r="335" spans="1:21" x14ac:dyDescent="0.3">
      <c r="A335" s="10" t="s">
        <v>1236</v>
      </c>
      <c r="B335" s="11" t="s">
        <v>1237</v>
      </c>
      <c r="C335" s="11"/>
      <c r="D335" s="11" t="s">
        <v>1237</v>
      </c>
      <c r="E335" s="11">
        <f xml:space="preserve"> IF($U$335,1,0)</f>
        <v>0</v>
      </c>
      <c r="F335" s="11" t="s">
        <v>1238</v>
      </c>
      <c r="G335" s="11">
        <v>0</v>
      </c>
      <c r="H335" s="11">
        <v>0</v>
      </c>
      <c r="I335" s="11">
        <v>0</v>
      </c>
      <c r="J335" s="11">
        <v>0</v>
      </c>
      <c r="K335" s="11">
        <v>0</v>
      </c>
      <c r="L335" s="11">
        <v>0</v>
      </c>
      <c r="M335" s="11">
        <v>0</v>
      </c>
      <c r="N335" s="11">
        <v>0</v>
      </c>
      <c r="O335" s="11">
        <v>0</v>
      </c>
      <c r="P335" s="11">
        <v>0</v>
      </c>
      <c r="Q335" s="12">
        <v>0</v>
      </c>
      <c r="R335" s="12">
        <v>0</v>
      </c>
      <c r="S335" s="12">
        <f>$G$335*$G$8+$H$335*$H$8+$I$335*$I$8+$J$335*$J$8+$K$335*$K$8+$L$335*$L$8+$M$335*$M$8+$N$335*$N$8+$O$335*$O$8+$P$335*$P$8</f>
        <v>0</v>
      </c>
      <c r="T335" s="12">
        <f>SUM($Q$335:$R$335)</f>
        <v>0</v>
      </c>
      <c r="U335" s="12">
        <f>$S$335+$T$335</f>
        <v>0</v>
      </c>
    </row>
    <row r="337" spans="5:21" ht="15" thickBot="1" x14ac:dyDescent="0.35">
      <c r="E337" s="5" t="s">
        <v>18</v>
      </c>
      <c r="F337" s="6" t="s">
        <v>19</v>
      </c>
      <c r="G337" s="6" t="s">
        <v>4</v>
      </c>
      <c r="H337" s="6" t="s">
        <v>1245</v>
      </c>
      <c r="I337" s="6" t="s">
        <v>6</v>
      </c>
      <c r="J337" s="6" t="s">
        <v>7</v>
      </c>
      <c r="K337" s="6" t="s">
        <v>8</v>
      </c>
      <c r="L337" s="6" t="s">
        <v>9</v>
      </c>
      <c r="M337" s="6" t="s">
        <v>10</v>
      </c>
      <c r="N337" s="6" t="s">
        <v>11</v>
      </c>
      <c r="O337" s="6" t="s">
        <v>12</v>
      </c>
      <c r="P337" s="6" t="s">
        <v>13</v>
      </c>
      <c r="Q337" s="6" t="s">
        <v>1259</v>
      </c>
      <c r="R337" s="6" t="s">
        <v>1260</v>
      </c>
      <c r="S337" s="6" t="s">
        <v>23</v>
      </c>
      <c r="T337" s="6" t="s">
        <v>26</v>
      </c>
      <c r="U337" s="6" t="s">
        <v>25</v>
      </c>
    </row>
    <row r="338" spans="5:21" ht="15" thickTop="1" x14ac:dyDescent="0.3">
      <c r="E338" s="7">
        <f xml:space="preserve"> IF($U$338,1,0)</f>
        <v>1</v>
      </c>
      <c r="F338" s="8" t="s">
        <v>1247</v>
      </c>
      <c r="G338" s="8">
        <v>2</v>
      </c>
      <c r="H338" s="8">
        <v>2</v>
      </c>
      <c r="I338" s="8">
        <v>0</v>
      </c>
      <c r="J338" s="8">
        <v>0</v>
      </c>
      <c r="K338" s="8">
        <v>0</v>
      </c>
      <c r="L338" s="8">
        <v>0</v>
      </c>
      <c r="M338" s="8">
        <v>0</v>
      </c>
      <c r="N338" s="8">
        <v>0</v>
      </c>
      <c r="O338" s="8">
        <v>0</v>
      </c>
      <c r="P338" s="8">
        <v>0</v>
      </c>
      <c r="Q338" s="8"/>
      <c r="R338" s="8"/>
      <c r="S338" s="9">
        <f>$G$338*$G$8+$H$338*$H$8+$I$338*$I$8+$J$338*$J$8+$K$338*$K$8+$L$338*$L$8+$M$338*$M$8+$N$338*$N$8+$O$338*$O$8+$P$338*$P$8</f>
        <v>5</v>
      </c>
      <c r="T338" s="9">
        <f>$U$338/2</f>
        <v>2.5</v>
      </c>
      <c r="U338" s="9">
        <f>$G$338*$G$8+$H$338*$H$8+$I$338*$I$8+$J$338*$J$8+$K$338*$K$8+$L$338*$L$8+$M$338*$M$8+$N$338*$N$8+$O$338*$O$8+$P$338*$P$8</f>
        <v>5</v>
      </c>
    </row>
    <row r="339" spans="5:21" x14ac:dyDescent="0.3">
      <c r="E339" s="10">
        <f xml:space="preserve"> IF($U$339,1,0)</f>
        <v>1</v>
      </c>
      <c r="F339" s="11" t="s">
        <v>27</v>
      </c>
      <c r="G339" s="11">
        <v>1</v>
      </c>
      <c r="H339" s="11">
        <v>0</v>
      </c>
      <c r="I339" s="11">
        <v>0</v>
      </c>
      <c r="J339" s="11">
        <v>0</v>
      </c>
      <c r="K339" s="11">
        <v>0</v>
      </c>
      <c r="L339" s="11">
        <v>1</v>
      </c>
      <c r="M339" s="11">
        <v>0</v>
      </c>
      <c r="N339" s="11">
        <v>0</v>
      </c>
      <c r="O339" s="11">
        <v>0</v>
      </c>
      <c r="P339" s="11">
        <v>0</v>
      </c>
      <c r="Q339" s="11"/>
      <c r="R339" s="11"/>
      <c r="S339" s="12">
        <f>$G$339*$G$8+$H$339*$H$8+$I$339*$I$8+$J$339*$J$8+$K$339*$K$8+$L$339*$L$8+$M$339*$M$8+$N$339*$N$8+$O$339*$O$8+$P$339*$P$8</f>
        <v>3.7</v>
      </c>
      <c r="T339" s="12">
        <f>$U$339/2</f>
        <v>1.85</v>
      </c>
      <c r="U339" s="12">
        <f>$G$339*$G$8+$H$339*$H$8+$I$339*$I$8+$J$339*$J$8+$K$339*$K$8+$L$339*$L$8+$M$339*$M$8+$N$339*$N$8+$O$339*$O$8+$P$339*$P$8</f>
        <v>3.7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DD666-C134-459D-AF82-A2B4AEEC7B5D}">
  <dimension ref="A2:S339"/>
  <sheetViews>
    <sheetView topLeftCell="D1" workbookViewId="0">
      <selection activeCell="P6" sqref="P6"/>
    </sheetView>
  </sheetViews>
  <sheetFormatPr defaultRowHeight="14.4" x14ac:dyDescent="0.3"/>
  <cols>
    <col min="2" max="2" width="14.77734375" customWidth="1"/>
    <col min="3" max="3" width="18.77734375" customWidth="1"/>
    <col min="4" max="4" width="20.77734375" customWidth="1"/>
    <col min="5" max="5" width="14.77734375" customWidth="1"/>
    <col min="6" max="6" width="25.77734375" customWidth="1"/>
    <col min="8" max="8" width="11.109375" customWidth="1"/>
    <col min="11" max="14" width="11.44140625" customWidth="1"/>
    <col min="16" max="16" width="14.21875" customWidth="1"/>
    <col min="17" max="17" width="22.109375" customWidth="1"/>
    <col min="18" max="18" width="18.6640625" customWidth="1"/>
  </cols>
  <sheetData>
    <row r="2" spans="1:19" x14ac:dyDescent="0.3">
      <c r="A2" t="s">
        <v>1239</v>
      </c>
      <c r="F2" t="s">
        <v>20</v>
      </c>
      <c r="G2">
        <f>SUM($G$10:$G$335)+ SUM($G$338:$G$339)</f>
        <v>0</v>
      </c>
      <c r="H2">
        <f>SUM($H$10:$H$335)+ SUM($H$338:$H$339)</f>
        <v>0</v>
      </c>
      <c r="I2">
        <f>SUM($I$10:$I$335)+ SUM($I$338:$I$339)</f>
        <v>0</v>
      </c>
      <c r="J2">
        <f>SUM($J$10:$J$335)+ SUM($J$338:$J$339)</f>
        <v>0</v>
      </c>
      <c r="K2">
        <f>SUM($K$10:$K$335)+ SUM($K$338:$K$339)</f>
        <v>0</v>
      </c>
      <c r="L2">
        <f>SUM($L$10:$L$335)+ SUM($L$338:$L$339)</f>
        <v>0</v>
      </c>
      <c r="M2">
        <f>SUM($M$10:$M$335)+ SUM($M$338:$M$339)</f>
        <v>0</v>
      </c>
      <c r="N2">
        <f>SUM($N$10:$N$335)+ SUM($N$338:$N$339)</f>
        <v>0</v>
      </c>
      <c r="O2">
        <f>SUM($O$10:$O$335)+ SUM($O$338:$O$339)</f>
        <v>0</v>
      </c>
      <c r="P2">
        <f>SUM($P$10:$P$335)+ SUM($P$338:$P$339)</f>
        <v>0</v>
      </c>
    </row>
    <row r="3" spans="1:19" x14ac:dyDescent="0.3">
      <c r="A3">
        <f>SUM($E$10:$E$335)</f>
        <v>0</v>
      </c>
      <c r="F3" t="s">
        <v>21</v>
      </c>
      <c r="G3" s="3">
        <f>$G$8*G2</f>
        <v>0</v>
      </c>
      <c r="H3" s="3">
        <f>$H$8*H2</f>
        <v>0</v>
      </c>
      <c r="I3" s="3">
        <f>$I$8*I2</f>
        <v>0</v>
      </c>
      <c r="J3" s="3">
        <f>$J$8*J2</f>
        <v>0</v>
      </c>
      <c r="K3" s="3">
        <f>$K$8*K2</f>
        <v>0</v>
      </c>
      <c r="L3" s="3">
        <f>$L$8*L2</f>
        <v>0</v>
      </c>
      <c r="M3" s="3">
        <f>$M$8*M2</f>
        <v>0</v>
      </c>
      <c r="N3" s="3">
        <f>$N$8*N2</f>
        <v>0</v>
      </c>
      <c r="O3" s="3">
        <f>$O$8*O2</f>
        <v>0</v>
      </c>
      <c r="P3" s="3">
        <f>$P$8*P2</f>
        <v>0</v>
      </c>
    </row>
    <row r="8" spans="1:19" x14ac:dyDescent="0.3">
      <c r="F8" t="s">
        <v>22</v>
      </c>
      <c r="G8" s="4">
        <v>0.7</v>
      </c>
      <c r="H8" s="4">
        <v>1.8</v>
      </c>
      <c r="I8" s="4">
        <v>1</v>
      </c>
      <c r="J8" s="4">
        <v>4.75</v>
      </c>
      <c r="K8" s="4">
        <v>2</v>
      </c>
      <c r="L8" s="4">
        <v>3</v>
      </c>
      <c r="M8" s="4">
        <v>4</v>
      </c>
      <c r="N8" s="4">
        <v>5</v>
      </c>
      <c r="O8" s="4">
        <v>0.5</v>
      </c>
      <c r="P8" s="4">
        <v>1</v>
      </c>
      <c r="Q8" s="3">
        <f>SUM($Q$10:$Q$335)</f>
        <v>0</v>
      </c>
      <c r="R8" s="3">
        <f>SUM($R$10:$R$335)</f>
        <v>0</v>
      </c>
      <c r="S8" s="3">
        <f>SUM($S$10:$S$335)</f>
        <v>0</v>
      </c>
    </row>
    <row r="9" spans="1:19" ht="15" thickBot="1" x14ac:dyDescent="0.35">
      <c r="A9" s="5" t="s">
        <v>14</v>
      </c>
      <c r="B9" s="6" t="s">
        <v>15</v>
      </c>
      <c r="C9" s="6" t="s">
        <v>16</v>
      </c>
      <c r="D9" s="6" t="s">
        <v>17</v>
      </c>
      <c r="E9" s="6" t="s">
        <v>18</v>
      </c>
      <c r="F9" s="6" t="s">
        <v>19</v>
      </c>
      <c r="G9" s="6" t="s">
        <v>4</v>
      </c>
      <c r="H9" s="6" t="s">
        <v>1245</v>
      </c>
      <c r="I9" s="6" t="s">
        <v>6</v>
      </c>
      <c r="J9" s="6" t="s">
        <v>7</v>
      </c>
      <c r="K9" s="6" t="s">
        <v>8</v>
      </c>
      <c r="L9" s="6" t="s">
        <v>9</v>
      </c>
      <c r="M9" s="6" t="s">
        <v>10</v>
      </c>
      <c r="N9" s="6" t="s">
        <v>11</v>
      </c>
      <c r="O9" s="6" t="s">
        <v>12</v>
      </c>
      <c r="P9" s="6" t="s">
        <v>13</v>
      </c>
      <c r="Q9" s="6" t="s">
        <v>23</v>
      </c>
      <c r="R9" s="6" t="s">
        <v>24</v>
      </c>
      <c r="S9" s="6" t="s">
        <v>25</v>
      </c>
    </row>
    <row r="10" spans="1:19" ht="15" thickTop="1" x14ac:dyDescent="0.3">
      <c r="A10" s="7" t="s">
        <v>28</v>
      </c>
      <c r="B10" s="8" t="s">
        <v>29</v>
      </c>
      <c r="C10" s="8"/>
      <c r="D10" s="8" t="s">
        <v>30</v>
      </c>
      <c r="E10" s="8">
        <f xml:space="preserve"> IF($S$10,1,0)</f>
        <v>0</v>
      </c>
      <c r="F10" s="8" t="s">
        <v>31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9">
        <f>$G$10*$G$8+$H$10*$H$8+$I$10*$I$8+$J$10*$J$8+$K$10*$K$8+$L$10*$L$8+$M$10*$M$8+$N$10*$N$8+$O$10*$O$8+$P$10*$P$8</f>
        <v>0</v>
      </c>
      <c r="R10" s="9">
        <v>0</v>
      </c>
      <c r="S10" s="9">
        <f>$Q$10+$R$10</f>
        <v>0</v>
      </c>
    </row>
    <row r="11" spans="1:19" x14ac:dyDescent="0.3">
      <c r="A11" s="10" t="s">
        <v>32</v>
      </c>
      <c r="B11" s="11" t="s">
        <v>33</v>
      </c>
      <c r="C11" s="11" t="s">
        <v>34</v>
      </c>
      <c r="D11" s="11" t="s">
        <v>35</v>
      </c>
      <c r="E11" s="11">
        <f xml:space="preserve"> IF($S$11,1,0)</f>
        <v>0</v>
      </c>
      <c r="F11" s="11" t="s">
        <v>36</v>
      </c>
      <c r="G11" s="11">
        <v>0</v>
      </c>
      <c r="H11" s="11">
        <v>0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2">
        <f>$G$11*$G$8+$H$11*$H$8+$I$11*$I$8+$J$11*$J$8+$K$11*$K$8+$L$11*$L$8+$M$11*$M$8+$N$11*$N$8+$O$11*$O$8+$P$11*$P$8</f>
        <v>0</v>
      </c>
      <c r="R11" s="12">
        <v>0</v>
      </c>
      <c r="S11" s="12">
        <f>$Q$11+$R$11</f>
        <v>0</v>
      </c>
    </row>
    <row r="12" spans="1:19" x14ac:dyDescent="0.3">
      <c r="A12" s="13" t="s">
        <v>37</v>
      </c>
      <c r="B12" s="14" t="s">
        <v>38</v>
      </c>
      <c r="C12" s="14"/>
      <c r="D12" s="14" t="s">
        <v>39</v>
      </c>
      <c r="E12" s="14">
        <f xml:space="preserve"> IF($S$12,1,0)</f>
        <v>0</v>
      </c>
      <c r="F12" s="14" t="s">
        <v>40</v>
      </c>
      <c r="G12" s="14">
        <v>0</v>
      </c>
      <c r="H12" s="14">
        <v>0</v>
      </c>
      <c r="I12" s="14">
        <v>0</v>
      </c>
      <c r="J12" s="14">
        <v>0</v>
      </c>
      <c r="K12" s="14">
        <v>0</v>
      </c>
      <c r="L12" s="14">
        <v>0</v>
      </c>
      <c r="M12" s="14">
        <v>0</v>
      </c>
      <c r="N12" s="14">
        <v>0</v>
      </c>
      <c r="O12" s="14">
        <v>0</v>
      </c>
      <c r="P12" s="14">
        <v>0</v>
      </c>
      <c r="Q12" s="15">
        <f>$G$12*$G$8+$H$12*$H$8+$I$12*$I$8+$J$12*$J$8+$K$12*$K$8+$L$12*$L$8+$M$12*$M$8+$N$12*$N$8+$O$12*$O$8+$P$12*$P$8</f>
        <v>0</v>
      </c>
      <c r="R12" s="15">
        <v>0</v>
      </c>
      <c r="S12" s="15">
        <f>$Q$12+$R$12</f>
        <v>0</v>
      </c>
    </row>
    <row r="13" spans="1:19" x14ac:dyDescent="0.3">
      <c r="A13" s="10" t="s">
        <v>41</v>
      </c>
      <c r="B13" s="11" t="s">
        <v>38</v>
      </c>
      <c r="C13" s="11"/>
      <c r="D13" s="11" t="s">
        <v>42</v>
      </c>
      <c r="E13" s="11">
        <f xml:space="preserve"> IF($S$13,1,0)</f>
        <v>0</v>
      </c>
      <c r="F13" s="11" t="s">
        <v>43</v>
      </c>
      <c r="G13" s="11">
        <v>0</v>
      </c>
      <c r="H13" s="11">
        <v>0</v>
      </c>
      <c r="I13" s="11">
        <v>0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2">
        <f>$G$13*$G$8+$H$13*$H$8+$I$13*$I$8+$J$13*$J$8+$K$13*$K$8+$L$13*$L$8+$M$13*$M$8+$N$13*$N$8+$O$13*$O$8+$P$13*$P$8</f>
        <v>0</v>
      </c>
      <c r="R13" s="12">
        <v>0</v>
      </c>
      <c r="S13" s="12">
        <f>$Q$13+$R$13</f>
        <v>0</v>
      </c>
    </row>
    <row r="14" spans="1:19" x14ac:dyDescent="0.3">
      <c r="A14" s="13" t="s">
        <v>44</v>
      </c>
      <c r="B14" s="14" t="s">
        <v>45</v>
      </c>
      <c r="C14" s="14"/>
      <c r="D14" s="14" t="s">
        <v>46</v>
      </c>
      <c r="E14" s="14">
        <f xml:space="preserve"> IF($S$14,1,0)</f>
        <v>0</v>
      </c>
      <c r="F14" s="14" t="s">
        <v>47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5">
        <f>$G$14*$G$8+$H$14*$H$8+$I$14*$I$8+$J$14*$J$8+$K$14*$K$8+$L$14*$L$8+$M$14*$M$8+$N$14*$N$8+$O$14*$O$8+$P$14*$P$8</f>
        <v>0</v>
      </c>
      <c r="R14" s="15">
        <v>0</v>
      </c>
      <c r="S14" s="15">
        <f>$Q$14+$R$14</f>
        <v>0</v>
      </c>
    </row>
    <row r="15" spans="1:19" x14ac:dyDescent="0.3">
      <c r="A15" s="10" t="s">
        <v>48</v>
      </c>
      <c r="B15" s="11" t="s">
        <v>45</v>
      </c>
      <c r="C15" s="11"/>
      <c r="D15" s="11" t="s">
        <v>49</v>
      </c>
      <c r="E15" s="11">
        <f xml:space="preserve"> IF($S$15,1,0)</f>
        <v>0</v>
      </c>
      <c r="F15" s="11" t="s">
        <v>50</v>
      </c>
      <c r="G15" s="11">
        <v>0</v>
      </c>
      <c r="H15" s="11">
        <v>0</v>
      </c>
      <c r="I15" s="11">
        <v>0</v>
      </c>
      <c r="J15" s="11">
        <v>0</v>
      </c>
      <c r="K15" s="11">
        <v>0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2">
        <f>$G$15*$G$8+$H$15*$H$8+$I$15*$I$8+$J$15*$J$8+$K$15*$K$8+$L$15*$L$8+$M$15*$M$8+$N$15*$N$8+$O$15*$O$8+$P$15*$P$8</f>
        <v>0</v>
      </c>
      <c r="R15" s="12">
        <v>0</v>
      </c>
      <c r="S15" s="12">
        <f>$Q$15+$R$15</f>
        <v>0</v>
      </c>
    </row>
    <row r="16" spans="1:19" x14ac:dyDescent="0.3">
      <c r="A16" s="13" t="s">
        <v>51</v>
      </c>
      <c r="B16" s="14" t="s">
        <v>52</v>
      </c>
      <c r="C16" s="14"/>
      <c r="D16" s="14" t="s">
        <v>53</v>
      </c>
      <c r="E16" s="14">
        <f xml:space="preserve"> IF($S$16,1,0)</f>
        <v>0</v>
      </c>
      <c r="F16" s="14" t="s">
        <v>54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4">
        <v>0</v>
      </c>
      <c r="O16" s="14">
        <v>0</v>
      </c>
      <c r="P16" s="14">
        <v>0</v>
      </c>
      <c r="Q16" s="15">
        <f>$G$16*$G$8+$H$16*$H$8+$I$16*$I$8+$J$16*$J$8+$K$16*$K$8+$L$16*$L$8+$M$16*$M$8+$N$16*$N$8+$O$16*$O$8+$P$16*$P$8</f>
        <v>0</v>
      </c>
      <c r="R16" s="15">
        <v>0</v>
      </c>
      <c r="S16" s="15">
        <f>$Q$16+$R$16</f>
        <v>0</v>
      </c>
    </row>
    <row r="17" spans="1:19" x14ac:dyDescent="0.3">
      <c r="A17" s="10" t="s">
        <v>55</v>
      </c>
      <c r="B17" s="11" t="s">
        <v>56</v>
      </c>
      <c r="C17" s="11"/>
      <c r="D17" s="11" t="s">
        <v>57</v>
      </c>
      <c r="E17" s="11">
        <f xml:space="preserve"> IF($S$17,1,0)</f>
        <v>0</v>
      </c>
      <c r="F17" s="11" t="s">
        <v>58</v>
      </c>
      <c r="G17" s="11">
        <v>0</v>
      </c>
      <c r="H17" s="11">
        <v>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2">
        <f>$G$17*$G$8+$H$17*$H$8+$I$17*$I$8+$J$17*$J$8+$K$17*$K$8+$L$17*$L$8+$M$17*$M$8+$N$17*$N$8+$O$17*$O$8+$P$17*$P$8</f>
        <v>0</v>
      </c>
      <c r="R17" s="12">
        <v>0</v>
      </c>
      <c r="S17" s="12">
        <f>$Q$17+$R$17</f>
        <v>0</v>
      </c>
    </row>
    <row r="18" spans="1:19" x14ac:dyDescent="0.3">
      <c r="A18" s="13" t="s">
        <v>59</v>
      </c>
      <c r="B18" s="14" t="s">
        <v>60</v>
      </c>
      <c r="C18" s="14"/>
      <c r="D18" s="14" t="s">
        <v>61</v>
      </c>
      <c r="E18" s="14">
        <f xml:space="preserve"> IF($S$18,1,0)</f>
        <v>0</v>
      </c>
      <c r="F18" s="14" t="s">
        <v>62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5">
        <f>$G$18*$G$8+$H$18*$H$8+$I$18*$I$8+$J$18*$J$8+$K$18*$K$8+$L$18*$L$8+$M$18*$M$8+$N$18*$N$8+$O$18*$O$8+$P$18*$P$8</f>
        <v>0</v>
      </c>
      <c r="R18" s="15">
        <v>0</v>
      </c>
      <c r="S18" s="15">
        <f>$Q$18+$R$18</f>
        <v>0</v>
      </c>
    </row>
    <row r="19" spans="1:19" x14ac:dyDescent="0.3">
      <c r="A19" s="10" t="s">
        <v>63</v>
      </c>
      <c r="B19" s="11" t="s">
        <v>64</v>
      </c>
      <c r="C19" s="11" t="s">
        <v>65</v>
      </c>
      <c r="D19" s="11" t="s">
        <v>66</v>
      </c>
      <c r="E19" s="11">
        <f xml:space="preserve"> IF($S$19,1,0)</f>
        <v>0</v>
      </c>
      <c r="F19" s="11" t="s">
        <v>67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2">
        <f>$G$19*$G$8+$H$19*$H$8+$I$19*$I$8+$J$19*$J$8+$K$19*$K$8+$L$19*$L$8+$M$19*$M$8+$N$19*$N$8+$O$19*$O$8+$P$19*$P$8</f>
        <v>0</v>
      </c>
      <c r="R19" s="12">
        <v>0</v>
      </c>
      <c r="S19" s="12">
        <f>$Q$19+$R$19</f>
        <v>0</v>
      </c>
    </row>
    <row r="20" spans="1:19" x14ac:dyDescent="0.3">
      <c r="A20" s="13" t="s">
        <v>68</v>
      </c>
      <c r="B20" s="14" t="s">
        <v>69</v>
      </c>
      <c r="C20" s="14"/>
      <c r="D20" s="14" t="s">
        <v>70</v>
      </c>
      <c r="E20" s="14">
        <f xml:space="preserve"> IF($S$20,1,0)</f>
        <v>0</v>
      </c>
      <c r="F20" s="14" t="s">
        <v>71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4">
        <v>0</v>
      </c>
      <c r="N20" s="14">
        <v>0</v>
      </c>
      <c r="O20" s="14">
        <v>0</v>
      </c>
      <c r="P20" s="14">
        <v>0</v>
      </c>
      <c r="Q20" s="15">
        <f>$G$20*$G$8+$H$20*$H$8+$I$20*$I$8+$J$20*$J$8+$K$20*$K$8+$L$20*$L$8+$M$20*$M$8+$N$20*$N$8+$O$20*$O$8+$P$20*$P$8</f>
        <v>0</v>
      </c>
      <c r="R20" s="15">
        <v>0</v>
      </c>
      <c r="S20" s="15">
        <f>$Q$20+$R$20</f>
        <v>0</v>
      </c>
    </row>
    <row r="21" spans="1:19" x14ac:dyDescent="0.3">
      <c r="A21" s="10" t="s">
        <v>72</v>
      </c>
      <c r="B21" s="11" t="s">
        <v>73</v>
      </c>
      <c r="C21" s="11"/>
      <c r="D21" s="11" t="s">
        <v>74</v>
      </c>
      <c r="E21" s="11">
        <f xml:space="preserve"> IF($S$21,1,0)</f>
        <v>0</v>
      </c>
      <c r="F21" s="11" t="s">
        <v>75</v>
      </c>
      <c r="G21" s="11">
        <v>0</v>
      </c>
      <c r="H21" s="11">
        <v>0</v>
      </c>
      <c r="I21" s="11">
        <v>0</v>
      </c>
      <c r="J21" s="11">
        <v>0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2">
        <f>$G$21*$G$8+$H$21*$H$8+$I$21*$I$8+$J$21*$J$8+$K$21*$K$8+$L$21*$L$8+$M$21*$M$8+$N$21*$N$8+$O$21*$O$8+$P$21*$P$8</f>
        <v>0</v>
      </c>
      <c r="R21" s="12">
        <v>0</v>
      </c>
      <c r="S21" s="12">
        <f>$Q$21+$R$21</f>
        <v>0</v>
      </c>
    </row>
    <row r="22" spans="1:19" x14ac:dyDescent="0.3">
      <c r="A22" s="13" t="s">
        <v>76</v>
      </c>
      <c r="B22" s="14" t="s">
        <v>77</v>
      </c>
      <c r="C22" s="14"/>
      <c r="D22" s="14" t="s">
        <v>78</v>
      </c>
      <c r="E22" s="14">
        <f xml:space="preserve"> IF($S$22,1,0)</f>
        <v>0</v>
      </c>
      <c r="F22" s="14" t="s">
        <v>79</v>
      </c>
      <c r="G22" s="14">
        <v>0</v>
      </c>
      <c r="H22" s="14">
        <v>0</v>
      </c>
      <c r="I22" s="14">
        <v>0</v>
      </c>
      <c r="J22" s="14">
        <v>0</v>
      </c>
      <c r="K22" s="14">
        <v>0</v>
      </c>
      <c r="L22" s="14">
        <v>0</v>
      </c>
      <c r="M22" s="14">
        <v>0</v>
      </c>
      <c r="N22" s="14">
        <v>0</v>
      </c>
      <c r="O22" s="14">
        <v>0</v>
      </c>
      <c r="P22" s="14">
        <v>0</v>
      </c>
      <c r="Q22" s="15">
        <f>$G$22*$G$8+$H$22*$H$8+$I$22*$I$8+$J$22*$J$8+$K$22*$K$8+$L$22*$L$8+$M$22*$M$8+$N$22*$N$8+$O$22*$O$8+$P$22*$P$8</f>
        <v>0</v>
      </c>
      <c r="R22" s="15">
        <v>0</v>
      </c>
      <c r="S22" s="15">
        <f>$Q$22+$R$22</f>
        <v>0</v>
      </c>
    </row>
    <row r="23" spans="1:19" x14ac:dyDescent="0.3">
      <c r="A23" s="10" t="s">
        <v>80</v>
      </c>
      <c r="B23" s="11" t="s">
        <v>77</v>
      </c>
      <c r="C23" s="11" t="s">
        <v>65</v>
      </c>
      <c r="D23" s="11" t="s">
        <v>81</v>
      </c>
      <c r="E23" s="11">
        <f xml:space="preserve"> IF($S$23,1,0)</f>
        <v>0</v>
      </c>
      <c r="F23" s="11" t="s">
        <v>82</v>
      </c>
      <c r="G23" s="11">
        <v>0</v>
      </c>
      <c r="H23" s="11">
        <v>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2">
        <f>$G$23*$G$8+$H$23*$H$8+$I$23*$I$8+$J$23*$J$8+$K$23*$K$8+$L$23*$L$8+$M$23*$M$8+$N$23*$N$8+$O$23*$O$8+$P$23*$P$8</f>
        <v>0</v>
      </c>
      <c r="R23" s="12">
        <v>0</v>
      </c>
      <c r="S23" s="12">
        <f>$Q$23+$R$23</f>
        <v>0</v>
      </c>
    </row>
    <row r="24" spans="1:19" x14ac:dyDescent="0.3">
      <c r="A24" s="13" t="s">
        <v>83</v>
      </c>
      <c r="B24" s="14" t="s">
        <v>84</v>
      </c>
      <c r="C24" s="14"/>
      <c r="D24" s="14" t="s">
        <v>81</v>
      </c>
      <c r="E24" s="14">
        <f xml:space="preserve"> IF($S$24,1,0)</f>
        <v>0</v>
      </c>
      <c r="F24" s="14" t="s">
        <v>85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5">
        <f>$G$24*$G$8+$H$24*$H$8+$I$24*$I$8+$J$24*$J$8+$K$24*$K$8+$L$24*$L$8+$M$24*$M$8+$N$24*$N$8+$O$24*$O$8+$P$24*$P$8</f>
        <v>0</v>
      </c>
      <c r="R24" s="15">
        <v>0</v>
      </c>
      <c r="S24" s="15">
        <f>$Q$24+$R$24</f>
        <v>0</v>
      </c>
    </row>
    <row r="25" spans="1:19" x14ac:dyDescent="0.3">
      <c r="A25" s="10" t="s">
        <v>86</v>
      </c>
      <c r="B25" s="11" t="s">
        <v>87</v>
      </c>
      <c r="C25" s="11"/>
      <c r="D25" s="11" t="s">
        <v>88</v>
      </c>
      <c r="E25" s="11">
        <f xml:space="preserve"> IF($S$25,1,0)</f>
        <v>0</v>
      </c>
      <c r="F25" s="11" t="s">
        <v>89</v>
      </c>
      <c r="G25" s="11">
        <v>0</v>
      </c>
      <c r="H25" s="11">
        <v>0</v>
      </c>
      <c r="I25" s="11">
        <v>0</v>
      </c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2">
        <f>$G$25*$G$8+$H$25*$H$8+$I$25*$I$8+$J$25*$J$8+$K$25*$K$8+$L$25*$L$8+$M$25*$M$8+$N$25*$N$8+$O$25*$O$8+$P$25*$P$8</f>
        <v>0</v>
      </c>
      <c r="R25" s="12">
        <v>0</v>
      </c>
      <c r="S25" s="12">
        <f>$Q$25+$R$25</f>
        <v>0</v>
      </c>
    </row>
    <row r="26" spans="1:19" x14ac:dyDescent="0.3">
      <c r="A26" s="13" t="s">
        <v>90</v>
      </c>
      <c r="B26" s="14" t="s">
        <v>91</v>
      </c>
      <c r="C26" s="14"/>
      <c r="D26" s="14" t="s">
        <v>92</v>
      </c>
      <c r="E26" s="14">
        <f xml:space="preserve"> IF($S$26,1,0)</f>
        <v>0</v>
      </c>
      <c r="F26" s="14" t="s">
        <v>93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5">
        <f>$G$26*$G$8+$H$26*$H$8+$I$26*$I$8+$J$26*$J$8+$K$26*$K$8+$L$26*$L$8+$M$26*$M$8+$N$26*$N$8+$O$26*$O$8+$P$26*$P$8</f>
        <v>0</v>
      </c>
      <c r="R26" s="15">
        <v>0</v>
      </c>
      <c r="S26" s="15">
        <f>$Q$26+$R$26</f>
        <v>0</v>
      </c>
    </row>
    <row r="27" spans="1:19" x14ac:dyDescent="0.3">
      <c r="A27" s="10" t="s">
        <v>94</v>
      </c>
      <c r="B27" s="11" t="s">
        <v>95</v>
      </c>
      <c r="C27" s="11"/>
      <c r="D27" s="11" t="s">
        <v>96</v>
      </c>
      <c r="E27" s="11">
        <f xml:space="preserve"> IF($S$27,1,0)</f>
        <v>0</v>
      </c>
      <c r="F27" s="11" t="s">
        <v>97</v>
      </c>
      <c r="G27" s="11">
        <v>0</v>
      </c>
      <c r="H27" s="11">
        <v>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2">
        <f>$G$27*$G$8+$H$27*$H$8+$I$27*$I$8+$J$27*$J$8+$K$27*$K$8+$L$27*$L$8+$M$27*$M$8+$N$27*$N$8+$O$27*$O$8+$P$27*$P$8</f>
        <v>0</v>
      </c>
      <c r="R27" s="12">
        <v>0</v>
      </c>
      <c r="S27" s="12">
        <f>$Q$27+$R$27</f>
        <v>0</v>
      </c>
    </row>
    <row r="28" spans="1:19" x14ac:dyDescent="0.3">
      <c r="A28" s="13" t="s">
        <v>98</v>
      </c>
      <c r="B28" s="14" t="s">
        <v>99</v>
      </c>
      <c r="C28" s="14"/>
      <c r="D28" s="14" t="s">
        <v>100</v>
      </c>
      <c r="E28" s="14">
        <f xml:space="preserve"> IF($S$28,1,0)</f>
        <v>0</v>
      </c>
      <c r="F28" s="14" t="s">
        <v>101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5">
        <f>$G$28*$G$8+$H$28*$H$8+$I$28*$I$8+$J$28*$J$8+$K$28*$K$8+$L$28*$L$8+$M$28*$M$8+$N$28*$N$8+$O$28*$O$8+$P$28*$P$8</f>
        <v>0</v>
      </c>
      <c r="R28" s="15">
        <v>0</v>
      </c>
      <c r="S28" s="15">
        <f>$Q$28+$R$28</f>
        <v>0</v>
      </c>
    </row>
    <row r="29" spans="1:19" x14ac:dyDescent="0.3">
      <c r="A29" s="10" t="s">
        <v>102</v>
      </c>
      <c r="B29" s="11" t="s">
        <v>103</v>
      </c>
      <c r="C29" s="11"/>
      <c r="D29" s="11" t="s">
        <v>104</v>
      </c>
      <c r="E29" s="11">
        <f xml:space="preserve"> IF($S$29,1,0)</f>
        <v>0</v>
      </c>
      <c r="F29" s="11" t="s">
        <v>105</v>
      </c>
      <c r="G29" s="11">
        <v>0</v>
      </c>
      <c r="H29" s="11">
        <v>0</v>
      </c>
      <c r="I29" s="11">
        <v>0</v>
      </c>
      <c r="J29" s="11">
        <v>0</v>
      </c>
      <c r="K29" s="11">
        <v>0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2">
        <f>$G$29*$G$8+$H$29*$H$8+$I$29*$I$8+$J$29*$J$8+$K$29*$K$8+$L$29*$L$8+$M$29*$M$8+$N$29*$N$8+$O$29*$O$8+$P$29*$P$8</f>
        <v>0</v>
      </c>
      <c r="R29" s="12">
        <v>0</v>
      </c>
      <c r="S29" s="12">
        <f>$Q$29+$R$29</f>
        <v>0</v>
      </c>
    </row>
    <row r="30" spans="1:19" x14ac:dyDescent="0.3">
      <c r="A30" s="13" t="s">
        <v>106</v>
      </c>
      <c r="B30" s="14" t="s">
        <v>103</v>
      </c>
      <c r="C30" s="14"/>
      <c r="D30" s="14" t="s">
        <v>107</v>
      </c>
      <c r="E30" s="14">
        <f xml:space="preserve"> IF($S$30,1,0)</f>
        <v>0</v>
      </c>
      <c r="F30" s="14" t="s">
        <v>108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5">
        <f>$G$30*$G$8+$H$30*$H$8+$I$30*$I$8+$J$30*$J$8+$K$30*$K$8+$L$30*$L$8+$M$30*$M$8+$N$30*$N$8+$O$30*$O$8+$P$30*$P$8</f>
        <v>0</v>
      </c>
      <c r="R30" s="15">
        <v>0</v>
      </c>
      <c r="S30" s="15">
        <f>$Q$30+$R$30</f>
        <v>0</v>
      </c>
    </row>
    <row r="31" spans="1:19" x14ac:dyDescent="0.3">
      <c r="A31" s="10" t="s">
        <v>109</v>
      </c>
      <c r="B31" s="11" t="s">
        <v>103</v>
      </c>
      <c r="C31" s="11"/>
      <c r="D31" s="11" t="s">
        <v>110</v>
      </c>
      <c r="E31" s="11">
        <f xml:space="preserve"> IF($S$31,1,0)</f>
        <v>0</v>
      </c>
      <c r="F31" s="11" t="s">
        <v>111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2">
        <f>$G$31*$G$8+$H$31*$H$8+$I$31*$I$8+$J$31*$J$8+$K$31*$K$8+$L$31*$L$8+$M$31*$M$8+$N$31*$N$8+$O$31*$O$8+$P$31*$P$8</f>
        <v>0</v>
      </c>
      <c r="R31" s="12">
        <v>0</v>
      </c>
      <c r="S31" s="12">
        <f>$Q$31+$R$31</f>
        <v>0</v>
      </c>
    </row>
    <row r="32" spans="1:19" x14ac:dyDescent="0.3">
      <c r="A32" s="13" t="s">
        <v>112</v>
      </c>
      <c r="B32" s="14" t="s">
        <v>113</v>
      </c>
      <c r="C32" s="14"/>
      <c r="D32" s="14" t="s">
        <v>114</v>
      </c>
      <c r="E32" s="14">
        <f xml:space="preserve"> IF($S$32,1,0)</f>
        <v>0</v>
      </c>
      <c r="F32" s="14" t="s">
        <v>115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5">
        <f>$G$32*$G$8+$H$32*$H$8+$I$32*$I$8+$J$32*$J$8+$K$32*$K$8+$L$32*$L$8+$M$32*$M$8+$N$32*$N$8+$O$32*$O$8+$P$32*$P$8</f>
        <v>0</v>
      </c>
      <c r="R32" s="15">
        <v>0</v>
      </c>
      <c r="S32" s="15">
        <f>$Q$32+$R$32</f>
        <v>0</v>
      </c>
    </row>
    <row r="33" spans="1:19" x14ac:dyDescent="0.3">
      <c r="A33" s="10" t="s">
        <v>116</v>
      </c>
      <c r="B33" s="11" t="s">
        <v>117</v>
      </c>
      <c r="C33" s="11" t="s">
        <v>34</v>
      </c>
      <c r="D33" s="11" t="s">
        <v>118</v>
      </c>
      <c r="E33" s="11">
        <f xml:space="preserve"> IF($S$33,1,0)</f>
        <v>0</v>
      </c>
      <c r="F33" s="11" t="s">
        <v>119</v>
      </c>
      <c r="G33" s="11">
        <v>0</v>
      </c>
      <c r="H33" s="11">
        <v>0</v>
      </c>
      <c r="I33" s="11">
        <v>0</v>
      </c>
      <c r="J33" s="11">
        <v>0</v>
      </c>
      <c r="K33" s="11">
        <v>0</v>
      </c>
      <c r="L33" s="11">
        <v>0</v>
      </c>
      <c r="M33" s="11">
        <v>0</v>
      </c>
      <c r="N33" s="11">
        <v>0</v>
      </c>
      <c r="O33" s="11">
        <v>0</v>
      </c>
      <c r="P33" s="11">
        <v>0</v>
      </c>
      <c r="Q33" s="12">
        <f>$G$33*$G$8+$H$33*$H$8+$I$33*$I$8+$J$33*$J$8+$K$33*$K$8+$L$33*$L$8+$M$33*$M$8+$N$33*$N$8+$O$33*$O$8+$P$33*$P$8</f>
        <v>0</v>
      </c>
      <c r="R33" s="12">
        <v>0</v>
      </c>
      <c r="S33" s="12">
        <f>$Q$33+$R$33</f>
        <v>0</v>
      </c>
    </row>
    <row r="34" spans="1:19" x14ac:dyDescent="0.3">
      <c r="A34" s="13" t="s">
        <v>120</v>
      </c>
      <c r="B34" s="14" t="s">
        <v>121</v>
      </c>
      <c r="C34" s="14"/>
      <c r="D34" s="14" t="s">
        <v>122</v>
      </c>
      <c r="E34" s="14">
        <f xml:space="preserve"> IF($S$34,1,0)</f>
        <v>0</v>
      </c>
      <c r="F34" s="14" t="s">
        <v>123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5">
        <f>$G$34*$G$8+$H$34*$H$8+$I$34*$I$8+$J$34*$J$8+$K$34*$K$8+$L$34*$L$8+$M$34*$M$8+$N$34*$N$8+$O$34*$O$8+$P$34*$P$8</f>
        <v>0</v>
      </c>
      <c r="R34" s="15">
        <v>0</v>
      </c>
      <c r="S34" s="15">
        <f>$Q$34+$R$34</f>
        <v>0</v>
      </c>
    </row>
    <row r="35" spans="1:19" x14ac:dyDescent="0.3">
      <c r="A35" s="10" t="s">
        <v>124</v>
      </c>
      <c r="B35" s="11" t="s">
        <v>125</v>
      </c>
      <c r="C35" s="11"/>
      <c r="D35" s="11" t="s">
        <v>126</v>
      </c>
      <c r="E35" s="11">
        <f xml:space="preserve"> IF($S$35,1,0)</f>
        <v>0</v>
      </c>
      <c r="F35" s="11" t="s">
        <v>127</v>
      </c>
      <c r="G35" s="11">
        <v>0</v>
      </c>
      <c r="H35" s="11">
        <v>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0</v>
      </c>
      <c r="Q35" s="12">
        <f>$G$35*$G$8+$H$35*$H$8+$I$35*$I$8+$J$35*$J$8+$K$35*$K$8+$L$35*$L$8+$M$35*$M$8+$N$35*$N$8+$O$35*$O$8+$P$35*$P$8</f>
        <v>0</v>
      </c>
      <c r="R35" s="12">
        <v>0</v>
      </c>
      <c r="S35" s="12">
        <f>$Q$35+$R$35</f>
        <v>0</v>
      </c>
    </row>
    <row r="36" spans="1:19" x14ac:dyDescent="0.3">
      <c r="A36" s="13" t="s">
        <v>128</v>
      </c>
      <c r="B36" s="14" t="s">
        <v>129</v>
      </c>
      <c r="C36" s="14" t="s">
        <v>34</v>
      </c>
      <c r="D36" s="14" t="s">
        <v>130</v>
      </c>
      <c r="E36" s="14">
        <f xml:space="preserve"> IF($S$36,1,0)</f>
        <v>0</v>
      </c>
      <c r="F36" s="14" t="s">
        <v>131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5">
        <f>$G$36*$G$8+$H$36*$H$8+$I$36*$I$8+$J$36*$J$8+$K$36*$K$8+$L$36*$L$8+$M$36*$M$8+$N$36*$N$8+$O$36*$O$8+$P$36*$P$8</f>
        <v>0</v>
      </c>
      <c r="R36" s="15">
        <v>0</v>
      </c>
      <c r="S36" s="15">
        <f>$Q$36+$R$36</f>
        <v>0</v>
      </c>
    </row>
    <row r="37" spans="1:19" x14ac:dyDescent="0.3">
      <c r="A37" s="10" t="s">
        <v>132</v>
      </c>
      <c r="B37" s="11" t="s">
        <v>133</v>
      </c>
      <c r="C37" s="11"/>
      <c r="D37" s="11" t="s">
        <v>134</v>
      </c>
      <c r="E37" s="11">
        <f xml:space="preserve"> IF($S$37,1,0)</f>
        <v>0</v>
      </c>
      <c r="F37" s="11" t="s">
        <v>135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2">
        <f>$G$37*$G$8+$H$37*$H$8+$I$37*$I$8+$J$37*$J$8+$K$37*$K$8+$L$37*$L$8+$M$37*$M$8+$N$37*$N$8+$O$37*$O$8+$P$37*$P$8</f>
        <v>0</v>
      </c>
      <c r="R37" s="12">
        <v>0</v>
      </c>
      <c r="S37" s="12">
        <f>$Q$37+$R$37</f>
        <v>0</v>
      </c>
    </row>
    <row r="38" spans="1:19" x14ac:dyDescent="0.3">
      <c r="A38" s="13" t="s">
        <v>136</v>
      </c>
      <c r="B38" s="14" t="s">
        <v>137</v>
      </c>
      <c r="C38" s="14"/>
      <c r="D38" s="14" t="s">
        <v>138</v>
      </c>
      <c r="E38" s="14">
        <f xml:space="preserve"> IF($S$38,1,0)</f>
        <v>0</v>
      </c>
      <c r="F38" s="14" t="s">
        <v>139</v>
      </c>
      <c r="G38" s="14">
        <v>0</v>
      </c>
      <c r="H38" s="14">
        <v>0</v>
      </c>
      <c r="I38" s="14">
        <v>0</v>
      </c>
      <c r="J38" s="14">
        <v>0</v>
      </c>
      <c r="K38" s="14">
        <v>0</v>
      </c>
      <c r="L38" s="14">
        <v>0</v>
      </c>
      <c r="M38" s="14">
        <v>0</v>
      </c>
      <c r="N38" s="14">
        <v>0</v>
      </c>
      <c r="O38" s="14">
        <v>0</v>
      </c>
      <c r="P38" s="14">
        <v>0</v>
      </c>
      <c r="Q38" s="15">
        <f>$G$38*$G$8+$H$38*$H$8+$I$38*$I$8+$J$38*$J$8+$K$38*$K$8+$L$38*$L$8+$M$38*$M$8+$N$38*$N$8+$O$38*$O$8+$P$38*$P$8</f>
        <v>0</v>
      </c>
      <c r="R38" s="15">
        <v>0</v>
      </c>
      <c r="S38" s="15">
        <f>$Q$38+$R$38</f>
        <v>0</v>
      </c>
    </row>
    <row r="39" spans="1:19" x14ac:dyDescent="0.3">
      <c r="A39" s="10" t="s">
        <v>140</v>
      </c>
      <c r="B39" s="11" t="s">
        <v>141</v>
      </c>
      <c r="C39" s="11"/>
      <c r="D39" s="11" t="s">
        <v>142</v>
      </c>
      <c r="E39" s="11">
        <f xml:space="preserve"> IF($S$39,1,0)</f>
        <v>0</v>
      </c>
      <c r="F39" s="11" t="s">
        <v>143</v>
      </c>
      <c r="G39" s="11">
        <v>0</v>
      </c>
      <c r="H39" s="11">
        <v>0</v>
      </c>
      <c r="I39" s="11">
        <v>0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2">
        <f>$G$39*$G$8+$H$39*$H$8+$I$39*$I$8+$J$39*$J$8+$K$39*$K$8+$L$39*$L$8+$M$39*$M$8+$N$39*$N$8+$O$39*$O$8+$P$39*$P$8</f>
        <v>0</v>
      </c>
      <c r="R39" s="12">
        <v>0</v>
      </c>
      <c r="S39" s="12">
        <f>$Q$39+$R$39</f>
        <v>0</v>
      </c>
    </row>
    <row r="40" spans="1:19" x14ac:dyDescent="0.3">
      <c r="A40" s="13" t="s">
        <v>144</v>
      </c>
      <c r="B40" s="14" t="s">
        <v>145</v>
      </c>
      <c r="C40" s="14"/>
      <c r="D40" s="14" t="s">
        <v>146</v>
      </c>
      <c r="E40" s="14">
        <f xml:space="preserve"> IF($S$40,1,0)</f>
        <v>0</v>
      </c>
      <c r="F40" s="14" t="s">
        <v>147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5">
        <f>$G$40*$G$8+$H$40*$H$8+$I$40*$I$8+$J$40*$J$8+$K$40*$K$8+$L$40*$L$8+$M$40*$M$8+$N$40*$N$8+$O$40*$O$8+$P$40*$P$8</f>
        <v>0</v>
      </c>
      <c r="R40" s="15">
        <v>0</v>
      </c>
      <c r="S40" s="15">
        <f>$Q$40+$R$40</f>
        <v>0</v>
      </c>
    </row>
    <row r="41" spans="1:19" x14ac:dyDescent="0.3">
      <c r="A41" s="10" t="s">
        <v>148</v>
      </c>
      <c r="B41" s="11" t="s">
        <v>149</v>
      </c>
      <c r="C41" s="11"/>
      <c r="D41" s="11" t="s">
        <v>150</v>
      </c>
      <c r="E41" s="11">
        <f xml:space="preserve"> IF($S$41,1,0)</f>
        <v>0</v>
      </c>
      <c r="F41" s="11" t="s">
        <v>151</v>
      </c>
      <c r="G41" s="11">
        <v>0</v>
      </c>
      <c r="H41" s="11">
        <v>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2">
        <f>$G$41*$G$8+$H$41*$H$8+$I$41*$I$8+$J$41*$J$8+$K$41*$K$8+$L$41*$L$8+$M$41*$M$8+$N$41*$N$8+$O$41*$O$8+$P$41*$P$8</f>
        <v>0</v>
      </c>
      <c r="R41" s="12">
        <v>0</v>
      </c>
      <c r="S41" s="12">
        <f>$Q$41+$R$41</f>
        <v>0</v>
      </c>
    </row>
    <row r="42" spans="1:19" x14ac:dyDescent="0.3">
      <c r="A42" s="13" t="s">
        <v>152</v>
      </c>
      <c r="B42" s="14" t="s">
        <v>153</v>
      </c>
      <c r="C42" s="14"/>
      <c r="D42" s="14" t="s">
        <v>154</v>
      </c>
      <c r="E42" s="14">
        <f xml:space="preserve"> IF($S$42,1,0)</f>
        <v>0</v>
      </c>
      <c r="F42" s="14" t="s">
        <v>155</v>
      </c>
      <c r="G42" s="14">
        <v>0</v>
      </c>
      <c r="H42" s="14">
        <v>0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0</v>
      </c>
      <c r="Q42" s="15">
        <f>$G$42*$G$8+$H$42*$H$8+$I$42*$I$8+$J$42*$J$8+$K$42*$K$8+$L$42*$L$8+$M$42*$M$8+$N$42*$N$8+$O$42*$O$8+$P$42*$P$8</f>
        <v>0</v>
      </c>
      <c r="R42" s="15">
        <v>0</v>
      </c>
      <c r="S42" s="15">
        <f>$Q$42+$R$42</f>
        <v>0</v>
      </c>
    </row>
    <row r="43" spans="1:19" x14ac:dyDescent="0.3">
      <c r="A43" s="10" t="s">
        <v>156</v>
      </c>
      <c r="B43" s="11" t="s">
        <v>157</v>
      </c>
      <c r="C43" s="11" t="s">
        <v>65</v>
      </c>
      <c r="D43" s="11" t="s">
        <v>158</v>
      </c>
      <c r="E43" s="11">
        <f xml:space="preserve"> IF($S$43,1,0)</f>
        <v>0</v>
      </c>
      <c r="F43" s="11" t="s">
        <v>159</v>
      </c>
      <c r="G43" s="11">
        <v>0</v>
      </c>
      <c r="H43" s="11">
        <v>0</v>
      </c>
      <c r="I43" s="11">
        <v>0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2">
        <f>$G$43*$G$8+$H$43*$H$8+$I$43*$I$8+$J$43*$J$8+$K$43*$K$8+$L$43*$L$8+$M$43*$M$8+$N$43*$N$8+$O$43*$O$8+$P$43*$P$8</f>
        <v>0</v>
      </c>
      <c r="R43" s="12">
        <v>0</v>
      </c>
      <c r="S43" s="12">
        <f>$Q$43+$R$43</f>
        <v>0</v>
      </c>
    </row>
    <row r="44" spans="1:19" x14ac:dyDescent="0.3">
      <c r="A44" s="13" t="s">
        <v>160</v>
      </c>
      <c r="B44" s="14" t="s">
        <v>161</v>
      </c>
      <c r="C44" s="14"/>
      <c r="D44" s="14" t="s">
        <v>162</v>
      </c>
      <c r="E44" s="14">
        <f xml:space="preserve"> IF($S$44,1,0)</f>
        <v>0</v>
      </c>
      <c r="F44" s="14" t="s">
        <v>163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14">
        <v>0</v>
      </c>
      <c r="P44" s="14">
        <v>0</v>
      </c>
      <c r="Q44" s="15">
        <f>$G$44*$G$8+$H$44*$H$8+$I$44*$I$8+$J$44*$J$8+$K$44*$K$8+$L$44*$L$8+$M$44*$M$8+$N$44*$N$8+$O$44*$O$8+$P$44*$P$8</f>
        <v>0</v>
      </c>
      <c r="R44" s="15">
        <v>0</v>
      </c>
      <c r="S44" s="15">
        <f>$Q$44+$R$44</f>
        <v>0</v>
      </c>
    </row>
    <row r="45" spans="1:19" x14ac:dyDescent="0.3">
      <c r="A45" s="10" t="s">
        <v>164</v>
      </c>
      <c r="B45" s="11" t="s">
        <v>165</v>
      </c>
      <c r="C45" s="11"/>
      <c r="D45" s="11" t="s">
        <v>166</v>
      </c>
      <c r="E45" s="11">
        <f xml:space="preserve"> IF($S$45,1,0)</f>
        <v>0</v>
      </c>
      <c r="F45" s="11" t="s">
        <v>167</v>
      </c>
      <c r="G45" s="11">
        <v>0</v>
      </c>
      <c r="H45" s="11">
        <v>0</v>
      </c>
      <c r="I45" s="11">
        <v>0</v>
      </c>
      <c r="J45" s="11">
        <v>0</v>
      </c>
      <c r="K45" s="11">
        <v>0</v>
      </c>
      <c r="L45" s="11">
        <v>0</v>
      </c>
      <c r="M45" s="11">
        <v>0</v>
      </c>
      <c r="N45" s="11">
        <v>0</v>
      </c>
      <c r="O45" s="11">
        <v>0</v>
      </c>
      <c r="P45" s="11">
        <v>0</v>
      </c>
      <c r="Q45" s="12">
        <f>$G$45*$G$8+$H$45*$H$8+$I$45*$I$8+$J$45*$J$8+$K$45*$K$8+$L$45*$L$8+$M$45*$M$8+$N$45*$N$8+$O$45*$O$8+$P$45*$P$8</f>
        <v>0</v>
      </c>
      <c r="R45" s="12">
        <v>0</v>
      </c>
      <c r="S45" s="12">
        <f>$Q$45+$R$45</f>
        <v>0</v>
      </c>
    </row>
    <row r="46" spans="1:19" x14ac:dyDescent="0.3">
      <c r="A46" s="13" t="s">
        <v>168</v>
      </c>
      <c r="B46" s="14" t="s">
        <v>169</v>
      </c>
      <c r="C46" s="14" t="s">
        <v>65</v>
      </c>
      <c r="D46" s="14" t="s">
        <v>170</v>
      </c>
      <c r="E46" s="14">
        <f xml:space="preserve"> IF($S$46,1,0)</f>
        <v>0</v>
      </c>
      <c r="F46" s="14" t="s">
        <v>171</v>
      </c>
      <c r="G46" s="14">
        <v>0</v>
      </c>
      <c r="H46" s="14">
        <v>0</v>
      </c>
      <c r="I46" s="14">
        <v>0</v>
      </c>
      <c r="J46" s="14">
        <v>0</v>
      </c>
      <c r="K46" s="14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5">
        <f>$G$46*$G$8+$H$46*$H$8+$I$46*$I$8+$J$46*$J$8+$K$46*$K$8+$L$46*$L$8+$M$46*$M$8+$N$46*$N$8+$O$46*$O$8+$P$46*$P$8</f>
        <v>0</v>
      </c>
      <c r="R46" s="15">
        <v>0</v>
      </c>
      <c r="S46" s="15">
        <f>$Q$46+$R$46</f>
        <v>0</v>
      </c>
    </row>
    <row r="47" spans="1:19" x14ac:dyDescent="0.3">
      <c r="A47" s="10" t="s">
        <v>172</v>
      </c>
      <c r="B47" s="11" t="s">
        <v>173</v>
      </c>
      <c r="C47" s="11"/>
      <c r="D47" s="11" t="s">
        <v>174</v>
      </c>
      <c r="E47" s="11">
        <f xml:space="preserve"> IF($S$47,1,0)</f>
        <v>0</v>
      </c>
      <c r="F47" s="11" t="s">
        <v>175</v>
      </c>
      <c r="G47" s="11">
        <v>0</v>
      </c>
      <c r="H47" s="11">
        <v>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2">
        <f>$G$47*$G$8+$H$47*$H$8+$I$47*$I$8+$J$47*$J$8+$K$47*$K$8+$L$47*$L$8+$M$47*$M$8+$N$47*$N$8+$O$47*$O$8+$P$47*$P$8</f>
        <v>0</v>
      </c>
      <c r="R47" s="12">
        <v>0</v>
      </c>
      <c r="S47" s="12">
        <f>$Q$47+$R$47</f>
        <v>0</v>
      </c>
    </row>
    <row r="48" spans="1:19" x14ac:dyDescent="0.3">
      <c r="A48" s="13" t="s">
        <v>176</v>
      </c>
      <c r="B48" s="14" t="s">
        <v>177</v>
      </c>
      <c r="C48" s="14"/>
      <c r="D48" s="14" t="s">
        <v>178</v>
      </c>
      <c r="E48" s="14">
        <f xml:space="preserve"> IF($S$48,1,0)</f>
        <v>0</v>
      </c>
      <c r="F48" s="14" t="s">
        <v>179</v>
      </c>
      <c r="G48" s="14">
        <v>0</v>
      </c>
      <c r="H48" s="14">
        <v>0</v>
      </c>
      <c r="I48" s="14">
        <v>0</v>
      </c>
      <c r="J48" s="14">
        <v>0</v>
      </c>
      <c r="K48" s="14">
        <v>0</v>
      </c>
      <c r="L48" s="14">
        <v>0</v>
      </c>
      <c r="M48" s="14">
        <v>0</v>
      </c>
      <c r="N48" s="14">
        <v>0</v>
      </c>
      <c r="O48" s="14">
        <v>0</v>
      </c>
      <c r="P48" s="14">
        <v>0</v>
      </c>
      <c r="Q48" s="15">
        <f>$G$48*$G$8+$H$48*$H$8+$I$48*$I$8+$J$48*$J$8+$K$48*$K$8+$L$48*$L$8+$M$48*$M$8+$N$48*$N$8+$O$48*$O$8+$P$48*$P$8</f>
        <v>0</v>
      </c>
      <c r="R48" s="15">
        <v>0</v>
      </c>
      <c r="S48" s="15">
        <f>$Q$48+$R$48</f>
        <v>0</v>
      </c>
    </row>
    <row r="49" spans="1:19" x14ac:dyDescent="0.3">
      <c r="A49" s="10" t="s">
        <v>180</v>
      </c>
      <c r="B49" s="11" t="s">
        <v>177</v>
      </c>
      <c r="C49" s="11"/>
      <c r="D49" s="11" t="s">
        <v>181</v>
      </c>
      <c r="E49" s="11">
        <f xml:space="preserve"> IF($S$49,1,0)</f>
        <v>0</v>
      </c>
      <c r="F49" s="11" t="s">
        <v>182</v>
      </c>
      <c r="G49" s="11">
        <v>0</v>
      </c>
      <c r="H49" s="11">
        <v>0</v>
      </c>
      <c r="I49" s="11">
        <v>0</v>
      </c>
      <c r="J49" s="11">
        <v>0</v>
      </c>
      <c r="K49" s="11">
        <v>0</v>
      </c>
      <c r="L49" s="11">
        <v>0</v>
      </c>
      <c r="M49" s="11">
        <v>0</v>
      </c>
      <c r="N49" s="11">
        <v>0</v>
      </c>
      <c r="O49" s="11">
        <v>0</v>
      </c>
      <c r="P49" s="11">
        <v>0</v>
      </c>
      <c r="Q49" s="12">
        <f>$G$49*$G$8+$H$49*$H$8+$I$49*$I$8+$J$49*$J$8+$K$49*$K$8+$L$49*$L$8+$M$49*$M$8+$N$49*$N$8+$O$49*$O$8+$P$49*$P$8</f>
        <v>0</v>
      </c>
      <c r="R49" s="12">
        <v>0</v>
      </c>
      <c r="S49" s="12">
        <f>$Q$49+$R$49</f>
        <v>0</v>
      </c>
    </row>
    <row r="50" spans="1:19" x14ac:dyDescent="0.3">
      <c r="A50" s="13" t="s">
        <v>183</v>
      </c>
      <c r="B50" s="14" t="s">
        <v>177</v>
      </c>
      <c r="C50" s="14"/>
      <c r="D50" s="14" t="s">
        <v>184</v>
      </c>
      <c r="E50" s="14">
        <f xml:space="preserve"> IF($S$50,1,0)</f>
        <v>0</v>
      </c>
      <c r="F50" s="14" t="s">
        <v>185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  <c r="M50" s="14">
        <v>0</v>
      </c>
      <c r="N50" s="14">
        <v>0</v>
      </c>
      <c r="O50" s="14">
        <v>0</v>
      </c>
      <c r="P50" s="14">
        <v>0</v>
      </c>
      <c r="Q50" s="15">
        <f>$G$50*$G$8+$H$50*$H$8+$I$50*$I$8+$J$50*$J$8+$K$50*$K$8+$L$50*$L$8+$M$50*$M$8+$N$50*$N$8+$O$50*$O$8+$P$50*$P$8</f>
        <v>0</v>
      </c>
      <c r="R50" s="15">
        <v>0</v>
      </c>
      <c r="S50" s="15">
        <f>$Q$50+$R$50</f>
        <v>0</v>
      </c>
    </row>
    <row r="51" spans="1:19" x14ac:dyDescent="0.3">
      <c r="A51" s="10" t="s">
        <v>186</v>
      </c>
      <c r="B51" s="11" t="s">
        <v>177</v>
      </c>
      <c r="C51" s="11"/>
      <c r="D51" s="11" t="s">
        <v>187</v>
      </c>
      <c r="E51" s="11">
        <f xml:space="preserve"> IF($S$51,1,0)</f>
        <v>0</v>
      </c>
      <c r="F51" s="11" t="s">
        <v>188</v>
      </c>
      <c r="G51" s="11">
        <v>0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2">
        <f>$G$51*$G$8+$H$51*$H$8+$I$51*$I$8+$J$51*$J$8+$K$51*$K$8+$L$51*$L$8+$M$51*$M$8+$N$51*$N$8+$O$51*$O$8+$P$51*$P$8</f>
        <v>0</v>
      </c>
      <c r="R51" s="12">
        <v>0</v>
      </c>
      <c r="S51" s="12">
        <f>$Q$51+$R$51</f>
        <v>0</v>
      </c>
    </row>
    <row r="52" spans="1:19" x14ac:dyDescent="0.3">
      <c r="A52" s="13" t="s">
        <v>189</v>
      </c>
      <c r="B52" s="14" t="s">
        <v>177</v>
      </c>
      <c r="C52" s="14"/>
      <c r="D52" s="14" t="s">
        <v>190</v>
      </c>
      <c r="E52" s="14">
        <f xml:space="preserve"> IF($S$52,1,0)</f>
        <v>0</v>
      </c>
      <c r="F52" s="14" t="s">
        <v>191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5">
        <f>$G$52*$G$8+$H$52*$H$8+$I$52*$I$8+$J$52*$J$8+$K$52*$K$8+$L$52*$L$8+$M$52*$M$8+$N$52*$N$8+$O$52*$O$8+$P$52*$P$8</f>
        <v>0</v>
      </c>
      <c r="R52" s="15">
        <v>0</v>
      </c>
      <c r="S52" s="15">
        <f>$Q$52+$R$52</f>
        <v>0</v>
      </c>
    </row>
    <row r="53" spans="1:19" x14ac:dyDescent="0.3">
      <c r="A53" s="10" t="s">
        <v>192</v>
      </c>
      <c r="B53" s="11" t="s">
        <v>177</v>
      </c>
      <c r="C53" s="11"/>
      <c r="D53" s="11" t="s">
        <v>193</v>
      </c>
      <c r="E53" s="11">
        <f xml:space="preserve"> IF($S$53,1,0)</f>
        <v>0</v>
      </c>
      <c r="F53" s="11" t="s">
        <v>194</v>
      </c>
      <c r="G53" s="11">
        <v>0</v>
      </c>
      <c r="H53" s="11">
        <v>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2">
        <f>$G$53*$G$8+$H$53*$H$8+$I$53*$I$8+$J$53*$J$8+$K$53*$K$8+$L$53*$L$8+$M$53*$M$8+$N$53*$N$8+$O$53*$O$8+$P$53*$P$8</f>
        <v>0</v>
      </c>
      <c r="R53" s="12">
        <v>0</v>
      </c>
      <c r="S53" s="12">
        <f>$Q$53+$R$53</f>
        <v>0</v>
      </c>
    </row>
    <row r="54" spans="1:19" x14ac:dyDescent="0.3">
      <c r="A54" s="13" t="s">
        <v>195</v>
      </c>
      <c r="B54" s="14" t="s">
        <v>177</v>
      </c>
      <c r="C54" s="14"/>
      <c r="D54" s="14" t="s">
        <v>196</v>
      </c>
      <c r="E54" s="14">
        <f xml:space="preserve"> IF($S$54,1,0)</f>
        <v>0</v>
      </c>
      <c r="F54" s="14" t="s">
        <v>197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5">
        <f>$G$54*$G$8+$H$54*$H$8+$I$54*$I$8+$J$54*$J$8+$K$54*$K$8+$L$54*$L$8+$M$54*$M$8+$N$54*$N$8+$O$54*$O$8+$P$54*$P$8</f>
        <v>0</v>
      </c>
      <c r="R54" s="15">
        <v>0</v>
      </c>
      <c r="S54" s="15">
        <f>$Q$54+$R$54</f>
        <v>0</v>
      </c>
    </row>
    <row r="55" spans="1:19" x14ac:dyDescent="0.3">
      <c r="A55" s="10" t="s">
        <v>198</v>
      </c>
      <c r="B55" s="11" t="s">
        <v>177</v>
      </c>
      <c r="C55" s="11" t="s">
        <v>65</v>
      </c>
      <c r="D55" s="11" t="s">
        <v>199</v>
      </c>
      <c r="E55" s="11">
        <f xml:space="preserve"> IF($S$55,1,0)</f>
        <v>0</v>
      </c>
      <c r="F55" s="11" t="s">
        <v>200</v>
      </c>
      <c r="G55" s="11">
        <v>0</v>
      </c>
      <c r="H55" s="11">
        <v>0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2">
        <f>$G$55*$G$8+$H$55*$H$8+$I$55*$I$8+$J$55*$J$8+$K$55*$K$8+$L$55*$L$8+$M$55*$M$8+$N$55*$N$8+$O$55*$O$8+$P$55*$P$8</f>
        <v>0</v>
      </c>
      <c r="R55" s="12">
        <v>0</v>
      </c>
      <c r="S55" s="12">
        <f>$Q$55+$R$55</f>
        <v>0</v>
      </c>
    </row>
    <row r="56" spans="1:19" x14ac:dyDescent="0.3">
      <c r="A56" s="13" t="s">
        <v>201</v>
      </c>
      <c r="B56" s="14" t="s">
        <v>177</v>
      </c>
      <c r="C56" s="14" t="s">
        <v>202</v>
      </c>
      <c r="D56" s="14" t="s">
        <v>203</v>
      </c>
      <c r="E56" s="14">
        <f xml:space="preserve"> IF($S$56,1,0)</f>
        <v>0</v>
      </c>
      <c r="F56" s="14" t="s">
        <v>204</v>
      </c>
      <c r="G56" s="14">
        <v>0</v>
      </c>
      <c r="H56" s="14">
        <v>0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5">
        <f>$G$56*$G$8+$H$56*$H$8+$I$56*$I$8+$J$56*$J$8+$K$56*$K$8+$L$56*$L$8+$M$56*$M$8+$N$56*$N$8+$O$56*$O$8+$P$56*$P$8</f>
        <v>0</v>
      </c>
      <c r="R56" s="15">
        <v>0</v>
      </c>
      <c r="S56" s="15">
        <f>$Q$56+$R$56</f>
        <v>0</v>
      </c>
    </row>
    <row r="57" spans="1:19" x14ac:dyDescent="0.3">
      <c r="A57" s="10" t="s">
        <v>205</v>
      </c>
      <c r="B57" s="11" t="s">
        <v>206</v>
      </c>
      <c r="C57" s="11"/>
      <c r="D57" s="11" t="s">
        <v>207</v>
      </c>
      <c r="E57" s="11">
        <f xml:space="preserve"> IF($S$57,1,0)</f>
        <v>0</v>
      </c>
      <c r="F57" s="11" t="s">
        <v>208</v>
      </c>
      <c r="G57" s="11">
        <v>0</v>
      </c>
      <c r="H57" s="11">
        <v>0</v>
      </c>
      <c r="I57" s="11">
        <v>0</v>
      </c>
      <c r="J57" s="11">
        <v>0</v>
      </c>
      <c r="K57" s="11">
        <v>0</v>
      </c>
      <c r="L57" s="11">
        <v>0</v>
      </c>
      <c r="M57" s="11">
        <v>0</v>
      </c>
      <c r="N57" s="11">
        <v>0</v>
      </c>
      <c r="O57" s="11">
        <v>0</v>
      </c>
      <c r="P57" s="11">
        <v>0</v>
      </c>
      <c r="Q57" s="12">
        <f>$G$57*$G$8+$H$57*$H$8+$I$57*$I$8+$J$57*$J$8+$K$57*$K$8+$L$57*$L$8+$M$57*$M$8+$N$57*$N$8+$O$57*$O$8+$P$57*$P$8</f>
        <v>0</v>
      </c>
      <c r="R57" s="12">
        <v>0</v>
      </c>
      <c r="S57" s="12">
        <f>$Q$57+$R$57</f>
        <v>0</v>
      </c>
    </row>
    <row r="58" spans="1:19" x14ac:dyDescent="0.3">
      <c r="A58" s="13" t="s">
        <v>209</v>
      </c>
      <c r="B58" s="14" t="s">
        <v>210</v>
      </c>
      <c r="C58" s="14"/>
      <c r="D58" s="14" t="s">
        <v>211</v>
      </c>
      <c r="E58" s="14">
        <f xml:space="preserve"> IF($S$58,1,0)</f>
        <v>0</v>
      </c>
      <c r="F58" s="14" t="s">
        <v>212</v>
      </c>
      <c r="G58" s="14">
        <v>0</v>
      </c>
      <c r="H58" s="14">
        <v>0</v>
      </c>
      <c r="I58" s="14">
        <v>0</v>
      </c>
      <c r="J58" s="14">
        <v>0</v>
      </c>
      <c r="K58" s="14">
        <v>0</v>
      </c>
      <c r="L58" s="14">
        <v>0</v>
      </c>
      <c r="M58" s="14">
        <v>0</v>
      </c>
      <c r="N58" s="14">
        <v>0</v>
      </c>
      <c r="O58" s="14">
        <v>0</v>
      </c>
      <c r="P58" s="14">
        <v>0</v>
      </c>
      <c r="Q58" s="15">
        <f>$G$58*$G$8+$H$58*$H$8+$I$58*$I$8+$J$58*$J$8+$K$58*$K$8+$L$58*$L$8+$M$58*$M$8+$N$58*$N$8+$O$58*$O$8+$P$58*$P$8</f>
        <v>0</v>
      </c>
      <c r="R58" s="15">
        <v>0</v>
      </c>
      <c r="S58" s="15">
        <f>$Q$58+$R$58</f>
        <v>0</v>
      </c>
    </row>
    <row r="59" spans="1:19" x14ac:dyDescent="0.3">
      <c r="A59" s="10" t="s">
        <v>213</v>
      </c>
      <c r="B59" s="11" t="s">
        <v>210</v>
      </c>
      <c r="C59" s="11"/>
      <c r="D59" s="11" t="s">
        <v>214</v>
      </c>
      <c r="E59" s="11">
        <f xml:space="preserve"> IF($S$59,1,0)</f>
        <v>0</v>
      </c>
      <c r="F59" s="11" t="s">
        <v>215</v>
      </c>
      <c r="G59" s="11">
        <v>0</v>
      </c>
      <c r="H59" s="11">
        <v>0</v>
      </c>
      <c r="I59" s="11">
        <v>0</v>
      </c>
      <c r="J59" s="11">
        <v>0</v>
      </c>
      <c r="K59" s="11">
        <v>0</v>
      </c>
      <c r="L59" s="11">
        <v>0</v>
      </c>
      <c r="M59" s="11">
        <v>0</v>
      </c>
      <c r="N59" s="11">
        <v>0</v>
      </c>
      <c r="O59" s="11">
        <v>0</v>
      </c>
      <c r="P59" s="11">
        <v>0</v>
      </c>
      <c r="Q59" s="12">
        <f>$G$59*$G$8+$H$59*$H$8+$I$59*$I$8+$J$59*$J$8+$K$59*$K$8+$L$59*$L$8+$M$59*$M$8+$N$59*$N$8+$O$59*$O$8+$P$59*$P$8</f>
        <v>0</v>
      </c>
      <c r="R59" s="12">
        <v>0</v>
      </c>
      <c r="S59" s="12">
        <f>$Q$59+$R$59</f>
        <v>0</v>
      </c>
    </row>
    <row r="60" spans="1:19" x14ac:dyDescent="0.3">
      <c r="A60" s="13" t="s">
        <v>216</v>
      </c>
      <c r="B60" s="14" t="s">
        <v>217</v>
      </c>
      <c r="C60" s="14"/>
      <c r="D60" s="14" t="s">
        <v>218</v>
      </c>
      <c r="E60" s="14">
        <f xml:space="preserve"> IF($S$60,1,0)</f>
        <v>0</v>
      </c>
      <c r="F60" s="14" t="s">
        <v>219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0</v>
      </c>
      <c r="M60" s="14">
        <v>0</v>
      </c>
      <c r="N60" s="14">
        <v>0</v>
      </c>
      <c r="O60" s="14">
        <v>0</v>
      </c>
      <c r="P60" s="14">
        <v>0</v>
      </c>
      <c r="Q60" s="15">
        <f>$G$60*$G$8+$H$60*$H$8+$I$60*$I$8+$J$60*$J$8+$K$60*$K$8+$L$60*$L$8+$M$60*$M$8+$N$60*$N$8+$O$60*$O$8+$P$60*$P$8</f>
        <v>0</v>
      </c>
      <c r="R60" s="15">
        <v>0</v>
      </c>
      <c r="S60" s="15">
        <f>$Q$60+$R$60</f>
        <v>0</v>
      </c>
    </row>
    <row r="61" spans="1:19" x14ac:dyDescent="0.3">
      <c r="A61" s="10" t="s">
        <v>220</v>
      </c>
      <c r="B61" s="11" t="s">
        <v>221</v>
      </c>
      <c r="C61" s="11" t="s">
        <v>34</v>
      </c>
      <c r="D61" s="11" t="s">
        <v>222</v>
      </c>
      <c r="E61" s="11">
        <f xml:space="preserve"> IF($S$61,1,0)</f>
        <v>0</v>
      </c>
      <c r="F61" s="11" t="s">
        <v>223</v>
      </c>
      <c r="G61" s="11">
        <v>0</v>
      </c>
      <c r="H61" s="11">
        <v>0</v>
      </c>
      <c r="I61" s="11">
        <v>0</v>
      </c>
      <c r="J61" s="11">
        <v>0</v>
      </c>
      <c r="K61" s="11">
        <v>0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2">
        <f>$G$61*$G$8+$H$61*$H$8+$I$61*$I$8+$J$61*$J$8+$K$61*$K$8+$L$61*$L$8+$M$61*$M$8+$N$61*$N$8+$O$61*$O$8+$P$61*$P$8</f>
        <v>0</v>
      </c>
      <c r="R61" s="12">
        <v>0</v>
      </c>
      <c r="S61" s="12">
        <f>$Q$61+$R$61</f>
        <v>0</v>
      </c>
    </row>
    <row r="62" spans="1:19" x14ac:dyDescent="0.3">
      <c r="A62" s="13" t="s">
        <v>224</v>
      </c>
      <c r="B62" s="14" t="s">
        <v>225</v>
      </c>
      <c r="C62" s="14"/>
      <c r="D62" s="14" t="s">
        <v>226</v>
      </c>
      <c r="E62" s="14">
        <f xml:space="preserve"> IF($S$62,1,0)</f>
        <v>0</v>
      </c>
      <c r="F62" s="14" t="s">
        <v>227</v>
      </c>
      <c r="G62" s="14">
        <v>0</v>
      </c>
      <c r="H62" s="14">
        <v>0</v>
      </c>
      <c r="I62" s="14">
        <v>0</v>
      </c>
      <c r="J62" s="14">
        <v>0</v>
      </c>
      <c r="K62" s="14">
        <v>0</v>
      </c>
      <c r="L62" s="14">
        <v>0</v>
      </c>
      <c r="M62" s="14">
        <v>0</v>
      </c>
      <c r="N62" s="14">
        <v>0</v>
      </c>
      <c r="O62" s="14">
        <v>0</v>
      </c>
      <c r="P62" s="14">
        <v>0</v>
      </c>
      <c r="Q62" s="15">
        <f>$G$62*$G$8+$H$62*$H$8+$I$62*$I$8+$J$62*$J$8+$K$62*$K$8+$L$62*$L$8+$M$62*$M$8+$N$62*$N$8+$O$62*$O$8+$P$62*$P$8</f>
        <v>0</v>
      </c>
      <c r="R62" s="15">
        <v>0</v>
      </c>
      <c r="S62" s="15">
        <f>$Q$62+$R$62</f>
        <v>0</v>
      </c>
    </row>
    <row r="63" spans="1:19" x14ac:dyDescent="0.3">
      <c r="A63" s="10" t="s">
        <v>228</v>
      </c>
      <c r="B63" s="11" t="s">
        <v>225</v>
      </c>
      <c r="C63" s="11"/>
      <c r="D63" s="11" t="s">
        <v>229</v>
      </c>
      <c r="E63" s="11">
        <f xml:space="preserve"> IF($S$63,1,0)</f>
        <v>0</v>
      </c>
      <c r="F63" s="11" t="s">
        <v>230</v>
      </c>
      <c r="G63" s="11">
        <v>0</v>
      </c>
      <c r="H63" s="11">
        <v>0</v>
      </c>
      <c r="I63" s="11">
        <v>0</v>
      </c>
      <c r="J63" s="11">
        <v>0</v>
      </c>
      <c r="K63" s="11">
        <v>0</v>
      </c>
      <c r="L63" s="11">
        <v>0</v>
      </c>
      <c r="M63" s="11">
        <v>0</v>
      </c>
      <c r="N63" s="11">
        <v>0</v>
      </c>
      <c r="O63" s="11">
        <v>0</v>
      </c>
      <c r="P63" s="11">
        <v>0</v>
      </c>
      <c r="Q63" s="12">
        <f>$G$63*$G$8+$H$63*$H$8+$I$63*$I$8+$J$63*$J$8+$K$63*$K$8+$L$63*$L$8+$M$63*$M$8+$N$63*$N$8+$O$63*$O$8+$P$63*$P$8</f>
        <v>0</v>
      </c>
      <c r="R63" s="12">
        <v>0</v>
      </c>
      <c r="S63" s="12">
        <f>$Q$63+$R$63</f>
        <v>0</v>
      </c>
    </row>
    <row r="64" spans="1:19" x14ac:dyDescent="0.3">
      <c r="A64" s="13" t="s">
        <v>231</v>
      </c>
      <c r="B64" s="14" t="s">
        <v>225</v>
      </c>
      <c r="C64" s="14"/>
      <c r="D64" s="14" t="s">
        <v>232</v>
      </c>
      <c r="E64" s="14">
        <f xml:space="preserve"> IF($S$64,1,0)</f>
        <v>0</v>
      </c>
      <c r="F64" s="14" t="s">
        <v>233</v>
      </c>
      <c r="G64" s="14">
        <v>0</v>
      </c>
      <c r="H64" s="14">
        <v>0</v>
      </c>
      <c r="I64" s="14">
        <v>0</v>
      </c>
      <c r="J64" s="14">
        <v>0</v>
      </c>
      <c r="K64" s="14">
        <v>0</v>
      </c>
      <c r="L64" s="14">
        <v>0</v>
      </c>
      <c r="M64" s="14">
        <v>0</v>
      </c>
      <c r="N64" s="14">
        <v>0</v>
      </c>
      <c r="O64" s="14">
        <v>0</v>
      </c>
      <c r="P64" s="14">
        <v>0</v>
      </c>
      <c r="Q64" s="15">
        <f>$G$64*$G$8+$H$64*$H$8+$I$64*$I$8+$J$64*$J$8+$K$64*$K$8+$L$64*$L$8+$M$64*$M$8+$N$64*$N$8+$O$64*$O$8+$P$64*$P$8</f>
        <v>0</v>
      </c>
      <c r="R64" s="15">
        <v>0</v>
      </c>
      <c r="S64" s="15">
        <f>$Q$64+$R$64</f>
        <v>0</v>
      </c>
    </row>
    <row r="65" spans="1:19" x14ac:dyDescent="0.3">
      <c r="A65" s="10" t="s">
        <v>234</v>
      </c>
      <c r="B65" s="11" t="s">
        <v>235</v>
      </c>
      <c r="C65" s="11"/>
      <c r="D65" s="11" t="s">
        <v>236</v>
      </c>
      <c r="E65" s="11">
        <f xml:space="preserve"> IF($S$65,1,0)</f>
        <v>0</v>
      </c>
      <c r="F65" s="11" t="s">
        <v>237</v>
      </c>
      <c r="G65" s="11">
        <v>0</v>
      </c>
      <c r="H65" s="11">
        <v>0</v>
      </c>
      <c r="I65" s="11">
        <v>0</v>
      </c>
      <c r="J65" s="11">
        <v>0</v>
      </c>
      <c r="K65" s="11">
        <v>0</v>
      </c>
      <c r="L65" s="11">
        <v>0</v>
      </c>
      <c r="M65" s="11">
        <v>0</v>
      </c>
      <c r="N65" s="11">
        <v>0</v>
      </c>
      <c r="O65" s="11">
        <v>0</v>
      </c>
      <c r="P65" s="11">
        <v>0</v>
      </c>
      <c r="Q65" s="12">
        <f>$G$65*$G$8+$H$65*$H$8+$I$65*$I$8+$J$65*$J$8+$K$65*$K$8+$L$65*$L$8+$M$65*$M$8+$N$65*$N$8+$O$65*$O$8+$P$65*$P$8</f>
        <v>0</v>
      </c>
      <c r="R65" s="12">
        <v>0</v>
      </c>
      <c r="S65" s="12">
        <f>$Q$65+$R$65</f>
        <v>0</v>
      </c>
    </row>
    <row r="66" spans="1:19" x14ac:dyDescent="0.3">
      <c r="A66" s="13" t="s">
        <v>238</v>
      </c>
      <c r="B66" s="14" t="s">
        <v>235</v>
      </c>
      <c r="C66" s="14" t="s">
        <v>34</v>
      </c>
      <c r="D66" s="14" t="s">
        <v>239</v>
      </c>
      <c r="E66" s="14">
        <f xml:space="preserve"> IF($S$66,1,0)</f>
        <v>0</v>
      </c>
      <c r="F66" s="14" t="s">
        <v>240</v>
      </c>
      <c r="G66" s="14">
        <v>0</v>
      </c>
      <c r="H66" s="14">
        <v>0</v>
      </c>
      <c r="I66" s="14">
        <v>0</v>
      </c>
      <c r="J66" s="14">
        <v>0</v>
      </c>
      <c r="K66" s="14">
        <v>0</v>
      </c>
      <c r="L66" s="14">
        <v>0</v>
      </c>
      <c r="M66" s="14">
        <v>0</v>
      </c>
      <c r="N66" s="14">
        <v>0</v>
      </c>
      <c r="O66" s="14">
        <v>0</v>
      </c>
      <c r="P66" s="14">
        <v>0</v>
      </c>
      <c r="Q66" s="15">
        <f>$G$66*$G$8+$H$66*$H$8+$I$66*$I$8+$J$66*$J$8+$K$66*$K$8+$L$66*$L$8+$M$66*$M$8+$N$66*$N$8+$O$66*$O$8+$P$66*$P$8</f>
        <v>0</v>
      </c>
      <c r="R66" s="15">
        <v>0</v>
      </c>
      <c r="S66" s="15">
        <f>$Q$66+$R$66</f>
        <v>0</v>
      </c>
    </row>
    <row r="67" spans="1:19" x14ac:dyDescent="0.3">
      <c r="A67" s="10" t="s">
        <v>241</v>
      </c>
      <c r="B67" s="11" t="s">
        <v>242</v>
      </c>
      <c r="C67" s="11" t="s">
        <v>243</v>
      </c>
      <c r="D67" s="11" t="s">
        <v>244</v>
      </c>
      <c r="E67" s="11">
        <f xml:space="preserve"> IF($S$67,1,0)</f>
        <v>0</v>
      </c>
      <c r="F67" s="11" t="s">
        <v>245</v>
      </c>
      <c r="G67" s="11">
        <v>0</v>
      </c>
      <c r="H67" s="11">
        <v>0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2">
        <f>$G$67*$G$8+$H$67*$H$8+$I$67*$I$8+$J$67*$J$8+$K$67*$K$8+$L$67*$L$8+$M$67*$M$8+$N$67*$N$8+$O$67*$O$8+$P$67*$P$8</f>
        <v>0</v>
      </c>
      <c r="R67" s="12">
        <v>0</v>
      </c>
      <c r="S67" s="12">
        <f>$Q$67+$R$67</f>
        <v>0</v>
      </c>
    </row>
    <row r="68" spans="1:19" x14ac:dyDescent="0.3">
      <c r="A68" s="13" t="s">
        <v>246</v>
      </c>
      <c r="B68" s="14" t="s">
        <v>242</v>
      </c>
      <c r="C68" s="14"/>
      <c r="D68" s="14" t="s">
        <v>247</v>
      </c>
      <c r="E68" s="14">
        <f xml:space="preserve"> IF($S$68,1,0)</f>
        <v>0</v>
      </c>
      <c r="F68" s="14" t="s">
        <v>248</v>
      </c>
      <c r="G68" s="14">
        <v>0</v>
      </c>
      <c r="H68" s="14">
        <v>0</v>
      </c>
      <c r="I68" s="14">
        <v>0</v>
      </c>
      <c r="J68" s="14">
        <v>0</v>
      </c>
      <c r="K68" s="14">
        <v>0</v>
      </c>
      <c r="L68" s="14">
        <v>0</v>
      </c>
      <c r="M68" s="14">
        <v>0</v>
      </c>
      <c r="N68" s="14">
        <v>0</v>
      </c>
      <c r="O68" s="14">
        <v>0</v>
      </c>
      <c r="P68" s="14">
        <v>0</v>
      </c>
      <c r="Q68" s="15">
        <f>$G$68*$G$8+$H$68*$H$8+$I$68*$I$8+$J$68*$J$8+$K$68*$K$8+$L$68*$L$8+$M$68*$M$8+$N$68*$N$8+$O$68*$O$8+$P$68*$P$8</f>
        <v>0</v>
      </c>
      <c r="R68" s="15">
        <v>0</v>
      </c>
      <c r="S68" s="15">
        <f>$Q$68+$R$68</f>
        <v>0</v>
      </c>
    </row>
    <row r="69" spans="1:19" x14ac:dyDescent="0.3">
      <c r="A69" s="10" t="s">
        <v>249</v>
      </c>
      <c r="B69" s="11" t="s">
        <v>242</v>
      </c>
      <c r="C69" s="11" t="s">
        <v>34</v>
      </c>
      <c r="D69" s="11" t="s">
        <v>250</v>
      </c>
      <c r="E69" s="11">
        <f xml:space="preserve"> IF($S$69,1,0)</f>
        <v>0</v>
      </c>
      <c r="F69" s="11" t="s">
        <v>251</v>
      </c>
      <c r="G69" s="11">
        <v>0</v>
      </c>
      <c r="H69" s="11">
        <v>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2">
        <f>$G$69*$G$8+$H$69*$H$8+$I$69*$I$8+$J$69*$J$8+$K$69*$K$8+$L$69*$L$8+$M$69*$M$8+$N$69*$N$8+$O$69*$O$8+$P$69*$P$8</f>
        <v>0</v>
      </c>
      <c r="R69" s="12">
        <v>0</v>
      </c>
      <c r="S69" s="12">
        <f>$Q$69+$R$69</f>
        <v>0</v>
      </c>
    </row>
    <row r="70" spans="1:19" x14ac:dyDescent="0.3">
      <c r="A70" s="13" t="s">
        <v>252</v>
      </c>
      <c r="B70" s="14" t="s">
        <v>253</v>
      </c>
      <c r="C70" s="14"/>
      <c r="D70" s="14" t="s">
        <v>254</v>
      </c>
      <c r="E70" s="14">
        <f xml:space="preserve"> IF($S$70,1,0)</f>
        <v>0</v>
      </c>
      <c r="F70" s="14" t="s">
        <v>255</v>
      </c>
      <c r="G70" s="14">
        <v>0</v>
      </c>
      <c r="H70" s="14">
        <v>0</v>
      </c>
      <c r="I70" s="14">
        <v>0</v>
      </c>
      <c r="J70" s="14">
        <v>0</v>
      </c>
      <c r="K70" s="14">
        <v>0</v>
      </c>
      <c r="L70" s="14">
        <v>0</v>
      </c>
      <c r="M70" s="14">
        <v>0</v>
      </c>
      <c r="N70" s="14">
        <v>0</v>
      </c>
      <c r="O70" s="14">
        <v>0</v>
      </c>
      <c r="P70" s="14">
        <v>0</v>
      </c>
      <c r="Q70" s="15">
        <f>$G$70*$G$8+$H$70*$H$8+$I$70*$I$8+$J$70*$J$8+$K$70*$K$8+$L$70*$L$8+$M$70*$M$8+$N$70*$N$8+$O$70*$O$8+$P$70*$P$8</f>
        <v>0</v>
      </c>
      <c r="R70" s="15">
        <v>0</v>
      </c>
      <c r="S70" s="15">
        <f>$Q$70+$R$70</f>
        <v>0</v>
      </c>
    </row>
    <row r="71" spans="1:19" x14ac:dyDescent="0.3">
      <c r="A71" s="10" t="s">
        <v>256</v>
      </c>
      <c r="B71" s="11" t="s">
        <v>257</v>
      </c>
      <c r="C71" s="11"/>
      <c r="D71" s="11" t="s">
        <v>258</v>
      </c>
      <c r="E71" s="11">
        <f xml:space="preserve"> IF($S$71,1,0)</f>
        <v>0</v>
      </c>
      <c r="F71" s="11" t="s">
        <v>259</v>
      </c>
      <c r="G71" s="11">
        <v>0</v>
      </c>
      <c r="H71" s="11">
        <v>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0</v>
      </c>
      <c r="O71" s="11">
        <v>0</v>
      </c>
      <c r="P71" s="11">
        <v>0</v>
      </c>
      <c r="Q71" s="12">
        <f>$G$71*$G$8+$H$71*$H$8+$I$71*$I$8+$J$71*$J$8+$K$71*$K$8+$L$71*$L$8+$M$71*$M$8+$N$71*$N$8+$O$71*$O$8+$P$71*$P$8</f>
        <v>0</v>
      </c>
      <c r="R71" s="12">
        <v>0</v>
      </c>
      <c r="S71" s="12">
        <f>$Q$71+$R$71</f>
        <v>0</v>
      </c>
    </row>
    <row r="72" spans="1:19" x14ac:dyDescent="0.3">
      <c r="A72" s="13" t="s">
        <v>1248</v>
      </c>
      <c r="B72" s="14" t="s">
        <v>1249</v>
      </c>
      <c r="C72" s="14"/>
      <c r="D72" s="14" t="s">
        <v>1250</v>
      </c>
      <c r="E72" s="14">
        <f xml:space="preserve"> IF($S$72,1,0)</f>
        <v>0</v>
      </c>
      <c r="F72" s="14" t="s">
        <v>1251</v>
      </c>
      <c r="G72" s="14">
        <v>0</v>
      </c>
      <c r="H72" s="14">
        <v>0</v>
      </c>
      <c r="I72" s="14">
        <v>0</v>
      </c>
      <c r="J72" s="14">
        <v>0</v>
      </c>
      <c r="K72" s="14">
        <v>0</v>
      </c>
      <c r="L72" s="14">
        <v>0</v>
      </c>
      <c r="M72" s="14">
        <v>0</v>
      </c>
      <c r="N72" s="14">
        <v>0</v>
      </c>
      <c r="O72" s="14">
        <v>0</v>
      </c>
      <c r="P72" s="14">
        <v>0</v>
      </c>
      <c r="Q72" s="15">
        <f>$G$72*$G$8+$H$72*$H$8+$I$72*$I$8+$J$72*$J$8+$K$72*$K$8+$L$72*$L$8+$M$72*$M$8+$N$72*$N$8+$O$72*$O$8+$P$72*$P$8</f>
        <v>0</v>
      </c>
      <c r="R72" s="15">
        <v>0</v>
      </c>
      <c r="S72" s="15">
        <f>$Q$72+$R$72</f>
        <v>0</v>
      </c>
    </row>
    <row r="73" spans="1:19" x14ac:dyDescent="0.3">
      <c r="A73" s="10" t="s">
        <v>260</v>
      </c>
      <c r="B73" s="11" t="s">
        <v>261</v>
      </c>
      <c r="C73" s="11"/>
      <c r="D73" s="11" t="s">
        <v>262</v>
      </c>
      <c r="E73" s="11">
        <f xml:space="preserve"> IF($S$73,1,0)</f>
        <v>0</v>
      </c>
      <c r="F73" s="11" t="s">
        <v>263</v>
      </c>
      <c r="G73" s="11">
        <v>0</v>
      </c>
      <c r="H73" s="11">
        <v>0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2">
        <f>$G$73*$G$8+$H$73*$H$8+$I$73*$I$8+$J$73*$J$8+$K$73*$K$8+$L$73*$L$8+$M$73*$M$8+$N$73*$N$8+$O$73*$O$8+$P$73*$P$8</f>
        <v>0</v>
      </c>
      <c r="R73" s="12">
        <v>0</v>
      </c>
      <c r="S73" s="12">
        <f>$Q$73+$R$73</f>
        <v>0</v>
      </c>
    </row>
    <row r="74" spans="1:19" x14ac:dyDescent="0.3">
      <c r="A74" s="13" t="s">
        <v>264</v>
      </c>
      <c r="B74" s="14" t="s">
        <v>265</v>
      </c>
      <c r="C74" s="14"/>
      <c r="D74" s="14" t="s">
        <v>266</v>
      </c>
      <c r="E74" s="14">
        <f xml:space="preserve"> IF($S$74,1,0)</f>
        <v>0</v>
      </c>
      <c r="F74" s="14" t="s">
        <v>267</v>
      </c>
      <c r="G74" s="14">
        <v>0</v>
      </c>
      <c r="H74" s="14">
        <v>0</v>
      </c>
      <c r="I74" s="14">
        <v>0</v>
      </c>
      <c r="J74" s="14">
        <v>0</v>
      </c>
      <c r="K74" s="14">
        <v>0</v>
      </c>
      <c r="L74" s="14">
        <v>0</v>
      </c>
      <c r="M74" s="14">
        <v>0</v>
      </c>
      <c r="N74" s="14">
        <v>0</v>
      </c>
      <c r="O74" s="14">
        <v>0</v>
      </c>
      <c r="P74" s="14">
        <v>0</v>
      </c>
      <c r="Q74" s="15">
        <f>$G$74*$G$8+$H$74*$H$8+$I$74*$I$8+$J$74*$J$8+$K$74*$K$8+$L$74*$L$8+$M$74*$M$8+$N$74*$N$8+$O$74*$O$8+$P$74*$P$8</f>
        <v>0</v>
      </c>
      <c r="R74" s="15">
        <v>0</v>
      </c>
      <c r="S74" s="15">
        <f>$Q$74+$R$74</f>
        <v>0</v>
      </c>
    </row>
    <row r="75" spans="1:19" x14ac:dyDescent="0.3">
      <c r="A75" s="10" t="s">
        <v>268</v>
      </c>
      <c r="B75" s="11" t="s">
        <v>269</v>
      </c>
      <c r="C75" s="11"/>
      <c r="D75" s="11" t="s">
        <v>270</v>
      </c>
      <c r="E75" s="11">
        <f xml:space="preserve"> IF($S$75,1,0)</f>
        <v>0</v>
      </c>
      <c r="F75" s="11" t="s">
        <v>271</v>
      </c>
      <c r="G75" s="11">
        <v>0</v>
      </c>
      <c r="H75" s="11">
        <v>0</v>
      </c>
      <c r="I75" s="11">
        <v>0</v>
      </c>
      <c r="J75" s="11">
        <v>0</v>
      </c>
      <c r="K75" s="11">
        <v>0</v>
      </c>
      <c r="L75" s="11">
        <v>0</v>
      </c>
      <c r="M75" s="11">
        <v>0</v>
      </c>
      <c r="N75" s="11">
        <v>0</v>
      </c>
      <c r="O75" s="11">
        <v>0</v>
      </c>
      <c r="P75" s="11">
        <v>0</v>
      </c>
      <c r="Q75" s="12">
        <f>$G$75*$G$8+$H$75*$H$8+$I$75*$I$8+$J$75*$J$8+$K$75*$K$8+$L$75*$L$8+$M$75*$M$8+$N$75*$N$8+$O$75*$O$8+$P$75*$P$8</f>
        <v>0</v>
      </c>
      <c r="R75" s="12">
        <v>0</v>
      </c>
      <c r="S75" s="12">
        <f>$Q$75+$R$75</f>
        <v>0</v>
      </c>
    </row>
    <row r="76" spans="1:19" x14ac:dyDescent="0.3">
      <c r="A76" s="13" t="s">
        <v>272</v>
      </c>
      <c r="B76" s="14" t="s">
        <v>273</v>
      </c>
      <c r="C76" s="14"/>
      <c r="D76" s="14" t="s">
        <v>274</v>
      </c>
      <c r="E76" s="14">
        <f xml:space="preserve"> IF($S$76,1,0)</f>
        <v>0</v>
      </c>
      <c r="F76" s="14" t="s">
        <v>275</v>
      </c>
      <c r="G76" s="14">
        <v>0</v>
      </c>
      <c r="H76" s="14">
        <v>0</v>
      </c>
      <c r="I76" s="14">
        <v>0</v>
      </c>
      <c r="J76" s="14">
        <v>0</v>
      </c>
      <c r="K76" s="14">
        <v>0</v>
      </c>
      <c r="L76" s="14">
        <v>0</v>
      </c>
      <c r="M76" s="14">
        <v>0</v>
      </c>
      <c r="N76" s="14">
        <v>0</v>
      </c>
      <c r="O76" s="14">
        <v>0</v>
      </c>
      <c r="P76" s="14">
        <v>0</v>
      </c>
      <c r="Q76" s="15">
        <f>$G$76*$G$8+$H$76*$H$8+$I$76*$I$8+$J$76*$J$8+$K$76*$K$8+$L$76*$L$8+$M$76*$M$8+$N$76*$N$8+$O$76*$O$8+$P$76*$P$8</f>
        <v>0</v>
      </c>
      <c r="R76" s="15">
        <v>0</v>
      </c>
      <c r="S76" s="15">
        <f>$Q$76+$R$76</f>
        <v>0</v>
      </c>
    </row>
    <row r="77" spans="1:19" x14ac:dyDescent="0.3">
      <c r="A77" s="10" t="s">
        <v>276</v>
      </c>
      <c r="B77" s="11" t="s">
        <v>277</v>
      </c>
      <c r="C77" s="11" t="s">
        <v>278</v>
      </c>
      <c r="D77" s="11" t="s">
        <v>279</v>
      </c>
      <c r="E77" s="11">
        <f xml:space="preserve"> IF($S$77,1,0)</f>
        <v>0</v>
      </c>
      <c r="F77" s="11" t="s">
        <v>280</v>
      </c>
      <c r="G77" s="11">
        <v>0</v>
      </c>
      <c r="H77" s="11">
        <v>0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2">
        <f>$G$77*$G$8+$H$77*$H$8+$I$77*$I$8+$J$77*$J$8+$K$77*$K$8+$L$77*$L$8+$M$77*$M$8+$N$77*$N$8+$O$77*$O$8+$P$77*$P$8</f>
        <v>0</v>
      </c>
      <c r="R77" s="12">
        <v>0</v>
      </c>
      <c r="S77" s="12">
        <f>$Q$77+$R$77</f>
        <v>0</v>
      </c>
    </row>
    <row r="78" spans="1:19" x14ac:dyDescent="0.3">
      <c r="A78" s="13" t="s">
        <v>281</v>
      </c>
      <c r="B78" s="14" t="s">
        <v>282</v>
      </c>
      <c r="C78" s="14" t="s">
        <v>283</v>
      </c>
      <c r="D78" s="14" t="s">
        <v>284</v>
      </c>
      <c r="E78" s="14">
        <f xml:space="preserve"> IF($S$78,1,0)</f>
        <v>0</v>
      </c>
      <c r="F78" s="14" t="s">
        <v>285</v>
      </c>
      <c r="G78" s="14">
        <v>0</v>
      </c>
      <c r="H78" s="14">
        <v>0</v>
      </c>
      <c r="I78" s="14">
        <v>0</v>
      </c>
      <c r="J78" s="14">
        <v>0</v>
      </c>
      <c r="K78" s="14">
        <v>0</v>
      </c>
      <c r="L78" s="14">
        <v>0</v>
      </c>
      <c r="M78" s="14">
        <v>0</v>
      </c>
      <c r="N78" s="14">
        <v>0</v>
      </c>
      <c r="O78" s="14">
        <v>0</v>
      </c>
      <c r="P78" s="14">
        <v>0</v>
      </c>
      <c r="Q78" s="15">
        <f>$G$78*$G$8+$H$78*$H$8+$I$78*$I$8+$J$78*$J$8+$K$78*$K$8+$L$78*$L$8+$M$78*$M$8+$N$78*$N$8+$O$78*$O$8+$P$78*$P$8</f>
        <v>0</v>
      </c>
      <c r="R78" s="15">
        <v>0</v>
      </c>
      <c r="S78" s="15">
        <f>$Q$78+$R$78</f>
        <v>0</v>
      </c>
    </row>
    <row r="79" spans="1:19" x14ac:dyDescent="0.3">
      <c r="A79" s="10" t="s">
        <v>286</v>
      </c>
      <c r="B79" s="11" t="s">
        <v>287</v>
      </c>
      <c r="C79" s="11" t="s">
        <v>278</v>
      </c>
      <c r="D79" s="11" t="s">
        <v>288</v>
      </c>
      <c r="E79" s="11">
        <f xml:space="preserve"> IF($S$79,1,0)</f>
        <v>0</v>
      </c>
      <c r="F79" s="11" t="s">
        <v>289</v>
      </c>
      <c r="G79" s="11">
        <v>0</v>
      </c>
      <c r="H79" s="11">
        <v>0</v>
      </c>
      <c r="I79" s="11">
        <v>0</v>
      </c>
      <c r="J79" s="11">
        <v>0</v>
      </c>
      <c r="K79" s="11">
        <v>0</v>
      </c>
      <c r="L79" s="11">
        <v>0</v>
      </c>
      <c r="M79" s="11">
        <v>0</v>
      </c>
      <c r="N79" s="11">
        <v>0</v>
      </c>
      <c r="O79" s="11">
        <v>0</v>
      </c>
      <c r="P79" s="11">
        <v>0</v>
      </c>
      <c r="Q79" s="12">
        <f>$G$79*$G$8+$H$79*$H$8+$I$79*$I$8+$J$79*$J$8+$K$79*$K$8+$L$79*$L$8+$M$79*$M$8+$N$79*$N$8+$O$79*$O$8+$P$79*$P$8</f>
        <v>0</v>
      </c>
      <c r="R79" s="12">
        <v>0</v>
      </c>
      <c r="S79" s="12">
        <f>$Q$79+$R$79</f>
        <v>0</v>
      </c>
    </row>
    <row r="80" spans="1:19" x14ac:dyDescent="0.3">
      <c r="A80" s="13" t="s">
        <v>290</v>
      </c>
      <c r="B80" s="14" t="s">
        <v>291</v>
      </c>
      <c r="C80" s="14"/>
      <c r="D80" s="14" t="s">
        <v>292</v>
      </c>
      <c r="E80" s="14">
        <f xml:space="preserve"> IF($S$80,1,0)</f>
        <v>0</v>
      </c>
      <c r="F80" s="14" t="s">
        <v>293</v>
      </c>
      <c r="G80" s="14">
        <v>0</v>
      </c>
      <c r="H80" s="14">
        <v>0</v>
      </c>
      <c r="I80" s="14">
        <v>0</v>
      </c>
      <c r="J80" s="14">
        <v>0</v>
      </c>
      <c r="K80" s="14">
        <v>0</v>
      </c>
      <c r="L80" s="14">
        <v>0</v>
      </c>
      <c r="M80" s="14">
        <v>0</v>
      </c>
      <c r="N80" s="14">
        <v>0</v>
      </c>
      <c r="O80" s="14">
        <v>0</v>
      </c>
      <c r="P80" s="14">
        <v>0</v>
      </c>
      <c r="Q80" s="15">
        <f>$G$80*$G$8+$H$80*$H$8+$I$80*$I$8+$J$80*$J$8+$K$80*$K$8+$L$80*$L$8+$M$80*$M$8+$N$80*$N$8+$O$80*$O$8+$P$80*$P$8</f>
        <v>0</v>
      </c>
      <c r="R80" s="15">
        <v>0</v>
      </c>
      <c r="S80" s="15">
        <f>$Q$80+$R$80</f>
        <v>0</v>
      </c>
    </row>
    <row r="81" spans="1:19" x14ac:dyDescent="0.3">
      <c r="A81" s="10" t="s">
        <v>294</v>
      </c>
      <c r="B81" s="11" t="s">
        <v>295</v>
      </c>
      <c r="C81" s="11"/>
      <c r="D81" s="11" t="s">
        <v>296</v>
      </c>
      <c r="E81" s="11">
        <f xml:space="preserve"> IF($S$81,1,0)</f>
        <v>0</v>
      </c>
      <c r="F81" s="11" t="s">
        <v>297</v>
      </c>
      <c r="G81" s="11">
        <v>0</v>
      </c>
      <c r="H81" s="11">
        <v>0</v>
      </c>
      <c r="I81" s="11">
        <v>0</v>
      </c>
      <c r="J81" s="11">
        <v>0</v>
      </c>
      <c r="K81" s="11">
        <v>0</v>
      </c>
      <c r="L81" s="11">
        <v>0</v>
      </c>
      <c r="M81" s="11">
        <v>0</v>
      </c>
      <c r="N81" s="11">
        <v>0</v>
      </c>
      <c r="O81" s="11">
        <v>0</v>
      </c>
      <c r="P81" s="11">
        <v>0</v>
      </c>
      <c r="Q81" s="12">
        <f>$G$81*$G$8+$H$81*$H$8+$I$81*$I$8+$J$81*$J$8+$K$81*$K$8+$L$81*$L$8+$M$81*$M$8+$N$81*$N$8+$O$81*$O$8+$P$81*$P$8</f>
        <v>0</v>
      </c>
      <c r="R81" s="12">
        <v>0</v>
      </c>
      <c r="S81" s="12">
        <f>$Q$81+$R$81</f>
        <v>0</v>
      </c>
    </row>
    <row r="82" spans="1:19" x14ac:dyDescent="0.3">
      <c r="A82" s="13" t="s">
        <v>298</v>
      </c>
      <c r="B82" s="14" t="s">
        <v>295</v>
      </c>
      <c r="C82" s="14"/>
      <c r="D82" s="14" t="s">
        <v>299</v>
      </c>
      <c r="E82" s="14">
        <f xml:space="preserve"> IF($S$82,1,0)</f>
        <v>0</v>
      </c>
      <c r="F82" s="14" t="s">
        <v>300</v>
      </c>
      <c r="G82" s="14">
        <v>0</v>
      </c>
      <c r="H82" s="14">
        <v>0</v>
      </c>
      <c r="I82" s="14">
        <v>0</v>
      </c>
      <c r="J82" s="14">
        <v>0</v>
      </c>
      <c r="K82" s="14">
        <v>0</v>
      </c>
      <c r="L82" s="14">
        <v>0</v>
      </c>
      <c r="M82" s="14">
        <v>0</v>
      </c>
      <c r="N82" s="14">
        <v>0</v>
      </c>
      <c r="O82" s="14">
        <v>0</v>
      </c>
      <c r="P82" s="14">
        <v>0</v>
      </c>
      <c r="Q82" s="15">
        <f>$G$82*$G$8+$H$82*$H$8+$I$82*$I$8+$J$82*$J$8+$K$82*$K$8+$L$82*$L$8+$M$82*$M$8+$N$82*$N$8+$O$82*$O$8+$P$82*$P$8</f>
        <v>0</v>
      </c>
      <c r="R82" s="15">
        <v>0</v>
      </c>
      <c r="S82" s="15">
        <f>$Q$82+$R$82</f>
        <v>0</v>
      </c>
    </row>
    <row r="83" spans="1:19" x14ac:dyDescent="0.3">
      <c r="A83" s="10" t="s">
        <v>301</v>
      </c>
      <c r="B83" s="11" t="s">
        <v>302</v>
      </c>
      <c r="C83" s="11"/>
      <c r="D83" s="11" t="s">
        <v>303</v>
      </c>
      <c r="E83" s="11">
        <f xml:space="preserve"> IF($S$83,1,0)</f>
        <v>0</v>
      </c>
      <c r="F83" s="11" t="s">
        <v>304</v>
      </c>
      <c r="G83" s="11">
        <v>0</v>
      </c>
      <c r="H83" s="11">
        <v>0</v>
      </c>
      <c r="I83" s="11">
        <v>0</v>
      </c>
      <c r="J83" s="11">
        <v>0</v>
      </c>
      <c r="K83" s="11">
        <v>0</v>
      </c>
      <c r="L83" s="11">
        <v>0</v>
      </c>
      <c r="M83" s="11">
        <v>0</v>
      </c>
      <c r="N83" s="11">
        <v>0</v>
      </c>
      <c r="O83" s="11">
        <v>0</v>
      </c>
      <c r="P83" s="11">
        <v>0</v>
      </c>
      <c r="Q83" s="12">
        <f>$G$83*$G$8+$H$83*$H$8+$I$83*$I$8+$J$83*$J$8+$K$83*$K$8+$L$83*$L$8+$M$83*$M$8+$N$83*$N$8+$O$83*$O$8+$P$83*$P$8</f>
        <v>0</v>
      </c>
      <c r="R83" s="12">
        <v>0</v>
      </c>
      <c r="S83" s="12">
        <f>$Q$83+$R$83</f>
        <v>0</v>
      </c>
    </row>
    <row r="84" spans="1:19" x14ac:dyDescent="0.3">
      <c r="A84" s="13" t="s">
        <v>305</v>
      </c>
      <c r="B84" s="14" t="s">
        <v>306</v>
      </c>
      <c r="C84" s="14"/>
      <c r="D84" s="14" t="s">
        <v>307</v>
      </c>
      <c r="E84" s="14">
        <f xml:space="preserve"> IF($S$84,1,0)</f>
        <v>0</v>
      </c>
      <c r="F84" s="14" t="s">
        <v>308</v>
      </c>
      <c r="G84" s="14">
        <v>0</v>
      </c>
      <c r="H84" s="14">
        <v>0</v>
      </c>
      <c r="I84" s="14">
        <v>0</v>
      </c>
      <c r="J84" s="14">
        <v>0</v>
      </c>
      <c r="K84" s="14">
        <v>0</v>
      </c>
      <c r="L84" s="14">
        <v>0</v>
      </c>
      <c r="M84" s="14">
        <v>0</v>
      </c>
      <c r="N84" s="14">
        <v>0</v>
      </c>
      <c r="O84" s="14">
        <v>0</v>
      </c>
      <c r="P84" s="14">
        <v>0</v>
      </c>
      <c r="Q84" s="15">
        <f>$G$84*$G$8+$H$84*$H$8+$I$84*$I$8+$J$84*$J$8+$K$84*$K$8+$L$84*$L$8+$M$84*$M$8+$N$84*$N$8+$O$84*$O$8+$P$84*$P$8</f>
        <v>0</v>
      </c>
      <c r="R84" s="15">
        <v>0</v>
      </c>
      <c r="S84" s="15">
        <f>$Q$84+$R$84</f>
        <v>0</v>
      </c>
    </row>
    <row r="85" spans="1:19" x14ac:dyDescent="0.3">
      <c r="A85" s="10" t="s">
        <v>309</v>
      </c>
      <c r="B85" s="11" t="s">
        <v>310</v>
      </c>
      <c r="C85" s="11"/>
      <c r="D85" s="11" t="s">
        <v>311</v>
      </c>
      <c r="E85" s="11">
        <f xml:space="preserve"> IF($S$85,1,0)</f>
        <v>0</v>
      </c>
      <c r="F85" s="11" t="s">
        <v>312</v>
      </c>
      <c r="G85" s="11">
        <v>0</v>
      </c>
      <c r="H85" s="11">
        <v>0</v>
      </c>
      <c r="I85" s="11">
        <v>0</v>
      </c>
      <c r="J85" s="11">
        <v>0</v>
      </c>
      <c r="K85" s="11">
        <v>0</v>
      </c>
      <c r="L85" s="11">
        <v>0</v>
      </c>
      <c r="M85" s="11">
        <v>0</v>
      </c>
      <c r="N85" s="11">
        <v>0</v>
      </c>
      <c r="O85" s="11">
        <v>0</v>
      </c>
      <c r="P85" s="11">
        <v>0</v>
      </c>
      <c r="Q85" s="12">
        <f>$G$85*$G$8+$H$85*$H$8+$I$85*$I$8+$J$85*$J$8+$K$85*$K$8+$L$85*$L$8+$M$85*$M$8+$N$85*$N$8+$O$85*$O$8+$P$85*$P$8</f>
        <v>0</v>
      </c>
      <c r="R85" s="12">
        <v>0</v>
      </c>
      <c r="S85" s="12">
        <f>$Q$85+$R$85</f>
        <v>0</v>
      </c>
    </row>
    <row r="86" spans="1:19" x14ac:dyDescent="0.3">
      <c r="A86" s="13" t="s">
        <v>313</v>
      </c>
      <c r="B86" s="14" t="s">
        <v>314</v>
      </c>
      <c r="C86" s="14"/>
      <c r="D86" s="14" t="s">
        <v>315</v>
      </c>
      <c r="E86" s="14">
        <f xml:space="preserve"> IF($S$86,1,0)</f>
        <v>0</v>
      </c>
      <c r="F86" s="14" t="s">
        <v>316</v>
      </c>
      <c r="G86" s="14">
        <v>0</v>
      </c>
      <c r="H86" s="14">
        <v>0</v>
      </c>
      <c r="I86" s="14">
        <v>0</v>
      </c>
      <c r="J86" s="14">
        <v>0</v>
      </c>
      <c r="K86" s="14">
        <v>0</v>
      </c>
      <c r="L86" s="14">
        <v>0</v>
      </c>
      <c r="M86" s="14">
        <v>0</v>
      </c>
      <c r="N86" s="14">
        <v>0</v>
      </c>
      <c r="O86" s="14">
        <v>0</v>
      </c>
      <c r="P86" s="14">
        <v>0</v>
      </c>
      <c r="Q86" s="15">
        <f>$G$86*$G$8+$H$86*$H$8+$I$86*$I$8+$J$86*$J$8+$K$86*$K$8+$L$86*$L$8+$M$86*$M$8+$N$86*$N$8+$O$86*$O$8+$P$86*$P$8</f>
        <v>0</v>
      </c>
      <c r="R86" s="15">
        <v>0</v>
      </c>
      <c r="S86" s="15">
        <f>$Q$86+$R$86</f>
        <v>0</v>
      </c>
    </row>
    <row r="87" spans="1:19" x14ac:dyDescent="0.3">
      <c r="A87" s="10" t="s">
        <v>317</v>
      </c>
      <c r="B87" s="11" t="s">
        <v>318</v>
      </c>
      <c r="C87" s="11"/>
      <c r="D87" s="11" t="s">
        <v>319</v>
      </c>
      <c r="E87" s="11">
        <f xml:space="preserve"> IF($S$87,1,0)</f>
        <v>0</v>
      </c>
      <c r="F87" s="11" t="s">
        <v>320</v>
      </c>
      <c r="G87" s="11">
        <v>0</v>
      </c>
      <c r="H87" s="11">
        <v>0</v>
      </c>
      <c r="I87" s="11">
        <v>0</v>
      </c>
      <c r="J87" s="11">
        <v>0</v>
      </c>
      <c r="K87" s="11">
        <v>0</v>
      </c>
      <c r="L87" s="11">
        <v>0</v>
      </c>
      <c r="M87" s="11">
        <v>0</v>
      </c>
      <c r="N87" s="11">
        <v>0</v>
      </c>
      <c r="O87" s="11">
        <v>0</v>
      </c>
      <c r="P87" s="11">
        <v>0</v>
      </c>
      <c r="Q87" s="12">
        <f>$G$87*$G$8+$H$87*$H$8+$I$87*$I$8+$J$87*$J$8+$K$87*$K$8+$L$87*$L$8+$M$87*$M$8+$N$87*$N$8+$O$87*$O$8+$P$87*$P$8</f>
        <v>0</v>
      </c>
      <c r="R87" s="12">
        <v>0</v>
      </c>
      <c r="S87" s="12">
        <f>$Q$87+$R$87</f>
        <v>0</v>
      </c>
    </row>
    <row r="88" spans="1:19" x14ac:dyDescent="0.3">
      <c r="A88" s="13" t="s">
        <v>321</v>
      </c>
      <c r="B88" s="14" t="s">
        <v>322</v>
      </c>
      <c r="C88" s="14"/>
      <c r="D88" s="14" t="s">
        <v>323</v>
      </c>
      <c r="E88" s="14">
        <f xml:space="preserve"> IF($S$88,1,0)</f>
        <v>0</v>
      </c>
      <c r="F88" s="14" t="s">
        <v>324</v>
      </c>
      <c r="G88" s="14">
        <v>0</v>
      </c>
      <c r="H88" s="14">
        <v>0</v>
      </c>
      <c r="I88" s="14">
        <v>0</v>
      </c>
      <c r="J88" s="14">
        <v>0</v>
      </c>
      <c r="K88" s="14">
        <v>0</v>
      </c>
      <c r="L88" s="14">
        <v>0</v>
      </c>
      <c r="M88" s="14">
        <v>0</v>
      </c>
      <c r="N88" s="14">
        <v>0</v>
      </c>
      <c r="O88" s="14">
        <v>0</v>
      </c>
      <c r="P88" s="14">
        <v>0</v>
      </c>
      <c r="Q88" s="15">
        <f>$G$88*$G$8+$H$88*$H$8+$I$88*$I$8+$J$88*$J$8+$K$88*$K$8+$L$88*$L$8+$M$88*$M$8+$N$88*$N$8+$O$88*$O$8+$P$88*$P$8</f>
        <v>0</v>
      </c>
      <c r="R88" s="15">
        <v>0</v>
      </c>
      <c r="S88" s="15">
        <f>$Q$88+$R$88</f>
        <v>0</v>
      </c>
    </row>
    <row r="89" spans="1:19" x14ac:dyDescent="0.3">
      <c r="A89" s="10" t="s">
        <v>325</v>
      </c>
      <c r="B89" s="11" t="s">
        <v>326</v>
      </c>
      <c r="C89" s="11" t="s">
        <v>243</v>
      </c>
      <c r="D89" s="11" t="s">
        <v>327</v>
      </c>
      <c r="E89" s="11">
        <f xml:space="preserve"> IF($S$89,1,0)</f>
        <v>0</v>
      </c>
      <c r="F89" s="11" t="s">
        <v>328</v>
      </c>
      <c r="G89" s="11">
        <v>0</v>
      </c>
      <c r="H89" s="11">
        <v>0</v>
      </c>
      <c r="I89" s="11">
        <v>0</v>
      </c>
      <c r="J89" s="11">
        <v>0</v>
      </c>
      <c r="K89" s="11">
        <v>0</v>
      </c>
      <c r="L89" s="11">
        <v>0</v>
      </c>
      <c r="M89" s="11">
        <v>0</v>
      </c>
      <c r="N89" s="11">
        <v>0</v>
      </c>
      <c r="O89" s="11">
        <v>0</v>
      </c>
      <c r="P89" s="11">
        <v>0</v>
      </c>
      <c r="Q89" s="12">
        <f>$G$89*$G$8+$H$89*$H$8+$I$89*$I$8+$J$89*$J$8+$K$89*$K$8+$L$89*$L$8+$M$89*$M$8+$N$89*$N$8+$O$89*$O$8+$P$89*$P$8</f>
        <v>0</v>
      </c>
      <c r="R89" s="12">
        <v>0</v>
      </c>
      <c r="S89" s="12">
        <f>$Q$89+$R$89</f>
        <v>0</v>
      </c>
    </row>
    <row r="90" spans="1:19" x14ac:dyDescent="0.3">
      <c r="A90" s="13" t="s">
        <v>329</v>
      </c>
      <c r="B90" s="14" t="s">
        <v>330</v>
      </c>
      <c r="C90" s="14"/>
      <c r="D90" s="14" t="s">
        <v>331</v>
      </c>
      <c r="E90" s="14">
        <f xml:space="preserve"> IF($S$90,1,0)</f>
        <v>0</v>
      </c>
      <c r="F90" s="14" t="s">
        <v>332</v>
      </c>
      <c r="G90" s="14">
        <v>0</v>
      </c>
      <c r="H90" s="14">
        <v>0</v>
      </c>
      <c r="I90" s="14">
        <v>0</v>
      </c>
      <c r="J90" s="14">
        <v>0</v>
      </c>
      <c r="K90" s="14">
        <v>0</v>
      </c>
      <c r="L90" s="14">
        <v>0</v>
      </c>
      <c r="M90" s="14">
        <v>0</v>
      </c>
      <c r="N90" s="14">
        <v>0</v>
      </c>
      <c r="O90" s="14">
        <v>0</v>
      </c>
      <c r="P90" s="14">
        <v>0</v>
      </c>
      <c r="Q90" s="15">
        <f>$G$90*$G$8+$H$90*$H$8+$I$90*$I$8+$J$90*$J$8+$K$90*$K$8+$L$90*$L$8+$M$90*$M$8+$N$90*$N$8+$O$90*$O$8+$P$90*$P$8</f>
        <v>0</v>
      </c>
      <c r="R90" s="15">
        <v>0</v>
      </c>
      <c r="S90" s="15">
        <f>$Q$90+$R$90</f>
        <v>0</v>
      </c>
    </row>
    <row r="91" spans="1:19" x14ac:dyDescent="0.3">
      <c r="A91" s="10" t="s">
        <v>333</v>
      </c>
      <c r="B91" s="11" t="s">
        <v>334</v>
      </c>
      <c r="C91" s="11"/>
      <c r="D91" s="11" t="s">
        <v>335</v>
      </c>
      <c r="E91" s="11">
        <f xml:space="preserve"> IF($S$91,1,0)</f>
        <v>0</v>
      </c>
      <c r="F91" s="11" t="s">
        <v>336</v>
      </c>
      <c r="G91" s="11">
        <v>0</v>
      </c>
      <c r="H91" s="11">
        <v>0</v>
      </c>
      <c r="I91" s="11">
        <v>0</v>
      </c>
      <c r="J91" s="11">
        <v>0</v>
      </c>
      <c r="K91" s="11">
        <v>0</v>
      </c>
      <c r="L91" s="11">
        <v>0</v>
      </c>
      <c r="M91" s="11">
        <v>0</v>
      </c>
      <c r="N91" s="11">
        <v>0</v>
      </c>
      <c r="O91" s="11">
        <v>0</v>
      </c>
      <c r="P91" s="11">
        <v>0</v>
      </c>
      <c r="Q91" s="12">
        <f>$G$91*$G$8+$H$91*$H$8+$I$91*$I$8+$J$91*$J$8+$K$91*$K$8+$L$91*$L$8+$M$91*$M$8+$N$91*$N$8+$O$91*$O$8+$P$91*$P$8</f>
        <v>0</v>
      </c>
      <c r="R91" s="12">
        <v>0</v>
      </c>
      <c r="S91" s="12">
        <f>$Q$91+$R$91</f>
        <v>0</v>
      </c>
    </row>
    <row r="92" spans="1:19" x14ac:dyDescent="0.3">
      <c r="A92" s="13" t="s">
        <v>337</v>
      </c>
      <c r="B92" s="14" t="s">
        <v>334</v>
      </c>
      <c r="C92" s="14"/>
      <c r="D92" s="14" t="s">
        <v>338</v>
      </c>
      <c r="E92" s="14">
        <f xml:space="preserve"> IF($S$92,1,0)</f>
        <v>0</v>
      </c>
      <c r="F92" s="14" t="s">
        <v>339</v>
      </c>
      <c r="G92" s="14">
        <v>0</v>
      </c>
      <c r="H92" s="14">
        <v>0</v>
      </c>
      <c r="I92" s="14">
        <v>0</v>
      </c>
      <c r="J92" s="14">
        <v>0</v>
      </c>
      <c r="K92" s="14">
        <v>0</v>
      </c>
      <c r="L92" s="14">
        <v>0</v>
      </c>
      <c r="M92" s="14">
        <v>0</v>
      </c>
      <c r="N92" s="14">
        <v>0</v>
      </c>
      <c r="O92" s="14">
        <v>0</v>
      </c>
      <c r="P92" s="14">
        <v>0</v>
      </c>
      <c r="Q92" s="15">
        <f>$G$92*$G$8+$H$92*$H$8+$I$92*$I$8+$J$92*$J$8+$K$92*$K$8+$L$92*$L$8+$M$92*$M$8+$N$92*$N$8+$O$92*$O$8+$P$92*$P$8</f>
        <v>0</v>
      </c>
      <c r="R92" s="15">
        <v>0</v>
      </c>
      <c r="S92" s="15">
        <f>$Q$92+$R$92</f>
        <v>0</v>
      </c>
    </row>
    <row r="93" spans="1:19" x14ac:dyDescent="0.3">
      <c r="A93" s="10" t="s">
        <v>340</v>
      </c>
      <c r="B93" s="11" t="s">
        <v>341</v>
      </c>
      <c r="C93" s="11" t="s">
        <v>342</v>
      </c>
      <c r="D93" s="11" t="s">
        <v>343</v>
      </c>
      <c r="E93" s="11">
        <f xml:space="preserve"> IF($S$93,1,0)</f>
        <v>0</v>
      </c>
      <c r="F93" s="11" t="s">
        <v>344</v>
      </c>
      <c r="G93" s="11">
        <v>0</v>
      </c>
      <c r="H93" s="11">
        <v>0</v>
      </c>
      <c r="I93" s="11">
        <v>0</v>
      </c>
      <c r="J93" s="11">
        <v>0</v>
      </c>
      <c r="K93" s="11">
        <v>0</v>
      </c>
      <c r="L93" s="11">
        <v>0</v>
      </c>
      <c r="M93" s="11">
        <v>0</v>
      </c>
      <c r="N93" s="11">
        <v>0</v>
      </c>
      <c r="O93" s="11">
        <v>0</v>
      </c>
      <c r="P93" s="11">
        <v>0</v>
      </c>
      <c r="Q93" s="12">
        <f>$G$93*$G$8+$H$93*$H$8+$I$93*$I$8+$J$93*$J$8+$K$93*$K$8+$L$93*$L$8+$M$93*$M$8+$N$93*$N$8+$O$93*$O$8+$P$93*$P$8</f>
        <v>0</v>
      </c>
      <c r="R93" s="12">
        <v>0</v>
      </c>
      <c r="S93" s="12">
        <f>$Q$93+$R$93</f>
        <v>0</v>
      </c>
    </row>
    <row r="94" spans="1:19" x14ac:dyDescent="0.3">
      <c r="A94" s="13" t="s">
        <v>345</v>
      </c>
      <c r="B94" s="14" t="s">
        <v>346</v>
      </c>
      <c r="C94" s="14"/>
      <c r="D94" s="14" t="s">
        <v>347</v>
      </c>
      <c r="E94" s="14">
        <f xml:space="preserve"> IF($S$94,1,0)</f>
        <v>0</v>
      </c>
      <c r="F94" s="14" t="s">
        <v>348</v>
      </c>
      <c r="G94" s="14">
        <v>0</v>
      </c>
      <c r="H94" s="14">
        <v>0</v>
      </c>
      <c r="I94" s="14">
        <v>0</v>
      </c>
      <c r="J94" s="14">
        <v>0</v>
      </c>
      <c r="K94" s="14">
        <v>0</v>
      </c>
      <c r="L94" s="14">
        <v>0</v>
      </c>
      <c r="M94" s="14">
        <v>0</v>
      </c>
      <c r="N94" s="14">
        <v>0</v>
      </c>
      <c r="O94" s="14">
        <v>0</v>
      </c>
      <c r="P94" s="14">
        <v>0</v>
      </c>
      <c r="Q94" s="15">
        <f>$G$94*$G$8+$H$94*$H$8+$I$94*$I$8+$J$94*$J$8+$K$94*$K$8+$L$94*$L$8+$M$94*$M$8+$N$94*$N$8+$O$94*$O$8+$P$94*$P$8</f>
        <v>0</v>
      </c>
      <c r="R94" s="15">
        <v>0</v>
      </c>
      <c r="S94" s="15">
        <f>$Q$94+$R$94</f>
        <v>0</v>
      </c>
    </row>
    <row r="95" spans="1:19" x14ac:dyDescent="0.3">
      <c r="A95" s="10" t="s">
        <v>349</v>
      </c>
      <c r="B95" s="11" t="s">
        <v>350</v>
      </c>
      <c r="C95" s="11"/>
      <c r="D95" s="11" t="s">
        <v>351</v>
      </c>
      <c r="E95" s="11">
        <f xml:space="preserve"> IF($S$95,1,0)</f>
        <v>0</v>
      </c>
      <c r="F95" s="11" t="s">
        <v>352</v>
      </c>
      <c r="G95" s="11">
        <v>0</v>
      </c>
      <c r="H95" s="11">
        <v>0</v>
      </c>
      <c r="I95" s="11">
        <v>0</v>
      </c>
      <c r="J95" s="11">
        <v>0</v>
      </c>
      <c r="K95" s="11">
        <v>0</v>
      </c>
      <c r="L95" s="11">
        <v>0</v>
      </c>
      <c r="M95" s="11">
        <v>0</v>
      </c>
      <c r="N95" s="11">
        <v>0</v>
      </c>
      <c r="O95" s="11">
        <v>0</v>
      </c>
      <c r="P95" s="11">
        <v>0</v>
      </c>
      <c r="Q95" s="12">
        <f>$G$95*$G$8+$H$95*$H$8+$I$95*$I$8+$J$95*$J$8+$K$95*$K$8+$L$95*$L$8+$M$95*$M$8+$N$95*$N$8+$O$95*$O$8+$P$95*$P$8</f>
        <v>0</v>
      </c>
      <c r="R95" s="12">
        <v>0</v>
      </c>
      <c r="S95" s="12">
        <f>$Q$95+$R$95</f>
        <v>0</v>
      </c>
    </row>
    <row r="96" spans="1:19" x14ac:dyDescent="0.3">
      <c r="A96" s="13" t="s">
        <v>353</v>
      </c>
      <c r="B96" s="14" t="s">
        <v>354</v>
      </c>
      <c r="C96" s="14"/>
      <c r="D96" s="14" t="s">
        <v>355</v>
      </c>
      <c r="E96" s="14">
        <f xml:space="preserve"> IF($S$96,1,0)</f>
        <v>0</v>
      </c>
      <c r="F96" s="14" t="s">
        <v>356</v>
      </c>
      <c r="G96" s="14">
        <v>0</v>
      </c>
      <c r="H96" s="14">
        <v>0</v>
      </c>
      <c r="I96" s="14">
        <v>0</v>
      </c>
      <c r="J96" s="14">
        <v>0</v>
      </c>
      <c r="K96" s="14">
        <v>0</v>
      </c>
      <c r="L96" s="14">
        <v>0</v>
      </c>
      <c r="M96" s="14">
        <v>0</v>
      </c>
      <c r="N96" s="14">
        <v>0</v>
      </c>
      <c r="O96" s="14">
        <v>0</v>
      </c>
      <c r="P96" s="14">
        <v>0</v>
      </c>
      <c r="Q96" s="15">
        <f>$G$96*$G$8+$H$96*$H$8+$I$96*$I$8+$J$96*$J$8+$K$96*$K$8+$L$96*$L$8+$M$96*$M$8+$N$96*$N$8+$O$96*$O$8+$P$96*$P$8</f>
        <v>0</v>
      </c>
      <c r="R96" s="15">
        <v>0</v>
      </c>
      <c r="S96" s="15">
        <f>$Q$96+$R$96</f>
        <v>0</v>
      </c>
    </row>
    <row r="97" spans="1:19" x14ac:dyDescent="0.3">
      <c r="A97" s="10" t="s">
        <v>357</v>
      </c>
      <c r="B97" s="11" t="s">
        <v>358</v>
      </c>
      <c r="C97" s="11" t="s">
        <v>34</v>
      </c>
      <c r="D97" s="11" t="s">
        <v>359</v>
      </c>
      <c r="E97" s="11">
        <f xml:space="preserve"> IF($S$97,1,0)</f>
        <v>0</v>
      </c>
      <c r="F97" s="11" t="s">
        <v>360</v>
      </c>
      <c r="G97" s="11">
        <v>0</v>
      </c>
      <c r="H97" s="11">
        <v>0</v>
      </c>
      <c r="I97" s="11">
        <v>0</v>
      </c>
      <c r="J97" s="11">
        <v>0</v>
      </c>
      <c r="K97" s="11">
        <v>0</v>
      </c>
      <c r="L97" s="11">
        <v>0</v>
      </c>
      <c r="M97" s="11">
        <v>0</v>
      </c>
      <c r="N97" s="11">
        <v>0</v>
      </c>
      <c r="O97" s="11">
        <v>0</v>
      </c>
      <c r="P97" s="11">
        <v>0</v>
      </c>
      <c r="Q97" s="12">
        <f>$G$97*$G$8+$H$97*$H$8+$I$97*$I$8+$J$97*$J$8+$K$97*$K$8+$L$97*$L$8+$M$97*$M$8+$N$97*$N$8+$O$97*$O$8+$P$97*$P$8</f>
        <v>0</v>
      </c>
      <c r="R97" s="12">
        <v>0</v>
      </c>
      <c r="S97" s="12">
        <f>$Q$97+$R$97</f>
        <v>0</v>
      </c>
    </row>
    <row r="98" spans="1:19" x14ac:dyDescent="0.3">
      <c r="A98" s="13" t="s">
        <v>361</v>
      </c>
      <c r="B98" s="14" t="s">
        <v>358</v>
      </c>
      <c r="C98" s="14" t="s">
        <v>34</v>
      </c>
      <c r="D98" s="14" t="s">
        <v>362</v>
      </c>
      <c r="E98" s="14">
        <f xml:space="preserve"> IF($S$98,1,0)</f>
        <v>0</v>
      </c>
      <c r="F98" s="14" t="s">
        <v>363</v>
      </c>
      <c r="G98" s="14">
        <v>0</v>
      </c>
      <c r="H98" s="14">
        <v>0</v>
      </c>
      <c r="I98" s="14">
        <v>0</v>
      </c>
      <c r="J98" s="14">
        <v>0</v>
      </c>
      <c r="K98" s="14">
        <v>0</v>
      </c>
      <c r="L98" s="14">
        <v>0</v>
      </c>
      <c r="M98" s="14">
        <v>0</v>
      </c>
      <c r="N98" s="14">
        <v>0</v>
      </c>
      <c r="O98" s="14">
        <v>0</v>
      </c>
      <c r="P98" s="14">
        <v>0</v>
      </c>
      <c r="Q98" s="15">
        <f>$G$98*$G$8+$H$98*$H$8+$I$98*$I$8+$J$98*$J$8+$K$98*$K$8+$L$98*$L$8+$M$98*$M$8+$N$98*$N$8+$O$98*$O$8+$P$98*$P$8</f>
        <v>0</v>
      </c>
      <c r="R98" s="15">
        <v>0</v>
      </c>
      <c r="S98" s="15">
        <f>$Q$98+$R$98</f>
        <v>0</v>
      </c>
    </row>
    <row r="99" spans="1:19" x14ac:dyDescent="0.3">
      <c r="A99" s="10" t="s">
        <v>364</v>
      </c>
      <c r="B99" s="11" t="s">
        <v>358</v>
      </c>
      <c r="C99" s="11"/>
      <c r="D99" s="11" t="s">
        <v>365</v>
      </c>
      <c r="E99" s="11">
        <f xml:space="preserve"> IF($S$99,1,0)</f>
        <v>0</v>
      </c>
      <c r="F99" s="11" t="s">
        <v>366</v>
      </c>
      <c r="G99" s="11">
        <v>0</v>
      </c>
      <c r="H99" s="11">
        <v>0</v>
      </c>
      <c r="I99" s="11">
        <v>0</v>
      </c>
      <c r="J99" s="11">
        <v>0</v>
      </c>
      <c r="K99" s="11">
        <v>0</v>
      </c>
      <c r="L99" s="11">
        <v>0</v>
      </c>
      <c r="M99" s="11">
        <v>0</v>
      </c>
      <c r="N99" s="11">
        <v>0</v>
      </c>
      <c r="O99" s="11">
        <v>0</v>
      </c>
      <c r="P99" s="11">
        <v>0</v>
      </c>
      <c r="Q99" s="12">
        <f>$G$99*$G$8+$H$99*$H$8+$I$99*$I$8+$J$99*$J$8+$K$99*$K$8+$L$99*$L$8+$M$99*$M$8+$N$99*$N$8+$O$99*$O$8+$P$99*$P$8</f>
        <v>0</v>
      </c>
      <c r="R99" s="12">
        <v>0</v>
      </c>
      <c r="S99" s="12">
        <f>$Q$99+$R$99</f>
        <v>0</v>
      </c>
    </row>
    <row r="100" spans="1:19" x14ac:dyDescent="0.3">
      <c r="A100" s="13" t="s">
        <v>367</v>
      </c>
      <c r="B100" s="14" t="s">
        <v>368</v>
      </c>
      <c r="C100" s="14" t="s">
        <v>34</v>
      </c>
      <c r="D100" s="14" t="s">
        <v>118</v>
      </c>
      <c r="E100" s="14">
        <f xml:space="preserve"> IF($S$100,1,0)</f>
        <v>0</v>
      </c>
      <c r="F100" s="14" t="s">
        <v>369</v>
      </c>
      <c r="G100" s="14">
        <v>0</v>
      </c>
      <c r="H100" s="14">
        <v>0</v>
      </c>
      <c r="I100" s="14">
        <v>0</v>
      </c>
      <c r="J100" s="14">
        <v>0</v>
      </c>
      <c r="K100" s="14">
        <v>0</v>
      </c>
      <c r="L100" s="14">
        <v>0</v>
      </c>
      <c r="M100" s="14">
        <v>0</v>
      </c>
      <c r="N100" s="14">
        <v>0</v>
      </c>
      <c r="O100" s="14">
        <v>0</v>
      </c>
      <c r="P100" s="14">
        <v>0</v>
      </c>
      <c r="Q100" s="15">
        <f>$G$100*$G$8+$H$100*$H$8+$I$100*$I$8+$J$100*$J$8+$K$100*$K$8+$L$100*$L$8+$M$100*$M$8+$N$100*$N$8+$O$100*$O$8+$P$100*$P$8</f>
        <v>0</v>
      </c>
      <c r="R100" s="15">
        <v>0</v>
      </c>
      <c r="S100" s="15">
        <f>$Q$100+$R$100</f>
        <v>0</v>
      </c>
    </row>
    <row r="101" spans="1:19" x14ac:dyDescent="0.3">
      <c r="A101" s="10" t="s">
        <v>370</v>
      </c>
      <c r="B101" s="11" t="s">
        <v>371</v>
      </c>
      <c r="C101" s="11"/>
      <c r="D101" s="11" t="s">
        <v>372</v>
      </c>
      <c r="E101" s="11">
        <f xml:space="preserve"> IF($S$101,1,0)</f>
        <v>0</v>
      </c>
      <c r="F101" s="11" t="s">
        <v>373</v>
      </c>
      <c r="G101" s="11">
        <v>0</v>
      </c>
      <c r="H101" s="11">
        <v>0</v>
      </c>
      <c r="I101" s="11">
        <v>0</v>
      </c>
      <c r="J101" s="11">
        <v>0</v>
      </c>
      <c r="K101" s="11">
        <v>0</v>
      </c>
      <c r="L101" s="11">
        <v>0</v>
      </c>
      <c r="M101" s="11">
        <v>0</v>
      </c>
      <c r="N101" s="11">
        <v>0</v>
      </c>
      <c r="O101" s="11">
        <v>0</v>
      </c>
      <c r="P101" s="11">
        <v>0</v>
      </c>
      <c r="Q101" s="12">
        <f>$G$101*$G$8+$H$101*$H$8+$I$101*$I$8+$J$101*$J$8+$K$101*$K$8+$L$101*$L$8+$M$101*$M$8+$N$101*$N$8+$O$101*$O$8+$P$101*$P$8</f>
        <v>0</v>
      </c>
      <c r="R101" s="12">
        <v>0</v>
      </c>
      <c r="S101" s="12">
        <f>$Q$101+$R$101</f>
        <v>0</v>
      </c>
    </row>
    <row r="102" spans="1:19" x14ac:dyDescent="0.3">
      <c r="A102" s="13" t="s">
        <v>374</v>
      </c>
      <c r="B102" s="14" t="s">
        <v>375</v>
      </c>
      <c r="C102" s="14"/>
      <c r="D102" s="14" t="s">
        <v>376</v>
      </c>
      <c r="E102" s="14">
        <f xml:space="preserve"> IF($S$102,1,0)</f>
        <v>0</v>
      </c>
      <c r="F102" s="14" t="s">
        <v>377</v>
      </c>
      <c r="G102" s="14">
        <v>0</v>
      </c>
      <c r="H102" s="14">
        <v>0</v>
      </c>
      <c r="I102" s="14">
        <v>0</v>
      </c>
      <c r="J102" s="14">
        <v>0</v>
      </c>
      <c r="K102" s="14">
        <v>0</v>
      </c>
      <c r="L102" s="14">
        <v>0</v>
      </c>
      <c r="M102" s="14">
        <v>0</v>
      </c>
      <c r="N102" s="14">
        <v>0</v>
      </c>
      <c r="O102" s="14">
        <v>0</v>
      </c>
      <c r="P102" s="14">
        <v>0</v>
      </c>
      <c r="Q102" s="15">
        <f>$G$102*$G$8+$H$102*$H$8+$I$102*$I$8+$J$102*$J$8+$K$102*$K$8+$L$102*$L$8+$M$102*$M$8+$N$102*$N$8+$O$102*$O$8+$P$102*$P$8</f>
        <v>0</v>
      </c>
      <c r="R102" s="15">
        <v>0</v>
      </c>
      <c r="S102" s="15">
        <f>$Q$102+$R$102</f>
        <v>0</v>
      </c>
    </row>
    <row r="103" spans="1:19" x14ac:dyDescent="0.3">
      <c r="A103" s="10" t="s">
        <v>378</v>
      </c>
      <c r="B103" s="11" t="s">
        <v>379</v>
      </c>
      <c r="C103" s="11"/>
      <c r="D103" s="11" t="s">
        <v>380</v>
      </c>
      <c r="E103" s="11">
        <f xml:space="preserve"> IF($S$103,1,0)</f>
        <v>0</v>
      </c>
      <c r="F103" s="11" t="s">
        <v>381</v>
      </c>
      <c r="G103" s="11">
        <v>0</v>
      </c>
      <c r="H103" s="11">
        <v>0</v>
      </c>
      <c r="I103" s="11">
        <v>0</v>
      </c>
      <c r="J103" s="11">
        <v>0</v>
      </c>
      <c r="K103" s="11">
        <v>0</v>
      </c>
      <c r="L103" s="11">
        <v>0</v>
      </c>
      <c r="M103" s="11">
        <v>0</v>
      </c>
      <c r="N103" s="11">
        <v>0</v>
      </c>
      <c r="O103" s="11">
        <v>0</v>
      </c>
      <c r="P103" s="11">
        <v>0</v>
      </c>
      <c r="Q103" s="12">
        <f>$G$103*$G$8+$H$103*$H$8+$I$103*$I$8+$J$103*$J$8+$K$103*$K$8+$L$103*$L$8+$M$103*$M$8+$N$103*$N$8+$O$103*$O$8+$P$103*$P$8</f>
        <v>0</v>
      </c>
      <c r="R103" s="12">
        <v>0</v>
      </c>
      <c r="S103" s="12">
        <f>$Q$103+$R$103</f>
        <v>0</v>
      </c>
    </row>
    <row r="104" spans="1:19" x14ac:dyDescent="0.3">
      <c r="A104" s="13" t="s">
        <v>382</v>
      </c>
      <c r="B104" s="14" t="s">
        <v>383</v>
      </c>
      <c r="C104" s="14"/>
      <c r="D104" s="14" t="s">
        <v>384</v>
      </c>
      <c r="E104" s="14">
        <f xml:space="preserve"> IF($S$104,1,0)</f>
        <v>0</v>
      </c>
      <c r="F104" s="14" t="s">
        <v>385</v>
      </c>
      <c r="G104" s="14">
        <v>0</v>
      </c>
      <c r="H104" s="14">
        <v>0</v>
      </c>
      <c r="I104" s="14">
        <v>0</v>
      </c>
      <c r="J104" s="14">
        <v>0</v>
      </c>
      <c r="K104" s="14">
        <v>0</v>
      </c>
      <c r="L104" s="14">
        <v>0</v>
      </c>
      <c r="M104" s="14">
        <v>0</v>
      </c>
      <c r="N104" s="14">
        <v>0</v>
      </c>
      <c r="O104" s="14">
        <v>0</v>
      </c>
      <c r="P104" s="14">
        <v>0</v>
      </c>
      <c r="Q104" s="15">
        <f>$G$104*$G$8+$H$104*$H$8+$I$104*$I$8+$J$104*$J$8+$K$104*$K$8+$L$104*$L$8+$M$104*$M$8+$N$104*$N$8+$O$104*$O$8+$P$104*$P$8</f>
        <v>0</v>
      </c>
      <c r="R104" s="15">
        <v>0</v>
      </c>
      <c r="S104" s="15">
        <f>$Q$104+$R$104</f>
        <v>0</v>
      </c>
    </row>
    <row r="105" spans="1:19" x14ac:dyDescent="0.3">
      <c r="A105" s="10" t="s">
        <v>386</v>
      </c>
      <c r="B105" s="11" t="s">
        <v>387</v>
      </c>
      <c r="C105" s="11" t="s">
        <v>278</v>
      </c>
      <c r="D105" s="11" t="s">
        <v>388</v>
      </c>
      <c r="E105" s="11">
        <f xml:space="preserve"> IF($S$105,1,0)</f>
        <v>0</v>
      </c>
      <c r="F105" s="11" t="s">
        <v>389</v>
      </c>
      <c r="G105" s="11">
        <v>0</v>
      </c>
      <c r="H105" s="11">
        <v>0</v>
      </c>
      <c r="I105" s="11">
        <v>0</v>
      </c>
      <c r="J105" s="11">
        <v>0</v>
      </c>
      <c r="K105" s="11">
        <v>0</v>
      </c>
      <c r="L105" s="11">
        <v>0</v>
      </c>
      <c r="M105" s="11">
        <v>0</v>
      </c>
      <c r="N105" s="11">
        <v>0</v>
      </c>
      <c r="O105" s="11">
        <v>0</v>
      </c>
      <c r="P105" s="11">
        <v>0</v>
      </c>
      <c r="Q105" s="12">
        <f>$G$105*$G$8+$H$105*$H$8+$I$105*$I$8+$J$105*$J$8+$K$105*$K$8+$L$105*$L$8+$M$105*$M$8+$N$105*$N$8+$O$105*$O$8+$P$105*$P$8</f>
        <v>0</v>
      </c>
      <c r="R105" s="12">
        <v>0</v>
      </c>
      <c r="S105" s="12">
        <f>$Q$105+$R$105</f>
        <v>0</v>
      </c>
    </row>
    <row r="106" spans="1:19" x14ac:dyDescent="0.3">
      <c r="A106" s="13" t="s">
        <v>390</v>
      </c>
      <c r="B106" s="14" t="s">
        <v>387</v>
      </c>
      <c r="C106" s="14" t="s">
        <v>34</v>
      </c>
      <c r="D106" s="14" t="s">
        <v>391</v>
      </c>
      <c r="E106" s="14">
        <f xml:space="preserve"> IF($S$106,1,0)</f>
        <v>0</v>
      </c>
      <c r="F106" s="14" t="s">
        <v>392</v>
      </c>
      <c r="G106" s="14">
        <v>0</v>
      </c>
      <c r="H106" s="14">
        <v>0</v>
      </c>
      <c r="I106" s="14">
        <v>0</v>
      </c>
      <c r="J106" s="14">
        <v>0</v>
      </c>
      <c r="K106" s="14">
        <v>0</v>
      </c>
      <c r="L106" s="14">
        <v>0</v>
      </c>
      <c r="M106" s="14">
        <v>0</v>
      </c>
      <c r="N106" s="14">
        <v>0</v>
      </c>
      <c r="O106" s="14">
        <v>0</v>
      </c>
      <c r="P106" s="14">
        <v>0</v>
      </c>
      <c r="Q106" s="15">
        <f>$G$106*$G$8+$H$106*$H$8+$I$106*$I$8+$J$106*$J$8+$K$106*$K$8+$L$106*$L$8+$M$106*$M$8+$N$106*$N$8+$O$106*$O$8+$P$106*$P$8</f>
        <v>0</v>
      </c>
      <c r="R106" s="15">
        <v>0</v>
      </c>
      <c r="S106" s="15">
        <f>$Q$106+$R$106</f>
        <v>0</v>
      </c>
    </row>
    <row r="107" spans="1:19" x14ac:dyDescent="0.3">
      <c r="A107" s="10" t="s">
        <v>393</v>
      </c>
      <c r="B107" s="11" t="s">
        <v>394</v>
      </c>
      <c r="C107" s="11"/>
      <c r="D107" s="11" t="s">
        <v>395</v>
      </c>
      <c r="E107" s="11">
        <f xml:space="preserve"> IF($S$107,1,0)</f>
        <v>0</v>
      </c>
      <c r="F107" s="11" t="s">
        <v>396</v>
      </c>
      <c r="G107" s="11">
        <v>0</v>
      </c>
      <c r="H107" s="11">
        <v>0</v>
      </c>
      <c r="I107" s="11">
        <v>0</v>
      </c>
      <c r="J107" s="11">
        <v>0</v>
      </c>
      <c r="K107" s="11">
        <v>0</v>
      </c>
      <c r="L107" s="11">
        <v>0</v>
      </c>
      <c r="M107" s="11">
        <v>0</v>
      </c>
      <c r="N107" s="11">
        <v>0</v>
      </c>
      <c r="O107" s="11">
        <v>0</v>
      </c>
      <c r="P107" s="11">
        <v>0</v>
      </c>
      <c r="Q107" s="12">
        <f>$G$107*$G$8+$H$107*$H$8+$I$107*$I$8+$J$107*$J$8+$K$107*$K$8+$L$107*$L$8+$M$107*$M$8+$N$107*$N$8+$O$107*$O$8+$P$107*$P$8</f>
        <v>0</v>
      </c>
      <c r="R107" s="12">
        <v>0</v>
      </c>
      <c r="S107" s="12">
        <f>$Q$107+$R$107</f>
        <v>0</v>
      </c>
    </row>
    <row r="108" spans="1:19" x14ac:dyDescent="0.3">
      <c r="A108" s="13" t="s">
        <v>397</v>
      </c>
      <c r="B108" s="14" t="s">
        <v>398</v>
      </c>
      <c r="C108" s="14" t="s">
        <v>243</v>
      </c>
      <c r="D108" s="14" t="s">
        <v>399</v>
      </c>
      <c r="E108" s="14">
        <f xml:space="preserve"> IF($S$108,1,0)</f>
        <v>0</v>
      </c>
      <c r="F108" s="14" t="s">
        <v>400</v>
      </c>
      <c r="G108" s="14">
        <v>0</v>
      </c>
      <c r="H108" s="14">
        <v>0</v>
      </c>
      <c r="I108" s="14">
        <v>0</v>
      </c>
      <c r="J108" s="14">
        <v>0</v>
      </c>
      <c r="K108" s="14">
        <v>0</v>
      </c>
      <c r="L108" s="14">
        <v>0</v>
      </c>
      <c r="M108" s="14">
        <v>0</v>
      </c>
      <c r="N108" s="14">
        <v>0</v>
      </c>
      <c r="O108" s="14">
        <v>0</v>
      </c>
      <c r="P108" s="14">
        <v>0</v>
      </c>
      <c r="Q108" s="15">
        <f>$G$108*$G$8+$H$108*$H$8+$I$108*$I$8+$J$108*$J$8+$K$108*$K$8+$L$108*$L$8+$M$108*$M$8+$N$108*$N$8+$O$108*$O$8+$P$108*$P$8</f>
        <v>0</v>
      </c>
      <c r="R108" s="15">
        <v>0</v>
      </c>
      <c r="S108" s="15">
        <f>$Q$108+$R$108</f>
        <v>0</v>
      </c>
    </row>
    <row r="109" spans="1:19" x14ac:dyDescent="0.3">
      <c r="A109" s="10" t="s">
        <v>401</v>
      </c>
      <c r="B109" s="11" t="s">
        <v>402</v>
      </c>
      <c r="C109" s="11"/>
      <c r="D109" s="11" t="s">
        <v>403</v>
      </c>
      <c r="E109" s="11">
        <f xml:space="preserve"> IF($S$109,1,0)</f>
        <v>0</v>
      </c>
      <c r="F109" s="11" t="s">
        <v>404</v>
      </c>
      <c r="G109" s="11">
        <v>0</v>
      </c>
      <c r="H109" s="11">
        <v>0</v>
      </c>
      <c r="I109" s="11">
        <v>0</v>
      </c>
      <c r="J109" s="11">
        <v>0</v>
      </c>
      <c r="K109" s="11">
        <v>0</v>
      </c>
      <c r="L109" s="11">
        <v>0</v>
      </c>
      <c r="M109" s="11">
        <v>0</v>
      </c>
      <c r="N109" s="11">
        <v>0</v>
      </c>
      <c r="O109" s="11">
        <v>0</v>
      </c>
      <c r="P109" s="11">
        <v>0</v>
      </c>
      <c r="Q109" s="12">
        <f>$G$109*$G$8+$H$109*$H$8+$I$109*$I$8+$J$109*$J$8+$K$109*$K$8+$L$109*$L$8+$M$109*$M$8+$N$109*$N$8+$O$109*$O$8+$P$109*$P$8</f>
        <v>0</v>
      </c>
      <c r="R109" s="12">
        <v>0</v>
      </c>
      <c r="S109" s="12">
        <f>$Q$109+$R$109</f>
        <v>0</v>
      </c>
    </row>
    <row r="110" spans="1:19" x14ac:dyDescent="0.3">
      <c r="A110" s="13" t="s">
        <v>405</v>
      </c>
      <c r="B110" s="14" t="s">
        <v>406</v>
      </c>
      <c r="C110" s="14"/>
      <c r="D110" s="14" t="s">
        <v>407</v>
      </c>
      <c r="E110" s="14">
        <f xml:space="preserve"> IF($S$110,1,0)</f>
        <v>0</v>
      </c>
      <c r="F110" s="14" t="s">
        <v>408</v>
      </c>
      <c r="G110" s="14">
        <v>0</v>
      </c>
      <c r="H110" s="14">
        <v>0</v>
      </c>
      <c r="I110" s="14">
        <v>0</v>
      </c>
      <c r="J110" s="14">
        <v>0</v>
      </c>
      <c r="K110" s="14">
        <v>0</v>
      </c>
      <c r="L110" s="14">
        <v>0</v>
      </c>
      <c r="M110" s="14">
        <v>0</v>
      </c>
      <c r="N110" s="14">
        <v>0</v>
      </c>
      <c r="O110" s="14">
        <v>0</v>
      </c>
      <c r="P110" s="14">
        <v>0</v>
      </c>
      <c r="Q110" s="15">
        <f>$G$110*$G$8+$H$110*$H$8+$I$110*$I$8+$J$110*$J$8+$K$110*$K$8+$L$110*$L$8+$M$110*$M$8+$N$110*$N$8+$O$110*$O$8+$P$110*$P$8</f>
        <v>0</v>
      </c>
      <c r="R110" s="15">
        <v>0</v>
      </c>
      <c r="S110" s="15">
        <f>$Q$110+$R$110</f>
        <v>0</v>
      </c>
    </row>
    <row r="111" spans="1:19" x14ac:dyDescent="0.3">
      <c r="A111" s="10" t="s">
        <v>409</v>
      </c>
      <c r="B111" s="11" t="s">
        <v>410</v>
      </c>
      <c r="C111" s="11"/>
      <c r="D111" s="11" t="s">
        <v>411</v>
      </c>
      <c r="E111" s="11">
        <f xml:space="preserve"> IF($S$111,1,0)</f>
        <v>0</v>
      </c>
      <c r="F111" s="11" t="s">
        <v>412</v>
      </c>
      <c r="G111" s="11">
        <v>0</v>
      </c>
      <c r="H111" s="11">
        <v>0</v>
      </c>
      <c r="I111" s="11">
        <v>0</v>
      </c>
      <c r="J111" s="11">
        <v>0</v>
      </c>
      <c r="K111" s="11">
        <v>0</v>
      </c>
      <c r="L111" s="11">
        <v>0</v>
      </c>
      <c r="M111" s="11">
        <v>0</v>
      </c>
      <c r="N111" s="11">
        <v>0</v>
      </c>
      <c r="O111" s="11">
        <v>0</v>
      </c>
      <c r="P111" s="11">
        <v>0</v>
      </c>
      <c r="Q111" s="12">
        <f>$G$111*$G$8+$H$111*$H$8+$I$111*$I$8+$J$111*$J$8+$K$111*$K$8+$L$111*$L$8+$M$111*$M$8+$N$111*$N$8+$O$111*$O$8+$P$111*$P$8</f>
        <v>0</v>
      </c>
      <c r="R111" s="12">
        <v>0</v>
      </c>
      <c r="S111" s="12">
        <f>$Q$111+$R$111</f>
        <v>0</v>
      </c>
    </row>
    <row r="112" spans="1:19" x14ac:dyDescent="0.3">
      <c r="A112" s="13" t="s">
        <v>413</v>
      </c>
      <c r="B112" s="14" t="s">
        <v>414</v>
      </c>
      <c r="C112" s="14"/>
      <c r="D112" s="14" t="s">
        <v>415</v>
      </c>
      <c r="E112" s="14">
        <f xml:space="preserve"> IF($S$112,1,0)</f>
        <v>0</v>
      </c>
      <c r="F112" s="14" t="s">
        <v>416</v>
      </c>
      <c r="G112" s="14">
        <v>0</v>
      </c>
      <c r="H112" s="14">
        <v>0</v>
      </c>
      <c r="I112" s="14">
        <v>0</v>
      </c>
      <c r="J112" s="14">
        <v>0</v>
      </c>
      <c r="K112" s="14">
        <v>0</v>
      </c>
      <c r="L112" s="14">
        <v>0</v>
      </c>
      <c r="M112" s="14">
        <v>0</v>
      </c>
      <c r="N112" s="14">
        <v>0</v>
      </c>
      <c r="O112" s="14">
        <v>0</v>
      </c>
      <c r="P112" s="14">
        <v>0</v>
      </c>
      <c r="Q112" s="15">
        <f>$G$112*$G$8+$H$112*$H$8+$I$112*$I$8+$J$112*$J$8+$K$112*$K$8+$L$112*$L$8+$M$112*$M$8+$N$112*$N$8+$O$112*$O$8+$P$112*$P$8</f>
        <v>0</v>
      </c>
      <c r="R112" s="15">
        <v>0</v>
      </c>
      <c r="S112" s="15">
        <f>$Q$112+$R$112</f>
        <v>0</v>
      </c>
    </row>
    <row r="113" spans="1:19" x14ac:dyDescent="0.3">
      <c r="A113" s="10" t="s">
        <v>417</v>
      </c>
      <c r="B113" s="11" t="s">
        <v>418</v>
      </c>
      <c r="C113" s="11"/>
      <c r="D113" s="11" t="s">
        <v>419</v>
      </c>
      <c r="E113" s="11">
        <f xml:space="preserve"> IF($S$113,1,0)</f>
        <v>0</v>
      </c>
      <c r="F113" s="11" t="s">
        <v>420</v>
      </c>
      <c r="G113" s="11">
        <v>0</v>
      </c>
      <c r="H113" s="11">
        <v>0</v>
      </c>
      <c r="I113" s="11">
        <v>0</v>
      </c>
      <c r="J113" s="11">
        <v>0</v>
      </c>
      <c r="K113" s="11">
        <v>0</v>
      </c>
      <c r="L113" s="11">
        <v>0</v>
      </c>
      <c r="M113" s="11">
        <v>0</v>
      </c>
      <c r="N113" s="11">
        <v>0</v>
      </c>
      <c r="O113" s="11">
        <v>0</v>
      </c>
      <c r="P113" s="11">
        <v>0</v>
      </c>
      <c r="Q113" s="12">
        <f>$G$113*$G$8+$H$113*$H$8+$I$113*$I$8+$J$113*$J$8+$K$113*$K$8+$L$113*$L$8+$M$113*$M$8+$N$113*$N$8+$O$113*$O$8+$P$113*$P$8</f>
        <v>0</v>
      </c>
      <c r="R113" s="12">
        <v>0</v>
      </c>
      <c r="S113" s="12">
        <f>$Q$113+$R$113</f>
        <v>0</v>
      </c>
    </row>
    <row r="114" spans="1:19" x14ac:dyDescent="0.3">
      <c r="A114" s="13" t="s">
        <v>421</v>
      </c>
      <c r="B114" s="14" t="s">
        <v>422</v>
      </c>
      <c r="C114" s="14"/>
      <c r="D114" s="14" t="s">
        <v>423</v>
      </c>
      <c r="E114" s="14">
        <f xml:space="preserve"> IF($S$114,1,0)</f>
        <v>0</v>
      </c>
      <c r="F114" s="14" t="s">
        <v>424</v>
      </c>
      <c r="G114" s="14">
        <v>0</v>
      </c>
      <c r="H114" s="14">
        <v>0</v>
      </c>
      <c r="I114" s="14">
        <v>0</v>
      </c>
      <c r="J114" s="14">
        <v>0</v>
      </c>
      <c r="K114" s="14">
        <v>0</v>
      </c>
      <c r="L114" s="14">
        <v>0</v>
      </c>
      <c r="M114" s="14">
        <v>0</v>
      </c>
      <c r="N114" s="14">
        <v>0</v>
      </c>
      <c r="O114" s="14">
        <v>0</v>
      </c>
      <c r="P114" s="14">
        <v>0</v>
      </c>
      <c r="Q114" s="15">
        <f>$G$114*$G$8+$H$114*$H$8+$I$114*$I$8+$J$114*$J$8+$K$114*$K$8+$L$114*$L$8+$M$114*$M$8+$N$114*$N$8+$O$114*$O$8+$P$114*$P$8</f>
        <v>0</v>
      </c>
      <c r="R114" s="15">
        <v>0</v>
      </c>
      <c r="S114" s="15">
        <f>$Q$114+$R$114</f>
        <v>0</v>
      </c>
    </row>
    <row r="115" spans="1:19" x14ac:dyDescent="0.3">
      <c r="A115" s="10" t="s">
        <v>425</v>
      </c>
      <c r="B115" s="11" t="s">
        <v>426</v>
      </c>
      <c r="C115" s="11" t="s">
        <v>34</v>
      </c>
      <c r="D115" s="11" t="s">
        <v>427</v>
      </c>
      <c r="E115" s="11">
        <f xml:space="preserve"> IF($S$115,1,0)</f>
        <v>0</v>
      </c>
      <c r="F115" s="11" t="s">
        <v>428</v>
      </c>
      <c r="G115" s="11">
        <v>0</v>
      </c>
      <c r="H115" s="11">
        <v>0</v>
      </c>
      <c r="I115" s="11">
        <v>0</v>
      </c>
      <c r="J115" s="11">
        <v>0</v>
      </c>
      <c r="K115" s="11">
        <v>0</v>
      </c>
      <c r="L115" s="11">
        <v>0</v>
      </c>
      <c r="M115" s="11">
        <v>0</v>
      </c>
      <c r="N115" s="11">
        <v>0</v>
      </c>
      <c r="O115" s="11">
        <v>0</v>
      </c>
      <c r="P115" s="11">
        <v>0</v>
      </c>
      <c r="Q115" s="12">
        <f>$G$115*$G$8+$H$115*$H$8+$I$115*$I$8+$J$115*$J$8+$K$115*$K$8+$L$115*$L$8+$M$115*$M$8+$N$115*$N$8+$O$115*$O$8+$P$115*$P$8</f>
        <v>0</v>
      </c>
      <c r="R115" s="12">
        <v>0</v>
      </c>
      <c r="S115" s="12">
        <f>$Q$115+$R$115</f>
        <v>0</v>
      </c>
    </row>
    <row r="116" spans="1:19" x14ac:dyDescent="0.3">
      <c r="A116" s="13" t="s">
        <v>429</v>
      </c>
      <c r="B116" s="14" t="s">
        <v>430</v>
      </c>
      <c r="C116" s="14"/>
      <c r="D116" s="14" t="s">
        <v>431</v>
      </c>
      <c r="E116" s="14">
        <f xml:space="preserve"> IF($S$116,1,0)</f>
        <v>0</v>
      </c>
      <c r="F116" s="14" t="s">
        <v>432</v>
      </c>
      <c r="G116" s="14">
        <v>0</v>
      </c>
      <c r="H116" s="14">
        <v>0</v>
      </c>
      <c r="I116" s="14">
        <v>0</v>
      </c>
      <c r="J116" s="14">
        <v>0</v>
      </c>
      <c r="K116" s="14">
        <v>0</v>
      </c>
      <c r="L116" s="14">
        <v>0</v>
      </c>
      <c r="M116" s="14">
        <v>0</v>
      </c>
      <c r="N116" s="14">
        <v>0</v>
      </c>
      <c r="O116" s="14">
        <v>0</v>
      </c>
      <c r="P116" s="14">
        <v>0</v>
      </c>
      <c r="Q116" s="15">
        <f>$G$116*$G$8+$H$116*$H$8+$I$116*$I$8+$J$116*$J$8+$K$116*$K$8+$L$116*$L$8+$M$116*$M$8+$N$116*$N$8+$O$116*$O$8+$P$116*$P$8</f>
        <v>0</v>
      </c>
      <c r="R116" s="15">
        <v>0</v>
      </c>
      <c r="S116" s="15">
        <f>$Q$116+$R$116</f>
        <v>0</v>
      </c>
    </row>
    <row r="117" spans="1:19" x14ac:dyDescent="0.3">
      <c r="A117" s="10" t="s">
        <v>1252</v>
      </c>
      <c r="B117" s="11" t="s">
        <v>1253</v>
      </c>
      <c r="C117" s="11"/>
      <c r="D117" s="11" t="s">
        <v>1254</v>
      </c>
      <c r="E117" s="11">
        <f xml:space="preserve"> IF($S$117,1,0)</f>
        <v>0</v>
      </c>
      <c r="F117" s="11" t="s">
        <v>1255</v>
      </c>
      <c r="G117" s="11">
        <v>0</v>
      </c>
      <c r="H117" s="11">
        <v>0</v>
      </c>
      <c r="I117" s="11">
        <v>0</v>
      </c>
      <c r="J117" s="11">
        <v>0</v>
      </c>
      <c r="K117" s="11">
        <v>0</v>
      </c>
      <c r="L117" s="11">
        <v>0</v>
      </c>
      <c r="M117" s="11">
        <v>0</v>
      </c>
      <c r="N117" s="11">
        <v>0</v>
      </c>
      <c r="O117" s="11">
        <v>0</v>
      </c>
      <c r="P117" s="11">
        <v>0</v>
      </c>
      <c r="Q117" s="12">
        <f>$G$117*$G$8+$H$117*$H$8+$I$117*$I$8+$J$117*$J$8+$K$117*$K$8+$L$117*$L$8+$M$117*$M$8+$N$117*$N$8+$O$117*$O$8+$P$117*$P$8</f>
        <v>0</v>
      </c>
      <c r="R117" s="12">
        <v>0</v>
      </c>
      <c r="S117" s="12">
        <f>$Q$117+$R$117</f>
        <v>0</v>
      </c>
    </row>
    <row r="118" spans="1:19" x14ac:dyDescent="0.3">
      <c r="A118" s="13" t="s">
        <v>433</v>
      </c>
      <c r="B118" s="14" t="s">
        <v>434</v>
      </c>
      <c r="C118" s="14" t="s">
        <v>202</v>
      </c>
      <c r="D118" s="14" t="s">
        <v>435</v>
      </c>
      <c r="E118" s="14">
        <f xml:space="preserve"> IF($S$118,1,0)</f>
        <v>0</v>
      </c>
      <c r="F118" s="14" t="s">
        <v>436</v>
      </c>
      <c r="G118" s="14">
        <v>0</v>
      </c>
      <c r="H118" s="14">
        <v>0</v>
      </c>
      <c r="I118" s="14">
        <v>0</v>
      </c>
      <c r="J118" s="14">
        <v>0</v>
      </c>
      <c r="K118" s="14">
        <v>0</v>
      </c>
      <c r="L118" s="14">
        <v>0</v>
      </c>
      <c r="M118" s="14">
        <v>0</v>
      </c>
      <c r="N118" s="14">
        <v>0</v>
      </c>
      <c r="O118" s="14">
        <v>0</v>
      </c>
      <c r="P118" s="14">
        <v>0</v>
      </c>
      <c r="Q118" s="15">
        <f>$G$118*$G$8+$H$118*$H$8+$I$118*$I$8+$J$118*$J$8+$K$118*$K$8+$L$118*$L$8+$M$118*$M$8+$N$118*$N$8+$O$118*$O$8+$P$118*$P$8</f>
        <v>0</v>
      </c>
      <c r="R118" s="15">
        <v>0</v>
      </c>
      <c r="S118" s="15">
        <f>$Q$118+$R$118</f>
        <v>0</v>
      </c>
    </row>
    <row r="119" spans="1:19" x14ac:dyDescent="0.3">
      <c r="A119" s="10" t="s">
        <v>437</v>
      </c>
      <c r="B119" s="11" t="s">
        <v>434</v>
      </c>
      <c r="C119" s="11"/>
      <c r="D119" s="11" t="s">
        <v>438</v>
      </c>
      <c r="E119" s="11">
        <f xml:space="preserve"> IF($S$119,1,0)</f>
        <v>0</v>
      </c>
      <c r="F119" s="11" t="s">
        <v>439</v>
      </c>
      <c r="G119" s="11">
        <v>0</v>
      </c>
      <c r="H119" s="11">
        <v>0</v>
      </c>
      <c r="I119" s="11">
        <v>0</v>
      </c>
      <c r="J119" s="11">
        <v>0</v>
      </c>
      <c r="K119" s="11">
        <v>0</v>
      </c>
      <c r="L119" s="11">
        <v>0</v>
      </c>
      <c r="M119" s="11">
        <v>0</v>
      </c>
      <c r="N119" s="11">
        <v>0</v>
      </c>
      <c r="O119" s="11">
        <v>0</v>
      </c>
      <c r="P119" s="11">
        <v>0</v>
      </c>
      <c r="Q119" s="12">
        <f>$G$119*$G$8+$H$119*$H$8+$I$119*$I$8+$J$119*$J$8+$K$119*$K$8+$L$119*$L$8+$M$119*$M$8+$N$119*$N$8+$O$119*$O$8+$P$119*$P$8</f>
        <v>0</v>
      </c>
      <c r="R119" s="12">
        <v>0</v>
      </c>
      <c r="S119" s="12">
        <f>$Q$119+$R$119</f>
        <v>0</v>
      </c>
    </row>
    <row r="120" spans="1:19" x14ac:dyDescent="0.3">
      <c r="A120" s="13" t="s">
        <v>440</v>
      </c>
      <c r="B120" s="14" t="s">
        <v>441</v>
      </c>
      <c r="C120" s="14" t="s">
        <v>202</v>
      </c>
      <c r="D120" s="14" t="s">
        <v>442</v>
      </c>
      <c r="E120" s="14">
        <f xml:space="preserve"> IF($S$120,1,0)</f>
        <v>0</v>
      </c>
      <c r="F120" s="14" t="s">
        <v>443</v>
      </c>
      <c r="G120" s="14">
        <v>0</v>
      </c>
      <c r="H120" s="14">
        <v>0</v>
      </c>
      <c r="I120" s="14">
        <v>0</v>
      </c>
      <c r="J120" s="14">
        <v>0</v>
      </c>
      <c r="K120" s="14">
        <v>0</v>
      </c>
      <c r="L120" s="14">
        <v>0</v>
      </c>
      <c r="M120" s="14">
        <v>0</v>
      </c>
      <c r="N120" s="14">
        <v>0</v>
      </c>
      <c r="O120" s="14">
        <v>0</v>
      </c>
      <c r="P120" s="14">
        <v>0</v>
      </c>
      <c r="Q120" s="15">
        <f>$G$120*$G$8+$H$120*$H$8+$I$120*$I$8+$J$120*$J$8+$K$120*$K$8+$L$120*$L$8+$M$120*$M$8+$N$120*$N$8+$O$120*$O$8+$P$120*$P$8</f>
        <v>0</v>
      </c>
      <c r="R120" s="15">
        <v>0</v>
      </c>
      <c r="S120" s="15">
        <f>$Q$120+$R$120</f>
        <v>0</v>
      </c>
    </row>
    <row r="121" spans="1:19" x14ac:dyDescent="0.3">
      <c r="A121" s="10" t="s">
        <v>444</v>
      </c>
      <c r="B121" s="11" t="s">
        <v>445</v>
      </c>
      <c r="C121" s="11"/>
      <c r="D121" s="11" t="s">
        <v>446</v>
      </c>
      <c r="E121" s="11">
        <f xml:space="preserve"> IF($S$121,1,0)</f>
        <v>0</v>
      </c>
      <c r="F121" s="11" t="s">
        <v>447</v>
      </c>
      <c r="G121" s="11">
        <v>0</v>
      </c>
      <c r="H121" s="11">
        <v>0</v>
      </c>
      <c r="I121" s="11">
        <v>0</v>
      </c>
      <c r="J121" s="11">
        <v>0</v>
      </c>
      <c r="K121" s="11">
        <v>0</v>
      </c>
      <c r="L121" s="11">
        <v>0</v>
      </c>
      <c r="M121" s="11">
        <v>0</v>
      </c>
      <c r="N121" s="11">
        <v>0</v>
      </c>
      <c r="O121" s="11">
        <v>0</v>
      </c>
      <c r="P121" s="11">
        <v>0</v>
      </c>
      <c r="Q121" s="12">
        <f>$G$121*$G$8+$H$121*$H$8+$I$121*$I$8+$J$121*$J$8+$K$121*$K$8+$L$121*$L$8+$M$121*$M$8+$N$121*$N$8+$O$121*$O$8+$P$121*$P$8</f>
        <v>0</v>
      </c>
      <c r="R121" s="12">
        <v>0</v>
      </c>
      <c r="S121" s="12">
        <f>$Q$121+$R$121</f>
        <v>0</v>
      </c>
    </row>
    <row r="122" spans="1:19" x14ac:dyDescent="0.3">
      <c r="A122" s="13" t="s">
        <v>448</v>
      </c>
      <c r="B122" s="14" t="s">
        <v>449</v>
      </c>
      <c r="C122" s="14"/>
      <c r="D122" s="14" t="s">
        <v>450</v>
      </c>
      <c r="E122" s="14">
        <f xml:space="preserve"> IF($S$122,1,0)</f>
        <v>0</v>
      </c>
      <c r="F122" s="14" t="s">
        <v>451</v>
      </c>
      <c r="G122" s="14">
        <v>0</v>
      </c>
      <c r="H122" s="14">
        <v>0</v>
      </c>
      <c r="I122" s="14">
        <v>0</v>
      </c>
      <c r="J122" s="14">
        <v>0</v>
      </c>
      <c r="K122" s="14">
        <v>0</v>
      </c>
      <c r="L122" s="14">
        <v>0</v>
      </c>
      <c r="M122" s="14">
        <v>0</v>
      </c>
      <c r="N122" s="14">
        <v>0</v>
      </c>
      <c r="O122" s="14">
        <v>0</v>
      </c>
      <c r="P122" s="14">
        <v>0</v>
      </c>
      <c r="Q122" s="15">
        <f>$G$122*$G$8+$H$122*$H$8+$I$122*$I$8+$J$122*$J$8+$K$122*$K$8+$L$122*$L$8+$M$122*$M$8+$N$122*$N$8+$O$122*$O$8+$P$122*$P$8</f>
        <v>0</v>
      </c>
      <c r="R122" s="15">
        <v>0</v>
      </c>
      <c r="S122" s="15">
        <f>$Q$122+$R$122</f>
        <v>0</v>
      </c>
    </row>
    <row r="123" spans="1:19" x14ac:dyDescent="0.3">
      <c r="A123" s="10" t="s">
        <v>452</v>
      </c>
      <c r="B123" s="11" t="s">
        <v>453</v>
      </c>
      <c r="C123" s="11"/>
      <c r="D123" s="11" t="s">
        <v>454</v>
      </c>
      <c r="E123" s="11">
        <f xml:space="preserve"> IF($S$123,1,0)</f>
        <v>0</v>
      </c>
      <c r="F123" s="11" t="s">
        <v>455</v>
      </c>
      <c r="G123" s="11">
        <v>0</v>
      </c>
      <c r="H123" s="11">
        <v>0</v>
      </c>
      <c r="I123" s="11">
        <v>0</v>
      </c>
      <c r="J123" s="11">
        <v>0</v>
      </c>
      <c r="K123" s="11">
        <v>0</v>
      </c>
      <c r="L123" s="11">
        <v>0</v>
      </c>
      <c r="M123" s="11">
        <v>0</v>
      </c>
      <c r="N123" s="11">
        <v>0</v>
      </c>
      <c r="O123" s="11">
        <v>0</v>
      </c>
      <c r="P123" s="11">
        <v>0</v>
      </c>
      <c r="Q123" s="12">
        <f>$G$123*$G$8+$H$123*$H$8+$I$123*$I$8+$J$123*$J$8+$K$123*$K$8+$L$123*$L$8+$M$123*$M$8+$N$123*$N$8+$O$123*$O$8+$P$123*$P$8</f>
        <v>0</v>
      </c>
      <c r="R123" s="12">
        <v>0</v>
      </c>
      <c r="S123" s="12">
        <f>$Q$123+$R$123</f>
        <v>0</v>
      </c>
    </row>
    <row r="124" spans="1:19" x14ac:dyDescent="0.3">
      <c r="A124" s="13" t="s">
        <v>456</v>
      </c>
      <c r="B124" s="14" t="s">
        <v>457</v>
      </c>
      <c r="C124" s="14"/>
      <c r="D124" s="14" t="s">
        <v>458</v>
      </c>
      <c r="E124" s="14">
        <f xml:space="preserve"> IF($S$124,1,0)</f>
        <v>0</v>
      </c>
      <c r="F124" s="14" t="s">
        <v>459</v>
      </c>
      <c r="G124" s="14">
        <v>0</v>
      </c>
      <c r="H124" s="14">
        <v>0</v>
      </c>
      <c r="I124" s="14">
        <v>0</v>
      </c>
      <c r="J124" s="14">
        <v>0</v>
      </c>
      <c r="K124" s="14">
        <v>0</v>
      </c>
      <c r="L124" s="14">
        <v>0</v>
      </c>
      <c r="M124" s="14">
        <v>0</v>
      </c>
      <c r="N124" s="14">
        <v>0</v>
      </c>
      <c r="O124" s="14">
        <v>0</v>
      </c>
      <c r="P124" s="14">
        <v>0</v>
      </c>
      <c r="Q124" s="15">
        <f>$G$124*$G$8+$H$124*$H$8+$I$124*$I$8+$J$124*$J$8+$K$124*$K$8+$L$124*$L$8+$M$124*$M$8+$N$124*$N$8+$O$124*$O$8+$P$124*$P$8</f>
        <v>0</v>
      </c>
      <c r="R124" s="15">
        <v>0</v>
      </c>
      <c r="S124" s="15">
        <f>$Q$124+$R$124</f>
        <v>0</v>
      </c>
    </row>
    <row r="125" spans="1:19" x14ac:dyDescent="0.3">
      <c r="A125" s="10" t="s">
        <v>460</v>
      </c>
      <c r="B125" s="11" t="s">
        <v>457</v>
      </c>
      <c r="C125" s="11"/>
      <c r="D125" s="11" t="s">
        <v>461</v>
      </c>
      <c r="E125" s="11">
        <f xml:space="preserve"> IF($S$125,1,0)</f>
        <v>0</v>
      </c>
      <c r="F125" s="11" t="s">
        <v>462</v>
      </c>
      <c r="G125" s="11">
        <v>0</v>
      </c>
      <c r="H125" s="11">
        <v>0</v>
      </c>
      <c r="I125" s="11">
        <v>0</v>
      </c>
      <c r="J125" s="11">
        <v>0</v>
      </c>
      <c r="K125" s="11">
        <v>0</v>
      </c>
      <c r="L125" s="11">
        <v>0</v>
      </c>
      <c r="M125" s="11">
        <v>0</v>
      </c>
      <c r="N125" s="11">
        <v>0</v>
      </c>
      <c r="O125" s="11">
        <v>0</v>
      </c>
      <c r="P125" s="11">
        <v>0</v>
      </c>
      <c r="Q125" s="12">
        <f>$G$125*$G$8+$H$125*$H$8+$I$125*$I$8+$J$125*$J$8+$K$125*$K$8+$L$125*$L$8+$M$125*$M$8+$N$125*$N$8+$O$125*$O$8+$P$125*$P$8</f>
        <v>0</v>
      </c>
      <c r="R125" s="12">
        <v>0</v>
      </c>
      <c r="S125" s="12">
        <f>$Q$125+$R$125</f>
        <v>0</v>
      </c>
    </row>
    <row r="126" spans="1:19" x14ac:dyDescent="0.3">
      <c r="A126" s="13" t="s">
        <v>463</v>
      </c>
      <c r="B126" s="14" t="s">
        <v>457</v>
      </c>
      <c r="C126" s="14" t="s">
        <v>34</v>
      </c>
      <c r="D126" s="14" t="s">
        <v>464</v>
      </c>
      <c r="E126" s="14">
        <f xml:space="preserve"> IF($S$126,1,0)</f>
        <v>0</v>
      </c>
      <c r="F126" s="14" t="s">
        <v>465</v>
      </c>
      <c r="G126" s="14">
        <v>0</v>
      </c>
      <c r="H126" s="14">
        <v>0</v>
      </c>
      <c r="I126" s="14">
        <v>0</v>
      </c>
      <c r="J126" s="14">
        <v>0</v>
      </c>
      <c r="K126" s="14">
        <v>0</v>
      </c>
      <c r="L126" s="14">
        <v>0</v>
      </c>
      <c r="M126" s="14">
        <v>0</v>
      </c>
      <c r="N126" s="14">
        <v>0</v>
      </c>
      <c r="O126" s="14">
        <v>0</v>
      </c>
      <c r="P126" s="14">
        <v>0</v>
      </c>
      <c r="Q126" s="15">
        <f>$G$126*$G$8+$H$126*$H$8+$I$126*$I$8+$J$126*$J$8+$K$126*$K$8+$L$126*$L$8+$M$126*$M$8+$N$126*$N$8+$O$126*$O$8+$P$126*$P$8</f>
        <v>0</v>
      </c>
      <c r="R126" s="15">
        <v>0</v>
      </c>
      <c r="S126" s="15">
        <f>$Q$126+$R$126</f>
        <v>0</v>
      </c>
    </row>
    <row r="127" spans="1:19" x14ac:dyDescent="0.3">
      <c r="A127" s="10" t="s">
        <v>466</v>
      </c>
      <c r="B127" s="11" t="s">
        <v>457</v>
      </c>
      <c r="C127" s="11"/>
      <c r="D127" s="11" t="s">
        <v>467</v>
      </c>
      <c r="E127" s="11">
        <f xml:space="preserve"> IF($S$127,1,0)</f>
        <v>0</v>
      </c>
      <c r="F127" s="11" t="s">
        <v>468</v>
      </c>
      <c r="G127" s="11">
        <v>0</v>
      </c>
      <c r="H127" s="11">
        <v>0</v>
      </c>
      <c r="I127" s="11">
        <v>0</v>
      </c>
      <c r="J127" s="11">
        <v>0</v>
      </c>
      <c r="K127" s="11">
        <v>0</v>
      </c>
      <c r="L127" s="11">
        <v>0</v>
      </c>
      <c r="M127" s="11">
        <v>0</v>
      </c>
      <c r="N127" s="11">
        <v>0</v>
      </c>
      <c r="O127" s="11">
        <v>0</v>
      </c>
      <c r="P127" s="11">
        <v>0</v>
      </c>
      <c r="Q127" s="12">
        <f>$G$127*$G$8+$H$127*$H$8+$I$127*$I$8+$J$127*$J$8+$K$127*$K$8+$L$127*$L$8+$M$127*$M$8+$N$127*$N$8+$O$127*$O$8+$P$127*$P$8</f>
        <v>0</v>
      </c>
      <c r="R127" s="12">
        <v>0</v>
      </c>
      <c r="S127" s="12">
        <f>$Q$127+$R$127</f>
        <v>0</v>
      </c>
    </row>
    <row r="128" spans="1:19" x14ac:dyDescent="0.3">
      <c r="A128" s="13" t="s">
        <v>469</v>
      </c>
      <c r="B128" s="14" t="s">
        <v>470</v>
      </c>
      <c r="C128" s="14"/>
      <c r="D128" s="14" t="s">
        <v>471</v>
      </c>
      <c r="E128" s="14">
        <f xml:space="preserve"> IF($S$128,1,0)</f>
        <v>0</v>
      </c>
      <c r="F128" s="14" t="s">
        <v>472</v>
      </c>
      <c r="G128" s="14">
        <v>0</v>
      </c>
      <c r="H128" s="14">
        <v>0</v>
      </c>
      <c r="I128" s="14">
        <v>0</v>
      </c>
      <c r="J128" s="14">
        <v>0</v>
      </c>
      <c r="K128" s="14">
        <v>0</v>
      </c>
      <c r="L128" s="14">
        <v>0</v>
      </c>
      <c r="M128" s="14">
        <v>0</v>
      </c>
      <c r="N128" s="14">
        <v>0</v>
      </c>
      <c r="O128" s="14">
        <v>0</v>
      </c>
      <c r="P128" s="14">
        <v>0</v>
      </c>
      <c r="Q128" s="15">
        <f>$G$128*$G$8+$H$128*$H$8+$I$128*$I$8+$J$128*$J$8+$K$128*$K$8+$L$128*$L$8+$M$128*$M$8+$N$128*$N$8+$O$128*$O$8+$P$128*$P$8</f>
        <v>0</v>
      </c>
      <c r="R128" s="15">
        <v>0</v>
      </c>
      <c r="S128" s="15">
        <f>$Q$128+$R$128</f>
        <v>0</v>
      </c>
    </row>
    <row r="129" spans="1:19" x14ac:dyDescent="0.3">
      <c r="A129" s="10" t="s">
        <v>473</v>
      </c>
      <c r="B129" s="11" t="s">
        <v>474</v>
      </c>
      <c r="C129" s="11"/>
      <c r="D129" s="11" t="s">
        <v>475</v>
      </c>
      <c r="E129" s="11">
        <f xml:space="preserve"> IF($S$129,1,0)</f>
        <v>0</v>
      </c>
      <c r="F129" s="11" t="s">
        <v>476</v>
      </c>
      <c r="G129" s="11">
        <v>0</v>
      </c>
      <c r="H129" s="11">
        <v>0</v>
      </c>
      <c r="I129" s="11">
        <v>0</v>
      </c>
      <c r="J129" s="11">
        <v>0</v>
      </c>
      <c r="K129" s="11">
        <v>0</v>
      </c>
      <c r="L129" s="11">
        <v>0</v>
      </c>
      <c r="M129" s="11">
        <v>0</v>
      </c>
      <c r="N129" s="11">
        <v>0</v>
      </c>
      <c r="O129" s="11">
        <v>0</v>
      </c>
      <c r="P129" s="11">
        <v>0</v>
      </c>
      <c r="Q129" s="12">
        <f>$G$129*$G$8+$H$129*$H$8+$I$129*$I$8+$J$129*$J$8+$K$129*$K$8+$L$129*$L$8+$M$129*$M$8+$N$129*$N$8+$O$129*$O$8+$P$129*$P$8</f>
        <v>0</v>
      </c>
      <c r="R129" s="12">
        <v>0</v>
      </c>
      <c r="S129" s="12">
        <f>$Q$129+$R$129</f>
        <v>0</v>
      </c>
    </row>
    <row r="130" spans="1:19" x14ac:dyDescent="0.3">
      <c r="A130" s="13" t="s">
        <v>477</v>
      </c>
      <c r="B130" s="14" t="s">
        <v>478</v>
      </c>
      <c r="C130" s="14"/>
      <c r="D130" s="14" t="s">
        <v>479</v>
      </c>
      <c r="E130" s="14">
        <f xml:space="preserve"> IF($S$130,1,0)</f>
        <v>0</v>
      </c>
      <c r="F130" s="14" t="s">
        <v>480</v>
      </c>
      <c r="G130" s="14">
        <v>0</v>
      </c>
      <c r="H130" s="14">
        <v>0</v>
      </c>
      <c r="I130" s="14">
        <v>0</v>
      </c>
      <c r="J130" s="14">
        <v>0</v>
      </c>
      <c r="K130" s="14">
        <v>0</v>
      </c>
      <c r="L130" s="14">
        <v>0</v>
      </c>
      <c r="M130" s="14">
        <v>0</v>
      </c>
      <c r="N130" s="14">
        <v>0</v>
      </c>
      <c r="O130" s="14">
        <v>0</v>
      </c>
      <c r="P130" s="14">
        <v>0</v>
      </c>
      <c r="Q130" s="15">
        <f>$G$130*$G$8+$H$130*$H$8+$I$130*$I$8+$J$130*$J$8+$K$130*$K$8+$L$130*$L$8+$M$130*$M$8+$N$130*$N$8+$O$130*$O$8+$P$130*$P$8</f>
        <v>0</v>
      </c>
      <c r="R130" s="15">
        <v>0</v>
      </c>
      <c r="S130" s="15">
        <f>$Q$130+$R$130</f>
        <v>0</v>
      </c>
    </row>
    <row r="131" spans="1:19" x14ac:dyDescent="0.3">
      <c r="A131" s="10" t="s">
        <v>481</v>
      </c>
      <c r="B131" s="11" t="s">
        <v>482</v>
      </c>
      <c r="C131" s="11"/>
      <c r="D131" s="11" t="s">
        <v>483</v>
      </c>
      <c r="E131" s="11">
        <f xml:space="preserve"> IF($S$131,1,0)</f>
        <v>0</v>
      </c>
      <c r="F131" s="11" t="s">
        <v>484</v>
      </c>
      <c r="G131" s="11">
        <v>0</v>
      </c>
      <c r="H131" s="11">
        <v>0</v>
      </c>
      <c r="I131" s="11">
        <v>0</v>
      </c>
      <c r="J131" s="11">
        <v>0</v>
      </c>
      <c r="K131" s="11">
        <v>0</v>
      </c>
      <c r="L131" s="11">
        <v>0</v>
      </c>
      <c r="M131" s="11">
        <v>0</v>
      </c>
      <c r="N131" s="11">
        <v>0</v>
      </c>
      <c r="O131" s="11">
        <v>0</v>
      </c>
      <c r="P131" s="11">
        <v>0</v>
      </c>
      <c r="Q131" s="12">
        <f>$G$131*$G$8+$H$131*$H$8+$I$131*$I$8+$J$131*$J$8+$K$131*$K$8+$L$131*$L$8+$M$131*$M$8+$N$131*$N$8+$O$131*$O$8+$P$131*$P$8</f>
        <v>0</v>
      </c>
      <c r="R131" s="12">
        <v>0</v>
      </c>
      <c r="S131" s="12">
        <f>$Q$131+$R$131</f>
        <v>0</v>
      </c>
    </row>
    <row r="132" spans="1:19" x14ac:dyDescent="0.3">
      <c r="A132" s="13" t="s">
        <v>485</v>
      </c>
      <c r="B132" s="14" t="s">
        <v>486</v>
      </c>
      <c r="C132" s="14"/>
      <c r="D132" s="14" t="s">
        <v>487</v>
      </c>
      <c r="E132" s="14">
        <f xml:space="preserve"> IF($S$132,1,0)</f>
        <v>0</v>
      </c>
      <c r="F132" s="14" t="s">
        <v>488</v>
      </c>
      <c r="G132" s="14">
        <v>0</v>
      </c>
      <c r="H132" s="14">
        <v>0</v>
      </c>
      <c r="I132" s="14">
        <v>0</v>
      </c>
      <c r="J132" s="14">
        <v>0</v>
      </c>
      <c r="K132" s="14">
        <v>0</v>
      </c>
      <c r="L132" s="14">
        <v>0</v>
      </c>
      <c r="M132" s="14">
        <v>0</v>
      </c>
      <c r="N132" s="14">
        <v>0</v>
      </c>
      <c r="O132" s="14">
        <v>0</v>
      </c>
      <c r="P132" s="14">
        <v>0</v>
      </c>
      <c r="Q132" s="15">
        <f>$G$132*$G$8+$H$132*$H$8+$I$132*$I$8+$J$132*$J$8+$K$132*$K$8+$L$132*$L$8+$M$132*$M$8+$N$132*$N$8+$O$132*$O$8+$P$132*$P$8</f>
        <v>0</v>
      </c>
      <c r="R132" s="15">
        <v>0</v>
      </c>
      <c r="S132" s="15">
        <f>$Q$132+$R$132</f>
        <v>0</v>
      </c>
    </row>
    <row r="133" spans="1:19" x14ac:dyDescent="0.3">
      <c r="A133" s="10" t="s">
        <v>489</v>
      </c>
      <c r="B133" s="11" t="s">
        <v>490</v>
      </c>
      <c r="C133" s="11"/>
      <c r="D133" s="11" t="s">
        <v>491</v>
      </c>
      <c r="E133" s="11">
        <f xml:space="preserve"> IF($S$133,1,0)</f>
        <v>0</v>
      </c>
      <c r="F133" s="11" t="s">
        <v>492</v>
      </c>
      <c r="G133" s="11">
        <v>0</v>
      </c>
      <c r="H133" s="11">
        <v>0</v>
      </c>
      <c r="I133" s="11">
        <v>0</v>
      </c>
      <c r="J133" s="11">
        <v>0</v>
      </c>
      <c r="K133" s="11">
        <v>0</v>
      </c>
      <c r="L133" s="11">
        <v>0</v>
      </c>
      <c r="M133" s="11">
        <v>0</v>
      </c>
      <c r="N133" s="11">
        <v>0</v>
      </c>
      <c r="O133" s="11">
        <v>0</v>
      </c>
      <c r="P133" s="11">
        <v>0</v>
      </c>
      <c r="Q133" s="12">
        <f>$G$133*$G$8+$H$133*$H$8+$I$133*$I$8+$J$133*$J$8+$K$133*$K$8+$L$133*$L$8+$M$133*$M$8+$N$133*$N$8+$O$133*$O$8+$P$133*$P$8</f>
        <v>0</v>
      </c>
      <c r="R133" s="12">
        <v>0</v>
      </c>
      <c r="S133" s="12">
        <f>$Q$133+$R$133</f>
        <v>0</v>
      </c>
    </row>
    <row r="134" spans="1:19" x14ac:dyDescent="0.3">
      <c r="A134" s="13" t="s">
        <v>493</v>
      </c>
      <c r="B134" s="14" t="s">
        <v>494</v>
      </c>
      <c r="C134" s="14" t="s">
        <v>34</v>
      </c>
      <c r="D134" s="14" t="s">
        <v>495</v>
      </c>
      <c r="E134" s="14">
        <f xml:space="preserve"> IF($S$134,1,0)</f>
        <v>0</v>
      </c>
      <c r="F134" s="14" t="s">
        <v>496</v>
      </c>
      <c r="G134" s="14">
        <v>0</v>
      </c>
      <c r="H134" s="14">
        <v>0</v>
      </c>
      <c r="I134" s="14">
        <v>0</v>
      </c>
      <c r="J134" s="14">
        <v>0</v>
      </c>
      <c r="K134" s="14">
        <v>0</v>
      </c>
      <c r="L134" s="14">
        <v>0</v>
      </c>
      <c r="M134" s="14">
        <v>0</v>
      </c>
      <c r="N134" s="14">
        <v>0</v>
      </c>
      <c r="O134" s="14">
        <v>0</v>
      </c>
      <c r="P134" s="14">
        <v>0</v>
      </c>
      <c r="Q134" s="15">
        <f>$G$134*$G$8+$H$134*$H$8+$I$134*$I$8+$J$134*$J$8+$K$134*$K$8+$L$134*$L$8+$M$134*$M$8+$N$134*$N$8+$O$134*$O$8+$P$134*$P$8</f>
        <v>0</v>
      </c>
      <c r="R134" s="15">
        <v>0</v>
      </c>
      <c r="S134" s="15">
        <f>$Q$134+$R$134</f>
        <v>0</v>
      </c>
    </row>
    <row r="135" spans="1:19" x14ac:dyDescent="0.3">
      <c r="A135" s="10" t="s">
        <v>497</v>
      </c>
      <c r="B135" s="11" t="s">
        <v>498</v>
      </c>
      <c r="C135" s="11"/>
      <c r="D135" s="11" t="s">
        <v>499</v>
      </c>
      <c r="E135" s="11">
        <f xml:space="preserve"> IF($S$135,1,0)</f>
        <v>0</v>
      </c>
      <c r="F135" s="11" t="s">
        <v>500</v>
      </c>
      <c r="G135" s="11">
        <v>0</v>
      </c>
      <c r="H135" s="11">
        <v>0</v>
      </c>
      <c r="I135" s="11">
        <v>0</v>
      </c>
      <c r="J135" s="11">
        <v>0</v>
      </c>
      <c r="K135" s="11">
        <v>0</v>
      </c>
      <c r="L135" s="11">
        <v>0</v>
      </c>
      <c r="M135" s="11">
        <v>0</v>
      </c>
      <c r="N135" s="11">
        <v>0</v>
      </c>
      <c r="O135" s="11">
        <v>0</v>
      </c>
      <c r="P135" s="11">
        <v>0</v>
      </c>
      <c r="Q135" s="12">
        <f>$G$135*$G$8+$H$135*$H$8+$I$135*$I$8+$J$135*$J$8+$K$135*$K$8+$L$135*$L$8+$M$135*$M$8+$N$135*$N$8+$O$135*$O$8+$P$135*$P$8</f>
        <v>0</v>
      </c>
      <c r="R135" s="12">
        <v>0</v>
      </c>
      <c r="S135" s="12">
        <f>$Q$135+$R$135</f>
        <v>0</v>
      </c>
    </row>
    <row r="136" spans="1:19" x14ac:dyDescent="0.3">
      <c r="A136" s="13" t="s">
        <v>501</v>
      </c>
      <c r="B136" s="14" t="s">
        <v>502</v>
      </c>
      <c r="C136" s="14" t="s">
        <v>34</v>
      </c>
      <c r="D136" s="14" t="s">
        <v>503</v>
      </c>
      <c r="E136" s="14">
        <f xml:space="preserve"> IF($S$136,1,0)</f>
        <v>0</v>
      </c>
      <c r="F136" s="14" t="s">
        <v>504</v>
      </c>
      <c r="G136" s="14">
        <v>0</v>
      </c>
      <c r="H136" s="14">
        <v>0</v>
      </c>
      <c r="I136" s="14">
        <v>0</v>
      </c>
      <c r="J136" s="14">
        <v>0</v>
      </c>
      <c r="K136" s="14">
        <v>0</v>
      </c>
      <c r="L136" s="14">
        <v>0</v>
      </c>
      <c r="M136" s="14">
        <v>0</v>
      </c>
      <c r="N136" s="14">
        <v>0</v>
      </c>
      <c r="O136" s="14">
        <v>0</v>
      </c>
      <c r="P136" s="14">
        <v>0</v>
      </c>
      <c r="Q136" s="15">
        <f>$G$136*$G$8+$H$136*$H$8+$I$136*$I$8+$J$136*$J$8+$K$136*$K$8+$L$136*$L$8+$M$136*$M$8+$N$136*$N$8+$O$136*$O$8+$P$136*$P$8</f>
        <v>0</v>
      </c>
      <c r="R136" s="15">
        <v>0</v>
      </c>
      <c r="S136" s="15">
        <f>$Q$136+$R$136</f>
        <v>0</v>
      </c>
    </row>
    <row r="137" spans="1:19" x14ac:dyDescent="0.3">
      <c r="A137" s="10" t="s">
        <v>505</v>
      </c>
      <c r="B137" s="11" t="s">
        <v>502</v>
      </c>
      <c r="C137" s="11"/>
      <c r="D137" s="11" t="s">
        <v>232</v>
      </c>
      <c r="E137" s="11">
        <f xml:space="preserve"> IF($S$137,1,0)</f>
        <v>0</v>
      </c>
      <c r="F137" s="11" t="s">
        <v>506</v>
      </c>
      <c r="G137" s="11">
        <v>0</v>
      </c>
      <c r="H137" s="11">
        <v>0</v>
      </c>
      <c r="I137" s="11">
        <v>0</v>
      </c>
      <c r="J137" s="11">
        <v>0</v>
      </c>
      <c r="K137" s="11">
        <v>0</v>
      </c>
      <c r="L137" s="11">
        <v>0</v>
      </c>
      <c r="M137" s="11">
        <v>0</v>
      </c>
      <c r="N137" s="11">
        <v>0</v>
      </c>
      <c r="O137" s="11">
        <v>0</v>
      </c>
      <c r="P137" s="11">
        <v>0</v>
      </c>
      <c r="Q137" s="12">
        <f>$G$137*$G$8+$H$137*$H$8+$I$137*$I$8+$J$137*$J$8+$K$137*$K$8+$L$137*$L$8+$M$137*$M$8+$N$137*$N$8+$O$137*$O$8+$P$137*$P$8</f>
        <v>0</v>
      </c>
      <c r="R137" s="12">
        <v>0</v>
      </c>
      <c r="S137" s="12">
        <f>$Q$137+$R$137</f>
        <v>0</v>
      </c>
    </row>
    <row r="138" spans="1:19" x14ac:dyDescent="0.3">
      <c r="A138" s="13" t="s">
        <v>507</v>
      </c>
      <c r="B138" s="14" t="s">
        <v>508</v>
      </c>
      <c r="C138" s="14" t="s">
        <v>65</v>
      </c>
      <c r="D138" s="14" t="s">
        <v>509</v>
      </c>
      <c r="E138" s="14">
        <f xml:space="preserve"> IF($S$138,1,0)</f>
        <v>0</v>
      </c>
      <c r="F138" s="14" t="s">
        <v>510</v>
      </c>
      <c r="G138" s="14">
        <v>0</v>
      </c>
      <c r="H138" s="14">
        <v>0</v>
      </c>
      <c r="I138" s="14">
        <v>0</v>
      </c>
      <c r="J138" s="14">
        <v>0</v>
      </c>
      <c r="K138" s="14">
        <v>0</v>
      </c>
      <c r="L138" s="14">
        <v>0</v>
      </c>
      <c r="M138" s="14">
        <v>0</v>
      </c>
      <c r="N138" s="14">
        <v>0</v>
      </c>
      <c r="O138" s="14">
        <v>0</v>
      </c>
      <c r="P138" s="14">
        <v>0</v>
      </c>
      <c r="Q138" s="15">
        <f>$G$138*$G$8+$H$138*$H$8+$I$138*$I$8+$J$138*$J$8+$K$138*$K$8+$L$138*$L$8+$M$138*$M$8+$N$138*$N$8+$O$138*$O$8+$P$138*$P$8</f>
        <v>0</v>
      </c>
      <c r="R138" s="15">
        <v>0</v>
      </c>
      <c r="S138" s="15">
        <f>$Q$138+$R$138</f>
        <v>0</v>
      </c>
    </row>
    <row r="139" spans="1:19" x14ac:dyDescent="0.3">
      <c r="A139" s="10" t="s">
        <v>511</v>
      </c>
      <c r="B139" s="11" t="s">
        <v>512</v>
      </c>
      <c r="C139" s="11" t="s">
        <v>513</v>
      </c>
      <c r="D139" s="11" t="s">
        <v>514</v>
      </c>
      <c r="E139" s="11">
        <f xml:space="preserve"> IF($S$139,1,0)</f>
        <v>0</v>
      </c>
      <c r="F139" s="11" t="s">
        <v>515</v>
      </c>
      <c r="G139" s="11">
        <v>0</v>
      </c>
      <c r="H139" s="11">
        <v>0</v>
      </c>
      <c r="I139" s="11">
        <v>0</v>
      </c>
      <c r="J139" s="11">
        <v>0</v>
      </c>
      <c r="K139" s="11">
        <v>0</v>
      </c>
      <c r="L139" s="11">
        <v>0</v>
      </c>
      <c r="M139" s="11">
        <v>0</v>
      </c>
      <c r="N139" s="11">
        <v>0</v>
      </c>
      <c r="O139" s="11">
        <v>0</v>
      </c>
      <c r="P139" s="11">
        <v>0</v>
      </c>
      <c r="Q139" s="12">
        <f>$G$139*$G$8+$H$139*$H$8+$I$139*$I$8+$J$139*$J$8+$K$139*$K$8+$L$139*$L$8+$M$139*$M$8+$N$139*$N$8+$O$139*$O$8+$P$139*$P$8</f>
        <v>0</v>
      </c>
      <c r="R139" s="12">
        <v>0</v>
      </c>
      <c r="S139" s="12">
        <f>$Q$139+$R$139</f>
        <v>0</v>
      </c>
    </row>
    <row r="140" spans="1:19" x14ac:dyDescent="0.3">
      <c r="A140" s="13" t="s">
        <v>516</v>
      </c>
      <c r="B140" s="14" t="s">
        <v>517</v>
      </c>
      <c r="C140" s="14" t="s">
        <v>65</v>
      </c>
      <c r="D140" s="14" t="s">
        <v>518</v>
      </c>
      <c r="E140" s="14">
        <f xml:space="preserve"> IF($S$140,1,0)</f>
        <v>0</v>
      </c>
      <c r="F140" s="14" t="s">
        <v>519</v>
      </c>
      <c r="G140" s="14">
        <v>0</v>
      </c>
      <c r="H140" s="14">
        <v>0</v>
      </c>
      <c r="I140" s="14">
        <v>0</v>
      </c>
      <c r="J140" s="14">
        <v>0</v>
      </c>
      <c r="K140" s="14">
        <v>0</v>
      </c>
      <c r="L140" s="14">
        <v>0</v>
      </c>
      <c r="M140" s="14">
        <v>0</v>
      </c>
      <c r="N140" s="14">
        <v>0</v>
      </c>
      <c r="O140" s="14">
        <v>0</v>
      </c>
      <c r="P140" s="14">
        <v>0</v>
      </c>
      <c r="Q140" s="15">
        <f>$G$140*$G$8+$H$140*$H$8+$I$140*$I$8+$J$140*$J$8+$K$140*$K$8+$L$140*$L$8+$M$140*$M$8+$N$140*$N$8+$O$140*$O$8+$P$140*$P$8</f>
        <v>0</v>
      </c>
      <c r="R140" s="15">
        <v>0</v>
      </c>
      <c r="S140" s="15">
        <f>$Q$140+$R$140</f>
        <v>0</v>
      </c>
    </row>
    <row r="141" spans="1:19" x14ac:dyDescent="0.3">
      <c r="A141" s="10" t="s">
        <v>520</v>
      </c>
      <c r="B141" s="11" t="s">
        <v>517</v>
      </c>
      <c r="C141" s="11"/>
      <c r="D141" s="11" t="s">
        <v>521</v>
      </c>
      <c r="E141" s="11">
        <f xml:space="preserve"> IF($S$141,1,0)</f>
        <v>0</v>
      </c>
      <c r="F141" s="11" t="s">
        <v>522</v>
      </c>
      <c r="G141" s="11">
        <v>0</v>
      </c>
      <c r="H141" s="11">
        <v>0</v>
      </c>
      <c r="I141" s="11">
        <v>0</v>
      </c>
      <c r="J141" s="11">
        <v>0</v>
      </c>
      <c r="K141" s="11">
        <v>0</v>
      </c>
      <c r="L141" s="11">
        <v>0</v>
      </c>
      <c r="M141" s="11">
        <v>0</v>
      </c>
      <c r="N141" s="11">
        <v>0</v>
      </c>
      <c r="O141" s="11">
        <v>0</v>
      </c>
      <c r="P141" s="11">
        <v>0</v>
      </c>
      <c r="Q141" s="12">
        <f>$G$141*$G$8+$H$141*$H$8+$I$141*$I$8+$J$141*$J$8+$K$141*$K$8+$L$141*$L$8+$M$141*$M$8+$N$141*$N$8+$O$141*$O$8+$P$141*$P$8</f>
        <v>0</v>
      </c>
      <c r="R141" s="12">
        <v>0</v>
      </c>
      <c r="S141" s="12">
        <f>$Q$141+$R$141</f>
        <v>0</v>
      </c>
    </row>
    <row r="142" spans="1:19" x14ac:dyDescent="0.3">
      <c r="A142" s="13" t="s">
        <v>523</v>
      </c>
      <c r="B142" s="14" t="s">
        <v>524</v>
      </c>
      <c r="C142" s="14" t="s">
        <v>65</v>
      </c>
      <c r="D142" s="14" t="s">
        <v>327</v>
      </c>
      <c r="E142" s="14">
        <f xml:space="preserve"> IF($S$142,1,0)</f>
        <v>0</v>
      </c>
      <c r="F142" s="14" t="s">
        <v>525</v>
      </c>
      <c r="G142" s="14">
        <v>0</v>
      </c>
      <c r="H142" s="14">
        <v>0</v>
      </c>
      <c r="I142" s="14">
        <v>0</v>
      </c>
      <c r="J142" s="14">
        <v>0</v>
      </c>
      <c r="K142" s="14">
        <v>0</v>
      </c>
      <c r="L142" s="14">
        <v>0</v>
      </c>
      <c r="M142" s="14">
        <v>0</v>
      </c>
      <c r="N142" s="14">
        <v>0</v>
      </c>
      <c r="O142" s="14">
        <v>0</v>
      </c>
      <c r="P142" s="14">
        <v>0</v>
      </c>
      <c r="Q142" s="15">
        <f>$G$142*$G$8+$H$142*$H$8+$I$142*$I$8+$J$142*$J$8+$K$142*$K$8+$L$142*$L$8+$M$142*$M$8+$N$142*$N$8+$O$142*$O$8+$P$142*$P$8</f>
        <v>0</v>
      </c>
      <c r="R142" s="15">
        <v>0</v>
      </c>
      <c r="S142" s="15">
        <f>$Q$142+$R$142</f>
        <v>0</v>
      </c>
    </row>
    <row r="143" spans="1:19" x14ac:dyDescent="0.3">
      <c r="A143" s="10" t="s">
        <v>526</v>
      </c>
      <c r="B143" s="11" t="s">
        <v>527</v>
      </c>
      <c r="C143" s="11"/>
      <c r="D143" s="11" t="s">
        <v>528</v>
      </c>
      <c r="E143" s="11">
        <f xml:space="preserve"> IF($S$143,1,0)</f>
        <v>0</v>
      </c>
      <c r="F143" s="11" t="s">
        <v>529</v>
      </c>
      <c r="G143" s="11">
        <v>0</v>
      </c>
      <c r="H143" s="11">
        <v>0</v>
      </c>
      <c r="I143" s="11">
        <v>0</v>
      </c>
      <c r="J143" s="11">
        <v>0</v>
      </c>
      <c r="K143" s="11">
        <v>0</v>
      </c>
      <c r="L143" s="11">
        <v>0</v>
      </c>
      <c r="M143" s="11">
        <v>0</v>
      </c>
      <c r="N143" s="11">
        <v>0</v>
      </c>
      <c r="O143" s="11">
        <v>0</v>
      </c>
      <c r="P143" s="11">
        <v>0</v>
      </c>
      <c r="Q143" s="12">
        <f>$G$143*$G$8+$H$143*$H$8+$I$143*$I$8+$J$143*$J$8+$K$143*$K$8+$L$143*$L$8+$M$143*$M$8+$N$143*$N$8+$O$143*$O$8+$P$143*$P$8</f>
        <v>0</v>
      </c>
      <c r="R143" s="12">
        <v>0</v>
      </c>
      <c r="S143" s="12">
        <f>$Q$143+$R$143</f>
        <v>0</v>
      </c>
    </row>
    <row r="144" spans="1:19" x14ac:dyDescent="0.3">
      <c r="A144" s="13" t="s">
        <v>530</v>
      </c>
      <c r="B144" s="14" t="s">
        <v>531</v>
      </c>
      <c r="C144" s="14"/>
      <c r="D144" s="14" t="s">
        <v>532</v>
      </c>
      <c r="E144" s="14">
        <f xml:space="preserve"> IF($S$144,1,0)</f>
        <v>0</v>
      </c>
      <c r="F144" s="14" t="s">
        <v>533</v>
      </c>
      <c r="G144" s="14">
        <v>0</v>
      </c>
      <c r="H144" s="14">
        <v>0</v>
      </c>
      <c r="I144" s="14">
        <v>0</v>
      </c>
      <c r="J144" s="14">
        <v>0</v>
      </c>
      <c r="K144" s="14">
        <v>0</v>
      </c>
      <c r="L144" s="14">
        <v>0</v>
      </c>
      <c r="M144" s="14">
        <v>0</v>
      </c>
      <c r="N144" s="14">
        <v>0</v>
      </c>
      <c r="O144" s="14">
        <v>0</v>
      </c>
      <c r="P144" s="14">
        <v>0</v>
      </c>
      <c r="Q144" s="15">
        <f>$G$144*$G$8+$H$144*$H$8+$I$144*$I$8+$J$144*$J$8+$K$144*$K$8+$L$144*$L$8+$M$144*$M$8+$N$144*$N$8+$O$144*$O$8+$P$144*$P$8</f>
        <v>0</v>
      </c>
      <c r="R144" s="15">
        <v>0</v>
      </c>
      <c r="S144" s="15">
        <f>$Q$144+$R$144</f>
        <v>0</v>
      </c>
    </row>
    <row r="145" spans="1:19" x14ac:dyDescent="0.3">
      <c r="A145" s="10" t="s">
        <v>534</v>
      </c>
      <c r="B145" s="11" t="s">
        <v>535</v>
      </c>
      <c r="C145" s="11"/>
      <c r="D145" s="11" t="s">
        <v>536</v>
      </c>
      <c r="E145" s="11">
        <f xml:space="preserve"> IF($S$145,1,0)</f>
        <v>0</v>
      </c>
      <c r="F145" s="11" t="s">
        <v>537</v>
      </c>
      <c r="G145" s="11">
        <v>0</v>
      </c>
      <c r="H145" s="11">
        <v>0</v>
      </c>
      <c r="I145" s="11">
        <v>0</v>
      </c>
      <c r="J145" s="11">
        <v>0</v>
      </c>
      <c r="K145" s="11">
        <v>0</v>
      </c>
      <c r="L145" s="11">
        <v>0</v>
      </c>
      <c r="M145" s="11">
        <v>0</v>
      </c>
      <c r="N145" s="11">
        <v>0</v>
      </c>
      <c r="O145" s="11">
        <v>0</v>
      </c>
      <c r="P145" s="11">
        <v>0</v>
      </c>
      <c r="Q145" s="12">
        <f>$G$145*$G$8+$H$145*$H$8+$I$145*$I$8+$J$145*$J$8+$K$145*$K$8+$L$145*$L$8+$M$145*$M$8+$N$145*$N$8+$O$145*$O$8+$P$145*$P$8</f>
        <v>0</v>
      </c>
      <c r="R145" s="12">
        <v>0</v>
      </c>
      <c r="S145" s="12">
        <f>$Q$145+$R$145</f>
        <v>0</v>
      </c>
    </row>
    <row r="146" spans="1:19" x14ac:dyDescent="0.3">
      <c r="A146" s="13" t="s">
        <v>538</v>
      </c>
      <c r="B146" s="14" t="s">
        <v>535</v>
      </c>
      <c r="C146" s="14"/>
      <c r="D146" s="14" t="s">
        <v>539</v>
      </c>
      <c r="E146" s="14">
        <f xml:space="preserve"> IF($S$146,1,0)</f>
        <v>0</v>
      </c>
      <c r="F146" s="14" t="s">
        <v>540</v>
      </c>
      <c r="G146" s="14">
        <v>0</v>
      </c>
      <c r="H146" s="14">
        <v>0</v>
      </c>
      <c r="I146" s="14">
        <v>0</v>
      </c>
      <c r="J146" s="14">
        <v>0</v>
      </c>
      <c r="K146" s="14">
        <v>0</v>
      </c>
      <c r="L146" s="14">
        <v>0</v>
      </c>
      <c r="M146" s="14">
        <v>0</v>
      </c>
      <c r="N146" s="14">
        <v>0</v>
      </c>
      <c r="O146" s="14">
        <v>0</v>
      </c>
      <c r="P146" s="14">
        <v>0</v>
      </c>
      <c r="Q146" s="15">
        <f>$G$146*$G$8+$H$146*$H$8+$I$146*$I$8+$J$146*$J$8+$K$146*$K$8+$L$146*$L$8+$M$146*$M$8+$N$146*$N$8+$O$146*$O$8+$P$146*$P$8</f>
        <v>0</v>
      </c>
      <c r="R146" s="15">
        <v>0</v>
      </c>
      <c r="S146" s="15">
        <f>$Q$146+$R$146</f>
        <v>0</v>
      </c>
    </row>
    <row r="147" spans="1:19" x14ac:dyDescent="0.3">
      <c r="A147" s="10" t="s">
        <v>541</v>
      </c>
      <c r="B147" s="11" t="s">
        <v>542</v>
      </c>
      <c r="C147" s="11"/>
      <c r="D147" s="11" t="s">
        <v>543</v>
      </c>
      <c r="E147" s="11">
        <f xml:space="preserve"> IF($S$147,1,0)</f>
        <v>0</v>
      </c>
      <c r="F147" s="11" t="s">
        <v>544</v>
      </c>
      <c r="G147" s="11">
        <v>0</v>
      </c>
      <c r="H147" s="11">
        <v>0</v>
      </c>
      <c r="I147" s="11">
        <v>0</v>
      </c>
      <c r="J147" s="11">
        <v>0</v>
      </c>
      <c r="K147" s="11">
        <v>0</v>
      </c>
      <c r="L147" s="11">
        <v>0</v>
      </c>
      <c r="M147" s="11">
        <v>0</v>
      </c>
      <c r="N147" s="11">
        <v>0</v>
      </c>
      <c r="O147" s="11">
        <v>0</v>
      </c>
      <c r="P147" s="11">
        <v>0</v>
      </c>
      <c r="Q147" s="12">
        <f>$G$147*$G$8+$H$147*$H$8+$I$147*$I$8+$J$147*$J$8+$K$147*$K$8+$L$147*$L$8+$M$147*$M$8+$N$147*$N$8+$O$147*$O$8+$P$147*$P$8</f>
        <v>0</v>
      </c>
      <c r="R147" s="12">
        <v>0</v>
      </c>
      <c r="S147" s="12">
        <f>$Q$147+$R$147</f>
        <v>0</v>
      </c>
    </row>
    <row r="148" spans="1:19" x14ac:dyDescent="0.3">
      <c r="A148" s="13" t="s">
        <v>545</v>
      </c>
      <c r="B148" s="14" t="s">
        <v>546</v>
      </c>
      <c r="C148" s="14"/>
      <c r="D148" s="14" t="s">
        <v>547</v>
      </c>
      <c r="E148" s="14">
        <f xml:space="preserve"> IF($S$148,1,0)</f>
        <v>0</v>
      </c>
      <c r="F148" s="14" t="s">
        <v>548</v>
      </c>
      <c r="G148" s="14">
        <v>0</v>
      </c>
      <c r="H148" s="14">
        <v>0</v>
      </c>
      <c r="I148" s="14">
        <v>0</v>
      </c>
      <c r="J148" s="14">
        <v>0</v>
      </c>
      <c r="K148" s="14">
        <v>0</v>
      </c>
      <c r="L148" s="14">
        <v>0</v>
      </c>
      <c r="M148" s="14">
        <v>0</v>
      </c>
      <c r="N148" s="14">
        <v>0</v>
      </c>
      <c r="O148" s="14">
        <v>0</v>
      </c>
      <c r="P148" s="14">
        <v>0</v>
      </c>
      <c r="Q148" s="15">
        <f>$G$148*$G$8+$H$148*$H$8+$I$148*$I$8+$J$148*$J$8+$K$148*$K$8+$L$148*$L$8+$M$148*$M$8+$N$148*$N$8+$O$148*$O$8+$P$148*$P$8</f>
        <v>0</v>
      </c>
      <c r="R148" s="15">
        <v>0</v>
      </c>
      <c r="S148" s="15">
        <f>$Q$148+$R$148</f>
        <v>0</v>
      </c>
    </row>
    <row r="149" spans="1:19" x14ac:dyDescent="0.3">
      <c r="A149" s="10" t="s">
        <v>549</v>
      </c>
      <c r="B149" s="11" t="s">
        <v>550</v>
      </c>
      <c r="C149" s="11" t="s">
        <v>34</v>
      </c>
      <c r="D149" s="11" t="s">
        <v>551</v>
      </c>
      <c r="E149" s="11">
        <f xml:space="preserve"> IF($S$149,1,0)</f>
        <v>0</v>
      </c>
      <c r="F149" s="11" t="s">
        <v>552</v>
      </c>
      <c r="G149" s="11">
        <v>0</v>
      </c>
      <c r="H149" s="11">
        <v>0</v>
      </c>
      <c r="I149" s="11">
        <v>0</v>
      </c>
      <c r="J149" s="11">
        <v>0</v>
      </c>
      <c r="K149" s="11">
        <v>0</v>
      </c>
      <c r="L149" s="11">
        <v>0</v>
      </c>
      <c r="M149" s="11">
        <v>0</v>
      </c>
      <c r="N149" s="11">
        <v>0</v>
      </c>
      <c r="O149" s="11">
        <v>0</v>
      </c>
      <c r="P149" s="11">
        <v>0</v>
      </c>
      <c r="Q149" s="12">
        <f>$G$149*$G$8+$H$149*$H$8+$I$149*$I$8+$J$149*$J$8+$K$149*$K$8+$L$149*$L$8+$M$149*$M$8+$N$149*$N$8+$O$149*$O$8+$P$149*$P$8</f>
        <v>0</v>
      </c>
      <c r="R149" s="12">
        <v>0</v>
      </c>
      <c r="S149" s="12">
        <f>$Q$149+$R$149</f>
        <v>0</v>
      </c>
    </row>
    <row r="150" spans="1:19" x14ac:dyDescent="0.3">
      <c r="A150" s="13" t="s">
        <v>553</v>
      </c>
      <c r="B150" s="14" t="s">
        <v>554</v>
      </c>
      <c r="C150" s="14"/>
      <c r="D150" s="14" t="s">
        <v>555</v>
      </c>
      <c r="E150" s="14">
        <f xml:space="preserve"> IF($S$150,1,0)</f>
        <v>0</v>
      </c>
      <c r="F150" s="14" t="s">
        <v>556</v>
      </c>
      <c r="G150" s="14">
        <v>0</v>
      </c>
      <c r="H150" s="14">
        <v>0</v>
      </c>
      <c r="I150" s="14">
        <v>0</v>
      </c>
      <c r="J150" s="14">
        <v>0</v>
      </c>
      <c r="K150" s="14">
        <v>0</v>
      </c>
      <c r="L150" s="14">
        <v>0</v>
      </c>
      <c r="M150" s="14">
        <v>0</v>
      </c>
      <c r="N150" s="14">
        <v>0</v>
      </c>
      <c r="O150" s="14">
        <v>0</v>
      </c>
      <c r="P150" s="14">
        <v>0</v>
      </c>
      <c r="Q150" s="15">
        <f>$G$150*$G$8+$H$150*$H$8+$I$150*$I$8+$J$150*$J$8+$K$150*$K$8+$L$150*$L$8+$M$150*$M$8+$N$150*$N$8+$O$150*$O$8+$P$150*$P$8</f>
        <v>0</v>
      </c>
      <c r="R150" s="15">
        <v>0</v>
      </c>
      <c r="S150" s="15">
        <f>$Q$150+$R$150</f>
        <v>0</v>
      </c>
    </row>
    <row r="151" spans="1:19" x14ac:dyDescent="0.3">
      <c r="A151" s="10" t="s">
        <v>557</v>
      </c>
      <c r="B151" s="11" t="s">
        <v>554</v>
      </c>
      <c r="C151" s="11"/>
      <c r="D151" s="11" t="s">
        <v>558</v>
      </c>
      <c r="E151" s="11">
        <f xml:space="preserve"> IF($S$151,1,0)</f>
        <v>0</v>
      </c>
      <c r="F151" s="11" t="s">
        <v>559</v>
      </c>
      <c r="G151" s="11">
        <v>0</v>
      </c>
      <c r="H151" s="11">
        <v>0</v>
      </c>
      <c r="I151" s="11">
        <v>0</v>
      </c>
      <c r="J151" s="11">
        <v>0</v>
      </c>
      <c r="K151" s="11">
        <v>0</v>
      </c>
      <c r="L151" s="11">
        <v>0</v>
      </c>
      <c r="M151" s="11">
        <v>0</v>
      </c>
      <c r="N151" s="11">
        <v>0</v>
      </c>
      <c r="O151" s="11">
        <v>0</v>
      </c>
      <c r="P151" s="11">
        <v>0</v>
      </c>
      <c r="Q151" s="12">
        <f>$G$151*$G$8+$H$151*$H$8+$I$151*$I$8+$J$151*$J$8+$K$151*$K$8+$L$151*$L$8+$M$151*$M$8+$N$151*$N$8+$O$151*$O$8+$P$151*$P$8</f>
        <v>0</v>
      </c>
      <c r="R151" s="12">
        <v>0</v>
      </c>
      <c r="S151" s="12">
        <f>$Q$151+$R$151</f>
        <v>0</v>
      </c>
    </row>
    <row r="152" spans="1:19" x14ac:dyDescent="0.3">
      <c r="A152" s="13" t="s">
        <v>560</v>
      </c>
      <c r="B152" s="14" t="s">
        <v>561</v>
      </c>
      <c r="C152" s="14"/>
      <c r="D152" s="14" t="s">
        <v>562</v>
      </c>
      <c r="E152" s="14">
        <f xml:space="preserve"> IF($S$152,1,0)</f>
        <v>0</v>
      </c>
      <c r="F152" s="14" t="s">
        <v>563</v>
      </c>
      <c r="G152" s="14">
        <v>0</v>
      </c>
      <c r="H152" s="14">
        <v>0</v>
      </c>
      <c r="I152" s="14">
        <v>0</v>
      </c>
      <c r="J152" s="14">
        <v>0</v>
      </c>
      <c r="K152" s="14">
        <v>0</v>
      </c>
      <c r="L152" s="14">
        <v>0</v>
      </c>
      <c r="M152" s="14">
        <v>0</v>
      </c>
      <c r="N152" s="14">
        <v>0</v>
      </c>
      <c r="O152" s="14">
        <v>0</v>
      </c>
      <c r="P152" s="14">
        <v>0</v>
      </c>
      <c r="Q152" s="15">
        <f>$G$152*$G$8+$H$152*$H$8+$I$152*$I$8+$J$152*$J$8+$K$152*$K$8+$L$152*$L$8+$M$152*$M$8+$N$152*$N$8+$O$152*$O$8+$P$152*$P$8</f>
        <v>0</v>
      </c>
      <c r="R152" s="15">
        <v>0</v>
      </c>
      <c r="S152" s="15">
        <f>$Q$152+$R$152</f>
        <v>0</v>
      </c>
    </row>
    <row r="153" spans="1:19" x14ac:dyDescent="0.3">
      <c r="A153" s="10" t="s">
        <v>564</v>
      </c>
      <c r="B153" s="11" t="s">
        <v>565</v>
      </c>
      <c r="C153" s="11"/>
      <c r="D153" s="11" t="s">
        <v>566</v>
      </c>
      <c r="E153" s="11">
        <f xml:space="preserve"> IF($S$153,1,0)</f>
        <v>0</v>
      </c>
      <c r="F153" s="11" t="s">
        <v>567</v>
      </c>
      <c r="G153" s="11">
        <v>0</v>
      </c>
      <c r="H153" s="11">
        <v>0</v>
      </c>
      <c r="I153" s="11">
        <v>0</v>
      </c>
      <c r="J153" s="11">
        <v>0</v>
      </c>
      <c r="K153" s="11">
        <v>0</v>
      </c>
      <c r="L153" s="11">
        <v>0</v>
      </c>
      <c r="M153" s="11">
        <v>0</v>
      </c>
      <c r="N153" s="11">
        <v>0</v>
      </c>
      <c r="O153" s="11">
        <v>0</v>
      </c>
      <c r="P153" s="11">
        <v>0</v>
      </c>
      <c r="Q153" s="12">
        <f>$G$153*$G$8+$H$153*$H$8+$I$153*$I$8+$J$153*$J$8+$K$153*$K$8+$L$153*$L$8+$M$153*$M$8+$N$153*$N$8+$O$153*$O$8+$P$153*$P$8</f>
        <v>0</v>
      </c>
      <c r="R153" s="12">
        <v>0</v>
      </c>
      <c r="S153" s="12">
        <f>$Q$153+$R$153</f>
        <v>0</v>
      </c>
    </row>
    <row r="154" spans="1:19" x14ac:dyDescent="0.3">
      <c r="A154" s="13" t="s">
        <v>568</v>
      </c>
      <c r="B154" s="14" t="s">
        <v>569</v>
      </c>
      <c r="C154" s="14"/>
      <c r="D154" s="14" t="s">
        <v>570</v>
      </c>
      <c r="E154" s="14">
        <f xml:space="preserve"> IF($S$154,1,0)</f>
        <v>0</v>
      </c>
      <c r="F154" s="14" t="s">
        <v>571</v>
      </c>
      <c r="G154" s="14">
        <v>0</v>
      </c>
      <c r="H154" s="14">
        <v>0</v>
      </c>
      <c r="I154" s="14">
        <v>0</v>
      </c>
      <c r="J154" s="14">
        <v>0</v>
      </c>
      <c r="K154" s="14">
        <v>0</v>
      </c>
      <c r="L154" s="14">
        <v>0</v>
      </c>
      <c r="M154" s="14">
        <v>0</v>
      </c>
      <c r="N154" s="14">
        <v>0</v>
      </c>
      <c r="O154" s="14">
        <v>0</v>
      </c>
      <c r="P154" s="14">
        <v>0</v>
      </c>
      <c r="Q154" s="15">
        <f>$G$154*$G$8+$H$154*$H$8+$I$154*$I$8+$J$154*$J$8+$K$154*$K$8+$L$154*$L$8+$M$154*$M$8+$N$154*$N$8+$O$154*$O$8+$P$154*$P$8</f>
        <v>0</v>
      </c>
      <c r="R154" s="15">
        <v>0</v>
      </c>
      <c r="S154" s="15">
        <f>$Q$154+$R$154</f>
        <v>0</v>
      </c>
    </row>
    <row r="155" spans="1:19" x14ac:dyDescent="0.3">
      <c r="A155" s="10" t="s">
        <v>572</v>
      </c>
      <c r="B155" s="11" t="s">
        <v>573</v>
      </c>
      <c r="C155" s="11" t="s">
        <v>34</v>
      </c>
      <c r="D155" s="11" t="s">
        <v>574</v>
      </c>
      <c r="E155" s="11">
        <f xml:space="preserve"> IF($S$155,1,0)</f>
        <v>0</v>
      </c>
      <c r="F155" s="11" t="s">
        <v>575</v>
      </c>
      <c r="G155" s="11">
        <v>0</v>
      </c>
      <c r="H155" s="11">
        <v>0</v>
      </c>
      <c r="I155" s="11">
        <v>0</v>
      </c>
      <c r="J155" s="11">
        <v>0</v>
      </c>
      <c r="K155" s="11">
        <v>0</v>
      </c>
      <c r="L155" s="11">
        <v>0</v>
      </c>
      <c r="M155" s="11">
        <v>0</v>
      </c>
      <c r="N155" s="11">
        <v>0</v>
      </c>
      <c r="O155" s="11">
        <v>0</v>
      </c>
      <c r="P155" s="11">
        <v>0</v>
      </c>
      <c r="Q155" s="12">
        <f>$G$155*$G$8+$H$155*$H$8+$I$155*$I$8+$J$155*$J$8+$K$155*$K$8+$L$155*$L$8+$M$155*$M$8+$N$155*$N$8+$O$155*$O$8+$P$155*$P$8</f>
        <v>0</v>
      </c>
      <c r="R155" s="12">
        <v>0</v>
      </c>
      <c r="S155" s="12">
        <f>$Q$155+$R$155</f>
        <v>0</v>
      </c>
    </row>
    <row r="156" spans="1:19" x14ac:dyDescent="0.3">
      <c r="A156" s="13" t="s">
        <v>576</v>
      </c>
      <c r="B156" s="14" t="s">
        <v>577</v>
      </c>
      <c r="C156" s="14"/>
      <c r="D156" s="14" t="s">
        <v>578</v>
      </c>
      <c r="E156" s="14">
        <f xml:space="preserve"> IF($S$156,1,0)</f>
        <v>0</v>
      </c>
      <c r="F156" s="14" t="s">
        <v>579</v>
      </c>
      <c r="G156" s="14">
        <v>0</v>
      </c>
      <c r="H156" s="14">
        <v>0</v>
      </c>
      <c r="I156" s="14">
        <v>0</v>
      </c>
      <c r="J156" s="14">
        <v>0</v>
      </c>
      <c r="K156" s="14">
        <v>0</v>
      </c>
      <c r="L156" s="14">
        <v>0</v>
      </c>
      <c r="M156" s="14">
        <v>0</v>
      </c>
      <c r="N156" s="14">
        <v>0</v>
      </c>
      <c r="O156" s="14">
        <v>0</v>
      </c>
      <c r="P156" s="14">
        <v>0</v>
      </c>
      <c r="Q156" s="15">
        <f>$G$156*$G$8+$H$156*$H$8+$I$156*$I$8+$J$156*$J$8+$K$156*$K$8+$L$156*$L$8+$M$156*$M$8+$N$156*$N$8+$O$156*$O$8+$P$156*$P$8</f>
        <v>0</v>
      </c>
      <c r="R156" s="15">
        <v>0</v>
      </c>
      <c r="S156" s="15">
        <f>$Q$156+$R$156</f>
        <v>0</v>
      </c>
    </row>
    <row r="157" spans="1:19" x14ac:dyDescent="0.3">
      <c r="A157" s="10" t="s">
        <v>580</v>
      </c>
      <c r="B157" s="11" t="s">
        <v>581</v>
      </c>
      <c r="C157" s="11"/>
      <c r="D157" s="11" t="s">
        <v>582</v>
      </c>
      <c r="E157" s="11">
        <f xml:space="preserve"> IF($S$157,1,0)</f>
        <v>0</v>
      </c>
      <c r="F157" s="11" t="s">
        <v>583</v>
      </c>
      <c r="G157" s="11">
        <v>0</v>
      </c>
      <c r="H157" s="11">
        <v>0</v>
      </c>
      <c r="I157" s="11">
        <v>0</v>
      </c>
      <c r="J157" s="11">
        <v>0</v>
      </c>
      <c r="K157" s="11">
        <v>0</v>
      </c>
      <c r="L157" s="11">
        <v>0</v>
      </c>
      <c r="M157" s="11">
        <v>0</v>
      </c>
      <c r="N157" s="11">
        <v>0</v>
      </c>
      <c r="O157" s="11">
        <v>0</v>
      </c>
      <c r="P157" s="11">
        <v>0</v>
      </c>
      <c r="Q157" s="12">
        <f>$G$157*$G$8+$H$157*$H$8+$I$157*$I$8+$J$157*$J$8+$K$157*$K$8+$L$157*$L$8+$M$157*$M$8+$N$157*$N$8+$O$157*$O$8+$P$157*$P$8</f>
        <v>0</v>
      </c>
      <c r="R157" s="12">
        <v>0</v>
      </c>
      <c r="S157" s="12">
        <f>$Q$157+$R$157</f>
        <v>0</v>
      </c>
    </row>
    <row r="158" spans="1:19" x14ac:dyDescent="0.3">
      <c r="A158" s="13" t="s">
        <v>584</v>
      </c>
      <c r="B158" s="14" t="s">
        <v>585</v>
      </c>
      <c r="C158" s="14"/>
      <c r="D158" s="14" t="s">
        <v>586</v>
      </c>
      <c r="E158" s="14">
        <f xml:space="preserve"> IF($S$158,1,0)</f>
        <v>0</v>
      </c>
      <c r="F158" s="14" t="s">
        <v>587</v>
      </c>
      <c r="G158" s="14">
        <v>0</v>
      </c>
      <c r="H158" s="14">
        <v>0</v>
      </c>
      <c r="I158" s="14">
        <v>0</v>
      </c>
      <c r="J158" s="14">
        <v>0</v>
      </c>
      <c r="K158" s="14">
        <v>0</v>
      </c>
      <c r="L158" s="14">
        <v>0</v>
      </c>
      <c r="M158" s="14">
        <v>0</v>
      </c>
      <c r="N158" s="14">
        <v>0</v>
      </c>
      <c r="O158" s="14">
        <v>0</v>
      </c>
      <c r="P158" s="14">
        <v>0</v>
      </c>
      <c r="Q158" s="15">
        <f>$G$158*$G$8+$H$158*$H$8+$I$158*$I$8+$J$158*$J$8+$K$158*$K$8+$L$158*$L$8+$M$158*$M$8+$N$158*$N$8+$O$158*$O$8+$P$158*$P$8</f>
        <v>0</v>
      </c>
      <c r="R158" s="15">
        <v>0</v>
      </c>
      <c r="S158" s="15">
        <f>$Q$158+$R$158</f>
        <v>0</v>
      </c>
    </row>
    <row r="159" spans="1:19" x14ac:dyDescent="0.3">
      <c r="A159" s="10" t="s">
        <v>588</v>
      </c>
      <c r="B159" s="11" t="s">
        <v>589</v>
      </c>
      <c r="C159" s="11"/>
      <c r="D159" s="11" t="s">
        <v>590</v>
      </c>
      <c r="E159" s="11">
        <f xml:space="preserve"> IF($S$159,1,0)</f>
        <v>0</v>
      </c>
      <c r="F159" s="11" t="s">
        <v>591</v>
      </c>
      <c r="G159" s="11">
        <v>0</v>
      </c>
      <c r="H159" s="11">
        <v>0</v>
      </c>
      <c r="I159" s="11">
        <v>0</v>
      </c>
      <c r="J159" s="11">
        <v>0</v>
      </c>
      <c r="K159" s="11">
        <v>0</v>
      </c>
      <c r="L159" s="11">
        <v>0</v>
      </c>
      <c r="M159" s="11">
        <v>0</v>
      </c>
      <c r="N159" s="11">
        <v>0</v>
      </c>
      <c r="O159" s="11">
        <v>0</v>
      </c>
      <c r="P159" s="11">
        <v>0</v>
      </c>
      <c r="Q159" s="12">
        <f>$G$159*$G$8+$H$159*$H$8+$I$159*$I$8+$J$159*$J$8+$K$159*$K$8+$L$159*$L$8+$M$159*$M$8+$N$159*$N$8+$O$159*$O$8+$P$159*$P$8</f>
        <v>0</v>
      </c>
      <c r="R159" s="12">
        <v>0</v>
      </c>
      <c r="S159" s="12">
        <f>$Q$159+$R$159</f>
        <v>0</v>
      </c>
    </row>
    <row r="160" spans="1:19" x14ac:dyDescent="0.3">
      <c r="A160" s="13" t="s">
        <v>592</v>
      </c>
      <c r="B160" s="14" t="s">
        <v>593</v>
      </c>
      <c r="C160" s="14"/>
      <c r="D160" s="14" t="s">
        <v>594</v>
      </c>
      <c r="E160" s="14">
        <f xml:space="preserve"> IF($S$160,1,0)</f>
        <v>0</v>
      </c>
      <c r="F160" s="14" t="s">
        <v>595</v>
      </c>
      <c r="G160" s="14">
        <v>0</v>
      </c>
      <c r="H160" s="14">
        <v>0</v>
      </c>
      <c r="I160" s="14">
        <v>0</v>
      </c>
      <c r="J160" s="14">
        <v>0</v>
      </c>
      <c r="K160" s="14">
        <v>0</v>
      </c>
      <c r="L160" s="14">
        <v>0</v>
      </c>
      <c r="M160" s="14">
        <v>0</v>
      </c>
      <c r="N160" s="14">
        <v>0</v>
      </c>
      <c r="O160" s="14">
        <v>0</v>
      </c>
      <c r="P160" s="14">
        <v>0</v>
      </c>
      <c r="Q160" s="15">
        <f>$G$160*$G$8+$H$160*$H$8+$I$160*$I$8+$J$160*$J$8+$K$160*$K$8+$L$160*$L$8+$M$160*$M$8+$N$160*$N$8+$O$160*$O$8+$P$160*$P$8</f>
        <v>0</v>
      </c>
      <c r="R160" s="15">
        <v>0</v>
      </c>
      <c r="S160" s="15">
        <f>$Q$160+$R$160</f>
        <v>0</v>
      </c>
    </row>
    <row r="161" spans="1:19" x14ac:dyDescent="0.3">
      <c r="A161" s="10" t="s">
        <v>596</v>
      </c>
      <c r="B161" s="11" t="s">
        <v>597</v>
      </c>
      <c r="C161" s="11"/>
      <c r="D161" s="11" t="s">
        <v>598</v>
      </c>
      <c r="E161" s="11">
        <f xml:space="preserve"> IF($S$161,1,0)</f>
        <v>0</v>
      </c>
      <c r="F161" s="11" t="s">
        <v>599</v>
      </c>
      <c r="G161" s="11">
        <v>0</v>
      </c>
      <c r="H161" s="11">
        <v>0</v>
      </c>
      <c r="I161" s="11">
        <v>0</v>
      </c>
      <c r="J161" s="11">
        <v>0</v>
      </c>
      <c r="K161" s="11">
        <v>0</v>
      </c>
      <c r="L161" s="11">
        <v>0</v>
      </c>
      <c r="M161" s="11">
        <v>0</v>
      </c>
      <c r="N161" s="11">
        <v>0</v>
      </c>
      <c r="O161" s="11">
        <v>0</v>
      </c>
      <c r="P161" s="11">
        <v>0</v>
      </c>
      <c r="Q161" s="12">
        <f>$G$161*$G$8+$H$161*$H$8+$I$161*$I$8+$J$161*$J$8+$K$161*$K$8+$L$161*$L$8+$M$161*$M$8+$N$161*$N$8+$O$161*$O$8+$P$161*$P$8</f>
        <v>0</v>
      </c>
      <c r="R161" s="12">
        <v>0</v>
      </c>
      <c r="S161" s="12">
        <f>$Q$161+$R$161</f>
        <v>0</v>
      </c>
    </row>
    <row r="162" spans="1:19" x14ac:dyDescent="0.3">
      <c r="A162" s="13" t="s">
        <v>600</v>
      </c>
      <c r="B162" s="14" t="s">
        <v>601</v>
      </c>
      <c r="C162" s="14"/>
      <c r="D162" s="14" t="s">
        <v>70</v>
      </c>
      <c r="E162" s="14">
        <f xml:space="preserve"> IF($S$162,1,0)</f>
        <v>0</v>
      </c>
      <c r="F162" s="14" t="s">
        <v>602</v>
      </c>
      <c r="G162" s="14">
        <v>0</v>
      </c>
      <c r="H162" s="14">
        <v>0</v>
      </c>
      <c r="I162" s="14">
        <v>0</v>
      </c>
      <c r="J162" s="14">
        <v>0</v>
      </c>
      <c r="K162" s="14">
        <v>0</v>
      </c>
      <c r="L162" s="14">
        <v>0</v>
      </c>
      <c r="M162" s="14">
        <v>0</v>
      </c>
      <c r="N162" s="14">
        <v>0</v>
      </c>
      <c r="O162" s="14">
        <v>0</v>
      </c>
      <c r="P162" s="14">
        <v>0</v>
      </c>
      <c r="Q162" s="15">
        <f>$G$162*$G$8+$H$162*$H$8+$I$162*$I$8+$J$162*$J$8+$K$162*$K$8+$L$162*$L$8+$M$162*$M$8+$N$162*$N$8+$O$162*$O$8+$P$162*$P$8</f>
        <v>0</v>
      </c>
      <c r="R162" s="15">
        <v>0</v>
      </c>
      <c r="S162" s="15">
        <f>$Q$162+$R$162</f>
        <v>0</v>
      </c>
    </row>
    <row r="163" spans="1:19" x14ac:dyDescent="0.3">
      <c r="A163" s="10" t="s">
        <v>603</v>
      </c>
      <c r="B163" s="11" t="s">
        <v>604</v>
      </c>
      <c r="C163" s="11"/>
      <c r="D163" s="11" t="s">
        <v>605</v>
      </c>
      <c r="E163" s="11">
        <f xml:space="preserve"> IF($S$163,1,0)</f>
        <v>0</v>
      </c>
      <c r="F163" s="11" t="s">
        <v>606</v>
      </c>
      <c r="G163" s="11">
        <v>0</v>
      </c>
      <c r="H163" s="11">
        <v>0</v>
      </c>
      <c r="I163" s="11">
        <v>0</v>
      </c>
      <c r="J163" s="11">
        <v>0</v>
      </c>
      <c r="K163" s="11">
        <v>0</v>
      </c>
      <c r="L163" s="11">
        <v>0</v>
      </c>
      <c r="M163" s="11">
        <v>0</v>
      </c>
      <c r="N163" s="11">
        <v>0</v>
      </c>
      <c r="O163" s="11">
        <v>0</v>
      </c>
      <c r="P163" s="11">
        <v>0</v>
      </c>
      <c r="Q163" s="12">
        <f>$G$163*$G$8+$H$163*$H$8+$I$163*$I$8+$J$163*$J$8+$K$163*$K$8+$L$163*$L$8+$M$163*$M$8+$N$163*$N$8+$O$163*$O$8+$P$163*$P$8</f>
        <v>0</v>
      </c>
      <c r="R163" s="12">
        <v>0</v>
      </c>
      <c r="S163" s="12">
        <f>$Q$163+$R$163</f>
        <v>0</v>
      </c>
    </row>
    <row r="164" spans="1:19" x14ac:dyDescent="0.3">
      <c r="A164" s="13" t="s">
        <v>607</v>
      </c>
      <c r="B164" s="14" t="s">
        <v>608</v>
      </c>
      <c r="C164" s="14"/>
      <c r="D164" s="14" t="s">
        <v>609</v>
      </c>
      <c r="E164" s="14">
        <f xml:space="preserve"> IF($S$164,1,0)</f>
        <v>0</v>
      </c>
      <c r="F164" s="14" t="s">
        <v>610</v>
      </c>
      <c r="G164" s="14">
        <v>0</v>
      </c>
      <c r="H164" s="14">
        <v>0</v>
      </c>
      <c r="I164" s="14">
        <v>0</v>
      </c>
      <c r="J164" s="14">
        <v>0</v>
      </c>
      <c r="K164" s="14">
        <v>0</v>
      </c>
      <c r="L164" s="14">
        <v>0</v>
      </c>
      <c r="M164" s="14">
        <v>0</v>
      </c>
      <c r="N164" s="14">
        <v>0</v>
      </c>
      <c r="O164" s="14">
        <v>0</v>
      </c>
      <c r="P164" s="14">
        <v>0</v>
      </c>
      <c r="Q164" s="15">
        <f>$G$164*$G$8+$H$164*$H$8+$I$164*$I$8+$J$164*$J$8+$K$164*$K$8+$L$164*$L$8+$M$164*$M$8+$N$164*$N$8+$O$164*$O$8+$P$164*$P$8</f>
        <v>0</v>
      </c>
      <c r="R164" s="15">
        <v>0</v>
      </c>
      <c r="S164" s="15">
        <f>$Q$164+$R$164</f>
        <v>0</v>
      </c>
    </row>
    <row r="165" spans="1:19" x14ac:dyDescent="0.3">
      <c r="A165" s="10" t="s">
        <v>611</v>
      </c>
      <c r="B165" s="11" t="s">
        <v>612</v>
      </c>
      <c r="C165" s="11"/>
      <c r="D165" s="11" t="s">
        <v>613</v>
      </c>
      <c r="E165" s="11">
        <f xml:space="preserve"> IF($S$165,1,0)</f>
        <v>0</v>
      </c>
      <c r="F165" s="11" t="s">
        <v>614</v>
      </c>
      <c r="G165" s="11">
        <v>0</v>
      </c>
      <c r="H165" s="11">
        <v>0</v>
      </c>
      <c r="I165" s="11">
        <v>0</v>
      </c>
      <c r="J165" s="11">
        <v>0</v>
      </c>
      <c r="K165" s="11">
        <v>0</v>
      </c>
      <c r="L165" s="11">
        <v>0</v>
      </c>
      <c r="M165" s="11">
        <v>0</v>
      </c>
      <c r="N165" s="11">
        <v>0</v>
      </c>
      <c r="O165" s="11">
        <v>0</v>
      </c>
      <c r="P165" s="11">
        <v>0</v>
      </c>
      <c r="Q165" s="12">
        <f>$G$165*$G$8+$H$165*$H$8+$I$165*$I$8+$J$165*$J$8+$K$165*$K$8+$L$165*$L$8+$M$165*$M$8+$N$165*$N$8+$O$165*$O$8+$P$165*$P$8</f>
        <v>0</v>
      </c>
      <c r="R165" s="12">
        <v>0</v>
      </c>
      <c r="S165" s="12">
        <f>$Q$165+$R$165</f>
        <v>0</v>
      </c>
    </row>
    <row r="166" spans="1:19" x14ac:dyDescent="0.3">
      <c r="A166" s="13" t="s">
        <v>615</v>
      </c>
      <c r="B166" s="14" t="s">
        <v>616</v>
      </c>
      <c r="C166" s="14"/>
      <c r="D166" s="14" t="s">
        <v>617</v>
      </c>
      <c r="E166" s="14">
        <f xml:space="preserve"> IF($S$166,1,0)</f>
        <v>0</v>
      </c>
      <c r="F166" s="14" t="s">
        <v>618</v>
      </c>
      <c r="G166" s="14">
        <v>0</v>
      </c>
      <c r="H166" s="14">
        <v>0</v>
      </c>
      <c r="I166" s="14">
        <v>0</v>
      </c>
      <c r="J166" s="14">
        <v>0</v>
      </c>
      <c r="K166" s="14">
        <v>0</v>
      </c>
      <c r="L166" s="14">
        <v>0</v>
      </c>
      <c r="M166" s="14">
        <v>0</v>
      </c>
      <c r="N166" s="14">
        <v>0</v>
      </c>
      <c r="O166" s="14">
        <v>0</v>
      </c>
      <c r="P166" s="14">
        <v>0</v>
      </c>
      <c r="Q166" s="15">
        <f>$G$166*$G$8+$H$166*$H$8+$I$166*$I$8+$J$166*$J$8+$K$166*$K$8+$L$166*$L$8+$M$166*$M$8+$N$166*$N$8+$O$166*$O$8+$P$166*$P$8</f>
        <v>0</v>
      </c>
      <c r="R166" s="15">
        <v>0</v>
      </c>
      <c r="S166" s="15">
        <f>$Q$166+$R$166</f>
        <v>0</v>
      </c>
    </row>
    <row r="167" spans="1:19" x14ac:dyDescent="0.3">
      <c r="A167" s="10" t="s">
        <v>619</v>
      </c>
      <c r="B167" s="11" t="s">
        <v>620</v>
      </c>
      <c r="C167" s="11" t="s">
        <v>34</v>
      </c>
      <c r="D167" s="11" t="s">
        <v>621</v>
      </c>
      <c r="E167" s="11">
        <f xml:space="preserve"> IF($S$167,1,0)</f>
        <v>0</v>
      </c>
      <c r="F167" s="11" t="s">
        <v>622</v>
      </c>
      <c r="G167" s="11">
        <v>0</v>
      </c>
      <c r="H167" s="11">
        <v>0</v>
      </c>
      <c r="I167" s="11">
        <v>0</v>
      </c>
      <c r="J167" s="11">
        <v>0</v>
      </c>
      <c r="K167" s="11">
        <v>0</v>
      </c>
      <c r="L167" s="11">
        <v>0</v>
      </c>
      <c r="M167" s="11">
        <v>0</v>
      </c>
      <c r="N167" s="11">
        <v>0</v>
      </c>
      <c r="O167" s="11">
        <v>0</v>
      </c>
      <c r="P167" s="11">
        <v>0</v>
      </c>
      <c r="Q167" s="12">
        <f>$G$167*$G$8+$H$167*$H$8+$I$167*$I$8+$J$167*$J$8+$K$167*$K$8+$L$167*$L$8+$M$167*$M$8+$N$167*$N$8+$O$167*$O$8+$P$167*$P$8</f>
        <v>0</v>
      </c>
      <c r="R167" s="12">
        <v>0</v>
      </c>
      <c r="S167" s="12">
        <f>$Q$167+$R$167</f>
        <v>0</v>
      </c>
    </row>
    <row r="168" spans="1:19" x14ac:dyDescent="0.3">
      <c r="A168" s="13" t="s">
        <v>623</v>
      </c>
      <c r="B168" s="14" t="s">
        <v>624</v>
      </c>
      <c r="C168" s="14"/>
      <c r="D168" s="14" t="s">
        <v>625</v>
      </c>
      <c r="E168" s="14">
        <f xml:space="preserve"> IF($S$168,1,0)</f>
        <v>0</v>
      </c>
      <c r="F168" s="14" t="s">
        <v>626</v>
      </c>
      <c r="G168" s="14">
        <v>0</v>
      </c>
      <c r="H168" s="14">
        <v>0</v>
      </c>
      <c r="I168" s="14">
        <v>0</v>
      </c>
      <c r="J168" s="14">
        <v>0</v>
      </c>
      <c r="K168" s="14">
        <v>0</v>
      </c>
      <c r="L168" s="14">
        <v>0</v>
      </c>
      <c r="M168" s="14">
        <v>0</v>
      </c>
      <c r="N168" s="14">
        <v>0</v>
      </c>
      <c r="O168" s="14">
        <v>0</v>
      </c>
      <c r="P168" s="14">
        <v>0</v>
      </c>
      <c r="Q168" s="15">
        <f>$G$168*$G$8+$H$168*$H$8+$I$168*$I$8+$J$168*$J$8+$K$168*$K$8+$L$168*$L$8+$M$168*$M$8+$N$168*$N$8+$O$168*$O$8+$P$168*$P$8</f>
        <v>0</v>
      </c>
      <c r="R168" s="15">
        <v>0</v>
      </c>
      <c r="S168" s="15">
        <f>$Q$168+$R$168</f>
        <v>0</v>
      </c>
    </row>
    <row r="169" spans="1:19" x14ac:dyDescent="0.3">
      <c r="A169" s="10" t="s">
        <v>627</v>
      </c>
      <c r="B169" s="11" t="s">
        <v>624</v>
      </c>
      <c r="C169" s="11"/>
      <c r="D169" s="11" t="s">
        <v>628</v>
      </c>
      <c r="E169" s="11">
        <f xml:space="preserve"> IF($S$169,1,0)</f>
        <v>0</v>
      </c>
      <c r="F169" s="11" t="s">
        <v>629</v>
      </c>
      <c r="G169" s="11">
        <v>0</v>
      </c>
      <c r="H169" s="11">
        <v>0</v>
      </c>
      <c r="I169" s="11">
        <v>0</v>
      </c>
      <c r="J169" s="11">
        <v>0</v>
      </c>
      <c r="K169" s="11">
        <v>0</v>
      </c>
      <c r="L169" s="11">
        <v>0</v>
      </c>
      <c r="M169" s="11">
        <v>0</v>
      </c>
      <c r="N169" s="11">
        <v>0</v>
      </c>
      <c r="O169" s="11">
        <v>0</v>
      </c>
      <c r="P169" s="11">
        <v>0</v>
      </c>
      <c r="Q169" s="12">
        <f>$G$169*$G$8+$H$169*$H$8+$I$169*$I$8+$J$169*$J$8+$K$169*$K$8+$L$169*$L$8+$M$169*$M$8+$N$169*$N$8+$O$169*$O$8+$P$169*$P$8</f>
        <v>0</v>
      </c>
      <c r="R169" s="12">
        <v>0</v>
      </c>
      <c r="S169" s="12">
        <f>$Q$169+$R$169</f>
        <v>0</v>
      </c>
    </row>
    <row r="170" spans="1:19" x14ac:dyDescent="0.3">
      <c r="A170" s="13" t="s">
        <v>630</v>
      </c>
      <c r="B170" s="14" t="s">
        <v>631</v>
      </c>
      <c r="C170" s="14"/>
      <c r="D170" s="14" t="s">
        <v>632</v>
      </c>
      <c r="E170" s="14">
        <f xml:space="preserve"> IF($S$170,1,0)</f>
        <v>0</v>
      </c>
      <c r="F170" s="14" t="s">
        <v>633</v>
      </c>
      <c r="G170" s="14">
        <v>0</v>
      </c>
      <c r="H170" s="14">
        <v>0</v>
      </c>
      <c r="I170" s="14">
        <v>0</v>
      </c>
      <c r="J170" s="14">
        <v>0</v>
      </c>
      <c r="K170" s="14">
        <v>0</v>
      </c>
      <c r="L170" s="14">
        <v>0</v>
      </c>
      <c r="M170" s="14">
        <v>0</v>
      </c>
      <c r="N170" s="14">
        <v>0</v>
      </c>
      <c r="O170" s="14">
        <v>0</v>
      </c>
      <c r="P170" s="14">
        <v>0</v>
      </c>
      <c r="Q170" s="15">
        <f>$G$170*$G$8+$H$170*$H$8+$I$170*$I$8+$J$170*$J$8+$K$170*$K$8+$L$170*$L$8+$M$170*$M$8+$N$170*$N$8+$O$170*$O$8+$P$170*$P$8</f>
        <v>0</v>
      </c>
      <c r="R170" s="15">
        <v>0</v>
      </c>
      <c r="S170" s="15">
        <f>$Q$170+$R$170</f>
        <v>0</v>
      </c>
    </row>
    <row r="171" spans="1:19" x14ac:dyDescent="0.3">
      <c r="A171" s="10" t="s">
        <v>634</v>
      </c>
      <c r="B171" s="11" t="s">
        <v>635</v>
      </c>
      <c r="C171" s="11"/>
      <c r="D171" s="11" t="s">
        <v>636</v>
      </c>
      <c r="E171" s="11">
        <f xml:space="preserve"> IF($S$171,1,0)</f>
        <v>0</v>
      </c>
      <c r="F171" s="11" t="s">
        <v>637</v>
      </c>
      <c r="G171" s="11">
        <v>0</v>
      </c>
      <c r="H171" s="11">
        <v>0</v>
      </c>
      <c r="I171" s="11">
        <v>0</v>
      </c>
      <c r="J171" s="11">
        <v>0</v>
      </c>
      <c r="K171" s="11">
        <v>0</v>
      </c>
      <c r="L171" s="11">
        <v>0</v>
      </c>
      <c r="M171" s="11">
        <v>0</v>
      </c>
      <c r="N171" s="11">
        <v>0</v>
      </c>
      <c r="O171" s="11">
        <v>0</v>
      </c>
      <c r="P171" s="11">
        <v>0</v>
      </c>
      <c r="Q171" s="12">
        <f>$G$171*$G$8+$H$171*$H$8+$I$171*$I$8+$J$171*$J$8+$K$171*$K$8+$L$171*$L$8+$M$171*$M$8+$N$171*$N$8+$O$171*$O$8+$P$171*$P$8</f>
        <v>0</v>
      </c>
      <c r="R171" s="12">
        <v>0</v>
      </c>
      <c r="S171" s="12">
        <f>$Q$171+$R$171</f>
        <v>0</v>
      </c>
    </row>
    <row r="172" spans="1:19" x14ac:dyDescent="0.3">
      <c r="A172" s="13" t="s">
        <v>638</v>
      </c>
      <c r="B172" s="14" t="s">
        <v>639</v>
      </c>
      <c r="C172" s="14"/>
      <c r="D172" s="14" t="s">
        <v>274</v>
      </c>
      <c r="E172" s="14">
        <f xml:space="preserve"> IF($S$172,1,0)</f>
        <v>0</v>
      </c>
      <c r="F172" s="14" t="s">
        <v>640</v>
      </c>
      <c r="G172" s="14">
        <v>0</v>
      </c>
      <c r="H172" s="14">
        <v>0</v>
      </c>
      <c r="I172" s="14">
        <v>0</v>
      </c>
      <c r="J172" s="14">
        <v>0</v>
      </c>
      <c r="K172" s="14">
        <v>0</v>
      </c>
      <c r="L172" s="14">
        <v>0</v>
      </c>
      <c r="M172" s="14">
        <v>0</v>
      </c>
      <c r="N172" s="14">
        <v>0</v>
      </c>
      <c r="O172" s="14">
        <v>0</v>
      </c>
      <c r="P172" s="14">
        <v>0</v>
      </c>
      <c r="Q172" s="15">
        <f>$G$172*$G$8+$H$172*$H$8+$I$172*$I$8+$J$172*$J$8+$K$172*$K$8+$L$172*$L$8+$M$172*$M$8+$N$172*$N$8+$O$172*$O$8+$P$172*$P$8</f>
        <v>0</v>
      </c>
      <c r="R172" s="15">
        <v>0</v>
      </c>
      <c r="S172" s="15">
        <f>$Q$172+$R$172</f>
        <v>0</v>
      </c>
    </row>
    <row r="173" spans="1:19" x14ac:dyDescent="0.3">
      <c r="A173" s="10" t="s">
        <v>641</v>
      </c>
      <c r="B173" s="11" t="s">
        <v>642</v>
      </c>
      <c r="C173" s="11"/>
      <c r="D173" s="11" t="s">
        <v>643</v>
      </c>
      <c r="E173" s="11">
        <f xml:space="preserve"> IF($S$173,1,0)</f>
        <v>0</v>
      </c>
      <c r="F173" s="11" t="s">
        <v>644</v>
      </c>
      <c r="G173" s="11">
        <v>0</v>
      </c>
      <c r="H173" s="11">
        <v>0</v>
      </c>
      <c r="I173" s="11">
        <v>0</v>
      </c>
      <c r="J173" s="11">
        <v>0</v>
      </c>
      <c r="K173" s="11">
        <v>0</v>
      </c>
      <c r="L173" s="11">
        <v>0</v>
      </c>
      <c r="M173" s="11">
        <v>0</v>
      </c>
      <c r="N173" s="11">
        <v>0</v>
      </c>
      <c r="O173" s="11">
        <v>0</v>
      </c>
      <c r="P173" s="11">
        <v>0</v>
      </c>
      <c r="Q173" s="12">
        <f>$G$173*$G$8+$H$173*$H$8+$I$173*$I$8+$J$173*$J$8+$K$173*$K$8+$L$173*$L$8+$M$173*$M$8+$N$173*$N$8+$O$173*$O$8+$P$173*$P$8</f>
        <v>0</v>
      </c>
      <c r="R173" s="12">
        <v>0</v>
      </c>
      <c r="S173" s="12">
        <f>$Q$173+$R$173</f>
        <v>0</v>
      </c>
    </row>
    <row r="174" spans="1:19" x14ac:dyDescent="0.3">
      <c r="A174" s="13" t="s">
        <v>645</v>
      </c>
      <c r="B174" s="14" t="s">
        <v>646</v>
      </c>
      <c r="C174" s="14"/>
      <c r="D174" s="14" t="s">
        <v>647</v>
      </c>
      <c r="E174" s="14">
        <f xml:space="preserve"> IF($S$174,1,0)</f>
        <v>0</v>
      </c>
      <c r="F174" s="14" t="s">
        <v>648</v>
      </c>
      <c r="G174" s="14">
        <v>0</v>
      </c>
      <c r="H174" s="14">
        <v>0</v>
      </c>
      <c r="I174" s="14">
        <v>0</v>
      </c>
      <c r="J174" s="14">
        <v>0</v>
      </c>
      <c r="K174" s="14">
        <v>0</v>
      </c>
      <c r="L174" s="14">
        <v>0</v>
      </c>
      <c r="M174" s="14">
        <v>0</v>
      </c>
      <c r="N174" s="14">
        <v>0</v>
      </c>
      <c r="O174" s="14">
        <v>0</v>
      </c>
      <c r="P174" s="14">
        <v>0</v>
      </c>
      <c r="Q174" s="15">
        <f>$G$174*$G$8+$H$174*$H$8+$I$174*$I$8+$J$174*$J$8+$K$174*$K$8+$L$174*$L$8+$M$174*$M$8+$N$174*$N$8+$O$174*$O$8+$P$174*$P$8</f>
        <v>0</v>
      </c>
      <c r="R174" s="15">
        <v>0</v>
      </c>
      <c r="S174" s="15">
        <f>$Q$174+$R$174</f>
        <v>0</v>
      </c>
    </row>
    <row r="175" spans="1:19" x14ac:dyDescent="0.3">
      <c r="A175" s="10" t="s">
        <v>649</v>
      </c>
      <c r="B175" s="11" t="s">
        <v>650</v>
      </c>
      <c r="C175" s="11"/>
      <c r="D175" s="11" t="s">
        <v>651</v>
      </c>
      <c r="E175" s="11">
        <f xml:space="preserve"> IF($S$175,1,0)</f>
        <v>0</v>
      </c>
      <c r="F175" s="11" t="s">
        <v>652</v>
      </c>
      <c r="G175" s="11">
        <v>0</v>
      </c>
      <c r="H175" s="11">
        <v>0</v>
      </c>
      <c r="I175" s="11">
        <v>0</v>
      </c>
      <c r="J175" s="11">
        <v>0</v>
      </c>
      <c r="K175" s="11">
        <v>0</v>
      </c>
      <c r="L175" s="11">
        <v>0</v>
      </c>
      <c r="M175" s="11">
        <v>0</v>
      </c>
      <c r="N175" s="11">
        <v>0</v>
      </c>
      <c r="O175" s="11">
        <v>0</v>
      </c>
      <c r="P175" s="11">
        <v>0</v>
      </c>
      <c r="Q175" s="12">
        <f>$G$175*$G$8+$H$175*$H$8+$I$175*$I$8+$J$175*$J$8+$K$175*$K$8+$L$175*$L$8+$M$175*$M$8+$N$175*$N$8+$O$175*$O$8+$P$175*$P$8</f>
        <v>0</v>
      </c>
      <c r="R175" s="12">
        <v>0</v>
      </c>
      <c r="S175" s="12">
        <f>$Q$175+$R$175</f>
        <v>0</v>
      </c>
    </row>
    <row r="176" spans="1:19" x14ac:dyDescent="0.3">
      <c r="A176" s="13" t="s">
        <v>653</v>
      </c>
      <c r="B176" s="14" t="s">
        <v>654</v>
      </c>
      <c r="C176" s="14"/>
      <c r="D176" s="14" t="s">
        <v>655</v>
      </c>
      <c r="E176" s="14">
        <f xml:space="preserve"> IF($S$176,1,0)</f>
        <v>0</v>
      </c>
      <c r="F176" s="14" t="s">
        <v>656</v>
      </c>
      <c r="G176" s="14">
        <v>0</v>
      </c>
      <c r="H176" s="14">
        <v>0</v>
      </c>
      <c r="I176" s="14">
        <v>0</v>
      </c>
      <c r="J176" s="14">
        <v>0</v>
      </c>
      <c r="K176" s="14">
        <v>0</v>
      </c>
      <c r="L176" s="14">
        <v>0</v>
      </c>
      <c r="M176" s="14">
        <v>0</v>
      </c>
      <c r="N176" s="14">
        <v>0</v>
      </c>
      <c r="O176" s="14">
        <v>0</v>
      </c>
      <c r="P176" s="14">
        <v>0</v>
      </c>
      <c r="Q176" s="15">
        <f>$G$176*$G$8+$H$176*$H$8+$I$176*$I$8+$J$176*$J$8+$K$176*$K$8+$L$176*$L$8+$M$176*$M$8+$N$176*$N$8+$O$176*$O$8+$P$176*$P$8</f>
        <v>0</v>
      </c>
      <c r="R176" s="15">
        <v>0</v>
      </c>
      <c r="S176" s="15">
        <f>$Q$176+$R$176</f>
        <v>0</v>
      </c>
    </row>
    <row r="177" spans="1:19" x14ac:dyDescent="0.3">
      <c r="A177" s="10" t="s">
        <v>657</v>
      </c>
      <c r="B177" s="11" t="s">
        <v>658</v>
      </c>
      <c r="C177" s="11"/>
      <c r="D177" s="11" t="s">
        <v>659</v>
      </c>
      <c r="E177" s="11">
        <f xml:space="preserve"> IF($S$177,1,0)</f>
        <v>0</v>
      </c>
      <c r="F177" s="11" t="s">
        <v>660</v>
      </c>
      <c r="G177" s="11">
        <v>0</v>
      </c>
      <c r="H177" s="11">
        <v>0</v>
      </c>
      <c r="I177" s="11">
        <v>0</v>
      </c>
      <c r="J177" s="11">
        <v>0</v>
      </c>
      <c r="K177" s="11">
        <v>0</v>
      </c>
      <c r="L177" s="11">
        <v>0</v>
      </c>
      <c r="M177" s="11">
        <v>0</v>
      </c>
      <c r="N177" s="11">
        <v>0</v>
      </c>
      <c r="O177" s="11">
        <v>0</v>
      </c>
      <c r="P177" s="11">
        <v>0</v>
      </c>
      <c r="Q177" s="12">
        <f>$G$177*$G$8+$H$177*$H$8+$I$177*$I$8+$J$177*$J$8+$K$177*$K$8+$L$177*$L$8+$M$177*$M$8+$N$177*$N$8+$O$177*$O$8+$P$177*$P$8</f>
        <v>0</v>
      </c>
      <c r="R177" s="12">
        <v>0</v>
      </c>
      <c r="S177" s="12">
        <f>$Q$177+$R$177</f>
        <v>0</v>
      </c>
    </row>
    <row r="178" spans="1:19" x14ac:dyDescent="0.3">
      <c r="A178" s="13" t="s">
        <v>661</v>
      </c>
      <c r="B178" s="14" t="s">
        <v>658</v>
      </c>
      <c r="C178" s="14" t="s">
        <v>202</v>
      </c>
      <c r="D178" s="14" t="s">
        <v>662</v>
      </c>
      <c r="E178" s="14">
        <f xml:space="preserve"> IF($S$178,1,0)</f>
        <v>0</v>
      </c>
      <c r="F178" s="14" t="s">
        <v>663</v>
      </c>
      <c r="G178" s="14">
        <v>0</v>
      </c>
      <c r="H178" s="14">
        <v>0</v>
      </c>
      <c r="I178" s="14">
        <v>0</v>
      </c>
      <c r="J178" s="14">
        <v>0</v>
      </c>
      <c r="K178" s="14">
        <v>0</v>
      </c>
      <c r="L178" s="14">
        <v>0</v>
      </c>
      <c r="M178" s="14">
        <v>0</v>
      </c>
      <c r="N178" s="14">
        <v>0</v>
      </c>
      <c r="O178" s="14">
        <v>0</v>
      </c>
      <c r="P178" s="14">
        <v>0</v>
      </c>
      <c r="Q178" s="15">
        <f>$G$178*$G$8+$H$178*$H$8+$I$178*$I$8+$J$178*$J$8+$K$178*$K$8+$L$178*$L$8+$M$178*$M$8+$N$178*$N$8+$O$178*$O$8+$P$178*$P$8</f>
        <v>0</v>
      </c>
      <c r="R178" s="15">
        <v>0</v>
      </c>
      <c r="S178" s="15">
        <f>$Q$178+$R$178</f>
        <v>0</v>
      </c>
    </row>
    <row r="179" spans="1:19" x14ac:dyDescent="0.3">
      <c r="A179" s="10" t="s">
        <v>664</v>
      </c>
      <c r="B179" s="11" t="s">
        <v>665</v>
      </c>
      <c r="C179" s="11"/>
      <c r="D179" s="11" t="s">
        <v>666</v>
      </c>
      <c r="E179" s="11">
        <f xml:space="preserve"> IF($S$179,1,0)</f>
        <v>0</v>
      </c>
      <c r="F179" s="11" t="s">
        <v>667</v>
      </c>
      <c r="G179" s="11">
        <v>0</v>
      </c>
      <c r="H179" s="11">
        <v>0</v>
      </c>
      <c r="I179" s="11">
        <v>0</v>
      </c>
      <c r="J179" s="11">
        <v>0</v>
      </c>
      <c r="K179" s="11">
        <v>0</v>
      </c>
      <c r="L179" s="11">
        <v>0</v>
      </c>
      <c r="M179" s="11">
        <v>0</v>
      </c>
      <c r="N179" s="11">
        <v>0</v>
      </c>
      <c r="O179" s="11">
        <v>0</v>
      </c>
      <c r="P179" s="11">
        <v>0</v>
      </c>
      <c r="Q179" s="12">
        <f>$G$179*$G$8+$H$179*$H$8+$I$179*$I$8+$J$179*$J$8+$K$179*$K$8+$L$179*$L$8+$M$179*$M$8+$N$179*$N$8+$O$179*$O$8+$P$179*$P$8</f>
        <v>0</v>
      </c>
      <c r="R179" s="12">
        <v>0</v>
      </c>
      <c r="S179" s="12">
        <f>$Q$179+$R$179</f>
        <v>0</v>
      </c>
    </row>
    <row r="180" spans="1:19" x14ac:dyDescent="0.3">
      <c r="A180" s="13" t="s">
        <v>668</v>
      </c>
      <c r="B180" s="14" t="s">
        <v>669</v>
      </c>
      <c r="C180" s="14"/>
      <c r="D180" s="14" t="s">
        <v>670</v>
      </c>
      <c r="E180" s="14">
        <f xml:space="preserve"> IF($S$180,1,0)</f>
        <v>0</v>
      </c>
      <c r="F180" s="14" t="s">
        <v>671</v>
      </c>
      <c r="G180" s="14">
        <v>0</v>
      </c>
      <c r="H180" s="14">
        <v>0</v>
      </c>
      <c r="I180" s="14">
        <v>0</v>
      </c>
      <c r="J180" s="14">
        <v>0</v>
      </c>
      <c r="K180" s="14">
        <v>0</v>
      </c>
      <c r="L180" s="14">
        <v>0</v>
      </c>
      <c r="M180" s="14">
        <v>0</v>
      </c>
      <c r="N180" s="14">
        <v>0</v>
      </c>
      <c r="O180" s="14">
        <v>0</v>
      </c>
      <c r="P180" s="14">
        <v>0</v>
      </c>
      <c r="Q180" s="15">
        <f>$G$180*$G$8+$H$180*$H$8+$I$180*$I$8+$J$180*$J$8+$K$180*$K$8+$L$180*$L$8+$M$180*$M$8+$N$180*$N$8+$O$180*$O$8+$P$180*$P$8</f>
        <v>0</v>
      </c>
      <c r="R180" s="15">
        <v>0</v>
      </c>
      <c r="S180" s="15">
        <f>$Q$180+$R$180</f>
        <v>0</v>
      </c>
    </row>
    <row r="181" spans="1:19" x14ac:dyDescent="0.3">
      <c r="A181" s="10" t="s">
        <v>672</v>
      </c>
      <c r="B181" s="11" t="s">
        <v>673</v>
      </c>
      <c r="C181" s="11"/>
      <c r="D181" s="11" t="s">
        <v>674</v>
      </c>
      <c r="E181" s="11">
        <f xml:space="preserve"> IF($S$181,1,0)</f>
        <v>0</v>
      </c>
      <c r="F181" s="11" t="s">
        <v>675</v>
      </c>
      <c r="G181" s="11">
        <v>0</v>
      </c>
      <c r="H181" s="11">
        <v>0</v>
      </c>
      <c r="I181" s="11">
        <v>0</v>
      </c>
      <c r="J181" s="11">
        <v>0</v>
      </c>
      <c r="K181" s="11">
        <v>0</v>
      </c>
      <c r="L181" s="11">
        <v>0</v>
      </c>
      <c r="M181" s="11">
        <v>0</v>
      </c>
      <c r="N181" s="11">
        <v>0</v>
      </c>
      <c r="O181" s="11">
        <v>0</v>
      </c>
      <c r="P181" s="11">
        <v>0</v>
      </c>
      <c r="Q181" s="12">
        <f>$G$181*$G$8+$H$181*$H$8+$I$181*$I$8+$J$181*$J$8+$K$181*$K$8+$L$181*$L$8+$M$181*$M$8+$N$181*$N$8+$O$181*$O$8+$P$181*$P$8</f>
        <v>0</v>
      </c>
      <c r="R181" s="12">
        <v>0</v>
      </c>
      <c r="S181" s="12">
        <f>$Q$181+$R$181</f>
        <v>0</v>
      </c>
    </row>
    <row r="182" spans="1:19" x14ac:dyDescent="0.3">
      <c r="A182" s="13" t="s">
        <v>676</v>
      </c>
      <c r="B182" s="14" t="s">
        <v>677</v>
      </c>
      <c r="C182" s="14"/>
      <c r="D182" s="14" t="s">
        <v>678</v>
      </c>
      <c r="E182" s="14">
        <f xml:space="preserve"> IF($S$182,1,0)</f>
        <v>0</v>
      </c>
      <c r="F182" s="14" t="s">
        <v>679</v>
      </c>
      <c r="G182" s="14">
        <v>0</v>
      </c>
      <c r="H182" s="14">
        <v>0</v>
      </c>
      <c r="I182" s="14">
        <v>0</v>
      </c>
      <c r="J182" s="14">
        <v>0</v>
      </c>
      <c r="K182" s="14">
        <v>0</v>
      </c>
      <c r="L182" s="14">
        <v>0</v>
      </c>
      <c r="M182" s="14">
        <v>0</v>
      </c>
      <c r="N182" s="14">
        <v>0</v>
      </c>
      <c r="O182" s="14">
        <v>0</v>
      </c>
      <c r="P182" s="14">
        <v>0</v>
      </c>
      <c r="Q182" s="15">
        <f>$G$182*$G$8+$H$182*$H$8+$I$182*$I$8+$J$182*$J$8+$K$182*$K$8+$L$182*$L$8+$M$182*$M$8+$N$182*$N$8+$O$182*$O$8+$P$182*$P$8</f>
        <v>0</v>
      </c>
      <c r="R182" s="15">
        <v>0</v>
      </c>
      <c r="S182" s="15">
        <f>$Q$182+$R$182</f>
        <v>0</v>
      </c>
    </row>
    <row r="183" spans="1:19" x14ac:dyDescent="0.3">
      <c r="A183" s="10" t="s">
        <v>680</v>
      </c>
      <c r="B183" s="11" t="s">
        <v>681</v>
      </c>
      <c r="C183" s="11"/>
      <c r="D183" s="11" t="s">
        <v>682</v>
      </c>
      <c r="E183" s="11">
        <f xml:space="preserve"> IF($S$183,1,0)</f>
        <v>0</v>
      </c>
      <c r="F183" s="11" t="s">
        <v>683</v>
      </c>
      <c r="G183" s="11">
        <v>0</v>
      </c>
      <c r="H183" s="11">
        <v>0</v>
      </c>
      <c r="I183" s="11">
        <v>0</v>
      </c>
      <c r="J183" s="11">
        <v>0</v>
      </c>
      <c r="K183" s="11">
        <v>0</v>
      </c>
      <c r="L183" s="11">
        <v>0</v>
      </c>
      <c r="M183" s="11">
        <v>0</v>
      </c>
      <c r="N183" s="11">
        <v>0</v>
      </c>
      <c r="O183" s="11">
        <v>0</v>
      </c>
      <c r="P183" s="11">
        <v>0</v>
      </c>
      <c r="Q183" s="12">
        <f>$G$183*$G$8+$H$183*$H$8+$I$183*$I$8+$J$183*$J$8+$K$183*$K$8+$L$183*$L$8+$M$183*$M$8+$N$183*$N$8+$O$183*$O$8+$P$183*$P$8</f>
        <v>0</v>
      </c>
      <c r="R183" s="12">
        <v>0</v>
      </c>
      <c r="S183" s="12">
        <f>$Q$183+$R$183</f>
        <v>0</v>
      </c>
    </row>
    <row r="184" spans="1:19" x14ac:dyDescent="0.3">
      <c r="A184" s="13" t="s">
        <v>684</v>
      </c>
      <c r="B184" s="14" t="s">
        <v>685</v>
      </c>
      <c r="C184" s="14"/>
      <c r="D184" s="14" t="s">
        <v>686</v>
      </c>
      <c r="E184" s="14">
        <f xml:space="preserve"> IF($S$184,1,0)</f>
        <v>0</v>
      </c>
      <c r="F184" s="14" t="s">
        <v>687</v>
      </c>
      <c r="G184" s="14">
        <v>0</v>
      </c>
      <c r="H184" s="14">
        <v>0</v>
      </c>
      <c r="I184" s="14">
        <v>0</v>
      </c>
      <c r="J184" s="14">
        <v>0</v>
      </c>
      <c r="K184" s="14">
        <v>0</v>
      </c>
      <c r="L184" s="14">
        <v>0</v>
      </c>
      <c r="M184" s="14">
        <v>0</v>
      </c>
      <c r="N184" s="14">
        <v>0</v>
      </c>
      <c r="O184" s="14">
        <v>0</v>
      </c>
      <c r="P184" s="14">
        <v>0</v>
      </c>
      <c r="Q184" s="15">
        <f>$G$184*$G$8+$H$184*$H$8+$I$184*$I$8+$J$184*$J$8+$K$184*$K$8+$L$184*$L$8+$M$184*$M$8+$N$184*$N$8+$O$184*$O$8+$P$184*$P$8</f>
        <v>0</v>
      </c>
      <c r="R184" s="15">
        <v>0</v>
      </c>
      <c r="S184" s="15">
        <f>$Q$184+$R$184</f>
        <v>0</v>
      </c>
    </row>
    <row r="185" spans="1:19" x14ac:dyDescent="0.3">
      <c r="A185" s="10" t="s">
        <v>688</v>
      </c>
      <c r="B185" s="11" t="s">
        <v>689</v>
      </c>
      <c r="C185" s="11"/>
      <c r="D185" s="11" t="s">
        <v>690</v>
      </c>
      <c r="E185" s="11">
        <f xml:space="preserve"> IF($S$185,1,0)</f>
        <v>0</v>
      </c>
      <c r="F185" s="11" t="s">
        <v>691</v>
      </c>
      <c r="G185" s="11">
        <v>0</v>
      </c>
      <c r="H185" s="11">
        <v>0</v>
      </c>
      <c r="I185" s="11">
        <v>0</v>
      </c>
      <c r="J185" s="11">
        <v>0</v>
      </c>
      <c r="K185" s="11">
        <v>0</v>
      </c>
      <c r="L185" s="11">
        <v>0</v>
      </c>
      <c r="M185" s="11">
        <v>0</v>
      </c>
      <c r="N185" s="11">
        <v>0</v>
      </c>
      <c r="O185" s="11">
        <v>0</v>
      </c>
      <c r="P185" s="11">
        <v>0</v>
      </c>
      <c r="Q185" s="12">
        <f>$G$185*$G$8+$H$185*$H$8+$I$185*$I$8+$J$185*$J$8+$K$185*$K$8+$L$185*$L$8+$M$185*$M$8+$N$185*$N$8+$O$185*$O$8+$P$185*$P$8</f>
        <v>0</v>
      </c>
      <c r="R185" s="12">
        <v>0</v>
      </c>
      <c r="S185" s="12">
        <f>$Q$185+$R$185</f>
        <v>0</v>
      </c>
    </row>
    <row r="186" spans="1:19" x14ac:dyDescent="0.3">
      <c r="A186" s="13" t="s">
        <v>692</v>
      </c>
      <c r="B186" s="14" t="s">
        <v>693</v>
      </c>
      <c r="C186" s="14" t="s">
        <v>65</v>
      </c>
      <c r="D186" s="14" t="s">
        <v>694</v>
      </c>
      <c r="E186" s="14">
        <f xml:space="preserve"> IF($S$186,1,0)</f>
        <v>0</v>
      </c>
      <c r="F186" s="14" t="s">
        <v>695</v>
      </c>
      <c r="G186" s="14">
        <v>0</v>
      </c>
      <c r="H186" s="14">
        <v>0</v>
      </c>
      <c r="I186" s="14">
        <v>0</v>
      </c>
      <c r="J186" s="14">
        <v>0</v>
      </c>
      <c r="K186" s="14">
        <v>0</v>
      </c>
      <c r="L186" s="14">
        <v>0</v>
      </c>
      <c r="M186" s="14">
        <v>0</v>
      </c>
      <c r="N186" s="14">
        <v>0</v>
      </c>
      <c r="O186" s="14">
        <v>0</v>
      </c>
      <c r="P186" s="14">
        <v>0</v>
      </c>
      <c r="Q186" s="15">
        <f>$G$186*$G$8+$H$186*$H$8+$I$186*$I$8+$J$186*$J$8+$K$186*$K$8+$L$186*$L$8+$M$186*$M$8+$N$186*$N$8+$O$186*$O$8+$P$186*$P$8</f>
        <v>0</v>
      </c>
      <c r="R186" s="15">
        <v>0</v>
      </c>
      <c r="S186" s="15">
        <f>$Q$186+$R$186</f>
        <v>0</v>
      </c>
    </row>
    <row r="187" spans="1:19" x14ac:dyDescent="0.3">
      <c r="A187" s="10" t="s">
        <v>696</v>
      </c>
      <c r="B187" s="11" t="s">
        <v>697</v>
      </c>
      <c r="C187" s="11"/>
      <c r="D187" s="11" t="s">
        <v>698</v>
      </c>
      <c r="E187" s="11">
        <f xml:space="preserve"> IF($S$187,1,0)</f>
        <v>0</v>
      </c>
      <c r="F187" s="11" t="s">
        <v>699</v>
      </c>
      <c r="G187" s="11">
        <v>0</v>
      </c>
      <c r="H187" s="11">
        <v>0</v>
      </c>
      <c r="I187" s="11">
        <v>0</v>
      </c>
      <c r="J187" s="11">
        <v>0</v>
      </c>
      <c r="K187" s="11">
        <v>0</v>
      </c>
      <c r="L187" s="11">
        <v>0</v>
      </c>
      <c r="M187" s="11">
        <v>0</v>
      </c>
      <c r="N187" s="11">
        <v>0</v>
      </c>
      <c r="O187" s="11">
        <v>0</v>
      </c>
      <c r="P187" s="11">
        <v>0</v>
      </c>
      <c r="Q187" s="12">
        <f>$G$187*$G$8+$H$187*$H$8+$I$187*$I$8+$J$187*$J$8+$K$187*$K$8+$L$187*$L$8+$M$187*$M$8+$N$187*$N$8+$O$187*$O$8+$P$187*$P$8</f>
        <v>0</v>
      </c>
      <c r="R187" s="12">
        <v>0</v>
      </c>
      <c r="S187" s="12">
        <f>$Q$187+$R$187</f>
        <v>0</v>
      </c>
    </row>
    <row r="188" spans="1:19" x14ac:dyDescent="0.3">
      <c r="A188" s="13" t="s">
        <v>700</v>
      </c>
      <c r="B188" s="14" t="s">
        <v>697</v>
      </c>
      <c r="C188" s="14"/>
      <c r="D188" s="14" t="s">
        <v>701</v>
      </c>
      <c r="E188" s="14">
        <f xml:space="preserve"> IF($S$188,1,0)</f>
        <v>0</v>
      </c>
      <c r="F188" s="14" t="s">
        <v>702</v>
      </c>
      <c r="G188" s="14">
        <v>0</v>
      </c>
      <c r="H188" s="14">
        <v>0</v>
      </c>
      <c r="I188" s="14">
        <v>0</v>
      </c>
      <c r="J188" s="14">
        <v>0</v>
      </c>
      <c r="K188" s="14">
        <v>0</v>
      </c>
      <c r="L188" s="14">
        <v>0</v>
      </c>
      <c r="M188" s="14">
        <v>0</v>
      </c>
      <c r="N188" s="14">
        <v>0</v>
      </c>
      <c r="O188" s="14">
        <v>0</v>
      </c>
      <c r="P188" s="14">
        <v>0</v>
      </c>
      <c r="Q188" s="15">
        <f>$G$188*$G$8+$H$188*$H$8+$I$188*$I$8+$J$188*$J$8+$K$188*$K$8+$L$188*$L$8+$M$188*$M$8+$N$188*$N$8+$O$188*$O$8+$P$188*$P$8</f>
        <v>0</v>
      </c>
      <c r="R188" s="15">
        <v>0</v>
      </c>
      <c r="S188" s="15">
        <f>$Q$188+$R$188</f>
        <v>0</v>
      </c>
    </row>
    <row r="189" spans="1:19" x14ac:dyDescent="0.3">
      <c r="A189" s="10" t="s">
        <v>703</v>
      </c>
      <c r="B189" s="11" t="s">
        <v>704</v>
      </c>
      <c r="C189" s="11"/>
      <c r="D189" s="11" t="s">
        <v>705</v>
      </c>
      <c r="E189" s="11">
        <f xml:space="preserve"> IF($S$189,1,0)</f>
        <v>0</v>
      </c>
      <c r="F189" s="11" t="s">
        <v>706</v>
      </c>
      <c r="G189" s="11">
        <v>0</v>
      </c>
      <c r="H189" s="11">
        <v>0</v>
      </c>
      <c r="I189" s="11">
        <v>0</v>
      </c>
      <c r="J189" s="11">
        <v>0</v>
      </c>
      <c r="K189" s="11">
        <v>0</v>
      </c>
      <c r="L189" s="11">
        <v>0</v>
      </c>
      <c r="M189" s="11">
        <v>0</v>
      </c>
      <c r="N189" s="11">
        <v>0</v>
      </c>
      <c r="O189" s="11">
        <v>0</v>
      </c>
      <c r="P189" s="11">
        <v>0</v>
      </c>
      <c r="Q189" s="12">
        <f>$G$189*$G$8+$H$189*$H$8+$I$189*$I$8+$J$189*$J$8+$K$189*$K$8+$L$189*$L$8+$M$189*$M$8+$N$189*$N$8+$O$189*$O$8+$P$189*$P$8</f>
        <v>0</v>
      </c>
      <c r="R189" s="12">
        <v>0</v>
      </c>
      <c r="S189" s="12">
        <f>$Q$189+$R$189</f>
        <v>0</v>
      </c>
    </row>
    <row r="190" spans="1:19" x14ac:dyDescent="0.3">
      <c r="A190" s="13" t="s">
        <v>707</v>
      </c>
      <c r="B190" s="14" t="s">
        <v>708</v>
      </c>
      <c r="C190" s="14"/>
      <c r="D190" s="14" t="s">
        <v>222</v>
      </c>
      <c r="E190" s="14">
        <f xml:space="preserve"> IF($S$190,1,0)</f>
        <v>0</v>
      </c>
      <c r="F190" s="14" t="s">
        <v>709</v>
      </c>
      <c r="G190" s="14">
        <v>0</v>
      </c>
      <c r="H190" s="14">
        <v>0</v>
      </c>
      <c r="I190" s="14">
        <v>0</v>
      </c>
      <c r="J190" s="14">
        <v>0</v>
      </c>
      <c r="K190" s="14">
        <v>0</v>
      </c>
      <c r="L190" s="14">
        <v>0</v>
      </c>
      <c r="M190" s="14">
        <v>0</v>
      </c>
      <c r="N190" s="14">
        <v>0</v>
      </c>
      <c r="O190" s="14">
        <v>0</v>
      </c>
      <c r="P190" s="14">
        <v>0</v>
      </c>
      <c r="Q190" s="15">
        <f>$G$190*$G$8+$H$190*$H$8+$I$190*$I$8+$J$190*$J$8+$K$190*$K$8+$L$190*$L$8+$M$190*$M$8+$N$190*$N$8+$O$190*$O$8+$P$190*$P$8</f>
        <v>0</v>
      </c>
      <c r="R190" s="15">
        <v>0</v>
      </c>
      <c r="S190" s="15">
        <f>$Q$190+$R$190</f>
        <v>0</v>
      </c>
    </row>
    <row r="191" spans="1:19" x14ac:dyDescent="0.3">
      <c r="A191" s="10" t="s">
        <v>710</v>
      </c>
      <c r="B191" s="11" t="s">
        <v>708</v>
      </c>
      <c r="C191" s="11"/>
      <c r="D191" s="11" t="s">
        <v>711</v>
      </c>
      <c r="E191" s="11">
        <f xml:space="preserve"> IF($S$191,1,0)</f>
        <v>0</v>
      </c>
      <c r="F191" s="11" t="s">
        <v>712</v>
      </c>
      <c r="G191" s="11">
        <v>0</v>
      </c>
      <c r="H191" s="11">
        <v>0</v>
      </c>
      <c r="I191" s="11">
        <v>0</v>
      </c>
      <c r="J191" s="11">
        <v>0</v>
      </c>
      <c r="K191" s="11">
        <v>0</v>
      </c>
      <c r="L191" s="11">
        <v>0</v>
      </c>
      <c r="M191" s="11">
        <v>0</v>
      </c>
      <c r="N191" s="11">
        <v>0</v>
      </c>
      <c r="O191" s="11">
        <v>0</v>
      </c>
      <c r="P191" s="11">
        <v>0</v>
      </c>
      <c r="Q191" s="12">
        <f>$G$191*$G$8+$H$191*$H$8+$I$191*$I$8+$J$191*$J$8+$K$191*$K$8+$L$191*$L$8+$M$191*$M$8+$N$191*$N$8+$O$191*$O$8+$P$191*$P$8</f>
        <v>0</v>
      </c>
      <c r="R191" s="12">
        <v>0</v>
      </c>
      <c r="S191" s="12">
        <f>$Q$191+$R$191</f>
        <v>0</v>
      </c>
    </row>
    <row r="192" spans="1:19" x14ac:dyDescent="0.3">
      <c r="A192" s="13" t="s">
        <v>713</v>
      </c>
      <c r="B192" s="14" t="s">
        <v>708</v>
      </c>
      <c r="C192" s="14"/>
      <c r="D192" s="14" t="s">
        <v>714</v>
      </c>
      <c r="E192" s="14">
        <f xml:space="preserve"> IF($S$192,1,0)</f>
        <v>0</v>
      </c>
      <c r="F192" s="14" t="s">
        <v>715</v>
      </c>
      <c r="G192" s="14">
        <v>0</v>
      </c>
      <c r="H192" s="14">
        <v>0</v>
      </c>
      <c r="I192" s="14">
        <v>0</v>
      </c>
      <c r="J192" s="14">
        <v>0</v>
      </c>
      <c r="K192" s="14">
        <v>0</v>
      </c>
      <c r="L192" s="14">
        <v>0</v>
      </c>
      <c r="M192" s="14">
        <v>0</v>
      </c>
      <c r="N192" s="14">
        <v>0</v>
      </c>
      <c r="O192" s="14">
        <v>0</v>
      </c>
      <c r="P192" s="14">
        <v>0</v>
      </c>
      <c r="Q192" s="15">
        <f>$G$192*$G$8+$H$192*$H$8+$I$192*$I$8+$J$192*$J$8+$K$192*$K$8+$L$192*$L$8+$M$192*$M$8+$N$192*$N$8+$O$192*$O$8+$P$192*$P$8</f>
        <v>0</v>
      </c>
      <c r="R192" s="15">
        <v>0</v>
      </c>
      <c r="S192" s="15">
        <f>$Q$192+$R$192</f>
        <v>0</v>
      </c>
    </row>
    <row r="193" spans="1:19" x14ac:dyDescent="0.3">
      <c r="A193" s="10" t="s">
        <v>716</v>
      </c>
      <c r="B193" s="11" t="s">
        <v>717</v>
      </c>
      <c r="C193" s="11"/>
      <c r="D193" s="11" t="s">
        <v>718</v>
      </c>
      <c r="E193" s="11">
        <f xml:space="preserve"> IF($S$193,1,0)</f>
        <v>0</v>
      </c>
      <c r="F193" s="11" t="s">
        <v>719</v>
      </c>
      <c r="G193" s="11">
        <v>0</v>
      </c>
      <c r="H193" s="11">
        <v>0</v>
      </c>
      <c r="I193" s="11">
        <v>0</v>
      </c>
      <c r="J193" s="11">
        <v>0</v>
      </c>
      <c r="K193" s="11">
        <v>0</v>
      </c>
      <c r="L193" s="11">
        <v>0</v>
      </c>
      <c r="M193" s="11">
        <v>0</v>
      </c>
      <c r="N193" s="11">
        <v>0</v>
      </c>
      <c r="O193" s="11">
        <v>0</v>
      </c>
      <c r="P193" s="11">
        <v>0</v>
      </c>
      <c r="Q193" s="12">
        <f>$G$193*$G$8+$H$193*$H$8+$I$193*$I$8+$J$193*$J$8+$K$193*$K$8+$L$193*$L$8+$M$193*$M$8+$N$193*$N$8+$O$193*$O$8+$P$193*$P$8</f>
        <v>0</v>
      </c>
      <c r="R193" s="12">
        <v>0</v>
      </c>
      <c r="S193" s="12">
        <f>$Q$193+$R$193</f>
        <v>0</v>
      </c>
    </row>
    <row r="194" spans="1:19" x14ac:dyDescent="0.3">
      <c r="A194" s="13" t="s">
        <v>720</v>
      </c>
      <c r="B194" s="14" t="s">
        <v>721</v>
      </c>
      <c r="C194" s="14"/>
      <c r="D194" s="14" t="s">
        <v>722</v>
      </c>
      <c r="E194" s="14">
        <f xml:space="preserve"> IF($S$194,1,0)</f>
        <v>0</v>
      </c>
      <c r="F194" s="14" t="s">
        <v>723</v>
      </c>
      <c r="G194" s="14">
        <v>0</v>
      </c>
      <c r="H194" s="14">
        <v>0</v>
      </c>
      <c r="I194" s="14">
        <v>0</v>
      </c>
      <c r="J194" s="14">
        <v>0</v>
      </c>
      <c r="K194" s="14">
        <v>0</v>
      </c>
      <c r="L194" s="14">
        <v>0</v>
      </c>
      <c r="M194" s="14">
        <v>0</v>
      </c>
      <c r="N194" s="14">
        <v>0</v>
      </c>
      <c r="O194" s="14">
        <v>0</v>
      </c>
      <c r="P194" s="14">
        <v>0</v>
      </c>
      <c r="Q194" s="15">
        <f>$G$194*$G$8+$H$194*$H$8+$I$194*$I$8+$J$194*$J$8+$K$194*$K$8+$L$194*$L$8+$M$194*$M$8+$N$194*$N$8+$O$194*$O$8+$P$194*$P$8</f>
        <v>0</v>
      </c>
      <c r="R194" s="15">
        <v>0</v>
      </c>
      <c r="S194" s="15">
        <f>$Q$194+$R$194</f>
        <v>0</v>
      </c>
    </row>
    <row r="195" spans="1:19" x14ac:dyDescent="0.3">
      <c r="A195" s="10" t="s">
        <v>724</v>
      </c>
      <c r="B195" s="11" t="s">
        <v>721</v>
      </c>
      <c r="C195" s="11"/>
      <c r="D195" s="11" t="s">
        <v>725</v>
      </c>
      <c r="E195" s="11">
        <f xml:space="preserve"> IF($S$195,1,0)</f>
        <v>0</v>
      </c>
      <c r="F195" s="11" t="s">
        <v>726</v>
      </c>
      <c r="G195" s="11">
        <v>0</v>
      </c>
      <c r="H195" s="11">
        <v>0</v>
      </c>
      <c r="I195" s="11">
        <v>0</v>
      </c>
      <c r="J195" s="11">
        <v>0</v>
      </c>
      <c r="K195" s="11">
        <v>0</v>
      </c>
      <c r="L195" s="11">
        <v>0</v>
      </c>
      <c r="M195" s="11">
        <v>0</v>
      </c>
      <c r="N195" s="11">
        <v>0</v>
      </c>
      <c r="O195" s="11">
        <v>0</v>
      </c>
      <c r="P195" s="11">
        <v>0</v>
      </c>
      <c r="Q195" s="12">
        <f>$G$195*$G$8+$H$195*$H$8+$I$195*$I$8+$J$195*$J$8+$K$195*$K$8+$L$195*$L$8+$M$195*$M$8+$N$195*$N$8+$O$195*$O$8+$P$195*$P$8</f>
        <v>0</v>
      </c>
      <c r="R195" s="12">
        <v>0</v>
      </c>
      <c r="S195" s="12">
        <f>$Q$195+$R$195</f>
        <v>0</v>
      </c>
    </row>
    <row r="196" spans="1:19" x14ac:dyDescent="0.3">
      <c r="A196" s="13" t="s">
        <v>727</v>
      </c>
      <c r="B196" s="14" t="s">
        <v>728</v>
      </c>
      <c r="C196" s="14"/>
      <c r="D196" s="14" t="s">
        <v>729</v>
      </c>
      <c r="E196" s="14">
        <f xml:space="preserve"> IF($S$196,1,0)</f>
        <v>0</v>
      </c>
      <c r="F196" s="14" t="s">
        <v>730</v>
      </c>
      <c r="G196" s="14">
        <v>0</v>
      </c>
      <c r="H196" s="14">
        <v>0</v>
      </c>
      <c r="I196" s="14">
        <v>0</v>
      </c>
      <c r="J196" s="14">
        <v>0</v>
      </c>
      <c r="K196" s="14">
        <v>0</v>
      </c>
      <c r="L196" s="14">
        <v>0</v>
      </c>
      <c r="M196" s="14">
        <v>0</v>
      </c>
      <c r="N196" s="14">
        <v>0</v>
      </c>
      <c r="O196" s="14">
        <v>0</v>
      </c>
      <c r="P196" s="14">
        <v>0</v>
      </c>
      <c r="Q196" s="15">
        <f>$G$196*$G$8+$H$196*$H$8+$I$196*$I$8+$J$196*$J$8+$K$196*$K$8+$L$196*$L$8+$M$196*$M$8+$N$196*$N$8+$O$196*$O$8+$P$196*$P$8</f>
        <v>0</v>
      </c>
      <c r="R196" s="15">
        <v>0</v>
      </c>
      <c r="S196" s="15">
        <f>$Q$196+$R$196</f>
        <v>0</v>
      </c>
    </row>
    <row r="197" spans="1:19" x14ac:dyDescent="0.3">
      <c r="A197" s="10" t="s">
        <v>731</v>
      </c>
      <c r="B197" s="11" t="s">
        <v>732</v>
      </c>
      <c r="C197" s="11"/>
      <c r="D197" s="11" t="s">
        <v>733</v>
      </c>
      <c r="E197" s="11">
        <f xml:space="preserve"> IF($S$197,1,0)</f>
        <v>0</v>
      </c>
      <c r="F197" s="11" t="s">
        <v>734</v>
      </c>
      <c r="G197" s="11">
        <v>0</v>
      </c>
      <c r="H197" s="11">
        <v>0</v>
      </c>
      <c r="I197" s="11">
        <v>0</v>
      </c>
      <c r="J197" s="11">
        <v>0</v>
      </c>
      <c r="K197" s="11">
        <v>0</v>
      </c>
      <c r="L197" s="11">
        <v>0</v>
      </c>
      <c r="M197" s="11">
        <v>0</v>
      </c>
      <c r="N197" s="11">
        <v>0</v>
      </c>
      <c r="O197" s="11">
        <v>0</v>
      </c>
      <c r="P197" s="11">
        <v>0</v>
      </c>
      <c r="Q197" s="12">
        <f>$G$197*$G$8+$H$197*$H$8+$I$197*$I$8+$J$197*$J$8+$K$197*$K$8+$L$197*$L$8+$M$197*$M$8+$N$197*$N$8+$O$197*$O$8+$P$197*$P$8</f>
        <v>0</v>
      </c>
      <c r="R197" s="12">
        <v>0</v>
      </c>
      <c r="S197" s="12">
        <f>$Q$197+$R$197</f>
        <v>0</v>
      </c>
    </row>
    <row r="198" spans="1:19" x14ac:dyDescent="0.3">
      <c r="A198" s="13" t="s">
        <v>735</v>
      </c>
      <c r="B198" s="14" t="s">
        <v>736</v>
      </c>
      <c r="C198" s="14"/>
      <c r="D198" s="14" t="s">
        <v>737</v>
      </c>
      <c r="E198" s="14">
        <f xml:space="preserve"> IF($S$198,1,0)</f>
        <v>0</v>
      </c>
      <c r="F198" s="14" t="s">
        <v>738</v>
      </c>
      <c r="G198" s="14">
        <v>0</v>
      </c>
      <c r="H198" s="14">
        <v>0</v>
      </c>
      <c r="I198" s="14">
        <v>0</v>
      </c>
      <c r="J198" s="14">
        <v>0</v>
      </c>
      <c r="K198" s="14">
        <v>0</v>
      </c>
      <c r="L198" s="14">
        <v>0</v>
      </c>
      <c r="M198" s="14">
        <v>0</v>
      </c>
      <c r="N198" s="14">
        <v>0</v>
      </c>
      <c r="O198" s="14">
        <v>0</v>
      </c>
      <c r="P198" s="14">
        <v>0</v>
      </c>
      <c r="Q198" s="15">
        <f>$G$198*$G$8+$H$198*$H$8+$I$198*$I$8+$J$198*$J$8+$K$198*$K$8+$L$198*$L$8+$M$198*$M$8+$N$198*$N$8+$O$198*$O$8+$P$198*$P$8</f>
        <v>0</v>
      </c>
      <c r="R198" s="15">
        <v>0</v>
      </c>
      <c r="S198" s="15">
        <f>$Q$198+$R$198</f>
        <v>0</v>
      </c>
    </row>
    <row r="199" spans="1:19" x14ac:dyDescent="0.3">
      <c r="A199" s="10" t="s">
        <v>739</v>
      </c>
      <c r="B199" s="11" t="s">
        <v>740</v>
      </c>
      <c r="C199" s="11" t="s">
        <v>65</v>
      </c>
      <c r="D199" s="11" t="s">
        <v>239</v>
      </c>
      <c r="E199" s="11">
        <f xml:space="preserve"> IF($S$199,1,0)</f>
        <v>0</v>
      </c>
      <c r="F199" s="11" t="s">
        <v>741</v>
      </c>
      <c r="G199" s="11">
        <v>0</v>
      </c>
      <c r="H199" s="11">
        <v>0</v>
      </c>
      <c r="I199" s="11">
        <v>0</v>
      </c>
      <c r="J199" s="11">
        <v>0</v>
      </c>
      <c r="K199" s="11">
        <v>0</v>
      </c>
      <c r="L199" s="11">
        <v>0</v>
      </c>
      <c r="M199" s="11">
        <v>0</v>
      </c>
      <c r="N199" s="11">
        <v>0</v>
      </c>
      <c r="O199" s="11">
        <v>0</v>
      </c>
      <c r="P199" s="11">
        <v>0</v>
      </c>
      <c r="Q199" s="12">
        <f>$G$199*$G$8+$H$199*$H$8+$I$199*$I$8+$J$199*$J$8+$K$199*$K$8+$L$199*$L$8+$M$199*$M$8+$N$199*$N$8+$O$199*$O$8+$P$199*$P$8</f>
        <v>0</v>
      </c>
      <c r="R199" s="12">
        <v>0</v>
      </c>
      <c r="S199" s="12">
        <f>$Q$199+$R$199</f>
        <v>0</v>
      </c>
    </row>
    <row r="200" spans="1:19" x14ac:dyDescent="0.3">
      <c r="A200" s="13" t="s">
        <v>742</v>
      </c>
      <c r="B200" s="14" t="s">
        <v>743</v>
      </c>
      <c r="C200" s="14"/>
      <c r="D200" s="14" t="s">
        <v>744</v>
      </c>
      <c r="E200" s="14">
        <f xml:space="preserve"> IF($S$200,1,0)</f>
        <v>0</v>
      </c>
      <c r="F200" s="14" t="s">
        <v>745</v>
      </c>
      <c r="G200" s="14">
        <v>0</v>
      </c>
      <c r="H200" s="14">
        <v>0</v>
      </c>
      <c r="I200" s="14">
        <v>0</v>
      </c>
      <c r="J200" s="14">
        <v>0</v>
      </c>
      <c r="K200" s="14">
        <v>0</v>
      </c>
      <c r="L200" s="14">
        <v>0</v>
      </c>
      <c r="M200" s="14">
        <v>0</v>
      </c>
      <c r="N200" s="14">
        <v>0</v>
      </c>
      <c r="O200" s="14">
        <v>0</v>
      </c>
      <c r="P200" s="14">
        <v>0</v>
      </c>
      <c r="Q200" s="15">
        <f>$G$200*$G$8+$H$200*$H$8+$I$200*$I$8+$J$200*$J$8+$K$200*$K$8+$L$200*$L$8+$M$200*$M$8+$N$200*$N$8+$O$200*$O$8+$P$200*$P$8</f>
        <v>0</v>
      </c>
      <c r="R200" s="15">
        <v>0</v>
      </c>
      <c r="S200" s="15">
        <f>$Q$200+$R$200</f>
        <v>0</v>
      </c>
    </row>
    <row r="201" spans="1:19" x14ac:dyDescent="0.3">
      <c r="A201" s="10" t="s">
        <v>746</v>
      </c>
      <c r="B201" s="11" t="s">
        <v>747</v>
      </c>
      <c r="C201" s="11"/>
      <c r="D201" s="11" t="s">
        <v>748</v>
      </c>
      <c r="E201" s="11">
        <f xml:space="preserve"> IF($S$201,1,0)</f>
        <v>0</v>
      </c>
      <c r="F201" s="11" t="s">
        <v>749</v>
      </c>
      <c r="G201" s="11">
        <v>0</v>
      </c>
      <c r="H201" s="11">
        <v>0</v>
      </c>
      <c r="I201" s="11">
        <v>0</v>
      </c>
      <c r="J201" s="11">
        <v>0</v>
      </c>
      <c r="K201" s="11">
        <v>0</v>
      </c>
      <c r="L201" s="11">
        <v>0</v>
      </c>
      <c r="M201" s="11">
        <v>0</v>
      </c>
      <c r="N201" s="11">
        <v>0</v>
      </c>
      <c r="O201" s="11">
        <v>0</v>
      </c>
      <c r="P201" s="11">
        <v>0</v>
      </c>
      <c r="Q201" s="12">
        <f>$G$201*$G$8+$H$201*$H$8+$I$201*$I$8+$J$201*$J$8+$K$201*$K$8+$L$201*$L$8+$M$201*$M$8+$N$201*$N$8+$O$201*$O$8+$P$201*$P$8</f>
        <v>0</v>
      </c>
      <c r="R201" s="12">
        <v>0</v>
      </c>
      <c r="S201" s="12">
        <f>$Q$201+$R$201</f>
        <v>0</v>
      </c>
    </row>
    <row r="202" spans="1:19" x14ac:dyDescent="0.3">
      <c r="A202" s="13" t="s">
        <v>750</v>
      </c>
      <c r="B202" s="14" t="s">
        <v>751</v>
      </c>
      <c r="C202" s="14"/>
      <c r="D202" s="14" t="s">
        <v>752</v>
      </c>
      <c r="E202" s="14">
        <f xml:space="preserve"> IF($S$202,1,0)</f>
        <v>0</v>
      </c>
      <c r="F202" s="14" t="s">
        <v>753</v>
      </c>
      <c r="G202" s="14">
        <v>0</v>
      </c>
      <c r="H202" s="14">
        <v>0</v>
      </c>
      <c r="I202" s="14">
        <v>0</v>
      </c>
      <c r="J202" s="14">
        <v>0</v>
      </c>
      <c r="K202" s="14">
        <v>0</v>
      </c>
      <c r="L202" s="14">
        <v>0</v>
      </c>
      <c r="M202" s="14">
        <v>0</v>
      </c>
      <c r="N202" s="14">
        <v>0</v>
      </c>
      <c r="O202" s="14">
        <v>0</v>
      </c>
      <c r="P202" s="14">
        <v>0</v>
      </c>
      <c r="Q202" s="15">
        <f>$G$202*$G$8+$H$202*$H$8+$I$202*$I$8+$J$202*$J$8+$K$202*$K$8+$L$202*$L$8+$M$202*$M$8+$N$202*$N$8+$O$202*$O$8+$P$202*$P$8</f>
        <v>0</v>
      </c>
      <c r="R202" s="15">
        <v>0</v>
      </c>
      <c r="S202" s="15">
        <f>$Q$202+$R$202</f>
        <v>0</v>
      </c>
    </row>
    <row r="203" spans="1:19" x14ac:dyDescent="0.3">
      <c r="A203" s="10" t="s">
        <v>754</v>
      </c>
      <c r="B203" s="11" t="s">
        <v>755</v>
      </c>
      <c r="C203" s="11"/>
      <c r="D203" s="11" t="s">
        <v>756</v>
      </c>
      <c r="E203" s="11">
        <f xml:space="preserve"> IF($S$203,1,0)</f>
        <v>0</v>
      </c>
      <c r="F203" s="11" t="s">
        <v>757</v>
      </c>
      <c r="G203" s="11">
        <v>0</v>
      </c>
      <c r="H203" s="11">
        <v>0</v>
      </c>
      <c r="I203" s="11">
        <v>0</v>
      </c>
      <c r="J203" s="11">
        <v>0</v>
      </c>
      <c r="K203" s="11">
        <v>0</v>
      </c>
      <c r="L203" s="11">
        <v>0</v>
      </c>
      <c r="M203" s="11">
        <v>0</v>
      </c>
      <c r="N203" s="11">
        <v>0</v>
      </c>
      <c r="O203" s="11">
        <v>0</v>
      </c>
      <c r="P203" s="11">
        <v>0</v>
      </c>
      <c r="Q203" s="12">
        <f>$G$203*$G$8+$H$203*$H$8+$I$203*$I$8+$J$203*$J$8+$K$203*$K$8+$L$203*$L$8+$M$203*$M$8+$N$203*$N$8+$O$203*$O$8+$P$203*$P$8</f>
        <v>0</v>
      </c>
      <c r="R203" s="12">
        <v>0</v>
      </c>
      <c r="S203" s="12">
        <f>$Q$203+$R$203</f>
        <v>0</v>
      </c>
    </row>
    <row r="204" spans="1:19" x14ac:dyDescent="0.3">
      <c r="A204" s="13" t="s">
        <v>758</v>
      </c>
      <c r="B204" s="14" t="s">
        <v>759</v>
      </c>
      <c r="C204" s="14"/>
      <c r="D204" s="14" t="s">
        <v>760</v>
      </c>
      <c r="E204" s="14">
        <f xml:space="preserve"> IF($S$204,1,0)</f>
        <v>0</v>
      </c>
      <c r="F204" s="14" t="s">
        <v>761</v>
      </c>
      <c r="G204" s="14">
        <v>0</v>
      </c>
      <c r="H204" s="14">
        <v>0</v>
      </c>
      <c r="I204" s="14">
        <v>0</v>
      </c>
      <c r="J204" s="14">
        <v>0</v>
      </c>
      <c r="K204" s="14">
        <v>0</v>
      </c>
      <c r="L204" s="14">
        <v>0</v>
      </c>
      <c r="M204" s="14">
        <v>0</v>
      </c>
      <c r="N204" s="14">
        <v>0</v>
      </c>
      <c r="O204" s="14">
        <v>0</v>
      </c>
      <c r="P204" s="14">
        <v>0</v>
      </c>
      <c r="Q204" s="15">
        <f>$G$204*$G$8+$H$204*$H$8+$I$204*$I$8+$J$204*$J$8+$K$204*$K$8+$L$204*$L$8+$M$204*$M$8+$N$204*$N$8+$O$204*$O$8+$P$204*$P$8</f>
        <v>0</v>
      </c>
      <c r="R204" s="15">
        <v>0</v>
      </c>
      <c r="S204" s="15">
        <f>$Q$204+$R$204</f>
        <v>0</v>
      </c>
    </row>
    <row r="205" spans="1:19" x14ac:dyDescent="0.3">
      <c r="A205" s="10" t="s">
        <v>762</v>
      </c>
      <c r="B205" s="11" t="s">
        <v>763</v>
      </c>
      <c r="C205" s="11"/>
      <c r="D205" s="11" t="s">
        <v>764</v>
      </c>
      <c r="E205" s="11">
        <f xml:space="preserve"> IF($S$205,1,0)</f>
        <v>0</v>
      </c>
      <c r="F205" s="11" t="s">
        <v>765</v>
      </c>
      <c r="G205" s="11">
        <v>0</v>
      </c>
      <c r="H205" s="11">
        <v>0</v>
      </c>
      <c r="I205" s="11">
        <v>0</v>
      </c>
      <c r="J205" s="11">
        <v>0</v>
      </c>
      <c r="K205" s="11">
        <v>0</v>
      </c>
      <c r="L205" s="11">
        <v>0</v>
      </c>
      <c r="M205" s="11">
        <v>0</v>
      </c>
      <c r="N205" s="11">
        <v>0</v>
      </c>
      <c r="O205" s="11">
        <v>0</v>
      </c>
      <c r="P205" s="11">
        <v>0</v>
      </c>
      <c r="Q205" s="12">
        <f>$G$205*$G$8+$H$205*$H$8+$I$205*$I$8+$J$205*$J$8+$K$205*$K$8+$L$205*$L$8+$M$205*$M$8+$N$205*$N$8+$O$205*$O$8+$P$205*$P$8</f>
        <v>0</v>
      </c>
      <c r="R205" s="12">
        <v>0</v>
      </c>
      <c r="S205" s="12">
        <f>$Q$205+$R$205</f>
        <v>0</v>
      </c>
    </row>
    <row r="206" spans="1:19" x14ac:dyDescent="0.3">
      <c r="A206" s="13" t="s">
        <v>766</v>
      </c>
      <c r="B206" s="14" t="s">
        <v>767</v>
      </c>
      <c r="C206" s="14"/>
      <c r="D206" s="14" t="s">
        <v>768</v>
      </c>
      <c r="E206" s="14">
        <f xml:space="preserve"> IF($S$206,1,0)</f>
        <v>0</v>
      </c>
      <c r="F206" s="14" t="s">
        <v>769</v>
      </c>
      <c r="G206" s="14">
        <v>0</v>
      </c>
      <c r="H206" s="14">
        <v>0</v>
      </c>
      <c r="I206" s="14">
        <v>0</v>
      </c>
      <c r="J206" s="14">
        <v>0</v>
      </c>
      <c r="K206" s="14">
        <v>0</v>
      </c>
      <c r="L206" s="14">
        <v>0</v>
      </c>
      <c r="M206" s="14">
        <v>0</v>
      </c>
      <c r="N206" s="14">
        <v>0</v>
      </c>
      <c r="O206" s="14">
        <v>0</v>
      </c>
      <c r="P206" s="14">
        <v>0</v>
      </c>
      <c r="Q206" s="15">
        <f>$G$206*$G$8+$H$206*$H$8+$I$206*$I$8+$J$206*$J$8+$K$206*$K$8+$L$206*$L$8+$M$206*$M$8+$N$206*$N$8+$O$206*$O$8+$P$206*$P$8</f>
        <v>0</v>
      </c>
      <c r="R206" s="15">
        <v>0</v>
      </c>
      <c r="S206" s="15">
        <f>$Q$206+$R$206</f>
        <v>0</v>
      </c>
    </row>
    <row r="207" spans="1:19" x14ac:dyDescent="0.3">
      <c r="A207" s="10" t="s">
        <v>770</v>
      </c>
      <c r="B207" s="11" t="s">
        <v>771</v>
      </c>
      <c r="C207" s="11"/>
      <c r="D207" s="11" t="s">
        <v>772</v>
      </c>
      <c r="E207" s="11">
        <f xml:space="preserve"> IF($S$207,1,0)</f>
        <v>0</v>
      </c>
      <c r="F207" s="11" t="s">
        <v>773</v>
      </c>
      <c r="G207" s="11">
        <v>0</v>
      </c>
      <c r="H207" s="11">
        <v>0</v>
      </c>
      <c r="I207" s="11">
        <v>0</v>
      </c>
      <c r="J207" s="11">
        <v>0</v>
      </c>
      <c r="K207" s="11">
        <v>0</v>
      </c>
      <c r="L207" s="11">
        <v>0</v>
      </c>
      <c r="M207" s="11">
        <v>0</v>
      </c>
      <c r="N207" s="11">
        <v>0</v>
      </c>
      <c r="O207" s="11">
        <v>0</v>
      </c>
      <c r="P207" s="11">
        <v>0</v>
      </c>
      <c r="Q207" s="12">
        <f>$G$207*$G$8+$H$207*$H$8+$I$207*$I$8+$J$207*$J$8+$K$207*$K$8+$L$207*$L$8+$M$207*$M$8+$N$207*$N$8+$O$207*$O$8+$P$207*$P$8</f>
        <v>0</v>
      </c>
      <c r="R207" s="12">
        <v>0</v>
      </c>
      <c r="S207" s="12">
        <f>$Q$207+$R$207</f>
        <v>0</v>
      </c>
    </row>
    <row r="208" spans="1:19" x14ac:dyDescent="0.3">
      <c r="A208" s="13" t="s">
        <v>774</v>
      </c>
      <c r="B208" s="14" t="s">
        <v>775</v>
      </c>
      <c r="C208" s="14"/>
      <c r="D208" s="14" t="s">
        <v>776</v>
      </c>
      <c r="E208" s="14">
        <f xml:space="preserve"> IF($S$208,1,0)</f>
        <v>0</v>
      </c>
      <c r="F208" s="14" t="s">
        <v>777</v>
      </c>
      <c r="G208" s="14">
        <v>0</v>
      </c>
      <c r="H208" s="14">
        <v>0</v>
      </c>
      <c r="I208" s="14">
        <v>0</v>
      </c>
      <c r="J208" s="14">
        <v>0</v>
      </c>
      <c r="K208" s="14">
        <v>0</v>
      </c>
      <c r="L208" s="14">
        <v>0</v>
      </c>
      <c r="M208" s="14">
        <v>0</v>
      </c>
      <c r="N208" s="14">
        <v>0</v>
      </c>
      <c r="O208" s="14">
        <v>0</v>
      </c>
      <c r="P208" s="14">
        <v>0</v>
      </c>
      <c r="Q208" s="15">
        <f>$G$208*$G$8+$H$208*$H$8+$I$208*$I$8+$J$208*$J$8+$K$208*$K$8+$L$208*$L$8+$M$208*$M$8+$N$208*$N$8+$O$208*$O$8+$P$208*$P$8</f>
        <v>0</v>
      </c>
      <c r="R208" s="15">
        <v>0</v>
      </c>
      <c r="S208" s="15">
        <f>$Q$208+$R$208</f>
        <v>0</v>
      </c>
    </row>
    <row r="209" spans="1:19" x14ac:dyDescent="0.3">
      <c r="A209" s="10" t="s">
        <v>778</v>
      </c>
      <c r="B209" s="11" t="s">
        <v>779</v>
      </c>
      <c r="C209" s="11"/>
      <c r="D209" s="11" t="s">
        <v>780</v>
      </c>
      <c r="E209" s="11">
        <f xml:space="preserve"> IF($S$209,1,0)</f>
        <v>0</v>
      </c>
      <c r="F209" s="11" t="s">
        <v>781</v>
      </c>
      <c r="G209" s="11">
        <v>0</v>
      </c>
      <c r="H209" s="11">
        <v>0</v>
      </c>
      <c r="I209" s="11">
        <v>0</v>
      </c>
      <c r="J209" s="11">
        <v>0</v>
      </c>
      <c r="K209" s="11">
        <v>0</v>
      </c>
      <c r="L209" s="11">
        <v>0</v>
      </c>
      <c r="M209" s="11">
        <v>0</v>
      </c>
      <c r="N209" s="11">
        <v>0</v>
      </c>
      <c r="O209" s="11">
        <v>0</v>
      </c>
      <c r="P209" s="11">
        <v>0</v>
      </c>
      <c r="Q209" s="12">
        <f>$G$209*$G$8+$H$209*$H$8+$I$209*$I$8+$J$209*$J$8+$K$209*$K$8+$L$209*$L$8+$M$209*$M$8+$N$209*$N$8+$O$209*$O$8+$P$209*$P$8</f>
        <v>0</v>
      </c>
      <c r="R209" s="12">
        <v>0</v>
      </c>
      <c r="S209" s="12">
        <f>$Q$209+$R$209</f>
        <v>0</v>
      </c>
    </row>
    <row r="210" spans="1:19" x14ac:dyDescent="0.3">
      <c r="A210" s="13" t="s">
        <v>782</v>
      </c>
      <c r="B210" s="14" t="s">
        <v>779</v>
      </c>
      <c r="C210" s="14"/>
      <c r="D210" s="14" t="s">
        <v>783</v>
      </c>
      <c r="E210" s="14">
        <f xml:space="preserve"> IF($S$210,1,0)</f>
        <v>0</v>
      </c>
      <c r="F210" s="14" t="s">
        <v>784</v>
      </c>
      <c r="G210" s="14">
        <v>0</v>
      </c>
      <c r="H210" s="14">
        <v>0</v>
      </c>
      <c r="I210" s="14">
        <v>0</v>
      </c>
      <c r="J210" s="14">
        <v>0</v>
      </c>
      <c r="K210" s="14">
        <v>0</v>
      </c>
      <c r="L210" s="14">
        <v>0</v>
      </c>
      <c r="M210" s="14">
        <v>0</v>
      </c>
      <c r="N210" s="14">
        <v>0</v>
      </c>
      <c r="O210" s="14">
        <v>0</v>
      </c>
      <c r="P210" s="14">
        <v>0</v>
      </c>
      <c r="Q210" s="15">
        <f>$G$210*$G$8+$H$210*$H$8+$I$210*$I$8+$J$210*$J$8+$K$210*$K$8+$L$210*$L$8+$M$210*$M$8+$N$210*$N$8+$O$210*$O$8+$P$210*$P$8</f>
        <v>0</v>
      </c>
      <c r="R210" s="15">
        <v>0</v>
      </c>
      <c r="S210" s="15">
        <f>$Q$210+$R$210</f>
        <v>0</v>
      </c>
    </row>
    <row r="211" spans="1:19" x14ac:dyDescent="0.3">
      <c r="A211" s="10" t="s">
        <v>785</v>
      </c>
      <c r="B211" s="11" t="s">
        <v>779</v>
      </c>
      <c r="C211" s="11"/>
      <c r="D211" s="11" t="s">
        <v>786</v>
      </c>
      <c r="E211" s="11">
        <f xml:space="preserve"> IF($S$211,1,0)</f>
        <v>0</v>
      </c>
      <c r="F211" s="11" t="s">
        <v>787</v>
      </c>
      <c r="G211" s="11">
        <v>0</v>
      </c>
      <c r="H211" s="11">
        <v>0</v>
      </c>
      <c r="I211" s="11">
        <v>0</v>
      </c>
      <c r="J211" s="11">
        <v>0</v>
      </c>
      <c r="K211" s="11">
        <v>0</v>
      </c>
      <c r="L211" s="11">
        <v>0</v>
      </c>
      <c r="M211" s="11">
        <v>0</v>
      </c>
      <c r="N211" s="11">
        <v>0</v>
      </c>
      <c r="O211" s="11">
        <v>0</v>
      </c>
      <c r="P211" s="11">
        <v>0</v>
      </c>
      <c r="Q211" s="12">
        <f>$G$211*$G$8+$H$211*$H$8+$I$211*$I$8+$J$211*$J$8+$K$211*$K$8+$L$211*$L$8+$M$211*$M$8+$N$211*$N$8+$O$211*$O$8+$P$211*$P$8</f>
        <v>0</v>
      </c>
      <c r="R211" s="12">
        <v>0</v>
      </c>
      <c r="S211" s="12">
        <f>$Q$211+$R$211</f>
        <v>0</v>
      </c>
    </row>
    <row r="212" spans="1:19" x14ac:dyDescent="0.3">
      <c r="A212" s="13" t="s">
        <v>788</v>
      </c>
      <c r="B212" s="14" t="s">
        <v>789</v>
      </c>
      <c r="C212" s="14"/>
      <c r="D212" s="14" t="s">
        <v>790</v>
      </c>
      <c r="E212" s="14">
        <f xml:space="preserve"> IF($S$212,1,0)</f>
        <v>0</v>
      </c>
      <c r="F212" s="14" t="s">
        <v>791</v>
      </c>
      <c r="G212" s="14">
        <v>0</v>
      </c>
      <c r="H212" s="14">
        <v>0</v>
      </c>
      <c r="I212" s="14">
        <v>0</v>
      </c>
      <c r="J212" s="14">
        <v>0</v>
      </c>
      <c r="K212" s="14">
        <v>0</v>
      </c>
      <c r="L212" s="14">
        <v>0</v>
      </c>
      <c r="M212" s="14">
        <v>0</v>
      </c>
      <c r="N212" s="14">
        <v>0</v>
      </c>
      <c r="O212" s="14">
        <v>0</v>
      </c>
      <c r="P212" s="14">
        <v>0</v>
      </c>
      <c r="Q212" s="15">
        <f>$G$212*$G$8+$H$212*$H$8+$I$212*$I$8+$J$212*$J$8+$K$212*$K$8+$L$212*$L$8+$M$212*$M$8+$N$212*$N$8+$O$212*$O$8+$P$212*$P$8</f>
        <v>0</v>
      </c>
      <c r="R212" s="15">
        <v>0</v>
      </c>
      <c r="S212" s="15">
        <f>$Q$212+$R$212</f>
        <v>0</v>
      </c>
    </row>
    <row r="213" spans="1:19" x14ac:dyDescent="0.3">
      <c r="A213" s="10" t="s">
        <v>792</v>
      </c>
      <c r="B213" s="11" t="s">
        <v>793</v>
      </c>
      <c r="C213" s="11"/>
      <c r="D213" s="11" t="s">
        <v>794</v>
      </c>
      <c r="E213" s="11">
        <f xml:space="preserve"> IF($S$213,1,0)</f>
        <v>0</v>
      </c>
      <c r="F213" s="11" t="s">
        <v>795</v>
      </c>
      <c r="G213" s="11">
        <v>0</v>
      </c>
      <c r="H213" s="11">
        <v>0</v>
      </c>
      <c r="I213" s="11">
        <v>0</v>
      </c>
      <c r="J213" s="11">
        <v>0</v>
      </c>
      <c r="K213" s="11">
        <v>0</v>
      </c>
      <c r="L213" s="11">
        <v>0</v>
      </c>
      <c r="M213" s="11">
        <v>0</v>
      </c>
      <c r="N213" s="11">
        <v>0</v>
      </c>
      <c r="O213" s="11">
        <v>0</v>
      </c>
      <c r="P213" s="11">
        <v>0</v>
      </c>
      <c r="Q213" s="12">
        <f>$G$213*$G$8+$H$213*$H$8+$I$213*$I$8+$J$213*$J$8+$K$213*$K$8+$L$213*$L$8+$M$213*$M$8+$N$213*$N$8+$O$213*$O$8+$P$213*$P$8</f>
        <v>0</v>
      </c>
      <c r="R213" s="12">
        <v>0</v>
      </c>
      <c r="S213" s="12">
        <f>$Q$213+$R$213</f>
        <v>0</v>
      </c>
    </row>
    <row r="214" spans="1:19" x14ac:dyDescent="0.3">
      <c r="A214" s="13" t="s">
        <v>796</v>
      </c>
      <c r="B214" s="14" t="s">
        <v>797</v>
      </c>
      <c r="C214" s="14"/>
      <c r="D214" s="14" t="s">
        <v>798</v>
      </c>
      <c r="E214" s="14">
        <f xml:space="preserve"> IF($S$214,1,0)</f>
        <v>0</v>
      </c>
      <c r="F214" s="14" t="s">
        <v>799</v>
      </c>
      <c r="G214" s="14">
        <v>0</v>
      </c>
      <c r="H214" s="14">
        <v>0</v>
      </c>
      <c r="I214" s="14">
        <v>0</v>
      </c>
      <c r="J214" s="14">
        <v>0</v>
      </c>
      <c r="K214" s="14">
        <v>0</v>
      </c>
      <c r="L214" s="14">
        <v>0</v>
      </c>
      <c r="M214" s="14">
        <v>0</v>
      </c>
      <c r="N214" s="14">
        <v>0</v>
      </c>
      <c r="O214" s="14">
        <v>0</v>
      </c>
      <c r="P214" s="14">
        <v>0</v>
      </c>
      <c r="Q214" s="15">
        <f>$G$214*$G$8+$H$214*$H$8+$I$214*$I$8+$J$214*$J$8+$K$214*$K$8+$L$214*$L$8+$M$214*$M$8+$N$214*$N$8+$O$214*$O$8+$P$214*$P$8</f>
        <v>0</v>
      </c>
      <c r="R214" s="15">
        <v>0</v>
      </c>
      <c r="S214" s="15">
        <f>$Q$214+$R$214</f>
        <v>0</v>
      </c>
    </row>
    <row r="215" spans="1:19" x14ac:dyDescent="0.3">
      <c r="A215" s="10" t="s">
        <v>800</v>
      </c>
      <c r="B215" s="11" t="s">
        <v>797</v>
      </c>
      <c r="C215" s="11" t="s">
        <v>34</v>
      </c>
      <c r="D215" s="11" t="s">
        <v>801</v>
      </c>
      <c r="E215" s="11">
        <f xml:space="preserve"> IF($S$215,1,0)</f>
        <v>0</v>
      </c>
      <c r="F215" s="11" t="s">
        <v>802</v>
      </c>
      <c r="G215" s="11">
        <v>0</v>
      </c>
      <c r="H215" s="11">
        <v>0</v>
      </c>
      <c r="I215" s="11">
        <v>0</v>
      </c>
      <c r="J215" s="11">
        <v>0</v>
      </c>
      <c r="K215" s="11">
        <v>0</v>
      </c>
      <c r="L215" s="11">
        <v>0</v>
      </c>
      <c r="M215" s="11">
        <v>0</v>
      </c>
      <c r="N215" s="11">
        <v>0</v>
      </c>
      <c r="O215" s="11">
        <v>0</v>
      </c>
      <c r="P215" s="11">
        <v>0</v>
      </c>
      <c r="Q215" s="12">
        <f>$G$215*$G$8+$H$215*$H$8+$I$215*$I$8+$J$215*$J$8+$K$215*$K$8+$L$215*$L$8+$M$215*$M$8+$N$215*$N$8+$O$215*$O$8+$P$215*$P$8</f>
        <v>0</v>
      </c>
      <c r="R215" s="12">
        <v>0</v>
      </c>
      <c r="S215" s="12">
        <f>$Q$215+$R$215</f>
        <v>0</v>
      </c>
    </row>
    <row r="216" spans="1:19" x14ac:dyDescent="0.3">
      <c r="A216" s="13" t="s">
        <v>803</v>
      </c>
      <c r="B216" s="14" t="s">
        <v>804</v>
      </c>
      <c r="C216" s="14" t="s">
        <v>34</v>
      </c>
      <c r="D216" s="14" t="s">
        <v>805</v>
      </c>
      <c r="E216" s="14">
        <f xml:space="preserve"> IF($S$216,1,0)</f>
        <v>0</v>
      </c>
      <c r="F216" s="14" t="s">
        <v>806</v>
      </c>
      <c r="G216" s="14">
        <v>0</v>
      </c>
      <c r="H216" s="14">
        <v>0</v>
      </c>
      <c r="I216" s="14">
        <v>0</v>
      </c>
      <c r="J216" s="14">
        <v>0</v>
      </c>
      <c r="K216" s="14">
        <v>0</v>
      </c>
      <c r="L216" s="14">
        <v>0</v>
      </c>
      <c r="M216" s="14">
        <v>0</v>
      </c>
      <c r="N216" s="14">
        <v>0</v>
      </c>
      <c r="O216" s="14">
        <v>0</v>
      </c>
      <c r="P216" s="14">
        <v>0</v>
      </c>
      <c r="Q216" s="15">
        <f>$G$216*$G$8+$H$216*$H$8+$I$216*$I$8+$J$216*$J$8+$K$216*$K$8+$L$216*$L$8+$M$216*$M$8+$N$216*$N$8+$O$216*$O$8+$P$216*$P$8</f>
        <v>0</v>
      </c>
      <c r="R216" s="15">
        <v>0</v>
      </c>
      <c r="S216" s="15">
        <f>$Q$216+$R$216</f>
        <v>0</v>
      </c>
    </row>
    <row r="217" spans="1:19" x14ac:dyDescent="0.3">
      <c r="A217" s="10" t="s">
        <v>807</v>
      </c>
      <c r="B217" s="11" t="s">
        <v>808</v>
      </c>
      <c r="C217" s="11"/>
      <c r="D217" s="11" t="s">
        <v>809</v>
      </c>
      <c r="E217" s="11">
        <f xml:space="preserve"> IF($S$217,1,0)</f>
        <v>0</v>
      </c>
      <c r="F217" s="11" t="s">
        <v>810</v>
      </c>
      <c r="G217" s="11">
        <v>0</v>
      </c>
      <c r="H217" s="11">
        <v>0</v>
      </c>
      <c r="I217" s="11">
        <v>0</v>
      </c>
      <c r="J217" s="11">
        <v>0</v>
      </c>
      <c r="K217" s="11">
        <v>0</v>
      </c>
      <c r="L217" s="11">
        <v>0</v>
      </c>
      <c r="M217" s="11">
        <v>0</v>
      </c>
      <c r="N217" s="11">
        <v>0</v>
      </c>
      <c r="O217" s="11">
        <v>0</v>
      </c>
      <c r="P217" s="11">
        <v>0</v>
      </c>
      <c r="Q217" s="12">
        <f>$G$217*$G$8+$H$217*$H$8+$I$217*$I$8+$J$217*$J$8+$K$217*$K$8+$L$217*$L$8+$M$217*$M$8+$N$217*$N$8+$O$217*$O$8+$P$217*$P$8</f>
        <v>0</v>
      </c>
      <c r="R217" s="12">
        <v>0</v>
      </c>
      <c r="S217" s="12">
        <f>$Q$217+$R$217</f>
        <v>0</v>
      </c>
    </row>
    <row r="218" spans="1:19" x14ac:dyDescent="0.3">
      <c r="A218" s="13" t="s">
        <v>811</v>
      </c>
      <c r="B218" s="14" t="s">
        <v>812</v>
      </c>
      <c r="C218" s="14"/>
      <c r="D218" s="14" t="s">
        <v>813</v>
      </c>
      <c r="E218" s="14">
        <f xml:space="preserve"> IF($S$218,1,0)</f>
        <v>0</v>
      </c>
      <c r="F218" s="14" t="s">
        <v>814</v>
      </c>
      <c r="G218" s="14">
        <v>0</v>
      </c>
      <c r="H218" s="14">
        <v>0</v>
      </c>
      <c r="I218" s="14">
        <v>0</v>
      </c>
      <c r="J218" s="14">
        <v>0</v>
      </c>
      <c r="K218" s="14">
        <v>0</v>
      </c>
      <c r="L218" s="14">
        <v>0</v>
      </c>
      <c r="M218" s="14">
        <v>0</v>
      </c>
      <c r="N218" s="14">
        <v>0</v>
      </c>
      <c r="O218" s="14">
        <v>0</v>
      </c>
      <c r="P218" s="14">
        <v>0</v>
      </c>
      <c r="Q218" s="15">
        <f>$G$218*$G$8+$H$218*$H$8+$I$218*$I$8+$J$218*$J$8+$K$218*$K$8+$L$218*$L$8+$M$218*$M$8+$N$218*$N$8+$O$218*$O$8+$P$218*$P$8</f>
        <v>0</v>
      </c>
      <c r="R218" s="15">
        <v>0</v>
      </c>
      <c r="S218" s="15">
        <f>$Q$218+$R$218</f>
        <v>0</v>
      </c>
    </row>
    <row r="219" spans="1:19" x14ac:dyDescent="0.3">
      <c r="A219" s="10" t="s">
        <v>815</v>
      </c>
      <c r="B219" s="11" t="s">
        <v>816</v>
      </c>
      <c r="C219" s="11"/>
      <c r="D219" s="11" t="s">
        <v>817</v>
      </c>
      <c r="E219" s="11">
        <f xml:space="preserve"> IF($S$219,1,0)</f>
        <v>0</v>
      </c>
      <c r="F219" s="11" t="s">
        <v>818</v>
      </c>
      <c r="G219" s="11">
        <v>0</v>
      </c>
      <c r="H219" s="11">
        <v>0</v>
      </c>
      <c r="I219" s="11">
        <v>0</v>
      </c>
      <c r="J219" s="11">
        <v>0</v>
      </c>
      <c r="K219" s="11">
        <v>0</v>
      </c>
      <c r="L219" s="11">
        <v>0</v>
      </c>
      <c r="M219" s="11">
        <v>0</v>
      </c>
      <c r="N219" s="11">
        <v>0</v>
      </c>
      <c r="O219" s="11">
        <v>0</v>
      </c>
      <c r="P219" s="11">
        <v>0</v>
      </c>
      <c r="Q219" s="12">
        <f>$G$219*$G$8+$H$219*$H$8+$I$219*$I$8+$J$219*$J$8+$K$219*$K$8+$L$219*$L$8+$M$219*$M$8+$N$219*$N$8+$O$219*$O$8+$P$219*$P$8</f>
        <v>0</v>
      </c>
      <c r="R219" s="12">
        <v>0</v>
      </c>
      <c r="S219" s="12">
        <f>$Q$219+$R$219</f>
        <v>0</v>
      </c>
    </row>
    <row r="220" spans="1:19" x14ac:dyDescent="0.3">
      <c r="A220" s="13" t="s">
        <v>819</v>
      </c>
      <c r="B220" s="14" t="s">
        <v>820</v>
      </c>
      <c r="C220" s="14"/>
      <c r="D220" s="14" t="s">
        <v>821</v>
      </c>
      <c r="E220" s="14">
        <f xml:space="preserve"> IF($S$220,1,0)</f>
        <v>0</v>
      </c>
      <c r="F220" s="14" t="s">
        <v>822</v>
      </c>
      <c r="G220" s="14">
        <v>0</v>
      </c>
      <c r="H220" s="14">
        <v>0</v>
      </c>
      <c r="I220" s="14">
        <v>0</v>
      </c>
      <c r="J220" s="14">
        <v>0</v>
      </c>
      <c r="K220" s="14">
        <v>0</v>
      </c>
      <c r="L220" s="14">
        <v>0</v>
      </c>
      <c r="M220" s="14">
        <v>0</v>
      </c>
      <c r="N220" s="14">
        <v>0</v>
      </c>
      <c r="O220" s="14">
        <v>0</v>
      </c>
      <c r="P220" s="14">
        <v>0</v>
      </c>
      <c r="Q220" s="15">
        <f>$G$220*$G$8+$H$220*$H$8+$I$220*$I$8+$J$220*$J$8+$K$220*$K$8+$L$220*$L$8+$M$220*$M$8+$N$220*$N$8+$O$220*$O$8+$P$220*$P$8</f>
        <v>0</v>
      </c>
      <c r="R220" s="15">
        <v>0</v>
      </c>
      <c r="S220" s="15">
        <f>$Q$220+$R$220</f>
        <v>0</v>
      </c>
    </row>
    <row r="221" spans="1:19" x14ac:dyDescent="0.3">
      <c r="A221" s="10" t="s">
        <v>823</v>
      </c>
      <c r="B221" s="11" t="s">
        <v>824</v>
      </c>
      <c r="C221" s="11"/>
      <c r="D221" s="11" t="s">
        <v>825</v>
      </c>
      <c r="E221" s="11">
        <f xml:space="preserve"> IF($S$221,1,0)</f>
        <v>0</v>
      </c>
      <c r="F221" s="11" t="s">
        <v>826</v>
      </c>
      <c r="G221" s="11">
        <v>0</v>
      </c>
      <c r="H221" s="11">
        <v>0</v>
      </c>
      <c r="I221" s="11">
        <v>0</v>
      </c>
      <c r="J221" s="11">
        <v>0</v>
      </c>
      <c r="K221" s="11">
        <v>0</v>
      </c>
      <c r="L221" s="11">
        <v>0</v>
      </c>
      <c r="M221" s="11">
        <v>0</v>
      </c>
      <c r="N221" s="11">
        <v>0</v>
      </c>
      <c r="O221" s="11">
        <v>0</v>
      </c>
      <c r="P221" s="11">
        <v>0</v>
      </c>
      <c r="Q221" s="12">
        <f>$G$221*$G$8+$H$221*$H$8+$I$221*$I$8+$J$221*$J$8+$K$221*$K$8+$L$221*$L$8+$M$221*$M$8+$N$221*$N$8+$O$221*$O$8+$P$221*$P$8</f>
        <v>0</v>
      </c>
      <c r="R221" s="12">
        <v>0</v>
      </c>
      <c r="S221" s="12">
        <f>$Q$221+$R$221</f>
        <v>0</v>
      </c>
    </row>
    <row r="222" spans="1:19" x14ac:dyDescent="0.3">
      <c r="A222" s="13" t="s">
        <v>827</v>
      </c>
      <c r="B222" s="14" t="s">
        <v>828</v>
      </c>
      <c r="C222" s="14"/>
      <c r="D222" s="14" t="s">
        <v>829</v>
      </c>
      <c r="E222" s="14">
        <f xml:space="preserve"> IF($S$222,1,0)</f>
        <v>0</v>
      </c>
      <c r="F222" s="14" t="s">
        <v>830</v>
      </c>
      <c r="G222" s="14">
        <v>0</v>
      </c>
      <c r="H222" s="14">
        <v>0</v>
      </c>
      <c r="I222" s="14">
        <v>0</v>
      </c>
      <c r="J222" s="14">
        <v>0</v>
      </c>
      <c r="K222" s="14">
        <v>0</v>
      </c>
      <c r="L222" s="14">
        <v>0</v>
      </c>
      <c r="M222" s="14">
        <v>0</v>
      </c>
      <c r="N222" s="14">
        <v>0</v>
      </c>
      <c r="O222" s="14">
        <v>0</v>
      </c>
      <c r="P222" s="14">
        <v>0</v>
      </c>
      <c r="Q222" s="15">
        <f>$G$222*$G$8+$H$222*$H$8+$I$222*$I$8+$J$222*$J$8+$K$222*$K$8+$L$222*$L$8+$M$222*$M$8+$N$222*$N$8+$O$222*$O$8+$P$222*$P$8</f>
        <v>0</v>
      </c>
      <c r="R222" s="15">
        <v>0</v>
      </c>
      <c r="S222" s="15">
        <f>$Q$222+$R$222</f>
        <v>0</v>
      </c>
    </row>
    <row r="223" spans="1:19" x14ac:dyDescent="0.3">
      <c r="A223" s="10" t="s">
        <v>831</v>
      </c>
      <c r="B223" s="11" t="s">
        <v>832</v>
      </c>
      <c r="C223" s="11"/>
      <c r="D223" s="11" t="s">
        <v>833</v>
      </c>
      <c r="E223" s="11">
        <f xml:space="preserve"> IF($S$223,1,0)</f>
        <v>0</v>
      </c>
      <c r="F223" s="11" t="s">
        <v>834</v>
      </c>
      <c r="G223" s="11">
        <v>0</v>
      </c>
      <c r="H223" s="11">
        <v>0</v>
      </c>
      <c r="I223" s="11">
        <v>0</v>
      </c>
      <c r="J223" s="11">
        <v>0</v>
      </c>
      <c r="K223" s="11">
        <v>0</v>
      </c>
      <c r="L223" s="11">
        <v>0</v>
      </c>
      <c r="M223" s="11">
        <v>0</v>
      </c>
      <c r="N223" s="11">
        <v>0</v>
      </c>
      <c r="O223" s="11">
        <v>0</v>
      </c>
      <c r="P223" s="11">
        <v>0</v>
      </c>
      <c r="Q223" s="12">
        <f>$G$223*$G$8+$H$223*$H$8+$I$223*$I$8+$J$223*$J$8+$K$223*$K$8+$L$223*$L$8+$M$223*$M$8+$N$223*$N$8+$O$223*$O$8+$P$223*$P$8</f>
        <v>0</v>
      </c>
      <c r="R223" s="12">
        <v>0</v>
      </c>
      <c r="S223" s="12">
        <f>$Q$223+$R$223</f>
        <v>0</v>
      </c>
    </row>
    <row r="224" spans="1:19" x14ac:dyDescent="0.3">
      <c r="A224" s="13" t="s">
        <v>835</v>
      </c>
      <c r="B224" s="14" t="s">
        <v>836</v>
      </c>
      <c r="C224" s="14"/>
      <c r="D224" s="14" t="s">
        <v>837</v>
      </c>
      <c r="E224" s="14">
        <f xml:space="preserve"> IF($S$224,1,0)</f>
        <v>0</v>
      </c>
      <c r="F224" s="14" t="s">
        <v>838</v>
      </c>
      <c r="G224" s="14">
        <v>0</v>
      </c>
      <c r="H224" s="14">
        <v>0</v>
      </c>
      <c r="I224" s="14">
        <v>0</v>
      </c>
      <c r="J224" s="14">
        <v>0</v>
      </c>
      <c r="K224" s="14">
        <v>0</v>
      </c>
      <c r="L224" s="14">
        <v>0</v>
      </c>
      <c r="M224" s="14">
        <v>0</v>
      </c>
      <c r="N224" s="14">
        <v>0</v>
      </c>
      <c r="O224" s="14">
        <v>0</v>
      </c>
      <c r="P224" s="14">
        <v>0</v>
      </c>
      <c r="Q224" s="15">
        <f>$G$224*$G$8+$H$224*$H$8+$I$224*$I$8+$J$224*$J$8+$K$224*$K$8+$L$224*$L$8+$M$224*$M$8+$N$224*$N$8+$O$224*$O$8+$P$224*$P$8</f>
        <v>0</v>
      </c>
      <c r="R224" s="15">
        <v>0</v>
      </c>
      <c r="S224" s="15">
        <f>$Q$224+$R$224</f>
        <v>0</v>
      </c>
    </row>
    <row r="225" spans="1:19" x14ac:dyDescent="0.3">
      <c r="A225" s="10" t="s">
        <v>839</v>
      </c>
      <c r="B225" s="11" t="s">
        <v>840</v>
      </c>
      <c r="C225" s="11"/>
      <c r="D225" s="11" t="s">
        <v>841</v>
      </c>
      <c r="E225" s="11">
        <f xml:space="preserve"> IF($S$225,1,0)</f>
        <v>0</v>
      </c>
      <c r="F225" s="11" t="s">
        <v>842</v>
      </c>
      <c r="G225" s="11">
        <v>0</v>
      </c>
      <c r="H225" s="11">
        <v>0</v>
      </c>
      <c r="I225" s="11">
        <v>0</v>
      </c>
      <c r="J225" s="11">
        <v>0</v>
      </c>
      <c r="K225" s="11">
        <v>0</v>
      </c>
      <c r="L225" s="11">
        <v>0</v>
      </c>
      <c r="M225" s="11">
        <v>0</v>
      </c>
      <c r="N225" s="11">
        <v>0</v>
      </c>
      <c r="O225" s="11">
        <v>0</v>
      </c>
      <c r="P225" s="11">
        <v>0</v>
      </c>
      <c r="Q225" s="12">
        <f>$G$225*$G$8+$H$225*$H$8+$I$225*$I$8+$J$225*$J$8+$K$225*$K$8+$L$225*$L$8+$M$225*$M$8+$N$225*$N$8+$O$225*$O$8+$P$225*$P$8</f>
        <v>0</v>
      </c>
      <c r="R225" s="12">
        <v>0</v>
      </c>
      <c r="S225" s="12">
        <f>$Q$225+$R$225</f>
        <v>0</v>
      </c>
    </row>
    <row r="226" spans="1:19" x14ac:dyDescent="0.3">
      <c r="A226" s="13" t="s">
        <v>843</v>
      </c>
      <c r="B226" s="14" t="s">
        <v>844</v>
      </c>
      <c r="C226" s="14"/>
      <c r="D226" s="14" t="s">
        <v>845</v>
      </c>
      <c r="E226" s="14">
        <f xml:space="preserve"> IF($S$226,1,0)</f>
        <v>0</v>
      </c>
      <c r="F226" s="14" t="s">
        <v>846</v>
      </c>
      <c r="G226" s="14">
        <v>0</v>
      </c>
      <c r="H226" s="14">
        <v>0</v>
      </c>
      <c r="I226" s="14">
        <v>0</v>
      </c>
      <c r="J226" s="14">
        <v>0</v>
      </c>
      <c r="K226" s="14">
        <v>0</v>
      </c>
      <c r="L226" s="14">
        <v>0</v>
      </c>
      <c r="M226" s="14">
        <v>0</v>
      </c>
      <c r="N226" s="14">
        <v>0</v>
      </c>
      <c r="O226" s="14">
        <v>0</v>
      </c>
      <c r="P226" s="14">
        <v>0</v>
      </c>
      <c r="Q226" s="15">
        <f>$G$226*$G$8+$H$226*$H$8+$I$226*$I$8+$J$226*$J$8+$K$226*$K$8+$L$226*$L$8+$M$226*$M$8+$N$226*$N$8+$O$226*$O$8+$P$226*$P$8</f>
        <v>0</v>
      </c>
      <c r="R226" s="15">
        <v>0</v>
      </c>
      <c r="S226" s="15">
        <f>$Q$226+$R$226</f>
        <v>0</v>
      </c>
    </row>
    <row r="227" spans="1:19" x14ac:dyDescent="0.3">
      <c r="A227" s="10" t="s">
        <v>847</v>
      </c>
      <c r="B227" s="11" t="s">
        <v>848</v>
      </c>
      <c r="C227" s="11" t="s">
        <v>202</v>
      </c>
      <c r="D227" s="11" t="s">
        <v>849</v>
      </c>
      <c r="E227" s="11">
        <f xml:space="preserve"> IF($S$227,1,0)</f>
        <v>0</v>
      </c>
      <c r="F227" s="11" t="s">
        <v>850</v>
      </c>
      <c r="G227" s="11">
        <v>0</v>
      </c>
      <c r="H227" s="11">
        <v>0</v>
      </c>
      <c r="I227" s="11">
        <v>0</v>
      </c>
      <c r="J227" s="11">
        <v>0</v>
      </c>
      <c r="K227" s="11">
        <v>0</v>
      </c>
      <c r="L227" s="11">
        <v>0</v>
      </c>
      <c r="M227" s="11">
        <v>0</v>
      </c>
      <c r="N227" s="11">
        <v>0</v>
      </c>
      <c r="O227" s="11">
        <v>0</v>
      </c>
      <c r="P227" s="11">
        <v>0</v>
      </c>
      <c r="Q227" s="12">
        <f>$G$227*$G$8+$H$227*$H$8+$I$227*$I$8+$J$227*$J$8+$K$227*$K$8+$L$227*$L$8+$M$227*$M$8+$N$227*$N$8+$O$227*$O$8+$P$227*$P$8</f>
        <v>0</v>
      </c>
      <c r="R227" s="12">
        <v>0</v>
      </c>
      <c r="S227" s="12">
        <f>$Q$227+$R$227</f>
        <v>0</v>
      </c>
    </row>
    <row r="228" spans="1:19" x14ac:dyDescent="0.3">
      <c r="A228" s="13" t="s">
        <v>851</v>
      </c>
      <c r="B228" s="14" t="s">
        <v>852</v>
      </c>
      <c r="C228" s="14"/>
      <c r="D228" s="14" t="s">
        <v>853</v>
      </c>
      <c r="E228" s="14">
        <f xml:space="preserve"> IF($S$228,1,0)</f>
        <v>0</v>
      </c>
      <c r="F228" s="14" t="s">
        <v>854</v>
      </c>
      <c r="G228" s="14">
        <v>0</v>
      </c>
      <c r="H228" s="14">
        <v>0</v>
      </c>
      <c r="I228" s="14">
        <v>0</v>
      </c>
      <c r="J228" s="14">
        <v>0</v>
      </c>
      <c r="K228" s="14">
        <v>0</v>
      </c>
      <c r="L228" s="14">
        <v>0</v>
      </c>
      <c r="M228" s="14">
        <v>0</v>
      </c>
      <c r="N228" s="14">
        <v>0</v>
      </c>
      <c r="O228" s="14">
        <v>0</v>
      </c>
      <c r="P228" s="14">
        <v>0</v>
      </c>
      <c r="Q228" s="15">
        <f>$G$228*$G$8+$H$228*$H$8+$I$228*$I$8+$J$228*$J$8+$K$228*$K$8+$L$228*$L$8+$M$228*$M$8+$N$228*$N$8+$O$228*$O$8+$P$228*$P$8</f>
        <v>0</v>
      </c>
      <c r="R228" s="15">
        <v>0</v>
      </c>
      <c r="S228" s="15">
        <f>$Q$228+$R$228</f>
        <v>0</v>
      </c>
    </row>
    <row r="229" spans="1:19" x14ac:dyDescent="0.3">
      <c r="A229" s="10" t="s">
        <v>855</v>
      </c>
      <c r="B229" s="11" t="s">
        <v>856</v>
      </c>
      <c r="C229" s="11"/>
      <c r="D229" s="11" t="s">
        <v>790</v>
      </c>
      <c r="E229" s="11">
        <f xml:space="preserve"> IF($S$229,1,0)</f>
        <v>0</v>
      </c>
      <c r="F229" s="11" t="s">
        <v>857</v>
      </c>
      <c r="G229" s="11">
        <v>0</v>
      </c>
      <c r="H229" s="11">
        <v>0</v>
      </c>
      <c r="I229" s="11">
        <v>0</v>
      </c>
      <c r="J229" s="11">
        <v>0</v>
      </c>
      <c r="K229" s="11">
        <v>0</v>
      </c>
      <c r="L229" s="11">
        <v>0</v>
      </c>
      <c r="M229" s="11">
        <v>0</v>
      </c>
      <c r="N229" s="11">
        <v>0</v>
      </c>
      <c r="O229" s="11">
        <v>0</v>
      </c>
      <c r="P229" s="11">
        <v>0</v>
      </c>
      <c r="Q229" s="12">
        <f>$G$229*$G$8+$H$229*$H$8+$I$229*$I$8+$J$229*$J$8+$K$229*$K$8+$L$229*$L$8+$M$229*$M$8+$N$229*$N$8+$O$229*$O$8+$P$229*$P$8</f>
        <v>0</v>
      </c>
      <c r="R229" s="12">
        <v>0</v>
      </c>
      <c r="S229" s="12">
        <f>$Q$229+$R$229</f>
        <v>0</v>
      </c>
    </row>
    <row r="230" spans="1:19" x14ac:dyDescent="0.3">
      <c r="A230" s="13" t="s">
        <v>858</v>
      </c>
      <c r="B230" s="14" t="s">
        <v>859</v>
      </c>
      <c r="C230" s="14"/>
      <c r="D230" s="14" t="s">
        <v>860</v>
      </c>
      <c r="E230" s="14">
        <f xml:space="preserve"> IF($S$230,1,0)</f>
        <v>0</v>
      </c>
      <c r="F230" s="14" t="s">
        <v>861</v>
      </c>
      <c r="G230" s="14">
        <v>0</v>
      </c>
      <c r="H230" s="14">
        <v>0</v>
      </c>
      <c r="I230" s="14">
        <v>0</v>
      </c>
      <c r="J230" s="14">
        <v>0</v>
      </c>
      <c r="K230" s="14">
        <v>0</v>
      </c>
      <c r="L230" s="14">
        <v>0</v>
      </c>
      <c r="M230" s="14">
        <v>0</v>
      </c>
      <c r="N230" s="14">
        <v>0</v>
      </c>
      <c r="O230" s="14">
        <v>0</v>
      </c>
      <c r="P230" s="14">
        <v>0</v>
      </c>
      <c r="Q230" s="15">
        <f>$G$230*$G$8+$H$230*$H$8+$I$230*$I$8+$J$230*$J$8+$K$230*$K$8+$L$230*$L$8+$M$230*$M$8+$N$230*$N$8+$O$230*$O$8+$P$230*$P$8</f>
        <v>0</v>
      </c>
      <c r="R230" s="15">
        <v>0</v>
      </c>
      <c r="S230" s="15">
        <f>$Q$230+$R$230</f>
        <v>0</v>
      </c>
    </row>
    <row r="231" spans="1:19" x14ac:dyDescent="0.3">
      <c r="A231" s="10" t="s">
        <v>862</v>
      </c>
      <c r="B231" s="11" t="s">
        <v>863</v>
      </c>
      <c r="C231" s="11"/>
      <c r="D231" s="11" t="s">
        <v>864</v>
      </c>
      <c r="E231" s="11">
        <f xml:space="preserve"> IF($S$231,1,0)</f>
        <v>0</v>
      </c>
      <c r="F231" s="11" t="s">
        <v>865</v>
      </c>
      <c r="G231" s="11">
        <v>0</v>
      </c>
      <c r="H231" s="11">
        <v>0</v>
      </c>
      <c r="I231" s="11">
        <v>0</v>
      </c>
      <c r="J231" s="11">
        <v>0</v>
      </c>
      <c r="K231" s="11">
        <v>0</v>
      </c>
      <c r="L231" s="11">
        <v>0</v>
      </c>
      <c r="M231" s="11">
        <v>0</v>
      </c>
      <c r="N231" s="11">
        <v>0</v>
      </c>
      <c r="O231" s="11">
        <v>0</v>
      </c>
      <c r="P231" s="11">
        <v>0</v>
      </c>
      <c r="Q231" s="12">
        <f>$G$231*$G$8+$H$231*$H$8+$I$231*$I$8+$J$231*$J$8+$K$231*$K$8+$L$231*$L$8+$M$231*$M$8+$N$231*$N$8+$O$231*$O$8+$P$231*$P$8</f>
        <v>0</v>
      </c>
      <c r="R231" s="12">
        <v>0</v>
      </c>
      <c r="S231" s="12">
        <f>$Q$231+$R$231</f>
        <v>0</v>
      </c>
    </row>
    <row r="232" spans="1:19" x14ac:dyDescent="0.3">
      <c r="A232" s="13" t="s">
        <v>866</v>
      </c>
      <c r="B232" s="14" t="s">
        <v>867</v>
      </c>
      <c r="C232" s="14"/>
      <c r="D232" s="14" t="s">
        <v>868</v>
      </c>
      <c r="E232" s="14">
        <f xml:space="preserve"> IF($S$232,1,0)</f>
        <v>0</v>
      </c>
      <c r="F232" s="14" t="s">
        <v>869</v>
      </c>
      <c r="G232" s="14">
        <v>0</v>
      </c>
      <c r="H232" s="14">
        <v>0</v>
      </c>
      <c r="I232" s="14">
        <v>0</v>
      </c>
      <c r="J232" s="14">
        <v>0</v>
      </c>
      <c r="K232" s="14">
        <v>0</v>
      </c>
      <c r="L232" s="14">
        <v>0</v>
      </c>
      <c r="M232" s="14">
        <v>0</v>
      </c>
      <c r="N232" s="14">
        <v>0</v>
      </c>
      <c r="O232" s="14">
        <v>0</v>
      </c>
      <c r="P232" s="14">
        <v>0</v>
      </c>
      <c r="Q232" s="15">
        <f>$G$232*$G$8+$H$232*$H$8+$I$232*$I$8+$J$232*$J$8+$K$232*$K$8+$L$232*$L$8+$M$232*$M$8+$N$232*$N$8+$O$232*$O$8+$P$232*$P$8</f>
        <v>0</v>
      </c>
      <c r="R232" s="15">
        <v>0</v>
      </c>
      <c r="S232" s="15">
        <f>$Q$232+$R$232</f>
        <v>0</v>
      </c>
    </row>
    <row r="233" spans="1:19" x14ac:dyDescent="0.3">
      <c r="A233" s="10" t="s">
        <v>870</v>
      </c>
      <c r="B233" s="11" t="s">
        <v>871</v>
      </c>
      <c r="C233" s="11" t="s">
        <v>243</v>
      </c>
      <c r="D233" s="11" t="s">
        <v>399</v>
      </c>
      <c r="E233" s="11">
        <f xml:space="preserve"> IF($S$233,1,0)</f>
        <v>0</v>
      </c>
      <c r="F233" s="11" t="s">
        <v>872</v>
      </c>
      <c r="G233" s="11">
        <v>0</v>
      </c>
      <c r="H233" s="11">
        <v>0</v>
      </c>
      <c r="I233" s="11">
        <v>0</v>
      </c>
      <c r="J233" s="11">
        <v>0</v>
      </c>
      <c r="K233" s="11">
        <v>0</v>
      </c>
      <c r="L233" s="11">
        <v>0</v>
      </c>
      <c r="M233" s="11">
        <v>0</v>
      </c>
      <c r="N233" s="11">
        <v>0</v>
      </c>
      <c r="O233" s="11">
        <v>0</v>
      </c>
      <c r="P233" s="11">
        <v>0</v>
      </c>
      <c r="Q233" s="12">
        <f>$G$233*$G$8+$H$233*$H$8+$I$233*$I$8+$J$233*$J$8+$K$233*$K$8+$L$233*$L$8+$M$233*$M$8+$N$233*$N$8+$O$233*$O$8+$P$233*$P$8</f>
        <v>0</v>
      </c>
      <c r="R233" s="12">
        <v>0</v>
      </c>
      <c r="S233" s="12">
        <f>$Q$233+$R$233</f>
        <v>0</v>
      </c>
    </row>
    <row r="234" spans="1:19" x14ac:dyDescent="0.3">
      <c r="A234" s="13" t="s">
        <v>873</v>
      </c>
      <c r="B234" s="14" t="s">
        <v>874</v>
      </c>
      <c r="C234" s="14"/>
      <c r="D234" s="14" t="s">
        <v>875</v>
      </c>
      <c r="E234" s="14">
        <f xml:space="preserve"> IF($S$234,1,0)</f>
        <v>0</v>
      </c>
      <c r="F234" s="14" t="s">
        <v>876</v>
      </c>
      <c r="G234" s="14">
        <v>0</v>
      </c>
      <c r="H234" s="14">
        <v>0</v>
      </c>
      <c r="I234" s="14">
        <v>0</v>
      </c>
      <c r="J234" s="14">
        <v>0</v>
      </c>
      <c r="K234" s="14">
        <v>0</v>
      </c>
      <c r="L234" s="14">
        <v>0</v>
      </c>
      <c r="M234" s="14">
        <v>0</v>
      </c>
      <c r="N234" s="14">
        <v>0</v>
      </c>
      <c r="O234" s="14">
        <v>0</v>
      </c>
      <c r="P234" s="14">
        <v>0</v>
      </c>
      <c r="Q234" s="15">
        <f>$G$234*$G$8+$H$234*$H$8+$I$234*$I$8+$J$234*$J$8+$K$234*$K$8+$L$234*$L$8+$M$234*$M$8+$N$234*$N$8+$O$234*$O$8+$P$234*$P$8</f>
        <v>0</v>
      </c>
      <c r="R234" s="15">
        <v>0</v>
      </c>
      <c r="S234" s="15">
        <f>$Q$234+$R$234</f>
        <v>0</v>
      </c>
    </row>
    <row r="235" spans="1:19" x14ac:dyDescent="0.3">
      <c r="A235" s="10" t="s">
        <v>877</v>
      </c>
      <c r="B235" s="11" t="s">
        <v>878</v>
      </c>
      <c r="C235" s="11"/>
      <c r="D235" s="11" t="s">
        <v>879</v>
      </c>
      <c r="E235" s="11">
        <f xml:space="preserve"> IF($S$235,1,0)</f>
        <v>0</v>
      </c>
      <c r="F235" s="11" t="s">
        <v>880</v>
      </c>
      <c r="G235" s="11">
        <v>0</v>
      </c>
      <c r="H235" s="11">
        <v>0</v>
      </c>
      <c r="I235" s="11">
        <v>0</v>
      </c>
      <c r="J235" s="11">
        <v>0</v>
      </c>
      <c r="K235" s="11">
        <v>0</v>
      </c>
      <c r="L235" s="11">
        <v>0</v>
      </c>
      <c r="M235" s="11">
        <v>0</v>
      </c>
      <c r="N235" s="11">
        <v>0</v>
      </c>
      <c r="O235" s="11">
        <v>0</v>
      </c>
      <c r="P235" s="11">
        <v>0</v>
      </c>
      <c r="Q235" s="12">
        <f>$G$235*$G$8+$H$235*$H$8+$I$235*$I$8+$J$235*$J$8+$K$235*$K$8+$L$235*$L$8+$M$235*$M$8+$N$235*$N$8+$O$235*$O$8+$P$235*$P$8</f>
        <v>0</v>
      </c>
      <c r="R235" s="12">
        <v>0</v>
      </c>
      <c r="S235" s="12">
        <f>$Q$235+$R$235</f>
        <v>0</v>
      </c>
    </row>
    <row r="236" spans="1:19" x14ac:dyDescent="0.3">
      <c r="A236" s="13" t="s">
        <v>881</v>
      </c>
      <c r="B236" s="14" t="s">
        <v>882</v>
      </c>
      <c r="C236" s="14"/>
      <c r="D236" s="14" t="s">
        <v>883</v>
      </c>
      <c r="E236" s="14">
        <f xml:space="preserve"> IF($S$236,1,0)</f>
        <v>0</v>
      </c>
      <c r="F236" s="14" t="s">
        <v>884</v>
      </c>
      <c r="G236" s="14">
        <v>0</v>
      </c>
      <c r="H236" s="14">
        <v>0</v>
      </c>
      <c r="I236" s="14">
        <v>0</v>
      </c>
      <c r="J236" s="14">
        <v>0</v>
      </c>
      <c r="K236" s="14">
        <v>0</v>
      </c>
      <c r="L236" s="14">
        <v>0</v>
      </c>
      <c r="M236" s="14">
        <v>0</v>
      </c>
      <c r="N236" s="14">
        <v>0</v>
      </c>
      <c r="O236" s="14">
        <v>0</v>
      </c>
      <c r="P236" s="14">
        <v>0</v>
      </c>
      <c r="Q236" s="15">
        <f>$G$236*$G$8+$H$236*$H$8+$I$236*$I$8+$J$236*$J$8+$K$236*$K$8+$L$236*$L$8+$M$236*$M$8+$N$236*$N$8+$O$236*$O$8+$P$236*$P$8</f>
        <v>0</v>
      </c>
      <c r="R236" s="15">
        <v>0</v>
      </c>
      <c r="S236" s="15">
        <f>$Q$236+$R$236</f>
        <v>0</v>
      </c>
    </row>
    <row r="237" spans="1:19" x14ac:dyDescent="0.3">
      <c r="A237" s="10" t="s">
        <v>885</v>
      </c>
      <c r="B237" s="11" t="s">
        <v>886</v>
      </c>
      <c r="C237" s="11" t="s">
        <v>887</v>
      </c>
      <c r="D237" s="11" t="s">
        <v>888</v>
      </c>
      <c r="E237" s="11">
        <f xml:space="preserve"> IF($S$237,1,0)</f>
        <v>0</v>
      </c>
      <c r="F237" s="11" t="s">
        <v>889</v>
      </c>
      <c r="G237" s="11">
        <v>0</v>
      </c>
      <c r="H237" s="11">
        <v>0</v>
      </c>
      <c r="I237" s="11">
        <v>0</v>
      </c>
      <c r="J237" s="11">
        <v>0</v>
      </c>
      <c r="K237" s="11">
        <v>0</v>
      </c>
      <c r="L237" s="11">
        <v>0</v>
      </c>
      <c r="M237" s="11">
        <v>0</v>
      </c>
      <c r="N237" s="11">
        <v>0</v>
      </c>
      <c r="O237" s="11">
        <v>0</v>
      </c>
      <c r="P237" s="11">
        <v>0</v>
      </c>
      <c r="Q237" s="12">
        <f>$G$237*$G$8+$H$237*$H$8+$I$237*$I$8+$J$237*$J$8+$K$237*$K$8+$L$237*$L$8+$M$237*$M$8+$N$237*$N$8+$O$237*$O$8+$P$237*$P$8</f>
        <v>0</v>
      </c>
      <c r="R237" s="12">
        <v>0</v>
      </c>
      <c r="S237" s="12">
        <f>$Q$237+$R$237</f>
        <v>0</v>
      </c>
    </row>
    <row r="238" spans="1:19" x14ac:dyDescent="0.3">
      <c r="A238" s="13" t="s">
        <v>890</v>
      </c>
      <c r="B238" s="14" t="s">
        <v>886</v>
      </c>
      <c r="C238" s="14"/>
      <c r="D238" s="14" t="s">
        <v>891</v>
      </c>
      <c r="E238" s="14">
        <f xml:space="preserve"> IF($S$238,1,0)</f>
        <v>0</v>
      </c>
      <c r="F238" s="14" t="s">
        <v>892</v>
      </c>
      <c r="G238" s="14">
        <v>0</v>
      </c>
      <c r="H238" s="14">
        <v>0</v>
      </c>
      <c r="I238" s="14">
        <v>0</v>
      </c>
      <c r="J238" s="14">
        <v>0</v>
      </c>
      <c r="K238" s="14">
        <v>0</v>
      </c>
      <c r="L238" s="14">
        <v>0</v>
      </c>
      <c r="M238" s="14">
        <v>0</v>
      </c>
      <c r="N238" s="14">
        <v>0</v>
      </c>
      <c r="O238" s="14">
        <v>0</v>
      </c>
      <c r="P238" s="14">
        <v>0</v>
      </c>
      <c r="Q238" s="15">
        <f>$G$238*$G$8+$H$238*$H$8+$I$238*$I$8+$J$238*$J$8+$K$238*$K$8+$L$238*$L$8+$M$238*$M$8+$N$238*$N$8+$O$238*$O$8+$P$238*$P$8</f>
        <v>0</v>
      </c>
      <c r="R238" s="15">
        <v>0</v>
      </c>
      <c r="S238" s="15">
        <f>$Q$238+$R$238</f>
        <v>0</v>
      </c>
    </row>
    <row r="239" spans="1:19" x14ac:dyDescent="0.3">
      <c r="A239" s="10" t="s">
        <v>893</v>
      </c>
      <c r="B239" s="11" t="s">
        <v>894</v>
      </c>
      <c r="C239" s="11"/>
      <c r="D239" s="11" t="s">
        <v>895</v>
      </c>
      <c r="E239" s="11">
        <f xml:space="preserve"> IF($S$239,1,0)</f>
        <v>0</v>
      </c>
      <c r="F239" s="11" t="s">
        <v>896</v>
      </c>
      <c r="G239" s="11">
        <v>0</v>
      </c>
      <c r="H239" s="11">
        <v>0</v>
      </c>
      <c r="I239" s="11">
        <v>0</v>
      </c>
      <c r="J239" s="11">
        <v>0</v>
      </c>
      <c r="K239" s="11">
        <v>0</v>
      </c>
      <c r="L239" s="11">
        <v>0</v>
      </c>
      <c r="M239" s="11">
        <v>0</v>
      </c>
      <c r="N239" s="11">
        <v>0</v>
      </c>
      <c r="O239" s="11">
        <v>0</v>
      </c>
      <c r="P239" s="11">
        <v>0</v>
      </c>
      <c r="Q239" s="12">
        <f>$G$239*$G$8+$H$239*$H$8+$I$239*$I$8+$J$239*$J$8+$K$239*$K$8+$L$239*$L$8+$M$239*$M$8+$N$239*$N$8+$O$239*$O$8+$P$239*$P$8</f>
        <v>0</v>
      </c>
      <c r="R239" s="12">
        <v>0</v>
      </c>
      <c r="S239" s="12">
        <f>$Q$239+$R$239</f>
        <v>0</v>
      </c>
    </row>
    <row r="240" spans="1:19" x14ac:dyDescent="0.3">
      <c r="A240" s="13" t="s">
        <v>897</v>
      </c>
      <c r="B240" s="14" t="s">
        <v>898</v>
      </c>
      <c r="C240" s="14"/>
      <c r="D240" s="14" t="s">
        <v>899</v>
      </c>
      <c r="E240" s="14">
        <f xml:space="preserve"> IF($S$240,1,0)</f>
        <v>0</v>
      </c>
      <c r="F240" s="14" t="s">
        <v>900</v>
      </c>
      <c r="G240" s="14">
        <v>0</v>
      </c>
      <c r="H240" s="14">
        <v>0</v>
      </c>
      <c r="I240" s="14">
        <v>0</v>
      </c>
      <c r="J240" s="14">
        <v>0</v>
      </c>
      <c r="K240" s="14">
        <v>0</v>
      </c>
      <c r="L240" s="14">
        <v>0</v>
      </c>
      <c r="M240" s="14">
        <v>0</v>
      </c>
      <c r="N240" s="14">
        <v>0</v>
      </c>
      <c r="O240" s="14">
        <v>0</v>
      </c>
      <c r="P240" s="14">
        <v>0</v>
      </c>
      <c r="Q240" s="15">
        <f>$G$240*$G$8+$H$240*$H$8+$I$240*$I$8+$J$240*$J$8+$K$240*$K$8+$L$240*$L$8+$M$240*$M$8+$N$240*$N$8+$O$240*$O$8+$P$240*$P$8</f>
        <v>0</v>
      </c>
      <c r="R240" s="15">
        <v>0</v>
      </c>
      <c r="S240" s="15">
        <f>$Q$240+$R$240</f>
        <v>0</v>
      </c>
    </row>
    <row r="241" spans="1:19" x14ac:dyDescent="0.3">
      <c r="A241" s="10" t="s">
        <v>901</v>
      </c>
      <c r="B241" s="11" t="s">
        <v>902</v>
      </c>
      <c r="C241" s="11"/>
      <c r="D241" s="11" t="s">
        <v>903</v>
      </c>
      <c r="E241" s="11">
        <f xml:space="preserve"> IF($S$241,1,0)</f>
        <v>0</v>
      </c>
      <c r="F241" s="11" t="s">
        <v>904</v>
      </c>
      <c r="G241" s="11">
        <v>0</v>
      </c>
      <c r="H241" s="11">
        <v>0</v>
      </c>
      <c r="I241" s="11">
        <v>0</v>
      </c>
      <c r="J241" s="11">
        <v>0</v>
      </c>
      <c r="K241" s="11">
        <v>0</v>
      </c>
      <c r="L241" s="11">
        <v>0</v>
      </c>
      <c r="M241" s="11">
        <v>0</v>
      </c>
      <c r="N241" s="11">
        <v>0</v>
      </c>
      <c r="O241" s="11">
        <v>0</v>
      </c>
      <c r="P241" s="11">
        <v>0</v>
      </c>
      <c r="Q241" s="12">
        <f>$G$241*$G$8+$H$241*$H$8+$I$241*$I$8+$J$241*$J$8+$K$241*$K$8+$L$241*$L$8+$M$241*$M$8+$N$241*$N$8+$O$241*$O$8+$P$241*$P$8</f>
        <v>0</v>
      </c>
      <c r="R241" s="12">
        <v>0</v>
      </c>
      <c r="S241" s="12">
        <f>$Q$241+$R$241</f>
        <v>0</v>
      </c>
    </row>
    <row r="242" spans="1:19" x14ac:dyDescent="0.3">
      <c r="A242" s="13" t="s">
        <v>905</v>
      </c>
      <c r="B242" s="14" t="s">
        <v>906</v>
      </c>
      <c r="C242" s="14" t="s">
        <v>283</v>
      </c>
      <c r="D242" s="14" t="s">
        <v>296</v>
      </c>
      <c r="E242" s="14">
        <f xml:space="preserve"> IF($S$242,1,0)</f>
        <v>0</v>
      </c>
      <c r="F242" s="14" t="s">
        <v>907</v>
      </c>
      <c r="G242" s="14">
        <v>0</v>
      </c>
      <c r="H242" s="14">
        <v>0</v>
      </c>
      <c r="I242" s="14">
        <v>0</v>
      </c>
      <c r="J242" s="14">
        <v>0</v>
      </c>
      <c r="K242" s="14">
        <v>0</v>
      </c>
      <c r="L242" s="14">
        <v>0</v>
      </c>
      <c r="M242" s="14">
        <v>0</v>
      </c>
      <c r="N242" s="14">
        <v>0</v>
      </c>
      <c r="O242" s="14">
        <v>0</v>
      </c>
      <c r="P242" s="14">
        <v>0</v>
      </c>
      <c r="Q242" s="15">
        <f>$G$242*$G$8+$H$242*$H$8+$I$242*$I$8+$J$242*$J$8+$K$242*$K$8+$L$242*$L$8+$M$242*$M$8+$N$242*$N$8+$O$242*$O$8+$P$242*$P$8</f>
        <v>0</v>
      </c>
      <c r="R242" s="15">
        <v>0</v>
      </c>
      <c r="S242" s="15">
        <f>$Q$242+$R$242</f>
        <v>0</v>
      </c>
    </row>
    <row r="243" spans="1:19" x14ac:dyDescent="0.3">
      <c r="A243" s="10" t="s">
        <v>908</v>
      </c>
      <c r="B243" s="11" t="s">
        <v>909</v>
      </c>
      <c r="C243" s="11"/>
      <c r="D243" s="11" t="s">
        <v>910</v>
      </c>
      <c r="E243" s="11">
        <f xml:space="preserve"> IF($S$243,1,0)</f>
        <v>0</v>
      </c>
      <c r="F243" s="11" t="s">
        <v>911</v>
      </c>
      <c r="G243" s="11">
        <v>0</v>
      </c>
      <c r="H243" s="11">
        <v>0</v>
      </c>
      <c r="I243" s="11">
        <v>0</v>
      </c>
      <c r="J243" s="11">
        <v>0</v>
      </c>
      <c r="K243" s="11">
        <v>0</v>
      </c>
      <c r="L243" s="11">
        <v>0</v>
      </c>
      <c r="M243" s="11">
        <v>0</v>
      </c>
      <c r="N243" s="11">
        <v>0</v>
      </c>
      <c r="O243" s="11">
        <v>0</v>
      </c>
      <c r="P243" s="11">
        <v>0</v>
      </c>
      <c r="Q243" s="12">
        <f>$G$243*$G$8+$H$243*$H$8+$I$243*$I$8+$J$243*$J$8+$K$243*$K$8+$L$243*$L$8+$M$243*$M$8+$N$243*$N$8+$O$243*$O$8+$P$243*$P$8</f>
        <v>0</v>
      </c>
      <c r="R243" s="12">
        <v>0</v>
      </c>
      <c r="S243" s="12">
        <f>$Q$243+$R$243</f>
        <v>0</v>
      </c>
    </row>
    <row r="244" spans="1:19" x14ac:dyDescent="0.3">
      <c r="A244" s="13" t="s">
        <v>912</v>
      </c>
      <c r="B244" s="14" t="s">
        <v>913</v>
      </c>
      <c r="C244" s="14" t="s">
        <v>65</v>
      </c>
      <c r="D244" s="14" t="s">
        <v>914</v>
      </c>
      <c r="E244" s="14">
        <f xml:space="preserve"> IF($S$244,1,0)</f>
        <v>0</v>
      </c>
      <c r="F244" s="14" t="s">
        <v>915</v>
      </c>
      <c r="G244" s="14">
        <v>0</v>
      </c>
      <c r="H244" s="14">
        <v>0</v>
      </c>
      <c r="I244" s="14">
        <v>0</v>
      </c>
      <c r="J244" s="14">
        <v>0</v>
      </c>
      <c r="K244" s="14">
        <v>0</v>
      </c>
      <c r="L244" s="14">
        <v>0</v>
      </c>
      <c r="M244" s="14">
        <v>0</v>
      </c>
      <c r="N244" s="14">
        <v>0</v>
      </c>
      <c r="O244" s="14">
        <v>0</v>
      </c>
      <c r="P244" s="14">
        <v>0</v>
      </c>
      <c r="Q244" s="15">
        <f>$G$244*$G$8+$H$244*$H$8+$I$244*$I$8+$J$244*$J$8+$K$244*$K$8+$L$244*$L$8+$M$244*$M$8+$N$244*$N$8+$O$244*$O$8+$P$244*$P$8</f>
        <v>0</v>
      </c>
      <c r="R244" s="15">
        <v>0</v>
      </c>
      <c r="S244" s="15">
        <f>$Q$244+$R$244</f>
        <v>0</v>
      </c>
    </row>
    <row r="245" spans="1:19" x14ac:dyDescent="0.3">
      <c r="A245" s="10" t="s">
        <v>916</v>
      </c>
      <c r="B245" s="11" t="s">
        <v>917</v>
      </c>
      <c r="C245" s="11"/>
      <c r="D245" s="11" t="s">
        <v>918</v>
      </c>
      <c r="E245" s="11">
        <f xml:space="preserve"> IF($S$245,1,0)</f>
        <v>0</v>
      </c>
      <c r="F245" s="11" t="s">
        <v>919</v>
      </c>
      <c r="G245" s="11">
        <v>0</v>
      </c>
      <c r="H245" s="11">
        <v>0</v>
      </c>
      <c r="I245" s="11">
        <v>0</v>
      </c>
      <c r="J245" s="11">
        <v>0</v>
      </c>
      <c r="K245" s="11">
        <v>0</v>
      </c>
      <c r="L245" s="11">
        <v>0</v>
      </c>
      <c r="M245" s="11">
        <v>0</v>
      </c>
      <c r="N245" s="11">
        <v>0</v>
      </c>
      <c r="O245" s="11">
        <v>0</v>
      </c>
      <c r="P245" s="11">
        <v>0</v>
      </c>
      <c r="Q245" s="12">
        <f>$G$245*$G$8+$H$245*$H$8+$I$245*$I$8+$J$245*$J$8+$K$245*$K$8+$L$245*$L$8+$M$245*$M$8+$N$245*$N$8+$O$245*$O$8+$P$245*$P$8</f>
        <v>0</v>
      </c>
      <c r="R245" s="12">
        <v>0</v>
      </c>
      <c r="S245" s="12">
        <f>$Q$245+$R$245</f>
        <v>0</v>
      </c>
    </row>
    <row r="246" spans="1:19" x14ac:dyDescent="0.3">
      <c r="A246" s="13" t="s">
        <v>920</v>
      </c>
      <c r="B246" s="14" t="s">
        <v>917</v>
      </c>
      <c r="C246" s="14"/>
      <c r="D246" s="14" t="s">
        <v>921</v>
      </c>
      <c r="E246" s="14">
        <f xml:space="preserve"> IF($S$246,1,0)</f>
        <v>0</v>
      </c>
      <c r="F246" s="14" t="s">
        <v>922</v>
      </c>
      <c r="G246" s="14">
        <v>0</v>
      </c>
      <c r="H246" s="14">
        <v>0</v>
      </c>
      <c r="I246" s="14">
        <v>0</v>
      </c>
      <c r="J246" s="14">
        <v>0</v>
      </c>
      <c r="K246" s="14">
        <v>0</v>
      </c>
      <c r="L246" s="14">
        <v>0</v>
      </c>
      <c r="M246" s="14">
        <v>0</v>
      </c>
      <c r="N246" s="14">
        <v>0</v>
      </c>
      <c r="O246" s="14">
        <v>0</v>
      </c>
      <c r="P246" s="14">
        <v>0</v>
      </c>
      <c r="Q246" s="15">
        <f>$G$246*$G$8+$H$246*$H$8+$I$246*$I$8+$J$246*$J$8+$K$246*$K$8+$L$246*$L$8+$M$246*$M$8+$N$246*$N$8+$O$246*$O$8+$P$246*$P$8</f>
        <v>0</v>
      </c>
      <c r="R246" s="15">
        <v>0</v>
      </c>
      <c r="S246" s="15">
        <f>$Q$246+$R$246</f>
        <v>0</v>
      </c>
    </row>
    <row r="247" spans="1:19" x14ac:dyDescent="0.3">
      <c r="A247" s="10" t="s">
        <v>923</v>
      </c>
      <c r="B247" s="11" t="s">
        <v>917</v>
      </c>
      <c r="C247" s="11" t="s">
        <v>34</v>
      </c>
      <c r="D247" s="11" t="s">
        <v>924</v>
      </c>
      <c r="E247" s="11">
        <f xml:space="preserve"> IF($S$247,1,0)</f>
        <v>0</v>
      </c>
      <c r="F247" s="11" t="s">
        <v>925</v>
      </c>
      <c r="G247" s="11">
        <v>0</v>
      </c>
      <c r="H247" s="11">
        <v>0</v>
      </c>
      <c r="I247" s="11">
        <v>0</v>
      </c>
      <c r="J247" s="11">
        <v>0</v>
      </c>
      <c r="K247" s="11">
        <v>0</v>
      </c>
      <c r="L247" s="11">
        <v>0</v>
      </c>
      <c r="M247" s="11">
        <v>0</v>
      </c>
      <c r="N247" s="11">
        <v>0</v>
      </c>
      <c r="O247" s="11">
        <v>0</v>
      </c>
      <c r="P247" s="11">
        <v>0</v>
      </c>
      <c r="Q247" s="12">
        <f>$G$247*$G$8+$H$247*$H$8+$I$247*$I$8+$J$247*$J$8+$K$247*$K$8+$L$247*$L$8+$M$247*$M$8+$N$247*$N$8+$O$247*$O$8+$P$247*$P$8</f>
        <v>0</v>
      </c>
      <c r="R247" s="12">
        <v>0</v>
      </c>
      <c r="S247" s="12">
        <f>$Q$247+$R$247</f>
        <v>0</v>
      </c>
    </row>
    <row r="248" spans="1:19" x14ac:dyDescent="0.3">
      <c r="A248" s="13" t="s">
        <v>926</v>
      </c>
      <c r="B248" s="14" t="s">
        <v>927</v>
      </c>
      <c r="C248" s="14"/>
      <c r="D248" s="14" t="s">
        <v>928</v>
      </c>
      <c r="E248" s="14">
        <f xml:space="preserve"> IF($S$248,1,0)</f>
        <v>0</v>
      </c>
      <c r="F248" s="14" t="s">
        <v>929</v>
      </c>
      <c r="G248" s="14">
        <v>0</v>
      </c>
      <c r="H248" s="14">
        <v>0</v>
      </c>
      <c r="I248" s="14">
        <v>0</v>
      </c>
      <c r="J248" s="14">
        <v>0</v>
      </c>
      <c r="K248" s="14">
        <v>0</v>
      </c>
      <c r="L248" s="14">
        <v>0</v>
      </c>
      <c r="M248" s="14">
        <v>0</v>
      </c>
      <c r="N248" s="14">
        <v>0</v>
      </c>
      <c r="O248" s="14">
        <v>0</v>
      </c>
      <c r="P248" s="14">
        <v>0</v>
      </c>
      <c r="Q248" s="15">
        <f>$G$248*$G$8+$H$248*$H$8+$I$248*$I$8+$J$248*$J$8+$K$248*$K$8+$L$248*$L$8+$M$248*$M$8+$N$248*$N$8+$O$248*$O$8+$P$248*$P$8</f>
        <v>0</v>
      </c>
      <c r="R248" s="15">
        <v>0</v>
      </c>
      <c r="S248" s="15">
        <f>$Q$248+$R$248</f>
        <v>0</v>
      </c>
    </row>
    <row r="249" spans="1:19" x14ac:dyDescent="0.3">
      <c r="A249" s="10" t="s">
        <v>930</v>
      </c>
      <c r="B249" s="11" t="s">
        <v>931</v>
      </c>
      <c r="C249" s="11"/>
      <c r="D249" s="11" t="s">
        <v>932</v>
      </c>
      <c r="E249" s="11">
        <f xml:space="preserve"> IF($S$249,1,0)</f>
        <v>0</v>
      </c>
      <c r="F249" s="11" t="s">
        <v>933</v>
      </c>
      <c r="G249" s="11">
        <v>0</v>
      </c>
      <c r="H249" s="11">
        <v>0</v>
      </c>
      <c r="I249" s="11">
        <v>0</v>
      </c>
      <c r="J249" s="11">
        <v>0</v>
      </c>
      <c r="K249" s="11">
        <v>0</v>
      </c>
      <c r="L249" s="11">
        <v>0</v>
      </c>
      <c r="M249" s="11">
        <v>0</v>
      </c>
      <c r="N249" s="11">
        <v>0</v>
      </c>
      <c r="O249" s="11">
        <v>0</v>
      </c>
      <c r="P249" s="11">
        <v>0</v>
      </c>
      <c r="Q249" s="12">
        <f>$G$249*$G$8+$H$249*$H$8+$I$249*$I$8+$J$249*$J$8+$K$249*$K$8+$L$249*$L$8+$M$249*$M$8+$N$249*$N$8+$O$249*$O$8+$P$249*$P$8</f>
        <v>0</v>
      </c>
      <c r="R249" s="12">
        <v>0</v>
      </c>
      <c r="S249" s="12">
        <f>$Q$249+$R$249</f>
        <v>0</v>
      </c>
    </row>
    <row r="250" spans="1:19" x14ac:dyDescent="0.3">
      <c r="A250" s="13" t="s">
        <v>934</v>
      </c>
      <c r="B250" s="14" t="s">
        <v>935</v>
      </c>
      <c r="C250" s="14"/>
      <c r="D250" s="14" t="s">
        <v>936</v>
      </c>
      <c r="E250" s="14">
        <f xml:space="preserve"> IF($S$250,1,0)</f>
        <v>0</v>
      </c>
      <c r="F250" s="14" t="s">
        <v>937</v>
      </c>
      <c r="G250" s="14">
        <v>0</v>
      </c>
      <c r="H250" s="14">
        <v>0</v>
      </c>
      <c r="I250" s="14">
        <v>0</v>
      </c>
      <c r="J250" s="14">
        <v>0</v>
      </c>
      <c r="K250" s="14">
        <v>0</v>
      </c>
      <c r="L250" s="14">
        <v>0</v>
      </c>
      <c r="M250" s="14">
        <v>0</v>
      </c>
      <c r="N250" s="14">
        <v>0</v>
      </c>
      <c r="O250" s="14">
        <v>0</v>
      </c>
      <c r="P250" s="14">
        <v>0</v>
      </c>
      <c r="Q250" s="15">
        <f>$G$250*$G$8+$H$250*$H$8+$I$250*$I$8+$J$250*$J$8+$K$250*$K$8+$L$250*$L$8+$M$250*$M$8+$N$250*$N$8+$O$250*$O$8+$P$250*$P$8</f>
        <v>0</v>
      </c>
      <c r="R250" s="15">
        <v>0</v>
      </c>
      <c r="S250" s="15">
        <f>$Q$250+$R$250</f>
        <v>0</v>
      </c>
    </row>
    <row r="251" spans="1:19" x14ac:dyDescent="0.3">
      <c r="A251" s="10" t="s">
        <v>938</v>
      </c>
      <c r="B251" s="11" t="s">
        <v>939</v>
      </c>
      <c r="C251" s="11"/>
      <c r="D251" s="11" t="s">
        <v>940</v>
      </c>
      <c r="E251" s="11">
        <f xml:space="preserve"> IF($S$251,1,0)</f>
        <v>0</v>
      </c>
      <c r="F251" s="11" t="s">
        <v>941</v>
      </c>
      <c r="G251" s="11">
        <v>0</v>
      </c>
      <c r="H251" s="11">
        <v>0</v>
      </c>
      <c r="I251" s="11">
        <v>0</v>
      </c>
      <c r="J251" s="11">
        <v>0</v>
      </c>
      <c r="K251" s="11">
        <v>0</v>
      </c>
      <c r="L251" s="11">
        <v>0</v>
      </c>
      <c r="M251" s="11">
        <v>0</v>
      </c>
      <c r="N251" s="11">
        <v>0</v>
      </c>
      <c r="O251" s="11">
        <v>0</v>
      </c>
      <c r="P251" s="11">
        <v>0</v>
      </c>
      <c r="Q251" s="12">
        <f>$G$251*$G$8+$H$251*$H$8+$I$251*$I$8+$J$251*$J$8+$K$251*$K$8+$L$251*$L$8+$M$251*$M$8+$N$251*$N$8+$O$251*$O$8+$P$251*$P$8</f>
        <v>0</v>
      </c>
      <c r="R251" s="12">
        <v>0</v>
      </c>
      <c r="S251" s="12">
        <f>$Q$251+$R$251</f>
        <v>0</v>
      </c>
    </row>
    <row r="252" spans="1:19" x14ac:dyDescent="0.3">
      <c r="A252" s="13" t="s">
        <v>942</v>
      </c>
      <c r="B252" s="14" t="s">
        <v>943</v>
      </c>
      <c r="C252" s="14"/>
      <c r="D252" s="14" t="s">
        <v>944</v>
      </c>
      <c r="E252" s="14">
        <f xml:space="preserve"> IF($S$252,1,0)</f>
        <v>0</v>
      </c>
      <c r="F252" s="14" t="s">
        <v>945</v>
      </c>
      <c r="G252" s="14">
        <v>0</v>
      </c>
      <c r="H252" s="14">
        <v>0</v>
      </c>
      <c r="I252" s="14">
        <v>0</v>
      </c>
      <c r="J252" s="14">
        <v>0</v>
      </c>
      <c r="K252" s="14">
        <v>0</v>
      </c>
      <c r="L252" s="14">
        <v>0</v>
      </c>
      <c r="M252" s="14">
        <v>0</v>
      </c>
      <c r="N252" s="14">
        <v>0</v>
      </c>
      <c r="O252" s="14">
        <v>0</v>
      </c>
      <c r="P252" s="14">
        <v>0</v>
      </c>
      <c r="Q252" s="15">
        <f>$G$252*$G$8+$H$252*$H$8+$I$252*$I$8+$J$252*$J$8+$K$252*$K$8+$L$252*$L$8+$M$252*$M$8+$N$252*$N$8+$O$252*$O$8+$P$252*$P$8</f>
        <v>0</v>
      </c>
      <c r="R252" s="15">
        <v>0</v>
      </c>
      <c r="S252" s="15">
        <f>$Q$252+$R$252</f>
        <v>0</v>
      </c>
    </row>
    <row r="253" spans="1:19" x14ac:dyDescent="0.3">
      <c r="A253" s="10" t="s">
        <v>946</v>
      </c>
      <c r="B253" s="11" t="s">
        <v>947</v>
      </c>
      <c r="C253" s="11"/>
      <c r="D253" s="11" t="s">
        <v>948</v>
      </c>
      <c r="E253" s="11">
        <f xml:space="preserve"> IF($S$253,1,0)</f>
        <v>0</v>
      </c>
      <c r="F253" s="11" t="s">
        <v>949</v>
      </c>
      <c r="G253" s="11">
        <v>0</v>
      </c>
      <c r="H253" s="11">
        <v>0</v>
      </c>
      <c r="I253" s="11">
        <v>0</v>
      </c>
      <c r="J253" s="11">
        <v>0</v>
      </c>
      <c r="K253" s="11">
        <v>0</v>
      </c>
      <c r="L253" s="11">
        <v>0</v>
      </c>
      <c r="M253" s="11">
        <v>0</v>
      </c>
      <c r="N253" s="11">
        <v>0</v>
      </c>
      <c r="O253" s="11">
        <v>0</v>
      </c>
      <c r="P253" s="11">
        <v>0</v>
      </c>
      <c r="Q253" s="12">
        <f>$G$253*$G$8+$H$253*$H$8+$I$253*$I$8+$J$253*$J$8+$K$253*$K$8+$L$253*$L$8+$M$253*$M$8+$N$253*$N$8+$O$253*$O$8+$P$253*$P$8</f>
        <v>0</v>
      </c>
      <c r="R253" s="12">
        <v>0</v>
      </c>
      <c r="S253" s="12">
        <f>$Q$253+$R$253</f>
        <v>0</v>
      </c>
    </row>
    <row r="254" spans="1:19" x14ac:dyDescent="0.3">
      <c r="A254" s="13" t="s">
        <v>950</v>
      </c>
      <c r="B254" s="14" t="s">
        <v>951</v>
      </c>
      <c r="C254" s="14" t="s">
        <v>34</v>
      </c>
      <c r="D254" s="14" t="s">
        <v>118</v>
      </c>
      <c r="E254" s="14">
        <f xml:space="preserve"> IF($S$254,1,0)</f>
        <v>0</v>
      </c>
      <c r="F254" s="14" t="s">
        <v>952</v>
      </c>
      <c r="G254" s="14">
        <v>0</v>
      </c>
      <c r="H254" s="14">
        <v>0</v>
      </c>
      <c r="I254" s="14">
        <v>0</v>
      </c>
      <c r="J254" s="14">
        <v>0</v>
      </c>
      <c r="K254" s="14">
        <v>0</v>
      </c>
      <c r="L254" s="14">
        <v>0</v>
      </c>
      <c r="M254" s="14">
        <v>0</v>
      </c>
      <c r="N254" s="14">
        <v>0</v>
      </c>
      <c r="O254" s="14">
        <v>0</v>
      </c>
      <c r="P254" s="14">
        <v>0</v>
      </c>
      <c r="Q254" s="15">
        <f>$G$254*$G$8+$H$254*$H$8+$I$254*$I$8+$J$254*$J$8+$K$254*$K$8+$L$254*$L$8+$M$254*$M$8+$N$254*$N$8+$O$254*$O$8+$P$254*$P$8</f>
        <v>0</v>
      </c>
      <c r="R254" s="15">
        <v>0</v>
      </c>
      <c r="S254" s="15">
        <f>$Q$254+$R$254</f>
        <v>0</v>
      </c>
    </row>
    <row r="255" spans="1:19" x14ac:dyDescent="0.3">
      <c r="A255" s="10" t="s">
        <v>953</v>
      </c>
      <c r="B255" s="11" t="s">
        <v>954</v>
      </c>
      <c r="C255" s="11"/>
      <c r="D255" s="11" t="s">
        <v>955</v>
      </c>
      <c r="E255" s="11">
        <f xml:space="preserve"> IF($S$255,1,0)</f>
        <v>0</v>
      </c>
      <c r="F255" s="11" t="s">
        <v>956</v>
      </c>
      <c r="G255" s="11">
        <v>0</v>
      </c>
      <c r="H255" s="11">
        <v>0</v>
      </c>
      <c r="I255" s="11">
        <v>0</v>
      </c>
      <c r="J255" s="11">
        <v>0</v>
      </c>
      <c r="K255" s="11">
        <v>0</v>
      </c>
      <c r="L255" s="11">
        <v>0</v>
      </c>
      <c r="M255" s="11">
        <v>0</v>
      </c>
      <c r="N255" s="11">
        <v>0</v>
      </c>
      <c r="O255" s="11">
        <v>0</v>
      </c>
      <c r="P255" s="11">
        <v>0</v>
      </c>
      <c r="Q255" s="12">
        <f>$G$255*$G$8+$H$255*$H$8+$I$255*$I$8+$J$255*$J$8+$K$255*$K$8+$L$255*$L$8+$M$255*$M$8+$N$255*$N$8+$O$255*$O$8+$P$255*$P$8</f>
        <v>0</v>
      </c>
      <c r="R255" s="12">
        <v>0</v>
      </c>
      <c r="S255" s="12">
        <f>$Q$255+$R$255</f>
        <v>0</v>
      </c>
    </row>
    <row r="256" spans="1:19" x14ac:dyDescent="0.3">
      <c r="A256" s="13" t="s">
        <v>957</v>
      </c>
      <c r="B256" s="14" t="s">
        <v>958</v>
      </c>
      <c r="C256" s="14" t="s">
        <v>65</v>
      </c>
      <c r="D256" s="14" t="s">
        <v>959</v>
      </c>
      <c r="E256" s="14">
        <f xml:space="preserve"> IF($S$256,1,0)</f>
        <v>0</v>
      </c>
      <c r="F256" s="14" t="s">
        <v>960</v>
      </c>
      <c r="G256" s="14">
        <v>0</v>
      </c>
      <c r="H256" s="14">
        <v>0</v>
      </c>
      <c r="I256" s="14">
        <v>0</v>
      </c>
      <c r="J256" s="14">
        <v>0</v>
      </c>
      <c r="K256" s="14">
        <v>0</v>
      </c>
      <c r="L256" s="14">
        <v>0</v>
      </c>
      <c r="M256" s="14">
        <v>0</v>
      </c>
      <c r="N256" s="14">
        <v>0</v>
      </c>
      <c r="O256" s="14">
        <v>0</v>
      </c>
      <c r="P256" s="14">
        <v>0</v>
      </c>
      <c r="Q256" s="15">
        <f>$G$256*$G$8+$H$256*$H$8+$I$256*$I$8+$J$256*$J$8+$K$256*$K$8+$L$256*$L$8+$M$256*$M$8+$N$256*$N$8+$O$256*$O$8+$P$256*$P$8</f>
        <v>0</v>
      </c>
      <c r="R256" s="15">
        <v>0</v>
      </c>
      <c r="S256" s="15">
        <f>$Q$256+$R$256</f>
        <v>0</v>
      </c>
    </row>
    <row r="257" spans="1:19" x14ac:dyDescent="0.3">
      <c r="A257" s="10" t="s">
        <v>961</v>
      </c>
      <c r="B257" s="11" t="s">
        <v>962</v>
      </c>
      <c r="C257" s="11" t="s">
        <v>202</v>
      </c>
      <c r="D257" s="11" t="s">
        <v>963</v>
      </c>
      <c r="E257" s="11">
        <f xml:space="preserve"> IF($S$257,1,0)</f>
        <v>0</v>
      </c>
      <c r="F257" s="11" t="s">
        <v>964</v>
      </c>
      <c r="G257" s="11">
        <v>0</v>
      </c>
      <c r="H257" s="11">
        <v>0</v>
      </c>
      <c r="I257" s="11">
        <v>0</v>
      </c>
      <c r="J257" s="11">
        <v>0</v>
      </c>
      <c r="K257" s="11">
        <v>0</v>
      </c>
      <c r="L257" s="11">
        <v>0</v>
      </c>
      <c r="M257" s="11">
        <v>0</v>
      </c>
      <c r="N257" s="11">
        <v>0</v>
      </c>
      <c r="O257" s="11">
        <v>0</v>
      </c>
      <c r="P257" s="11">
        <v>0</v>
      </c>
      <c r="Q257" s="12">
        <f>$G$257*$G$8+$H$257*$H$8+$I$257*$I$8+$J$257*$J$8+$K$257*$K$8+$L$257*$L$8+$M$257*$M$8+$N$257*$N$8+$O$257*$O$8+$P$257*$P$8</f>
        <v>0</v>
      </c>
      <c r="R257" s="12">
        <v>0</v>
      </c>
      <c r="S257" s="12">
        <f>$Q$257+$R$257</f>
        <v>0</v>
      </c>
    </row>
    <row r="258" spans="1:19" x14ac:dyDescent="0.3">
      <c r="A258" s="13" t="s">
        <v>965</v>
      </c>
      <c r="B258" s="14" t="s">
        <v>966</v>
      </c>
      <c r="C258" s="14"/>
      <c r="D258" s="14" t="s">
        <v>609</v>
      </c>
      <c r="E258" s="14">
        <f xml:space="preserve"> IF($S$258,1,0)</f>
        <v>0</v>
      </c>
      <c r="F258" s="14" t="s">
        <v>967</v>
      </c>
      <c r="G258" s="14">
        <v>0</v>
      </c>
      <c r="H258" s="14">
        <v>0</v>
      </c>
      <c r="I258" s="14">
        <v>0</v>
      </c>
      <c r="J258" s="14">
        <v>0</v>
      </c>
      <c r="K258" s="14">
        <v>0</v>
      </c>
      <c r="L258" s="14">
        <v>0</v>
      </c>
      <c r="M258" s="14">
        <v>0</v>
      </c>
      <c r="N258" s="14">
        <v>0</v>
      </c>
      <c r="O258" s="14">
        <v>0</v>
      </c>
      <c r="P258" s="14">
        <v>0</v>
      </c>
      <c r="Q258" s="15">
        <f>$G$258*$G$8+$H$258*$H$8+$I$258*$I$8+$J$258*$J$8+$K$258*$K$8+$L$258*$L$8+$M$258*$M$8+$N$258*$N$8+$O$258*$O$8+$P$258*$P$8</f>
        <v>0</v>
      </c>
      <c r="R258" s="15">
        <v>0</v>
      </c>
      <c r="S258" s="15">
        <f>$Q$258+$R$258</f>
        <v>0</v>
      </c>
    </row>
    <row r="259" spans="1:19" x14ac:dyDescent="0.3">
      <c r="A259" s="10" t="s">
        <v>968</v>
      </c>
      <c r="B259" s="11" t="s">
        <v>969</v>
      </c>
      <c r="C259" s="11"/>
      <c r="D259" s="11" t="s">
        <v>970</v>
      </c>
      <c r="E259" s="11">
        <f xml:space="preserve"> IF($S$259,1,0)</f>
        <v>0</v>
      </c>
      <c r="F259" s="11" t="s">
        <v>971</v>
      </c>
      <c r="G259" s="11">
        <v>0</v>
      </c>
      <c r="H259" s="11">
        <v>0</v>
      </c>
      <c r="I259" s="11">
        <v>0</v>
      </c>
      <c r="J259" s="11">
        <v>0</v>
      </c>
      <c r="K259" s="11">
        <v>0</v>
      </c>
      <c r="L259" s="11">
        <v>0</v>
      </c>
      <c r="M259" s="11">
        <v>0</v>
      </c>
      <c r="N259" s="11">
        <v>0</v>
      </c>
      <c r="O259" s="11">
        <v>0</v>
      </c>
      <c r="P259" s="11">
        <v>0</v>
      </c>
      <c r="Q259" s="12">
        <f>$G$259*$G$8+$H$259*$H$8+$I$259*$I$8+$J$259*$J$8+$K$259*$K$8+$L$259*$L$8+$M$259*$M$8+$N$259*$N$8+$O$259*$O$8+$P$259*$P$8</f>
        <v>0</v>
      </c>
      <c r="R259" s="12">
        <v>0</v>
      </c>
      <c r="S259" s="12">
        <f>$Q$259+$R$259</f>
        <v>0</v>
      </c>
    </row>
    <row r="260" spans="1:19" x14ac:dyDescent="0.3">
      <c r="A260" s="13" t="s">
        <v>972</v>
      </c>
      <c r="B260" s="14" t="s">
        <v>973</v>
      </c>
      <c r="C260" s="14"/>
      <c r="D260" s="14" t="s">
        <v>974</v>
      </c>
      <c r="E260" s="14">
        <f xml:space="preserve"> IF($S$260,1,0)</f>
        <v>0</v>
      </c>
      <c r="F260" s="14" t="s">
        <v>975</v>
      </c>
      <c r="G260" s="14">
        <v>0</v>
      </c>
      <c r="H260" s="14">
        <v>0</v>
      </c>
      <c r="I260" s="14">
        <v>0</v>
      </c>
      <c r="J260" s="14">
        <v>0</v>
      </c>
      <c r="K260" s="14">
        <v>0</v>
      </c>
      <c r="L260" s="14">
        <v>0</v>
      </c>
      <c r="M260" s="14">
        <v>0</v>
      </c>
      <c r="N260" s="14">
        <v>0</v>
      </c>
      <c r="O260" s="14">
        <v>0</v>
      </c>
      <c r="P260" s="14">
        <v>0</v>
      </c>
      <c r="Q260" s="15">
        <f>$G$260*$G$8+$H$260*$H$8+$I$260*$I$8+$J$260*$J$8+$K$260*$K$8+$L$260*$L$8+$M$260*$M$8+$N$260*$N$8+$O$260*$O$8+$P$260*$P$8</f>
        <v>0</v>
      </c>
      <c r="R260" s="15">
        <v>0</v>
      </c>
      <c r="S260" s="15">
        <f>$Q$260+$R$260</f>
        <v>0</v>
      </c>
    </row>
    <row r="261" spans="1:19" x14ac:dyDescent="0.3">
      <c r="A261" s="10" t="s">
        <v>976</v>
      </c>
      <c r="B261" s="11" t="s">
        <v>977</v>
      </c>
      <c r="C261" s="11"/>
      <c r="D261" s="11" t="s">
        <v>978</v>
      </c>
      <c r="E261" s="11">
        <f xml:space="preserve"> IF($S$261,1,0)</f>
        <v>0</v>
      </c>
      <c r="F261" s="11" t="s">
        <v>979</v>
      </c>
      <c r="G261" s="11">
        <v>0</v>
      </c>
      <c r="H261" s="11">
        <v>0</v>
      </c>
      <c r="I261" s="11">
        <v>0</v>
      </c>
      <c r="J261" s="11">
        <v>0</v>
      </c>
      <c r="K261" s="11">
        <v>0</v>
      </c>
      <c r="L261" s="11">
        <v>0</v>
      </c>
      <c r="M261" s="11">
        <v>0</v>
      </c>
      <c r="N261" s="11">
        <v>0</v>
      </c>
      <c r="O261" s="11">
        <v>0</v>
      </c>
      <c r="P261" s="11">
        <v>0</v>
      </c>
      <c r="Q261" s="12">
        <f>$G$261*$G$8+$H$261*$H$8+$I$261*$I$8+$J$261*$J$8+$K$261*$K$8+$L$261*$L$8+$M$261*$M$8+$N$261*$N$8+$O$261*$O$8+$P$261*$P$8</f>
        <v>0</v>
      </c>
      <c r="R261" s="12">
        <v>0</v>
      </c>
      <c r="S261" s="12">
        <f>$Q$261+$R$261</f>
        <v>0</v>
      </c>
    </row>
    <row r="262" spans="1:19" x14ac:dyDescent="0.3">
      <c r="A262" s="13" t="s">
        <v>980</v>
      </c>
      <c r="B262" s="14" t="s">
        <v>981</v>
      </c>
      <c r="C262" s="14" t="s">
        <v>34</v>
      </c>
      <c r="D262" s="14" t="s">
        <v>982</v>
      </c>
      <c r="E262" s="14">
        <f xml:space="preserve"> IF($S$262,1,0)</f>
        <v>0</v>
      </c>
      <c r="F262" s="14" t="s">
        <v>983</v>
      </c>
      <c r="G262" s="14">
        <v>0</v>
      </c>
      <c r="H262" s="14">
        <v>0</v>
      </c>
      <c r="I262" s="14">
        <v>0</v>
      </c>
      <c r="J262" s="14">
        <v>0</v>
      </c>
      <c r="K262" s="14">
        <v>0</v>
      </c>
      <c r="L262" s="14">
        <v>0</v>
      </c>
      <c r="M262" s="14">
        <v>0</v>
      </c>
      <c r="N262" s="14">
        <v>0</v>
      </c>
      <c r="O262" s="14">
        <v>0</v>
      </c>
      <c r="P262" s="14">
        <v>0</v>
      </c>
      <c r="Q262" s="15">
        <f>$G$262*$G$8+$H$262*$H$8+$I$262*$I$8+$J$262*$J$8+$K$262*$K$8+$L$262*$L$8+$M$262*$M$8+$N$262*$N$8+$O$262*$O$8+$P$262*$P$8</f>
        <v>0</v>
      </c>
      <c r="R262" s="15">
        <v>0</v>
      </c>
      <c r="S262" s="15">
        <f>$Q$262+$R$262</f>
        <v>0</v>
      </c>
    </row>
    <row r="263" spans="1:19" x14ac:dyDescent="0.3">
      <c r="A263" s="10" t="s">
        <v>984</v>
      </c>
      <c r="B263" s="11" t="s">
        <v>985</v>
      </c>
      <c r="C263" s="11" t="s">
        <v>202</v>
      </c>
      <c r="D263" s="11" t="s">
        <v>986</v>
      </c>
      <c r="E263" s="11">
        <f xml:space="preserve"> IF($S$263,1,0)</f>
        <v>0</v>
      </c>
      <c r="F263" s="11" t="s">
        <v>987</v>
      </c>
      <c r="G263" s="11">
        <v>0</v>
      </c>
      <c r="H263" s="11">
        <v>0</v>
      </c>
      <c r="I263" s="11">
        <v>0</v>
      </c>
      <c r="J263" s="11">
        <v>0</v>
      </c>
      <c r="K263" s="11">
        <v>0</v>
      </c>
      <c r="L263" s="11">
        <v>0</v>
      </c>
      <c r="M263" s="11">
        <v>0</v>
      </c>
      <c r="N263" s="11">
        <v>0</v>
      </c>
      <c r="O263" s="11">
        <v>0</v>
      </c>
      <c r="P263" s="11">
        <v>0</v>
      </c>
      <c r="Q263" s="12">
        <f>$G$263*$G$8+$H$263*$H$8+$I$263*$I$8+$J$263*$J$8+$K$263*$K$8+$L$263*$L$8+$M$263*$M$8+$N$263*$N$8+$O$263*$O$8+$P$263*$P$8</f>
        <v>0</v>
      </c>
      <c r="R263" s="12">
        <v>0</v>
      </c>
      <c r="S263" s="12">
        <f>$Q$263+$R$263</f>
        <v>0</v>
      </c>
    </row>
    <row r="264" spans="1:19" x14ac:dyDescent="0.3">
      <c r="A264" s="13" t="s">
        <v>1261</v>
      </c>
      <c r="B264" s="14" t="s">
        <v>1262</v>
      </c>
      <c r="C264" s="14"/>
      <c r="D264" s="14" t="s">
        <v>1263</v>
      </c>
      <c r="E264" s="14">
        <f xml:space="preserve"> IF($S$264,1,0)</f>
        <v>0</v>
      </c>
      <c r="F264" s="14" t="s">
        <v>1264</v>
      </c>
      <c r="G264" s="14">
        <v>0</v>
      </c>
      <c r="H264" s="14">
        <v>0</v>
      </c>
      <c r="I264" s="14">
        <v>0</v>
      </c>
      <c r="J264" s="14">
        <v>0</v>
      </c>
      <c r="K264" s="14">
        <v>0</v>
      </c>
      <c r="L264" s="14">
        <v>0</v>
      </c>
      <c r="M264" s="14">
        <v>0</v>
      </c>
      <c r="N264" s="14">
        <v>0</v>
      </c>
      <c r="O264" s="14">
        <v>0</v>
      </c>
      <c r="P264" s="14">
        <v>0</v>
      </c>
      <c r="Q264" s="15">
        <f>$G$264*$G$8+$H$264*$H$8+$I$264*$I$8+$J$264*$J$8+$K$264*$K$8+$L$264*$L$8+$M$264*$M$8+$N$264*$N$8+$O$264*$O$8+$P$264*$P$8</f>
        <v>0</v>
      </c>
      <c r="R264" s="15">
        <v>0</v>
      </c>
      <c r="S264" s="15">
        <f>$Q$264+$R$264</f>
        <v>0</v>
      </c>
    </row>
    <row r="265" spans="1:19" x14ac:dyDescent="0.3">
      <c r="A265" s="10" t="s">
        <v>988</v>
      </c>
      <c r="B265" s="11" t="s">
        <v>989</v>
      </c>
      <c r="C265" s="11" t="s">
        <v>887</v>
      </c>
      <c r="D265" s="11" t="s">
        <v>1060</v>
      </c>
      <c r="E265" s="11">
        <f xml:space="preserve"> IF($S$265,1,0)</f>
        <v>0</v>
      </c>
      <c r="F265" s="11" t="s">
        <v>1256</v>
      </c>
      <c r="G265" s="11">
        <v>0</v>
      </c>
      <c r="H265" s="11">
        <v>0</v>
      </c>
      <c r="I265" s="11">
        <v>0</v>
      </c>
      <c r="J265" s="11">
        <v>0</v>
      </c>
      <c r="K265" s="11">
        <v>0</v>
      </c>
      <c r="L265" s="11">
        <v>0</v>
      </c>
      <c r="M265" s="11">
        <v>0</v>
      </c>
      <c r="N265" s="11">
        <v>0</v>
      </c>
      <c r="O265" s="11">
        <v>0</v>
      </c>
      <c r="P265" s="11">
        <v>0</v>
      </c>
      <c r="Q265" s="12">
        <f>$G$265*$G$8+$H$265*$H$8+$I$265*$I$8+$J$265*$J$8+$K$265*$K$8+$L$265*$L$8+$M$265*$M$8+$N$265*$N$8+$O$265*$O$8+$P$265*$P$8</f>
        <v>0</v>
      </c>
      <c r="R265" s="12">
        <v>0</v>
      </c>
      <c r="S265" s="12">
        <f>$Q$265+$R$265</f>
        <v>0</v>
      </c>
    </row>
    <row r="266" spans="1:19" x14ac:dyDescent="0.3">
      <c r="A266" s="13" t="s">
        <v>992</v>
      </c>
      <c r="B266" s="14" t="s">
        <v>343</v>
      </c>
      <c r="C266" s="14"/>
      <c r="D266" s="14" t="s">
        <v>993</v>
      </c>
      <c r="E266" s="14">
        <f xml:space="preserve"> IF($S$266,1,0)</f>
        <v>0</v>
      </c>
      <c r="F266" s="14" t="s">
        <v>994</v>
      </c>
      <c r="G266" s="14">
        <v>0</v>
      </c>
      <c r="H266" s="14">
        <v>0</v>
      </c>
      <c r="I266" s="14">
        <v>0</v>
      </c>
      <c r="J266" s="14">
        <v>0</v>
      </c>
      <c r="K266" s="14">
        <v>0</v>
      </c>
      <c r="L266" s="14">
        <v>0</v>
      </c>
      <c r="M266" s="14">
        <v>0</v>
      </c>
      <c r="N266" s="14">
        <v>0</v>
      </c>
      <c r="O266" s="14">
        <v>0</v>
      </c>
      <c r="P266" s="14">
        <v>0</v>
      </c>
      <c r="Q266" s="15">
        <f>$G$266*$G$8+$H$266*$H$8+$I$266*$I$8+$J$266*$J$8+$K$266*$K$8+$L$266*$L$8+$M$266*$M$8+$N$266*$N$8+$O$266*$O$8+$P$266*$P$8</f>
        <v>0</v>
      </c>
      <c r="R266" s="15">
        <v>0</v>
      </c>
      <c r="S266" s="15">
        <f>$Q$266+$R$266</f>
        <v>0</v>
      </c>
    </row>
    <row r="267" spans="1:19" x14ac:dyDescent="0.3">
      <c r="A267" s="10" t="s">
        <v>995</v>
      </c>
      <c r="B267" s="11" t="s">
        <v>996</v>
      </c>
      <c r="C267" s="11"/>
      <c r="D267" s="11" t="s">
        <v>997</v>
      </c>
      <c r="E267" s="11">
        <f xml:space="preserve"> IF($S$267,1,0)</f>
        <v>0</v>
      </c>
      <c r="F267" s="11" t="s">
        <v>998</v>
      </c>
      <c r="G267" s="11">
        <v>0</v>
      </c>
      <c r="H267" s="11">
        <v>0</v>
      </c>
      <c r="I267" s="11">
        <v>0</v>
      </c>
      <c r="J267" s="11">
        <v>0</v>
      </c>
      <c r="K267" s="11">
        <v>0</v>
      </c>
      <c r="L267" s="11">
        <v>0</v>
      </c>
      <c r="M267" s="11">
        <v>0</v>
      </c>
      <c r="N267" s="11">
        <v>0</v>
      </c>
      <c r="O267" s="11">
        <v>0</v>
      </c>
      <c r="P267" s="11">
        <v>0</v>
      </c>
      <c r="Q267" s="12">
        <f>$G$267*$G$8+$H$267*$H$8+$I$267*$I$8+$J$267*$J$8+$K$267*$K$8+$L$267*$L$8+$M$267*$M$8+$N$267*$N$8+$O$267*$O$8+$P$267*$P$8</f>
        <v>0</v>
      </c>
      <c r="R267" s="12">
        <v>0</v>
      </c>
      <c r="S267" s="12">
        <f>$Q$267+$R$267</f>
        <v>0</v>
      </c>
    </row>
    <row r="268" spans="1:19" x14ac:dyDescent="0.3">
      <c r="A268" s="13" t="s">
        <v>999</v>
      </c>
      <c r="B268" s="14" t="s">
        <v>1000</v>
      </c>
      <c r="C268" s="14" t="s">
        <v>202</v>
      </c>
      <c r="D268" s="14" t="s">
        <v>1001</v>
      </c>
      <c r="E268" s="14">
        <f xml:space="preserve"> IF($S$268,1,0)</f>
        <v>0</v>
      </c>
      <c r="F268" s="14" t="s">
        <v>1002</v>
      </c>
      <c r="G268" s="14">
        <v>0</v>
      </c>
      <c r="H268" s="14">
        <v>0</v>
      </c>
      <c r="I268" s="14">
        <v>0</v>
      </c>
      <c r="J268" s="14">
        <v>0</v>
      </c>
      <c r="K268" s="14">
        <v>0</v>
      </c>
      <c r="L268" s="14">
        <v>0</v>
      </c>
      <c r="M268" s="14">
        <v>0</v>
      </c>
      <c r="N268" s="14">
        <v>0</v>
      </c>
      <c r="O268" s="14">
        <v>0</v>
      </c>
      <c r="P268" s="14">
        <v>0</v>
      </c>
      <c r="Q268" s="15">
        <f>$G$268*$G$8+$H$268*$H$8+$I$268*$I$8+$J$268*$J$8+$K$268*$K$8+$L$268*$L$8+$M$268*$M$8+$N$268*$N$8+$O$268*$O$8+$P$268*$P$8</f>
        <v>0</v>
      </c>
      <c r="R268" s="15">
        <v>0</v>
      </c>
      <c r="S268" s="15">
        <f>$Q$268+$R$268</f>
        <v>0</v>
      </c>
    </row>
    <row r="269" spans="1:19" x14ac:dyDescent="0.3">
      <c r="A269" s="10" t="s">
        <v>1003</v>
      </c>
      <c r="B269" s="11" t="s">
        <v>1004</v>
      </c>
      <c r="C269" s="11"/>
      <c r="D269" s="11" t="s">
        <v>1005</v>
      </c>
      <c r="E269" s="11">
        <f xml:space="preserve"> IF($S$269,1,0)</f>
        <v>0</v>
      </c>
      <c r="F269" s="11" t="s">
        <v>1006</v>
      </c>
      <c r="G269" s="11">
        <v>0</v>
      </c>
      <c r="H269" s="11">
        <v>0</v>
      </c>
      <c r="I269" s="11">
        <v>0</v>
      </c>
      <c r="J269" s="11">
        <v>0</v>
      </c>
      <c r="K269" s="11">
        <v>0</v>
      </c>
      <c r="L269" s="11">
        <v>0</v>
      </c>
      <c r="M269" s="11">
        <v>0</v>
      </c>
      <c r="N269" s="11">
        <v>0</v>
      </c>
      <c r="O269" s="11">
        <v>0</v>
      </c>
      <c r="P269" s="11">
        <v>0</v>
      </c>
      <c r="Q269" s="12">
        <f>$G$269*$G$8+$H$269*$H$8+$I$269*$I$8+$J$269*$J$8+$K$269*$K$8+$L$269*$L$8+$M$269*$M$8+$N$269*$N$8+$O$269*$O$8+$P$269*$P$8</f>
        <v>0</v>
      </c>
      <c r="R269" s="12">
        <v>0</v>
      </c>
      <c r="S269" s="12">
        <f>$Q$269+$R$269</f>
        <v>0</v>
      </c>
    </row>
    <row r="270" spans="1:19" x14ac:dyDescent="0.3">
      <c r="A270" s="13" t="s">
        <v>1007</v>
      </c>
      <c r="B270" s="14" t="s">
        <v>1004</v>
      </c>
      <c r="C270" s="14"/>
      <c r="D270" s="14" t="s">
        <v>1008</v>
      </c>
      <c r="E270" s="14">
        <f xml:space="preserve"> IF($S$270,1,0)</f>
        <v>0</v>
      </c>
      <c r="F270" s="14" t="s">
        <v>1009</v>
      </c>
      <c r="G270" s="14">
        <v>0</v>
      </c>
      <c r="H270" s="14">
        <v>0</v>
      </c>
      <c r="I270" s="14">
        <v>0</v>
      </c>
      <c r="J270" s="14">
        <v>0</v>
      </c>
      <c r="K270" s="14">
        <v>0</v>
      </c>
      <c r="L270" s="14">
        <v>0</v>
      </c>
      <c r="M270" s="14">
        <v>0</v>
      </c>
      <c r="N270" s="14">
        <v>0</v>
      </c>
      <c r="O270" s="14">
        <v>0</v>
      </c>
      <c r="P270" s="14">
        <v>0</v>
      </c>
      <c r="Q270" s="15">
        <f>$G$270*$G$8+$H$270*$H$8+$I$270*$I$8+$J$270*$J$8+$K$270*$K$8+$L$270*$L$8+$M$270*$M$8+$N$270*$N$8+$O$270*$O$8+$P$270*$P$8</f>
        <v>0</v>
      </c>
      <c r="R270" s="15">
        <v>0</v>
      </c>
      <c r="S270" s="15">
        <f>$Q$270+$R$270</f>
        <v>0</v>
      </c>
    </row>
    <row r="271" spans="1:19" x14ac:dyDescent="0.3">
      <c r="A271" s="10" t="s">
        <v>1010</v>
      </c>
      <c r="B271" s="11" t="s">
        <v>1011</v>
      </c>
      <c r="C271" s="11"/>
      <c r="D271" s="11" t="s">
        <v>1012</v>
      </c>
      <c r="E271" s="11">
        <f xml:space="preserve"> IF($S$271,1,0)</f>
        <v>0</v>
      </c>
      <c r="F271" s="11" t="s">
        <v>1013</v>
      </c>
      <c r="G271" s="11">
        <v>0</v>
      </c>
      <c r="H271" s="11">
        <v>0</v>
      </c>
      <c r="I271" s="11">
        <v>0</v>
      </c>
      <c r="J271" s="11">
        <v>0</v>
      </c>
      <c r="K271" s="11">
        <v>0</v>
      </c>
      <c r="L271" s="11">
        <v>0</v>
      </c>
      <c r="M271" s="11">
        <v>0</v>
      </c>
      <c r="N271" s="11">
        <v>0</v>
      </c>
      <c r="O271" s="11">
        <v>0</v>
      </c>
      <c r="P271" s="11">
        <v>0</v>
      </c>
      <c r="Q271" s="12">
        <f>$G$271*$G$8+$H$271*$H$8+$I$271*$I$8+$J$271*$J$8+$K$271*$K$8+$L$271*$L$8+$M$271*$M$8+$N$271*$N$8+$O$271*$O$8+$P$271*$P$8</f>
        <v>0</v>
      </c>
      <c r="R271" s="12">
        <v>0</v>
      </c>
      <c r="S271" s="12">
        <f>$Q$271+$R$271</f>
        <v>0</v>
      </c>
    </row>
    <row r="272" spans="1:19" x14ac:dyDescent="0.3">
      <c r="A272" s="13" t="s">
        <v>1014</v>
      </c>
      <c r="B272" s="14" t="s">
        <v>1015</v>
      </c>
      <c r="C272" s="14"/>
      <c r="D272" s="14" t="s">
        <v>1016</v>
      </c>
      <c r="E272" s="14">
        <f xml:space="preserve"> IF($S$272,1,0)</f>
        <v>0</v>
      </c>
      <c r="F272" s="14" t="s">
        <v>1017</v>
      </c>
      <c r="G272" s="14">
        <v>0</v>
      </c>
      <c r="H272" s="14">
        <v>0</v>
      </c>
      <c r="I272" s="14">
        <v>0</v>
      </c>
      <c r="J272" s="14">
        <v>0</v>
      </c>
      <c r="K272" s="14">
        <v>0</v>
      </c>
      <c r="L272" s="14">
        <v>0</v>
      </c>
      <c r="M272" s="14">
        <v>0</v>
      </c>
      <c r="N272" s="14">
        <v>0</v>
      </c>
      <c r="O272" s="14">
        <v>0</v>
      </c>
      <c r="P272" s="14">
        <v>0</v>
      </c>
      <c r="Q272" s="15">
        <f>$G$272*$G$8+$H$272*$H$8+$I$272*$I$8+$J$272*$J$8+$K$272*$K$8+$L$272*$L$8+$M$272*$M$8+$N$272*$N$8+$O$272*$O$8+$P$272*$P$8</f>
        <v>0</v>
      </c>
      <c r="R272" s="15">
        <v>0</v>
      </c>
      <c r="S272" s="15">
        <f>$Q$272+$R$272</f>
        <v>0</v>
      </c>
    </row>
    <row r="273" spans="1:19" x14ac:dyDescent="0.3">
      <c r="A273" s="10" t="s">
        <v>1018</v>
      </c>
      <c r="B273" s="11" t="s">
        <v>1015</v>
      </c>
      <c r="C273" s="11"/>
      <c r="D273" s="11" t="s">
        <v>1019</v>
      </c>
      <c r="E273" s="11">
        <f xml:space="preserve"> IF($S$273,1,0)</f>
        <v>0</v>
      </c>
      <c r="F273" s="11" t="s">
        <v>1020</v>
      </c>
      <c r="G273" s="11">
        <v>0</v>
      </c>
      <c r="H273" s="11">
        <v>0</v>
      </c>
      <c r="I273" s="11">
        <v>0</v>
      </c>
      <c r="J273" s="11">
        <v>0</v>
      </c>
      <c r="K273" s="11">
        <v>0</v>
      </c>
      <c r="L273" s="11">
        <v>0</v>
      </c>
      <c r="M273" s="11">
        <v>0</v>
      </c>
      <c r="N273" s="11">
        <v>0</v>
      </c>
      <c r="O273" s="11">
        <v>0</v>
      </c>
      <c r="P273" s="11">
        <v>0</v>
      </c>
      <c r="Q273" s="12">
        <f>$G$273*$G$8+$H$273*$H$8+$I$273*$I$8+$J$273*$J$8+$K$273*$K$8+$L$273*$L$8+$M$273*$M$8+$N$273*$N$8+$O$273*$O$8+$P$273*$P$8</f>
        <v>0</v>
      </c>
      <c r="R273" s="12">
        <v>0</v>
      </c>
      <c r="S273" s="12">
        <f>$Q$273+$R$273</f>
        <v>0</v>
      </c>
    </row>
    <row r="274" spans="1:19" x14ac:dyDescent="0.3">
      <c r="A274" s="13" t="s">
        <v>1021</v>
      </c>
      <c r="B274" s="14" t="s">
        <v>1022</v>
      </c>
      <c r="C274" s="14" t="s">
        <v>283</v>
      </c>
      <c r="D274" s="14" t="s">
        <v>1023</v>
      </c>
      <c r="E274" s="14">
        <f xml:space="preserve"> IF($S$274,1,0)</f>
        <v>0</v>
      </c>
      <c r="F274" s="14" t="s">
        <v>1024</v>
      </c>
      <c r="G274" s="14">
        <v>0</v>
      </c>
      <c r="H274" s="14">
        <v>0</v>
      </c>
      <c r="I274" s="14">
        <v>0</v>
      </c>
      <c r="J274" s="14">
        <v>0</v>
      </c>
      <c r="K274" s="14">
        <v>0</v>
      </c>
      <c r="L274" s="14">
        <v>0</v>
      </c>
      <c r="M274" s="14">
        <v>0</v>
      </c>
      <c r="N274" s="14">
        <v>0</v>
      </c>
      <c r="O274" s="14">
        <v>0</v>
      </c>
      <c r="P274" s="14">
        <v>0</v>
      </c>
      <c r="Q274" s="15">
        <f>$G$274*$G$8+$H$274*$H$8+$I$274*$I$8+$J$274*$J$8+$K$274*$K$8+$L$274*$L$8+$M$274*$M$8+$N$274*$N$8+$O$274*$O$8+$P$274*$P$8</f>
        <v>0</v>
      </c>
      <c r="R274" s="15">
        <v>0</v>
      </c>
      <c r="S274" s="15">
        <f>$Q$274+$R$274</f>
        <v>0</v>
      </c>
    </row>
    <row r="275" spans="1:19" x14ac:dyDescent="0.3">
      <c r="A275" s="10" t="s">
        <v>1025</v>
      </c>
      <c r="B275" s="11" t="s">
        <v>1026</v>
      </c>
      <c r="C275" s="11"/>
      <c r="D275" s="11" t="s">
        <v>1027</v>
      </c>
      <c r="E275" s="11">
        <f xml:space="preserve"> IF($S$275,1,0)</f>
        <v>0</v>
      </c>
      <c r="F275" s="11" t="s">
        <v>1028</v>
      </c>
      <c r="G275" s="11">
        <v>0</v>
      </c>
      <c r="H275" s="11">
        <v>0</v>
      </c>
      <c r="I275" s="11">
        <v>0</v>
      </c>
      <c r="J275" s="11">
        <v>0</v>
      </c>
      <c r="K275" s="11">
        <v>0</v>
      </c>
      <c r="L275" s="11">
        <v>0</v>
      </c>
      <c r="M275" s="11">
        <v>0</v>
      </c>
      <c r="N275" s="11">
        <v>0</v>
      </c>
      <c r="O275" s="11">
        <v>0</v>
      </c>
      <c r="P275" s="11">
        <v>0</v>
      </c>
      <c r="Q275" s="12">
        <f>$G$275*$G$8+$H$275*$H$8+$I$275*$I$8+$J$275*$J$8+$K$275*$K$8+$L$275*$L$8+$M$275*$M$8+$N$275*$N$8+$O$275*$O$8+$P$275*$P$8</f>
        <v>0</v>
      </c>
      <c r="R275" s="12">
        <v>0</v>
      </c>
      <c r="S275" s="12">
        <f>$Q$275+$R$275</f>
        <v>0</v>
      </c>
    </row>
    <row r="276" spans="1:19" x14ac:dyDescent="0.3">
      <c r="A276" s="13" t="s">
        <v>1029</v>
      </c>
      <c r="B276" s="14" t="s">
        <v>1030</v>
      </c>
      <c r="C276" s="14" t="s">
        <v>34</v>
      </c>
      <c r="D276" s="14" t="s">
        <v>1031</v>
      </c>
      <c r="E276" s="14">
        <f xml:space="preserve"> IF($S$276,1,0)</f>
        <v>0</v>
      </c>
      <c r="F276" s="14" t="s">
        <v>1032</v>
      </c>
      <c r="G276" s="14">
        <v>0</v>
      </c>
      <c r="H276" s="14">
        <v>0</v>
      </c>
      <c r="I276" s="14">
        <v>0</v>
      </c>
      <c r="J276" s="14">
        <v>0</v>
      </c>
      <c r="K276" s="14">
        <v>0</v>
      </c>
      <c r="L276" s="14">
        <v>0</v>
      </c>
      <c r="M276" s="14">
        <v>0</v>
      </c>
      <c r="N276" s="14">
        <v>0</v>
      </c>
      <c r="O276" s="14">
        <v>0</v>
      </c>
      <c r="P276" s="14">
        <v>0</v>
      </c>
      <c r="Q276" s="15">
        <f>$G$276*$G$8+$H$276*$H$8+$I$276*$I$8+$J$276*$J$8+$K$276*$K$8+$L$276*$L$8+$M$276*$M$8+$N$276*$N$8+$O$276*$O$8+$P$276*$P$8</f>
        <v>0</v>
      </c>
      <c r="R276" s="15">
        <v>0</v>
      </c>
      <c r="S276" s="15">
        <f>$Q$276+$R$276</f>
        <v>0</v>
      </c>
    </row>
    <row r="277" spans="1:19" x14ac:dyDescent="0.3">
      <c r="A277" s="10" t="s">
        <v>1033</v>
      </c>
      <c r="B277" s="11" t="s">
        <v>1030</v>
      </c>
      <c r="C277" s="11"/>
      <c r="D277" s="11" t="s">
        <v>1034</v>
      </c>
      <c r="E277" s="11">
        <f xml:space="preserve"> IF($S$277,1,0)</f>
        <v>0</v>
      </c>
      <c r="F277" s="11" t="s">
        <v>1035</v>
      </c>
      <c r="G277" s="11">
        <v>0</v>
      </c>
      <c r="H277" s="11">
        <v>0</v>
      </c>
      <c r="I277" s="11">
        <v>0</v>
      </c>
      <c r="J277" s="11">
        <v>0</v>
      </c>
      <c r="K277" s="11">
        <v>0</v>
      </c>
      <c r="L277" s="11">
        <v>0</v>
      </c>
      <c r="M277" s="11">
        <v>0</v>
      </c>
      <c r="N277" s="11">
        <v>0</v>
      </c>
      <c r="O277" s="11">
        <v>0</v>
      </c>
      <c r="P277" s="11">
        <v>0</v>
      </c>
      <c r="Q277" s="12">
        <f>$G$277*$G$8+$H$277*$H$8+$I$277*$I$8+$J$277*$J$8+$K$277*$K$8+$L$277*$L$8+$M$277*$M$8+$N$277*$N$8+$O$277*$O$8+$P$277*$P$8</f>
        <v>0</v>
      </c>
      <c r="R277" s="12">
        <v>0</v>
      </c>
      <c r="S277" s="12">
        <f>$Q$277+$R$277</f>
        <v>0</v>
      </c>
    </row>
    <row r="278" spans="1:19" x14ac:dyDescent="0.3">
      <c r="A278" s="13" t="s">
        <v>1036</v>
      </c>
      <c r="B278" s="14" t="s">
        <v>1037</v>
      </c>
      <c r="C278" s="14"/>
      <c r="D278" s="14" t="s">
        <v>1038</v>
      </c>
      <c r="E278" s="14">
        <f xml:space="preserve"> IF($S$278,1,0)</f>
        <v>0</v>
      </c>
      <c r="F278" s="14" t="s">
        <v>1039</v>
      </c>
      <c r="G278" s="14">
        <v>0</v>
      </c>
      <c r="H278" s="14">
        <v>0</v>
      </c>
      <c r="I278" s="14">
        <v>0</v>
      </c>
      <c r="J278" s="14">
        <v>0</v>
      </c>
      <c r="K278" s="14">
        <v>0</v>
      </c>
      <c r="L278" s="14">
        <v>0</v>
      </c>
      <c r="M278" s="14">
        <v>0</v>
      </c>
      <c r="N278" s="14">
        <v>0</v>
      </c>
      <c r="O278" s="14">
        <v>0</v>
      </c>
      <c r="P278" s="14">
        <v>0</v>
      </c>
      <c r="Q278" s="15">
        <f>$G$278*$G$8+$H$278*$H$8+$I$278*$I$8+$J$278*$J$8+$K$278*$K$8+$L$278*$L$8+$M$278*$M$8+$N$278*$N$8+$O$278*$O$8+$P$278*$P$8</f>
        <v>0</v>
      </c>
      <c r="R278" s="15">
        <v>0</v>
      </c>
      <c r="S278" s="15">
        <f>$Q$278+$R$278</f>
        <v>0</v>
      </c>
    </row>
    <row r="279" spans="1:19" x14ac:dyDescent="0.3">
      <c r="A279" s="10" t="s">
        <v>1040</v>
      </c>
      <c r="B279" s="11" t="s">
        <v>1037</v>
      </c>
      <c r="C279" s="11" t="s">
        <v>202</v>
      </c>
      <c r="D279" s="11" t="s">
        <v>1041</v>
      </c>
      <c r="E279" s="11">
        <f xml:space="preserve"> IF($S$279,1,0)</f>
        <v>0</v>
      </c>
      <c r="F279" s="11" t="s">
        <v>1042</v>
      </c>
      <c r="G279" s="11">
        <v>0</v>
      </c>
      <c r="H279" s="11">
        <v>0</v>
      </c>
      <c r="I279" s="11">
        <v>0</v>
      </c>
      <c r="J279" s="11">
        <v>0</v>
      </c>
      <c r="K279" s="11">
        <v>0</v>
      </c>
      <c r="L279" s="11">
        <v>0</v>
      </c>
      <c r="M279" s="11">
        <v>0</v>
      </c>
      <c r="N279" s="11">
        <v>0</v>
      </c>
      <c r="O279" s="11">
        <v>0</v>
      </c>
      <c r="P279" s="11">
        <v>0</v>
      </c>
      <c r="Q279" s="12">
        <f>$G$279*$G$8+$H$279*$H$8+$I$279*$I$8+$J$279*$J$8+$K$279*$K$8+$L$279*$L$8+$M$279*$M$8+$N$279*$N$8+$O$279*$O$8+$P$279*$P$8</f>
        <v>0</v>
      </c>
      <c r="R279" s="12">
        <v>0</v>
      </c>
      <c r="S279" s="12">
        <f>$Q$279+$R$279</f>
        <v>0</v>
      </c>
    </row>
    <row r="280" spans="1:19" x14ac:dyDescent="0.3">
      <c r="A280" s="13" t="s">
        <v>1043</v>
      </c>
      <c r="B280" s="14" t="s">
        <v>1044</v>
      </c>
      <c r="C280" s="14"/>
      <c r="D280" s="14" t="s">
        <v>1045</v>
      </c>
      <c r="E280" s="14">
        <f xml:space="preserve"> IF($S$280,1,0)</f>
        <v>0</v>
      </c>
      <c r="F280" s="14" t="s">
        <v>1046</v>
      </c>
      <c r="G280" s="14">
        <v>0</v>
      </c>
      <c r="H280" s="14">
        <v>0</v>
      </c>
      <c r="I280" s="14">
        <v>0</v>
      </c>
      <c r="J280" s="14">
        <v>0</v>
      </c>
      <c r="K280" s="14">
        <v>0</v>
      </c>
      <c r="L280" s="14">
        <v>0</v>
      </c>
      <c r="M280" s="14">
        <v>0</v>
      </c>
      <c r="N280" s="14">
        <v>0</v>
      </c>
      <c r="O280" s="14">
        <v>0</v>
      </c>
      <c r="P280" s="14">
        <v>0</v>
      </c>
      <c r="Q280" s="15">
        <f>$G$280*$G$8+$H$280*$H$8+$I$280*$I$8+$J$280*$J$8+$K$280*$K$8+$L$280*$L$8+$M$280*$M$8+$N$280*$N$8+$O$280*$O$8+$P$280*$P$8</f>
        <v>0</v>
      </c>
      <c r="R280" s="15">
        <v>0</v>
      </c>
      <c r="S280" s="15">
        <f>$Q$280+$R$280</f>
        <v>0</v>
      </c>
    </row>
    <row r="281" spans="1:19" x14ac:dyDescent="0.3">
      <c r="A281" s="10" t="s">
        <v>1047</v>
      </c>
      <c r="B281" s="11" t="s">
        <v>1048</v>
      </c>
      <c r="C281" s="11"/>
      <c r="D281" s="11" t="s">
        <v>1049</v>
      </c>
      <c r="E281" s="11">
        <f xml:space="preserve"> IF($S$281,1,0)</f>
        <v>0</v>
      </c>
      <c r="F281" s="11" t="s">
        <v>1050</v>
      </c>
      <c r="G281" s="11">
        <v>0</v>
      </c>
      <c r="H281" s="11">
        <v>0</v>
      </c>
      <c r="I281" s="11">
        <v>0</v>
      </c>
      <c r="J281" s="11">
        <v>0</v>
      </c>
      <c r="K281" s="11">
        <v>0</v>
      </c>
      <c r="L281" s="11">
        <v>0</v>
      </c>
      <c r="M281" s="11">
        <v>0</v>
      </c>
      <c r="N281" s="11">
        <v>0</v>
      </c>
      <c r="O281" s="11">
        <v>0</v>
      </c>
      <c r="P281" s="11">
        <v>0</v>
      </c>
      <c r="Q281" s="12">
        <f>$G$281*$G$8+$H$281*$H$8+$I$281*$I$8+$J$281*$J$8+$K$281*$K$8+$L$281*$L$8+$M$281*$M$8+$N$281*$N$8+$O$281*$O$8+$P$281*$P$8</f>
        <v>0</v>
      </c>
      <c r="R281" s="12">
        <v>0</v>
      </c>
      <c r="S281" s="12">
        <f>$Q$281+$R$281</f>
        <v>0</v>
      </c>
    </row>
    <row r="282" spans="1:19" x14ac:dyDescent="0.3">
      <c r="A282" s="13" t="s">
        <v>1051</v>
      </c>
      <c r="B282" s="14" t="s">
        <v>1052</v>
      </c>
      <c r="C282" s="14" t="s">
        <v>34</v>
      </c>
      <c r="D282" s="14" t="s">
        <v>1053</v>
      </c>
      <c r="E282" s="14">
        <f xml:space="preserve"> IF($S$282,1,0)</f>
        <v>0</v>
      </c>
      <c r="F282" s="14" t="s">
        <v>1054</v>
      </c>
      <c r="G282" s="14">
        <v>0</v>
      </c>
      <c r="H282" s="14">
        <v>0</v>
      </c>
      <c r="I282" s="14">
        <v>0</v>
      </c>
      <c r="J282" s="14">
        <v>0</v>
      </c>
      <c r="K282" s="14">
        <v>0</v>
      </c>
      <c r="L282" s="14">
        <v>0</v>
      </c>
      <c r="M282" s="14">
        <v>0</v>
      </c>
      <c r="N282" s="14">
        <v>0</v>
      </c>
      <c r="O282" s="14">
        <v>0</v>
      </c>
      <c r="P282" s="14">
        <v>0</v>
      </c>
      <c r="Q282" s="15">
        <f>$G$282*$G$8+$H$282*$H$8+$I$282*$I$8+$J$282*$J$8+$K$282*$K$8+$L$282*$L$8+$M$282*$M$8+$N$282*$N$8+$O$282*$O$8+$P$282*$P$8</f>
        <v>0</v>
      </c>
      <c r="R282" s="15">
        <v>0</v>
      </c>
      <c r="S282" s="15">
        <f>$Q$282+$R$282</f>
        <v>0</v>
      </c>
    </row>
    <row r="283" spans="1:19" x14ac:dyDescent="0.3">
      <c r="A283" s="10" t="s">
        <v>1055</v>
      </c>
      <c r="B283" s="11" t="s">
        <v>1056</v>
      </c>
      <c r="C283" s="11" t="s">
        <v>243</v>
      </c>
      <c r="D283" s="11" t="s">
        <v>1057</v>
      </c>
      <c r="E283" s="11">
        <f xml:space="preserve"> IF($S$283,1,0)</f>
        <v>0</v>
      </c>
      <c r="F283" s="11" t="s">
        <v>1058</v>
      </c>
      <c r="G283" s="11">
        <v>0</v>
      </c>
      <c r="H283" s="11">
        <v>0</v>
      </c>
      <c r="I283" s="11">
        <v>0</v>
      </c>
      <c r="J283" s="11">
        <v>0</v>
      </c>
      <c r="K283" s="11">
        <v>0</v>
      </c>
      <c r="L283" s="11">
        <v>0</v>
      </c>
      <c r="M283" s="11">
        <v>0</v>
      </c>
      <c r="N283" s="11">
        <v>0</v>
      </c>
      <c r="O283" s="11">
        <v>0</v>
      </c>
      <c r="P283" s="11">
        <v>0</v>
      </c>
      <c r="Q283" s="12">
        <f>$G$283*$G$8+$H$283*$H$8+$I$283*$I$8+$J$283*$J$8+$K$283*$K$8+$L$283*$L$8+$M$283*$M$8+$N$283*$N$8+$O$283*$O$8+$P$283*$P$8</f>
        <v>0</v>
      </c>
      <c r="R283" s="12">
        <v>0</v>
      </c>
      <c r="S283" s="12">
        <f>$Q$283+$R$283</f>
        <v>0</v>
      </c>
    </row>
    <row r="284" spans="1:19" x14ac:dyDescent="0.3">
      <c r="A284" s="13" t="s">
        <v>1059</v>
      </c>
      <c r="B284" s="14" t="s">
        <v>1056</v>
      </c>
      <c r="C284" s="14" t="s">
        <v>278</v>
      </c>
      <c r="D284" s="14" t="s">
        <v>1060</v>
      </c>
      <c r="E284" s="14">
        <f xml:space="preserve"> IF($S$284,1,0)</f>
        <v>0</v>
      </c>
      <c r="F284" s="14" t="s">
        <v>1061</v>
      </c>
      <c r="G284" s="14">
        <v>0</v>
      </c>
      <c r="H284" s="14">
        <v>0</v>
      </c>
      <c r="I284" s="14">
        <v>0</v>
      </c>
      <c r="J284" s="14">
        <v>0</v>
      </c>
      <c r="K284" s="14">
        <v>0</v>
      </c>
      <c r="L284" s="14">
        <v>0</v>
      </c>
      <c r="M284" s="14">
        <v>0</v>
      </c>
      <c r="N284" s="14">
        <v>0</v>
      </c>
      <c r="O284" s="14">
        <v>0</v>
      </c>
      <c r="P284" s="14">
        <v>0</v>
      </c>
      <c r="Q284" s="15">
        <f>$G$284*$G$8+$H$284*$H$8+$I$284*$I$8+$J$284*$J$8+$K$284*$K$8+$L$284*$L$8+$M$284*$M$8+$N$284*$N$8+$O$284*$O$8+$P$284*$P$8</f>
        <v>0</v>
      </c>
      <c r="R284" s="15">
        <v>0</v>
      </c>
      <c r="S284" s="15">
        <f>$Q$284+$R$284</f>
        <v>0</v>
      </c>
    </row>
    <row r="285" spans="1:19" x14ac:dyDescent="0.3">
      <c r="A285" s="10" t="s">
        <v>1062</v>
      </c>
      <c r="B285" s="11" t="s">
        <v>1063</v>
      </c>
      <c r="C285" s="11"/>
      <c r="D285" s="11" t="s">
        <v>1064</v>
      </c>
      <c r="E285" s="11">
        <f xml:space="preserve"> IF($S$285,1,0)</f>
        <v>0</v>
      </c>
      <c r="F285" s="11" t="s">
        <v>1065</v>
      </c>
      <c r="G285" s="11">
        <v>0</v>
      </c>
      <c r="H285" s="11">
        <v>0</v>
      </c>
      <c r="I285" s="11">
        <v>0</v>
      </c>
      <c r="J285" s="11">
        <v>0</v>
      </c>
      <c r="K285" s="11">
        <v>0</v>
      </c>
      <c r="L285" s="11">
        <v>0</v>
      </c>
      <c r="M285" s="11">
        <v>0</v>
      </c>
      <c r="N285" s="11">
        <v>0</v>
      </c>
      <c r="O285" s="11">
        <v>0</v>
      </c>
      <c r="P285" s="11">
        <v>0</v>
      </c>
      <c r="Q285" s="12">
        <f>$G$285*$G$8+$H$285*$H$8+$I$285*$I$8+$J$285*$J$8+$K$285*$K$8+$L$285*$L$8+$M$285*$M$8+$N$285*$N$8+$O$285*$O$8+$P$285*$P$8</f>
        <v>0</v>
      </c>
      <c r="R285" s="12">
        <v>0</v>
      </c>
      <c r="S285" s="12">
        <f>$Q$285+$R$285</f>
        <v>0</v>
      </c>
    </row>
    <row r="286" spans="1:19" x14ac:dyDescent="0.3">
      <c r="A286" s="13" t="s">
        <v>1066</v>
      </c>
      <c r="B286" s="14" t="s">
        <v>1067</v>
      </c>
      <c r="C286" s="14" t="s">
        <v>202</v>
      </c>
      <c r="D286" s="14" t="s">
        <v>1068</v>
      </c>
      <c r="E286" s="14">
        <f xml:space="preserve"> IF($S$286,1,0)</f>
        <v>0</v>
      </c>
      <c r="F286" s="14" t="s">
        <v>1069</v>
      </c>
      <c r="G286" s="14">
        <v>0</v>
      </c>
      <c r="H286" s="14">
        <v>0</v>
      </c>
      <c r="I286" s="14">
        <v>0</v>
      </c>
      <c r="J286" s="14">
        <v>0</v>
      </c>
      <c r="K286" s="14">
        <v>0</v>
      </c>
      <c r="L286" s="14">
        <v>0</v>
      </c>
      <c r="M286" s="14">
        <v>0</v>
      </c>
      <c r="N286" s="14">
        <v>0</v>
      </c>
      <c r="O286" s="14">
        <v>0</v>
      </c>
      <c r="P286" s="14">
        <v>0</v>
      </c>
      <c r="Q286" s="15">
        <f>$G$286*$G$8+$H$286*$H$8+$I$286*$I$8+$J$286*$J$8+$K$286*$K$8+$L$286*$L$8+$M$286*$M$8+$N$286*$N$8+$O$286*$O$8+$P$286*$P$8</f>
        <v>0</v>
      </c>
      <c r="R286" s="15">
        <v>0</v>
      </c>
      <c r="S286" s="15">
        <f>$Q$286+$R$286</f>
        <v>0</v>
      </c>
    </row>
    <row r="287" spans="1:19" x14ac:dyDescent="0.3">
      <c r="A287" s="10" t="s">
        <v>1070</v>
      </c>
      <c r="B287" s="11" t="s">
        <v>1071</v>
      </c>
      <c r="C287" s="11"/>
      <c r="D287" s="11" t="s">
        <v>1072</v>
      </c>
      <c r="E287" s="11">
        <f xml:space="preserve"> IF($S$287,1,0)</f>
        <v>0</v>
      </c>
      <c r="F287" s="11" t="s">
        <v>1073</v>
      </c>
      <c r="G287" s="11">
        <v>0</v>
      </c>
      <c r="H287" s="11">
        <v>0</v>
      </c>
      <c r="I287" s="11">
        <v>0</v>
      </c>
      <c r="J287" s="11">
        <v>0</v>
      </c>
      <c r="K287" s="11">
        <v>0</v>
      </c>
      <c r="L287" s="11">
        <v>0</v>
      </c>
      <c r="M287" s="11">
        <v>0</v>
      </c>
      <c r="N287" s="11">
        <v>0</v>
      </c>
      <c r="O287" s="11">
        <v>0</v>
      </c>
      <c r="P287" s="11">
        <v>0</v>
      </c>
      <c r="Q287" s="12">
        <f>$G$287*$G$8+$H$287*$H$8+$I$287*$I$8+$J$287*$J$8+$K$287*$K$8+$L$287*$L$8+$M$287*$M$8+$N$287*$N$8+$O$287*$O$8+$P$287*$P$8</f>
        <v>0</v>
      </c>
      <c r="R287" s="12">
        <v>0</v>
      </c>
      <c r="S287" s="12">
        <f>$Q$287+$R$287</f>
        <v>0</v>
      </c>
    </row>
    <row r="288" spans="1:19" x14ac:dyDescent="0.3">
      <c r="A288" s="13" t="s">
        <v>1074</v>
      </c>
      <c r="B288" s="14" t="s">
        <v>1071</v>
      </c>
      <c r="C288" s="14"/>
      <c r="D288" s="14" t="s">
        <v>1075</v>
      </c>
      <c r="E288" s="14">
        <f xml:space="preserve"> IF($S$288,1,0)</f>
        <v>0</v>
      </c>
      <c r="F288" s="14" t="s">
        <v>1076</v>
      </c>
      <c r="G288" s="14">
        <v>0</v>
      </c>
      <c r="H288" s="14">
        <v>0</v>
      </c>
      <c r="I288" s="14">
        <v>0</v>
      </c>
      <c r="J288" s="14">
        <v>0</v>
      </c>
      <c r="K288" s="14">
        <v>0</v>
      </c>
      <c r="L288" s="14">
        <v>0</v>
      </c>
      <c r="M288" s="14">
        <v>0</v>
      </c>
      <c r="N288" s="14">
        <v>0</v>
      </c>
      <c r="O288" s="14">
        <v>0</v>
      </c>
      <c r="P288" s="14">
        <v>0</v>
      </c>
      <c r="Q288" s="15">
        <f>$G$288*$G$8+$H$288*$H$8+$I$288*$I$8+$J$288*$J$8+$K$288*$K$8+$L$288*$L$8+$M$288*$M$8+$N$288*$N$8+$O$288*$O$8+$P$288*$P$8</f>
        <v>0</v>
      </c>
      <c r="R288" s="15">
        <v>0</v>
      </c>
      <c r="S288" s="15">
        <f>$Q$288+$R$288</f>
        <v>0</v>
      </c>
    </row>
    <row r="289" spans="1:19" x14ac:dyDescent="0.3">
      <c r="A289" s="10" t="s">
        <v>1077</v>
      </c>
      <c r="B289" s="11" t="s">
        <v>1078</v>
      </c>
      <c r="C289" s="11"/>
      <c r="D289" s="11" t="s">
        <v>1079</v>
      </c>
      <c r="E289" s="11">
        <f xml:space="preserve"> IF($S$289,1,0)</f>
        <v>0</v>
      </c>
      <c r="F289" s="11" t="s">
        <v>1080</v>
      </c>
      <c r="G289" s="11">
        <v>0</v>
      </c>
      <c r="H289" s="11">
        <v>0</v>
      </c>
      <c r="I289" s="11">
        <v>0</v>
      </c>
      <c r="J289" s="11">
        <v>0</v>
      </c>
      <c r="K289" s="11">
        <v>0</v>
      </c>
      <c r="L289" s="11">
        <v>0</v>
      </c>
      <c r="M289" s="11">
        <v>0</v>
      </c>
      <c r="N289" s="11">
        <v>0</v>
      </c>
      <c r="O289" s="11">
        <v>0</v>
      </c>
      <c r="P289" s="11">
        <v>0</v>
      </c>
      <c r="Q289" s="12">
        <f>$G$289*$G$8+$H$289*$H$8+$I$289*$I$8+$J$289*$J$8+$K$289*$K$8+$L$289*$L$8+$M$289*$M$8+$N$289*$N$8+$O$289*$O$8+$P$289*$P$8</f>
        <v>0</v>
      </c>
      <c r="R289" s="12">
        <v>0</v>
      </c>
      <c r="S289" s="12">
        <f>$Q$289+$R$289</f>
        <v>0</v>
      </c>
    </row>
    <row r="290" spans="1:19" x14ac:dyDescent="0.3">
      <c r="A290" s="13" t="s">
        <v>1081</v>
      </c>
      <c r="B290" s="14" t="s">
        <v>1082</v>
      </c>
      <c r="C290" s="14"/>
      <c r="D290" s="14" t="s">
        <v>1083</v>
      </c>
      <c r="E290" s="14">
        <f xml:space="preserve"> IF($S$290,1,0)</f>
        <v>0</v>
      </c>
      <c r="F290" s="14" t="s">
        <v>1084</v>
      </c>
      <c r="G290" s="14">
        <v>0</v>
      </c>
      <c r="H290" s="14">
        <v>0</v>
      </c>
      <c r="I290" s="14">
        <v>0</v>
      </c>
      <c r="J290" s="14">
        <v>0</v>
      </c>
      <c r="K290" s="14">
        <v>0</v>
      </c>
      <c r="L290" s="14">
        <v>0</v>
      </c>
      <c r="M290" s="14">
        <v>0</v>
      </c>
      <c r="N290" s="14">
        <v>0</v>
      </c>
      <c r="O290" s="14">
        <v>0</v>
      </c>
      <c r="P290" s="14">
        <v>0</v>
      </c>
      <c r="Q290" s="15">
        <f>$G$290*$G$8+$H$290*$H$8+$I$290*$I$8+$J$290*$J$8+$K$290*$K$8+$L$290*$L$8+$M$290*$M$8+$N$290*$N$8+$O$290*$O$8+$P$290*$P$8</f>
        <v>0</v>
      </c>
      <c r="R290" s="15">
        <v>0</v>
      </c>
      <c r="S290" s="15">
        <f>$Q$290+$R$290</f>
        <v>0</v>
      </c>
    </row>
    <row r="291" spans="1:19" x14ac:dyDescent="0.3">
      <c r="A291" s="10" t="s">
        <v>1085</v>
      </c>
      <c r="B291" s="11" t="s">
        <v>1082</v>
      </c>
      <c r="C291" s="11"/>
      <c r="D291" s="11" t="s">
        <v>1086</v>
      </c>
      <c r="E291" s="11">
        <f xml:space="preserve"> IF($S$291,1,0)</f>
        <v>0</v>
      </c>
      <c r="F291" s="11" t="s">
        <v>1087</v>
      </c>
      <c r="G291" s="11">
        <v>0</v>
      </c>
      <c r="H291" s="11">
        <v>0</v>
      </c>
      <c r="I291" s="11">
        <v>0</v>
      </c>
      <c r="J291" s="11">
        <v>0</v>
      </c>
      <c r="K291" s="11">
        <v>0</v>
      </c>
      <c r="L291" s="11">
        <v>0</v>
      </c>
      <c r="M291" s="11">
        <v>0</v>
      </c>
      <c r="N291" s="11">
        <v>0</v>
      </c>
      <c r="O291" s="11">
        <v>0</v>
      </c>
      <c r="P291" s="11">
        <v>0</v>
      </c>
      <c r="Q291" s="12">
        <f>$G$291*$G$8+$H$291*$H$8+$I$291*$I$8+$J$291*$J$8+$K$291*$K$8+$L$291*$L$8+$M$291*$M$8+$N$291*$N$8+$O$291*$O$8+$P$291*$P$8</f>
        <v>0</v>
      </c>
      <c r="R291" s="12">
        <v>0</v>
      </c>
      <c r="S291" s="12">
        <f>$Q$291+$R$291</f>
        <v>0</v>
      </c>
    </row>
    <row r="292" spans="1:19" x14ac:dyDescent="0.3">
      <c r="A292" s="13" t="s">
        <v>1088</v>
      </c>
      <c r="B292" s="14" t="s">
        <v>1082</v>
      </c>
      <c r="C292" s="14" t="s">
        <v>65</v>
      </c>
      <c r="D292" s="14" t="s">
        <v>1089</v>
      </c>
      <c r="E292" s="14">
        <f xml:space="preserve"> IF($S$292,1,0)</f>
        <v>0</v>
      </c>
      <c r="F292" s="14" t="s">
        <v>1090</v>
      </c>
      <c r="G292" s="14">
        <v>0</v>
      </c>
      <c r="H292" s="14">
        <v>0</v>
      </c>
      <c r="I292" s="14">
        <v>0</v>
      </c>
      <c r="J292" s="14">
        <v>0</v>
      </c>
      <c r="K292" s="14">
        <v>0</v>
      </c>
      <c r="L292" s="14">
        <v>0</v>
      </c>
      <c r="M292" s="14">
        <v>0</v>
      </c>
      <c r="N292" s="14">
        <v>0</v>
      </c>
      <c r="O292" s="14">
        <v>0</v>
      </c>
      <c r="P292" s="14">
        <v>0</v>
      </c>
      <c r="Q292" s="15">
        <f>$G$292*$G$8+$H$292*$H$8+$I$292*$I$8+$J$292*$J$8+$K$292*$K$8+$L$292*$L$8+$M$292*$M$8+$N$292*$N$8+$O$292*$O$8+$P$292*$P$8</f>
        <v>0</v>
      </c>
      <c r="R292" s="15">
        <v>0</v>
      </c>
      <c r="S292" s="15">
        <f>$Q$292+$R$292</f>
        <v>0</v>
      </c>
    </row>
    <row r="293" spans="1:19" x14ac:dyDescent="0.3">
      <c r="A293" s="10" t="s">
        <v>1091</v>
      </c>
      <c r="B293" s="11" t="s">
        <v>1082</v>
      </c>
      <c r="C293" s="11"/>
      <c r="D293" s="11" t="s">
        <v>1092</v>
      </c>
      <c r="E293" s="11">
        <f xml:space="preserve"> IF($S$293,1,0)</f>
        <v>0</v>
      </c>
      <c r="F293" s="11" t="s">
        <v>1093</v>
      </c>
      <c r="G293" s="11">
        <v>0</v>
      </c>
      <c r="H293" s="11">
        <v>0</v>
      </c>
      <c r="I293" s="11">
        <v>0</v>
      </c>
      <c r="J293" s="11">
        <v>0</v>
      </c>
      <c r="K293" s="11">
        <v>0</v>
      </c>
      <c r="L293" s="11">
        <v>0</v>
      </c>
      <c r="M293" s="11">
        <v>0</v>
      </c>
      <c r="N293" s="11">
        <v>0</v>
      </c>
      <c r="O293" s="11">
        <v>0</v>
      </c>
      <c r="P293" s="11">
        <v>0</v>
      </c>
      <c r="Q293" s="12">
        <f>$G$293*$G$8+$H$293*$H$8+$I$293*$I$8+$J$293*$J$8+$K$293*$K$8+$L$293*$L$8+$M$293*$M$8+$N$293*$N$8+$O$293*$O$8+$P$293*$P$8</f>
        <v>0</v>
      </c>
      <c r="R293" s="12">
        <v>0</v>
      </c>
      <c r="S293" s="12">
        <f>$Q$293+$R$293</f>
        <v>0</v>
      </c>
    </row>
    <row r="294" spans="1:19" x14ac:dyDescent="0.3">
      <c r="A294" s="13" t="s">
        <v>1094</v>
      </c>
      <c r="B294" s="14" t="s">
        <v>1095</v>
      </c>
      <c r="C294" s="14" t="s">
        <v>34</v>
      </c>
      <c r="D294" s="14" t="s">
        <v>1096</v>
      </c>
      <c r="E294" s="14">
        <f xml:space="preserve"> IF($S$294,1,0)</f>
        <v>0</v>
      </c>
      <c r="F294" s="14" t="s">
        <v>1097</v>
      </c>
      <c r="G294" s="14">
        <v>0</v>
      </c>
      <c r="H294" s="14">
        <v>0</v>
      </c>
      <c r="I294" s="14">
        <v>0</v>
      </c>
      <c r="J294" s="14">
        <v>0</v>
      </c>
      <c r="K294" s="14">
        <v>0</v>
      </c>
      <c r="L294" s="14">
        <v>0</v>
      </c>
      <c r="M294" s="14">
        <v>0</v>
      </c>
      <c r="N294" s="14">
        <v>0</v>
      </c>
      <c r="O294" s="14">
        <v>0</v>
      </c>
      <c r="P294" s="14">
        <v>0</v>
      </c>
      <c r="Q294" s="15">
        <f>$G$294*$G$8+$H$294*$H$8+$I$294*$I$8+$J$294*$J$8+$K$294*$K$8+$L$294*$L$8+$M$294*$M$8+$N$294*$N$8+$O$294*$O$8+$P$294*$P$8</f>
        <v>0</v>
      </c>
      <c r="R294" s="15">
        <v>0</v>
      </c>
      <c r="S294" s="15">
        <f>$Q$294+$R$294</f>
        <v>0</v>
      </c>
    </row>
    <row r="295" spans="1:19" x14ac:dyDescent="0.3">
      <c r="A295" s="10" t="s">
        <v>1098</v>
      </c>
      <c r="B295" s="11" t="s">
        <v>1099</v>
      </c>
      <c r="C295" s="11"/>
      <c r="D295" s="11" t="s">
        <v>1100</v>
      </c>
      <c r="E295" s="11">
        <f xml:space="preserve"> IF($S$295,1,0)</f>
        <v>0</v>
      </c>
      <c r="F295" s="11" t="s">
        <v>1101</v>
      </c>
      <c r="G295" s="11">
        <v>0</v>
      </c>
      <c r="H295" s="11">
        <v>0</v>
      </c>
      <c r="I295" s="11">
        <v>0</v>
      </c>
      <c r="J295" s="11">
        <v>0</v>
      </c>
      <c r="K295" s="11">
        <v>0</v>
      </c>
      <c r="L295" s="11">
        <v>0</v>
      </c>
      <c r="M295" s="11">
        <v>0</v>
      </c>
      <c r="N295" s="11">
        <v>0</v>
      </c>
      <c r="O295" s="11">
        <v>0</v>
      </c>
      <c r="P295" s="11">
        <v>0</v>
      </c>
      <c r="Q295" s="12">
        <f>$G$295*$G$8+$H$295*$H$8+$I$295*$I$8+$J$295*$J$8+$K$295*$K$8+$L$295*$L$8+$M$295*$M$8+$N$295*$N$8+$O$295*$O$8+$P$295*$P$8</f>
        <v>0</v>
      </c>
      <c r="R295" s="12">
        <v>0</v>
      </c>
      <c r="S295" s="12">
        <f>$Q$295+$R$295</f>
        <v>0</v>
      </c>
    </row>
    <row r="296" spans="1:19" x14ac:dyDescent="0.3">
      <c r="A296" s="13" t="s">
        <v>1102</v>
      </c>
      <c r="B296" s="14" t="s">
        <v>1103</v>
      </c>
      <c r="C296" s="14"/>
      <c r="D296" s="14" t="s">
        <v>1104</v>
      </c>
      <c r="E296" s="14">
        <f xml:space="preserve"> IF($S$296,1,0)</f>
        <v>0</v>
      </c>
      <c r="F296" s="14" t="s">
        <v>1105</v>
      </c>
      <c r="G296" s="14">
        <v>0</v>
      </c>
      <c r="H296" s="14">
        <v>0</v>
      </c>
      <c r="I296" s="14">
        <v>0</v>
      </c>
      <c r="J296" s="14">
        <v>0</v>
      </c>
      <c r="K296" s="14">
        <v>0</v>
      </c>
      <c r="L296" s="14">
        <v>0</v>
      </c>
      <c r="M296" s="14">
        <v>0</v>
      </c>
      <c r="N296" s="14">
        <v>0</v>
      </c>
      <c r="O296" s="14">
        <v>0</v>
      </c>
      <c r="P296" s="14">
        <v>0</v>
      </c>
      <c r="Q296" s="15">
        <f>$G$296*$G$8+$H$296*$H$8+$I$296*$I$8+$J$296*$J$8+$K$296*$K$8+$L$296*$L$8+$M$296*$M$8+$N$296*$N$8+$O$296*$O$8+$P$296*$P$8</f>
        <v>0</v>
      </c>
      <c r="R296" s="15">
        <v>0</v>
      </c>
      <c r="S296" s="15">
        <f>$Q$296+$R$296</f>
        <v>0</v>
      </c>
    </row>
    <row r="297" spans="1:19" x14ac:dyDescent="0.3">
      <c r="A297" s="10" t="s">
        <v>1106</v>
      </c>
      <c r="B297" s="11" t="s">
        <v>1107</v>
      </c>
      <c r="C297" s="11"/>
      <c r="D297" s="11" t="s">
        <v>1107</v>
      </c>
      <c r="E297" s="11">
        <f xml:space="preserve"> IF($S$297,1,0)</f>
        <v>0</v>
      </c>
      <c r="F297" s="11" t="s">
        <v>1108</v>
      </c>
      <c r="G297" s="11">
        <v>0</v>
      </c>
      <c r="H297" s="11">
        <v>0</v>
      </c>
      <c r="I297" s="11">
        <v>0</v>
      </c>
      <c r="J297" s="11">
        <v>0</v>
      </c>
      <c r="K297" s="11">
        <v>0</v>
      </c>
      <c r="L297" s="11">
        <v>0</v>
      </c>
      <c r="M297" s="11">
        <v>0</v>
      </c>
      <c r="N297" s="11">
        <v>0</v>
      </c>
      <c r="O297" s="11">
        <v>0</v>
      </c>
      <c r="P297" s="11">
        <v>0</v>
      </c>
      <c r="Q297" s="12">
        <f>$G$297*$G$8+$H$297*$H$8+$I$297*$I$8+$J$297*$J$8+$K$297*$K$8+$L$297*$L$8+$M$297*$M$8+$N$297*$N$8+$O$297*$O$8+$P$297*$P$8</f>
        <v>0</v>
      </c>
      <c r="R297" s="12">
        <v>0</v>
      </c>
      <c r="S297" s="12">
        <f>$Q$297+$R$297</f>
        <v>0</v>
      </c>
    </row>
    <row r="298" spans="1:19" x14ac:dyDescent="0.3">
      <c r="A298" s="13" t="s">
        <v>1109</v>
      </c>
      <c r="B298" s="14" t="s">
        <v>1110</v>
      </c>
      <c r="C298" s="14" t="s">
        <v>34</v>
      </c>
      <c r="D298" s="14" t="s">
        <v>1111</v>
      </c>
      <c r="E298" s="14">
        <f xml:space="preserve"> IF($S$298,1,0)</f>
        <v>0</v>
      </c>
      <c r="F298" s="14" t="s">
        <v>1112</v>
      </c>
      <c r="G298" s="14">
        <v>0</v>
      </c>
      <c r="H298" s="14">
        <v>0</v>
      </c>
      <c r="I298" s="14">
        <v>0</v>
      </c>
      <c r="J298" s="14">
        <v>0</v>
      </c>
      <c r="K298" s="14">
        <v>0</v>
      </c>
      <c r="L298" s="14">
        <v>0</v>
      </c>
      <c r="M298" s="14">
        <v>0</v>
      </c>
      <c r="N298" s="14">
        <v>0</v>
      </c>
      <c r="O298" s="14">
        <v>0</v>
      </c>
      <c r="P298" s="14">
        <v>0</v>
      </c>
      <c r="Q298" s="15">
        <f>$G$298*$G$8+$H$298*$H$8+$I$298*$I$8+$J$298*$J$8+$K$298*$K$8+$L$298*$L$8+$M$298*$M$8+$N$298*$N$8+$O$298*$O$8+$P$298*$P$8</f>
        <v>0</v>
      </c>
      <c r="R298" s="15">
        <v>0</v>
      </c>
      <c r="S298" s="15">
        <f>$Q$298+$R$298</f>
        <v>0</v>
      </c>
    </row>
    <row r="299" spans="1:19" x14ac:dyDescent="0.3">
      <c r="A299" s="10" t="s">
        <v>1113</v>
      </c>
      <c r="B299" s="11" t="s">
        <v>1114</v>
      </c>
      <c r="C299" s="11" t="s">
        <v>34</v>
      </c>
      <c r="D299" s="11" t="s">
        <v>239</v>
      </c>
      <c r="E299" s="11">
        <f xml:space="preserve"> IF($S$299,1,0)</f>
        <v>0</v>
      </c>
      <c r="F299" s="11" t="s">
        <v>1115</v>
      </c>
      <c r="G299" s="11">
        <v>0</v>
      </c>
      <c r="H299" s="11">
        <v>0</v>
      </c>
      <c r="I299" s="11">
        <v>0</v>
      </c>
      <c r="J299" s="11">
        <v>0</v>
      </c>
      <c r="K299" s="11">
        <v>0</v>
      </c>
      <c r="L299" s="11">
        <v>0</v>
      </c>
      <c r="M299" s="11">
        <v>0</v>
      </c>
      <c r="N299" s="11">
        <v>0</v>
      </c>
      <c r="O299" s="11">
        <v>0</v>
      </c>
      <c r="P299" s="11">
        <v>0</v>
      </c>
      <c r="Q299" s="12">
        <f>$G$299*$G$8+$H$299*$H$8+$I$299*$I$8+$J$299*$J$8+$K$299*$K$8+$L$299*$L$8+$M$299*$M$8+$N$299*$N$8+$O$299*$O$8+$P$299*$P$8</f>
        <v>0</v>
      </c>
      <c r="R299" s="12">
        <v>0</v>
      </c>
      <c r="S299" s="12">
        <f>$Q$299+$R$299</f>
        <v>0</v>
      </c>
    </row>
    <row r="300" spans="1:19" x14ac:dyDescent="0.3">
      <c r="A300" s="13" t="s">
        <v>1257</v>
      </c>
      <c r="B300" s="14" t="s">
        <v>1117</v>
      </c>
      <c r="C300" s="14" t="s">
        <v>202</v>
      </c>
      <c r="D300" s="14" t="s">
        <v>442</v>
      </c>
      <c r="E300" s="14">
        <f xml:space="preserve"> IF($S$300,1,0)</f>
        <v>0</v>
      </c>
      <c r="F300" s="14" t="s">
        <v>1258</v>
      </c>
      <c r="G300" s="14">
        <v>0</v>
      </c>
      <c r="H300" s="14">
        <v>0</v>
      </c>
      <c r="I300" s="14">
        <v>0</v>
      </c>
      <c r="J300" s="14">
        <v>0</v>
      </c>
      <c r="K300" s="14">
        <v>0</v>
      </c>
      <c r="L300" s="14">
        <v>0</v>
      </c>
      <c r="M300" s="14">
        <v>0</v>
      </c>
      <c r="N300" s="14">
        <v>0</v>
      </c>
      <c r="O300" s="14">
        <v>0</v>
      </c>
      <c r="P300" s="14">
        <v>0</v>
      </c>
      <c r="Q300" s="15">
        <f>$G$300*$G$8+$H$300*$H$8+$I$300*$I$8+$J$300*$J$8+$K$300*$K$8+$L$300*$L$8+$M$300*$M$8+$N$300*$N$8+$O$300*$O$8+$P$300*$P$8</f>
        <v>0</v>
      </c>
      <c r="R300" s="15">
        <v>0</v>
      </c>
      <c r="S300" s="15">
        <f>$Q$300+$R$300</f>
        <v>0</v>
      </c>
    </row>
    <row r="301" spans="1:19" x14ac:dyDescent="0.3">
      <c r="A301" s="10" t="s">
        <v>1116</v>
      </c>
      <c r="B301" s="11" t="s">
        <v>1117</v>
      </c>
      <c r="C301" s="11"/>
      <c r="D301" s="11" t="s">
        <v>1118</v>
      </c>
      <c r="E301" s="11">
        <f xml:space="preserve"> IF($S$301,1,0)</f>
        <v>0</v>
      </c>
      <c r="F301" s="11" t="s">
        <v>1119</v>
      </c>
      <c r="G301" s="11">
        <v>0</v>
      </c>
      <c r="H301" s="11">
        <v>0</v>
      </c>
      <c r="I301" s="11">
        <v>0</v>
      </c>
      <c r="J301" s="11">
        <v>0</v>
      </c>
      <c r="K301" s="11">
        <v>0</v>
      </c>
      <c r="L301" s="11">
        <v>0</v>
      </c>
      <c r="M301" s="11">
        <v>0</v>
      </c>
      <c r="N301" s="11">
        <v>0</v>
      </c>
      <c r="O301" s="11">
        <v>0</v>
      </c>
      <c r="P301" s="11">
        <v>0</v>
      </c>
      <c r="Q301" s="12">
        <f>$G$301*$G$8+$H$301*$H$8+$I$301*$I$8+$J$301*$J$8+$K$301*$K$8+$L$301*$L$8+$M$301*$M$8+$N$301*$N$8+$O$301*$O$8+$P$301*$P$8</f>
        <v>0</v>
      </c>
      <c r="R301" s="12">
        <v>0</v>
      </c>
      <c r="S301" s="12">
        <f>$Q$301+$R$301</f>
        <v>0</v>
      </c>
    </row>
    <row r="302" spans="1:19" x14ac:dyDescent="0.3">
      <c r="A302" s="13" t="s">
        <v>1120</v>
      </c>
      <c r="B302" s="14" t="s">
        <v>1117</v>
      </c>
      <c r="C302" s="14"/>
      <c r="D302" s="14" t="s">
        <v>1121</v>
      </c>
      <c r="E302" s="14">
        <f xml:space="preserve"> IF($S$302,1,0)</f>
        <v>0</v>
      </c>
      <c r="F302" s="14" t="s">
        <v>1122</v>
      </c>
      <c r="G302" s="14">
        <v>0</v>
      </c>
      <c r="H302" s="14">
        <v>0</v>
      </c>
      <c r="I302" s="14">
        <v>0</v>
      </c>
      <c r="J302" s="14">
        <v>0</v>
      </c>
      <c r="K302" s="14">
        <v>0</v>
      </c>
      <c r="L302" s="14">
        <v>0</v>
      </c>
      <c r="M302" s="14">
        <v>0</v>
      </c>
      <c r="N302" s="14">
        <v>0</v>
      </c>
      <c r="O302" s="14">
        <v>0</v>
      </c>
      <c r="P302" s="14">
        <v>0</v>
      </c>
      <c r="Q302" s="15">
        <f>$G$302*$G$8+$H$302*$H$8+$I$302*$I$8+$J$302*$J$8+$K$302*$K$8+$L$302*$L$8+$M$302*$M$8+$N$302*$N$8+$O$302*$O$8+$P$302*$P$8</f>
        <v>0</v>
      </c>
      <c r="R302" s="15">
        <v>0</v>
      </c>
      <c r="S302" s="15">
        <f>$Q$302+$R$302</f>
        <v>0</v>
      </c>
    </row>
    <row r="303" spans="1:19" x14ac:dyDescent="0.3">
      <c r="A303" s="10" t="s">
        <v>1123</v>
      </c>
      <c r="B303" s="11" t="s">
        <v>1117</v>
      </c>
      <c r="C303" s="11"/>
      <c r="D303" s="11" t="s">
        <v>1124</v>
      </c>
      <c r="E303" s="11">
        <f xml:space="preserve"> IF($S$303,1,0)</f>
        <v>0</v>
      </c>
      <c r="F303" s="11" t="s">
        <v>1125</v>
      </c>
      <c r="G303" s="11">
        <v>0</v>
      </c>
      <c r="H303" s="11">
        <v>0</v>
      </c>
      <c r="I303" s="11">
        <v>0</v>
      </c>
      <c r="J303" s="11">
        <v>0</v>
      </c>
      <c r="K303" s="11">
        <v>0</v>
      </c>
      <c r="L303" s="11">
        <v>0</v>
      </c>
      <c r="M303" s="11">
        <v>0</v>
      </c>
      <c r="N303" s="11">
        <v>0</v>
      </c>
      <c r="O303" s="11">
        <v>0</v>
      </c>
      <c r="P303" s="11">
        <v>0</v>
      </c>
      <c r="Q303" s="12">
        <f>$G$303*$G$8+$H$303*$H$8+$I$303*$I$8+$J$303*$J$8+$K$303*$K$8+$L$303*$L$8+$M$303*$M$8+$N$303*$N$8+$O$303*$O$8+$P$303*$P$8</f>
        <v>0</v>
      </c>
      <c r="R303" s="12">
        <v>0</v>
      </c>
      <c r="S303" s="12">
        <f>$Q$303+$R$303</f>
        <v>0</v>
      </c>
    </row>
    <row r="304" spans="1:19" x14ac:dyDescent="0.3">
      <c r="A304" s="13" t="s">
        <v>1126</v>
      </c>
      <c r="B304" s="14" t="s">
        <v>1117</v>
      </c>
      <c r="C304" s="14"/>
      <c r="D304" s="14" t="s">
        <v>1127</v>
      </c>
      <c r="E304" s="14">
        <f xml:space="preserve"> IF($S$304,1,0)</f>
        <v>0</v>
      </c>
      <c r="F304" s="14" t="s">
        <v>1128</v>
      </c>
      <c r="G304" s="14">
        <v>0</v>
      </c>
      <c r="H304" s="14">
        <v>0</v>
      </c>
      <c r="I304" s="14">
        <v>0</v>
      </c>
      <c r="J304" s="14">
        <v>0</v>
      </c>
      <c r="K304" s="14">
        <v>0</v>
      </c>
      <c r="L304" s="14">
        <v>0</v>
      </c>
      <c r="M304" s="14">
        <v>0</v>
      </c>
      <c r="N304" s="14">
        <v>0</v>
      </c>
      <c r="O304" s="14">
        <v>0</v>
      </c>
      <c r="P304" s="14">
        <v>0</v>
      </c>
      <c r="Q304" s="15">
        <f>$G$304*$G$8+$H$304*$H$8+$I$304*$I$8+$J$304*$J$8+$K$304*$K$8+$L$304*$L$8+$M$304*$M$8+$N$304*$N$8+$O$304*$O$8+$P$304*$P$8</f>
        <v>0</v>
      </c>
      <c r="R304" s="15">
        <v>0</v>
      </c>
      <c r="S304" s="15">
        <f>$Q$304+$R$304</f>
        <v>0</v>
      </c>
    </row>
    <row r="305" spans="1:19" x14ac:dyDescent="0.3">
      <c r="A305" s="10" t="s">
        <v>1129</v>
      </c>
      <c r="B305" s="11" t="s">
        <v>1130</v>
      </c>
      <c r="C305" s="11" t="s">
        <v>34</v>
      </c>
      <c r="D305" s="11" t="s">
        <v>1131</v>
      </c>
      <c r="E305" s="11">
        <f xml:space="preserve"> IF($S$305,1,0)</f>
        <v>0</v>
      </c>
      <c r="F305" s="11" t="s">
        <v>1132</v>
      </c>
      <c r="G305" s="11">
        <v>0</v>
      </c>
      <c r="H305" s="11">
        <v>0</v>
      </c>
      <c r="I305" s="11">
        <v>0</v>
      </c>
      <c r="J305" s="11">
        <v>0</v>
      </c>
      <c r="K305" s="11">
        <v>0</v>
      </c>
      <c r="L305" s="11">
        <v>0</v>
      </c>
      <c r="M305" s="11">
        <v>0</v>
      </c>
      <c r="N305" s="11">
        <v>0</v>
      </c>
      <c r="O305" s="11">
        <v>0</v>
      </c>
      <c r="P305" s="11">
        <v>0</v>
      </c>
      <c r="Q305" s="12">
        <f>$G$305*$G$8+$H$305*$H$8+$I$305*$I$8+$J$305*$J$8+$K$305*$K$8+$L$305*$L$8+$M$305*$M$8+$N$305*$N$8+$O$305*$O$8+$P$305*$P$8</f>
        <v>0</v>
      </c>
      <c r="R305" s="12">
        <v>0</v>
      </c>
      <c r="S305" s="12">
        <f>$Q$305+$R$305</f>
        <v>0</v>
      </c>
    </row>
    <row r="306" spans="1:19" x14ac:dyDescent="0.3">
      <c r="A306" s="13" t="s">
        <v>1133</v>
      </c>
      <c r="B306" s="14" t="s">
        <v>1134</v>
      </c>
      <c r="C306" s="14"/>
      <c r="D306" s="14" t="s">
        <v>1135</v>
      </c>
      <c r="E306" s="14">
        <f xml:space="preserve"> IF($S$306,1,0)</f>
        <v>0</v>
      </c>
      <c r="F306" s="14" t="s">
        <v>1136</v>
      </c>
      <c r="G306" s="14">
        <v>0</v>
      </c>
      <c r="H306" s="14">
        <v>0</v>
      </c>
      <c r="I306" s="14">
        <v>0</v>
      </c>
      <c r="J306" s="14">
        <v>0</v>
      </c>
      <c r="K306" s="14">
        <v>0</v>
      </c>
      <c r="L306" s="14">
        <v>0</v>
      </c>
      <c r="M306" s="14">
        <v>0</v>
      </c>
      <c r="N306" s="14">
        <v>0</v>
      </c>
      <c r="O306" s="14">
        <v>0</v>
      </c>
      <c r="P306" s="14">
        <v>0</v>
      </c>
      <c r="Q306" s="15">
        <f>$G$306*$G$8+$H$306*$H$8+$I$306*$I$8+$J$306*$J$8+$K$306*$K$8+$L$306*$L$8+$M$306*$M$8+$N$306*$N$8+$O$306*$O$8+$P$306*$P$8</f>
        <v>0</v>
      </c>
      <c r="R306" s="15">
        <v>0</v>
      </c>
      <c r="S306" s="15">
        <f>$Q$306+$R$306</f>
        <v>0</v>
      </c>
    </row>
    <row r="307" spans="1:19" x14ac:dyDescent="0.3">
      <c r="A307" s="10" t="s">
        <v>1137</v>
      </c>
      <c r="B307" s="11" t="s">
        <v>1138</v>
      </c>
      <c r="C307" s="11"/>
      <c r="D307" s="11" t="s">
        <v>1139</v>
      </c>
      <c r="E307" s="11">
        <f xml:space="preserve"> IF($S$307,1,0)</f>
        <v>0</v>
      </c>
      <c r="F307" s="11" t="s">
        <v>1140</v>
      </c>
      <c r="G307" s="11">
        <v>0</v>
      </c>
      <c r="H307" s="11">
        <v>0</v>
      </c>
      <c r="I307" s="11">
        <v>0</v>
      </c>
      <c r="J307" s="11">
        <v>0</v>
      </c>
      <c r="K307" s="11">
        <v>0</v>
      </c>
      <c r="L307" s="11">
        <v>0</v>
      </c>
      <c r="M307" s="11">
        <v>0</v>
      </c>
      <c r="N307" s="11">
        <v>0</v>
      </c>
      <c r="O307" s="11">
        <v>0</v>
      </c>
      <c r="P307" s="11">
        <v>0</v>
      </c>
      <c r="Q307" s="12">
        <f>$G$307*$G$8+$H$307*$H$8+$I$307*$I$8+$J$307*$J$8+$K$307*$K$8+$L$307*$L$8+$M$307*$M$8+$N$307*$N$8+$O$307*$O$8+$P$307*$P$8</f>
        <v>0</v>
      </c>
      <c r="R307" s="12">
        <v>0</v>
      </c>
      <c r="S307" s="12">
        <f>$Q$307+$R$307</f>
        <v>0</v>
      </c>
    </row>
    <row r="308" spans="1:19" x14ac:dyDescent="0.3">
      <c r="A308" s="13" t="s">
        <v>1141</v>
      </c>
      <c r="B308" s="14" t="s">
        <v>1142</v>
      </c>
      <c r="C308" s="14" t="s">
        <v>202</v>
      </c>
      <c r="D308" s="14" t="s">
        <v>442</v>
      </c>
      <c r="E308" s="14">
        <f xml:space="preserve"> IF($S$308,1,0)</f>
        <v>0</v>
      </c>
      <c r="F308" s="14" t="s">
        <v>1143</v>
      </c>
      <c r="G308" s="14">
        <v>0</v>
      </c>
      <c r="H308" s="14">
        <v>0</v>
      </c>
      <c r="I308" s="14">
        <v>0</v>
      </c>
      <c r="J308" s="14">
        <v>0</v>
      </c>
      <c r="K308" s="14">
        <v>0</v>
      </c>
      <c r="L308" s="14">
        <v>0</v>
      </c>
      <c r="M308" s="14">
        <v>0</v>
      </c>
      <c r="N308" s="14">
        <v>0</v>
      </c>
      <c r="O308" s="14">
        <v>0</v>
      </c>
      <c r="P308" s="14">
        <v>0</v>
      </c>
      <c r="Q308" s="15">
        <f>$G$308*$G$8+$H$308*$H$8+$I$308*$I$8+$J$308*$J$8+$K$308*$K$8+$L$308*$L$8+$M$308*$M$8+$N$308*$N$8+$O$308*$O$8+$P$308*$P$8</f>
        <v>0</v>
      </c>
      <c r="R308" s="15">
        <v>0</v>
      </c>
      <c r="S308" s="15">
        <f>$Q$308+$R$308</f>
        <v>0</v>
      </c>
    </row>
    <row r="309" spans="1:19" x14ac:dyDescent="0.3">
      <c r="A309" s="10" t="s">
        <v>1144</v>
      </c>
      <c r="B309" s="11" t="s">
        <v>1142</v>
      </c>
      <c r="C309" s="11"/>
      <c r="D309" s="11" t="s">
        <v>1145</v>
      </c>
      <c r="E309" s="11">
        <f xml:space="preserve"> IF($S$309,1,0)</f>
        <v>0</v>
      </c>
      <c r="F309" s="11" t="s">
        <v>1146</v>
      </c>
      <c r="G309" s="11">
        <v>0</v>
      </c>
      <c r="H309" s="11">
        <v>0</v>
      </c>
      <c r="I309" s="11">
        <v>0</v>
      </c>
      <c r="J309" s="11">
        <v>0</v>
      </c>
      <c r="K309" s="11">
        <v>0</v>
      </c>
      <c r="L309" s="11">
        <v>0</v>
      </c>
      <c r="M309" s="11">
        <v>0</v>
      </c>
      <c r="N309" s="11">
        <v>0</v>
      </c>
      <c r="O309" s="11">
        <v>0</v>
      </c>
      <c r="P309" s="11">
        <v>0</v>
      </c>
      <c r="Q309" s="12">
        <f>$G$309*$G$8+$H$309*$H$8+$I$309*$I$8+$J$309*$J$8+$K$309*$K$8+$L$309*$L$8+$M$309*$M$8+$N$309*$N$8+$O$309*$O$8+$P$309*$P$8</f>
        <v>0</v>
      </c>
      <c r="R309" s="12">
        <v>0</v>
      </c>
      <c r="S309" s="12">
        <f>$Q$309+$R$309</f>
        <v>0</v>
      </c>
    </row>
    <row r="310" spans="1:19" x14ac:dyDescent="0.3">
      <c r="A310" s="13" t="s">
        <v>1147</v>
      </c>
      <c r="B310" s="14" t="s">
        <v>1142</v>
      </c>
      <c r="C310" s="14"/>
      <c r="D310" s="14" t="s">
        <v>138</v>
      </c>
      <c r="E310" s="14">
        <f xml:space="preserve"> IF($S$310,1,0)</f>
        <v>0</v>
      </c>
      <c r="F310" s="14" t="s">
        <v>1148</v>
      </c>
      <c r="G310" s="14">
        <v>0</v>
      </c>
      <c r="H310" s="14">
        <v>0</v>
      </c>
      <c r="I310" s="14">
        <v>0</v>
      </c>
      <c r="J310" s="14">
        <v>0</v>
      </c>
      <c r="K310" s="14">
        <v>0</v>
      </c>
      <c r="L310" s="14">
        <v>0</v>
      </c>
      <c r="M310" s="14">
        <v>0</v>
      </c>
      <c r="N310" s="14">
        <v>0</v>
      </c>
      <c r="O310" s="14">
        <v>0</v>
      </c>
      <c r="P310" s="14">
        <v>0</v>
      </c>
      <c r="Q310" s="15">
        <f>$G$310*$G$8+$H$310*$H$8+$I$310*$I$8+$J$310*$J$8+$K$310*$K$8+$L$310*$L$8+$M$310*$M$8+$N$310*$N$8+$O$310*$O$8+$P$310*$P$8</f>
        <v>0</v>
      </c>
      <c r="R310" s="15">
        <v>0</v>
      </c>
      <c r="S310" s="15">
        <f>$Q$310+$R$310</f>
        <v>0</v>
      </c>
    </row>
    <row r="311" spans="1:19" x14ac:dyDescent="0.3">
      <c r="A311" s="10" t="s">
        <v>1149</v>
      </c>
      <c r="B311" s="11" t="s">
        <v>1142</v>
      </c>
      <c r="C311" s="11"/>
      <c r="D311" s="11" t="s">
        <v>1150</v>
      </c>
      <c r="E311" s="11">
        <f xml:space="preserve"> IF($S$311,1,0)</f>
        <v>0</v>
      </c>
      <c r="F311" s="11" t="s">
        <v>1151</v>
      </c>
      <c r="G311" s="11">
        <v>0</v>
      </c>
      <c r="H311" s="11">
        <v>0</v>
      </c>
      <c r="I311" s="11">
        <v>0</v>
      </c>
      <c r="J311" s="11">
        <v>0</v>
      </c>
      <c r="K311" s="11">
        <v>0</v>
      </c>
      <c r="L311" s="11">
        <v>0</v>
      </c>
      <c r="M311" s="11">
        <v>0</v>
      </c>
      <c r="N311" s="11">
        <v>0</v>
      </c>
      <c r="O311" s="11">
        <v>0</v>
      </c>
      <c r="P311" s="11">
        <v>0</v>
      </c>
      <c r="Q311" s="12">
        <f>$G$311*$G$8+$H$311*$H$8+$I$311*$I$8+$J$311*$J$8+$K$311*$K$8+$L$311*$L$8+$M$311*$M$8+$N$311*$N$8+$O$311*$O$8+$P$311*$P$8</f>
        <v>0</v>
      </c>
      <c r="R311" s="12">
        <v>0</v>
      </c>
      <c r="S311" s="12">
        <f>$Q$311+$R$311</f>
        <v>0</v>
      </c>
    </row>
    <row r="312" spans="1:19" x14ac:dyDescent="0.3">
      <c r="A312" s="13" t="s">
        <v>1152</v>
      </c>
      <c r="B312" s="14" t="s">
        <v>1142</v>
      </c>
      <c r="C312" s="14"/>
      <c r="D312" s="14" t="s">
        <v>1153</v>
      </c>
      <c r="E312" s="14">
        <f xml:space="preserve"> IF($S$312,1,0)</f>
        <v>0</v>
      </c>
      <c r="F312" s="14" t="s">
        <v>1154</v>
      </c>
      <c r="G312" s="14">
        <v>0</v>
      </c>
      <c r="H312" s="14">
        <v>0</v>
      </c>
      <c r="I312" s="14">
        <v>0</v>
      </c>
      <c r="J312" s="14">
        <v>0</v>
      </c>
      <c r="K312" s="14">
        <v>0</v>
      </c>
      <c r="L312" s="14">
        <v>0</v>
      </c>
      <c r="M312" s="14">
        <v>0</v>
      </c>
      <c r="N312" s="14">
        <v>0</v>
      </c>
      <c r="O312" s="14">
        <v>0</v>
      </c>
      <c r="P312" s="14">
        <v>0</v>
      </c>
      <c r="Q312" s="15">
        <f>$G$312*$G$8+$H$312*$H$8+$I$312*$I$8+$J$312*$J$8+$K$312*$K$8+$L$312*$L$8+$M$312*$M$8+$N$312*$N$8+$O$312*$O$8+$P$312*$P$8</f>
        <v>0</v>
      </c>
      <c r="R312" s="15">
        <v>0</v>
      </c>
      <c r="S312" s="15">
        <f>$Q$312+$R$312</f>
        <v>0</v>
      </c>
    </row>
    <row r="313" spans="1:19" x14ac:dyDescent="0.3">
      <c r="A313" s="10" t="s">
        <v>1155</v>
      </c>
      <c r="B313" s="11" t="s">
        <v>1156</v>
      </c>
      <c r="C313" s="11"/>
      <c r="D313" s="11" t="s">
        <v>1157</v>
      </c>
      <c r="E313" s="11">
        <f xml:space="preserve"> IF($S$313,1,0)</f>
        <v>0</v>
      </c>
      <c r="F313" s="11" t="s">
        <v>1158</v>
      </c>
      <c r="G313" s="11">
        <v>0</v>
      </c>
      <c r="H313" s="11">
        <v>0</v>
      </c>
      <c r="I313" s="11">
        <v>0</v>
      </c>
      <c r="J313" s="11">
        <v>0</v>
      </c>
      <c r="K313" s="11">
        <v>0</v>
      </c>
      <c r="L313" s="11">
        <v>0</v>
      </c>
      <c r="M313" s="11">
        <v>0</v>
      </c>
      <c r="N313" s="11">
        <v>0</v>
      </c>
      <c r="O313" s="11">
        <v>0</v>
      </c>
      <c r="P313" s="11">
        <v>0</v>
      </c>
      <c r="Q313" s="12">
        <f>$G$313*$G$8+$H$313*$H$8+$I$313*$I$8+$J$313*$J$8+$K$313*$K$8+$L$313*$L$8+$M$313*$M$8+$N$313*$N$8+$O$313*$O$8+$P$313*$P$8</f>
        <v>0</v>
      </c>
      <c r="R313" s="12">
        <v>0</v>
      </c>
      <c r="S313" s="12">
        <f>$Q$313+$R$313</f>
        <v>0</v>
      </c>
    </row>
    <row r="314" spans="1:19" x14ac:dyDescent="0.3">
      <c r="A314" s="13" t="s">
        <v>1159</v>
      </c>
      <c r="B314" s="14" t="s">
        <v>1160</v>
      </c>
      <c r="C314" s="14"/>
      <c r="D314" s="14" t="s">
        <v>1161</v>
      </c>
      <c r="E314" s="14">
        <f xml:space="preserve"> IF($S$314,1,0)</f>
        <v>0</v>
      </c>
      <c r="F314" s="14" t="s">
        <v>1162</v>
      </c>
      <c r="G314" s="14">
        <v>0</v>
      </c>
      <c r="H314" s="14">
        <v>0</v>
      </c>
      <c r="I314" s="14">
        <v>0</v>
      </c>
      <c r="J314" s="14">
        <v>0</v>
      </c>
      <c r="K314" s="14">
        <v>0</v>
      </c>
      <c r="L314" s="14">
        <v>0</v>
      </c>
      <c r="M314" s="14">
        <v>0</v>
      </c>
      <c r="N314" s="14">
        <v>0</v>
      </c>
      <c r="O314" s="14">
        <v>0</v>
      </c>
      <c r="P314" s="14">
        <v>0</v>
      </c>
      <c r="Q314" s="15">
        <f>$G$314*$G$8+$H$314*$H$8+$I$314*$I$8+$J$314*$J$8+$K$314*$K$8+$L$314*$L$8+$M$314*$M$8+$N$314*$N$8+$O$314*$O$8+$P$314*$P$8</f>
        <v>0</v>
      </c>
      <c r="R314" s="15">
        <v>0</v>
      </c>
      <c r="S314" s="15">
        <f>$Q$314+$R$314</f>
        <v>0</v>
      </c>
    </row>
    <row r="315" spans="1:19" x14ac:dyDescent="0.3">
      <c r="A315" s="10" t="s">
        <v>1163</v>
      </c>
      <c r="B315" s="11" t="s">
        <v>1160</v>
      </c>
      <c r="C315" s="11"/>
      <c r="D315" s="11" t="s">
        <v>1164</v>
      </c>
      <c r="E315" s="11">
        <f xml:space="preserve"> IF($S$315,1,0)</f>
        <v>0</v>
      </c>
      <c r="F315" s="11" t="s">
        <v>1165</v>
      </c>
      <c r="G315" s="11">
        <v>0</v>
      </c>
      <c r="H315" s="11">
        <v>0</v>
      </c>
      <c r="I315" s="11">
        <v>0</v>
      </c>
      <c r="J315" s="11">
        <v>0</v>
      </c>
      <c r="K315" s="11">
        <v>0</v>
      </c>
      <c r="L315" s="11">
        <v>0</v>
      </c>
      <c r="M315" s="11">
        <v>0</v>
      </c>
      <c r="N315" s="11">
        <v>0</v>
      </c>
      <c r="O315" s="11">
        <v>0</v>
      </c>
      <c r="P315" s="11">
        <v>0</v>
      </c>
      <c r="Q315" s="12">
        <f>$G$315*$G$8+$H$315*$H$8+$I$315*$I$8+$J$315*$J$8+$K$315*$K$8+$L$315*$L$8+$M$315*$M$8+$N$315*$N$8+$O$315*$O$8+$P$315*$P$8</f>
        <v>0</v>
      </c>
      <c r="R315" s="12">
        <v>0</v>
      </c>
      <c r="S315" s="12">
        <f>$Q$315+$R$315</f>
        <v>0</v>
      </c>
    </row>
    <row r="316" spans="1:19" x14ac:dyDescent="0.3">
      <c r="A316" s="13" t="s">
        <v>1166</v>
      </c>
      <c r="B316" s="14" t="s">
        <v>1160</v>
      </c>
      <c r="C316" s="14" t="s">
        <v>243</v>
      </c>
      <c r="D316" s="14" t="s">
        <v>1167</v>
      </c>
      <c r="E316" s="14">
        <f xml:space="preserve"> IF($S$316,1,0)</f>
        <v>0</v>
      </c>
      <c r="F316" s="14" t="s">
        <v>1168</v>
      </c>
      <c r="G316" s="14">
        <v>0</v>
      </c>
      <c r="H316" s="14">
        <v>0</v>
      </c>
      <c r="I316" s="14">
        <v>0</v>
      </c>
      <c r="J316" s="14">
        <v>0</v>
      </c>
      <c r="K316" s="14">
        <v>0</v>
      </c>
      <c r="L316" s="14">
        <v>0</v>
      </c>
      <c r="M316" s="14">
        <v>0</v>
      </c>
      <c r="N316" s="14">
        <v>0</v>
      </c>
      <c r="O316" s="14">
        <v>0</v>
      </c>
      <c r="P316" s="14">
        <v>0</v>
      </c>
      <c r="Q316" s="15">
        <f>$G$316*$G$8+$H$316*$H$8+$I$316*$I$8+$J$316*$J$8+$K$316*$K$8+$L$316*$L$8+$M$316*$M$8+$N$316*$N$8+$O$316*$O$8+$P$316*$P$8</f>
        <v>0</v>
      </c>
      <c r="R316" s="15">
        <v>0</v>
      </c>
      <c r="S316" s="15">
        <f>$Q$316+$R$316</f>
        <v>0</v>
      </c>
    </row>
    <row r="317" spans="1:19" x14ac:dyDescent="0.3">
      <c r="A317" s="10" t="s">
        <v>1169</v>
      </c>
      <c r="B317" s="11" t="s">
        <v>1170</v>
      </c>
      <c r="C317" s="11"/>
      <c r="D317" s="11" t="s">
        <v>1171</v>
      </c>
      <c r="E317" s="11">
        <f xml:space="preserve"> IF($S$317,1,0)</f>
        <v>0</v>
      </c>
      <c r="F317" s="11" t="s">
        <v>1172</v>
      </c>
      <c r="G317" s="11">
        <v>0</v>
      </c>
      <c r="H317" s="11">
        <v>0</v>
      </c>
      <c r="I317" s="11">
        <v>0</v>
      </c>
      <c r="J317" s="11">
        <v>0</v>
      </c>
      <c r="K317" s="11">
        <v>0</v>
      </c>
      <c r="L317" s="11">
        <v>0</v>
      </c>
      <c r="M317" s="11">
        <v>0</v>
      </c>
      <c r="N317" s="11">
        <v>0</v>
      </c>
      <c r="O317" s="11">
        <v>0</v>
      </c>
      <c r="P317" s="11">
        <v>0</v>
      </c>
      <c r="Q317" s="12">
        <f>$G$317*$G$8+$H$317*$H$8+$I$317*$I$8+$J$317*$J$8+$K$317*$K$8+$L$317*$L$8+$M$317*$M$8+$N$317*$N$8+$O$317*$O$8+$P$317*$P$8</f>
        <v>0</v>
      </c>
      <c r="R317" s="12">
        <v>0</v>
      </c>
      <c r="S317" s="12">
        <f>$Q$317+$R$317</f>
        <v>0</v>
      </c>
    </row>
    <row r="318" spans="1:19" x14ac:dyDescent="0.3">
      <c r="A318" s="13" t="s">
        <v>1173</v>
      </c>
      <c r="B318" s="14" t="s">
        <v>1174</v>
      </c>
      <c r="C318" s="14"/>
      <c r="D318" s="14" t="s">
        <v>1175</v>
      </c>
      <c r="E318" s="14">
        <f xml:space="preserve"> IF($S$318,1,0)</f>
        <v>0</v>
      </c>
      <c r="F318" s="14" t="s">
        <v>1176</v>
      </c>
      <c r="G318" s="14">
        <v>0</v>
      </c>
      <c r="H318" s="14">
        <v>0</v>
      </c>
      <c r="I318" s="14">
        <v>0</v>
      </c>
      <c r="J318" s="14">
        <v>0</v>
      </c>
      <c r="K318" s="14">
        <v>0</v>
      </c>
      <c r="L318" s="14">
        <v>0</v>
      </c>
      <c r="M318" s="14">
        <v>0</v>
      </c>
      <c r="N318" s="14">
        <v>0</v>
      </c>
      <c r="O318" s="14">
        <v>0</v>
      </c>
      <c r="P318" s="14">
        <v>0</v>
      </c>
      <c r="Q318" s="15">
        <f>$G$318*$G$8+$H$318*$H$8+$I$318*$I$8+$J$318*$J$8+$K$318*$K$8+$L$318*$L$8+$M$318*$M$8+$N$318*$N$8+$O$318*$O$8+$P$318*$P$8</f>
        <v>0</v>
      </c>
      <c r="R318" s="15">
        <v>0</v>
      </c>
      <c r="S318" s="15">
        <f>$Q$318+$R$318</f>
        <v>0</v>
      </c>
    </row>
    <row r="319" spans="1:19" x14ac:dyDescent="0.3">
      <c r="A319" s="10" t="s">
        <v>1177</v>
      </c>
      <c r="B319" s="11" t="s">
        <v>1174</v>
      </c>
      <c r="C319" s="11" t="s">
        <v>65</v>
      </c>
      <c r="D319" s="11" t="s">
        <v>1178</v>
      </c>
      <c r="E319" s="11">
        <f xml:space="preserve"> IF($S$319,1,0)</f>
        <v>0</v>
      </c>
      <c r="F319" s="11" t="s">
        <v>1179</v>
      </c>
      <c r="G319" s="11">
        <v>0</v>
      </c>
      <c r="H319" s="11">
        <v>0</v>
      </c>
      <c r="I319" s="11">
        <v>0</v>
      </c>
      <c r="J319" s="11">
        <v>0</v>
      </c>
      <c r="K319" s="11">
        <v>0</v>
      </c>
      <c r="L319" s="11">
        <v>0</v>
      </c>
      <c r="M319" s="11">
        <v>0</v>
      </c>
      <c r="N319" s="11">
        <v>0</v>
      </c>
      <c r="O319" s="11">
        <v>0</v>
      </c>
      <c r="P319" s="11">
        <v>0</v>
      </c>
      <c r="Q319" s="12">
        <f>$G$319*$G$8+$H$319*$H$8+$I$319*$I$8+$J$319*$J$8+$K$319*$K$8+$L$319*$L$8+$M$319*$M$8+$N$319*$N$8+$O$319*$O$8+$P$319*$P$8</f>
        <v>0</v>
      </c>
      <c r="R319" s="12">
        <v>0</v>
      </c>
      <c r="S319" s="12">
        <f>$Q$319+$R$319</f>
        <v>0</v>
      </c>
    </row>
    <row r="320" spans="1:19" x14ac:dyDescent="0.3">
      <c r="A320" s="13" t="s">
        <v>1180</v>
      </c>
      <c r="B320" s="14" t="s">
        <v>1181</v>
      </c>
      <c r="C320" s="14"/>
      <c r="D320" s="14" t="s">
        <v>1182</v>
      </c>
      <c r="E320" s="14">
        <f xml:space="preserve"> IF($S$320,1,0)</f>
        <v>0</v>
      </c>
      <c r="F320" s="14" t="s">
        <v>1183</v>
      </c>
      <c r="G320" s="14">
        <v>0</v>
      </c>
      <c r="H320" s="14">
        <v>0</v>
      </c>
      <c r="I320" s="14">
        <v>0</v>
      </c>
      <c r="J320" s="14">
        <v>0</v>
      </c>
      <c r="K320" s="14">
        <v>0</v>
      </c>
      <c r="L320" s="14">
        <v>0</v>
      </c>
      <c r="M320" s="14">
        <v>0</v>
      </c>
      <c r="N320" s="14">
        <v>0</v>
      </c>
      <c r="O320" s="14">
        <v>0</v>
      </c>
      <c r="P320" s="14">
        <v>0</v>
      </c>
      <c r="Q320" s="15">
        <f>$G$320*$G$8+$H$320*$H$8+$I$320*$I$8+$J$320*$J$8+$K$320*$K$8+$L$320*$L$8+$M$320*$M$8+$N$320*$N$8+$O$320*$O$8+$P$320*$P$8</f>
        <v>0</v>
      </c>
      <c r="R320" s="15">
        <v>0</v>
      </c>
      <c r="S320" s="15">
        <f>$Q$320+$R$320</f>
        <v>0</v>
      </c>
    </row>
    <row r="321" spans="1:19" x14ac:dyDescent="0.3">
      <c r="A321" s="10" t="s">
        <v>1184</v>
      </c>
      <c r="B321" s="11" t="s">
        <v>1185</v>
      </c>
      <c r="C321" s="11" t="s">
        <v>65</v>
      </c>
      <c r="D321" s="11" t="s">
        <v>1186</v>
      </c>
      <c r="E321" s="11">
        <f xml:space="preserve"> IF($S$321,1,0)</f>
        <v>0</v>
      </c>
      <c r="F321" s="11" t="s">
        <v>1187</v>
      </c>
      <c r="G321" s="11">
        <v>0</v>
      </c>
      <c r="H321" s="11">
        <v>0</v>
      </c>
      <c r="I321" s="11">
        <v>0</v>
      </c>
      <c r="J321" s="11">
        <v>0</v>
      </c>
      <c r="K321" s="11">
        <v>0</v>
      </c>
      <c r="L321" s="11">
        <v>0</v>
      </c>
      <c r="M321" s="11">
        <v>0</v>
      </c>
      <c r="N321" s="11">
        <v>0</v>
      </c>
      <c r="O321" s="11">
        <v>0</v>
      </c>
      <c r="P321" s="11">
        <v>0</v>
      </c>
      <c r="Q321" s="12">
        <f>$G$321*$G$8+$H$321*$H$8+$I$321*$I$8+$J$321*$J$8+$K$321*$K$8+$L$321*$L$8+$M$321*$M$8+$N$321*$N$8+$O$321*$O$8+$P$321*$P$8</f>
        <v>0</v>
      </c>
      <c r="R321" s="12">
        <v>0</v>
      </c>
      <c r="S321" s="12">
        <f>$Q$321+$R$321</f>
        <v>0</v>
      </c>
    </row>
    <row r="322" spans="1:19" x14ac:dyDescent="0.3">
      <c r="A322" s="13" t="s">
        <v>1188</v>
      </c>
      <c r="B322" s="14" t="s">
        <v>1189</v>
      </c>
      <c r="C322" s="14"/>
      <c r="D322" s="14" t="s">
        <v>1190</v>
      </c>
      <c r="E322" s="14">
        <f xml:space="preserve"> IF($S$322,1,0)</f>
        <v>0</v>
      </c>
      <c r="F322" s="14" t="s">
        <v>1191</v>
      </c>
      <c r="G322" s="14">
        <v>0</v>
      </c>
      <c r="H322" s="14">
        <v>0</v>
      </c>
      <c r="I322" s="14">
        <v>0</v>
      </c>
      <c r="J322" s="14">
        <v>0</v>
      </c>
      <c r="K322" s="14">
        <v>0</v>
      </c>
      <c r="L322" s="14">
        <v>0</v>
      </c>
      <c r="M322" s="14">
        <v>0</v>
      </c>
      <c r="N322" s="14">
        <v>0</v>
      </c>
      <c r="O322" s="14">
        <v>0</v>
      </c>
      <c r="P322" s="14">
        <v>0</v>
      </c>
      <c r="Q322" s="15">
        <f>$G$322*$G$8+$H$322*$H$8+$I$322*$I$8+$J$322*$J$8+$K$322*$K$8+$L$322*$L$8+$M$322*$M$8+$N$322*$N$8+$O$322*$O$8+$P$322*$P$8</f>
        <v>0</v>
      </c>
      <c r="R322" s="15">
        <v>0</v>
      </c>
      <c r="S322" s="15">
        <f>$Q$322+$R$322</f>
        <v>0</v>
      </c>
    </row>
    <row r="323" spans="1:19" x14ac:dyDescent="0.3">
      <c r="A323" s="10" t="s">
        <v>1192</v>
      </c>
      <c r="B323" s="11" t="s">
        <v>1193</v>
      </c>
      <c r="C323" s="11"/>
      <c r="D323" s="11" t="s">
        <v>1194</v>
      </c>
      <c r="E323" s="11">
        <f xml:space="preserve"> IF($S$323,1,0)</f>
        <v>0</v>
      </c>
      <c r="F323" s="11" t="s">
        <v>1195</v>
      </c>
      <c r="G323" s="11">
        <v>0</v>
      </c>
      <c r="H323" s="11">
        <v>0</v>
      </c>
      <c r="I323" s="11">
        <v>0</v>
      </c>
      <c r="J323" s="11">
        <v>0</v>
      </c>
      <c r="K323" s="11">
        <v>0</v>
      </c>
      <c r="L323" s="11">
        <v>0</v>
      </c>
      <c r="M323" s="11">
        <v>0</v>
      </c>
      <c r="N323" s="11">
        <v>0</v>
      </c>
      <c r="O323" s="11">
        <v>0</v>
      </c>
      <c r="P323" s="11">
        <v>0</v>
      </c>
      <c r="Q323" s="12">
        <f>$G$323*$G$8+$H$323*$H$8+$I$323*$I$8+$J$323*$J$8+$K$323*$K$8+$L$323*$L$8+$M$323*$M$8+$N$323*$N$8+$O$323*$O$8+$P$323*$P$8</f>
        <v>0</v>
      </c>
      <c r="R323" s="12">
        <v>0</v>
      </c>
      <c r="S323" s="12">
        <f>$Q$323+$R$323</f>
        <v>0</v>
      </c>
    </row>
    <row r="324" spans="1:19" x14ac:dyDescent="0.3">
      <c r="A324" s="13" t="s">
        <v>1196</v>
      </c>
      <c r="B324" s="14" t="s">
        <v>1197</v>
      </c>
      <c r="C324" s="14"/>
      <c r="D324" s="14" t="s">
        <v>1198</v>
      </c>
      <c r="E324" s="14">
        <f xml:space="preserve"> IF($S$324,1,0)</f>
        <v>0</v>
      </c>
      <c r="F324" s="14" t="s">
        <v>1199</v>
      </c>
      <c r="G324" s="14">
        <v>0</v>
      </c>
      <c r="H324" s="14">
        <v>0</v>
      </c>
      <c r="I324" s="14">
        <v>0</v>
      </c>
      <c r="J324" s="14">
        <v>0</v>
      </c>
      <c r="K324" s="14">
        <v>0</v>
      </c>
      <c r="L324" s="14">
        <v>0</v>
      </c>
      <c r="M324" s="14">
        <v>0</v>
      </c>
      <c r="N324" s="14">
        <v>0</v>
      </c>
      <c r="O324" s="14">
        <v>0</v>
      </c>
      <c r="P324" s="14">
        <v>0</v>
      </c>
      <c r="Q324" s="15">
        <f>$G$324*$G$8+$H$324*$H$8+$I$324*$I$8+$J$324*$J$8+$K$324*$K$8+$L$324*$L$8+$M$324*$M$8+$N$324*$N$8+$O$324*$O$8+$P$324*$P$8</f>
        <v>0</v>
      </c>
      <c r="R324" s="15">
        <v>0</v>
      </c>
      <c r="S324" s="15">
        <f>$Q$324+$R$324</f>
        <v>0</v>
      </c>
    </row>
    <row r="325" spans="1:19" x14ac:dyDescent="0.3">
      <c r="A325" s="10" t="s">
        <v>1200</v>
      </c>
      <c r="B325" s="11" t="s">
        <v>1201</v>
      </c>
      <c r="C325" s="11"/>
      <c r="D325" s="11" t="s">
        <v>1202</v>
      </c>
      <c r="E325" s="11">
        <f xml:space="preserve"> IF($S$325,1,0)</f>
        <v>0</v>
      </c>
      <c r="F325" s="11" t="s">
        <v>1203</v>
      </c>
      <c r="G325" s="11">
        <v>0</v>
      </c>
      <c r="H325" s="11">
        <v>0</v>
      </c>
      <c r="I325" s="11">
        <v>0</v>
      </c>
      <c r="J325" s="11">
        <v>0</v>
      </c>
      <c r="K325" s="11">
        <v>0</v>
      </c>
      <c r="L325" s="11">
        <v>0</v>
      </c>
      <c r="M325" s="11">
        <v>0</v>
      </c>
      <c r="N325" s="11">
        <v>0</v>
      </c>
      <c r="O325" s="11">
        <v>0</v>
      </c>
      <c r="P325" s="11">
        <v>0</v>
      </c>
      <c r="Q325" s="12">
        <f>$G$325*$G$8+$H$325*$H$8+$I$325*$I$8+$J$325*$J$8+$K$325*$K$8+$L$325*$L$8+$M$325*$M$8+$N$325*$N$8+$O$325*$O$8+$P$325*$P$8</f>
        <v>0</v>
      </c>
      <c r="R325" s="12">
        <v>0</v>
      </c>
      <c r="S325" s="12">
        <f>$Q$325+$R$325</f>
        <v>0</v>
      </c>
    </row>
    <row r="326" spans="1:19" x14ac:dyDescent="0.3">
      <c r="A326" s="13" t="s">
        <v>1204</v>
      </c>
      <c r="B326" s="14" t="s">
        <v>1205</v>
      </c>
      <c r="C326" s="14"/>
      <c r="D326" s="14" t="s">
        <v>1206</v>
      </c>
      <c r="E326" s="14">
        <f xml:space="preserve"> IF($S$326,1,0)</f>
        <v>0</v>
      </c>
      <c r="F326" s="14" t="s">
        <v>1207</v>
      </c>
      <c r="G326" s="14">
        <v>0</v>
      </c>
      <c r="H326" s="14">
        <v>0</v>
      </c>
      <c r="I326" s="14">
        <v>0</v>
      </c>
      <c r="J326" s="14">
        <v>0</v>
      </c>
      <c r="K326" s="14">
        <v>0</v>
      </c>
      <c r="L326" s="14">
        <v>0</v>
      </c>
      <c r="M326" s="14">
        <v>0</v>
      </c>
      <c r="N326" s="14">
        <v>0</v>
      </c>
      <c r="O326" s="14">
        <v>0</v>
      </c>
      <c r="P326" s="14">
        <v>0</v>
      </c>
      <c r="Q326" s="15">
        <f>$G$326*$G$8+$H$326*$H$8+$I$326*$I$8+$J$326*$J$8+$K$326*$K$8+$L$326*$L$8+$M$326*$M$8+$N$326*$N$8+$O$326*$O$8+$P$326*$P$8</f>
        <v>0</v>
      </c>
      <c r="R326" s="15">
        <v>0</v>
      </c>
      <c r="S326" s="15">
        <f>$Q$326+$R$326</f>
        <v>0</v>
      </c>
    </row>
    <row r="327" spans="1:19" x14ac:dyDescent="0.3">
      <c r="A327" s="10" t="s">
        <v>1208</v>
      </c>
      <c r="B327" s="11" t="s">
        <v>1205</v>
      </c>
      <c r="C327" s="11"/>
      <c r="D327" s="11" t="s">
        <v>1209</v>
      </c>
      <c r="E327" s="11">
        <f xml:space="preserve"> IF($S$327,1,0)</f>
        <v>0</v>
      </c>
      <c r="F327" s="11" t="s">
        <v>1210</v>
      </c>
      <c r="G327" s="11">
        <v>0</v>
      </c>
      <c r="H327" s="11">
        <v>0</v>
      </c>
      <c r="I327" s="11">
        <v>0</v>
      </c>
      <c r="J327" s="11">
        <v>0</v>
      </c>
      <c r="K327" s="11">
        <v>0</v>
      </c>
      <c r="L327" s="11">
        <v>0</v>
      </c>
      <c r="M327" s="11">
        <v>0</v>
      </c>
      <c r="N327" s="11">
        <v>0</v>
      </c>
      <c r="O327" s="11">
        <v>0</v>
      </c>
      <c r="P327" s="11">
        <v>0</v>
      </c>
      <c r="Q327" s="12">
        <f>$G$327*$G$8+$H$327*$H$8+$I$327*$I$8+$J$327*$J$8+$K$327*$K$8+$L$327*$L$8+$M$327*$M$8+$N$327*$N$8+$O$327*$O$8+$P$327*$P$8</f>
        <v>0</v>
      </c>
      <c r="R327" s="12">
        <v>0</v>
      </c>
      <c r="S327" s="12">
        <f>$Q$327+$R$327</f>
        <v>0</v>
      </c>
    </row>
    <row r="328" spans="1:19" x14ac:dyDescent="0.3">
      <c r="A328" s="13" t="s">
        <v>1211</v>
      </c>
      <c r="B328" s="14" t="s">
        <v>1212</v>
      </c>
      <c r="C328" s="14"/>
      <c r="D328" s="14" t="s">
        <v>670</v>
      </c>
      <c r="E328" s="14">
        <f xml:space="preserve"> IF($S$328,1,0)</f>
        <v>0</v>
      </c>
      <c r="F328" s="14" t="s">
        <v>1213</v>
      </c>
      <c r="G328" s="14">
        <v>0</v>
      </c>
      <c r="H328" s="14">
        <v>0</v>
      </c>
      <c r="I328" s="14">
        <v>0</v>
      </c>
      <c r="J328" s="14">
        <v>0</v>
      </c>
      <c r="K328" s="14">
        <v>0</v>
      </c>
      <c r="L328" s="14">
        <v>0</v>
      </c>
      <c r="M328" s="14">
        <v>0</v>
      </c>
      <c r="N328" s="14">
        <v>0</v>
      </c>
      <c r="O328" s="14">
        <v>0</v>
      </c>
      <c r="P328" s="14">
        <v>0</v>
      </c>
      <c r="Q328" s="15">
        <f>$G$328*$G$8+$H$328*$H$8+$I$328*$I$8+$J$328*$J$8+$K$328*$K$8+$L$328*$L$8+$M$328*$M$8+$N$328*$N$8+$O$328*$O$8+$P$328*$P$8</f>
        <v>0</v>
      </c>
      <c r="R328" s="15">
        <v>0</v>
      </c>
      <c r="S328" s="15">
        <f>$Q$328+$R$328</f>
        <v>0</v>
      </c>
    </row>
    <row r="329" spans="1:19" x14ac:dyDescent="0.3">
      <c r="A329" s="10" t="s">
        <v>1214</v>
      </c>
      <c r="B329" s="11" t="s">
        <v>1215</v>
      </c>
      <c r="C329" s="11"/>
      <c r="D329" s="11" t="s">
        <v>1216</v>
      </c>
      <c r="E329" s="11">
        <f xml:space="preserve"> IF($S$329,1,0)</f>
        <v>0</v>
      </c>
      <c r="F329" s="11" t="s">
        <v>1217</v>
      </c>
      <c r="G329" s="11">
        <v>0</v>
      </c>
      <c r="H329" s="11">
        <v>0</v>
      </c>
      <c r="I329" s="11">
        <v>0</v>
      </c>
      <c r="J329" s="11">
        <v>0</v>
      </c>
      <c r="K329" s="11">
        <v>0</v>
      </c>
      <c r="L329" s="11">
        <v>0</v>
      </c>
      <c r="M329" s="11">
        <v>0</v>
      </c>
      <c r="N329" s="11">
        <v>0</v>
      </c>
      <c r="O329" s="11">
        <v>0</v>
      </c>
      <c r="P329" s="11">
        <v>0</v>
      </c>
      <c r="Q329" s="12">
        <f>$G$329*$G$8+$H$329*$H$8+$I$329*$I$8+$J$329*$J$8+$K$329*$K$8+$L$329*$L$8+$M$329*$M$8+$N$329*$N$8+$O$329*$O$8+$P$329*$P$8</f>
        <v>0</v>
      </c>
      <c r="R329" s="12">
        <v>0</v>
      </c>
      <c r="S329" s="12">
        <f>$Q$329+$R$329</f>
        <v>0</v>
      </c>
    </row>
    <row r="330" spans="1:19" x14ac:dyDescent="0.3">
      <c r="A330" s="13" t="s">
        <v>1218</v>
      </c>
      <c r="B330" s="14" t="s">
        <v>1219</v>
      </c>
      <c r="C330" s="14" t="s">
        <v>202</v>
      </c>
      <c r="D330" s="14" t="s">
        <v>1068</v>
      </c>
      <c r="E330" s="14">
        <f xml:space="preserve"> IF($S$330,1,0)</f>
        <v>0</v>
      </c>
      <c r="F330" s="14" t="s">
        <v>1220</v>
      </c>
      <c r="G330" s="14">
        <v>0</v>
      </c>
      <c r="H330" s="14">
        <v>0</v>
      </c>
      <c r="I330" s="14">
        <v>0</v>
      </c>
      <c r="J330" s="14">
        <v>0</v>
      </c>
      <c r="K330" s="14">
        <v>0</v>
      </c>
      <c r="L330" s="14">
        <v>0</v>
      </c>
      <c r="M330" s="14">
        <v>0</v>
      </c>
      <c r="N330" s="14">
        <v>0</v>
      </c>
      <c r="O330" s="14">
        <v>0</v>
      </c>
      <c r="P330" s="14">
        <v>0</v>
      </c>
      <c r="Q330" s="15">
        <f>$G$330*$G$8+$H$330*$H$8+$I$330*$I$8+$J$330*$J$8+$K$330*$K$8+$L$330*$L$8+$M$330*$M$8+$N$330*$N$8+$O$330*$O$8+$P$330*$P$8</f>
        <v>0</v>
      </c>
      <c r="R330" s="15">
        <v>0</v>
      </c>
      <c r="S330" s="15">
        <f>$Q$330+$R$330</f>
        <v>0</v>
      </c>
    </row>
    <row r="331" spans="1:19" x14ac:dyDescent="0.3">
      <c r="A331" s="10" t="s">
        <v>1221</v>
      </c>
      <c r="B331" s="11" t="s">
        <v>1222</v>
      </c>
      <c r="C331" s="11"/>
      <c r="D331" s="11" t="s">
        <v>1223</v>
      </c>
      <c r="E331" s="11">
        <f xml:space="preserve"> IF($S$331,1,0)</f>
        <v>0</v>
      </c>
      <c r="F331" s="11" t="s">
        <v>1224</v>
      </c>
      <c r="G331" s="11">
        <v>0</v>
      </c>
      <c r="H331" s="11">
        <v>0</v>
      </c>
      <c r="I331" s="11">
        <v>0</v>
      </c>
      <c r="J331" s="11">
        <v>0</v>
      </c>
      <c r="K331" s="11">
        <v>0</v>
      </c>
      <c r="L331" s="11">
        <v>0</v>
      </c>
      <c r="M331" s="11">
        <v>0</v>
      </c>
      <c r="N331" s="11">
        <v>0</v>
      </c>
      <c r="O331" s="11">
        <v>0</v>
      </c>
      <c r="P331" s="11">
        <v>0</v>
      </c>
      <c r="Q331" s="12">
        <f>$G$331*$G$8+$H$331*$H$8+$I$331*$I$8+$J$331*$J$8+$K$331*$K$8+$L$331*$L$8+$M$331*$M$8+$N$331*$N$8+$O$331*$O$8+$P$331*$P$8</f>
        <v>0</v>
      </c>
      <c r="R331" s="12">
        <v>0</v>
      </c>
      <c r="S331" s="12">
        <f>$Q$331+$R$331</f>
        <v>0</v>
      </c>
    </row>
    <row r="332" spans="1:19" x14ac:dyDescent="0.3">
      <c r="A332" s="13" t="s">
        <v>1225</v>
      </c>
      <c r="B332" s="14" t="s">
        <v>1226</v>
      </c>
      <c r="C332" s="14" t="s">
        <v>34</v>
      </c>
      <c r="D332" s="14" t="s">
        <v>1227</v>
      </c>
      <c r="E332" s="14">
        <f xml:space="preserve"> IF($S$332,1,0)</f>
        <v>0</v>
      </c>
      <c r="F332" s="14" t="s">
        <v>1228</v>
      </c>
      <c r="G332" s="14">
        <v>0</v>
      </c>
      <c r="H332" s="14">
        <v>0</v>
      </c>
      <c r="I332" s="14">
        <v>0</v>
      </c>
      <c r="J332" s="14">
        <v>0</v>
      </c>
      <c r="K332" s="14">
        <v>0</v>
      </c>
      <c r="L332" s="14">
        <v>0</v>
      </c>
      <c r="M332" s="14">
        <v>0</v>
      </c>
      <c r="N332" s="14">
        <v>0</v>
      </c>
      <c r="O332" s="14">
        <v>0</v>
      </c>
      <c r="P332" s="14">
        <v>0</v>
      </c>
      <c r="Q332" s="15">
        <f>$G$332*$G$8+$H$332*$H$8+$I$332*$I$8+$J$332*$J$8+$K$332*$K$8+$L$332*$L$8+$M$332*$M$8+$N$332*$N$8+$O$332*$O$8+$P$332*$P$8</f>
        <v>0</v>
      </c>
      <c r="R332" s="15">
        <v>0</v>
      </c>
      <c r="S332" s="15">
        <f>$Q$332+$R$332</f>
        <v>0</v>
      </c>
    </row>
    <row r="333" spans="1:19" x14ac:dyDescent="0.3">
      <c r="A333" s="10" t="s">
        <v>1229</v>
      </c>
      <c r="B333" s="11" t="s">
        <v>1230</v>
      </c>
      <c r="C333" s="11"/>
      <c r="D333" s="11" t="s">
        <v>1231</v>
      </c>
      <c r="E333" s="11">
        <f xml:space="preserve"> IF($S$333,1,0)</f>
        <v>0</v>
      </c>
      <c r="F333" s="11" t="s">
        <v>1232</v>
      </c>
      <c r="G333" s="11">
        <v>0</v>
      </c>
      <c r="H333" s="11">
        <v>0</v>
      </c>
      <c r="I333" s="11">
        <v>0</v>
      </c>
      <c r="J333" s="11">
        <v>0</v>
      </c>
      <c r="K333" s="11">
        <v>0</v>
      </c>
      <c r="L333" s="11">
        <v>0</v>
      </c>
      <c r="M333" s="11">
        <v>0</v>
      </c>
      <c r="N333" s="11">
        <v>0</v>
      </c>
      <c r="O333" s="11">
        <v>0</v>
      </c>
      <c r="P333" s="11">
        <v>0</v>
      </c>
      <c r="Q333" s="12">
        <f>$G$333*$G$8+$H$333*$H$8+$I$333*$I$8+$J$333*$J$8+$K$333*$K$8+$L$333*$L$8+$M$333*$M$8+$N$333*$N$8+$O$333*$O$8+$P$333*$P$8</f>
        <v>0</v>
      </c>
      <c r="R333" s="12">
        <v>0</v>
      </c>
      <c r="S333" s="12">
        <f>$Q$333+$R$333</f>
        <v>0</v>
      </c>
    </row>
    <row r="334" spans="1:19" x14ac:dyDescent="0.3">
      <c r="A334" s="13" t="s">
        <v>1233</v>
      </c>
      <c r="B334" s="14" t="s">
        <v>1230</v>
      </c>
      <c r="C334" s="14"/>
      <c r="D334" s="14" t="s">
        <v>1234</v>
      </c>
      <c r="E334" s="14">
        <f xml:space="preserve"> IF($S$334,1,0)</f>
        <v>0</v>
      </c>
      <c r="F334" s="14" t="s">
        <v>1235</v>
      </c>
      <c r="G334" s="14">
        <v>0</v>
      </c>
      <c r="H334" s="14">
        <v>0</v>
      </c>
      <c r="I334" s="14">
        <v>0</v>
      </c>
      <c r="J334" s="14">
        <v>0</v>
      </c>
      <c r="K334" s="14">
        <v>0</v>
      </c>
      <c r="L334" s="14">
        <v>0</v>
      </c>
      <c r="M334" s="14">
        <v>0</v>
      </c>
      <c r="N334" s="14">
        <v>0</v>
      </c>
      <c r="O334" s="14">
        <v>0</v>
      </c>
      <c r="P334" s="14">
        <v>0</v>
      </c>
      <c r="Q334" s="15">
        <f>$G$334*$G$8+$H$334*$H$8+$I$334*$I$8+$J$334*$J$8+$K$334*$K$8+$L$334*$L$8+$M$334*$M$8+$N$334*$N$8+$O$334*$O$8+$P$334*$P$8</f>
        <v>0</v>
      </c>
      <c r="R334" s="15">
        <v>0</v>
      </c>
      <c r="S334" s="15">
        <f>$Q$334+$R$334</f>
        <v>0</v>
      </c>
    </row>
    <row r="335" spans="1:19" x14ac:dyDescent="0.3">
      <c r="A335" s="10" t="s">
        <v>1236</v>
      </c>
      <c r="B335" s="11" t="s">
        <v>1237</v>
      </c>
      <c r="C335" s="11"/>
      <c r="D335" s="11" t="s">
        <v>1237</v>
      </c>
      <c r="E335" s="11">
        <f xml:space="preserve"> IF($S$335,1,0)</f>
        <v>0</v>
      </c>
      <c r="F335" s="11" t="s">
        <v>1238</v>
      </c>
      <c r="G335" s="11">
        <v>0</v>
      </c>
      <c r="H335" s="11">
        <v>0</v>
      </c>
      <c r="I335" s="11">
        <v>0</v>
      </c>
      <c r="J335" s="11">
        <v>0</v>
      </c>
      <c r="K335" s="11">
        <v>0</v>
      </c>
      <c r="L335" s="11">
        <v>0</v>
      </c>
      <c r="M335" s="11">
        <v>0</v>
      </c>
      <c r="N335" s="11">
        <v>0</v>
      </c>
      <c r="O335" s="11">
        <v>0</v>
      </c>
      <c r="P335" s="11">
        <v>0</v>
      </c>
      <c r="Q335" s="12">
        <f>$G$335*$G$8+$H$335*$H$8+$I$335*$I$8+$J$335*$J$8+$K$335*$K$8+$L$335*$L$8+$M$335*$M$8+$N$335*$N$8+$O$335*$O$8+$P$335*$P$8</f>
        <v>0</v>
      </c>
      <c r="R335" s="12">
        <v>0</v>
      </c>
      <c r="S335" s="12">
        <f>$Q$335+$R$335</f>
        <v>0</v>
      </c>
    </row>
    <row r="337" spans="5:19" ht="15" thickBot="1" x14ac:dyDescent="0.35">
      <c r="E337" s="5" t="s">
        <v>18</v>
      </c>
      <c r="F337" s="6" t="s">
        <v>19</v>
      </c>
      <c r="G337" s="6" t="s">
        <v>4</v>
      </c>
      <c r="H337" s="6" t="s">
        <v>1245</v>
      </c>
      <c r="I337" s="6" t="s">
        <v>6</v>
      </c>
      <c r="J337" s="6" t="s">
        <v>7</v>
      </c>
      <c r="K337" s="6" t="s">
        <v>8</v>
      </c>
      <c r="L337" s="6" t="s">
        <v>9</v>
      </c>
      <c r="M337" s="6" t="s">
        <v>10</v>
      </c>
      <c r="N337" s="6" t="s">
        <v>11</v>
      </c>
      <c r="O337" s="6" t="s">
        <v>12</v>
      </c>
      <c r="P337" s="6" t="s">
        <v>13</v>
      </c>
      <c r="Q337" s="6" t="s">
        <v>23</v>
      </c>
      <c r="R337" s="6" t="s">
        <v>26</v>
      </c>
      <c r="S337" s="6" t="s">
        <v>25</v>
      </c>
    </row>
    <row r="338" spans="5:19" ht="15" thickTop="1" x14ac:dyDescent="0.3">
      <c r="E338" s="7">
        <f xml:space="preserve"> IF($S$338,1,0)</f>
        <v>0</v>
      </c>
      <c r="F338" s="8" t="s">
        <v>1247</v>
      </c>
      <c r="G338" s="8">
        <v>0</v>
      </c>
      <c r="H338" s="8">
        <v>0</v>
      </c>
      <c r="I338" s="8">
        <v>0</v>
      </c>
      <c r="J338" s="8">
        <v>0</v>
      </c>
      <c r="K338" s="8">
        <v>0</v>
      </c>
      <c r="L338" s="8">
        <v>0</v>
      </c>
      <c r="M338" s="8">
        <v>0</v>
      </c>
      <c r="N338" s="8">
        <v>0</v>
      </c>
      <c r="O338" s="8">
        <v>0</v>
      </c>
      <c r="P338" s="8">
        <v>0</v>
      </c>
      <c r="Q338" s="9">
        <f>$G$338*$G$8+$H$338*$H$8+$I$338*$I$8+$J$338*$J$8+$K$338*$K$8+$L$338*$L$8+$M$338*$M$8+$N$338*$N$8+$O$338*$O$8+$P$338*$P$8</f>
        <v>0</v>
      </c>
      <c r="R338" s="9">
        <f>$S$338/2</f>
        <v>0</v>
      </c>
      <c r="S338" s="9">
        <f>$G$338*$G$8+$H$338*$H$8+$I$338*$I$8+$J$338*$J$8+$K$338*$K$8+$L$338*$L$8+$M$338*$M$8+$N$338*$N$8+$O$338*$O$8+$P$338*$P$8</f>
        <v>0</v>
      </c>
    </row>
    <row r="339" spans="5:19" x14ac:dyDescent="0.3">
      <c r="E339" s="10">
        <f xml:space="preserve"> IF($S$339,1,0)</f>
        <v>0</v>
      </c>
      <c r="F339" s="11" t="s">
        <v>27</v>
      </c>
      <c r="G339" s="11">
        <v>0</v>
      </c>
      <c r="H339" s="11">
        <v>0</v>
      </c>
      <c r="I339" s="11">
        <v>0</v>
      </c>
      <c r="J339" s="11">
        <v>0</v>
      </c>
      <c r="K339" s="11">
        <v>0</v>
      </c>
      <c r="L339" s="11">
        <v>0</v>
      </c>
      <c r="M339" s="11">
        <v>0</v>
      </c>
      <c r="N339" s="11">
        <v>0</v>
      </c>
      <c r="O339" s="11">
        <v>0</v>
      </c>
      <c r="P339" s="11">
        <v>0</v>
      </c>
      <c r="Q339" s="12">
        <f>$G$339*$G$8+$H$339*$H$8+$I$339*$I$8+$J$339*$J$8+$K$339*$K$8+$L$339*$L$8+$M$339*$M$8+$N$339*$N$8+$O$339*$O$8+$P$339*$P$8</f>
        <v>0</v>
      </c>
      <c r="R339" s="12">
        <f>$S$339/2</f>
        <v>0</v>
      </c>
      <c r="S339" s="12">
        <f>$G$339*$G$8+$H$339*$H$8+$I$339*$I$8+$J$339*$J$8+$K$339*$K$8+$L$339*$L$8+$M$339*$M$8+$N$339*$N$8+$O$339*$O$8+$P$339*$P$8</f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4B8D0-3DBB-4466-8FE3-560C9FD15C33}">
  <dimension ref="A2:W345"/>
  <sheetViews>
    <sheetView topLeftCell="H3" workbookViewId="0">
      <selection activeCell="T7" sqref="T7"/>
    </sheetView>
  </sheetViews>
  <sheetFormatPr defaultRowHeight="14.4" x14ac:dyDescent="0.3"/>
  <cols>
    <col min="2" max="2" width="14.77734375" customWidth="1"/>
    <col min="3" max="3" width="18.77734375" customWidth="1"/>
    <col min="4" max="4" width="20.77734375" customWidth="1"/>
    <col min="5" max="5" width="14.77734375" customWidth="1"/>
    <col min="6" max="6" width="25.77734375" customWidth="1"/>
    <col min="8" max="8" width="11.109375" customWidth="1"/>
    <col min="11" max="14" width="11.44140625" customWidth="1"/>
    <col min="16" max="16" width="11.88671875" customWidth="1"/>
    <col min="17" max="17" width="9.33203125" customWidth="1"/>
    <col min="18" max="18" width="9.44140625" customWidth="1"/>
    <col min="19" max="19" width="9.33203125" customWidth="1"/>
    <col min="20" max="20" width="10.33203125" customWidth="1"/>
    <col min="21" max="21" width="22.109375" customWidth="1"/>
    <col min="22" max="22" width="18.6640625" customWidth="1"/>
  </cols>
  <sheetData>
    <row r="2" spans="1:23" x14ac:dyDescent="0.3">
      <c r="A2" t="s">
        <v>1239</v>
      </c>
      <c r="F2" t="s">
        <v>20</v>
      </c>
      <c r="G2">
        <f>SUM($G$10:$G$339)+ SUM($G$342:$G$345)</f>
        <v>3</v>
      </c>
      <c r="H2">
        <f>SUM($H$10:$H$339)+ SUM($H$342:$H$345)</f>
        <v>5</v>
      </c>
      <c r="I2">
        <f>SUM($I$10:$I$339)+ SUM($I$342:$I$345)</f>
        <v>3</v>
      </c>
      <c r="J2">
        <f>SUM($J$10:$J$339)+ SUM($J$342:$J$345)</f>
        <v>1</v>
      </c>
      <c r="K2">
        <f>SUM($K$10:$K$339)+ SUM($K$342:$K$345)</f>
        <v>2</v>
      </c>
      <c r="L2">
        <f>SUM($L$10:$L$339)+ SUM($L$342:$L$345)</f>
        <v>2</v>
      </c>
      <c r="M2">
        <f>SUM($M$10:$M$339)+ SUM($M$342:$M$345)</f>
        <v>2</v>
      </c>
      <c r="N2">
        <f>SUM($N$10:$N$339)+ SUM($N$342:$N$345)</f>
        <v>4</v>
      </c>
      <c r="O2">
        <f>SUM($O$10:$O$339)+ SUM($O$342:$O$345)</f>
        <v>1</v>
      </c>
      <c r="P2">
        <f>SUM($P$10:$P$339)+ SUM($P$342:$P$345)</f>
        <v>1</v>
      </c>
    </row>
    <row r="3" spans="1:23" x14ac:dyDescent="0.3">
      <c r="A3">
        <f>SUM($E$10:$E$339)</f>
        <v>13</v>
      </c>
      <c r="F3" t="s">
        <v>21</v>
      </c>
      <c r="G3" s="3">
        <f>$G$8*G2</f>
        <v>3.3000000000000003</v>
      </c>
      <c r="H3" s="3">
        <f>$H$8*H2</f>
        <v>9</v>
      </c>
      <c r="I3" s="3">
        <f>$I$8*I2</f>
        <v>14.25</v>
      </c>
      <c r="J3" s="3">
        <f>$J$8*J2</f>
        <v>1</v>
      </c>
      <c r="K3" s="3">
        <f>$K$8*K2</f>
        <v>4</v>
      </c>
      <c r="L3" s="3">
        <f>$L$8*L2</f>
        <v>6</v>
      </c>
      <c r="M3" s="3">
        <f>$M$8*M2</f>
        <v>8</v>
      </c>
      <c r="N3" s="3">
        <f>$N$8*N2</f>
        <v>20</v>
      </c>
      <c r="O3" s="3">
        <f>$O$8*O2</f>
        <v>0.5</v>
      </c>
      <c r="P3" s="3">
        <f>$P$8*P2</f>
        <v>0.4</v>
      </c>
    </row>
    <row r="6" spans="1:23" x14ac:dyDescent="0.3">
      <c r="T6" s="3">
        <f>SUM(Q8:T8)+U8</f>
        <v>66.45</v>
      </c>
    </row>
    <row r="8" spans="1:23" x14ac:dyDescent="0.3">
      <c r="F8" t="s">
        <v>22</v>
      </c>
      <c r="G8" s="4">
        <v>1.1000000000000001</v>
      </c>
      <c r="H8" s="4">
        <v>1.8</v>
      </c>
      <c r="I8" s="4">
        <v>4.75</v>
      </c>
      <c r="J8" s="4">
        <v>1</v>
      </c>
      <c r="K8" s="4">
        <v>2</v>
      </c>
      <c r="L8" s="4">
        <v>3</v>
      </c>
      <c r="M8" s="4">
        <v>4</v>
      </c>
      <c r="N8" s="4">
        <v>5</v>
      </c>
      <c r="O8" s="4">
        <v>0.5</v>
      </c>
      <c r="P8" s="4">
        <v>0.4</v>
      </c>
      <c r="Q8" s="3">
        <f>SUM(Q10:Q339)</f>
        <v>23.549999999999997</v>
      </c>
      <c r="R8" s="3">
        <f t="shared" ref="R8:T8" si="0">SUM(R10:R339)</f>
        <v>14</v>
      </c>
      <c r="S8" s="3">
        <f t="shared" si="0"/>
        <v>9.5</v>
      </c>
      <c r="T8" s="3">
        <f t="shared" si="0"/>
        <v>10</v>
      </c>
      <c r="U8" s="3">
        <f>SUM($U$10:$U$339)</f>
        <v>9.4</v>
      </c>
      <c r="V8" s="3">
        <f>SUM($V$10:$V$339)</f>
        <v>57.050000000000004</v>
      </c>
      <c r="W8" s="3">
        <f>SUM($W$10:$W$339)</f>
        <v>66.45</v>
      </c>
    </row>
    <row r="9" spans="1:23" ht="15" thickBot="1" x14ac:dyDescent="0.35">
      <c r="A9" s="5" t="s">
        <v>14</v>
      </c>
      <c r="B9" s="6" t="s">
        <v>15</v>
      </c>
      <c r="C9" s="6" t="s">
        <v>16</v>
      </c>
      <c r="D9" s="6" t="s">
        <v>17</v>
      </c>
      <c r="E9" s="6" t="s">
        <v>18</v>
      </c>
      <c r="F9" s="6" t="s">
        <v>19</v>
      </c>
      <c r="G9" s="6" t="s">
        <v>4</v>
      </c>
      <c r="H9" s="6" t="s">
        <v>1245</v>
      </c>
      <c r="I9" s="6" t="s">
        <v>7</v>
      </c>
      <c r="J9" s="6" t="s">
        <v>6</v>
      </c>
      <c r="K9" s="6" t="s">
        <v>8</v>
      </c>
      <c r="L9" s="6" t="s">
        <v>9</v>
      </c>
      <c r="M9" s="6" t="s">
        <v>10</v>
      </c>
      <c r="N9" s="6" t="s">
        <v>11</v>
      </c>
      <c r="O9" s="6" t="s">
        <v>12</v>
      </c>
      <c r="P9" s="6" t="s">
        <v>1277</v>
      </c>
      <c r="Q9" s="6" t="s">
        <v>1298</v>
      </c>
      <c r="R9" s="6" t="s">
        <v>1299</v>
      </c>
      <c r="S9" s="6" t="s">
        <v>1300</v>
      </c>
      <c r="T9" s="6" t="s">
        <v>1301</v>
      </c>
      <c r="U9" s="6" t="s">
        <v>23</v>
      </c>
      <c r="V9" s="6" t="s">
        <v>24</v>
      </c>
      <c r="W9" s="6" t="s">
        <v>25</v>
      </c>
    </row>
    <row r="10" spans="1:23" ht="15" thickTop="1" x14ac:dyDescent="0.3">
      <c r="A10" s="7" t="s">
        <v>28</v>
      </c>
      <c r="B10" s="8" t="s">
        <v>29</v>
      </c>
      <c r="C10" s="8"/>
      <c r="D10" s="8" t="s">
        <v>30</v>
      </c>
      <c r="E10" s="8">
        <f xml:space="preserve"> IF($W$10,1,0)</f>
        <v>1</v>
      </c>
      <c r="F10" s="8" t="s">
        <v>31</v>
      </c>
      <c r="G10" s="8">
        <v>2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9">
        <v>0</v>
      </c>
      <c r="R10" s="9">
        <f>$V$343</f>
        <v>2.8</v>
      </c>
      <c r="S10" s="9">
        <v>0</v>
      </c>
      <c r="T10" s="9">
        <v>0</v>
      </c>
      <c r="U10" s="9">
        <f>$G$10*$G$8+$H$10*$H$8+$I$10*$I$8+$J$10*$J$8+$K$10*$K$8+$L$10*$L$8+$M$10*$M$8+$N$10*$N$8+$O$10*$O$8+$P$10*$P$8</f>
        <v>2.2000000000000002</v>
      </c>
      <c r="V10" s="9">
        <f>SUM($Q$10:$T$10)</f>
        <v>2.8</v>
      </c>
      <c r="W10" s="9">
        <f>$U$10+$V$10</f>
        <v>5</v>
      </c>
    </row>
    <row r="11" spans="1:23" x14ac:dyDescent="0.3">
      <c r="A11" s="10" t="s">
        <v>32</v>
      </c>
      <c r="B11" s="11" t="s">
        <v>33</v>
      </c>
      <c r="C11" s="11" t="s">
        <v>34</v>
      </c>
      <c r="D11" s="11" t="s">
        <v>35</v>
      </c>
      <c r="E11" s="11">
        <f xml:space="preserve"> IF($W$11,1,0)</f>
        <v>1</v>
      </c>
      <c r="F11" s="11" t="s">
        <v>36</v>
      </c>
      <c r="G11" s="11">
        <v>0</v>
      </c>
      <c r="H11" s="11">
        <v>0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2">
        <v>0</v>
      </c>
      <c r="R11" s="12">
        <f>$V$343</f>
        <v>2.8</v>
      </c>
      <c r="S11" s="12">
        <v>0</v>
      </c>
      <c r="T11" s="12">
        <v>0</v>
      </c>
      <c r="U11" s="12">
        <f>$G$11*$G$8+$H$11*$H$8+$I$11*$I$8+$J$11*$J$8+$K$11*$K$8+$L$11*$L$8+$M$11*$M$8+$N$11*$N$8+$O$11*$O$8+$P$11*$P$8</f>
        <v>0</v>
      </c>
      <c r="V11" s="12">
        <f>SUM($Q$11:$T$11)</f>
        <v>2.8</v>
      </c>
      <c r="W11" s="12">
        <f>$U$11+$V$11</f>
        <v>2.8</v>
      </c>
    </row>
    <row r="12" spans="1:23" x14ac:dyDescent="0.3">
      <c r="A12" s="13" t="s">
        <v>37</v>
      </c>
      <c r="B12" s="14" t="s">
        <v>38</v>
      </c>
      <c r="C12" s="14"/>
      <c r="D12" s="14" t="s">
        <v>39</v>
      </c>
      <c r="E12" s="14">
        <f xml:space="preserve"> IF($W$12,1,0)</f>
        <v>1</v>
      </c>
      <c r="F12" s="14" t="s">
        <v>40</v>
      </c>
      <c r="G12" s="14">
        <v>0</v>
      </c>
      <c r="H12" s="14">
        <v>0</v>
      </c>
      <c r="I12" s="14">
        <v>0</v>
      </c>
      <c r="J12" s="14">
        <v>0</v>
      </c>
      <c r="K12" s="14">
        <v>0</v>
      </c>
      <c r="L12" s="14">
        <v>0</v>
      </c>
      <c r="M12" s="14">
        <v>0</v>
      </c>
      <c r="N12" s="14">
        <v>0</v>
      </c>
      <c r="O12" s="14">
        <v>0</v>
      </c>
      <c r="P12" s="14">
        <v>0</v>
      </c>
      <c r="Q12" s="15">
        <v>0</v>
      </c>
      <c r="R12" s="15">
        <f>$V$343</f>
        <v>2.8</v>
      </c>
      <c r="S12" s="15">
        <v>0</v>
      </c>
      <c r="T12" s="15">
        <v>0</v>
      </c>
      <c r="U12" s="15">
        <f>$G$12*$G$8+$H$12*$H$8+$I$12*$I$8+$J$12*$J$8+$K$12*$K$8+$L$12*$L$8+$M$12*$M$8+$N$12*$N$8+$O$12*$O$8+$P$12*$P$8</f>
        <v>0</v>
      </c>
      <c r="V12" s="15">
        <f>SUM($Q$12:$T$12)</f>
        <v>2.8</v>
      </c>
      <c r="W12" s="15">
        <f>$U$12+$V$12</f>
        <v>2.8</v>
      </c>
    </row>
    <row r="13" spans="1:23" x14ac:dyDescent="0.3">
      <c r="A13" s="10" t="s">
        <v>41</v>
      </c>
      <c r="B13" s="11" t="s">
        <v>38</v>
      </c>
      <c r="C13" s="11"/>
      <c r="D13" s="11" t="s">
        <v>42</v>
      </c>
      <c r="E13" s="11">
        <f xml:space="preserve"> IF($W$13,1,0)</f>
        <v>1</v>
      </c>
      <c r="F13" s="11" t="s">
        <v>43</v>
      </c>
      <c r="G13" s="11">
        <v>0</v>
      </c>
      <c r="H13" s="11">
        <v>0</v>
      </c>
      <c r="I13" s="11">
        <v>0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2">
        <v>0</v>
      </c>
      <c r="R13" s="12">
        <f>$V$343</f>
        <v>2.8</v>
      </c>
      <c r="S13" s="12">
        <f>$V$344</f>
        <v>2.375</v>
      </c>
      <c r="T13" s="12">
        <v>0</v>
      </c>
      <c r="U13" s="12">
        <f>$G$13*$G$8+$H$13*$H$8+$I$13*$I$8+$J$13*$J$8+$K$13*$K$8+$L$13*$L$8+$M$13*$M$8+$N$13*$N$8+$O$13*$O$8+$P$13*$P$8</f>
        <v>0</v>
      </c>
      <c r="V13" s="12">
        <f>SUM($Q$13:$T$13)</f>
        <v>5.1749999999999998</v>
      </c>
      <c r="W13" s="12">
        <f>$U$13+$V$13</f>
        <v>5.1749999999999998</v>
      </c>
    </row>
    <row r="14" spans="1:23" x14ac:dyDescent="0.3">
      <c r="A14" s="13" t="s">
        <v>44</v>
      </c>
      <c r="B14" s="14" t="s">
        <v>45</v>
      </c>
      <c r="C14" s="14"/>
      <c r="D14" s="14" t="s">
        <v>46</v>
      </c>
      <c r="E14" s="14">
        <f xml:space="preserve"> IF($W$14,1,0)</f>
        <v>1</v>
      </c>
      <c r="F14" s="14" t="s">
        <v>47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5">
        <v>0</v>
      </c>
      <c r="R14" s="15">
        <f>$V$343</f>
        <v>2.8</v>
      </c>
      <c r="S14" s="15">
        <f>$V$344</f>
        <v>2.375</v>
      </c>
      <c r="T14" s="15">
        <v>0</v>
      </c>
      <c r="U14" s="15">
        <f>$G$14*$G$8+$H$14*$H$8+$I$14*$I$8+$J$14*$J$8+$K$14*$K$8+$L$14*$L$8+$M$14*$M$8+$N$14*$N$8+$O$14*$O$8+$P$14*$P$8</f>
        <v>0</v>
      </c>
      <c r="V14" s="15">
        <f>SUM($Q$14:$T$14)</f>
        <v>5.1749999999999998</v>
      </c>
      <c r="W14" s="15">
        <f>$U$14+$V$14</f>
        <v>5.1749999999999998</v>
      </c>
    </row>
    <row r="15" spans="1:23" x14ac:dyDescent="0.3">
      <c r="A15" s="10" t="s">
        <v>48</v>
      </c>
      <c r="B15" s="11" t="s">
        <v>45</v>
      </c>
      <c r="C15" s="11"/>
      <c r="D15" s="11" t="s">
        <v>49</v>
      </c>
      <c r="E15" s="11">
        <f xml:space="preserve"> IF($W$15,1,0)</f>
        <v>1</v>
      </c>
      <c r="F15" s="11" t="s">
        <v>50</v>
      </c>
      <c r="G15" s="11">
        <v>0</v>
      </c>
      <c r="H15" s="11">
        <v>0</v>
      </c>
      <c r="I15" s="11">
        <v>0</v>
      </c>
      <c r="J15" s="11">
        <v>0</v>
      </c>
      <c r="K15" s="11">
        <v>0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2">
        <f>$V$342</f>
        <v>4.7099999999999991</v>
      </c>
      <c r="R15" s="12">
        <v>0</v>
      </c>
      <c r="S15" s="12">
        <f>$V$344</f>
        <v>2.375</v>
      </c>
      <c r="T15" s="12">
        <v>0</v>
      </c>
      <c r="U15" s="12">
        <f>$G$15*$G$8+$H$15*$H$8+$I$15*$I$8+$J$15*$J$8+$K$15*$K$8+$L$15*$L$8+$M$15*$M$8+$N$15*$N$8+$O$15*$O$8+$P$15*$P$8</f>
        <v>0</v>
      </c>
      <c r="V15" s="12">
        <f>SUM($Q$15:$T$15)</f>
        <v>7.0849999999999991</v>
      </c>
      <c r="W15" s="12">
        <f>$U$15+$V$15</f>
        <v>7.0849999999999991</v>
      </c>
    </row>
    <row r="16" spans="1:23" x14ac:dyDescent="0.3">
      <c r="A16" s="13" t="s">
        <v>51</v>
      </c>
      <c r="B16" s="14" t="s">
        <v>52</v>
      </c>
      <c r="C16" s="14"/>
      <c r="D16" s="14" t="s">
        <v>53</v>
      </c>
      <c r="E16" s="14">
        <f xml:space="preserve"> IF($W$16,1,0)</f>
        <v>1</v>
      </c>
      <c r="F16" s="14" t="s">
        <v>54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4">
        <v>0</v>
      </c>
      <c r="O16" s="14">
        <v>0</v>
      </c>
      <c r="P16" s="14">
        <v>0</v>
      </c>
      <c r="Q16" s="15">
        <f>$V$342</f>
        <v>4.7099999999999991</v>
      </c>
      <c r="R16" s="15">
        <v>0</v>
      </c>
      <c r="S16" s="15">
        <v>0</v>
      </c>
      <c r="T16" s="15">
        <v>0</v>
      </c>
      <c r="U16" s="15">
        <f>$G$16*$G$8+$H$16*$H$8+$I$16*$I$8+$J$16*$J$8+$K$16*$K$8+$L$16*$L$8+$M$16*$M$8+$N$16*$N$8+$O$16*$O$8+$P$16*$P$8</f>
        <v>0</v>
      </c>
      <c r="V16" s="15">
        <f>SUM($Q$16:$T$16)</f>
        <v>4.7099999999999991</v>
      </c>
      <c r="W16" s="15">
        <f>$U$16+$V$16</f>
        <v>4.7099999999999991</v>
      </c>
    </row>
    <row r="17" spans="1:23" x14ac:dyDescent="0.3">
      <c r="A17" s="10" t="s">
        <v>55</v>
      </c>
      <c r="B17" s="11" t="s">
        <v>56</v>
      </c>
      <c r="C17" s="11"/>
      <c r="D17" s="11" t="s">
        <v>57</v>
      </c>
      <c r="E17" s="11">
        <f xml:space="preserve"> IF($W$17,1,0)</f>
        <v>1</v>
      </c>
      <c r="F17" s="11" t="s">
        <v>58</v>
      </c>
      <c r="G17" s="11">
        <v>0</v>
      </c>
      <c r="H17" s="11">
        <v>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2">
        <f>$V$342</f>
        <v>4.7099999999999991</v>
      </c>
      <c r="R17" s="12">
        <v>0</v>
      </c>
      <c r="S17" s="12">
        <v>0</v>
      </c>
      <c r="T17" s="12">
        <v>0</v>
      </c>
      <c r="U17" s="12">
        <f>$G$17*$G$8+$H$17*$H$8+$I$17*$I$8+$J$17*$J$8+$K$17*$K$8+$L$17*$L$8+$M$17*$M$8+$N$17*$N$8+$O$17*$O$8+$P$17*$P$8</f>
        <v>0</v>
      </c>
      <c r="V17" s="12">
        <f>SUM($Q$17:$T$17)</f>
        <v>4.7099999999999991</v>
      </c>
      <c r="W17" s="12">
        <f>$U$17+$V$17</f>
        <v>4.7099999999999991</v>
      </c>
    </row>
    <row r="18" spans="1:23" x14ac:dyDescent="0.3">
      <c r="A18" s="13" t="s">
        <v>59</v>
      </c>
      <c r="B18" s="14" t="s">
        <v>60</v>
      </c>
      <c r="C18" s="14"/>
      <c r="D18" s="14" t="s">
        <v>61</v>
      </c>
      <c r="E18" s="14">
        <f xml:space="preserve"> IF($W$18,1,0)</f>
        <v>1</v>
      </c>
      <c r="F18" s="14" t="s">
        <v>62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5">
        <f>$V$342</f>
        <v>4.7099999999999991</v>
      </c>
      <c r="R18" s="15">
        <v>0</v>
      </c>
      <c r="S18" s="15">
        <v>0</v>
      </c>
      <c r="T18" s="15">
        <v>0</v>
      </c>
      <c r="U18" s="15">
        <f>$G$18*$G$8+$H$18*$H$8+$I$18*$I$8+$J$18*$J$8+$K$18*$K$8+$L$18*$L$8+$M$18*$M$8+$N$18*$N$8+$O$18*$O$8+$P$18*$P$8</f>
        <v>0</v>
      </c>
      <c r="V18" s="15">
        <f>SUM($Q$18:$T$18)</f>
        <v>4.7099999999999991</v>
      </c>
      <c r="W18" s="15">
        <f>$U$18+$V$18</f>
        <v>4.7099999999999991</v>
      </c>
    </row>
    <row r="19" spans="1:23" x14ac:dyDescent="0.3">
      <c r="A19" s="10" t="s">
        <v>63</v>
      </c>
      <c r="B19" s="11" t="s">
        <v>64</v>
      </c>
      <c r="C19" s="11" t="s">
        <v>65</v>
      </c>
      <c r="D19" s="11" t="s">
        <v>66</v>
      </c>
      <c r="E19" s="11">
        <f xml:space="preserve"> IF($W$19,1,0)</f>
        <v>1</v>
      </c>
      <c r="F19" s="11" t="s">
        <v>67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2">
        <f>$V$342</f>
        <v>4.7099999999999991</v>
      </c>
      <c r="R19" s="12">
        <v>0</v>
      </c>
      <c r="S19" s="12">
        <f>$V$344</f>
        <v>2.375</v>
      </c>
      <c r="T19" s="12">
        <v>0</v>
      </c>
      <c r="U19" s="12">
        <f>$G$19*$G$8+$H$19*$H$8+$I$19*$I$8+$J$19*$J$8+$K$19*$K$8+$L$19*$L$8+$M$19*$M$8+$N$19*$N$8+$O$19*$O$8+$P$19*$P$8</f>
        <v>0</v>
      </c>
      <c r="V19" s="12">
        <f>SUM($Q$19:$T$19)</f>
        <v>7.0849999999999991</v>
      </c>
      <c r="W19" s="12">
        <f>$U$19+$V$19</f>
        <v>7.0849999999999991</v>
      </c>
    </row>
    <row r="20" spans="1:23" x14ac:dyDescent="0.3">
      <c r="A20" s="13" t="s">
        <v>68</v>
      </c>
      <c r="B20" s="14" t="s">
        <v>69</v>
      </c>
      <c r="C20" s="14"/>
      <c r="D20" s="14" t="s">
        <v>70</v>
      </c>
      <c r="E20" s="14">
        <f xml:space="preserve"> IF($W$20,1,0)</f>
        <v>0</v>
      </c>
      <c r="F20" s="14" t="s">
        <v>71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4">
        <v>0</v>
      </c>
      <c r="N20" s="14">
        <v>0</v>
      </c>
      <c r="O20" s="14">
        <v>0</v>
      </c>
      <c r="P20" s="14">
        <v>0</v>
      </c>
      <c r="Q20" s="15">
        <v>0</v>
      </c>
      <c r="R20" s="15">
        <v>0</v>
      </c>
      <c r="S20" s="15">
        <v>0</v>
      </c>
      <c r="T20" s="15">
        <v>0</v>
      </c>
      <c r="U20" s="15">
        <f>$G$20*$G$8+$H$20*$H$8+$I$20*$I$8+$J$20*$J$8+$K$20*$K$8+$L$20*$L$8+$M$20*$M$8+$N$20*$N$8+$O$20*$O$8+$P$20*$P$8</f>
        <v>0</v>
      </c>
      <c r="V20" s="15">
        <f>SUM($Q$20:$T$20)</f>
        <v>0</v>
      </c>
      <c r="W20" s="15">
        <f>$U$20+$V$20</f>
        <v>0</v>
      </c>
    </row>
    <row r="21" spans="1:23" x14ac:dyDescent="0.3">
      <c r="A21" s="10" t="s">
        <v>72</v>
      </c>
      <c r="B21" s="11" t="s">
        <v>73</v>
      </c>
      <c r="C21" s="11"/>
      <c r="D21" s="11" t="s">
        <v>74</v>
      </c>
      <c r="E21" s="11">
        <f xml:space="preserve"> IF($W$21,1,0)</f>
        <v>0</v>
      </c>
      <c r="F21" s="11" t="s">
        <v>75</v>
      </c>
      <c r="G21" s="11">
        <v>0</v>
      </c>
      <c r="H21" s="11">
        <v>0</v>
      </c>
      <c r="I21" s="11">
        <v>0</v>
      </c>
      <c r="J21" s="11">
        <v>0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2">
        <v>0</v>
      </c>
      <c r="R21" s="12">
        <v>0</v>
      </c>
      <c r="S21" s="12">
        <v>0</v>
      </c>
      <c r="T21" s="12">
        <v>0</v>
      </c>
      <c r="U21" s="12">
        <f>$G$21*$G$8+$H$21*$H$8+$I$21*$I$8+$J$21*$J$8+$K$21*$K$8+$L$21*$L$8+$M$21*$M$8+$N$21*$N$8+$O$21*$O$8+$P$21*$P$8</f>
        <v>0</v>
      </c>
      <c r="V21" s="12">
        <f>SUM($Q$21:$T$21)</f>
        <v>0</v>
      </c>
      <c r="W21" s="12">
        <f>$U$21+$V$21</f>
        <v>0</v>
      </c>
    </row>
    <row r="22" spans="1:23" x14ac:dyDescent="0.3">
      <c r="A22" s="13" t="s">
        <v>76</v>
      </c>
      <c r="B22" s="14" t="s">
        <v>77</v>
      </c>
      <c r="C22" s="14"/>
      <c r="D22" s="14" t="s">
        <v>78</v>
      </c>
      <c r="E22" s="14">
        <f xml:space="preserve"> IF($W$22,1,0)</f>
        <v>0</v>
      </c>
      <c r="F22" s="14" t="s">
        <v>79</v>
      </c>
      <c r="G22" s="14">
        <v>0</v>
      </c>
      <c r="H22" s="14">
        <v>0</v>
      </c>
      <c r="I22" s="14">
        <v>0</v>
      </c>
      <c r="J22" s="14">
        <v>0</v>
      </c>
      <c r="K22" s="14">
        <v>0</v>
      </c>
      <c r="L22" s="14">
        <v>0</v>
      </c>
      <c r="M22" s="14">
        <v>0</v>
      </c>
      <c r="N22" s="14">
        <v>0</v>
      </c>
      <c r="O22" s="14">
        <v>0</v>
      </c>
      <c r="P22" s="14">
        <v>0</v>
      </c>
      <c r="Q22" s="15">
        <v>0</v>
      </c>
      <c r="R22" s="15">
        <v>0</v>
      </c>
      <c r="S22" s="15">
        <v>0</v>
      </c>
      <c r="T22" s="15">
        <v>0</v>
      </c>
      <c r="U22" s="15">
        <f>$G$22*$G$8+$H$22*$H$8+$I$22*$I$8+$J$22*$J$8+$K$22*$K$8+$L$22*$L$8+$M$22*$M$8+$N$22*$N$8+$O$22*$O$8+$P$22*$P$8</f>
        <v>0</v>
      </c>
      <c r="V22" s="15">
        <f>SUM($Q$22:$T$22)</f>
        <v>0</v>
      </c>
      <c r="W22" s="15">
        <f>$U$22+$V$22</f>
        <v>0</v>
      </c>
    </row>
    <row r="23" spans="1:23" x14ac:dyDescent="0.3">
      <c r="A23" s="10" t="s">
        <v>80</v>
      </c>
      <c r="B23" s="11" t="s">
        <v>77</v>
      </c>
      <c r="C23" s="11" t="s">
        <v>65</v>
      </c>
      <c r="D23" s="11" t="s">
        <v>81</v>
      </c>
      <c r="E23" s="11">
        <f xml:space="preserve"> IF($W$23,1,0)</f>
        <v>0</v>
      </c>
      <c r="F23" s="11" t="s">
        <v>82</v>
      </c>
      <c r="G23" s="11">
        <v>0</v>
      </c>
      <c r="H23" s="11">
        <v>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2">
        <v>0</v>
      </c>
      <c r="R23" s="12">
        <v>0</v>
      </c>
      <c r="S23" s="12">
        <v>0</v>
      </c>
      <c r="T23" s="12">
        <v>0</v>
      </c>
      <c r="U23" s="12">
        <f>$G$23*$G$8+$H$23*$H$8+$I$23*$I$8+$J$23*$J$8+$K$23*$K$8+$L$23*$L$8+$M$23*$M$8+$N$23*$N$8+$O$23*$O$8+$P$23*$P$8</f>
        <v>0</v>
      </c>
      <c r="V23" s="12">
        <f>SUM($Q$23:$T$23)</f>
        <v>0</v>
      </c>
      <c r="W23" s="12">
        <f>$U$23+$V$23</f>
        <v>0</v>
      </c>
    </row>
    <row r="24" spans="1:23" x14ac:dyDescent="0.3">
      <c r="A24" s="13" t="s">
        <v>83</v>
      </c>
      <c r="B24" s="14" t="s">
        <v>84</v>
      </c>
      <c r="C24" s="14"/>
      <c r="D24" s="14" t="s">
        <v>81</v>
      </c>
      <c r="E24" s="14">
        <f xml:space="preserve"> IF($W$24,1,0)</f>
        <v>0</v>
      </c>
      <c r="F24" s="14" t="s">
        <v>85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5">
        <v>0</v>
      </c>
      <c r="R24" s="15">
        <v>0</v>
      </c>
      <c r="S24" s="15">
        <v>0</v>
      </c>
      <c r="T24" s="15">
        <v>0</v>
      </c>
      <c r="U24" s="15">
        <f>$G$24*$G$8+$H$24*$H$8+$I$24*$I$8+$J$24*$J$8+$K$24*$K$8+$L$24*$L$8+$M$24*$M$8+$N$24*$N$8+$O$24*$O$8+$P$24*$P$8</f>
        <v>0</v>
      </c>
      <c r="V24" s="15">
        <f>SUM($Q$24:$T$24)</f>
        <v>0</v>
      </c>
      <c r="W24" s="15">
        <f>$U$24+$V$24</f>
        <v>0</v>
      </c>
    </row>
    <row r="25" spans="1:23" x14ac:dyDescent="0.3">
      <c r="A25" s="10" t="s">
        <v>86</v>
      </c>
      <c r="B25" s="11" t="s">
        <v>87</v>
      </c>
      <c r="C25" s="11"/>
      <c r="D25" s="11" t="s">
        <v>88</v>
      </c>
      <c r="E25" s="11">
        <f xml:space="preserve"> IF($W$25,1,0)</f>
        <v>0</v>
      </c>
      <c r="F25" s="11" t="s">
        <v>89</v>
      </c>
      <c r="G25" s="11">
        <v>0</v>
      </c>
      <c r="H25" s="11">
        <v>0</v>
      </c>
      <c r="I25" s="11">
        <v>0</v>
      </c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2">
        <v>0</v>
      </c>
      <c r="R25" s="12">
        <v>0</v>
      </c>
      <c r="S25" s="12">
        <v>0</v>
      </c>
      <c r="T25" s="12">
        <v>0</v>
      </c>
      <c r="U25" s="12">
        <f>$G$25*$G$8+$H$25*$H$8+$I$25*$I$8+$J$25*$J$8+$K$25*$K$8+$L$25*$L$8+$M$25*$M$8+$N$25*$N$8+$O$25*$O$8+$P$25*$P$8</f>
        <v>0</v>
      </c>
      <c r="V25" s="12">
        <f>SUM($Q$25:$T$25)</f>
        <v>0</v>
      </c>
      <c r="W25" s="12">
        <f>$U$25+$V$25</f>
        <v>0</v>
      </c>
    </row>
    <row r="26" spans="1:23" x14ac:dyDescent="0.3">
      <c r="A26" s="13" t="s">
        <v>90</v>
      </c>
      <c r="B26" s="14" t="s">
        <v>91</v>
      </c>
      <c r="C26" s="14"/>
      <c r="D26" s="14" t="s">
        <v>92</v>
      </c>
      <c r="E26" s="14">
        <f xml:space="preserve"> IF($W$26,1,0)</f>
        <v>0</v>
      </c>
      <c r="F26" s="14" t="s">
        <v>93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5">
        <v>0</v>
      </c>
      <c r="R26" s="15">
        <v>0</v>
      </c>
      <c r="S26" s="15">
        <v>0</v>
      </c>
      <c r="T26" s="15">
        <v>0</v>
      </c>
      <c r="U26" s="15">
        <f>$G$26*$G$8+$H$26*$H$8+$I$26*$I$8+$J$26*$J$8+$K$26*$K$8+$L$26*$L$8+$M$26*$M$8+$N$26*$N$8+$O$26*$O$8+$P$26*$P$8</f>
        <v>0</v>
      </c>
      <c r="V26" s="15">
        <f>SUM($Q$26:$T$26)</f>
        <v>0</v>
      </c>
      <c r="W26" s="15">
        <f>$U$26+$V$26</f>
        <v>0</v>
      </c>
    </row>
    <row r="27" spans="1:23" x14ac:dyDescent="0.3">
      <c r="A27" s="10" t="s">
        <v>94</v>
      </c>
      <c r="B27" s="11" t="s">
        <v>95</v>
      </c>
      <c r="C27" s="11"/>
      <c r="D27" s="11" t="s">
        <v>96</v>
      </c>
      <c r="E27" s="11">
        <f xml:space="preserve"> IF($W$27,1,0)</f>
        <v>0</v>
      </c>
      <c r="F27" s="11" t="s">
        <v>97</v>
      </c>
      <c r="G27" s="11">
        <v>0</v>
      </c>
      <c r="H27" s="11">
        <v>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2">
        <v>0</v>
      </c>
      <c r="R27" s="12">
        <v>0</v>
      </c>
      <c r="S27" s="12">
        <v>0</v>
      </c>
      <c r="T27" s="12">
        <v>0</v>
      </c>
      <c r="U27" s="12">
        <f>$G$27*$G$8+$H$27*$H$8+$I$27*$I$8+$J$27*$J$8+$K$27*$K$8+$L$27*$L$8+$M$27*$M$8+$N$27*$N$8+$O$27*$O$8+$P$27*$P$8</f>
        <v>0</v>
      </c>
      <c r="V27" s="12">
        <f>SUM($Q$27:$T$27)</f>
        <v>0</v>
      </c>
      <c r="W27" s="12">
        <f>$U$27+$V$27</f>
        <v>0</v>
      </c>
    </row>
    <row r="28" spans="1:23" x14ac:dyDescent="0.3">
      <c r="A28" s="13" t="s">
        <v>98</v>
      </c>
      <c r="B28" s="14" t="s">
        <v>99</v>
      </c>
      <c r="C28" s="14"/>
      <c r="D28" s="14" t="s">
        <v>100</v>
      </c>
      <c r="E28" s="14">
        <f xml:space="preserve"> IF($W$28,1,0)</f>
        <v>0</v>
      </c>
      <c r="F28" s="14" t="s">
        <v>101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5">
        <v>0</v>
      </c>
      <c r="R28" s="15">
        <v>0</v>
      </c>
      <c r="S28" s="15">
        <v>0</v>
      </c>
      <c r="T28" s="15">
        <v>0</v>
      </c>
      <c r="U28" s="15">
        <f>$G$28*$G$8+$H$28*$H$8+$I$28*$I$8+$J$28*$J$8+$K$28*$K$8+$L$28*$L$8+$M$28*$M$8+$N$28*$N$8+$O$28*$O$8+$P$28*$P$8</f>
        <v>0</v>
      </c>
      <c r="V28" s="15">
        <f>SUM($Q$28:$T$28)</f>
        <v>0</v>
      </c>
      <c r="W28" s="15">
        <f>$U$28+$V$28</f>
        <v>0</v>
      </c>
    </row>
    <row r="29" spans="1:23" x14ac:dyDescent="0.3">
      <c r="A29" s="10" t="s">
        <v>102</v>
      </c>
      <c r="B29" s="11" t="s">
        <v>103</v>
      </c>
      <c r="C29" s="11"/>
      <c r="D29" s="11" t="s">
        <v>104</v>
      </c>
      <c r="E29" s="11">
        <f xml:space="preserve"> IF($W$29,1,0)</f>
        <v>0</v>
      </c>
      <c r="F29" s="11" t="s">
        <v>105</v>
      </c>
      <c r="G29" s="11">
        <v>0</v>
      </c>
      <c r="H29" s="11">
        <v>0</v>
      </c>
      <c r="I29" s="11">
        <v>0</v>
      </c>
      <c r="J29" s="11">
        <v>0</v>
      </c>
      <c r="K29" s="11">
        <v>0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2">
        <v>0</v>
      </c>
      <c r="R29" s="12">
        <v>0</v>
      </c>
      <c r="S29" s="12">
        <v>0</v>
      </c>
      <c r="T29" s="12">
        <v>0</v>
      </c>
      <c r="U29" s="12">
        <f>$G$29*$G$8+$H$29*$H$8+$I$29*$I$8+$J$29*$J$8+$K$29*$K$8+$L$29*$L$8+$M$29*$M$8+$N$29*$N$8+$O$29*$O$8+$P$29*$P$8</f>
        <v>0</v>
      </c>
      <c r="V29" s="12">
        <f>SUM($Q$29:$T$29)</f>
        <v>0</v>
      </c>
      <c r="W29" s="12">
        <f>$U$29+$V$29</f>
        <v>0</v>
      </c>
    </row>
    <row r="30" spans="1:23" x14ac:dyDescent="0.3">
      <c r="A30" s="13" t="s">
        <v>106</v>
      </c>
      <c r="B30" s="14" t="s">
        <v>103</v>
      </c>
      <c r="C30" s="14"/>
      <c r="D30" s="14" t="s">
        <v>107</v>
      </c>
      <c r="E30" s="14">
        <f xml:space="preserve"> IF($W$30,1,0)</f>
        <v>0</v>
      </c>
      <c r="F30" s="14" t="s">
        <v>108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5">
        <v>0</v>
      </c>
      <c r="R30" s="15">
        <v>0</v>
      </c>
      <c r="S30" s="15">
        <v>0</v>
      </c>
      <c r="T30" s="15">
        <v>0</v>
      </c>
      <c r="U30" s="15">
        <f>$G$30*$G$8+$H$30*$H$8+$I$30*$I$8+$J$30*$J$8+$K$30*$K$8+$L$30*$L$8+$M$30*$M$8+$N$30*$N$8+$O$30*$O$8+$P$30*$P$8</f>
        <v>0</v>
      </c>
      <c r="V30" s="15">
        <f>SUM($Q$30:$T$30)</f>
        <v>0</v>
      </c>
      <c r="W30" s="15">
        <f>$U$30+$V$30</f>
        <v>0</v>
      </c>
    </row>
    <row r="31" spans="1:23" x14ac:dyDescent="0.3">
      <c r="A31" s="10" t="s">
        <v>109</v>
      </c>
      <c r="B31" s="11" t="s">
        <v>103</v>
      </c>
      <c r="C31" s="11"/>
      <c r="D31" s="11" t="s">
        <v>110</v>
      </c>
      <c r="E31" s="11">
        <f xml:space="preserve"> IF($W$31,1,0)</f>
        <v>0</v>
      </c>
      <c r="F31" s="11" t="s">
        <v>111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2">
        <v>0</v>
      </c>
      <c r="R31" s="12">
        <v>0</v>
      </c>
      <c r="S31" s="12">
        <v>0</v>
      </c>
      <c r="T31" s="12">
        <v>0</v>
      </c>
      <c r="U31" s="12">
        <f>$G$31*$G$8+$H$31*$H$8+$I$31*$I$8+$J$31*$J$8+$K$31*$K$8+$L$31*$L$8+$M$31*$M$8+$N$31*$N$8+$O$31*$O$8+$P$31*$P$8</f>
        <v>0</v>
      </c>
      <c r="V31" s="12">
        <f>SUM($Q$31:$T$31)</f>
        <v>0</v>
      </c>
      <c r="W31" s="12">
        <f>$U$31+$V$31</f>
        <v>0</v>
      </c>
    </row>
    <row r="32" spans="1:23" x14ac:dyDescent="0.3">
      <c r="A32" s="13" t="s">
        <v>112</v>
      </c>
      <c r="B32" s="14" t="s">
        <v>113</v>
      </c>
      <c r="C32" s="14"/>
      <c r="D32" s="14" t="s">
        <v>114</v>
      </c>
      <c r="E32" s="14">
        <f xml:space="preserve"> IF($W$32,1,0)</f>
        <v>0</v>
      </c>
      <c r="F32" s="14" t="s">
        <v>115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5">
        <v>0</v>
      </c>
      <c r="R32" s="15">
        <v>0</v>
      </c>
      <c r="S32" s="15">
        <v>0</v>
      </c>
      <c r="T32" s="15">
        <v>0</v>
      </c>
      <c r="U32" s="15">
        <f>$G$32*$G$8+$H$32*$H$8+$I$32*$I$8+$J$32*$J$8+$K$32*$K$8+$L$32*$L$8+$M$32*$M$8+$N$32*$N$8+$O$32*$O$8+$P$32*$P$8</f>
        <v>0</v>
      </c>
      <c r="V32" s="15">
        <f>SUM($Q$32:$T$32)</f>
        <v>0</v>
      </c>
      <c r="W32" s="15">
        <f>$U$32+$V$32</f>
        <v>0</v>
      </c>
    </row>
    <row r="33" spans="1:23" x14ac:dyDescent="0.3">
      <c r="A33" s="10" t="s">
        <v>116</v>
      </c>
      <c r="B33" s="11" t="s">
        <v>117</v>
      </c>
      <c r="C33" s="11" t="s">
        <v>34</v>
      </c>
      <c r="D33" s="11" t="s">
        <v>118</v>
      </c>
      <c r="E33" s="11">
        <f xml:space="preserve"> IF($W$33,1,0)</f>
        <v>0</v>
      </c>
      <c r="F33" s="11" t="s">
        <v>119</v>
      </c>
      <c r="G33" s="11">
        <v>0</v>
      </c>
      <c r="H33" s="11">
        <v>0</v>
      </c>
      <c r="I33" s="11">
        <v>0</v>
      </c>
      <c r="J33" s="11">
        <v>0</v>
      </c>
      <c r="K33" s="11">
        <v>0</v>
      </c>
      <c r="L33" s="11">
        <v>0</v>
      </c>
      <c r="M33" s="11">
        <v>0</v>
      </c>
      <c r="N33" s="11">
        <v>0</v>
      </c>
      <c r="O33" s="11">
        <v>0</v>
      </c>
      <c r="P33" s="11">
        <v>0</v>
      </c>
      <c r="Q33" s="12">
        <v>0</v>
      </c>
      <c r="R33" s="12">
        <v>0</v>
      </c>
      <c r="S33" s="12">
        <v>0</v>
      </c>
      <c r="T33" s="12">
        <v>0</v>
      </c>
      <c r="U33" s="12">
        <f>$G$33*$G$8+$H$33*$H$8+$I$33*$I$8+$J$33*$J$8+$K$33*$K$8+$L$33*$L$8+$M$33*$M$8+$N$33*$N$8+$O$33*$O$8+$P$33*$P$8</f>
        <v>0</v>
      </c>
      <c r="V33" s="12">
        <f>SUM($Q$33:$T$33)</f>
        <v>0</v>
      </c>
      <c r="W33" s="12">
        <f>$U$33+$V$33</f>
        <v>0</v>
      </c>
    </row>
    <row r="34" spans="1:23" x14ac:dyDescent="0.3">
      <c r="A34" s="13" t="s">
        <v>120</v>
      </c>
      <c r="B34" s="14" t="s">
        <v>121</v>
      </c>
      <c r="C34" s="14"/>
      <c r="D34" s="14" t="s">
        <v>122</v>
      </c>
      <c r="E34" s="14">
        <f xml:space="preserve"> IF($W$34,1,0)</f>
        <v>0</v>
      </c>
      <c r="F34" s="14" t="s">
        <v>123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5">
        <v>0</v>
      </c>
      <c r="R34" s="15">
        <v>0</v>
      </c>
      <c r="S34" s="15">
        <v>0</v>
      </c>
      <c r="T34" s="15">
        <v>0</v>
      </c>
      <c r="U34" s="15">
        <f>$G$34*$G$8+$H$34*$H$8+$I$34*$I$8+$J$34*$J$8+$K$34*$K$8+$L$34*$L$8+$M$34*$M$8+$N$34*$N$8+$O$34*$O$8+$P$34*$P$8</f>
        <v>0</v>
      </c>
      <c r="V34" s="15">
        <f>SUM($Q$34:$T$34)</f>
        <v>0</v>
      </c>
      <c r="W34" s="15">
        <f>$U$34+$V$34</f>
        <v>0</v>
      </c>
    </row>
    <row r="35" spans="1:23" x14ac:dyDescent="0.3">
      <c r="A35" s="10" t="s">
        <v>124</v>
      </c>
      <c r="B35" s="11" t="s">
        <v>125</v>
      </c>
      <c r="C35" s="11"/>
      <c r="D35" s="11" t="s">
        <v>126</v>
      </c>
      <c r="E35" s="11">
        <f xml:space="preserve"> IF($W$35,1,0)</f>
        <v>0</v>
      </c>
      <c r="F35" s="11" t="s">
        <v>127</v>
      </c>
      <c r="G35" s="11">
        <v>0</v>
      </c>
      <c r="H35" s="11">
        <v>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0</v>
      </c>
      <c r="Q35" s="12">
        <v>0</v>
      </c>
      <c r="R35" s="12">
        <v>0</v>
      </c>
      <c r="S35" s="12">
        <v>0</v>
      </c>
      <c r="T35" s="12">
        <v>0</v>
      </c>
      <c r="U35" s="12">
        <f>$G$35*$G$8+$H$35*$H$8+$I$35*$I$8+$J$35*$J$8+$K$35*$K$8+$L$35*$L$8+$M$35*$M$8+$N$35*$N$8+$O$35*$O$8+$P$35*$P$8</f>
        <v>0</v>
      </c>
      <c r="V35" s="12">
        <f>SUM($Q$35:$T$35)</f>
        <v>0</v>
      </c>
      <c r="W35" s="12">
        <f>$U$35+$V$35</f>
        <v>0</v>
      </c>
    </row>
    <row r="36" spans="1:23" x14ac:dyDescent="0.3">
      <c r="A36" s="13" t="s">
        <v>128</v>
      </c>
      <c r="B36" s="14" t="s">
        <v>129</v>
      </c>
      <c r="C36" s="14" t="s">
        <v>34</v>
      </c>
      <c r="D36" s="14" t="s">
        <v>130</v>
      </c>
      <c r="E36" s="14">
        <f xml:space="preserve"> IF($W$36,1,0)</f>
        <v>1</v>
      </c>
      <c r="F36" s="14" t="s">
        <v>131</v>
      </c>
      <c r="G36" s="14">
        <v>0</v>
      </c>
      <c r="H36" s="14">
        <v>4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5">
        <v>0</v>
      </c>
      <c r="R36" s="15">
        <v>0</v>
      </c>
      <c r="S36" s="15">
        <v>0</v>
      </c>
      <c r="T36" s="15">
        <v>0</v>
      </c>
      <c r="U36" s="15">
        <f>$G$36*$G$8+$H$36*$H$8+$I$36*$I$8+$J$36*$J$8+$K$36*$K$8+$L$36*$L$8+$M$36*$M$8+$N$36*$N$8+$O$36*$O$8+$P$36*$P$8</f>
        <v>7.2</v>
      </c>
      <c r="V36" s="15">
        <f>SUM($Q$36:$T$36)</f>
        <v>0</v>
      </c>
      <c r="W36" s="15">
        <f>$U$36+$V$36</f>
        <v>7.2</v>
      </c>
    </row>
    <row r="37" spans="1:23" x14ac:dyDescent="0.3">
      <c r="A37" s="10" t="s">
        <v>132</v>
      </c>
      <c r="B37" s="11" t="s">
        <v>133</v>
      </c>
      <c r="C37" s="11"/>
      <c r="D37" s="11" t="s">
        <v>134</v>
      </c>
      <c r="E37" s="11">
        <f xml:space="preserve"> IF($W$37,1,0)</f>
        <v>0</v>
      </c>
      <c r="F37" s="11" t="s">
        <v>135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2">
        <v>0</v>
      </c>
      <c r="R37" s="12">
        <v>0</v>
      </c>
      <c r="S37" s="12">
        <v>0</v>
      </c>
      <c r="T37" s="12">
        <v>0</v>
      </c>
      <c r="U37" s="12">
        <f>$G$37*$G$8+$H$37*$H$8+$I$37*$I$8+$J$37*$J$8+$K$37*$K$8+$L$37*$L$8+$M$37*$M$8+$N$37*$N$8+$O$37*$O$8+$P$37*$P$8</f>
        <v>0</v>
      </c>
      <c r="V37" s="12">
        <f>SUM($Q$37:$T$37)</f>
        <v>0</v>
      </c>
      <c r="W37" s="12">
        <f>$U$37+$V$37</f>
        <v>0</v>
      </c>
    </row>
    <row r="38" spans="1:23" x14ac:dyDescent="0.3">
      <c r="A38" s="13" t="s">
        <v>1280</v>
      </c>
      <c r="B38" s="14" t="s">
        <v>1281</v>
      </c>
      <c r="C38" s="14"/>
      <c r="D38" s="14" t="s">
        <v>1250</v>
      </c>
      <c r="E38" s="14">
        <f xml:space="preserve"> IF($W$38,1,0)</f>
        <v>0</v>
      </c>
      <c r="F38" s="14" t="s">
        <v>1282</v>
      </c>
      <c r="G38" s="14">
        <v>0</v>
      </c>
      <c r="H38" s="14">
        <v>0</v>
      </c>
      <c r="I38" s="14">
        <v>0</v>
      </c>
      <c r="J38" s="14">
        <v>0</v>
      </c>
      <c r="K38" s="14">
        <v>0</v>
      </c>
      <c r="L38" s="14">
        <v>0</v>
      </c>
      <c r="M38" s="14">
        <v>0</v>
      </c>
      <c r="N38" s="14">
        <v>0</v>
      </c>
      <c r="O38" s="14">
        <v>0</v>
      </c>
      <c r="P38" s="14">
        <v>0</v>
      </c>
      <c r="Q38" s="15">
        <v>0</v>
      </c>
      <c r="R38" s="15">
        <v>0</v>
      </c>
      <c r="S38" s="15">
        <v>0</v>
      </c>
      <c r="T38" s="15">
        <v>0</v>
      </c>
      <c r="U38" s="15">
        <f>$G$38*$G$8+$H$38*$H$8+$I$38*$I$8+$J$38*$J$8+$K$38*$K$8+$L$38*$L$8+$M$38*$M$8+$N$38*$N$8+$O$38*$O$8+$P$38*$P$8</f>
        <v>0</v>
      </c>
      <c r="V38" s="15">
        <f>SUM($Q$38:$T$38)</f>
        <v>0</v>
      </c>
      <c r="W38" s="15">
        <f>$U$38+$V$38</f>
        <v>0</v>
      </c>
    </row>
    <row r="39" spans="1:23" x14ac:dyDescent="0.3">
      <c r="A39" s="10" t="s">
        <v>136</v>
      </c>
      <c r="B39" s="11" t="s">
        <v>137</v>
      </c>
      <c r="C39" s="11"/>
      <c r="D39" s="11" t="s">
        <v>138</v>
      </c>
      <c r="E39" s="11">
        <f xml:space="preserve"> IF($W$39,1,0)</f>
        <v>0</v>
      </c>
      <c r="F39" s="11" t="s">
        <v>139</v>
      </c>
      <c r="G39" s="11">
        <v>0</v>
      </c>
      <c r="H39" s="11">
        <v>0</v>
      </c>
      <c r="I39" s="11">
        <v>0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2">
        <v>0</v>
      </c>
      <c r="R39" s="12">
        <v>0</v>
      </c>
      <c r="S39" s="12">
        <v>0</v>
      </c>
      <c r="T39" s="12">
        <v>0</v>
      </c>
      <c r="U39" s="12">
        <f>$G$39*$G$8+$H$39*$H$8+$I$39*$I$8+$J$39*$J$8+$K$39*$K$8+$L$39*$L$8+$M$39*$M$8+$N$39*$N$8+$O$39*$O$8+$P$39*$P$8</f>
        <v>0</v>
      </c>
      <c r="V39" s="12">
        <f>SUM($Q$39:$T$39)</f>
        <v>0</v>
      </c>
      <c r="W39" s="12">
        <f>$U$39+$V$39</f>
        <v>0</v>
      </c>
    </row>
    <row r="40" spans="1:23" x14ac:dyDescent="0.3">
      <c r="A40" s="13" t="s">
        <v>140</v>
      </c>
      <c r="B40" s="14" t="s">
        <v>141</v>
      </c>
      <c r="C40" s="14"/>
      <c r="D40" s="14" t="s">
        <v>142</v>
      </c>
      <c r="E40" s="14">
        <f xml:space="preserve"> IF($W$40,1,0)</f>
        <v>0</v>
      </c>
      <c r="F40" s="14" t="s">
        <v>143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5">
        <v>0</v>
      </c>
      <c r="R40" s="15">
        <v>0</v>
      </c>
      <c r="S40" s="15">
        <v>0</v>
      </c>
      <c r="T40" s="15">
        <v>0</v>
      </c>
      <c r="U40" s="15">
        <f>$G$40*$G$8+$H$40*$H$8+$I$40*$I$8+$J$40*$J$8+$K$40*$K$8+$L$40*$L$8+$M$40*$M$8+$N$40*$N$8+$O$40*$O$8+$P$40*$P$8</f>
        <v>0</v>
      </c>
      <c r="V40" s="15">
        <f>SUM($Q$40:$T$40)</f>
        <v>0</v>
      </c>
      <c r="W40" s="15">
        <f>$U$40+$V$40</f>
        <v>0</v>
      </c>
    </row>
    <row r="41" spans="1:23" x14ac:dyDescent="0.3">
      <c r="A41" s="10" t="s">
        <v>144</v>
      </c>
      <c r="B41" s="11" t="s">
        <v>145</v>
      </c>
      <c r="C41" s="11"/>
      <c r="D41" s="11" t="s">
        <v>146</v>
      </c>
      <c r="E41" s="11">
        <f xml:space="preserve"> IF($W$41,1,0)</f>
        <v>0</v>
      </c>
      <c r="F41" s="11" t="s">
        <v>147</v>
      </c>
      <c r="G41" s="11">
        <v>0</v>
      </c>
      <c r="H41" s="11">
        <v>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2">
        <v>0</v>
      </c>
      <c r="R41" s="12">
        <v>0</v>
      </c>
      <c r="S41" s="12">
        <v>0</v>
      </c>
      <c r="T41" s="12">
        <v>0</v>
      </c>
      <c r="U41" s="12">
        <f>$G$41*$G$8+$H$41*$H$8+$I$41*$I$8+$J$41*$J$8+$K$41*$K$8+$L$41*$L$8+$M$41*$M$8+$N$41*$N$8+$O$41*$O$8+$P$41*$P$8</f>
        <v>0</v>
      </c>
      <c r="V41" s="12">
        <f>SUM($Q$41:$T$41)</f>
        <v>0</v>
      </c>
      <c r="W41" s="12">
        <f>$U$41+$V$41</f>
        <v>0</v>
      </c>
    </row>
    <row r="42" spans="1:23" x14ac:dyDescent="0.3">
      <c r="A42" s="13" t="s">
        <v>148</v>
      </c>
      <c r="B42" s="14" t="s">
        <v>149</v>
      </c>
      <c r="C42" s="14"/>
      <c r="D42" s="14" t="s">
        <v>150</v>
      </c>
      <c r="E42" s="14">
        <f xml:space="preserve"> IF($W$42,1,0)</f>
        <v>0</v>
      </c>
      <c r="F42" s="14" t="s">
        <v>151</v>
      </c>
      <c r="G42" s="14">
        <v>0</v>
      </c>
      <c r="H42" s="14">
        <v>0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0</v>
      </c>
      <c r="Q42" s="15">
        <v>0</v>
      </c>
      <c r="R42" s="15">
        <v>0</v>
      </c>
      <c r="S42" s="15">
        <v>0</v>
      </c>
      <c r="T42" s="15">
        <v>0</v>
      </c>
      <c r="U42" s="15">
        <f>$G$42*$G$8+$H$42*$H$8+$I$42*$I$8+$J$42*$J$8+$K$42*$K$8+$L$42*$L$8+$M$42*$M$8+$N$42*$N$8+$O$42*$O$8+$P$42*$P$8</f>
        <v>0</v>
      </c>
      <c r="V42" s="15">
        <f>SUM($Q$42:$T$42)</f>
        <v>0</v>
      </c>
      <c r="W42" s="15">
        <f>$U$42+$V$42</f>
        <v>0</v>
      </c>
    </row>
    <row r="43" spans="1:23" x14ac:dyDescent="0.3">
      <c r="A43" s="10" t="s">
        <v>152</v>
      </c>
      <c r="B43" s="11" t="s">
        <v>153</v>
      </c>
      <c r="C43" s="11"/>
      <c r="D43" s="11" t="s">
        <v>154</v>
      </c>
      <c r="E43" s="11">
        <f xml:space="preserve"> IF($W$43,1,0)</f>
        <v>0</v>
      </c>
      <c r="F43" s="11" t="s">
        <v>155</v>
      </c>
      <c r="G43" s="11">
        <v>0</v>
      </c>
      <c r="H43" s="11">
        <v>0</v>
      </c>
      <c r="I43" s="11">
        <v>0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2">
        <v>0</v>
      </c>
      <c r="R43" s="12">
        <v>0</v>
      </c>
      <c r="S43" s="12">
        <v>0</v>
      </c>
      <c r="T43" s="12">
        <v>0</v>
      </c>
      <c r="U43" s="12">
        <f>$G$43*$G$8+$H$43*$H$8+$I$43*$I$8+$J$43*$J$8+$K$43*$K$8+$L$43*$L$8+$M$43*$M$8+$N$43*$N$8+$O$43*$O$8+$P$43*$P$8</f>
        <v>0</v>
      </c>
      <c r="V43" s="12">
        <f>SUM($Q$43:$T$43)</f>
        <v>0</v>
      </c>
      <c r="W43" s="12">
        <f>$U$43+$V$43</f>
        <v>0</v>
      </c>
    </row>
    <row r="44" spans="1:23" x14ac:dyDescent="0.3">
      <c r="A44" s="13" t="s">
        <v>156</v>
      </c>
      <c r="B44" s="14" t="s">
        <v>157</v>
      </c>
      <c r="C44" s="14" t="s">
        <v>65</v>
      </c>
      <c r="D44" s="14" t="s">
        <v>158</v>
      </c>
      <c r="E44" s="14">
        <f xml:space="preserve"> IF($W$44,1,0)</f>
        <v>0</v>
      </c>
      <c r="F44" s="14" t="s">
        <v>159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14">
        <v>0</v>
      </c>
      <c r="P44" s="14">
        <v>0</v>
      </c>
      <c r="Q44" s="15">
        <v>0</v>
      </c>
      <c r="R44" s="15">
        <v>0</v>
      </c>
      <c r="S44" s="15">
        <v>0</v>
      </c>
      <c r="T44" s="15">
        <v>0</v>
      </c>
      <c r="U44" s="15">
        <f>$G$44*$G$8+$H$44*$H$8+$I$44*$I$8+$J$44*$J$8+$K$44*$K$8+$L$44*$L$8+$M$44*$M$8+$N$44*$N$8+$O$44*$O$8+$P$44*$P$8</f>
        <v>0</v>
      </c>
      <c r="V44" s="15">
        <f>SUM($Q$44:$T$44)</f>
        <v>0</v>
      </c>
      <c r="W44" s="15">
        <f>$U$44+$V$44</f>
        <v>0</v>
      </c>
    </row>
    <row r="45" spans="1:23" x14ac:dyDescent="0.3">
      <c r="A45" s="10" t="s">
        <v>160</v>
      </c>
      <c r="B45" s="11" t="s">
        <v>161</v>
      </c>
      <c r="C45" s="11"/>
      <c r="D45" s="11" t="s">
        <v>162</v>
      </c>
      <c r="E45" s="11">
        <f xml:space="preserve"> IF($W$45,1,0)</f>
        <v>0</v>
      </c>
      <c r="F45" s="11" t="s">
        <v>163</v>
      </c>
      <c r="G45" s="11">
        <v>0</v>
      </c>
      <c r="H45" s="11">
        <v>0</v>
      </c>
      <c r="I45" s="11">
        <v>0</v>
      </c>
      <c r="J45" s="11">
        <v>0</v>
      </c>
      <c r="K45" s="11">
        <v>0</v>
      </c>
      <c r="L45" s="11">
        <v>0</v>
      </c>
      <c r="M45" s="11">
        <v>0</v>
      </c>
      <c r="N45" s="11">
        <v>0</v>
      </c>
      <c r="O45" s="11">
        <v>0</v>
      </c>
      <c r="P45" s="11">
        <v>0</v>
      </c>
      <c r="Q45" s="12">
        <v>0</v>
      </c>
      <c r="R45" s="12">
        <v>0</v>
      </c>
      <c r="S45" s="12">
        <v>0</v>
      </c>
      <c r="T45" s="12">
        <v>0</v>
      </c>
      <c r="U45" s="12">
        <f>$G$45*$G$8+$H$45*$H$8+$I$45*$I$8+$J$45*$J$8+$K$45*$K$8+$L$45*$L$8+$M$45*$M$8+$N$45*$N$8+$O$45*$O$8+$P$45*$P$8</f>
        <v>0</v>
      </c>
      <c r="V45" s="12">
        <f>SUM($Q$45:$T$45)</f>
        <v>0</v>
      </c>
      <c r="W45" s="12">
        <f>$U$45+$V$45</f>
        <v>0</v>
      </c>
    </row>
    <row r="46" spans="1:23" x14ac:dyDescent="0.3">
      <c r="A46" s="13" t="s">
        <v>164</v>
      </c>
      <c r="B46" s="14" t="s">
        <v>165</v>
      </c>
      <c r="C46" s="14"/>
      <c r="D46" s="14" t="s">
        <v>166</v>
      </c>
      <c r="E46" s="14">
        <f xml:space="preserve"> IF($W$46,1,0)</f>
        <v>0</v>
      </c>
      <c r="F46" s="14" t="s">
        <v>167</v>
      </c>
      <c r="G46" s="14">
        <v>0</v>
      </c>
      <c r="H46" s="14">
        <v>0</v>
      </c>
      <c r="I46" s="14">
        <v>0</v>
      </c>
      <c r="J46" s="14">
        <v>0</v>
      </c>
      <c r="K46" s="14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5">
        <v>0</v>
      </c>
      <c r="R46" s="15">
        <v>0</v>
      </c>
      <c r="S46" s="15">
        <v>0</v>
      </c>
      <c r="T46" s="15">
        <v>0</v>
      </c>
      <c r="U46" s="15">
        <f>$G$46*$G$8+$H$46*$H$8+$I$46*$I$8+$J$46*$J$8+$K$46*$K$8+$L$46*$L$8+$M$46*$M$8+$N$46*$N$8+$O$46*$O$8+$P$46*$P$8</f>
        <v>0</v>
      </c>
      <c r="V46" s="15">
        <f>SUM($Q$46:$T$46)</f>
        <v>0</v>
      </c>
      <c r="W46" s="15">
        <f>$U$46+$V$46</f>
        <v>0</v>
      </c>
    </row>
    <row r="47" spans="1:23" x14ac:dyDescent="0.3">
      <c r="A47" s="10" t="s">
        <v>168</v>
      </c>
      <c r="B47" s="11" t="s">
        <v>169</v>
      </c>
      <c r="C47" s="11" t="s">
        <v>65</v>
      </c>
      <c r="D47" s="11" t="s">
        <v>170</v>
      </c>
      <c r="E47" s="11">
        <f xml:space="preserve"> IF($W$47,1,0)</f>
        <v>0</v>
      </c>
      <c r="F47" s="11" t="s">
        <v>171</v>
      </c>
      <c r="G47" s="11">
        <v>0</v>
      </c>
      <c r="H47" s="11">
        <v>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2">
        <v>0</v>
      </c>
      <c r="R47" s="12">
        <v>0</v>
      </c>
      <c r="S47" s="12">
        <v>0</v>
      </c>
      <c r="T47" s="12">
        <v>0</v>
      </c>
      <c r="U47" s="12">
        <f>$G$47*$G$8+$H$47*$H$8+$I$47*$I$8+$J$47*$J$8+$K$47*$K$8+$L$47*$L$8+$M$47*$M$8+$N$47*$N$8+$O$47*$O$8+$P$47*$P$8</f>
        <v>0</v>
      </c>
      <c r="V47" s="12">
        <f>SUM($Q$47:$T$47)</f>
        <v>0</v>
      </c>
      <c r="W47" s="12">
        <f>$U$47+$V$47</f>
        <v>0</v>
      </c>
    </row>
    <row r="48" spans="1:23" x14ac:dyDescent="0.3">
      <c r="A48" s="13" t="s">
        <v>172</v>
      </c>
      <c r="B48" s="14" t="s">
        <v>173</v>
      </c>
      <c r="C48" s="14"/>
      <c r="D48" s="14" t="s">
        <v>174</v>
      </c>
      <c r="E48" s="14">
        <f xml:space="preserve"> IF($W$48,1,0)</f>
        <v>0</v>
      </c>
      <c r="F48" s="14" t="s">
        <v>175</v>
      </c>
      <c r="G48" s="14">
        <v>0</v>
      </c>
      <c r="H48" s="14">
        <v>0</v>
      </c>
      <c r="I48" s="14">
        <v>0</v>
      </c>
      <c r="J48" s="14">
        <v>0</v>
      </c>
      <c r="K48" s="14">
        <v>0</v>
      </c>
      <c r="L48" s="14">
        <v>0</v>
      </c>
      <c r="M48" s="14">
        <v>0</v>
      </c>
      <c r="N48" s="14">
        <v>0</v>
      </c>
      <c r="O48" s="14">
        <v>0</v>
      </c>
      <c r="P48" s="14">
        <v>0</v>
      </c>
      <c r="Q48" s="15">
        <v>0</v>
      </c>
      <c r="R48" s="15">
        <v>0</v>
      </c>
      <c r="S48" s="15">
        <v>0</v>
      </c>
      <c r="T48" s="15">
        <v>0</v>
      </c>
      <c r="U48" s="15">
        <f>$G$48*$G$8+$H$48*$H$8+$I$48*$I$8+$J$48*$J$8+$K$48*$K$8+$L$48*$L$8+$M$48*$M$8+$N$48*$N$8+$O$48*$O$8+$P$48*$P$8</f>
        <v>0</v>
      </c>
      <c r="V48" s="15">
        <f>SUM($Q$48:$T$48)</f>
        <v>0</v>
      </c>
      <c r="W48" s="15">
        <f>$U$48+$V$48</f>
        <v>0</v>
      </c>
    </row>
    <row r="49" spans="1:23" x14ac:dyDescent="0.3">
      <c r="A49" s="10" t="s">
        <v>176</v>
      </c>
      <c r="B49" s="11" t="s">
        <v>177</v>
      </c>
      <c r="C49" s="11"/>
      <c r="D49" s="11" t="s">
        <v>178</v>
      </c>
      <c r="E49" s="11">
        <f xml:space="preserve"> IF($W$49,1,0)</f>
        <v>0</v>
      </c>
      <c r="F49" s="11" t="s">
        <v>179</v>
      </c>
      <c r="G49" s="11">
        <v>0</v>
      </c>
      <c r="H49" s="11">
        <v>0</v>
      </c>
      <c r="I49" s="11">
        <v>0</v>
      </c>
      <c r="J49" s="11">
        <v>0</v>
      </c>
      <c r="K49" s="11">
        <v>0</v>
      </c>
      <c r="L49" s="11">
        <v>0</v>
      </c>
      <c r="M49" s="11">
        <v>0</v>
      </c>
      <c r="N49" s="11">
        <v>0</v>
      </c>
      <c r="O49" s="11">
        <v>0</v>
      </c>
      <c r="P49" s="11">
        <v>0</v>
      </c>
      <c r="Q49" s="12">
        <v>0</v>
      </c>
      <c r="R49" s="12">
        <v>0</v>
      </c>
      <c r="S49" s="12">
        <v>0</v>
      </c>
      <c r="T49" s="12">
        <v>0</v>
      </c>
      <c r="U49" s="12">
        <f>$G$49*$G$8+$H$49*$H$8+$I$49*$I$8+$J$49*$J$8+$K$49*$K$8+$L$49*$L$8+$M$49*$M$8+$N$49*$N$8+$O$49*$O$8+$P$49*$P$8</f>
        <v>0</v>
      </c>
      <c r="V49" s="12">
        <f>SUM($Q$49:$T$49)</f>
        <v>0</v>
      </c>
      <c r="W49" s="12">
        <f>$U$49+$V$49</f>
        <v>0</v>
      </c>
    </row>
    <row r="50" spans="1:23" x14ac:dyDescent="0.3">
      <c r="A50" s="13" t="s">
        <v>180</v>
      </c>
      <c r="B50" s="14" t="s">
        <v>177</v>
      </c>
      <c r="C50" s="14"/>
      <c r="D50" s="14" t="s">
        <v>181</v>
      </c>
      <c r="E50" s="14">
        <f xml:space="preserve"> IF($W$50,1,0)</f>
        <v>1</v>
      </c>
      <c r="F50" s="14" t="s">
        <v>182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  <c r="M50" s="14">
        <v>0</v>
      </c>
      <c r="N50" s="14">
        <v>0</v>
      </c>
      <c r="O50" s="14">
        <v>0</v>
      </c>
      <c r="P50" s="14">
        <v>0</v>
      </c>
      <c r="Q50" s="15">
        <v>0</v>
      </c>
      <c r="R50" s="15">
        <v>0</v>
      </c>
      <c r="S50" s="15">
        <v>0</v>
      </c>
      <c r="T50" s="15">
        <f>$V$345</f>
        <v>5</v>
      </c>
      <c r="U50" s="15">
        <f>$G$50*$G$8+$H$50*$H$8+$I$50*$I$8+$J$50*$J$8+$K$50*$K$8+$L$50*$L$8+$M$50*$M$8+$N$50*$N$8+$O$50*$O$8+$P$50*$P$8</f>
        <v>0</v>
      </c>
      <c r="V50" s="15">
        <f>SUM($Q$50:$T$50)</f>
        <v>5</v>
      </c>
      <c r="W50" s="15">
        <f>$U$50+$V$50</f>
        <v>5</v>
      </c>
    </row>
    <row r="51" spans="1:23" x14ac:dyDescent="0.3">
      <c r="A51" s="10" t="s">
        <v>183</v>
      </c>
      <c r="B51" s="11" t="s">
        <v>177</v>
      </c>
      <c r="C51" s="11"/>
      <c r="D51" s="11" t="s">
        <v>184</v>
      </c>
      <c r="E51" s="11">
        <f xml:space="preserve"> IF($W$51,1,0)</f>
        <v>0</v>
      </c>
      <c r="F51" s="11" t="s">
        <v>185</v>
      </c>
      <c r="G51" s="11">
        <v>0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2">
        <v>0</v>
      </c>
      <c r="R51" s="12">
        <v>0</v>
      </c>
      <c r="S51" s="12">
        <v>0</v>
      </c>
      <c r="T51" s="12">
        <v>0</v>
      </c>
      <c r="U51" s="12">
        <f>$G$51*$G$8+$H$51*$H$8+$I$51*$I$8+$J$51*$J$8+$K$51*$K$8+$L$51*$L$8+$M$51*$M$8+$N$51*$N$8+$O$51*$O$8+$P$51*$P$8</f>
        <v>0</v>
      </c>
      <c r="V51" s="12">
        <f>SUM($Q$51:$T$51)</f>
        <v>0</v>
      </c>
      <c r="W51" s="12">
        <f>$U$51+$V$51</f>
        <v>0</v>
      </c>
    </row>
    <row r="52" spans="1:23" x14ac:dyDescent="0.3">
      <c r="A52" s="13" t="s">
        <v>186</v>
      </c>
      <c r="B52" s="14" t="s">
        <v>177</v>
      </c>
      <c r="C52" s="14"/>
      <c r="D52" s="14" t="s">
        <v>187</v>
      </c>
      <c r="E52" s="14">
        <f xml:space="preserve"> IF($W$52,1,0)</f>
        <v>0</v>
      </c>
      <c r="F52" s="14" t="s">
        <v>188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5">
        <v>0</v>
      </c>
      <c r="R52" s="15">
        <v>0</v>
      </c>
      <c r="S52" s="15">
        <v>0</v>
      </c>
      <c r="T52" s="15">
        <v>0</v>
      </c>
      <c r="U52" s="15">
        <f>$G$52*$G$8+$H$52*$H$8+$I$52*$I$8+$J$52*$J$8+$K$52*$K$8+$L$52*$L$8+$M$52*$M$8+$N$52*$N$8+$O$52*$O$8+$P$52*$P$8</f>
        <v>0</v>
      </c>
      <c r="V52" s="15">
        <f>SUM($Q$52:$T$52)</f>
        <v>0</v>
      </c>
      <c r="W52" s="15">
        <f>$U$52+$V$52</f>
        <v>0</v>
      </c>
    </row>
    <row r="53" spans="1:23" x14ac:dyDescent="0.3">
      <c r="A53" s="10" t="s">
        <v>189</v>
      </c>
      <c r="B53" s="11" t="s">
        <v>177</v>
      </c>
      <c r="C53" s="11"/>
      <c r="D53" s="11" t="s">
        <v>190</v>
      </c>
      <c r="E53" s="11">
        <f xml:space="preserve"> IF($W$53,1,0)</f>
        <v>0</v>
      </c>
      <c r="F53" s="11" t="s">
        <v>191</v>
      </c>
      <c r="G53" s="11">
        <v>0</v>
      </c>
      <c r="H53" s="11">
        <v>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2">
        <v>0</v>
      </c>
      <c r="R53" s="12">
        <v>0</v>
      </c>
      <c r="S53" s="12">
        <v>0</v>
      </c>
      <c r="T53" s="12">
        <v>0</v>
      </c>
      <c r="U53" s="12">
        <f>$G$53*$G$8+$H$53*$H$8+$I$53*$I$8+$J$53*$J$8+$K$53*$K$8+$L$53*$L$8+$M$53*$M$8+$N$53*$N$8+$O$53*$O$8+$P$53*$P$8</f>
        <v>0</v>
      </c>
      <c r="V53" s="12">
        <f>SUM($Q$53:$T$53)</f>
        <v>0</v>
      </c>
      <c r="W53" s="12">
        <f>$U$53+$V$53</f>
        <v>0</v>
      </c>
    </row>
    <row r="54" spans="1:23" x14ac:dyDescent="0.3">
      <c r="A54" s="13" t="s">
        <v>192</v>
      </c>
      <c r="B54" s="14" t="s">
        <v>177</v>
      </c>
      <c r="C54" s="14"/>
      <c r="D54" s="14" t="s">
        <v>193</v>
      </c>
      <c r="E54" s="14">
        <f xml:space="preserve"> IF($W$54,1,0)</f>
        <v>0</v>
      </c>
      <c r="F54" s="14" t="s">
        <v>194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5">
        <v>0</v>
      </c>
      <c r="R54" s="15">
        <v>0</v>
      </c>
      <c r="S54" s="15">
        <v>0</v>
      </c>
      <c r="T54" s="15">
        <v>0</v>
      </c>
      <c r="U54" s="15">
        <f>$G$54*$G$8+$H$54*$H$8+$I$54*$I$8+$J$54*$J$8+$K$54*$K$8+$L$54*$L$8+$M$54*$M$8+$N$54*$N$8+$O$54*$O$8+$P$54*$P$8</f>
        <v>0</v>
      </c>
      <c r="V54" s="15">
        <f>SUM($Q$54:$T$54)</f>
        <v>0</v>
      </c>
      <c r="W54" s="15">
        <f>$U$54+$V$54</f>
        <v>0</v>
      </c>
    </row>
    <row r="55" spans="1:23" x14ac:dyDescent="0.3">
      <c r="A55" s="10" t="s">
        <v>195</v>
      </c>
      <c r="B55" s="11" t="s">
        <v>177</v>
      </c>
      <c r="C55" s="11"/>
      <c r="D55" s="11" t="s">
        <v>196</v>
      </c>
      <c r="E55" s="11">
        <f xml:space="preserve"> IF($W$55,1,0)</f>
        <v>0</v>
      </c>
      <c r="F55" s="11" t="s">
        <v>197</v>
      </c>
      <c r="G55" s="11">
        <v>0</v>
      </c>
      <c r="H55" s="11">
        <v>0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2">
        <v>0</v>
      </c>
      <c r="R55" s="12">
        <v>0</v>
      </c>
      <c r="S55" s="12">
        <v>0</v>
      </c>
      <c r="T55" s="12">
        <v>0</v>
      </c>
      <c r="U55" s="12">
        <f>$G$55*$G$8+$H$55*$H$8+$I$55*$I$8+$J$55*$J$8+$K$55*$K$8+$L$55*$L$8+$M$55*$M$8+$N$55*$N$8+$O$55*$O$8+$P$55*$P$8</f>
        <v>0</v>
      </c>
      <c r="V55" s="12">
        <f>SUM($Q$55:$T$55)</f>
        <v>0</v>
      </c>
      <c r="W55" s="12">
        <f>$U$55+$V$55</f>
        <v>0</v>
      </c>
    </row>
    <row r="56" spans="1:23" x14ac:dyDescent="0.3">
      <c r="A56" s="13" t="s">
        <v>198</v>
      </c>
      <c r="B56" s="14" t="s">
        <v>177</v>
      </c>
      <c r="C56" s="14" t="s">
        <v>65</v>
      </c>
      <c r="D56" s="14" t="s">
        <v>199</v>
      </c>
      <c r="E56" s="14">
        <f xml:space="preserve"> IF($W$56,1,0)</f>
        <v>0</v>
      </c>
      <c r="F56" s="14" t="s">
        <v>200</v>
      </c>
      <c r="G56" s="14">
        <v>0</v>
      </c>
      <c r="H56" s="14">
        <v>0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5">
        <v>0</v>
      </c>
      <c r="R56" s="15">
        <v>0</v>
      </c>
      <c r="S56" s="15">
        <v>0</v>
      </c>
      <c r="T56" s="15">
        <v>0</v>
      </c>
      <c r="U56" s="15">
        <f>$G$56*$G$8+$H$56*$H$8+$I$56*$I$8+$J$56*$J$8+$K$56*$K$8+$L$56*$L$8+$M$56*$M$8+$N$56*$N$8+$O$56*$O$8+$P$56*$P$8</f>
        <v>0</v>
      </c>
      <c r="V56" s="15">
        <f>SUM($Q$56:$T$56)</f>
        <v>0</v>
      </c>
      <c r="W56" s="15">
        <f>$U$56+$V$56</f>
        <v>0</v>
      </c>
    </row>
    <row r="57" spans="1:23" x14ac:dyDescent="0.3">
      <c r="A57" s="10" t="s">
        <v>201</v>
      </c>
      <c r="B57" s="11" t="s">
        <v>177</v>
      </c>
      <c r="C57" s="11" t="s">
        <v>202</v>
      </c>
      <c r="D57" s="11" t="s">
        <v>203</v>
      </c>
      <c r="E57" s="11">
        <f xml:space="preserve"> IF($W$57,1,0)</f>
        <v>0</v>
      </c>
      <c r="F57" s="11" t="s">
        <v>204</v>
      </c>
      <c r="G57" s="11">
        <v>0</v>
      </c>
      <c r="H57" s="11">
        <v>0</v>
      </c>
      <c r="I57" s="11">
        <v>0</v>
      </c>
      <c r="J57" s="11">
        <v>0</v>
      </c>
      <c r="K57" s="11">
        <v>0</v>
      </c>
      <c r="L57" s="11">
        <v>0</v>
      </c>
      <c r="M57" s="11">
        <v>0</v>
      </c>
      <c r="N57" s="11">
        <v>0</v>
      </c>
      <c r="O57" s="11">
        <v>0</v>
      </c>
      <c r="P57" s="11">
        <v>0</v>
      </c>
      <c r="Q57" s="12">
        <v>0</v>
      </c>
      <c r="R57" s="12">
        <v>0</v>
      </c>
      <c r="S57" s="12">
        <v>0</v>
      </c>
      <c r="T57" s="12">
        <v>0</v>
      </c>
      <c r="U57" s="12">
        <f>$G$57*$G$8+$H$57*$H$8+$I$57*$I$8+$J$57*$J$8+$K$57*$K$8+$L$57*$L$8+$M$57*$M$8+$N$57*$N$8+$O$57*$O$8+$P$57*$P$8</f>
        <v>0</v>
      </c>
      <c r="V57" s="12">
        <f>SUM($Q$57:$T$57)</f>
        <v>0</v>
      </c>
      <c r="W57" s="12">
        <f>$U$57+$V$57</f>
        <v>0</v>
      </c>
    </row>
    <row r="58" spans="1:23" x14ac:dyDescent="0.3">
      <c r="A58" s="13" t="s">
        <v>205</v>
      </c>
      <c r="B58" s="14" t="s">
        <v>206</v>
      </c>
      <c r="C58" s="14"/>
      <c r="D58" s="14" t="s">
        <v>207</v>
      </c>
      <c r="E58" s="14">
        <f xml:space="preserve"> IF($W$58,1,0)</f>
        <v>0</v>
      </c>
      <c r="F58" s="14" t="s">
        <v>208</v>
      </c>
      <c r="G58" s="14">
        <v>0</v>
      </c>
      <c r="H58" s="14">
        <v>0</v>
      </c>
      <c r="I58" s="14">
        <v>0</v>
      </c>
      <c r="J58" s="14">
        <v>0</v>
      </c>
      <c r="K58" s="14">
        <v>0</v>
      </c>
      <c r="L58" s="14">
        <v>0</v>
      </c>
      <c r="M58" s="14">
        <v>0</v>
      </c>
      <c r="N58" s="14">
        <v>0</v>
      </c>
      <c r="O58" s="14">
        <v>0</v>
      </c>
      <c r="P58" s="14">
        <v>0</v>
      </c>
      <c r="Q58" s="15">
        <v>0</v>
      </c>
      <c r="R58" s="15">
        <v>0</v>
      </c>
      <c r="S58" s="15">
        <v>0</v>
      </c>
      <c r="T58" s="15">
        <v>0</v>
      </c>
      <c r="U58" s="15">
        <f>$G$58*$G$8+$H$58*$H$8+$I$58*$I$8+$J$58*$J$8+$K$58*$K$8+$L$58*$L$8+$M$58*$M$8+$N$58*$N$8+$O$58*$O$8+$P$58*$P$8</f>
        <v>0</v>
      </c>
      <c r="V58" s="15">
        <f>SUM($Q$58:$T$58)</f>
        <v>0</v>
      </c>
      <c r="W58" s="15">
        <f>$U$58+$V$58</f>
        <v>0</v>
      </c>
    </row>
    <row r="59" spans="1:23" x14ac:dyDescent="0.3">
      <c r="A59" s="10" t="s">
        <v>209</v>
      </c>
      <c r="B59" s="11" t="s">
        <v>210</v>
      </c>
      <c r="C59" s="11"/>
      <c r="D59" s="11" t="s">
        <v>211</v>
      </c>
      <c r="E59" s="11">
        <f xml:space="preserve"> IF($W$59,1,0)</f>
        <v>0</v>
      </c>
      <c r="F59" s="11" t="s">
        <v>212</v>
      </c>
      <c r="G59" s="11">
        <v>0</v>
      </c>
      <c r="H59" s="11">
        <v>0</v>
      </c>
      <c r="I59" s="11">
        <v>0</v>
      </c>
      <c r="J59" s="11">
        <v>0</v>
      </c>
      <c r="K59" s="11">
        <v>0</v>
      </c>
      <c r="L59" s="11">
        <v>0</v>
      </c>
      <c r="M59" s="11">
        <v>0</v>
      </c>
      <c r="N59" s="11">
        <v>0</v>
      </c>
      <c r="O59" s="11">
        <v>0</v>
      </c>
      <c r="P59" s="11">
        <v>0</v>
      </c>
      <c r="Q59" s="12">
        <v>0</v>
      </c>
      <c r="R59" s="12">
        <v>0</v>
      </c>
      <c r="S59" s="12">
        <v>0</v>
      </c>
      <c r="T59" s="12">
        <v>0</v>
      </c>
      <c r="U59" s="12">
        <f>$G$59*$G$8+$H$59*$H$8+$I$59*$I$8+$J$59*$J$8+$K$59*$K$8+$L$59*$L$8+$M$59*$M$8+$N$59*$N$8+$O$59*$O$8+$P$59*$P$8</f>
        <v>0</v>
      </c>
      <c r="V59" s="12">
        <f>SUM($Q$59:$T$59)</f>
        <v>0</v>
      </c>
      <c r="W59" s="12">
        <f>$U$59+$V$59</f>
        <v>0</v>
      </c>
    </row>
    <row r="60" spans="1:23" x14ac:dyDescent="0.3">
      <c r="A60" s="13" t="s">
        <v>213</v>
      </c>
      <c r="B60" s="14" t="s">
        <v>210</v>
      </c>
      <c r="C60" s="14"/>
      <c r="D60" s="14" t="s">
        <v>214</v>
      </c>
      <c r="E60" s="14">
        <f xml:space="preserve"> IF($W$60,1,0)</f>
        <v>0</v>
      </c>
      <c r="F60" s="14" t="s">
        <v>215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0</v>
      </c>
      <c r="M60" s="14">
        <v>0</v>
      </c>
      <c r="N60" s="14">
        <v>0</v>
      </c>
      <c r="O60" s="14">
        <v>0</v>
      </c>
      <c r="P60" s="14">
        <v>0</v>
      </c>
      <c r="Q60" s="15">
        <v>0</v>
      </c>
      <c r="R60" s="15">
        <v>0</v>
      </c>
      <c r="S60" s="15">
        <v>0</v>
      </c>
      <c r="T60" s="15">
        <v>0</v>
      </c>
      <c r="U60" s="15">
        <f>$G$60*$G$8+$H$60*$H$8+$I$60*$I$8+$J$60*$J$8+$K$60*$K$8+$L$60*$L$8+$M$60*$M$8+$N$60*$N$8+$O$60*$O$8+$P$60*$P$8</f>
        <v>0</v>
      </c>
      <c r="V60" s="15">
        <f>SUM($Q$60:$T$60)</f>
        <v>0</v>
      </c>
      <c r="W60" s="15">
        <f>$U$60+$V$60</f>
        <v>0</v>
      </c>
    </row>
    <row r="61" spans="1:23" x14ac:dyDescent="0.3">
      <c r="A61" s="10" t="s">
        <v>216</v>
      </c>
      <c r="B61" s="11" t="s">
        <v>217</v>
      </c>
      <c r="C61" s="11"/>
      <c r="D61" s="11" t="s">
        <v>218</v>
      </c>
      <c r="E61" s="11">
        <f xml:space="preserve"> IF($W$61,1,0)</f>
        <v>0</v>
      </c>
      <c r="F61" s="11" t="s">
        <v>219</v>
      </c>
      <c r="G61" s="11">
        <v>0</v>
      </c>
      <c r="H61" s="11">
        <v>0</v>
      </c>
      <c r="I61" s="11">
        <v>0</v>
      </c>
      <c r="J61" s="11">
        <v>0</v>
      </c>
      <c r="K61" s="11">
        <v>0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2">
        <v>0</v>
      </c>
      <c r="R61" s="12">
        <v>0</v>
      </c>
      <c r="S61" s="12">
        <v>0</v>
      </c>
      <c r="T61" s="12">
        <v>0</v>
      </c>
      <c r="U61" s="12">
        <f>$G$61*$G$8+$H$61*$H$8+$I$61*$I$8+$J$61*$J$8+$K$61*$K$8+$L$61*$L$8+$M$61*$M$8+$N$61*$N$8+$O$61*$O$8+$P$61*$P$8</f>
        <v>0</v>
      </c>
      <c r="V61" s="12">
        <f>SUM($Q$61:$T$61)</f>
        <v>0</v>
      </c>
      <c r="W61" s="12">
        <f>$U$61+$V$61</f>
        <v>0</v>
      </c>
    </row>
    <row r="62" spans="1:23" x14ac:dyDescent="0.3">
      <c r="A62" s="13" t="s">
        <v>220</v>
      </c>
      <c r="B62" s="14" t="s">
        <v>221</v>
      </c>
      <c r="C62" s="14" t="s">
        <v>34</v>
      </c>
      <c r="D62" s="14" t="s">
        <v>222</v>
      </c>
      <c r="E62" s="14">
        <f xml:space="preserve"> IF($W$62,1,0)</f>
        <v>0</v>
      </c>
      <c r="F62" s="14" t="s">
        <v>223</v>
      </c>
      <c r="G62" s="14">
        <v>0</v>
      </c>
      <c r="H62" s="14">
        <v>0</v>
      </c>
      <c r="I62" s="14">
        <v>0</v>
      </c>
      <c r="J62" s="14">
        <v>0</v>
      </c>
      <c r="K62" s="14">
        <v>0</v>
      </c>
      <c r="L62" s="14">
        <v>0</v>
      </c>
      <c r="M62" s="14">
        <v>0</v>
      </c>
      <c r="N62" s="14">
        <v>0</v>
      </c>
      <c r="O62" s="14">
        <v>0</v>
      </c>
      <c r="P62" s="14">
        <v>0</v>
      </c>
      <c r="Q62" s="15">
        <v>0</v>
      </c>
      <c r="R62" s="15">
        <v>0</v>
      </c>
      <c r="S62" s="15">
        <v>0</v>
      </c>
      <c r="T62" s="15">
        <v>0</v>
      </c>
      <c r="U62" s="15">
        <f>$G$62*$G$8+$H$62*$H$8+$I$62*$I$8+$J$62*$J$8+$K$62*$K$8+$L$62*$L$8+$M$62*$M$8+$N$62*$N$8+$O$62*$O$8+$P$62*$P$8</f>
        <v>0</v>
      </c>
      <c r="V62" s="15">
        <f>SUM($Q$62:$T$62)</f>
        <v>0</v>
      </c>
      <c r="W62" s="15">
        <f>$U$62+$V$62</f>
        <v>0</v>
      </c>
    </row>
    <row r="63" spans="1:23" x14ac:dyDescent="0.3">
      <c r="A63" s="10" t="s">
        <v>224</v>
      </c>
      <c r="B63" s="11" t="s">
        <v>225</v>
      </c>
      <c r="C63" s="11"/>
      <c r="D63" s="11" t="s">
        <v>226</v>
      </c>
      <c r="E63" s="11">
        <f xml:space="preserve"> IF($W$63,1,0)</f>
        <v>0</v>
      </c>
      <c r="F63" s="11" t="s">
        <v>227</v>
      </c>
      <c r="G63" s="11">
        <v>0</v>
      </c>
      <c r="H63" s="11">
        <v>0</v>
      </c>
      <c r="I63" s="11">
        <v>0</v>
      </c>
      <c r="J63" s="11">
        <v>0</v>
      </c>
      <c r="K63" s="11">
        <v>0</v>
      </c>
      <c r="L63" s="11">
        <v>0</v>
      </c>
      <c r="M63" s="11">
        <v>0</v>
      </c>
      <c r="N63" s="11">
        <v>0</v>
      </c>
      <c r="O63" s="11">
        <v>0</v>
      </c>
      <c r="P63" s="11">
        <v>0</v>
      </c>
      <c r="Q63" s="12">
        <v>0</v>
      </c>
      <c r="R63" s="12">
        <v>0</v>
      </c>
      <c r="S63" s="12">
        <v>0</v>
      </c>
      <c r="T63" s="12">
        <v>0</v>
      </c>
      <c r="U63" s="12">
        <f>$G$63*$G$8+$H$63*$H$8+$I$63*$I$8+$J$63*$J$8+$K$63*$K$8+$L$63*$L$8+$M$63*$M$8+$N$63*$N$8+$O$63*$O$8+$P$63*$P$8</f>
        <v>0</v>
      </c>
      <c r="V63" s="12">
        <f>SUM($Q$63:$T$63)</f>
        <v>0</v>
      </c>
      <c r="W63" s="12">
        <f>$U$63+$V$63</f>
        <v>0</v>
      </c>
    </row>
    <row r="64" spans="1:23" x14ac:dyDescent="0.3">
      <c r="A64" s="13" t="s">
        <v>228</v>
      </c>
      <c r="B64" s="14" t="s">
        <v>225</v>
      </c>
      <c r="C64" s="14"/>
      <c r="D64" s="14" t="s">
        <v>229</v>
      </c>
      <c r="E64" s="14">
        <f xml:space="preserve"> IF($W$64,1,0)</f>
        <v>0</v>
      </c>
      <c r="F64" s="14" t="s">
        <v>230</v>
      </c>
      <c r="G64" s="14">
        <v>0</v>
      </c>
      <c r="H64" s="14">
        <v>0</v>
      </c>
      <c r="I64" s="14">
        <v>0</v>
      </c>
      <c r="J64" s="14">
        <v>0</v>
      </c>
      <c r="K64" s="14">
        <v>0</v>
      </c>
      <c r="L64" s="14">
        <v>0</v>
      </c>
      <c r="M64" s="14">
        <v>0</v>
      </c>
      <c r="N64" s="14">
        <v>0</v>
      </c>
      <c r="O64" s="14">
        <v>0</v>
      </c>
      <c r="P64" s="14">
        <v>0</v>
      </c>
      <c r="Q64" s="15">
        <v>0</v>
      </c>
      <c r="R64" s="15">
        <v>0</v>
      </c>
      <c r="S64" s="15">
        <v>0</v>
      </c>
      <c r="T64" s="15">
        <v>0</v>
      </c>
      <c r="U64" s="15">
        <f>$G$64*$G$8+$H$64*$H$8+$I$64*$I$8+$J$64*$J$8+$K$64*$K$8+$L$64*$L$8+$M$64*$M$8+$N$64*$N$8+$O$64*$O$8+$P$64*$P$8</f>
        <v>0</v>
      </c>
      <c r="V64" s="15">
        <f>SUM($Q$64:$T$64)</f>
        <v>0</v>
      </c>
      <c r="W64" s="15">
        <f>$U$64+$V$64</f>
        <v>0</v>
      </c>
    </row>
    <row r="65" spans="1:23" x14ac:dyDescent="0.3">
      <c r="A65" s="10" t="s">
        <v>231</v>
      </c>
      <c r="B65" s="11" t="s">
        <v>225</v>
      </c>
      <c r="C65" s="11"/>
      <c r="D65" s="11" t="s">
        <v>232</v>
      </c>
      <c r="E65" s="11">
        <f xml:space="preserve"> IF($W$65,1,0)</f>
        <v>0</v>
      </c>
      <c r="F65" s="11" t="s">
        <v>233</v>
      </c>
      <c r="G65" s="11">
        <v>0</v>
      </c>
      <c r="H65" s="11">
        <v>0</v>
      </c>
      <c r="I65" s="11">
        <v>0</v>
      </c>
      <c r="J65" s="11">
        <v>0</v>
      </c>
      <c r="K65" s="11">
        <v>0</v>
      </c>
      <c r="L65" s="11">
        <v>0</v>
      </c>
      <c r="M65" s="11">
        <v>0</v>
      </c>
      <c r="N65" s="11">
        <v>0</v>
      </c>
      <c r="O65" s="11">
        <v>0</v>
      </c>
      <c r="P65" s="11">
        <v>0</v>
      </c>
      <c r="Q65" s="12">
        <v>0</v>
      </c>
      <c r="R65" s="12">
        <v>0</v>
      </c>
      <c r="S65" s="12">
        <v>0</v>
      </c>
      <c r="T65" s="12">
        <v>0</v>
      </c>
      <c r="U65" s="12">
        <f>$G$65*$G$8+$H$65*$H$8+$I$65*$I$8+$J$65*$J$8+$K$65*$K$8+$L$65*$L$8+$M$65*$M$8+$N$65*$N$8+$O$65*$O$8+$P$65*$P$8</f>
        <v>0</v>
      </c>
      <c r="V65" s="12">
        <f>SUM($Q$65:$T$65)</f>
        <v>0</v>
      </c>
      <c r="W65" s="12">
        <f>$U$65+$V$65</f>
        <v>0</v>
      </c>
    </row>
    <row r="66" spans="1:23" x14ac:dyDescent="0.3">
      <c r="A66" s="13" t="s">
        <v>234</v>
      </c>
      <c r="B66" s="14" t="s">
        <v>235</v>
      </c>
      <c r="C66" s="14"/>
      <c r="D66" s="14" t="s">
        <v>236</v>
      </c>
      <c r="E66" s="14">
        <f xml:space="preserve"> IF($W$66,1,0)</f>
        <v>0</v>
      </c>
      <c r="F66" s="14" t="s">
        <v>237</v>
      </c>
      <c r="G66" s="14">
        <v>0</v>
      </c>
      <c r="H66" s="14">
        <v>0</v>
      </c>
      <c r="I66" s="14">
        <v>0</v>
      </c>
      <c r="J66" s="14">
        <v>0</v>
      </c>
      <c r="K66" s="14">
        <v>0</v>
      </c>
      <c r="L66" s="14">
        <v>0</v>
      </c>
      <c r="M66" s="14">
        <v>0</v>
      </c>
      <c r="N66" s="14">
        <v>0</v>
      </c>
      <c r="O66" s="14">
        <v>0</v>
      </c>
      <c r="P66" s="14">
        <v>0</v>
      </c>
      <c r="Q66" s="15">
        <v>0</v>
      </c>
      <c r="R66" s="15">
        <v>0</v>
      </c>
      <c r="S66" s="15">
        <v>0</v>
      </c>
      <c r="T66" s="15">
        <v>0</v>
      </c>
      <c r="U66" s="15">
        <f>$G$66*$G$8+$H$66*$H$8+$I$66*$I$8+$J$66*$J$8+$K$66*$K$8+$L$66*$L$8+$M$66*$M$8+$N$66*$N$8+$O$66*$O$8+$P$66*$P$8</f>
        <v>0</v>
      </c>
      <c r="V66" s="15">
        <f>SUM($Q$66:$T$66)</f>
        <v>0</v>
      </c>
      <c r="W66" s="15">
        <f>$U$66+$V$66</f>
        <v>0</v>
      </c>
    </row>
    <row r="67" spans="1:23" x14ac:dyDescent="0.3">
      <c r="A67" s="10" t="s">
        <v>238</v>
      </c>
      <c r="B67" s="11" t="s">
        <v>235</v>
      </c>
      <c r="C67" s="11" t="s">
        <v>34</v>
      </c>
      <c r="D67" s="11" t="s">
        <v>239</v>
      </c>
      <c r="E67" s="11">
        <f xml:space="preserve"> IF($W$67,1,0)</f>
        <v>0</v>
      </c>
      <c r="F67" s="11" t="s">
        <v>240</v>
      </c>
      <c r="G67" s="11">
        <v>0</v>
      </c>
      <c r="H67" s="11">
        <v>0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2">
        <v>0</v>
      </c>
      <c r="R67" s="12">
        <v>0</v>
      </c>
      <c r="S67" s="12">
        <v>0</v>
      </c>
      <c r="T67" s="12">
        <v>0</v>
      </c>
      <c r="U67" s="12">
        <f>$G$67*$G$8+$H$67*$H$8+$I$67*$I$8+$J$67*$J$8+$K$67*$K$8+$L$67*$L$8+$M$67*$M$8+$N$67*$N$8+$O$67*$O$8+$P$67*$P$8</f>
        <v>0</v>
      </c>
      <c r="V67" s="12">
        <f>SUM($Q$67:$T$67)</f>
        <v>0</v>
      </c>
      <c r="W67" s="12">
        <f>$U$67+$V$67</f>
        <v>0</v>
      </c>
    </row>
    <row r="68" spans="1:23" x14ac:dyDescent="0.3">
      <c r="A68" s="13" t="s">
        <v>241</v>
      </c>
      <c r="B68" s="14" t="s">
        <v>242</v>
      </c>
      <c r="C68" s="14" t="s">
        <v>243</v>
      </c>
      <c r="D68" s="14" t="s">
        <v>244</v>
      </c>
      <c r="E68" s="14">
        <f xml:space="preserve"> IF($W$68,1,0)</f>
        <v>0</v>
      </c>
      <c r="F68" s="14" t="s">
        <v>245</v>
      </c>
      <c r="G68" s="14">
        <v>0</v>
      </c>
      <c r="H68" s="14">
        <v>0</v>
      </c>
      <c r="I68" s="14">
        <v>0</v>
      </c>
      <c r="J68" s="14">
        <v>0</v>
      </c>
      <c r="K68" s="14">
        <v>0</v>
      </c>
      <c r="L68" s="14">
        <v>0</v>
      </c>
      <c r="M68" s="14">
        <v>0</v>
      </c>
      <c r="N68" s="14">
        <v>0</v>
      </c>
      <c r="O68" s="14">
        <v>0</v>
      </c>
      <c r="P68" s="14">
        <v>0</v>
      </c>
      <c r="Q68" s="15">
        <v>0</v>
      </c>
      <c r="R68" s="15">
        <v>0</v>
      </c>
      <c r="S68" s="15">
        <v>0</v>
      </c>
      <c r="T68" s="15">
        <v>0</v>
      </c>
      <c r="U68" s="15">
        <f>$G$68*$G$8+$H$68*$H$8+$I$68*$I$8+$J$68*$J$8+$K$68*$K$8+$L$68*$L$8+$M$68*$M$8+$N$68*$N$8+$O$68*$O$8+$P$68*$P$8</f>
        <v>0</v>
      </c>
      <c r="V68" s="15">
        <f>SUM($Q$68:$T$68)</f>
        <v>0</v>
      </c>
      <c r="W68" s="15">
        <f>$U$68+$V$68</f>
        <v>0</v>
      </c>
    </row>
    <row r="69" spans="1:23" x14ac:dyDescent="0.3">
      <c r="A69" s="10" t="s">
        <v>246</v>
      </c>
      <c r="B69" s="11" t="s">
        <v>242</v>
      </c>
      <c r="C69" s="11"/>
      <c r="D69" s="11" t="s">
        <v>247</v>
      </c>
      <c r="E69" s="11">
        <f xml:space="preserve"> IF($W$69,1,0)</f>
        <v>0</v>
      </c>
      <c r="F69" s="11" t="s">
        <v>248</v>
      </c>
      <c r="G69" s="11">
        <v>0</v>
      </c>
      <c r="H69" s="11">
        <v>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2">
        <v>0</v>
      </c>
      <c r="R69" s="12">
        <v>0</v>
      </c>
      <c r="S69" s="12">
        <v>0</v>
      </c>
      <c r="T69" s="12">
        <v>0</v>
      </c>
      <c r="U69" s="12">
        <f>$G$69*$G$8+$H$69*$H$8+$I$69*$I$8+$J$69*$J$8+$K$69*$K$8+$L$69*$L$8+$M$69*$M$8+$N$69*$N$8+$O$69*$O$8+$P$69*$P$8</f>
        <v>0</v>
      </c>
      <c r="V69" s="12">
        <f>SUM($Q$69:$T$69)</f>
        <v>0</v>
      </c>
      <c r="W69" s="12">
        <f>$U$69+$V$69</f>
        <v>0</v>
      </c>
    </row>
    <row r="70" spans="1:23" x14ac:dyDescent="0.3">
      <c r="A70" s="13" t="s">
        <v>249</v>
      </c>
      <c r="B70" s="14" t="s">
        <v>242</v>
      </c>
      <c r="C70" s="14" t="s">
        <v>34</v>
      </c>
      <c r="D70" s="14" t="s">
        <v>250</v>
      </c>
      <c r="E70" s="14">
        <f xml:space="preserve"> IF($W$70,1,0)</f>
        <v>0</v>
      </c>
      <c r="F70" s="14" t="s">
        <v>251</v>
      </c>
      <c r="G70" s="14">
        <v>0</v>
      </c>
      <c r="H70" s="14">
        <v>0</v>
      </c>
      <c r="I70" s="14">
        <v>0</v>
      </c>
      <c r="J70" s="14">
        <v>0</v>
      </c>
      <c r="K70" s="14">
        <v>0</v>
      </c>
      <c r="L70" s="14">
        <v>0</v>
      </c>
      <c r="M70" s="14">
        <v>0</v>
      </c>
      <c r="N70" s="14">
        <v>0</v>
      </c>
      <c r="O70" s="14">
        <v>0</v>
      </c>
      <c r="P70" s="14">
        <v>0</v>
      </c>
      <c r="Q70" s="15">
        <v>0</v>
      </c>
      <c r="R70" s="15">
        <v>0</v>
      </c>
      <c r="S70" s="15">
        <v>0</v>
      </c>
      <c r="T70" s="15">
        <v>0</v>
      </c>
      <c r="U70" s="15">
        <f>$G$70*$G$8+$H$70*$H$8+$I$70*$I$8+$J$70*$J$8+$K$70*$K$8+$L$70*$L$8+$M$70*$M$8+$N$70*$N$8+$O$70*$O$8+$P$70*$P$8</f>
        <v>0</v>
      </c>
      <c r="V70" s="15">
        <f>SUM($Q$70:$T$70)</f>
        <v>0</v>
      </c>
      <c r="W70" s="15">
        <f>$U$70+$V$70</f>
        <v>0</v>
      </c>
    </row>
    <row r="71" spans="1:23" x14ac:dyDescent="0.3">
      <c r="A71" s="10" t="s">
        <v>252</v>
      </c>
      <c r="B71" s="11" t="s">
        <v>253</v>
      </c>
      <c r="C71" s="11"/>
      <c r="D71" s="11" t="s">
        <v>254</v>
      </c>
      <c r="E71" s="11">
        <f xml:space="preserve"> IF($W$71,1,0)</f>
        <v>0</v>
      </c>
      <c r="F71" s="11" t="s">
        <v>255</v>
      </c>
      <c r="G71" s="11">
        <v>0</v>
      </c>
      <c r="H71" s="11">
        <v>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0</v>
      </c>
      <c r="O71" s="11">
        <v>0</v>
      </c>
      <c r="P71" s="11">
        <v>0</v>
      </c>
      <c r="Q71" s="12">
        <v>0</v>
      </c>
      <c r="R71" s="12">
        <v>0</v>
      </c>
      <c r="S71" s="12">
        <v>0</v>
      </c>
      <c r="T71" s="12">
        <v>0</v>
      </c>
      <c r="U71" s="12">
        <f>$G$71*$G$8+$H$71*$H$8+$I$71*$I$8+$J$71*$J$8+$K$71*$K$8+$L$71*$L$8+$M$71*$M$8+$N$71*$N$8+$O$71*$O$8+$P$71*$P$8</f>
        <v>0</v>
      </c>
      <c r="V71" s="12">
        <f>SUM($Q$71:$T$71)</f>
        <v>0</v>
      </c>
      <c r="W71" s="12">
        <f>$U$71+$V$71</f>
        <v>0</v>
      </c>
    </row>
    <row r="72" spans="1:23" x14ac:dyDescent="0.3">
      <c r="A72" s="13" t="s">
        <v>1283</v>
      </c>
      <c r="B72" s="14" t="s">
        <v>1284</v>
      </c>
      <c r="C72" s="14"/>
      <c r="D72" s="14" t="s">
        <v>1285</v>
      </c>
      <c r="E72" s="14">
        <f xml:space="preserve"> IF($W$72,1,0)</f>
        <v>0</v>
      </c>
      <c r="F72" s="14" t="s">
        <v>1286</v>
      </c>
      <c r="G72" s="14">
        <v>0</v>
      </c>
      <c r="H72" s="14">
        <v>0</v>
      </c>
      <c r="I72" s="14">
        <v>0</v>
      </c>
      <c r="J72" s="14">
        <v>0</v>
      </c>
      <c r="K72" s="14">
        <v>0</v>
      </c>
      <c r="L72" s="14">
        <v>0</v>
      </c>
      <c r="M72" s="14">
        <v>0</v>
      </c>
      <c r="N72" s="14">
        <v>0</v>
      </c>
      <c r="O72" s="14">
        <v>0</v>
      </c>
      <c r="P72" s="14">
        <v>0</v>
      </c>
      <c r="Q72" s="15">
        <v>0</v>
      </c>
      <c r="R72" s="15">
        <v>0</v>
      </c>
      <c r="S72" s="15">
        <v>0</v>
      </c>
      <c r="T72" s="15">
        <v>0</v>
      </c>
      <c r="U72" s="15">
        <f>$G$72*$G$8+$H$72*$H$8+$I$72*$I$8+$J$72*$J$8+$K$72*$K$8+$L$72*$L$8+$M$72*$M$8+$N$72*$N$8+$O$72*$O$8+$P$72*$P$8</f>
        <v>0</v>
      </c>
      <c r="V72" s="15">
        <f>SUM($Q$72:$T$72)</f>
        <v>0</v>
      </c>
      <c r="W72" s="15">
        <f>$U$72+$V$72</f>
        <v>0</v>
      </c>
    </row>
    <row r="73" spans="1:23" x14ac:dyDescent="0.3">
      <c r="A73" s="10" t="s">
        <v>256</v>
      </c>
      <c r="B73" s="11" t="s">
        <v>257</v>
      </c>
      <c r="C73" s="11"/>
      <c r="D73" s="11" t="s">
        <v>258</v>
      </c>
      <c r="E73" s="11">
        <f xml:space="preserve"> IF($W$73,1,0)</f>
        <v>0</v>
      </c>
      <c r="F73" s="11" t="s">
        <v>259</v>
      </c>
      <c r="G73" s="11">
        <v>0</v>
      </c>
      <c r="H73" s="11">
        <v>0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2">
        <v>0</v>
      </c>
      <c r="R73" s="12">
        <v>0</v>
      </c>
      <c r="S73" s="12">
        <v>0</v>
      </c>
      <c r="T73" s="12">
        <v>0</v>
      </c>
      <c r="U73" s="12">
        <f>$G$73*$G$8+$H$73*$H$8+$I$73*$I$8+$J$73*$J$8+$K$73*$K$8+$L$73*$L$8+$M$73*$M$8+$N$73*$N$8+$O$73*$O$8+$P$73*$P$8</f>
        <v>0</v>
      </c>
      <c r="V73" s="12">
        <f>SUM($Q$73:$T$73)</f>
        <v>0</v>
      </c>
      <c r="W73" s="12">
        <f>$U$73+$V$73</f>
        <v>0</v>
      </c>
    </row>
    <row r="74" spans="1:23" x14ac:dyDescent="0.3">
      <c r="A74" s="13" t="s">
        <v>1248</v>
      </c>
      <c r="B74" s="14" t="s">
        <v>1249</v>
      </c>
      <c r="C74" s="14"/>
      <c r="D74" s="14" t="s">
        <v>1250</v>
      </c>
      <c r="E74" s="14">
        <f xml:space="preserve"> IF($W$74,1,0)</f>
        <v>0</v>
      </c>
      <c r="F74" s="14" t="s">
        <v>1251</v>
      </c>
      <c r="G74" s="14">
        <v>0</v>
      </c>
      <c r="H74" s="14">
        <v>0</v>
      </c>
      <c r="I74" s="14">
        <v>0</v>
      </c>
      <c r="J74" s="14">
        <v>0</v>
      </c>
      <c r="K74" s="14">
        <v>0</v>
      </c>
      <c r="L74" s="14">
        <v>0</v>
      </c>
      <c r="M74" s="14">
        <v>0</v>
      </c>
      <c r="N74" s="14">
        <v>0</v>
      </c>
      <c r="O74" s="14">
        <v>0</v>
      </c>
      <c r="P74" s="14">
        <v>0</v>
      </c>
      <c r="Q74" s="15">
        <v>0</v>
      </c>
      <c r="R74" s="15">
        <v>0</v>
      </c>
      <c r="S74" s="15">
        <v>0</v>
      </c>
      <c r="T74" s="15">
        <v>0</v>
      </c>
      <c r="U74" s="15">
        <f>$G$74*$G$8+$H$74*$H$8+$I$74*$I$8+$J$74*$J$8+$K$74*$K$8+$L$74*$L$8+$M$74*$M$8+$N$74*$N$8+$O$74*$O$8+$P$74*$P$8</f>
        <v>0</v>
      </c>
      <c r="V74" s="15">
        <f>SUM($Q$74:$T$74)</f>
        <v>0</v>
      </c>
      <c r="W74" s="15">
        <f>$U$74+$V$74</f>
        <v>0</v>
      </c>
    </row>
    <row r="75" spans="1:23" x14ac:dyDescent="0.3">
      <c r="A75" s="10" t="s">
        <v>260</v>
      </c>
      <c r="B75" s="11" t="s">
        <v>261</v>
      </c>
      <c r="C75" s="11"/>
      <c r="D75" s="11" t="s">
        <v>262</v>
      </c>
      <c r="E75" s="11">
        <f xml:space="preserve"> IF($W$75,1,0)</f>
        <v>0</v>
      </c>
      <c r="F75" s="11" t="s">
        <v>263</v>
      </c>
      <c r="G75" s="11">
        <v>0</v>
      </c>
      <c r="H75" s="11">
        <v>0</v>
      </c>
      <c r="I75" s="11">
        <v>0</v>
      </c>
      <c r="J75" s="11">
        <v>0</v>
      </c>
      <c r="K75" s="11">
        <v>0</v>
      </c>
      <c r="L75" s="11">
        <v>0</v>
      </c>
      <c r="M75" s="11">
        <v>0</v>
      </c>
      <c r="N75" s="11">
        <v>0</v>
      </c>
      <c r="O75" s="11">
        <v>0</v>
      </c>
      <c r="P75" s="11">
        <v>0</v>
      </c>
      <c r="Q75" s="12">
        <v>0</v>
      </c>
      <c r="R75" s="12">
        <v>0</v>
      </c>
      <c r="S75" s="12">
        <v>0</v>
      </c>
      <c r="T75" s="12">
        <v>0</v>
      </c>
      <c r="U75" s="12">
        <f>$G$75*$G$8+$H$75*$H$8+$I$75*$I$8+$J$75*$J$8+$K$75*$K$8+$L$75*$L$8+$M$75*$M$8+$N$75*$N$8+$O$75*$O$8+$P$75*$P$8</f>
        <v>0</v>
      </c>
      <c r="V75" s="12">
        <f>SUM($Q$75:$T$75)</f>
        <v>0</v>
      </c>
      <c r="W75" s="12">
        <f>$U$75+$V$75</f>
        <v>0</v>
      </c>
    </row>
    <row r="76" spans="1:23" x14ac:dyDescent="0.3">
      <c r="A76" s="13" t="s">
        <v>264</v>
      </c>
      <c r="B76" s="14" t="s">
        <v>265</v>
      </c>
      <c r="C76" s="14"/>
      <c r="D76" s="14" t="s">
        <v>266</v>
      </c>
      <c r="E76" s="14">
        <f xml:space="preserve"> IF($W$76,1,0)</f>
        <v>0</v>
      </c>
      <c r="F76" s="14" t="s">
        <v>267</v>
      </c>
      <c r="G76" s="14">
        <v>0</v>
      </c>
      <c r="H76" s="14">
        <v>0</v>
      </c>
      <c r="I76" s="14">
        <v>0</v>
      </c>
      <c r="J76" s="14">
        <v>0</v>
      </c>
      <c r="K76" s="14">
        <v>0</v>
      </c>
      <c r="L76" s="14">
        <v>0</v>
      </c>
      <c r="M76" s="14">
        <v>0</v>
      </c>
      <c r="N76" s="14">
        <v>0</v>
      </c>
      <c r="O76" s="14">
        <v>0</v>
      </c>
      <c r="P76" s="14">
        <v>0</v>
      </c>
      <c r="Q76" s="15">
        <v>0</v>
      </c>
      <c r="R76" s="15">
        <v>0</v>
      </c>
      <c r="S76" s="15">
        <v>0</v>
      </c>
      <c r="T76" s="15">
        <v>0</v>
      </c>
      <c r="U76" s="15">
        <f>$G$76*$G$8+$H$76*$H$8+$I$76*$I$8+$J$76*$J$8+$K$76*$K$8+$L$76*$L$8+$M$76*$M$8+$N$76*$N$8+$O$76*$O$8+$P$76*$P$8</f>
        <v>0</v>
      </c>
      <c r="V76" s="15">
        <f>SUM($Q$76:$T$76)</f>
        <v>0</v>
      </c>
      <c r="W76" s="15">
        <f>$U$76+$V$76</f>
        <v>0</v>
      </c>
    </row>
    <row r="77" spans="1:23" x14ac:dyDescent="0.3">
      <c r="A77" s="10" t="s">
        <v>268</v>
      </c>
      <c r="B77" s="11" t="s">
        <v>269</v>
      </c>
      <c r="C77" s="11"/>
      <c r="D77" s="11" t="s">
        <v>270</v>
      </c>
      <c r="E77" s="11">
        <f xml:space="preserve"> IF($W$77,1,0)</f>
        <v>0</v>
      </c>
      <c r="F77" s="11" t="s">
        <v>271</v>
      </c>
      <c r="G77" s="11">
        <v>0</v>
      </c>
      <c r="H77" s="11">
        <v>0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2">
        <v>0</v>
      </c>
      <c r="R77" s="12">
        <v>0</v>
      </c>
      <c r="S77" s="12">
        <v>0</v>
      </c>
      <c r="T77" s="12">
        <v>0</v>
      </c>
      <c r="U77" s="12">
        <f>$G$77*$G$8+$H$77*$H$8+$I$77*$I$8+$J$77*$J$8+$K$77*$K$8+$L$77*$L$8+$M$77*$M$8+$N$77*$N$8+$O$77*$O$8+$P$77*$P$8</f>
        <v>0</v>
      </c>
      <c r="V77" s="12">
        <f>SUM($Q$77:$T$77)</f>
        <v>0</v>
      </c>
      <c r="W77" s="12">
        <f>$U$77+$V$77</f>
        <v>0</v>
      </c>
    </row>
    <row r="78" spans="1:23" x14ac:dyDescent="0.3">
      <c r="A78" s="13" t="s">
        <v>272</v>
      </c>
      <c r="B78" s="14" t="s">
        <v>273</v>
      </c>
      <c r="C78" s="14"/>
      <c r="D78" s="14" t="s">
        <v>274</v>
      </c>
      <c r="E78" s="14">
        <f xml:space="preserve"> IF($W$78,1,0)</f>
        <v>0</v>
      </c>
      <c r="F78" s="14" t="s">
        <v>275</v>
      </c>
      <c r="G78" s="14">
        <v>0</v>
      </c>
      <c r="H78" s="14">
        <v>0</v>
      </c>
      <c r="I78" s="14">
        <v>0</v>
      </c>
      <c r="J78" s="14">
        <v>0</v>
      </c>
      <c r="K78" s="14">
        <v>0</v>
      </c>
      <c r="L78" s="14">
        <v>0</v>
      </c>
      <c r="M78" s="14">
        <v>0</v>
      </c>
      <c r="N78" s="14">
        <v>0</v>
      </c>
      <c r="O78" s="14">
        <v>0</v>
      </c>
      <c r="P78" s="14">
        <v>0</v>
      </c>
      <c r="Q78" s="15">
        <v>0</v>
      </c>
      <c r="R78" s="15">
        <v>0</v>
      </c>
      <c r="S78" s="15">
        <v>0</v>
      </c>
      <c r="T78" s="15">
        <v>0</v>
      </c>
      <c r="U78" s="15">
        <f>$G$78*$G$8+$H$78*$H$8+$I$78*$I$8+$J$78*$J$8+$K$78*$K$8+$L$78*$L$8+$M$78*$M$8+$N$78*$N$8+$O$78*$O$8+$P$78*$P$8</f>
        <v>0</v>
      </c>
      <c r="V78" s="15">
        <f>SUM($Q$78:$T$78)</f>
        <v>0</v>
      </c>
      <c r="W78" s="15">
        <f>$U$78+$V$78</f>
        <v>0</v>
      </c>
    </row>
    <row r="79" spans="1:23" x14ac:dyDescent="0.3">
      <c r="A79" s="10" t="s">
        <v>276</v>
      </c>
      <c r="B79" s="11" t="s">
        <v>277</v>
      </c>
      <c r="C79" s="11" t="s">
        <v>278</v>
      </c>
      <c r="D79" s="11" t="s">
        <v>279</v>
      </c>
      <c r="E79" s="11">
        <f xml:space="preserve"> IF($W$79,1,0)</f>
        <v>0</v>
      </c>
      <c r="F79" s="11" t="s">
        <v>280</v>
      </c>
      <c r="G79" s="11">
        <v>0</v>
      </c>
      <c r="H79" s="11">
        <v>0</v>
      </c>
      <c r="I79" s="11">
        <v>0</v>
      </c>
      <c r="J79" s="11">
        <v>0</v>
      </c>
      <c r="K79" s="11">
        <v>0</v>
      </c>
      <c r="L79" s="11">
        <v>0</v>
      </c>
      <c r="M79" s="11">
        <v>0</v>
      </c>
      <c r="N79" s="11">
        <v>0</v>
      </c>
      <c r="O79" s="11">
        <v>0</v>
      </c>
      <c r="P79" s="11">
        <v>0</v>
      </c>
      <c r="Q79" s="12">
        <v>0</v>
      </c>
      <c r="R79" s="12">
        <v>0</v>
      </c>
      <c r="S79" s="12">
        <v>0</v>
      </c>
      <c r="T79" s="12">
        <v>0</v>
      </c>
      <c r="U79" s="12">
        <f>$G$79*$G$8+$H$79*$H$8+$I$79*$I$8+$J$79*$J$8+$K$79*$K$8+$L$79*$L$8+$M$79*$M$8+$N$79*$N$8+$O$79*$O$8+$P$79*$P$8</f>
        <v>0</v>
      </c>
      <c r="V79" s="12">
        <f>SUM($Q$79:$T$79)</f>
        <v>0</v>
      </c>
      <c r="W79" s="12">
        <f>$U$79+$V$79</f>
        <v>0</v>
      </c>
    </row>
    <row r="80" spans="1:23" x14ac:dyDescent="0.3">
      <c r="A80" s="13" t="s">
        <v>281</v>
      </c>
      <c r="B80" s="14" t="s">
        <v>282</v>
      </c>
      <c r="C80" s="14" t="s">
        <v>283</v>
      </c>
      <c r="D80" s="14" t="s">
        <v>284</v>
      </c>
      <c r="E80" s="14">
        <f xml:space="preserve"> IF($W$80,1,0)</f>
        <v>0</v>
      </c>
      <c r="F80" s="14" t="s">
        <v>285</v>
      </c>
      <c r="G80" s="14">
        <v>0</v>
      </c>
      <c r="H80" s="14">
        <v>0</v>
      </c>
      <c r="I80" s="14">
        <v>0</v>
      </c>
      <c r="J80" s="14">
        <v>0</v>
      </c>
      <c r="K80" s="14">
        <v>0</v>
      </c>
      <c r="L80" s="14">
        <v>0</v>
      </c>
      <c r="M80" s="14">
        <v>0</v>
      </c>
      <c r="N80" s="14">
        <v>0</v>
      </c>
      <c r="O80" s="14">
        <v>0</v>
      </c>
      <c r="P80" s="14">
        <v>0</v>
      </c>
      <c r="Q80" s="15">
        <v>0</v>
      </c>
      <c r="R80" s="15">
        <v>0</v>
      </c>
      <c r="S80" s="15">
        <v>0</v>
      </c>
      <c r="T80" s="15">
        <v>0</v>
      </c>
      <c r="U80" s="15">
        <f>$G$80*$G$8+$H$80*$H$8+$I$80*$I$8+$J$80*$J$8+$K$80*$K$8+$L$80*$L$8+$M$80*$M$8+$N$80*$N$8+$O$80*$O$8+$P$80*$P$8</f>
        <v>0</v>
      </c>
      <c r="V80" s="15">
        <f>SUM($Q$80:$T$80)</f>
        <v>0</v>
      </c>
      <c r="W80" s="15">
        <f>$U$80+$V$80</f>
        <v>0</v>
      </c>
    </row>
    <row r="81" spans="1:23" x14ac:dyDescent="0.3">
      <c r="A81" s="10" t="s">
        <v>286</v>
      </c>
      <c r="B81" s="11" t="s">
        <v>287</v>
      </c>
      <c r="C81" s="11" t="s">
        <v>278</v>
      </c>
      <c r="D81" s="11" t="s">
        <v>288</v>
      </c>
      <c r="E81" s="11">
        <f xml:space="preserve"> IF($W$81,1,0)</f>
        <v>0</v>
      </c>
      <c r="F81" s="11" t="s">
        <v>289</v>
      </c>
      <c r="G81" s="11">
        <v>0</v>
      </c>
      <c r="H81" s="11">
        <v>0</v>
      </c>
      <c r="I81" s="11">
        <v>0</v>
      </c>
      <c r="J81" s="11">
        <v>0</v>
      </c>
      <c r="K81" s="11">
        <v>0</v>
      </c>
      <c r="L81" s="11">
        <v>0</v>
      </c>
      <c r="M81" s="11">
        <v>0</v>
      </c>
      <c r="N81" s="11">
        <v>0</v>
      </c>
      <c r="O81" s="11">
        <v>0</v>
      </c>
      <c r="P81" s="11">
        <v>0</v>
      </c>
      <c r="Q81" s="12">
        <v>0</v>
      </c>
      <c r="R81" s="12">
        <v>0</v>
      </c>
      <c r="S81" s="12">
        <v>0</v>
      </c>
      <c r="T81" s="12">
        <v>0</v>
      </c>
      <c r="U81" s="12">
        <f>$G$81*$G$8+$H$81*$H$8+$I$81*$I$8+$J$81*$J$8+$K$81*$K$8+$L$81*$L$8+$M$81*$M$8+$N$81*$N$8+$O$81*$O$8+$P$81*$P$8</f>
        <v>0</v>
      </c>
      <c r="V81" s="12">
        <f>SUM($Q$81:$T$81)</f>
        <v>0</v>
      </c>
      <c r="W81" s="12">
        <f>$U$81+$V$81</f>
        <v>0</v>
      </c>
    </row>
    <row r="82" spans="1:23" x14ac:dyDescent="0.3">
      <c r="A82" s="13" t="s">
        <v>290</v>
      </c>
      <c r="B82" s="14" t="s">
        <v>291</v>
      </c>
      <c r="C82" s="14"/>
      <c r="D82" s="14" t="s">
        <v>292</v>
      </c>
      <c r="E82" s="14">
        <f xml:space="preserve"> IF($W$82,1,0)</f>
        <v>0</v>
      </c>
      <c r="F82" s="14" t="s">
        <v>293</v>
      </c>
      <c r="G82" s="14">
        <v>0</v>
      </c>
      <c r="H82" s="14">
        <v>0</v>
      </c>
      <c r="I82" s="14">
        <v>0</v>
      </c>
      <c r="J82" s="14">
        <v>0</v>
      </c>
      <c r="K82" s="14">
        <v>0</v>
      </c>
      <c r="L82" s="14">
        <v>0</v>
      </c>
      <c r="M82" s="14">
        <v>0</v>
      </c>
      <c r="N82" s="14">
        <v>0</v>
      </c>
      <c r="O82" s="14">
        <v>0</v>
      </c>
      <c r="P82" s="14">
        <v>0</v>
      </c>
      <c r="Q82" s="15">
        <v>0</v>
      </c>
      <c r="R82" s="15">
        <v>0</v>
      </c>
      <c r="S82" s="15">
        <v>0</v>
      </c>
      <c r="T82" s="15">
        <v>0</v>
      </c>
      <c r="U82" s="15">
        <f>$G$82*$G$8+$H$82*$H$8+$I$82*$I$8+$J$82*$J$8+$K$82*$K$8+$L$82*$L$8+$M$82*$M$8+$N$82*$N$8+$O$82*$O$8+$P$82*$P$8</f>
        <v>0</v>
      </c>
      <c r="V82" s="15">
        <f>SUM($Q$82:$T$82)</f>
        <v>0</v>
      </c>
      <c r="W82" s="15">
        <f>$U$82+$V$82</f>
        <v>0</v>
      </c>
    </row>
    <row r="83" spans="1:23" x14ac:dyDescent="0.3">
      <c r="A83" s="10" t="s">
        <v>294</v>
      </c>
      <c r="B83" s="11" t="s">
        <v>295</v>
      </c>
      <c r="C83" s="11"/>
      <c r="D83" s="11" t="s">
        <v>296</v>
      </c>
      <c r="E83" s="11">
        <f xml:space="preserve"> IF($W$83,1,0)</f>
        <v>0</v>
      </c>
      <c r="F83" s="11" t="s">
        <v>297</v>
      </c>
      <c r="G83" s="11">
        <v>0</v>
      </c>
      <c r="H83" s="11">
        <v>0</v>
      </c>
      <c r="I83" s="11">
        <v>0</v>
      </c>
      <c r="J83" s="11">
        <v>0</v>
      </c>
      <c r="K83" s="11">
        <v>0</v>
      </c>
      <c r="L83" s="11">
        <v>0</v>
      </c>
      <c r="M83" s="11">
        <v>0</v>
      </c>
      <c r="N83" s="11">
        <v>0</v>
      </c>
      <c r="O83" s="11">
        <v>0</v>
      </c>
      <c r="P83" s="11">
        <v>0</v>
      </c>
      <c r="Q83" s="12">
        <v>0</v>
      </c>
      <c r="R83" s="12">
        <v>0</v>
      </c>
      <c r="S83" s="12">
        <v>0</v>
      </c>
      <c r="T83" s="12">
        <v>0</v>
      </c>
      <c r="U83" s="12">
        <f>$G$83*$G$8+$H$83*$H$8+$I$83*$I$8+$J$83*$J$8+$K$83*$K$8+$L$83*$L$8+$M$83*$M$8+$N$83*$N$8+$O$83*$O$8+$P$83*$P$8</f>
        <v>0</v>
      </c>
      <c r="V83" s="12">
        <f>SUM($Q$83:$T$83)</f>
        <v>0</v>
      </c>
      <c r="W83" s="12">
        <f>$U$83+$V$83</f>
        <v>0</v>
      </c>
    </row>
    <row r="84" spans="1:23" x14ac:dyDescent="0.3">
      <c r="A84" s="13" t="s">
        <v>298</v>
      </c>
      <c r="B84" s="14" t="s">
        <v>295</v>
      </c>
      <c r="C84" s="14"/>
      <c r="D84" s="14" t="s">
        <v>299</v>
      </c>
      <c r="E84" s="14">
        <f xml:space="preserve"> IF($W$84,1,0)</f>
        <v>0</v>
      </c>
      <c r="F84" s="14" t="s">
        <v>300</v>
      </c>
      <c r="G84" s="14">
        <v>0</v>
      </c>
      <c r="H84" s="14">
        <v>0</v>
      </c>
      <c r="I84" s="14">
        <v>0</v>
      </c>
      <c r="J84" s="14">
        <v>0</v>
      </c>
      <c r="K84" s="14">
        <v>0</v>
      </c>
      <c r="L84" s="14">
        <v>0</v>
      </c>
      <c r="M84" s="14">
        <v>0</v>
      </c>
      <c r="N84" s="14">
        <v>0</v>
      </c>
      <c r="O84" s="14">
        <v>0</v>
      </c>
      <c r="P84" s="14">
        <v>0</v>
      </c>
      <c r="Q84" s="15">
        <v>0</v>
      </c>
      <c r="R84" s="15">
        <v>0</v>
      </c>
      <c r="S84" s="15">
        <v>0</v>
      </c>
      <c r="T84" s="15">
        <v>0</v>
      </c>
      <c r="U84" s="15">
        <f>$G$84*$G$8+$H$84*$H$8+$I$84*$I$8+$J$84*$J$8+$K$84*$K$8+$L$84*$L$8+$M$84*$M$8+$N$84*$N$8+$O$84*$O$8+$P$84*$P$8</f>
        <v>0</v>
      </c>
      <c r="V84" s="15">
        <f>SUM($Q$84:$T$84)</f>
        <v>0</v>
      </c>
      <c r="W84" s="15">
        <f>$U$84+$V$84</f>
        <v>0</v>
      </c>
    </row>
    <row r="85" spans="1:23" x14ac:dyDescent="0.3">
      <c r="A85" s="10" t="s">
        <v>301</v>
      </c>
      <c r="B85" s="11" t="s">
        <v>302</v>
      </c>
      <c r="C85" s="11"/>
      <c r="D85" s="11" t="s">
        <v>303</v>
      </c>
      <c r="E85" s="11">
        <f xml:space="preserve"> IF($W$85,1,0)</f>
        <v>0</v>
      </c>
      <c r="F85" s="11" t="s">
        <v>304</v>
      </c>
      <c r="G85" s="11">
        <v>0</v>
      </c>
      <c r="H85" s="11">
        <v>0</v>
      </c>
      <c r="I85" s="11">
        <v>0</v>
      </c>
      <c r="J85" s="11">
        <v>0</v>
      </c>
      <c r="K85" s="11">
        <v>0</v>
      </c>
      <c r="L85" s="11">
        <v>0</v>
      </c>
      <c r="M85" s="11">
        <v>0</v>
      </c>
      <c r="N85" s="11">
        <v>0</v>
      </c>
      <c r="O85" s="11">
        <v>0</v>
      </c>
      <c r="P85" s="11">
        <v>0</v>
      </c>
      <c r="Q85" s="12">
        <v>0</v>
      </c>
      <c r="R85" s="12">
        <v>0</v>
      </c>
      <c r="S85" s="12">
        <v>0</v>
      </c>
      <c r="T85" s="12">
        <v>0</v>
      </c>
      <c r="U85" s="12">
        <f>$G$85*$G$8+$H$85*$H$8+$I$85*$I$8+$J$85*$J$8+$K$85*$K$8+$L$85*$L$8+$M$85*$M$8+$N$85*$N$8+$O$85*$O$8+$P$85*$P$8</f>
        <v>0</v>
      </c>
      <c r="V85" s="12">
        <f>SUM($Q$85:$T$85)</f>
        <v>0</v>
      </c>
      <c r="W85" s="12">
        <f>$U$85+$V$85</f>
        <v>0</v>
      </c>
    </row>
    <row r="86" spans="1:23" x14ac:dyDescent="0.3">
      <c r="A86" s="13" t="s">
        <v>305</v>
      </c>
      <c r="B86" s="14" t="s">
        <v>306</v>
      </c>
      <c r="C86" s="14"/>
      <c r="D86" s="14" t="s">
        <v>307</v>
      </c>
      <c r="E86" s="14">
        <f xml:space="preserve"> IF($W$86,1,0)</f>
        <v>0</v>
      </c>
      <c r="F86" s="14" t="s">
        <v>308</v>
      </c>
      <c r="G86" s="14">
        <v>0</v>
      </c>
      <c r="H86" s="14">
        <v>0</v>
      </c>
      <c r="I86" s="14">
        <v>0</v>
      </c>
      <c r="J86" s="14">
        <v>0</v>
      </c>
      <c r="K86" s="14">
        <v>0</v>
      </c>
      <c r="L86" s="14">
        <v>0</v>
      </c>
      <c r="M86" s="14">
        <v>0</v>
      </c>
      <c r="N86" s="14">
        <v>0</v>
      </c>
      <c r="O86" s="14">
        <v>0</v>
      </c>
      <c r="P86" s="14">
        <v>0</v>
      </c>
      <c r="Q86" s="15">
        <v>0</v>
      </c>
      <c r="R86" s="15">
        <v>0</v>
      </c>
      <c r="S86" s="15">
        <v>0</v>
      </c>
      <c r="T86" s="15">
        <v>0</v>
      </c>
      <c r="U86" s="15">
        <f>$G$86*$G$8+$H$86*$H$8+$I$86*$I$8+$J$86*$J$8+$K$86*$K$8+$L$86*$L$8+$M$86*$M$8+$N$86*$N$8+$O$86*$O$8+$P$86*$P$8</f>
        <v>0</v>
      </c>
      <c r="V86" s="15">
        <f>SUM($Q$86:$T$86)</f>
        <v>0</v>
      </c>
      <c r="W86" s="15">
        <f>$U$86+$V$86</f>
        <v>0</v>
      </c>
    </row>
    <row r="87" spans="1:23" x14ac:dyDescent="0.3">
      <c r="A87" s="10" t="s">
        <v>309</v>
      </c>
      <c r="B87" s="11" t="s">
        <v>310</v>
      </c>
      <c r="C87" s="11"/>
      <c r="D87" s="11" t="s">
        <v>311</v>
      </c>
      <c r="E87" s="11">
        <f xml:space="preserve"> IF($W$87,1,0)</f>
        <v>0</v>
      </c>
      <c r="F87" s="11" t="s">
        <v>312</v>
      </c>
      <c r="G87" s="11">
        <v>0</v>
      </c>
      <c r="H87" s="11">
        <v>0</v>
      </c>
      <c r="I87" s="11">
        <v>0</v>
      </c>
      <c r="J87" s="11">
        <v>0</v>
      </c>
      <c r="K87" s="11">
        <v>0</v>
      </c>
      <c r="L87" s="11">
        <v>0</v>
      </c>
      <c r="M87" s="11">
        <v>0</v>
      </c>
      <c r="N87" s="11">
        <v>0</v>
      </c>
      <c r="O87" s="11">
        <v>0</v>
      </c>
      <c r="P87" s="11">
        <v>0</v>
      </c>
      <c r="Q87" s="12">
        <v>0</v>
      </c>
      <c r="R87" s="12">
        <v>0</v>
      </c>
      <c r="S87" s="12">
        <v>0</v>
      </c>
      <c r="T87" s="12">
        <v>0</v>
      </c>
      <c r="U87" s="12">
        <f>$G$87*$G$8+$H$87*$H$8+$I$87*$I$8+$J$87*$J$8+$K$87*$K$8+$L$87*$L$8+$M$87*$M$8+$N$87*$N$8+$O$87*$O$8+$P$87*$P$8</f>
        <v>0</v>
      </c>
      <c r="V87" s="12">
        <f>SUM($Q$87:$T$87)</f>
        <v>0</v>
      </c>
      <c r="W87" s="12">
        <f>$U$87+$V$87</f>
        <v>0</v>
      </c>
    </row>
    <row r="88" spans="1:23" x14ac:dyDescent="0.3">
      <c r="A88" s="13" t="s">
        <v>313</v>
      </c>
      <c r="B88" s="14" t="s">
        <v>314</v>
      </c>
      <c r="C88" s="14"/>
      <c r="D88" s="14" t="s">
        <v>315</v>
      </c>
      <c r="E88" s="14">
        <f xml:space="preserve"> IF($W$88,1,0)</f>
        <v>0</v>
      </c>
      <c r="F88" s="14" t="s">
        <v>316</v>
      </c>
      <c r="G88" s="14">
        <v>0</v>
      </c>
      <c r="H88" s="14">
        <v>0</v>
      </c>
      <c r="I88" s="14">
        <v>0</v>
      </c>
      <c r="J88" s="14">
        <v>0</v>
      </c>
      <c r="K88" s="14">
        <v>0</v>
      </c>
      <c r="L88" s="14">
        <v>0</v>
      </c>
      <c r="M88" s="14">
        <v>0</v>
      </c>
      <c r="N88" s="14">
        <v>0</v>
      </c>
      <c r="O88" s="14">
        <v>0</v>
      </c>
      <c r="P88" s="14">
        <v>0</v>
      </c>
      <c r="Q88" s="15">
        <v>0</v>
      </c>
      <c r="R88" s="15">
        <v>0</v>
      </c>
      <c r="S88" s="15">
        <v>0</v>
      </c>
      <c r="T88" s="15">
        <v>0</v>
      </c>
      <c r="U88" s="15">
        <f>$G$88*$G$8+$H$88*$H$8+$I$88*$I$8+$J$88*$J$8+$K$88*$K$8+$L$88*$L$8+$M$88*$M$8+$N$88*$N$8+$O$88*$O$8+$P$88*$P$8</f>
        <v>0</v>
      </c>
      <c r="V88" s="15">
        <f>SUM($Q$88:$T$88)</f>
        <v>0</v>
      </c>
      <c r="W88" s="15">
        <f>$U$88+$V$88</f>
        <v>0</v>
      </c>
    </row>
    <row r="89" spans="1:23" x14ac:dyDescent="0.3">
      <c r="A89" s="10" t="s">
        <v>317</v>
      </c>
      <c r="B89" s="11" t="s">
        <v>318</v>
      </c>
      <c r="C89" s="11"/>
      <c r="D89" s="11" t="s">
        <v>319</v>
      </c>
      <c r="E89" s="11">
        <f xml:space="preserve"> IF($W$89,1,0)</f>
        <v>0</v>
      </c>
      <c r="F89" s="11" t="s">
        <v>320</v>
      </c>
      <c r="G89" s="11">
        <v>0</v>
      </c>
      <c r="H89" s="11">
        <v>0</v>
      </c>
      <c r="I89" s="11">
        <v>0</v>
      </c>
      <c r="J89" s="11">
        <v>0</v>
      </c>
      <c r="K89" s="11">
        <v>0</v>
      </c>
      <c r="L89" s="11">
        <v>0</v>
      </c>
      <c r="M89" s="11">
        <v>0</v>
      </c>
      <c r="N89" s="11">
        <v>0</v>
      </c>
      <c r="O89" s="11">
        <v>0</v>
      </c>
      <c r="P89" s="11">
        <v>0</v>
      </c>
      <c r="Q89" s="12">
        <v>0</v>
      </c>
      <c r="R89" s="12">
        <v>0</v>
      </c>
      <c r="S89" s="12">
        <v>0</v>
      </c>
      <c r="T89" s="12">
        <v>0</v>
      </c>
      <c r="U89" s="12">
        <f>$G$89*$G$8+$H$89*$H$8+$I$89*$I$8+$J$89*$J$8+$K$89*$K$8+$L$89*$L$8+$M$89*$M$8+$N$89*$N$8+$O$89*$O$8+$P$89*$P$8</f>
        <v>0</v>
      </c>
      <c r="V89" s="12">
        <f>SUM($Q$89:$T$89)</f>
        <v>0</v>
      </c>
      <c r="W89" s="12">
        <f>$U$89+$V$89</f>
        <v>0</v>
      </c>
    </row>
    <row r="90" spans="1:23" x14ac:dyDescent="0.3">
      <c r="A90" s="13" t="s">
        <v>321</v>
      </c>
      <c r="B90" s="14" t="s">
        <v>322</v>
      </c>
      <c r="C90" s="14"/>
      <c r="D90" s="14" t="s">
        <v>323</v>
      </c>
      <c r="E90" s="14">
        <f xml:space="preserve"> IF($W$90,1,0)</f>
        <v>0</v>
      </c>
      <c r="F90" s="14" t="s">
        <v>324</v>
      </c>
      <c r="G90" s="14">
        <v>0</v>
      </c>
      <c r="H90" s="14">
        <v>0</v>
      </c>
      <c r="I90" s="14">
        <v>0</v>
      </c>
      <c r="J90" s="14">
        <v>0</v>
      </c>
      <c r="K90" s="14">
        <v>0</v>
      </c>
      <c r="L90" s="14">
        <v>0</v>
      </c>
      <c r="M90" s="14">
        <v>0</v>
      </c>
      <c r="N90" s="14">
        <v>0</v>
      </c>
      <c r="O90" s="14">
        <v>0</v>
      </c>
      <c r="P90" s="14">
        <v>0</v>
      </c>
      <c r="Q90" s="15">
        <v>0</v>
      </c>
      <c r="R90" s="15">
        <v>0</v>
      </c>
      <c r="S90" s="15">
        <v>0</v>
      </c>
      <c r="T90" s="15">
        <v>0</v>
      </c>
      <c r="U90" s="15">
        <f>$G$90*$G$8+$H$90*$H$8+$I$90*$I$8+$J$90*$J$8+$K$90*$K$8+$L$90*$L$8+$M$90*$M$8+$N$90*$N$8+$O$90*$O$8+$P$90*$P$8</f>
        <v>0</v>
      </c>
      <c r="V90" s="15">
        <f>SUM($Q$90:$T$90)</f>
        <v>0</v>
      </c>
      <c r="W90" s="15">
        <f>$U$90+$V$90</f>
        <v>0</v>
      </c>
    </row>
    <row r="91" spans="1:23" x14ac:dyDescent="0.3">
      <c r="A91" s="10" t="s">
        <v>325</v>
      </c>
      <c r="B91" s="11" t="s">
        <v>326</v>
      </c>
      <c r="C91" s="11" t="s">
        <v>243</v>
      </c>
      <c r="D91" s="11" t="s">
        <v>327</v>
      </c>
      <c r="E91" s="11">
        <f xml:space="preserve"> IF($W$91,1,0)</f>
        <v>0</v>
      </c>
      <c r="F91" s="11" t="s">
        <v>328</v>
      </c>
      <c r="G91" s="11">
        <v>0</v>
      </c>
      <c r="H91" s="11">
        <v>0</v>
      </c>
      <c r="I91" s="11">
        <v>0</v>
      </c>
      <c r="J91" s="11">
        <v>0</v>
      </c>
      <c r="K91" s="11">
        <v>0</v>
      </c>
      <c r="L91" s="11">
        <v>0</v>
      </c>
      <c r="M91" s="11">
        <v>0</v>
      </c>
      <c r="N91" s="11">
        <v>0</v>
      </c>
      <c r="O91" s="11">
        <v>0</v>
      </c>
      <c r="P91" s="11">
        <v>0</v>
      </c>
      <c r="Q91" s="12">
        <v>0</v>
      </c>
      <c r="R91" s="12">
        <v>0</v>
      </c>
      <c r="S91" s="12">
        <v>0</v>
      </c>
      <c r="T91" s="12">
        <v>0</v>
      </c>
      <c r="U91" s="12">
        <f>$G$91*$G$8+$H$91*$H$8+$I$91*$I$8+$J$91*$J$8+$K$91*$K$8+$L$91*$L$8+$M$91*$M$8+$N$91*$N$8+$O$91*$O$8+$P$91*$P$8</f>
        <v>0</v>
      </c>
      <c r="V91" s="12">
        <f>SUM($Q$91:$T$91)</f>
        <v>0</v>
      </c>
      <c r="W91" s="12">
        <f>$U$91+$V$91</f>
        <v>0</v>
      </c>
    </row>
    <row r="92" spans="1:23" x14ac:dyDescent="0.3">
      <c r="A92" s="13" t="s">
        <v>329</v>
      </c>
      <c r="B92" s="14" t="s">
        <v>330</v>
      </c>
      <c r="C92" s="14"/>
      <c r="D92" s="14" t="s">
        <v>331</v>
      </c>
      <c r="E92" s="14">
        <f xml:space="preserve"> IF($W$92,1,0)</f>
        <v>0</v>
      </c>
      <c r="F92" s="14" t="s">
        <v>332</v>
      </c>
      <c r="G92" s="14">
        <v>0</v>
      </c>
      <c r="H92" s="14">
        <v>0</v>
      </c>
      <c r="I92" s="14">
        <v>0</v>
      </c>
      <c r="J92" s="14">
        <v>0</v>
      </c>
      <c r="K92" s="14">
        <v>0</v>
      </c>
      <c r="L92" s="14">
        <v>0</v>
      </c>
      <c r="M92" s="14">
        <v>0</v>
      </c>
      <c r="N92" s="14">
        <v>0</v>
      </c>
      <c r="O92" s="14">
        <v>0</v>
      </c>
      <c r="P92" s="14">
        <v>0</v>
      </c>
      <c r="Q92" s="15">
        <v>0</v>
      </c>
      <c r="R92" s="15">
        <v>0</v>
      </c>
      <c r="S92" s="15">
        <v>0</v>
      </c>
      <c r="T92" s="15">
        <v>0</v>
      </c>
      <c r="U92" s="15">
        <f>$G$92*$G$8+$H$92*$H$8+$I$92*$I$8+$J$92*$J$8+$K$92*$K$8+$L$92*$L$8+$M$92*$M$8+$N$92*$N$8+$O$92*$O$8+$P$92*$P$8</f>
        <v>0</v>
      </c>
      <c r="V92" s="15">
        <f>SUM($Q$92:$T$92)</f>
        <v>0</v>
      </c>
      <c r="W92" s="15">
        <f>$U$92+$V$92</f>
        <v>0</v>
      </c>
    </row>
    <row r="93" spans="1:23" x14ac:dyDescent="0.3">
      <c r="A93" s="10" t="s">
        <v>333</v>
      </c>
      <c r="B93" s="11" t="s">
        <v>334</v>
      </c>
      <c r="C93" s="11"/>
      <c r="D93" s="11" t="s">
        <v>335</v>
      </c>
      <c r="E93" s="11">
        <f xml:space="preserve"> IF($W$93,1,0)</f>
        <v>0</v>
      </c>
      <c r="F93" s="11" t="s">
        <v>336</v>
      </c>
      <c r="G93" s="11">
        <v>0</v>
      </c>
      <c r="H93" s="11">
        <v>0</v>
      </c>
      <c r="I93" s="11">
        <v>0</v>
      </c>
      <c r="J93" s="11">
        <v>0</v>
      </c>
      <c r="K93" s="11">
        <v>0</v>
      </c>
      <c r="L93" s="11">
        <v>0</v>
      </c>
      <c r="M93" s="11">
        <v>0</v>
      </c>
      <c r="N93" s="11">
        <v>0</v>
      </c>
      <c r="O93" s="11">
        <v>0</v>
      </c>
      <c r="P93" s="11">
        <v>0</v>
      </c>
      <c r="Q93" s="12">
        <v>0</v>
      </c>
      <c r="R93" s="12">
        <v>0</v>
      </c>
      <c r="S93" s="12">
        <v>0</v>
      </c>
      <c r="T93" s="12">
        <v>0</v>
      </c>
      <c r="U93" s="12">
        <f>$G$93*$G$8+$H$93*$H$8+$I$93*$I$8+$J$93*$J$8+$K$93*$K$8+$L$93*$L$8+$M$93*$M$8+$N$93*$N$8+$O$93*$O$8+$P$93*$P$8</f>
        <v>0</v>
      </c>
      <c r="V93" s="12">
        <f>SUM($Q$93:$T$93)</f>
        <v>0</v>
      </c>
      <c r="W93" s="12">
        <f>$U$93+$V$93</f>
        <v>0</v>
      </c>
    </row>
    <row r="94" spans="1:23" x14ac:dyDescent="0.3">
      <c r="A94" s="13" t="s">
        <v>337</v>
      </c>
      <c r="B94" s="14" t="s">
        <v>334</v>
      </c>
      <c r="C94" s="14"/>
      <c r="D94" s="14" t="s">
        <v>338</v>
      </c>
      <c r="E94" s="14">
        <f xml:space="preserve"> IF($W$94,1,0)</f>
        <v>0</v>
      </c>
      <c r="F94" s="14" t="s">
        <v>339</v>
      </c>
      <c r="G94" s="14">
        <v>0</v>
      </c>
      <c r="H94" s="14">
        <v>0</v>
      </c>
      <c r="I94" s="14">
        <v>0</v>
      </c>
      <c r="J94" s="14">
        <v>0</v>
      </c>
      <c r="K94" s="14">
        <v>0</v>
      </c>
      <c r="L94" s="14">
        <v>0</v>
      </c>
      <c r="M94" s="14">
        <v>0</v>
      </c>
      <c r="N94" s="14">
        <v>0</v>
      </c>
      <c r="O94" s="14">
        <v>0</v>
      </c>
      <c r="P94" s="14">
        <v>0</v>
      </c>
      <c r="Q94" s="15">
        <v>0</v>
      </c>
      <c r="R94" s="15">
        <v>0</v>
      </c>
      <c r="S94" s="15">
        <v>0</v>
      </c>
      <c r="T94" s="15">
        <v>0</v>
      </c>
      <c r="U94" s="15">
        <f>$G$94*$G$8+$H$94*$H$8+$I$94*$I$8+$J$94*$J$8+$K$94*$K$8+$L$94*$L$8+$M$94*$M$8+$N$94*$N$8+$O$94*$O$8+$P$94*$P$8</f>
        <v>0</v>
      </c>
      <c r="V94" s="15">
        <f>SUM($Q$94:$T$94)</f>
        <v>0</v>
      </c>
      <c r="W94" s="15">
        <f>$U$94+$V$94</f>
        <v>0</v>
      </c>
    </row>
    <row r="95" spans="1:23" x14ac:dyDescent="0.3">
      <c r="A95" s="10" t="s">
        <v>340</v>
      </c>
      <c r="B95" s="11" t="s">
        <v>341</v>
      </c>
      <c r="C95" s="11" t="s">
        <v>342</v>
      </c>
      <c r="D95" s="11" t="s">
        <v>343</v>
      </c>
      <c r="E95" s="11">
        <f xml:space="preserve"> IF($W$95,1,0)</f>
        <v>0</v>
      </c>
      <c r="F95" s="11" t="s">
        <v>344</v>
      </c>
      <c r="G95" s="11">
        <v>0</v>
      </c>
      <c r="H95" s="11">
        <v>0</v>
      </c>
      <c r="I95" s="11">
        <v>0</v>
      </c>
      <c r="J95" s="11">
        <v>0</v>
      </c>
      <c r="K95" s="11">
        <v>0</v>
      </c>
      <c r="L95" s="11">
        <v>0</v>
      </c>
      <c r="M95" s="11">
        <v>0</v>
      </c>
      <c r="N95" s="11">
        <v>0</v>
      </c>
      <c r="O95" s="11">
        <v>0</v>
      </c>
      <c r="P95" s="11">
        <v>0</v>
      </c>
      <c r="Q95" s="12">
        <v>0</v>
      </c>
      <c r="R95" s="12">
        <v>0</v>
      </c>
      <c r="S95" s="12">
        <v>0</v>
      </c>
      <c r="T95" s="12">
        <v>0</v>
      </c>
      <c r="U95" s="12">
        <f>$G$95*$G$8+$H$95*$H$8+$I$95*$I$8+$J$95*$J$8+$K$95*$K$8+$L$95*$L$8+$M$95*$M$8+$N$95*$N$8+$O$95*$O$8+$P$95*$P$8</f>
        <v>0</v>
      </c>
      <c r="V95" s="12">
        <f>SUM($Q$95:$T$95)</f>
        <v>0</v>
      </c>
      <c r="W95" s="12">
        <f>$U$95+$V$95</f>
        <v>0</v>
      </c>
    </row>
    <row r="96" spans="1:23" x14ac:dyDescent="0.3">
      <c r="A96" s="13" t="s">
        <v>345</v>
      </c>
      <c r="B96" s="14" t="s">
        <v>346</v>
      </c>
      <c r="C96" s="14"/>
      <c r="D96" s="14" t="s">
        <v>347</v>
      </c>
      <c r="E96" s="14">
        <f xml:space="preserve"> IF($W$96,1,0)</f>
        <v>0</v>
      </c>
      <c r="F96" s="14" t="s">
        <v>348</v>
      </c>
      <c r="G96" s="14">
        <v>0</v>
      </c>
      <c r="H96" s="14">
        <v>0</v>
      </c>
      <c r="I96" s="14">
        <v>0</v>
      </c>
      <c r="J96" s="14">
        <v>0</v>
      </c>
      <c r="K96" s="14">
        <v>0</v>
      </c>
      <c r="L96" s="14">
        <v>0</v>
      </c>
      <c r="M96" s="14">
        <v>0</v>
      </c>
      <c r="N96" s="14">
        <v>0</v>
      </c>
      <c r="O96" s="14">
        <v>0</v>
      </c>
      <c r="P96" s="14">
        <v>0</v>
      </c>
      <c r="Q96" s="15">
        <v>0</v>
      </c>
      <c r="R96" s="15">
        <v>0</v>
      </c>
      <c r="S96" s="15">
        <v>0</v>
      </c>
      <c r="T96" s="15">
        <v>0</v>
      </c>
      <c r="U96" s="15">
        <f>$G$96*$G$8+$H$96*$H$8+$I$96*$I$8+$J$96*$J$8+$K$96*$K$8+$L$96*$L$8+$M$96*$M$8+$N$96*$N$8+$O$96*$O$8+$P$96*$P$8</f>
        <v>0</v>
      </c>
      <c r="V96" s="15">
        <f>SUM($Q$96:$T$96)</f>
        <v>0</v>
      </c>
      <c r="W96" s="15">
        <f>$U$96+$V$96</f>
        <v>0</v>
      </c>
    </row>
    <row r="97" spans="1:23" x14ac:dyDescent="0.3">
      <c r="A97" s="10" t="s">
        <v>349</v>
      </c>
      <c r="B97" s="11" t="s">
        <v>350</v>
      </c>
      <c r="C97" s="11"/>
      <c r="D97" s="11" t="s">
        <v>351</v>
      </c>
      <c r="E97" s="11">
        <f xml:space="preserve"> IF($W$97,1,0)</f>
        <v>0</v>
      </c>
      <c r="F97" s="11" t="s">
        <v>352</v>
      </c>
      <c r="G97" s="11">
        <v>0</v>
      </c>
      <c r="H97" s="11">
        <v>0</v>
      </c>
      <c r="I97" s="11">
        <v>0</v>
      </c>
      <c r="J97" s="11">
        <v>0</v>
      </c>
      <c r="K97" s="11">
        <v>0</v>
      </c>
      <c r="L97" s="11">
        <v>0</v>
      </c>
      <c r="M97" s="11">
        <v>0</v>
      </c>
      <c r="N97" s="11">
        <v>0</v>
      </c>
      <c r="O97" s="11">
        <v>0</v>
      </c>
      <c r="P97" s="11">
        <v>0</v>
      </c>
      <c r="Q97" s="12">
        <v>0</v>
      </c>
      <c r="R97" s="12">
        <v>0</v>
      </c>
      <c r="S97" s="12">
        <v>0</v>
      </c>
      <c r="T97" s="12">
        <v>0</v>
      </c>
      <c r="U97" s="12">
        <f>$G$97*$G$8+$H$97*$H$8+$I$97*$I$8+$J$97*$J$8+$K$97*$K$8+$L$97*$L$8+$M$97*$M$8+$N$97*$N$8+$O$97*$O$8+$P$97*$P$8</f>
        <v>0</v>
      </c>
      <c r="V97" s="12">
        <f>SUM($Q$97:$T$97)</f>
        <v>0</v>
      </c>
      <c r="W97" s="12">
        <f>$U$97+$V$97</f>
        <v>0</v>
      </c>
    </row>
    <row r="98" spans="1:23" x14ac:dyDescent="0.3">
      <c r="A98" s="13" t="s">
        <v>353</v>
      </c>
      <c r="B98" s="14" t="s">
        <v>354</v>
      </c>
      <c r="C98" s="14"/>
      <c r="D98" s="14" t="s">
        <v>355</v>
      </c>
      <c r="E98" s="14">
        <f xml:space="preserve"> IF($W$98,1,0)</f>
        <v>0</v>
      </c>
      <c r="F98" s="14" t="s">
        <v>356</v>
      </c>
      <c r="G98" s="14">
        <v>0</v>
      </c>
      <c r="H98" s="14">
        <v>0</v>
      </c>
      <c r="I98" s="14">
        <v>0</v>
      </c>
      <c r="J98" s="14">
        <v>0</v>
      </c>
      <c r="K98" s="14">
        <v>0</v>
      </c>
      <c r="L98" s="14">
        <v>0</v>
      </c>
      <c r="M98" s="14">
        <v>0</v>
      </c>
      <c r="N98" s="14">
        <v>0</v>
      </c>
      <c r="O98" s="14">
        <v>0</v>
      </c>
      <c r="P98" s="14">
        <v>0</v>
      </c>
      <c r="Q98" s="15">
        <v>0</v>
      </c>
      <c r="R98" s="15">
        <v>0</v>
      </c>
      <c r="S98" s="15">
        <v>0</v>
      </c>
      <c r="T98" s="15">
        <v>0</v>
      </c>
      <c r="U98" s="15">
        <f>$G$98*$G$8+$H$98*$H$8+$I$98*$I$8+$J$98*$J$8+$K$98*$K$8+$L$98*$L$8+$M$98*$M$8+$N$98*$N$8+$O$98*$O$8+$P$98*$P$8</f>
        <v>0</v>
      </c>
      <c r="V98" s="15">
        <f>SUM($Q$98:$T$98)</f>
        <v>0</v>
      </c>
      <c r="W98" s="15">
        <f>$U$98+$V$98</f>
        <v>0</v>
      </c>
    </row>
    <row r="99" spans="1:23" x14ac:dyDescent="0.3">
      <c r="A99" s="10" t="s">
        <v>357</v>
      </c>
      <c r="B99" s="11" t="s">
        <v>358</v>
      </c>
      <c r="C99" s="11" t="s">
        <v>34</v>
      </c>
      <c r="D99" s="11" t="s">
        <v>359</v>
      </c>
      <c r="E99" s="11">
        <f xml:space="preserve"> IF($W$99,1,0)</f>
        <v>0</v>
      </c>
      <c r="F99" s="11" t="s">
        <v>360</v>
      </c>
      <c r="G99" s="11">
        <v>0</v>
      </c>
      <c r="H99" s="11">
        <v>0</v>
      </c>
      <c r="I99" s="11">
        <v>0</v>
      </c>
      <c r="J99" s="11">
        <v>0</v>
      </c>
      <c r="K99" s="11">
        <v>0</v>
      </c>
      <c r="L99" s="11">
        <v>0</v>
      </c>
      <c r="M99" s="11">
        <v>0</v>
      </c>
      <c r="N99" s="11">
        <v>0</v>
      </c>
      <c r="O99" s="11">
        <v>0</v>
      </c>
      <c r="P99" s="11">
        <v>0</v>
      </c>
      <c r="Q99" s="12">
        <v>0</v>
      </c>
      <c r="R99" s="12">
        <v>0</v>
      </c>
      <c r="S99" s="12">
        <v>0</v>
      </c>
      <c r="T99" s="12">
        <v>0</v>
      </c>
      <c r="U99" s="12">
        <f>$G$99*$G$8+$H$99*$H$8+$I$99*$I$8+$J$99*$J$8+$K$99*$K$8+$L$99*$L$8+$M$99*$M$8+$N$99*$N$8+$O$99*$O$8+$P$99*$P$8</f>
        <v>0</v>
      </c>
      <c r="V99" s="12">
        <f>SUM($Q$99:$T$99)</f>
        <v>0</v>
      </c>
      <c r="W99" s="12">
        <f>$U$99+$V$99</f>
        <v>0</v>
      </c>
    </row>
    <row r="100" spans="1:23" x14ac:dyDescent="0.3">
      <c r="A100" s="13" t="s">
        <v>361</v>
      </c>
      <c r="B100" s="14" t="s">
        <v>358</v>
      </c>
      <c r="C100" s="14" t="s">
        <v>34</v>
      </c>
      <c r="D100" s="14" t="s">
        <v>362</v>
      </c>
      <c r="E100" s="14">
        <f xml:space="preserve"> IF($W$100,1,0)</f>
        <v>0</v>
      </c>
      <c r="F100" s="14" t="s">
        <v>363</v>
      </c>
      <c r="G100" s="14">
        <v>0</v>
      </c>
      <c r="H100" s="14">
        <v>0</v>
      </c>
      <c r="I100" s="14">
        <v>0</v>
      </c>
      <c r="J100" s="14">
        <v>0</v>
      </c>
      <c r="K100" s="14">
        <v>0</v>
      </c>
      <c r="L100" s="14">
        <v>0</v>
      </c>
      <c r="M100" s="14">
        <v>0</v>
      </c>
      <c r="N100" s="14">
        <v>0</v>
      </c>
      <c r="O100" s="14">
        <v>0</v>
      </c>
      <c r="P100" s="14">
        <v>0</v>
      </c>
      <c r="Q100" s="15">
        <v>0</v>
      </c>
      <c r="R100" s="15">
        <v>0</v>
      </c>
      <c r="S100" s="15">
        <v>0</v>
      </c>
      <c r="T100" s="15">
        <v>0</v>
      </c>
      <c r="U100" s="15">
        <f>$G$100*$G$8+$H$100*$H$8+$I$100*$I$8+$J$100*$J$8+$K$100*$K$8+$L$100*$L$8+$M$100*$M$8+$N$100*$N$8+$O$100*$O$8+$P$100*$P$8</f>
        <v>0</v>
      </c>
      <c r="V100" s="15">
        <f>SUM($Q$100:$T$100)</f>
        <v>0</v>
      </c>
      <c r="W100" s="15">
        <f>$U$100+$V$100</f>
        <v>0</v>
      </c>
    </row>
    <row r="101" spans="1:23" x14ac:dyDescent="0.3">
      <c r="A101" s="10" t="s">
        <v>364</v>
      </c>
      <c r="B101" s="11" t="s">
        <v>358</v>
      </c>
      <c r="C101" s="11"/>
      <c r="D101" s="11" t="s">
        <v>365</v>
      </c>
      <c r="E101" s="11">
        <f xml:space="preserve"> IF($W$101,1,0)</f>
        <v>1</v>
      </c>
      <c r="F101" s="11" t="s">
        <v>366</v>
      </c>
      <c r="G101" s="11">
        <v>0</v>
      </c>
      <c r="H101" s="11">
        <v>0</v>
      </c>
      <c r="I101" s="11">
        <v>0</v>
      </c>
      <c r="J101" s="11">
        <v>0</v>
      </c>
      <c r="K101" s="11">
        <v>0</v>
      </c>
      <c r="L101" s="11">
        <v>0</v>
      </c>
      <c r="M101" s="11">
        <v>0</v>
      </c>
      <c r="N101" s="11">
        <v>0</v>
      </c>
      <c r="O101" s="11">
        <v>0</v>
      </c>
      <c r="P101" s="11">
        <v>0</v>
      </c>
      <c r="Q101" s="12">
        <v>0</v>
      </c>
      <c r="R101" s="12">
        <v>0</v>
      </c>
      <c r="S101" s="12">
        <v>0</v>
      </c>
      <c r="T101" s="12">
        <f>$V$345</f>
        <v>5</v>
      </c>
      <c r="U101" s="12">
        <f>$G$101*$G$8+$H$101*$H$8+$I$101*$I$8+$J$101*$J$8+$K$101*$K$8+$L$101*$L$8+$M$101*$M$8+$N$101*$N$8+$O$101*$O$8+$P$101*$P$8</f>
        <v>0</v>
      </c>
      <c r="V101" s="12">
        <f>SUM($Q$101:$T$101)</f>
        <v>5</v>
      </c>
      <c r="W101" s="12">
        <f>$U$101+$V$101</f>
        <v>5</v>
      </c>
    </row>
    <row r="102" spans="1:23" x14ac:dyDescent="0.3">
      <c r="A102" s="13" t="s">
        <v>1287</v>
      </c>
      <c r="B102" s="14" t="s">
        <v>1288</v>
      </c>
      <c r="C102" s="14"/>
      <c r="D102" s="14" t="s">
        <v>1285</v>
      </c>
      <c r="E102" s="14">
        <f xml:space="preserve"> IF($W$102,1,0)</f>
        <v>0</v>
      </c>
      <c r="F102" s="14" t="s">
        <v>1289</v>
      </c>
      <c r="G102" s="14">
        <v>0</v>
      </c>
      <c r="H102" s="14">
        <v>0</v>
      </c>
      <c r="I102" s="14">
        <v>0</v>
      </c>
      <c r="J102" s="14">
        <v>0</v>
      </c>
      <c r="K102" s="14">
        <v>0</v>
      </c>
      <c r="L102" s="14">
        <v>0</v>
      </c>
      <c r="M102" s="14">
        <v>0</v>
      </c>
      <c r="N102" s="14">
        <v>0</v>
      </c>
      <c r="O102" s="14">
        <v>0</v>
      </c>
      <c r="P102" s="14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f>$G$102*$G$8+$H$102*$H$8+$I$102*$I$8+$J$102*$J$8+$K$102*$K$8+$L$102*$L$8+$M$102*$M$8+$N$102*$N$8+$O$102*$O$8+$P$102*$P$8</f>
        <v>0</v>
      </c>
      <c r="V102" s="15">
        <f>SUM($Q$102:$T$102)</f>
        <v>0</v>
      </c>
      <c r="W102" s="15">
        <f>$U$102+$V$102</f>
        <v>0</v>
      </c>
    </row>
    <row r="103" spans="1:23" x14ac:dyDescent="0.3">
      <c r="A103" s="10" t="s">
        <v>367</v>
      </c>
      <c r="B103" s="11" t="s">
        <v>368</v>
      </c>
      <c r="C103" s="11" t="s">
        <v>34</v>
      </c>
      <c r="D103" s="11" t="s">
        <v>118</v>
      </c>
      <c r="E103" s="11">
        <f xml:space="preserve"> IF($W$103,1,0)</f>
        <v>0</v>
      </c>
      <c r="F103" s="11" t="s">
        <v>369</v>
      </c>
      <c r="G103" s="11">
        <v>0</v>
      </c>
      <c r="H103" s="11">
        <v>0</v>
      </c>
      <c r="I103" s="11">
        <v>0</v>
      </c>
      <c r="J103" s="11">
        <v>0</v>
      </c>
      <c r="K103" s="11">
        <v>0</v>
      </c>
      <c r="L103" s="11">
        <v>0</v>
      </c>
      <c r="M103" s="11">
        <v>0</v>
      </c>
      <c r="N103" s="11">
        <v>0</v>
      </c>
      <c r="O103" s="11">
        <v>0</v>
      </c>
      <c r="P103" s="11">
        <v>0</v>
      </c>
      <c r="Q103" s="12">
        <v>0</v>
      </c>
      <c r="R103" s="12">
        <v>0</v>
      </c>
      <c r="S103" s="12">
        <v>0</v>
      </c>
      <c r="T103" s="12">
        <v>0</v>
      </c>
      <c r="U103" s="12">
        <f>$G$103*$G$8+$H$103*$H$8+$I$103*$I$8+$J$103*$J$8+$K$103*$K$8+$L$103*$L$8+$M$103*$M$8+$N$103*$N$8+$O$103*$O$8+$P$103*$P$8</f>
        <v>0</v>
      </c>
      <c r="V103" s="12">
        <f>SUM($Q$103:$T$103)</f>
        <v>0</v>
      </c>
      <c r="W103" s="12">
        <f>$U$103+$V$103</f>
        <v>0</v>
      </c>
    </row>
    <row r="104" spans="1:23" x14ac:dyDescent="0.3">
      <c r="A104" s="13" t="s">
        <v>370</v>
      </c>
      <c r="B104" s="14" t="s">
        <v>371</v>
      </c>
      <c r="C104" s="14"/>
      <c r="D104" s="14" t="s">
        <v>372</v>
      </c>
      <c r="E104" s="14">
        <f xml:space="preserve"> IF($W$104,1,0)</f>
        <v>0</v>
      </c>
      <c r="F104" s="14" t="s">
        <v>373</v>
      </c>
      <c r="G104" s="14">
        <v>0</v>
      </c>
      <c r="H104" s="14">
        <v>0</v>
      </c>
      <c r="I104" s="14">
        <v>0</v>
      </c>
      <c r="J104" s="14">
        <v>0</v>
      </c>
      <c r="K104" s="14">
        <v>0</v>
      </c>
      <c r="L104" s="14">
        <v>0</v>
      </c>
      <c r="M104" s="14">
        <v>0</v>
      </c>
      <c r="N104" s="14">
        <v>0</v>
      </c>
      <c r="O104" s="14">
        <v>0</v>
      </c>
      <c r="P104" s="14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f>$G$104*$G$8+$H$104*$H$8+$I$104*$I$8+$J$104*$J$8+$K$104*$K$8+$L$104*$L$8+$M$104*$M$8+$N$104*$N$8+$O$104*$O$8+$P$104*$P$8</f>
        <v>0</v>
      </c>
      <c r="V104" s="15">
        <f>SUM($Q$104:$T$104)</f>
        <v>0</v>
      </c>
      <c r="W104" s="15">
        <f>$U$104+$V$104</f>
        <v>0</v>
      </c>
    </row>
    <row r="105" spans="1:23" x14ac:dyDescent="0.3">
      <c r="A105" s="10" t="s">
        <v>374</v>
      </c>
      <c r="B105" s="11" t="s">
        <v>375</v>
      </c>
      <c r="C105" s="11"/>
      <c r="D105" s="11" t="s">
        <v>376</v>
      </c>
      <c r="E105" s="11">
        <f xml:space="preserve"> IF($W$105,1,0)</f>
        <v>0</v>
      </c>
      <c r="F105" s="11" t="s">
        <v>377</v>
      </c>
      <c r="G105" s="11">
        <v>0</v>
      </c>
      <c r="H105" s="11">
        <v>0</v>
      </c>
      <c r="I105" s="11">
        <v>0</v>
      </c>
      <c r="J105" s="11">
        <v>0</v>
      </c>
      <c r="K105" s="11">
        <v>0</v>
      </c>
      <c r="L105" s="11">
        <v>0</v>
      </c>
      <c r="M105" s="11">
        <v>0</v>
      </c>
      <c r="N105" s="11">
        <v>0</v>
      </c>
      <c r="O105" s="11">
        <v>0</v>
      </c>
      <c r="P105" s="11">
        <v>0</v>
      </c>
      <c r="Q105" s="12">
        <v>0</v>
      </c>
      <c r="R105" s="12">
        <v>0</v>
      </c>
      <c r="S105" s="12">
        <v>0</v>
      </c>
      <c r="T105" s="12">
        <v>0</v>
      </c>
      <c r="U105" s="12">
        <f>$G$105*$G$8+$H$105*$H$8+$I$105*$I$8+$J$105*$J$8+$K$105*$K$8+$L$105*$L$8+$M$105*$M$8+$N$105*$N$8+$O$105*$O$8+$P$105*$P$8</f>
        <v>0</v>
      </c>
      <c r="V105" s="12">
        <f>SUM($Q$105:$T$105)</f>
        <v>0</v>
      </c>
      <c r="W105" s="12">
        <f>$U$105+$V$105</f>
        <v>0</v>
      </c>
    </row>
    <row r="106" spans="1:23" x14ac:dyDescent="0.3">
      <c r="A106" s="13" t="s">
        <v>378</v>
      </c>
      <c r="B106" s="14" t="s">
        <v>379</v>
      </c>
      <c r="C106" s="14"/>
      <c r="D106" s="14" t="s">
        <v>380</v>
      </c>
      <c r="E106" s="14">
        <f xml:space="preserve"> IF($W$106,1,0)</f>
        <v>0</v>
      </c>
      <c r="F106" s="14" t="s">
        <v>381</v>
      </c>
      <c r="G106" s="14">
        <v>0</v>
      </c>
      <c r="H106" s="14">
        <v>0</v>
      </c>
      <c r="I106" s="14">
        <v>0</v>
      </c>
      <c r="J106" s="14">
        <v>0</v>
      </c>
      <c r="K106" s="14">
        <v>0</v>
      </c>
      <c r="L106" s="14">
        <v>0</v>
      </c>
      <c r="M106" s="14">
        <v>0</v>
      </c>
      <c r="N106" s="14">
        <v>0</v>
      </c>
      <c r="O106" s="14">
        <v>0</v>
      </c>
      <c r="P106" s="14">
        <v>0</v>
      </c>
      <c r="Q106" s="15">
        <v>0</v>
      </c>
      <c r="R106" s="15">
        <v>0</v>
      </c>
      <c r="S106" s="15">
        <v>0</v>
      </c>
      <c r="T106" s="15">
        <v>0</v>
      </c>
      <c r="U106" s="15">
        <f>$G$106*$G$8+$H$106*$H$8+$I$106*$I$8+$J$106*$J$8+$K$106*$K$8+$L$106*$L$8+$M$106*$M$8+$N$106*$N$8+$O$106*$O$8+$P$106*$P$8</f>
        <v>0</v>
      </c>
      <c r="V106" s="15">
        <f>SUM($Q$106:$T$106)</f>
        <v>0</v>
      </c>
      <c r="W106" s="15">
        <f>$U$106+$V$106</f>
        <v>0</v>
      </c>
    </row>
    <row r="107" spans="1:23" x14ac:dyDescent="0.3">
      <c r="A107" s="10" t="s">
        <v>382</v>
      </c>
      <c r="B107" s="11" t="s">
        <v>383</v>
      </c>
      <c r="C107" s="11"/>
      <c r="D107" s="11" t="s">
        <v>384</v>
      </c>
      <c r="E107" s="11">
        <f xml:space="preserve"> IF($W$107,1,0)</f>
        <v>0</v>
      </c>
      <c r="F107" s="11" t="s">
        <v>385</v>
      </c>
      <c r="G107" s="11">
        <v>0</v>
      </c>
      <c r="H107" s="11">
        <v>0</v>
      </c>
      <c r="I107" s="11">
        <v>0</v>
      </c>
      <c r="J107" s="11">
        <v>0</v>
      </c>
      <c r="K107" s="11">
        <v>0</v>
      </c>
      <c r="L107" s="11">
        <v>0</v>
      </c>
      <c r="M107" s="11">
        <v>0</v>
      </c>
      <c r="N107" s="11">
        <v>0</v>
      </c>
      <c r="O107" s="11">
        <v>0</v>
      </c>
      <c r="P107" s="11">
        <v>0</v>
      </c>
      <c r="Q107" s="12">
        <v>0</v>
      </c>
      <c r="R107" s="12">
        <v>0</v>
      </c>
      <c r="S107" s="12">
        <v>0</v>
      </c>
      <c r="T107" s="12">
        <v>0</v>
      </c>
      <c r="U107" s="12">
        <f>$G$107*$G$8+$H$107*$H$8+$I$107*$I$8+$J$107*$J$8+$K$107*$K$8+$L$107*$L$8+$M$107*$M$8+$N$107*$N$8+$O$107*$O$8+$P$107*$P$8</f>
        <v>0</v>
      </c>
      <c r="V107" s="12">
        <f>SUM($Q$107:$T$107)</f>
        <v>0</v>
      </c>
      <c r="W107" s="12">
        <f>$U$107+$V$107</f>
        <v>0</v>
      </c>
    </row>
    <row r="108" spans="1:23" x14ac:dyDescent="0.3">
      <c r="A108" s="13" t="s">
        <v>386</v>
      </c>
      <c r="B108" s="14" t="s">
        <v>387</v>
      </c>
      <c r="C108" s="14" t="s">
        <v>278</v>
      </c>
      <c r="D108" s="14" t="s">
        <v>388</v>
      </c>
      <c r="E108" s="14">
        <f xml:space="preserve"> IF($W$108,1,0)</f>
        <v>0</v>
      </c>
      <c r="F108" s="14" t="s">
        <v>389</v>
      </c>
      <c r="G108" s="14">
        <v>0</v>
      </c>
      <c r="H108" s="14">
        <v>0</v>
      </c>
      <c r="I108" s="14">
        <v>0</v>
      </c>
      <c r="J108" s="14">
        <v>0</v>
      </c>
      <c r="K108" s="14">
        <v>0</v>
      </c>
      <c r="L108" s="14">
        <v>0</v>
      </c>
      <c r="M108" s="14">
        <v>0</v>
      </c>
      <c r="N108" s="14">
        <v>0</v>
      </c>
      <c r="O108" s="14">
        <v>0</v>
      </c>
      <c r="P108" s="14">
        <v>0</v>
      </c>
      <c r="Q108" s="15">
        <v>0</v>
      </c>
      <c r="R108" s="15">
        <v>0</v>
      </c>
      <c r="S108" s="15">
        <v>0</v>
      </c>
      <c r="T108" s="15">
        <v>0</v>
      </c>
      <c r="U108" s="15">
        <f>$G$108*$G$8+$H$108*$H$8+$I$108*$I$8+$J$108*$J$8+$K$108*$K$8+$L$108*$L$8+$M$108*$M$8+$N$108*$N$8+$O$108*$O$8+$P$108*$P$8</f>
        <v>0</v>
      </c>
      <c r="V108" s="15">
        <f>SUM($Q$108:$T$108)</f>
        <v>0</v>
      </c>
      <c r="W108" s="15">
        <f>$U$108+$V$108</f>
        <v>0</v>
      </c>
    </row>
    <row r="109" spans="1:23" x14ac:dyDescent="0.3">
      <c r="A109" s="10" t="s">
        <v>390</v>
      </c>
      <c r="B109" s="11" t="s">
        <v>387</v>
      </c>
      <c r="C109" s="11" t="s">
        <v>34</v>
      </c>
      <c r="D109" s="11" t="s">
        <v>391</v>
      </c>
      <c r="E109" s="11">
        <f xml:space="preserve"> IF($W$109,1,0)</f>
        <v>0</v>
      </c>
      <c r="F109" s="11" t="s">
        <v>392</v>
      </c>
      <c r="G109" s="11">
        <v>0</v>
      </c>
      <c r="H109" s="11">
        <v>0</v>
      </c>
      <c r="I109" s="11">
        <v>0</v>
      </c>
      <c r="J109" s="11">
        <v>0</v>
      </c>
      <c r="K109" s="11">
        <v>0</v>
      </c>
      <c r="L109" s="11">
        <v>0</v>
      </c>
      <c r="M109" s="11">
        <v>0</v>
      </c>
      <c r="N109" s="11">
        <v>0</v>
      </c>
      <c r="O109" s="11">
        <v>0</v>
      </c>
      <c r="P109" s="11">
        <v>0</v>
      </c>
      <c r="Q109" s="12">
        <v>0</v>
      </c>
      <c r="R109" s="12">
        <v>0</v>
      </c>
      <c r="S109" s="12">
        <v>0</v>
      </c>
      <c r="T109" s="12">
        <v>0</v>
      </c>
      <c r="U109" s="12">
        <f>$G$109*$G$8+$H$109*$H$8+$I$109*$I$8+$J$109*$J$8+$K$109*$K$8+$L$109*$L$8+$M$109*$M$8+$N$109*$N$8+$O$109*$O$8+$P$109*$P$8</f>
        <v>0</v>
      </c>
      <c r="V109" s="12">
        <f>SUM($Q$109:$T$109)</f>
        <v>0</v>
      </c>
      <c r="W109" s="12">
        <f>$U$109+$V$109</f>
        <v>0</v>
      </c>
    </row>
    <row r="110" spans="1:23" x14ac:dyDescent="0.3">
      <c r="A110" s="13" t="s">
        <v>393</v>
      </c>
      <c r="B110" s="14" t="s">
        <v>394</v>
      </c>
      <c r="C110" s="14"/>
      <c r="D110" s="14" t="s">
        <v>395</v>
      </c>
      <c r="E110" s="14">
        <f xml:space="preserve"> IF($W$110,1,0)</f>
        <v>0</v>
      </c>
      <c r="F110" s="14" t="s">
        <v>396</v>
      </c>
      <c r="G110" s="14">
        <v>0</v>
      </c>
      <c r="H110" s="14">
        <v>0</v>
      </c>
      <c r="I110" s="14">
        <v>0</v>
      </c>
      <c r="J110" s="14">
        <v>0</v>
      </c>
      <c r="K110" s="14">
        <v>0</v>
      </c>
      <c r="L110" s="14">
        <v>0</v>
      </c>
      <c r="M110" s="14">
        <v>0</v>
      </c>
      <c r="N110" s="14">
        <v>0</v>
      </c>
      <c r="O110" s="14">
        <v>0</v>
      </c>
      <c r="P110" s="14">
        <v>0</v>
      </c>
      <c r="Q110" s="15">
        <v>0</v>
      </c>
      <c r="R110" s="15">
        <v>0</v>
      </c>
      <c r="S110" s="15">
        <v>0</v>
      </c>
      <c r="T110" s="15">
        <v>0</v>
      </c>
      <c r="U110" s="15">
        <f>$G$110*$G$8+$H$110*$H$8+$I$110*$I$8+$J$110*$J$8+$K$110*$K$8+$L$110*$L$8+$M$110*$M$8+$N$110*$N$8+$O$110*$O$8+$P$110*$P$8</f>
        <v>0</v>
      </c>
      <c r="V110" s="15">
        <f>SUM($Q$110:$T$110)</f>
        <v>0</v>
      </c>
      <c r="W110" s="15">
        <f>$U$110+$V$110</f>
        <v>0</v>
      </c>
    </row>
    <row r="111" spans="1:23" x14ac:dyDescent="0.3">
      <c r="A111" s="10" t="s">
        <v>397</v>
      </c>
      <c r="B111" s="11" t="s">
        <v>398</v>
      </c>
      <c r="C111" s="11" t="s">
        <v>243</v>
      </c>
      <c r="D111" s="11" t="s">
        <v>399</v>
      </c>
      <c r="E111" s="11">
        <f xml:space="preserve"> IF($W$111,1,0)</f>
        <v>0</v>
      </c>
      <c r="F111" s="11" t="s">
        <v>400</v>
      </c>
      <c r="G111" s="11">
        <v>0</v>
      </c>
      <c r="H111" s="11">
        <v>0</v>
      </c>
      <c r="I111" s="11">
        <v>0</v>
      </c>
      <c r="J111" s="11">
        <v>0</v>
      </c>
      <c r="K111" s="11">
        <v>0</v>
      </c>
      <c r="L111" s="11">
        <v>0</v>
      </c>
      <c r="M111" s="11">
        <v>0</v>
      </c>
      <c r="N111" s="11">
        <v>0</v>
      </c>
      <c r="O111" s="11">
        <v>0</v>
      </c>
      <c r="P111" s="11">
        <v>0</v>
      </c>
      <c r="Q111" s="12">
        <v>0</v>
      </c>
      <c r="R111" s="12">
        <v>0</v>
      </c>
      <c r="S111" s="12">
        <v>0</v>
      </c>
      <c r="T111" s="12">
        <v>0</v>
      </c>
      <c r="U111" s="12">
        <f>$G$111*$G$8+$H$111*$H$8+$I$111*$I$8+$J$111*$J$8+$K$111*$K$8+$L$111*$L$8+$M$111*$M$8+$N$111*$N$8+$O$111*$O$8+$P$111*$P$8</f>
        <v>0</v>
      </c>
      <c r="V111" s="12">
        <f>SUM($Q$111:$T$111)</f>
        <v>0</v>
      </c>
      <c r="W111" s="12">
        <f>$U$111+$V$111</f>
        <v>0</v>
      </c>
    </row>
    <row r="112" spans="1:23" x14ac:dyDescent="0.3">
      <c r="A112" s="13" t="s">
        <v>401</v>
      </c>
      <c r="B112" s="14" t="s">
        <v>402</v>
      </c>
      <c r="C112" s="14"/>
      <c r="D112" s="14" t="s">
        <v>403</v>
      </c>
      <c r="E112" s="14">
        <f xml:space="preserve"> IF($W$112,1,0)</f>
        <v>0</v>
      </c>
      <c r="F112" s="14" t="s">
        <v>404</v>
      </c>
      <c r="G112" s="14">
        <v>0</v>
      </c>
      <c r="H112" s="14">
        <v>0</v>
      </c>
      <c r="I112" s="14">
        <v>0</v>
      </c>
      <c r="J112" s="14">
        <v>0</v>
      </c>
      <c r="K112" s="14">
        <v>0</v>
      </c>
      <c r="L112" s="14">
        <v>0</v>
      </c>
      <c r="M112" s="14">
        <v>0</v>
      </c>
      <c r="N112" s="14">
        <v>0</v>
      </c>
      <c r="O112" s="14">
        <v>0</v>
      </c>
      <c r="P112" s="14">
        <v>0</v>
      </c>
      <c r="Q112" s="15">
        <v>0</v>
      </c>
      <c r="R112" s="15">
        <v>0</v>
      </c>
      <c r="S112" s="15">
        <v>0</v>
      </c>
      <c r="T112" s="15">
        <v>0</v>
      </c>
      <c r="U112" s="15">
        <f>$G$112*$G$8+$H$112*$H$8+$I$112*$I$8+$J$112*$J$8+$K$112*$K$8+$L$112*$L$8+$M$112*$M$8+$N$112*$N$8+$O$112*$O$8+$P$112*$P$8</f>
        <v>0</v>
      </c>
      <c r="V112" s="15">
        <f>SUM($Q$112:$T$112)</f>
        <v>0</v>
      </c>
      <c r="W112" s="15">
        <f>$U$112+$V$112</f>
        <v>0</v>
      </c>
    </row>
    <row r="113" spans="1:23" x14ac:dyDescent="0.3">
      <c r="A113" s="10" t="s">
        <v>405</v>
      </c>
      <c r="B113" s="11" t="s">
        <v>406</v>
      </c>
      <c r="C113" s="11"/>
      <c r="D113" s="11" t="s">
        <v>407</v>
      </c>
      <c r="E113" s="11">
        <f xml:space="preserve"> IF($W$113,1,0)</f>
        <v>0</v>
      </c>
      <c r="F113" s="11" t="s">
        <v>408</v>
      </c>
      <c r="G113" s="11">
        <v>0</v>
      </c>
      <c r="H113" s="11">
        <v>0</v>
      </c>
      <c r="I113" s="11">
        <v>0</v>
      </c>
      <c r="J113" s="11">
        <v>0</v>
      </c>
      <c r="K113" s="11">
        <v>0</v>
      </c>
      <c r="L113" s="11">
        <v>0</v>
      </c>
      <c r="M113" s="11">
        <v>0</v>
      </c>
      <c r="N113" s="11">
        <v>0</v>
      </c>
      <c r="O113" s="11">
        <v>0</v>
      </c>
      <c r="P113" s="11">
        <v>0</v>
      </c>
      <c r="Q113" s="12">
        <v>0</v>
      </c>
      <c r="R113" s="12">
        <v>0</v>
      </c>
      <c r="S113" s="12">
        <v>0</v>
      </c>
      <c r="T113" s="12">
        <v>0</v>
      </c>
      <c r="U113" s="12">
        <f>$G$113*$G$8+$H$113*$H$8+$I$113*$I$8+$J$113*$J$8+$K$113*$K$8+$L$113*$L$8+$M$113*$M$8+$N$113*$N$8+$O$113*$O$8+$P$113*$P$8</f>
        <v>0</v>
      </c>
      <c r="V113" s="12">
        <f>SUM($Q$113:$T$113)</f>
        <v>0</v>
      </c>
      <c r="W113" s="12">
        <f>$U$113+$V$113</f>
        <v>0</v>
      </c>
    </row>
    <row r="114" spans="1:23" x14ac:dyDescent="0.3">
      <c r="A114" s="13" t="s">
        <v>409</v>
      </c>
      <c r="B114" s="14" t="s">
        <v>410</v>
      </c>
      <c r="C114" s="14"/>
      <c r="D114" s="14" t="s">
        <v>411</v>
      </c>
      <c r="E114" s="14">
        <f xml:space="preserve"> IF($W$114,1,0)</f>
        <v>0</v>
      </c>
      <c r="F114" s="14" t="s">
        <v>412</v>
      </c>
      <c r="G114" s="14">
        <v>0</v>
      </c>
      <c r="H114" s="14">
        <v>0</v>
      </c>
      <c r="I114" s="14">
        <v>0</v>
      </c>
      <c r="J114" s="14">
        <v>0</v>
      </c>
      <c r="K114" s="14">
        <v>0</v>
      </c>
      <c r="L114" s="14">
        <v>0</v>
      </c>
      <c r="M114" s="14">
        <v>0</v>
      </c>
      <c r="N114" s="14">
        <v>0</v>
      </c>
      <c r="O114" s="14">
        <v>0</v>
      </c>
      <c r="P114" s="14">
        <v>0</v>
      </c>
      <c r="Q114" s="15">
        <v>0</v>
      </c>
      <c r="R114" s="15">
        <v>0</v>
      </c>
      <c r="S114" s="15">
        <v>0</v>
      </c>
      <c r="T114" s="15">
        <v>0</v>
      </c>
      <c r="U114" s="15">
        <f>$G$114*$G$8+$H$114*$H$8+$I$114*$I$8+$J$114*$J$8+$K$114*$K$8+$L$114*$L$8+$M$114*$M$8+$N$114*$N$8+$O$114*$O$8+$P$114*$P$8</f>
        <v>0</v>
      </c>
      <c r="V114" s="15">
        <f>SUM($Q$114:$T$114)</f>
        <v>0</v>
      </c>
      <c r="W114" s="15">
        <f>$U$114+$V$114</f>
        <v>0</v>
      </c>
    </row>
    <row r="115" spans="1:23" x14ac:dyDescent="0.3">
      <c r="A115" s="10" t="s">
        <v>413</v>
      </c>
      <c r="B115" s="11" t="s">
        <v>414</v>
      </c>
      <c r="C115" s="11"/>
      <c r="D115" s="11" t="s">
        <v>415</v>
      </c>
      <c r="E115" s="11">
        <f xml:space="preserve"> IF($W$115,1,0)</f>
        <v>0</v>
      </c>
      <c r="F115" s="11" t="s">
        <v>416</v>
      </c>
      <c r="G115" s="11">
        <v>0</v>
      </c>
      <c r="H115" s="11">
        <v>0</v>
      </c>
      <c r="I115" s="11">
        <v>0</v>
      </c>
      <c r="J115" s="11">
        <v>0</v>
      </c>
      <c r="K115" s="11">
        <v>0</v>
      </c>
      <c r="L115" s="11">
        <v>0</v>
      </c>
      <c r="M115" s="11">
        <v>0</v>
      </c>
      <c r="N115" s="11">
        <v>0</v>
      </c>
      <c r="O115" s="11">
        <v>0</v>
      </c>
      <c r="P115" s="11">
        <v>0</v>
      </c>
      <c r="Q115" s="12">
        <v>0</v>
      </c>
      <c r="R115" s="12">
        <v>0</v>
      </c>
      <c r="S115" s="12">
        <v>0</v>
      </c>
      <c r="T115" s="12">
        <v>0</v>
      </c>
      <c r="U115" s="12">
        <f>$G$115*$G$8+$H$115*$H$8+$I$115*$I$8+$J$115*$J$8+$K$115*$K$8+$L$115*$L$8+$M$115*$M$8+$N$115*$N$8+$O$115*$O$8+$P$115*$P$8</f>
        <v>0</v>
      </c>
      <c r="V115" s="12">
        <f>SUM($Q$115:$T$115)</f>
        <v>0</v>
      </c>
      <c r="W115" s="12">
        <f>$U$115+$V$115</f>
        <v>0</v>
      </c>
    </row>
    <row r="116" spans="1:23" x14ac:dyDescent="0.3">
      <c r="A116" s="13" t="s">
        <v>417</v>
      </c>
      <c r="B116" s="14" t="s">
        <v>418</v>
      </c>
      <c r="C116" s="14"/>
      <c r="D116" s="14" t="s">
        <v>419</v>
      </c>
      <c r="E116" s="14">
        <f xml:space="preserve"> IF($W$116,1,0)</f>
        <v>0</v>
      </c>
      <c r="F116" s="14" t="s">
        <v>420</v>
      </c>
      <c r="G116" s="14">
        <v>0</v>
      </c>
      <c r="H116" s="14">
        <v>0</v>
      </c>
      <c r="I116" s="14">
        <v>0</v>
      </c>
      <c r="J116" s="14">
        <v>0</v>
      </c>
      <c r="K116" s="14">
        <v>0</v>
      </c>
      <c r="L116" s="14">
        <v>0</v>
      </c>
      <c r="M116" s="14">
        <v>0</v>
      </c>
      <c r="N116" s="14">
        <v>0</v>
      </c>
      <c r="O116" s="14">
        <v>0</v>
      </c>
      <c r="P116" s="14">
        <v>0</v>
      </c>
      <c r="Q116" s="15">
        <v>0</v>
      </c>
      <c r="R116" s="15">
        <v>0</v>
      </c>
      <c r="S116" s="15">
        <v>0</v>
      </c>
      <c r="T116" s="15">
        <v>0</v>
      </c>
      <c r="U116" s="15">
        <f>$G$116*$G$8+$H$116*$H$8+$I$116*$I$8+$J$116*$J$8+$K$116*$K$8+$L$116*$L$8+$M$116*$M$8+$N$116*$N$8+$O$116*$O$8+$P$116*$P$8</f>
        <v>0</v>
      </c>
      <c r="V116" s="15">
        <f>SUM($Q$116:$T$116)</f>
        <v>0</v>
      </c>
      <c r="W116" s="15">
        <f>$U$116+$V$116</f>
        <v>0</v>
      </c>
    </row>
    <row r="117" spans="1:23" x14ac:dyDescent="0.3">
      <c r="A117" s="10" t="s">
        <v>421</v>
      </c>
      <c r="B117" s="11" t="s">
        <v>422</v>
      </c>
      <c r="C117" s="11"/>
      <c r="D117" s="11" t="s">
        <v>423</v>
      </c>
      <c r="E117" s="11">
        <f xml:space="preserve"> IF($W$117,1,0)</f>
        <v>0</v>
      </c>
      <c r="F117" s="11" t="s">
        <v>424</v>
      </c>
      <c r="G117" s="11">
        <v>0</v>
      </c>
      <c r="H117" s="11">
        <v>0</v>
      </c>
      <c r="I117" s="11">
        <v>0</v>
      </c>
      <c r="J117" s="11">
        <v>0</v>
      </c>
      <c r="K117" s="11">
        <v>0</v>
      </c>
      <c r="L117" s="11">
        <v>0</v>
      </c>
      <c r="M117" s="11">
        <v>0</v>
      </c>
      <c r="N117" s="11">
        <v>0</v>
      </c>
      <c r="O117" s="11">
        <v>0</v>
      </c>
      <c r="P117" s="11">
        <v>0</v>
      </c>
      <c r="Q117" s="12">
        <v>0</v>
      </c>
      <c r="R117" s="12">
        <v>0</v>
      </c>
      <c r="S117" s="12">
        <v>0</v>
      </c>
      <c r="T117" s="12">
        <v>0</v>
      </c>
      <c r="U117" s="12">
        <f>$G$117*$G$8+$H$117*$H$8+$I$117*$I$8+$J$117*$J$8+$K$117*$K$8+$L$117*$L$8+$M$117*$M$8+$N$117*$N$8+$O$117*$O$8+$P$117*$P$8</f>
        <v>0</v>
      </c>
      <c r="V117" s="12">
        <f>SUM($Q$117:$T$117)</f>
        <v>0</v>
      </c>
      <c r="W117" s="12">
        <f>$U$117+$V$117</f>
        <v>0</v>
      </c>
    </row>
    <row r="118" spans="1:23" x14ac:dyDescent="0.3">
      <c r="A118" s="13" t="s">
        <v>425</v>
      </c>
      <c r="B118" s="14" t="s">
        <v>426</v>
      </c>
      <c r="C118" s="14" t="s">
        <v>34</v>
      </c>
      <c r="D118" s="14" t="s">
        <v>427</v>
      </c>
      <c r="E118" s="14">
        <f xml:space="preserve"> IF($W$118,1,0)</f>
        <v>0</v>
      </c>
      <c r="F118" s="14" t="s">
        <v>428</v>
      </c>
      <c r="G118" s="14">
        <v>0</v>
      </c>
      <c r="H118" s="14">
        <v>0</v>
      </c>
      <c r="I118" s="14">
        <v>0</v>
      </c>
      <c r="J118" s="14">
        <v>0</v>
      </c>
      <c r="K118" s="14">
        <v>0</v>
      </c>
      <c r="L118" s="14">
        <v>0</v>
      </c>
      <c r="M118" s="14">
        <v>0</v>
      </c>
      <c r="N118" s="14">
        <v>0</v>
      </c>
      <c r="O118" s="14">
        <v>0</v>
      </c>
      <c r="P118" s="14">
        <v>0</v>
      </c>
      <c r="Q118" s="15">
        <v>0</v>
      </c>
      <c r="R118" s="15">
        <v>0</v>
      </c>
      <c r="S118" s="15">
        <v>0</v>
      </c>
      <c r="T118" s="15">
        <v>0</v>
      </c>
      <c r="U118" s="15">
        <f>$G$118*$G$8+$H$118*$H$8+$I$118*$I$8+$J$118*$J$8+$K$118*$K$8+$L$118*$L$8+$M$118*$M$8+$N$118*$N$8+$O$118*$O$8+$P$118*$P$8</f>
        <v>0</v>
      </c>
      <c r="V118" s="15">
        <f>SUM($Q$118:$T$118)</f>
        <v>0</v>
      </c>
      <c r="W118" s="15">
        <f>$U$118+$V$118</f>
        <v>0</v>
      </c>
    </row>
    <row r="119" spans="1:23" x14ac:dyDescent="0.3">
      <c r="A119" s="10" t="s">
        <v>429</v>
      </c>
      <c r="B119" s="11" t="s">
        <v>430</v>
      </c>
      <c r="C119" s="11"/>
      <c r="D119" s="11" t="s">
        <v>431</v>
      </c>
      <c r="E119" s="11">
        <f xml:space="preserve"> IF($W$119,1,0)</f>
        <v>0</v>
      </c>
      <c r="F119" s="11" t="s">
        <v>432</v>
      </c>
      <c r="G119" s="11">
        <v>0</v>
      </c>
      <c r="H119" s="11">
        <v>0</v>
      </c>
      <c r="I119" s="11">
        <v>0</v>
      </c>
      <c r="J119" s="11">
        <v>0</v>
      </c>
      <c r="K119" s="11">
        <v>0</v>
      </c>
      <c r="L119" s="11">
        <v>0</v>
      </c>
      <c r="M119" s="11">
        <v>0</v>
      </c>
      <c r="N119" s="11">
        <v>0</v>
      </c>
      <c r="O119" s="11">
        <v>0</v>
      </c>
      <c r="P119" s="11">
        <v>0</v>
      </c>
      <c r="Q119" s="12">
        <v>0</v>
      </c>
      <c r="R119" s="12">
        <v>0</v>
      </c>
      <c r="S119" s="12">
        <v>0</v>
      </c>
      <c r="T119" s="12">
        <v>0</v>
      </c>
      <c r="U119" s="12">
        <f>$G$119*$G$8+$H$119*$H$8+$I$119*$I$8+$J$119*$J$8+$K$119*$K$8+$L$119*$L$8+$M$119*$M$8+$N$119*$N$8+$O$119*$O$8+$P$119*$P$8</f>
        <v>0</v>
      </c>
      <c r="V119" s="12">
        <f>SUM($Q$119:$T$119)</f>
        <v>0</v>
      </c>
      <c r="W119" s="12">
        <f>$U$119+$V$119</f>
        <v>0</v>
      </c>
    </row>
    <row r="120" spans="1:23" x14ac:dyDescent="0.3">
      <c r="A120" s="13" t="s">
        <v>1252</v>
      </c>
      <c r="B120" s="14" t="s">
        <v>1253</v>
      </c>
      <c r="C120" s="14"/>
      <c r="D120" s="14" t="s">
        <v>1254</v>
      </c>
      <c r="E120" s="14">
        <f xml:space="preserve"> IF($W$120,1,0)</f>
        <v>0</v>
      </c>
      <c r="F120" s="14" t="s">
        <v>1255</v>
      </c>
      <c r="G120" s="14">
        <v>0</v>
      </c>
      <c r="H120" s="14">
        <v>0</v>
      </c>
      <c r="I120" s="14">
        <v>0</v>
      </c>
      <c r="J120" s="14">
        <v>0</v>
      </c>
      <c r="K120" s="14">
        <v>0</v>
      </c>
      <c r="L120" s="14">
        <v>0</v>
      </c>
      <c r="M120" s="14">
        <v>0</v>
      </c>
      <c r="N120" s="14">
        <v>0</v>
      </c>
      <c r="O120" s="14">
        <v>0</v>
      </c>
      <c r="P120" s="14">
        <v>0</v>
      </c>
      <c r="Q120" s="15">
        <v>0</v>
      </c>
      <c r="R120" s="15">
        <v>0</v>
      </c>
      <c r="S120" s="15">
        <v>0</v>
      </c>
      <c r="T120" s="15">
        <v>0</v>
      </c>
      <c r="U120" s="15">
        <f>$G$120*$G$8+$H$120*$H$8+$I$120*$I$8+$J$120*$J$8+$K$120*$K$8+$L$120*$L$8+$M$120*$M$8+$N$120*$N$8+$O$120*$O$8+$P$120*$P$8</f>
        <v>0</v>
      </c>
      <c r="V120" s="15">
        <f>SUM($Q$120:$T$120)</f>
        <v>0</v>
      </c>
      <c r="W120" s="15">
        <f>$U$120+$V$120</f>
        <v>0</v>
      </c>
    </row>
    <row r="121" spans="1:23" x14ac:dyDescent="0.3">
      <c r="A121" s="10" t="s">
        <v>433</v>
      </c>
      <c r="B121" s="11" t="s">
        <v>434</v>
      </c>
      <c r="C121" s="11" t="s">
        <v>202</v>
      </c>
      <c r="D121" s="11" t="s">
        <v>435</v>
      </c>
      <c r="E121" s="11">
        <f xml:space="preserve"> IF($W$121,1,0)</f>
        <v>0</v>
      </c>
      <c r="F121" s="11" t="s">
        <v>436</v>
      </c>
      <c r="G121" s="11">
        <v>0</v>
      </c>
      <c r="H121" s="11">
        <v>0</v>
      </c>
      <c r="I121" s="11">
        <v>0</v>
      </c>
      <c r="J121" s="11">
        <v>0</v>
      </c>
      <c r="K121" s="11">
        <v>0</v>
      </c>
      <c r="L121" s="11">
        <v>0</v>
      </c>
      <c r="M121" s="11">
        <v>0</v>
      </c>
      <c r="N121" s="11">
        <v>0</v>
      </c>
      <c r="O121" s="11">
        <v>0</v>
      </c>
      <c r="P121" s="11">
        <v>0</v>
      </c>
      <c r="Q121" s="12">
        <v>0</v>
      </c>
      <c r="R121" s="12">
        <v>0</v>
      </c>
      <c r="S121" s="12">
        <v>0</v>
      </c>
      <c r="T121" s="12">
        <v>0</v>
      </c>
      <c r="U121" s="12">
        <f>$G$121*$G$8+$H$121*$H$8+$I$121*$I$8+$J$121*$J$8+$K$121*$K$8+$L$121*$L$8+$M$121*$M$8+$N$121*$N$8+$O$121*$O$8+$P$121*$P$8</f>
        <v>0</v>
      </c>
      <c r="V121" s="12">
        <f>SUM($Q$121:$T$121)</f>
        <v>0</v>
      </c>
      <c r="W121" s="12">
        <f>$U$121+$V$121</f>
        <v>0</v>
      </c>
    </row>
    <row r="122" spans="1:23" x14ac:dyDescent="0.3">
      <c r="A122" s="13" t="s">
        <v>437</v>
      </c>
      <c r="B122" s="14" t="s">
        <v>434</v>
      </c>
      <c r="C122" s="14"/>
      <c r="D122" s="14" t="s">
        <v>438</v>
      </c>
      <c r="E122" s="14">
        <f xml:space="preserve"> IF($W$122,1,0)</f>
        <v>0</v>
      </c>
      <c r="F122" s="14" t="s">
        <v>439</v>
      </c>
      <c r="G122" s="14">
        <v>0</v>
      </c>
      <c r="H122" s="14">
        <v>0</v>
      </c>
      <c r="I122" s="14">
        <v>0</v>
      </c>
      <c r="J122" s="14">
        <v>0</v>
      </c>
      <c r="K122" s="14">
        <v>0</v>
      </c>
      <c r="L122" s="14">
        <v>0</v>
      </c>
      <c r="M122" s="14">
        <v>0</v>
      </c>
      <c r="N122" s="14">
        <v>0</v>
      </c>
      <c r="O122" s="14">
        <v>0</v>
      </c>
      <c r="P122" s="14">
        <v>0</v>
      </c>
      <c r="Q122" s="15">
        <v>0</v>
      </c>
      <c r="R122" s="15">
        <v>0</v>
      </c>
      <c r="S122" s="15">
        <v>0</v>
      </c>
      <c r="T122" s="15">
        <v>0</v>
      </c>
      <c r="U122" s="15">
        <f>$G$122*$G$8+$H$122*$H$8+$I$122*$I$8+$J$122*$J$8+$K$122*$K$8+$L$122*$L$8+$M$122*$M$8+$N$122*$N$8+$O$122*$O$8+$P$122*$P$8</f>
        <v>0</v>
      </c>
      <c r="V122" s="15">
        <f>SUM($Q$122:$T$122)</f>
        <v>0</v>
      </c>
      <c r="W122" s="15">
        <f>$U$122+$V$122</f>
        <v>0</v>
      </c>
    </row>
    <row r="123" spans="1:23" x14ac:dyDescent="0.3">
      <c r="A123" s="10" t="s">
        <v>440</v>
      </c>
      <c r="B123" s="11" t="s">
        <v>441</v>
      </c>
      <c r="C123" s="11" t="s">
        <v>202</v>
      </c>
      <c r="D123" s="11" t="s">
        <v>442</v>
      </c>
      <c r="E123" s="11">
        <f xml:space="preserve"> IF($W$123,1,0)</f>
        <v>0</v>
      </c>
      <c r="F123" s="11" t="s">
        <v>443</v>
      </c>
      <c r="G123" s="11">
        <v>0</v>
      </c>
      <c r="H123" s="11">
        <v>0</v>
      </c>
      <c r="I123" s="11">
        <v>0</v>
      </c>
      <c r="J123" s="11">
        <v>0</v>
      </c>
      <c r="K123" s="11">
        <v>0</v>
      </c>
      <c r="L123" s="11">
        <v>0</v>
      </c>
      <c r="M123" s="11">
        <v>0</v>
      </c>
      <c r="N123" s="11">
        <v>0</v>
      </c>
      <c r="O123" s="11">
        <v>0</v>
      </c>
      <c r="P123" s="11">
        <v>0</v>
      </c>
      <c r="Q123" s="12">
        <v>0</v>
      </c>
      <c r="R123" s="12">
        <v>0</v>
      </c>
      <c r="S123" s="12">
        <v>0</v>
      </c>
      <c r="T123" s="12">
        <v>0</v>
      </c>
      <c r="U123" s="12">
        <f>$G$123*$G$8+$H$123*$H$8+$I$123*$I$8+$J$123*$J$8+$K$123*$K$8+$L$123*$L$8+$M$123*$M$8+$N$123*$N$8+$O$123*$O$8+$P$123*$P$8</f>
        <v>0</v>
      </c>
      <c r="V123" s="12">
        <f>SUM($Q$123:$T$123)</f>
        <v>0</v>
      </c>
      <c r="W123" s="12">
        <f>$U$123+$V$123</f>
        <v>0</v>
      </c>
    </row>
    <row r="124" spans="1:23" x14ac:dyDescent="0.3">
      <c r="A124" s="13" t="s">
        <v>444</v>
      </c>
      <c r="B124" s="14" t="s">
        <v>445</v>
      </c>
      <c r="C124" s="14"/>
      <c r="D124" s="14" t="s">
        <v>446</v>
      </c>
      <c r="E124" s="14">
        <f xml:space="preserve"> IF($W$124,1,0)</f>
        <v>0</v>
      </c>
      <c r="F124" s="14" t="s">
        <v>447</v>
      </c>
      <c r="G124" s="14">
        <v>0</v>
      </c>
      <c r="H124" s="14">
        <v>0</v>
      </c>
      <c r="I124" s="14">
        <v>0</v>
      </c>
      <c r="J124" s="14">
        <v>0</v>
      </c>
      <c r="K124" s="14">
        <v>0</v>
      </c>
      <c r="L124" s="14">
        <v>0</v>
      </c>
      <c r="M124" s="14">
        <v>0</v>
      </c>
      <c r="N124" s="14">
        <v>0</v>
      </c>
      <c r="O124" s="14">
        <v>0</v>
      </c>
      <c r="P124" s="14">
        <v>0</v>
      </c>
      <c r="Q124" s="15">
        <v>0</v>
      </c>
      <c r="R124" s="15">
        <v>0</v>
      </c>
      <c r="S124" s="15">
        <v>0</v>
      </c>
      <c r="T124" s="15">
        <v>0</v>
      </c>
      <c r="U124" s="15">
        <f>$G$124*$G$8+$H$124*$H$8+$I$124*$I$8+$J$124*$J$8+$K$124*$K$8+$L$124*$L$8+$M$124*$M$8+$N$124*$N$8+$O$124*$O$8+$P$124*$P$8</f>
        <v>0</v>
      </c>
      <c r="V124" s="15">
        <f>SUM($Q$124:$T$124)</f>
        <v>0</v>
      </c>
      <c r="W124" s="15">
        <f>$U$124+$V$124</f>
        <v>0</v>
      </c>
    </row>
    <row r="125" spans="1:23" x14ac:dyDescent="0.3">
      <c r="A125" s="10" t="s">
        <v>448</v>
      </c>
      <c r="B125" s="11" t="s">
        <v>449</v>
      </c>
      <c r="C125" s="11"/>
      <c r="D125" s="11" t="s">
        <v>450</v>
      </c>
      <c r="E125" s="11">
        <f xml:space="preserve"> IF($W$125,1,0)</f>
        <v>0</v>
      </c>
      <c r="F125" s="11" t="s">
        <v>451</v>
      </c>
      <c r="G125" s="11">
        <v>0</v>
      </c>
      <c r="H125" s="11">
        <v>0</v>
      </c>
      <c r="I125" s="11">
        <v>0</v>
      </c>
      <c r="J125" s="11">
        <v>0</v>
      </c>
      <c r="K125" s="11">
        <v>0</v>
      </c>
      <c r="L125" s="11">
        <v>0</v>
      </c>
      <c r="M125" s="11">
        <v>0</v>
      </c>
      <c r="N125" s="11">
        <v>0</v>
      </c>
      <c r="O125" s="11">
        <v>0</v>
      </c>
      <c r="P125" s="11">
        <v>0</v>
      </c>
      <c r="Q125" s="12">
        <v>0</v>
      </c>
      <c r="R125" s="12">
        <v>0</v>
      </c>
      <c r="S125" s="12">
        <v>0</v>
      </c>
      <c r="T125" s="12">
        <v>0</v>
      </c>
      <c r="U125" s="12">
        <f>$G$125*$G$8+$H$125*$H$8+$I$125*$I$8+$J$125*$J$8+$K$125*$K$8+$L$125*$L$8+$M$125*$M$8+$N$125*$N$8+$O$125*$O$8+$P$125*$P$8</f>
        <v>0</v>
      </c>
      <c r="V125" s="12">
        <f>SUM($Q$125:$T$125)</f>
        <v>0</v>
      </c>
      <c r="W125" s="12">
        <f>$U$125+$V$125</f>
        <v>0</v>
      </c>
    </row>
    <row r="126" spans="1:23" x14ac:dyDescent="0.3">
      <c r="A126" s="13" t="s">
        <v>452</v>
      </c>
      <c r="B126" s="14" t="s">
        <v>453</v>
      </c>
      <c r="C126" s="14"/>
      <c r="D126" s="14" t="s">
        <v>454</v>
      </c>
      <c r="E126" s="14">
        <f xml:space="preserve"> IF($W$126,1,0)</f>
        <v>0</v>
      </c>
      <c r="F126" s="14" t="s">
        <v>455</v>
      </c>
      <c r="G126" s="14">
        <v>0</v>
      </c>
      <c r="H126" s="14">
        <v>0</v>
      </c>
      <c r="I126" s="14">
        <v>0</v>
      </c>
      <c r="J126" s="14">
        <v>0</v>
      </c>
      <c r="K126" s="14">
        <v>0</v>
      </c>
      <c r="L126" s="14">
        <v>0</v>
      </c>
      <c r="M126" s="14">
        <v>0</v>
      </c>
      <c r="N126" s="14">
        <v>0</v>
      </c>
      <c r="O126" s="14">
        <v>0</v>
      </c>
      <c r="P126" s="14">
        <v>0</v>
      </c>
      <c r="Q126" s="15">
        <v>0</v>
      </c>
      <c r="R126" s="15">
        <v>0</v>
      </c>
      <c r="S126" s="15">
        <v>0</v>
      </c>
      <c r="T126" s="15">
        <v>0</v>
      </c>
      <c r="U126" s="15">
        <f>$G$126*$G$8+$H$126*$H$8+$I$126*$I$8+$J$126*$J$8+$K$126*$K$8+$L$126*$L$8+$M$126*$M$8+$N$126*$N$8+$O$126*$O$8+$P$126*$P$8</f>
        <v>0</v>
      </c>
      <c r="V126" s="15">
        <f>SUM($Q$126:$T$126)</f>
        <v>0</v>
      </c>
      <c r="W126" s="15">
        <f>$U$126+$V$126</f>
        <v>0</v>
      </c>
    </row>
    <row r="127" spans="1:23" x14ac:dyDescent="0.3">
      <c r="A127" s="10" t="s">
        <v>456</v>
      </c>
      <c r="B127" s="11" t="s">
        <v>457</v>
      </c>
      <c r="C127" s="11"/>
      <c r="D127" s="11" t="s">
        <v>458</v>
      </c>
      <c r="E127" s="11">
        <f xml:space="preserve"> IF($W$127,1,0)</f>
        <v>0</v>
      </c>
      <c r="F127" s="11" t="s">
        <v>459</v>
      </c>
      <c r="G127" s="11">
        <v>0</v>
      </c>
      <c r="H127" s="11">
        <v>0</v>
      </c>
      <c r="I127" s="11">
        <v>0</v>
      </c>
      <c r="J127" s="11">
        <v>0</v>
      </c>
      <c r="K127" s="11">
        <v>0</v>
      </c>
      <c r="L127" s="11">
        <v>0</v>
      </c>
      <c r="M127" s="11">
        <v>0</v>
      </c>
      <c r="N127" s="11">
        <v>0</v>
      </c>
      <c r="O127" s="11">
        <v>0</v>
      </c>
      <c r="P127" s="11">
        <v>0</v>
      </c>
      <c r="Q127" s="12">
        <v>0</v>
      </c>
      <c r="R127" s="12">
        <v>0</v>
      </c>
      <c r="S127" s="12">
        <v>0</v>
      </c>
      <c r="T127" s="12">
        <v>0</v>
      </c>
      <c r="U127" s="12">
        <f>$G$127*$G$8+$H$127*$H$8+$I$127*$I$8+$J$127*$J$8+$K$127*$K$8+$L$127*$L$8+$M$127*$M$8+$N$127*$N$8+$O$127*$O$8+$P$127*$P$8</f>
        <v>0</v>
      </c>
      <c r="V127" s="12">
        <f>SUM($Q$127:$T$127)</f>
        <v>0</v>
      </c>
      <c r="W127" s="12">
        <f>$U$127+$V$127</f>
        <v>0</v>
      </c>
    </row>
    <row r="128" spans="1:23" x14ac:dyDescent="0.3">
      <c r="A128" s="13" t="s">
        <v>460</v>
      </c>
      <c r="B128" s="14" t="s">
        <v>457</v>
      </c>
      <c r="C128" s="14"/>
      <c r="D128" s="14" t="s">
        <v>461</v>
      </c>
      <c r="E128" s="14">
        <f xml:space="preserve"> IF($W$128,1,0)</f>
        <v>0</v>
      </c>
      <c r="F128" s="14" t="s">
        <v>462</v>
      </c>
      <c r="G128" s="14">
        <v>0</v>
      </c>
      <c r="H128" s="14">
        <v>0</v>
      </c>
      <c r="I128" s="14">
        <v>0</v>
      </c>
      <c r="J128" s="14">
        <v>0</v>
      </c>
      <c r="K128" s="14">
        <v>0</v>
      </c>
      <c r="L128" s="14">
        <v>0</v>
      </c>
      <c r="M128" s="14">
        <v>0</v>
      </c>
      <c r="N128" s="14">
        <v>0</v>
      </c>
      <c r="O128" s="14">
        <v>0</v>
      </c>
      <c r="P128" s="14">
        <v>0</v>
      </c>
      <c r="Q128" s="15">
        <v>0</v>
      </c>
      <c r="R128" s="15">
        <v>0</v>
      </c>
      <c r="S128" s="15">
        <v>0</v>
      </c>
      <c r="T128" s="15">
        <v>0</v>
      </c>
      <c r="U128" s="15">
        <f>$G$128*$G$8+$H$128*$H$8+$I$128*$I$8+$J$128*$J$8+$K$128*$K$8+$L$128*$L$8+$M$128*$M$8+$N$128*$N$8+$O$128*$O$8+$P$128*$P$8</f>
        <v>0</v>
      </c>
      <c r="V128" s="15">
        <f>SUM($Q$128:$T$128)</f>
        <v>0</v>
      </c>
      <c r="W128" s="15">
        <f>$U$128+$V$128</f>
        <v>0</v>
      </c>
    </row>
    <row r="129" spans="1:23" x14ac:dyDescent="0.3">
      <c r="A129" s="10" t="s">
        <v>463</v>
      </c>
      <c r="B129" s="11" t="s">
        <v>457</v>
      </c>
      <c r="C129" s="11" t="s">
        <v>34</v>
      </c>
      <c r="D129" s="11" t="s">
        <v>464</v>
      </c>
      <c r="E129" s="11">
        <f xml:space="preserve"> IF($W$129,1,0)</f>
        <v>0</v>
      </c>
      <c r="F129" s="11" t="s">
        <v>465</v>
      </c>
      <c r="G129" s="11">
        <v>0</v>
      </c>
      <c r="H129" s="11">
        <v>0</v>
      </c>
      <c r="I129" s="11">
        <v>0</v>
      </c>
      <c r="J129" s="11">
        <v>0</v>
      </c>
      <c r="K129" s="11">
        <v>0</v>
      </c>
      <c r="L129" s="11">
        <v>0</v>
      </c>
      <c r="M129" s="11">
        <v>0</v>
      </c>
      <c r="N129" s="11">
        <v>0</v>
      </c>
      <c r="O129" s="11">
        <v>0</v>
      </c>
      <c r="P129" s="11">
        <v>0</v>
      </c>
      <c r="Q129" s="12">
        <v>0</v>
      </c>
      <c r="R129" s="12">
        <v>0</v>
      </c>
      <c r="S129" s="12">
        <v>0</v>
      </c>
      <c r="T129" s="12">
        <v>0</v>
      </c>
      <c r="U129" s="12">
        <f>$G$129*$G$8+$H$129*$H$8+$I$129*$I$8+$J$129*$J$8+$K$129*$K$8+$L$129*$L$8+$M$129*$M$8+$N$129*$N$8+$O$129*$O$8+$P$129*$P$8</f>
        <v>0</v>
      </c>
      <c r="V129" s="12">
        <f>SUM($Q$129:$T$129)</f>
        <v>0</v>
      </c>
      <c r="W129" s="12">
        <f>$U$129+$V$129</f>
        <v>0</v>
      </c>
    </row>
    <row r="130" spans="1:23" x14ac:dyDescent="0.3">
      <c r="A130" s="13" t="s">
        <v>466</v>
      </c>
      <c r="B130" s="14" t="s">
        <v>457</v>
      </c>
      <c r="C130" s="14"/>
      <c r="D130" s="14" t="s">
        <v>467</v>
      </c>
      <c r="E130" s="14">
        <f xml:space="preserve"> IF($W$130,1,0)</f>
        <v>0</v>
      </c>
      <c r="F130" s="14" t="s">
        <v>468</v>
      </c>
      <c r="G130" s="14">
        <v>0</v>
      </c>
      <c r="H130" s="14">
        <v>0</v>
      </c>
      <c r="I130" s="14">
        <v>0</v>
      </c>
      <c r="J130" s="14">
        <v>0</v>
      </c>
      <c r="K130" s="14">
        <v>0</v>
      </c>
      <c r="L130" s="14">
        <v>0</v>
      </c>
      <c r="M130" s="14">
        <v>0</v>
      </c>
      <c r="N130" s="14">
        <v>0</v>
      </c>
      <c r="O130" s="14">
        <v>0</v>
      </c>
      <c r="P130" s="14">
        <v>0</v>
      </c>
      <c r="Q130" s="15">
        <v>0</v>
      </c>
      <c r="R130" s="15">
        <v>0</v>
      </c>
      <c r="S130" s="15">
        <v>0</v>
      </c>
      <c r="T130" s="15">
        <v>0</v>
      </c>
      <c r="U130" s="15">
        <f>$G$130*$G$8+$H$130*$H$8+$I$130*$I$8+$J$130*$J$8+$K$130*$K$8+$L$130*$L$8+$M$130*$M$8+$N$130*$N$8+$O$130*$O$8+$P$130*$P$8</f>
        <v>0</v>
      </c>
      <c r="V130" s="15">
        <f>SUM($Q$130:$T$130)</f>
        <v>0</v>
      </c>
      <c r="W130" s="15">
        <f>$U$130+$V$130</f>
        <v>0</v>
      </c>
    </row>
    <row r="131" spans="1:23" x14ac:dyDescent="0.3">
      <c r="A131" s="10" t="s">
        <v>469</v>
      </c>
      <c r="B131" s="11" t="s">
        <v>470</v>
      </c>
      <c r="C131" s="11"/>
      <c r="D131" s="11" t="s">
        <v>471</v>
      </c>
      <c r="E131" s="11">
        <f xml:space="preserve"> IF($W$131,1,0)</f>
        <v>0</v>
      </c>
      <c r="F131" s="11" t="s">
        <v>472</v>
      </c>
      <c r="G131" s="11">
        <v>0</v>
      </c>
      <c r="H131" s="11">
        <v>0</v>
      </c>
      <c r="I131" s="11">
        <v>0</v>
      </c>
      <c r="J131" s="11">
        <v>0</v>
      </c>
      <c r="K131" s="11">
        <v>0</v>
      </c>
      <c r="L131" s="11">
        <v>0</v>
      </c>
      <c r="M131" s="11">
        <v>0</v>
      </c>
      <c r="N131" s="11">
        <v>0</v>
      </c>
      <c r="O131" s="11">
        <v>0</v>
      </c>
      <c r="P131" s="11">
        <v>0</v>
      </c>
      <c r="Q131" s="12">
        <v>0</v>
      </c>
      <c r="R131" s="12">
        <v>0</v>
      </c>
      <c r="S131" s="12">
        <v>0</v>
      </c>
      <c r="T131" s="12">
        <v>0</v>
      </c>
      <c r="U131" s="12">
        <f>$G$131*$G$8+$H$131*$H$8+$I$131*$I$8+$J$131*$J$8+$K$131*$K$8+$L$131*$L$8+$M$131*$M$8+$N$131*$N$8+$O$131*$O$8+$P$131*$P$8</f>
        <v>0</v>
      </c>
      <c r="V131" s="12">
        <f>SUM($Q$131:$T$131)</f>
        <v>0</v>
      </c>
      <c r="W131" s="12">
        <f>$U$131+$V$131</f>
        <v>0</v>
      </c>
    </row>
    <row r="132" spans="1:23" x14ac:dyDescent="0.3">
      <c r="A132" s="13" t="s">
        <v>473</v>
      </c>
      <c r="B132" s="14" t="s">
        <v>474</v>
      </c>
      <c r="C132" s="14"/>
      <c r="D132" s="14" t="s">
        <v>475</v>
      </c>
      <c r="E132" s="14">
        <f xml:space="preserve"> IF($W$132,1,0)</f>
        <v>0</v>
      </c>
      <c r="F132" s="14" t="s">
        <v>476</v>
      </c>
      <c r="G132" s="14">
        <v>0</v>
      </c>
      <c r="H132" s="14">
        <v>0</v>
      </c>
      <c r="I132" s="14">
        <v>0</v>
      </c>
      <c r="J132" s="14">
        <v>0</v>
      </c>
      <c r="K132" s="14">
        <v>0</v>
      </c>
      <c r="L132" s="14">
        <v>0</v>
      </c>
      <c r="M132" s="14">
        <v>0</v>
      </c>
      <c r="N132" s="14">
        <v>0</v>
      </c>
      <c r="O132" s="14">
        <v>0</v>
      </c>
      <c r="P132" s="14">
        <v>0</v>
      </c>
      <c r="Q132" s="15">
        <v>0</v>
      </c>
      <c r="R132" s="15">
        <v>0</v>
      </c>
      <c r="S132" s="15">
        <v>0</v>
      </c>
      <c r="T132" s="15">
        <v>0</v>
      </c>
      <c r="U132" s="15">
        <f>$G$132*$G$8+$H$132*$H$8+$I$132*$I$8+$J$132*$J$8+$K$132*$K$8+$L$132*$L$8+$M$132*$M$8+$N$132*$N$8+$O$132*$O$8+$P$132*$P$8</f>
        <v>0</v>
      </c>
      <c r="V132" s="15">
        <f>SUM($Q$132:$T$132)</f>
        <v>0</v>
      </c>
      <c r="W132" s="15">
        <f>$U$132+$V$132</f>
        <v>0</v>
      </c>
    </row>
    <row r="133" spans="1:23" x14ac:dyDescent="0.3">
      <c r="A133" s="10" t="s">
        <v>477</v>
      </c>
      <c r="B133" s="11" t="s">
        <v>478</v>
      </c>
      <c r="C133" s="11"/>
      <c r="D133" s="11" t="s">
        <v>479</v>
      </c>
      <c r="E133" s="11">
        <f xml:space="preserve"> IF($W$133,1,0)</f>
        <v>0</v>
      </c>
      <c r="F133" s="11" t="s">
        <v>480</v>
      </c>
      <c r="G133" s="11">
        <v>0</v>
      </c>
      <c r="H133" s="11">
        <v>0</v>
      </c>
      <c r="I133" s="11">
        <v>0</v>
      </c>
      <c r="J133" s="11">
        <v>0</v>
      </c>
      <c r="K133" s="11">
        <v>0</v>
      </c>
      <c r="L133" s="11">
        <v>0</v>
      </c>
      <c r="M133" s="11">
        <v>0</v>
      </c>
      <c r="N133" s="11">
        <v>0</v>
      </c>
      <c r="O133" s="11">
        <v>0</v>
      </c>
      <c r="P133" s="11">
        <v>0</v>
      </c>
      <c r="Q133" s="12">
        <v>0</v>
      </c>
      <c r="R133" s="12">
        <v>0</v>
      </c>
      <c r="S133" s="12">
        <v>0</v>
      </c>
      <c r="T133" s="12">
        <v>0</v>
      </c>
      <c r="U133" s="12">
        <f>$G$133*$G$8+$H$133*$H$8+$I$133*$I$8+$J$133*$J$8+$K$133*$K$8+$L$133*$L$8+$M$133*$M$8+$N$133*$N$8+$O$133*$O$8+$P$133*$P$8</f>
        <v>0</v>
      </c>
      <c r="V133" s="12">
        <f>SUM($Q$133:$T$133)</f>
        <v>0</v>
      </c>
      <c r="W133" s="12">
        <f>$U$133+$V$133</f>
        <v>0</v>
      </c>
    </row>
    <row r="134" spans="1:23" x14ac:dyDescent="0.3">
      <c r="A134" s="13" t="s">
        <v>481</v>
      </c>
      <c r="B134" s="14" t="s">
        <v>482</v>
      </c>
      <c r="C134" s="14"/>
      <c r="D134" s="14" t="s">
        <v>483</v>
      </c>
      <c r="E134" s="14">
        <f xml:space="preserve"> IF($W$134,1,0)</f>
        <v>0</v>
      </c>
      <c r="F134" s="14" t="s">
        <v>484</v>
      </c>
      <c r="G134" s="14">
        <v>0</v>
      </c>
      <c r="H134" s="14">
        <v>0</v>
      </c>
      <c r="I134" s="14">
        <v>0</v>
      </c>
      <c r="J134" s="14">
        <v>0</v>
      </c>
      <c r="K134" s="14">
        <v>0</v>
      </c>
      <c r="L134" s="14">
        <v>0</v>
      </c>
      <c r="M134" s="14">
        <v>0</v>
      </c>
      <c r="N134" s="14">
        <v>0</v>
      </c>
      <c r="O134" s="14">
        <v>0</v>
      </c>
      <c r="P134" s="14">
        <v>0</v>
      </c>
      <c r="Q134" s="15">
        <v>0</v>
      </c>
      <c r="R134" s="15">
        <v>0</v>
      </c>
      <c r="S134" s="15">
        <v>0</v>
      </c>
      <c r="T134" s="15">
        <v>0</v>
      </c>
      <c r="U134" s="15">
        <f>$G$134*$G$8+$H$134*$H$8+$I$134*$I$8+$J$134*$J$8+$K$134*$K$8+$L$134*$L$8+$M$134*$M$8+$N$134*$N$8+$O$134*$O$8+$P$134*$P$8</f>
        <v>0</v>
      </c>
      <c r="V134" s="15">
        <f>SUM($Q$134:$T$134)</f>
        <v>0</v>
      </c>
      <c r="W134" s="15">
        <f>$U$134+$V$134</f>
        <v>0</v>
      </c>
    </row>
    <row r="135" spans="1:23" x14ac:dyDescent="0.3">
      <c r="A135" s="10" t="s">
        <v>485</v>
      </c>
      <c r="B135" s="11" t="s">
        <v>486</v>
      </c>
      <c r="C135" s="11"/>
      <c r="D135" s="11" t="s">
        <v>487</v>
      </c>
      <c r="E135" s="11">
        <f xml:space="preserve"> IF($W$135,1,0)</f>
        <v>0</v>
      </c>
      <c r="F135" s="11" t="s">
        <v>488</v>
      </c>
      <c r="G135" s="11">
        <v>0</v>
      </c>
      <c r="H135" s="11">
        <v>0</v>
      </c>
      <c r="I135" s="11">
        <v>0</v>
      </c>
      <c r="J135" s="11">
        <v>0</v>
      </c>
      <c r="K135" s="11">
        <v>0</v>
      </c>
      <c r="L135" s="11">
        <v>0</v>
      </c>
      <c r="M135" s="11">
        <v>0</v>
      </c>
      <c r="N135" s="11">
        <v>0</v>
      </c>
      <c r="O135" s="11">
        <v>0</v>
      </c>
      <c r="P135" s="11">
        <v>0</v>
      </c>
      <c r="Q135" s="12">
        <v>0</v>
      </c>
      <c r="R135" s="12">
        <v>0</v>
      </c>
      <c r="S135" s="12">
        <v>0</v>
      </c>
      <c r="T135" s="12">
        <v>0</v>
      </c>
      <c r="U135" s="12">
        <f>$G$135*$G$8+$H$135*$H$8+$I$135*$I$8+$J$135*$J$8+$K$135*$K$8+$L$135*$L$8+$M$135*$M$8+$N$135*$N$8+$O$135*$O$8+$P$135*$P$8</f>
        <v>0</v>
      </c>
      <c r="V135" s="12">
        <f>SUM($Q$135:$T$135)</f>
        <v>0</v>
      </c>
      <c r="W135" s="12">
        <f>$U$135+$V$135</f>
        <v>0</v>
      </c>
    </row>
    <row r="136" spans="1:23" x14ac:dyDescent="0.3">
      <c r="A136" s="13" t="s">
        <v>489</v>
      </c>
      <c r="B136" s="14" t="s">
        <v>490</v>
      </c>
      <c r="C136" s="14"/>
      <c r="D136" s="14" t="s">
        <v>491</v>
      </c>
      <c r="E136" s="14">
        <f xml:space="preserve"> IF($W$136,1,0)</f>
        <v>0</v>
      </c>
      <c r="F136" s="14" t="s">
        <v>492</v>
      </c>
      <c r="G136" s="14">
        <v>0</v>
      </c>
      <c r="H136" s="14">
        <v>0</v>
      </c>
      <c r="I136" s="14">
        <v>0</v>
      </c>
      <c r="J136" s="14">
        <v>0</v>
      </c>
      <c r="K136" s="14">
        <v>0</v>
      </c>
      <c r="L136" s="14">
        <v>0</v>
      </c>
      <c r="M136" s="14">
        <v>0</v>
      </c>
      <c r="N136" s="14">
        <v>0</v>
      </c>
      <c r="O136" s="14">
        <v>0</v>
      </c>
      <c r="P136" s="14">
        <v>0</v>
      </c>
      <c r="Q136" s="15">
        <v>0</v>
      </c>
      <c r="R136" s="15">
        <v>0</v>
      </c>
      <c r="S136" s="15">
        <v>0</v>
      </c>
      <c r="T136" s="15">
        <v>0</v>
      </c>
      <c r="U136" s="15">
        <f>$G$136*$G$8+$H$136*$H$8+$I$136*$I$8+$J$136*$J$8+$K$136*$K$8+$L$136*$L$8+$M$136*$M$8+$N$136*$N$8+$O$136*$O$8+$P$136*$P$8</f>
        <v>0</v>
      </c>
      <c r="V136" s="15">
        <f>SUM($Q$136:$T$136)</f>
        <v>0</v>
      </c>
      <c r="W136" s="15">
        <f>$U$136+$V$136</f>
        <v>0</v>
      </c>
    </row>
    <row r="137" spans="1:23" x14ac:dyDescent="0.3">
      <c r="A137" s="10" t="s">
        <v>493</v>
      </c>
      <c r="B137" s="11" t="s">
        <v>494</v>
      </c>
      <c r="C137" s="11" t="s">
        <v>34</v>
      </c>
      <c r="D137" s="11" t="s">
        <v>495</v>
      </c>
      <c r="E137" s="11">
        <f xml:space="preserve"> IF($W$137,1,0)</f>
        <v>0</v>
      </c>
      <c r="F137" s="11" t="s">
        <v>496</v>
      </c>
      <c r="G137" s="11">
        <v>0</v>
      </c>
      <c r="H137" s="11">
        <v>0</v>
      </c>
      <c r="I137" s="11">
        <v>0</v>
      </c>
      <c r="J137" s="11">
        <v>0</v>
      </c>
      <c r="K137" s="11">
        <v>0</v>
      </c>
      <c r="L137" s="11">
        <v>0</v>
      </c>
      <c r="M137" s="11">
        <v>0</v>
      </c>
      <c r="N137" s="11">
        <v>0</v>
      </c>
      <c r="O137" s="11">
        <v>0</v>
      </c>
      <c r="P137" s="11">
        <v>0</v>
      </c>
      <c r="Q137" s="12">
        <v>0</v>
      </c>
      <c r="R137" s="12">
        <v>0</v>
      </c>
      <c r="S137" s="12">
        <v>0</v>
      </c>
      <c r="T137" s="12">
        <v>0</v>
      </c>
      <c r="U137" s="12">
        <f>$G$137*$G$8+$H$137*$H$8+$I$137*$I$8+$J$137*$J$8+$K$137*$K$8+$L$137*$L$8+$M$137*$M$8+$N$137*$N$8+$O$137*$O$8+$P$137*$P$8</f>
        <v>0</v>
      </c>
      <c r="V137" s="12">
        <f>SUM($Q$137:$T$137)</f>
        <v>0</v>
      </c>
      <c r="W137" s="12">
        <f>$U$137+$V$137</f>
        <v>0</v>
      </c>
    </row>
    <row r="138" spans="1:23" x14ac:dyDescent="0.3">
      <c r="A138" s="13" t="s">
        <v>497</v>
      </c>
      <c r="B138" s="14" t="s">
        <v>498</v>
      </c>
      <c r="C138" s="14"/>
      <c r="D138" s="14" t="s">
        <v>499</v>
      </c>
      <c r="E138" s="14">
        <f xml:space="preserve"> IF($W$138,1,0)</f>
        <v>0</v>
      </c>
      <c r="F138" s="14" t="s">
        <v>500</v>
      </c>
      <c r="G138" s="14">
        <v>0</v>
      </c>
      <c r="H138" s="14">
        <v>0</v>
      </c>
      <c r="I138" s="14">
        <v>0</v>
      </c>
      <c r="J138" s="14">
        <v>0</v>
      </c>
      <c r="K138" s="14">
        <v>0</v>
      </c>
      <c r="L138" s="14">
        <v>0</v>
      </c>
      <c r="M138" s="14">
        <v>0</v>
      </c>
      <c r="N138" s="14">
        <v>0</v>
      </c>
      <c r="O138" s="14">
        <v>0</v>
      </c>
      <c r="P138" s="14">
        <v>0</v>
      </c>
      <c r="Q138" s="15">
        <v>0</v>
      </c>
      <c r="R138" s="15">
        <v>0</v>
      </c>
      <c r="S138" s="15">
        <v>0</v>
      </c>
      <c r="T138" s="15">
        <v>0</v>
      </c>
      <c r="U138" s="15">
        <f>$G$138*$G$8+$H$138*$H$8+$I$138*$I$8+$J$138*$J$8+$K$138*$K$8+$L$138*$L$8+$M$138*$M$8+$N$138*$N$8+$O$138*$O$8+$P$138*$P$8</f>
        <v>0</v>
      </c>
      <c r="V138" s="15">
        <f>SUM($Q$138:$T$138)</f>
        <v>0</v>
      </c>
      <c r="W138" s="15">
        <f>$U$138+$V$138</f>
        <v>0</v>
      </c>
    </row>
    <row r="139" spans="1:23" x14ac:dyDescent="0.3">
      <c r="A139" s="10" t="s">
        <v>501</v>
      </c>
      <c r="B139" s="11" t="s">
        <v>502</v>
      </c>
      <c r="C139" s="11" t="s">
        <v>34</v>
      </c>
      <c r="D139" s="11" t="s">
        <v>503</v>
      </c>
      <c r="E139" s="11">
        <f xml:space="preserve"> IF($W$139,1,0)</f>
        <v>0</v>
      </c>
      <c r="F139" s="11" t="s">
        <v>504</v>
      </c>
      <c r="G139" s="11">
        <v>0</v>
      </c>
      <c r="H139" s="11">
        <v>0</v>
      </c>
      <c r="I139" s="11">
        <v>0</v>
      </c>
      <c r="J139" s="11">
        <v>0</v>
      </c>
      <c r="K139" s="11">
        <v>0</v>
      </c>
      <c r="L139" s="11">
        <v>0</v>
      </c>
      <c r="M139" s="11">
        <v>0</v>
      </c>
      <c r="N139" s="11">
        <v>0</v>
      </c>
      <c r="O139" s="11">
        <v>0</v>
      </c>
      <c r="P139" s="11">
        <v>0</v>
      </c>
      <c r="Q139" s="12">
        <v>0</v>
      </c>
      <c r="R139" s="12">
        <v>0</v>
      </c>
      <c r="S139" s="12">
        <v>0</v>
      </c>
      <c r="T139" s="12">
        <v>0</v>
      </c>
      <c r="U139" s="12">
        <f>$G$139*$G$8+$H$139*$H$8+$I$139*$I$8+$J$139*$J$8+$K$139*$K$8+$L$139*$L$8+$M$139*$M$8+$N$139*$N$8+$O$139*$O$8+$P$139*$P$8</f>
        <v>0</v>
      </c>
      <c r="V139" s="12">
        <f>SUM($Q$139:$T$139)</f>
        <v>0</v>
      </c>
      <c r="W139" s="12">
        <f>$U$139+$V$139</f>
        <v>0</v>
      </c>
    </row>
    <row r="140" spans="1:23" x14ac:dyDescent="0.3">
      <c r="A140" s="13" t="s">
        <v>505</v>
      </c>
      <c r="B140" s="14" t="s">
        <v>502</v>
      </c>
      <c r="C140" s="14"/>
      <c r="D140" s="14" t="s">
        <v>232</v>
      </c>
      <c r="E140" s="14">
        <f xml:space="preserve"> IF($W$140,1,0)</f>
        <v>0</v>
      </c>
      <c r="F140" s="14" t="s">
        <v>506</v>
      </c>
      <c r="G140" s="14">
        <v>0</v>
      </c>
      <c r="H140" s="14">
        <v>0</v>
      </c>
      <c r="I140" s="14">
        <v>0</v>
      </c>
      <c r="J140" s="14">
        <v>0</v>
      </c>
      <c r="K140" s="14">
        <v>0</v>
      </c>
      <c r="L140" s="14">
        <v>0</v>
      </c>
      <c r="M140" s="14">
        <v>0</v>
      </c>
      <c r="N140" s="14">
        <v>0</v>
      </c>
      <c r="O140" s="14">
        <v>0</v>
      </c>
      <c r="P140" s="14">
        <v>0</v>
      </c>
      <c r="Q140" s="15">
        <v>0</v>
      </c>
      <c r="R140" s="15">
        <v>0</v>
      </c>
      <c r="S140" s="15">
        <v>0</v>
      </c>
      <c r="T140" s="15">
        <v>0</v>
      </c>
      <c r="U140" s="15">
        <f>$G$140*$G$8+$H$140*$H$8+$I$140*$I$8+$J$140*$J$8+$K$140*$K$8+$L$140*$L$8+$M$140*$M$8+$N$140*$N$8+$O$140*$O$8+$P$140*$P$8</f>
        <v>0</v>
      </c>
      <c r="V140" s="15">
        <f>SUM($Q$140:$T$140)</f>
        <v>0</v>
      </c>
      <c r="W140" s="15">
        <f>$U$140+$V$140</f>
        <v>0</v>
      </c>
    </row>
    <row r="141" spans="1:23" x14ac:dyDescent="0.3">
      <c r="A141" s="10" t="s">
        <v>507</v>
      </c>
      <c r="B141" s="11" t="s">
        <v>508</v>
      </c>
      <c r="C141" s="11" t="s">
        <v>65</v>
      </c>
      <c r="D141" s="11" t="s">
        <v>509</v>
      </c>
      <c r="E141" s="11">
        <f xml:space="preserve"> IF($W$141,1,0)</f>
        <v>0</v>
      </c>
      <c r="F141" s="11" t="s">
        <v>510</v>
      </c>
      <c r="G141" s="11">
        <v>0</v>
      </c>
      <c r="H141" s="11">
        <v>0</v>
      </c>
      <c r="I141" s="11">
        <v>0</v>
      </c>
      <c r="J141" s="11">
        <v>0</v>
      </c>
      <c r="K141" s="11">
        <v>0</v>
      </c>
      <c r="L141" s="11">
        <v>0</v>
      </c>
      <c r="M141" s="11">
        <v>0</v>
      </c>
      <c r="N141" s="11">
        <v>0</v>
      </c>
      <c r="O141" s="11">
        <v>0</v>
      </c>
      <c r="P141" s="11">
        <v>0</v>
      </c>
      <c r="Q141" s="12">
        <v>0</v>
      </c>
      <c r="R141" s="12">
        <v>0</v>
      </c>
      <c r="S141" s="12">
        <v>0</v>
      </c>
      <c r="T141" s="12">
        <v>0</v>
      </c>
      <c r="U141" s="12">
        <f>$G$141*$G$8+$H$141*$H$8+$I$141*$I$8+$J$141*$J$8+$K$141*$K$8+$L$141*$L$8+$M$141*$M$8+$N$141*$N$8+$O$141*$O$8+$P$141*$P$8</f>
        <v>0</v>
      </c>
      <c r="V141" s="12">
        <f>SUM($Q$141:$T$141)</f>
        <v>0</v>
      </c>
      <c r="W141" s="12">
        <f>$U$141+$V$141</f>
        <v>0</v>
      </c>
    </row>
    <row r="142" spans="1:23" x14ac:dyDescent="0.3">
      <c r="A142" s="13" t="s">
        <v>511</v>
      </c>
      <c r="B142" s="14" t="s">
        <v>512</v>
      </c>
      <c r="C142" s="14" t="s">
        <v>513</v>
      </c>
      <c r="D142" s="14" t="s">
        <v>514</v>
      </c>
      <c r="E142" s="14">
        <f xml:space="preserve"> IF($W$142,1,0)</f>
        <v>0</v>
      </c>
      <c r="F142" s="14" t="s">
        <v>515</v>
      </c>
      <c r="G142" s="14">
        <v>0</v>
      </c>
      <c r="H142" s="14">
        <v>0</v>
      </c>
      <c r="I142" s="14">
        <v>0</v>
      </c>
      <c r="J142" s="14">
        <v>0</v>
      </c>
      <c r="K142" s="14">
        <v>0</v>
      </c>
      <c r="L142" s="14">
        <v>0</v>
      </c>
      <c r="M142" s="14">
        <v>0</v>
      </c>
      <c r="N142" s="14">
        <v>0</v>
      </c>
      <c r="O142" s="14">
        <v>0</v>
      </c>
      <c r="P142" s="14">
        <v>0</v>
      </c>
      <c r="Q142" s="15">
        <v>0</v>
      </c>
      <c r="R142" s="15">
        <v>0</v>
      </c>
      <c r="S142" s="15">
        <v>0</v>
      </c>
      <c r="T142" s="15">
        <v>0</v>
      </c>
      <c r="U142" s="15">
        <f>$G$142*$G$8+$H$142*$H$8+$I$142*$I$8+$J$142*$J$8+$K$142*$K$8+$L$142*$L$8+$M$142*$M$8+$N$142*$N$8+$O$142*$O$8+$P$142*$P$8</f>
        <v>0</v>
      </c>
      <c r="V142" s="15">
        <f>SUM($Q$142:$T$142)</f>
        <v>0</v>
      </c>
      <c r="W142" s="15">
        <f>$U$142+$V$142</f>
        <v>0</v>
      </c>
    </row>
    <row r="143" spans="1:23" x14ac:dyDescent="0.3">
      <c r="A143" s="10" t="s">
        <v>516</v>
      </c>
      <c r="B143" s="11" t="s">
        <v>517</v>
      </c>
      <c r="C143" s="11" t="s">
        <v>65</v>
      </c>
      <c r="D143" s="11" t="s">
        <v>518</v>
      </c>
      <c r="E143" s="11">
        <f xml:space="preserve"> IF($W$143,1,0)</f>
        <v>0</v>
      </c>
      <c r="F143" s="11" t="s">
        <v>519</v>
      </c>
      <c r="G143" s="11">
        <v>0</v>
      </c>
      <c r="H143" s="11">
        <v>0</v>
      </c>
      <c r="I143" s="11">
        <v>0</v>
      </c>
      <c r="J143" s="11">
        <v>0</v>
      </c>
      <c r="K143" s="11">
        <v>0</v>
      </c>
      <c r="L143" s="11">
        <v>0</v>
      </c>
      <c r="M143" s="11">
        <v>0</v>
      </c>
      <c r="N143" s="11">
        <v>0</v>
      </c>
      <c r="O143" s="11">
        <v>0</v>
      </c>
      <c r="P143" s="11">
        <v>0</v>
      </c>
      <c r="Q143" s="12">
        <v>0</v>
      </c>
      <c r="R143" s="12">
        <v>0</v>
      </c>
      <c r="S143" s="12">
        <v>0</v>
      </c>
      <c r="T143" s="12">
        <v>0</v>
      </c>
      <c r="U143" s="12">
        <f>$G$143*$G$8+$H$143*$H$8+$I$143*$I$8+$J$143*$J$8+$K$143*$K$8+$L$143*$L$8+$M$143*$M$8+$N$143*$N$8+$O$143*$O$8+$P$143*$P$8</f>
        <v>0</v>
      </c>
      <c r="V143" s="12">
        <f>SUM($Q$143:$T$143)</f>
        <v>0</v>
      </c>
      <c r="W143" s="12">
        <f>$U$143+$V$143</f>
        <v>0</v>
      </c>
    </row>
    <row r="144" spans="1:23" x14ac:dyDescent="0.3">
      <c r="A144" s="13" t="s">
        <v>520</v>
      </c>
      <c r="B144" s="14" t="s">
        <v>517</v>
      </c>
      <c r="C144" s="14"/>
      <c r="D144" s="14" t="s">
        <v>521</v>
      </c>
      <c r="E144" s="14">
        <f xml:space="preserve"> IF($W$144,1,0)</f>
        <v>0</v>
      </c>
      <c r="F144" s="14" t="s">
        <v>522</v>
      </c>
      <c r="G144" s="14">
        <v>0</v>
      </c>
      <c r="H144" s="14">
        <v>0</v>
      </c>
      <c r="I144" s="14">
        <v>0</v>
      </c>
      <c r="J144" s="14">
        <v>0</v>
      </c>
      <c r="K144" s="14">
        <v>0</v>
      </c>
      <c r="L144" s="14">
        <v>0</v>
      </c>
      <c r="M144" s="14">
        <v>0</v>
      </c>
      <c r="N144" s="14">
        <v>0</v>
      </c>
      <c r="O144" s="14">
        <v>0</v>
      </c>
      <c r="P144" s="14">
        <v>0</v>
      </c>
      <c r="Q144" s="15">
        <v>0</v>
      </c>
      <c r="R144" s="15">
        <v>0</v>
      </c>
      <c r="S144" s="15">
        <v>0</v>
      </c>
      <c r="T144" s="15">
        <v>0</v>
      </c>
      <c r="U144" s="15">
        <f>$G$144*$G$8+$H$144*$H$8+$I$144*$I$8+$J$144*$J$8+$K$144*$K$8+$L$144*$L$8+$M$144*$M$8+$N$144*$N$8+$O$144*$O$8+$P$144*$P$8</f>
        <v>0</v>
      </c>
      <c r="V144" s="15">
        <f>SUM($Q$144:$T$144)</f>
        <v>0</v>
      </c>
      <c r="W144" s="15">
        <f>$U$144+$V$144</f>
        <v>0</v>
      </c>
    </row>
    <row r="145" spans="1:23" x14ac:dyDescent="0.3">
      <c r="A145" s="10" t="s">
        <v>523</v>
      </c>
      <c r="B145" s="11" t="s">
        <v>524</v>
      </c>
      <c r="C145" s="11" t="s">
        <v>65</v>
      </c>
      <c r="D145" s="11" t="s">
        <v>327</v>
      </c>
      <c r="E145" s="11">
        <f xml:space="preserve"> IF($W$145,1,0)</f>
        <v>0</v>
      </c>
      <c r="F145" s="11" t="s">
        <v>525</v>
      </c>
      <c r="G145" s="11">
        <v>0</v>
      </c>
      <c r="H145" s="11">
        <v>0</v>
      </c>
      <c r="I145" s="11">
        <v>0</v>
      </c>
      <c r="J145" s="11">
        <v>0</v>
      </c>
      <c r="K145" s="11">
        <v>0</v>
      </c>
      <c r="L145" s="11">
        <v>0</v>
      </c>
      <c r="M145" s="11">
        <v>0</v>
      </c>
      <c r="N145" s="11">
        <v>0</v>
      </c>
      <c r="O145" s="11">
        <v>0</v>
      </c>
      <c r="P145" s="11">
        <v>0</v>
      </c>
      <c r="Q145" s="12">
        <v>0</v>
      </c>
      <c r="R145" s="12">
        <v>0</v>
      </c>
      <c r="S145" s="12">
        <v>0</v>
      </c>
      <c r="T145" s="12">
        <v>0</v>
      </c>
      <c r="U145" s="12">
        <f>$G$145*$G$8+$H$145*$H$8+$I$145*$I$8+$J$145*$J$8+$K$145*$K$8+$L$145*$L$8+$M$145*$M$8+$N$145*$N$8+$O$145*$O$8+$P$145*$P$8</f>
        <v>0</v>
      </c>
      <c r="V145" s="12">
        <f>SUM($Q$145:$T$145)</f>
        <v>0</v>
      </c>
      <c r="W145" s="12">
        <f>$U$145+$V$145</f>
        <v>0</v>
      </c>
    </row>
    <row r="146" spans="1:23" x14ac:dyDescent="0.3">
      <c r="A146" s="13" t="s">
        <v>526</v>
      </c>
      <c r="B146" s="14" t="s">
        <v>527</v>
      </c>
      <c r="C146" s="14"/>
      <c r="D146" s="14" t="s">
        <v>528</v>
      </c>
      <c r="E146" s="14">
        <f xml:space="preserve"> IF($W$146,1,0)</f>
        <v>0</v>
      </c>
      <c r="F146" s="14" t="s">
        <v>529</v>
      </c>
      <c r="G146" s="14">
        <v>0</v>
      </c>
      <c r="H146" s="14">
        <v>0</v>
      </c>
      <c r="I146" s="14">
        <v>0</v>
      </c>
      <c r="J146" s="14">
        <v>0</v>
      </c>
      <c r="K146" s="14">
        <v>0</v>
      </c>
      <c r="L146" s="14">
        <v>0</v>
      </c>
      <c r="M146" s="14">
        <v>0</v>
      </c>
      <c r="N146" s="14">
        <v>0</v>
      </c>
      <c r="O146" s="14">
        <v>0</v>
      </c>
      <c r="P146" s="14">
        <v>0</v>
      </c>
      <c r="Q146" s="15">
        <v>0</v>
      </c>
      <c r="R146" s="15">
        <v>0</v>
      </c>
      <c r="S146" s="15">
        <v>0</v>
      </c>
      <c r="T146" s="15">
        <v>0</v>
      </c>
      <c r="U146" s="15">
        <f>$G$146*$G$8+$H$146*$H$8+$I$146*$I$8+$J$146*$J$8+$K$146*$K$8+$L$146*$L$8+$M$146*$M$8+$N$146*$N$8+$O$146*$O$8+$P$146*$P$8</f>
        <v>0</v>
      </c>
      <c r="V146" s="15">
        <f>SUM($Q$146:$T$146)</f>
        <v>0</v>
      </c>
      <c r="W146" s="15">
        <f>$U$146+$V$146</f>
        <v>0</v>
      </c>
    </row>
    <row r="147" spans="1:23" x14ac:dyDescent="0.3">
      <c r="A147" s="10" t="s">
        <v>530</v>
      </c>
      <c r="B147" s="11" t="s">
        <v>531</v>
      </c>
      <c r="C147" s="11"/>
      <c r="D147" s="11" t="s">
        <v>532</v>
      </c>
      <c r="E147" s="11">
        <f xml:space="preserve"> IF($W$147,1,0)</f>
        <v>0</v>
      </c>
      <c r="F147" s="11" t="s">
        <v>533</v>
      </c>
      <c r="G147" s="11">
        <v>0</v>
      </c>
      <c r="H147" s="11">
        <v>0</v>
      </c>
      <c r="I147" s="11">
        <v>0</v>
      </c>
      <c r="J147" s="11">
        <v>0</v>
      </c>
      <c r="K147" s="11">
        <v>0</v>
      </c>
      <c r="L147" s="11">
        <v>0</v>
      </c>
      <c r="M147" s="11">
        <v>0</v>
      </c>
      <c r="N147" s="11">
        <v>0</v>
      </c>
      <c r="O147" s="11">
        <v>0</v>
      </c>
      <c r="P147" s="11">
        <v>0</v>
      </c>
      <c r="Q147" s="12">
        <v>0</v>
      </c>
      <c r="R147" s="12">
        <v>0</v>
      </c>
      <c r="S147" s="12">
        <v>0</v>
      </c>
      <c r="T147" s="12">
        <v>0</v>
      </c>
      <c r="U147" s="12">
        <f>$G$147*$G$8+$H$147*$H$8+$I$147*$I$8+$J$147*$J$8+$K$147*$K$8+$L$147*$L$8+$M$147*$M$8+$N$147*$N$8+$O$147*$O$8+$P$147*$P$8</f>
        <v>0</v>
      </c>
      <c r="V147" s="12">
        <f>SUM($Q$147:$T$147)</f>
        <v>0</v>
      </c>
      <c r="W147" s="12">
        <f>$U$147+$V$147</f>
        <v>0</v>
      </c>
    </row>
    <row r="148" spans="1:23" x14ac:dyDescent="0.3">
      <c r="A148" s="13" t="s">
        <v>534</v>
      </c>
      <c r="B148" s="14" t="s">
        <v>535</v>
      </c>
      <c r="C148" s="14"/>
      <c r="D148" s="14" t="s">
        <v>536</v>
      </c>
      <c r="E148" s="14">
        <f xml:space="preserve"> IF($W$148,1,0)</f>
        <v>0</v>
      </c>
      <c r="F148" s="14" t="s">
        <v>537</v>
      </c>
      <c r="G148" s="14">
        <v>0</v>
      </c>
      <c r="H148" s="14">
        <v>0</v>
      </c>
      <c r="I148" s="14">
        <v>0</v>
      </c>
      <c r="J148" s="14">
        <v>0</v>
      </c>
      <c r="K148" s="14">
        <v>0</v>
      </c>
      <c r="L148" s="14">
        <v>0</v>
      </c>
      <c r="M148" s="14">
        <v>0</v>
      </c>
      <c r="N148" s="14">
        <v>0</v>
      </c>
      <c r="O148" s="14">
        <v>0</v>
      </c>
      <c r="P148" s="14">
        <v>0</v>
      </c>
      <c r="Q148" s="15">
        <v>0</v>
      </c>
      <c r="R148" s="15">
        <v>0</v>
      </c>
      <c r="S148" s="15">
        <v>0</v>
      </c>
      <c r="T148" s="15">
        <v>0</v>
      </c>
      <c r="U148" s="15">
        <f>$G$148*$G$8+$H$148*$H$8+$I$148*$I$8+$J$148*$J$8+$K$148*$K$8+$L$148*$L$8+$M$148*$M$8+$N$148*$N$8+$O$148*$O$8+$P$148*$P$8</f>
        <v>0</v>
      </c>
      <c r="V148" s="15">
        <f>SUM($Q$148:$T$148)</f>
        <v>0</v>
      </c>
      <c r="W148" s="15">
        <f>$U$148+$V$148</f>
        <v>0</v>
      </c>
    </row>
    <row r="149" spans="1:23" x14ac:dyDescent="0.3">
      <c r="A149" s="10" t="s">
        <v>538</v>
      </c>
      <c r="B149" s="11" t="s">
        <v>535</v>
      </c>
      <c r="C149" s="11"/>
      <c r="D149" s="11" t="s">
        <v>539</v>
      </c>
      <c r="E149" s="11">
        <f xml:space="preserve"> IF($W$149,1,0)</f>
        <v>0</v>
      </c>
      <c r="F149" s="11" t="s">
        <v>540</v>
      </c>
      <c r="G149" s="11">
        <v>0</v>
      </c>
      <c r="H149" s="11">
        <v>0</v>
      </c>
      <c r="I149" s="11">
        <v>0</v>
      </c>
      <c r="J149" s="11">
        <v>0</v>
      </c>
      <c r="K149" s="11">
        <v>0</v>
      </c>
      <c r="L149" s="11">
        <v>0</v>
      </c>
      <c r="M149" s="11">
        <v>0</v>
      </c>
      <c r="N149" s="11">
        <v>0</v>
      </c>
      <c r="O149" s="11">
        <v>0</v>
      </c>
      <c r="P149" s="11">
        <v>0</v>
      </c>
      <c r="Q149" s="12">
        <v>0</v>
      </c>
      <c r="R149" s="12">
        <v>0</v>
      </c>
      <c r="S149" s="12">
        <v>0</v>
      </c>
      <c r="T149" s="12">
        <v>0</v>
      </c>
      <c r="U149" s="12">
        <f>$G$149*$G$8+$H$149*$H$8+$I$149*$I$8+$J$149*$J$8+$K$149*$K$8+$L$149*$L$8+$M$149*$M$8+$N$149*$N$8+$O$149*$O$8+$P$149*$P$8</f>
        <v>0</v>
      </c>
      <c r="V149" s="12">
        <f>SUM($Q$149:$T$149)</f>
        <v>0</v>
      </c>
      <c r="W149" s="12">
        <f>$U$149+$V$149</f>
        <v>0</v>
      </c>
    </row>
    <row r="150" spans="1:23" x14ac:dyDescent="0.3">
      <c r="A150" s="13" t="s">
        <v>541</v>
      </c>
      <c r="B150" s="14" t="s">
        <v>542</v>
      </c>
      <c r="C150" s="14"/>
      <c r="D150" s="14" t="s">
        <v>543</v>
      </c>
      <c r="E150" s="14">
        <f xml:space="preserve"> IF($W$150,1,0)</f>
        <v>0</v>
      </c>
      <c r="F150" s="14" t="s">
        <v>544</v>
      </c>
      <c r="G150" s="14">
        <v>0</v>
      </c>
      <c r="H150" s="14">
        <v>0</v>
      </c>
      <c r="I150" s="14">
        <v>0</v>
      </c>
      <c r="J150" s="14">
        <v>0</v>
      </c>
      <c r="K150" s="14">
        <v>0</v>
      </c>
      <c r="L150" s="14">
        <v>0</v>
      </c>
      <c r="M150" s="14">
        <v>0</v>
      </c>
      <c r="N150" s="14">
        <v>0</v>
      </c>
      <c r="O150" s="14">
        <v>0</v>
      </c>
      <c r="P150" s="14">
        <v>0</v>
      </c>
      <c r="Q150" s="15">
        <v>0</v>
      </c>
      <c r="R150" s="15">
        <v>0</v>
      </c>
      <c r="S150" s="15">
        <v>0</v>
      </c>
      <c r="T150" s="15">
        <v>0</v>
      </c>
      <c r="U150" s="15">
        <f>$G$150*$G$8+$H$150*$H$8+$I$150*$I$8+$J$150*$J$8+$K$150*$K$8+$L$150*$L$8+$M$150*$M$8+$N$150*$N$8+$O$150*$O$8+$P$150*$P$8</f>
        <v>0</v>
      </c>
      <c r="V150" s="15">
        <f>SUM($Q$150:$T$150)</f>
        <v>0</v>
      </c>
      <c r="W150" s="15">
        <f>$U$150+$V$150</f>
        <v>0</v>
      </c>
    </row>
    <row r="151" spans="1:23" x14ac:dyDescent="0.3">
      <c r="A151" s="10" t="s">
        <v>545</v>
      </c>
      <c r="B151" s="11" t="s">
        <v>546</v>
      </c>
      <c r="C151" s="11"/>
      <c r="D151" s="11" t="s">
        <v>547</v>
      </c>
      <c r="E151" s="11">
        <f xml:space="preserve"> IF($W$151,1,0)</f>
        <v>0</v>
      </c>
      <c r="F151" s="11" t="s">
        <v>548</v>
      </c>
      <c r="G151" s="11">
        <v>0</v>
      </c>
      <c r="H151" s="11">
        <v>0</v>
      </c>
      <c r="I151" s="11">
        <v>0</v>
      </c>
      <c r="J151" s="11">
        <v>0</v>
      </c>
      <c r="K151" s="11">
        <v>0</v>
      </c>
      <c r="L151" s="11">
        <v>0</v>
      </c>
      <c r="M151" s="11">
        <v>0</v>
      </c>
      <c r="N151" s="11">
        <v>0</v>
      </c>
      <c r="O151" s="11">
        <v>0</v>
      </c>
      <c r="P151" s="11">
        <v>0</v>
      </c>
      <c r="Q151" s="12">
        <v>0</v>
      </c>
      <c r="R151" s="12">
        <v>0</v>
      </c>
      <c r="S151" s="12">
        <v>0</v>
      </c>
      <c r="T151" s="12">
        <v>0</v>
      </c>
      <c r="U151" s="12">
        <f>$G$151*$G$8+$H$151*$H$8+$I$151*$I$8+$J$151*$J$8+$K$151*$K$8+$L$151*$L$8+$M$151*$M$8+$N$151*$N$8+$O$151*$O$8+$P$151*$P$8</f>
        <v>0</v>
      </c>
      <c r="V151" s="12">
        <f>SUM($Q$151:$T$151)</f>
        <v>0</v>
      </c>
      <c r="W151" s="12">
        <f>$U$151+$V$151</f>
        <v>0</v>
      </c>
    </row>
    <row r="152" spans="1:23" x14ac:dyDescent="0.3">
      <c r="A152" s="13" t="s">
        <v>549</v>
      </c>
      <c r="B152" s="14" t="s">
        <v>550</v>
      </c>
      <c r="C152" s="14" t="s">
        <v>34</v>
      </c>
      <c r="D152" s="14" t="s">
        <v>551</v>
      </c>
      <c r="E152" s="14">
        <f xml:space="preserve"> IF($W$152,1,0)</f>
        <v>0</v>
      </c>
      <c r="F152" s="14" t="s">
        <v>552</v>
      </c>
      <c r="G152" s="14">
        <v>0</v>
      </c>
      <c r="H152" s="14">
        <v>0</v>
      </c>
      <c r="I152" s="14">
        <v>0</v>
      </c>
      <c r="J152" s="14">
        <v>0</v>
      </c>
      <c r="K152" s="14">
        <v>0</v>
      </c>
      <c r="L152" s="14">
        <v>0</v>
      </c>
      <c r="M152" s="14">
        <v>0</v>
      </c>
      <c r="N152" s="14">
        <v>0</v>
      </c>
      <c r="O152" s="14">
        <v>0</v>
      </c>
      <c r="P152" s="14">
        <v>0</v>
      </c>
      <c r="Q152" s="15">
        <v>0</v>
      </c>
      <c r="R152" s="15">
        <v>0</v>
      </c>
      <c r="S152" s="15">
        <v>0</v>
      </c>
      <c r="T152" s="15">
        <v>0</v>
      </c>
      <c r="U152" s="15">
        <f>$G$152*$G$8+$H$152*$H$8+$I$152*$I$8+$J$152*$J$8+$K$152*$K$8+$L$152*$L$8+$M$152*$M$8+$N$152*$N$8+$O$152*$O$8+$P$152*$P$8</f>
        <v>0</v>
      </c>
      <c r="V152" s="15">
        <f>SUM($Q$152:$T$152)</f>
        <v>0</v>
      </c>
      <c r="W152" s="15">
        <f>$U$152+$V$152</f>
        <v>0</v>
      </c>
    </row>
    <row r="153" spans="1:23" x14ac:dyDescent="0.3">
      <c r="A153" s="10" t="s">
        <v>553</v>
      </c>
      <c r="B153" s="11" t="s">
        <v>554</v>
      </c>
      <c r="C153" s="11"/>
      <c r="D153" s="11" t="s">
        <v>555</v>
      </c>
      <c r="E153" s="11">
        <f xml:space="preserve"> IF($W$153,1,0)</f>
        <v>0</v>
      </c>
      <c r="F153" s="11" t="s">
        <v>556</v>
      </c>
      <c r="G153" s="11">
        <v>0</v>
      </c>
      <c r="H153" s="11">
        <v>0</v>
      </c>
      <c r="I153" s="11">
        <v>0</v>
      </c>
      <c r="J153" s="11">
        <v>0</v>
      </c>
      <c r="K153" s="11">
        <v>0</v>
      </c>
      <c r="L153" s="11">
        <v>0</v>
      </c>
      <c r="M153" s="11">
        <v>0</v>
      </c>
      <c r="N153" s="11">
        <v>0</v>
      </c>
      <c r="O153" s="11">
        <v>0</v>
      </c>
      <c r="P153" s="11">
        <v>0</v>
      </c>
      <c r="Q153" s="12">
        <v>0</v>
      </c>
      <c r="R153" s="12">
        <v>0</v>
      </c>
      <c r="S153" s="12">
        <v>0</v>
      </c>
      <c r="T153" s="12">
        <v>0</v>
      </c>
      <c r="U153" s="12">
        <f>$G$153*$G$8+$H$153*$H$8+$I$153*$I$8+$J$153*$J$8+$K$153*$K$8+$L$153*$L$8+$M$153*$M$8+$N$153*$N$8+$O$153*$O$8+$P$153*$P$8</f>
        <v>0</v>
      </c>
      <c r="V153" s="12">
        <f>SUM($Q$153:$T$153)</f>
        <v>0</v>
      </c>
      <c r="W153" s="12">
        <f>$U$153+$V$153</f>
        <v>0</v>
      </c>
    </row>
    <row r="154" spans="1:23" x14ac:dyDescent="0.3">
      <c r="A154" s="13" t="s">
        <v>557</v>
      </c>
      <c r="B154" s="14" t="s">
        <v>554</v>
      </c>
      <c r="C154" s="14"/>
      <c r="D154" s="14" t="s">
        <v>558</v>
      </c>
      <c r="E154" s="14">
        <f xml:space="preserve"> IF($W$154,1,0)</f>
        <v>0</v>
      </c>
      <c r="F154" s="14" t="s">
        <v>559</v>
      </c>
      <c r="G154" s="14">
        <v>0</v>
      </c>
      <c r="H154" s="14">
        <v>0</v>
      </c>
      <c r="I154" s="14">
        <v>0</v>
      </c>
      <c r="J154" s="14">
        <v>0</v>
      </c>
      <c r="K154" s="14">
        <v>0</v>
      </c>
      <c r="L154" s="14">
        <v>0</v>
      </c>
      <c r="M154" s="14">
        <v>0</v>
      </c>
      <c r="N154" s="14">
        <v>0</v>
      </c>
      <c r="O154" s="14">
        <v>0</v>
      </c>
      <c r="P154" s="14">
        <v>0</v>
      </c>
      <c r="Q154" s="15">
        <v>0</v>
      </c>
      <c r="R154" s="15">
        <v>0</v>
      </c>
      <c r="S154" s="15">
        <v>0</v>
      </c>
      <c r="T154" s="15">
        <v>0</v>
      </c>
      <c r="U154" s="15">
        <f>$G$154*$G$8+$H$154*$H$8+$I$154*$I$8+$J$154*$J$8+$K$154*$K$8+$L$154*$L$8+$M$154*$M$8+$N$154*$N$8+$O$154*$O$8+$P$154*$P$8</f>
        <v>0</v>
      </c>
      <c r="V154" s="15">
        <f>SUM($Q$154:$T$154)</f>
        <v>0</v>
      </c>
      <c r="W154" s="15">
        <f>$U$154+$V$154</f>
        <v>0</v>
      </c>
    </row>
    <row r="155" spans="1:23" x14ac:dyDescent="0.3">
      <c r="A155" s="10" t="s">
        <v>560</v>
      </c>
      <c r="B155" s="11" t="s">
        <v>561</v>
      </c>
      <c r="C155" s="11"/>
      <c r="D155" s="11" t="s">
        <v>562</v>
      </c>
      <c r="E155" s="11">
        <f xml:space="preserve"> IF($W$155,1,0)</f>
        <v>0</v>
      </c>
      <c r="F155" s="11" t="s">
        <v>563</v>
      </c>
      <c r="G155" s="11">
        <v>0</v>
      </c>
      <c r="H155" s="11">
        <v>0</v>
      </c>
      <c r="I155" s="11">
        <v>0</v>
      </c>
      <c r="J155" s="11">
        <v>0</v>
      </c>
      <c r="K155" s="11">
        <v>0</v>
      </c>
      <c r="L155" s="11">
        <v>0</v>
      </c>
      <c r="M155" s="11">
        <v>0</v>
      </c>
      <c r="N155" s="11">
        <v>0</v>
      </c>
      <c r="O155" s="11">
        <v>0</v>
      </c>
      <c r="P155" s="11">
        <v>0</v>
      </c>
      <c r="Q155" s="12">
        <v>0</v>
      </c>
      <c r="R155" s="12">
        <v>0</v>
      </c>
      <c r="S155" s="12">
        <v>0</v>
      </c>
      <c r="T155" s="12">
        <v>0</v>
      </c>
      <c r="U155" s="12">
        <f>$G$155*$G$8+$H$155*$H$8+$I$155*$I$8+$J$155*$J$8+$K$155*$K$8+$L$155*$L$8+$M$155*$M$8+$N$155*$N$8+$O$155*$O$8+$P$155*$P$8</f>
        <v>0</v>
      </c>
      <c r="V155" s="12">
        <f>SUM($Q$155:$T$155)</f>
        <v>0</v>
      </c>
      <c r="W155" s="12">
        <f>$U$155+$V$155</f>
        <v>0</v>
      </c>
    </row>
    <row r="156" spans="1:23" x14ac:dyDescent="0.3">
      <c r="A156" s="13" t="s">
        <v>564</v>
      </c>
      <c r="B156" s="14" t="s">
        <v>565</v>
      </c>
      <c r="C156" s="14"/>
      <c r="D156" s="14" t="s">
        <v>566</v>
      </c>
      <c r="E156" s="14">
        <f xml:space="preserve"> IF($W$156,1,0)</f>
        <v>0</v>
      </c>
      <c r="F156" s="14" t="s">
        <v>567</v>
      </c>
      <c r="G156" s="14">
        <v>0</v>
      </c>
      <c r="H156" s="14">
        <v>0</v>
      </c>
      <c r="I156" s="14">
        <v>0</v>
      </c>
      <c r="J156" s="14">
        <v>0</v>
      </c>
      <c r="K156" s="14">
        <v>0</v>
      </c>
      <c r="L156" s="14">
        <v>0</v>
      </c>
      <c r="M156" s="14">
        <v>0</v>
      </c>
      <c r="N156" s="14">
        <v>0</v>
      </c>
      <c r="O156" s="14">
        <v>0</v>
      </c>
      <c r="P156" s="14">
        <v>0</v>
      </c>
      <c r="Q156" s="15">
        <v>0</v>
      </c>
      <c r="R156" s="15">
        <v>0</v>
      </c>
      <c r="S156" s="15">
        <v>0</v>
      </c>
      <c r="T156" s="15">
        <v>0</v>
      </c>
      <c r="U156" s="15">
        <f>$G$156*$G$8+$H$156*$H$8+$I$156*$I$8+$J$156*$J$8+$K$156*$K$8+$L$156*$L$8+$M$156*$M$8+$N$156*$N$8+$O$156*$O$8+$P$156*$P$8</f>
        <v>0</v>
      </c>
      <c r="V156" s="15">
        <f>SUM($Q$156:$T$156)</f>
        <v>0</v>
      </c>
      <c r="W156" s="15">
        <f>$U$156+$V$156</f>
        <v>0</v>
      </c>
    </row>
    <row r="157" spans="1:23" x14ac:dyDescent="0.3">
      <c r="A157" s="10" t="s">
        <v>568</v>
      </c>
      <c r="B157" s="11" t="s">
        <v>569</v>
      </c>
      <c r="C157" s="11"/>
      <c r="D157" s="11" t="s">
        <v>570</v>
      </c>
      <c r="E157" s="11">
        <f xml:space="preserve"> IF($W$157,1,0)</f>
        <v>0</v>
      </c>
      <c r="F157" s="11" t="s">
        <v>571</v>
      </c>
      <c r="G157" s="11">
        <v>0</v>
      </c>
      <c r="H157" s="11">
        <v>0</v>
      </c>
      <c r="I157" s="11">
        <v>0</v>
      </c>
      <c r="J157" s="11">
        <v>0</v>
      </c>
      <c r="K157" s="11">
        <v>0</v>
      </c>
      <c r="L157" s="11">
        <v>0</v>
      </c>
      <c r="M157" s="11">
        <v>0</v>
      </c>
      <c r="N157" s="11">
        <v>0</v>
      </c>
      <c r="O157" s="11">
        <v>0</v>
      </c>
      <c r="P157" s="11">
        <v>0</v>
      </c>
      <c r="Q157" s="12">
        <v>0</v>
      </c>
      <c r="R157" s="12">
        <v>0</v>
      </c>
      <c r="S157" s="12">
        <v>0</v>
      </c>
      <c r="T157" s="12">
        <v>0</v>
      </c>
      <c r="U157" s="12">
        <f>$G$157*$G$8+$H$157*$H$8+$I$157*$I$8+$J$157*$J$8+$K$157*$K$8+$L$157*$L$8+$M$157*$M$8+$N$157*$N$8+$O$157*$O$8+$P$157*$P$8</f>
        <v>0</v>
      </c>
      <c r="V157" s="12">
        <f>SUM($Q$157:$T$157)</f>
        <v>0</v>
      </c>
      <c r="W157" s="12">
        <f>$U$157+$V$157</f>
        <v>0</v>
      </c>
    </row>
    <row r="158" spans="1:23" x14ac:dyDescent="0.3">
      <c r="A158" s="13" t="s">
        <v>572</v>
      </c>
      <c r="B158" s="14" t="s">
        <v>573</v>
      </c>
      <c r="C158" s="14" t="s">
        <v>34</v>
      </c>
      <c r="D158" s="14" t="s">
        <v>574</v>
      </c>
      <c r="E158" s="14">
        <f xml:space="preserve"> IF($W$158,1,0)</f>
        <v>0</v>
      </c>
      <c r="F158" s="14" t="s">
        <v>575</v>
      </c>
      <c r="G158" s="14">
        <v>0</v>
      </c>
      <c r="H158" s="14">
        <v>0</v>
      </c>
      <c r="I158" s="14">
        <v>0</v>
      </c>
      <c r="J158" s="14">
        <v>0</v>
      </c>
      <c r="K158" s="14">
        <v>0</v>
      </c>
      <c r="L158" s="14">
        <v>0</v>
      </c>
      <c r="M158" s="14">
        <v>0</v>
      </c>
      <c r="N158" s="14">
        <v>0</v>
      </c>
      <c r="O158" s="14">
        <v>0</v>
      </c>
      <c r="P158" s="14">
        <v>0</v>
      </c>
      <c r="Q158" s="15">
        <v>0</v>
      </c>
      <c r="R158" s="15">
        <v>0</v>
      </c>
      <c r="S158" s="15">
        <v>0</v>
      </c>
      <c r="T158" s="15">
        <v>0</v>
      </c>
      <c r="U158" s="15">
        <f>$G$158*$G$8+$H$158*$H$8+$I$158*$I$8+$J$158*$J$8+$K$158*$K$8+$L$158*$L$8+$M$158*$M$8+$N$158*$N$8+$O$158*$O$8+$P$158*$P$8</f>
        <v>0</v>
      </c>
      <c r="V158" s="15">
        <f>SUM($Q$158:$T$158)</f>
        <v>0</v>
      </c>
      <c r="W158" s="15">
        <f>$U$158+$V$158</f>
        <v>0</v>
      </c>
    </row>
    <row r="159" spans="1:23" x14ac:dyDescent="0.3">
      <c r="A159" s="10" t="s">
        <v>576</v>
      </c>
      <c r="B159" s="11" t="s">
        <v>577</v>
      </c>
      <c r="C159" s="11"/>
      <c r="D159" s="11" t="s">
        <v>578</v>
      </c>
      <c r="E159" s="11">
        <f xml:space="preserve"> IF($W$159,1,0)</f>
        <v>0</v>
      </c>
      <c r="F159" s="11" t="s">
        <v>579</v>
      </c>
      <c r="G159" s="11">
        <v>0</v>
      </c>
      <c r="H159" s="11">
        <v>0</v>
      </c>
      <c r="I159" s="11">
        <v>0</v>
      </c>
      <c r="J159" s="11">
        <v>0</v>
      </c>
      <c r="K159" s="11">
        <v>0</v>
      </c>
      <c r="L159" s="11">
        <v>0</v>
      </c>
      <c r="M159" s="11">
        <v>0</v>
      </c>
      <c r="N159" s="11">
        <v>0</v>
      </c>
      <c r="O159" s="11">
        <v>0</v>
      </c>
      <c r="P159" s="11">
        <v>0</v>
      </c>
      <c r="Q159" s="12">
        <v>0</v>
      </c>
      <c r="R159" s="12">
        <v>0</v>
      </c>
      <c r="S159" s="12">
        <v>0</v>
      </c>
      <c r="T159" s="12">
        <v>0</v>
      </c>
      <c r="U159" s="12">
        <f>$G$159*$G$8+$H$159*$H$8+$I$159*$I$8+$J$159*$J$8+$K$159*$K$8+$L$159*$L$8+$M$159*$M$8+$N$159*$N$8+$O$159*$O$8+$P$159*$P$8</f>
        <v>0</v>
      </c>
      <c r="V159" s="12">
        <f>SUM($Q$159:$T$159)</f>
        <v>0</v>
      </c>
      <c r="W159" s="12">
        <f>$U$159+$V$159</f>
        <v>0</v>
      </c>
    </row>
    <row r="160" spans="1:23" x14ac:dyDescent="0.3">
      <c r="A160" s="13" t="s">
        <v>580</v>
      </c>
      <c r="B160" s="14" t="s">
        <v>581</v>
      </c>
      <c r="C160" s="14"/>
      <c r="D160" s="14" t="s">
        <v>582</v>
      </c>
      <c r="E160" s="14">
        <f xml:space="preserve"> IF($W$160,1,0)</f>
        <v>0</v>
      </c>
      <c r="F160" s="14" t="s">
        <v>583</v>
      </c>
      <c r="G160" s="14">
        <v>0</v>
      </c>
      <c r="H160" s="14">
        <v>0</v>
      </c>
      <c r="I160" s="14">
        <v>0</v>
      </c>
      <c r="J160" s="14">
        <v>0</v>
      </c>
      <c r="K160" s="14">
        <v>0</v>
      </c>
      <c r="L160" s="14">
        <v>0</v>
      </c>
      <c r="M160" s="14">
        <v>0</v>
      </c>
      <c r="N160" s="14">
        <v>0</v>
      </c>
      <c r="O160" s="14">
        <v>0</v>
      </c>
      <c r="P160" s="14">
        <v>0</v>
      </c>
      <c r="Q160" s="15">
        <v>0</v>
      </c>
      <c r="R160" s="15">
        <v>0</v>
      </c>
      <c r="S160" s="15">
        <v>0</v>
      </c>
      <c r="T160" s="15">
        <v>0</v>
      </c>
      <c r="U160" s="15">
        <f>$G$160*$G$8+$H$160*$H$8+$I$160*$I$8+$J$160*$J$8+$K$160*$K$8+$L$160*$L$8+$M$160*$M$8+$N$160*$N$8+$O$160*$O$8+$P$160*$P$8</f>
        <v>0</v>
      </c>
      <c r="V160" s="15">
        <f>SUM($Q$160:$T$160)</f>
        <v>0</v>
      </c>
      <c r="W160" s="15">
        <f>$U$160+$V$160</f>
        <v>0</v>
      </c>
    </row>
    <row r="161" spans="1:23" x14ac:dyDescent="0.3">
      <c r="A161" s="10" t="s">
        <v>584</v>
      </c>
      <c r="B161" s="11" t="s">
        <v>585</v>
      </c>
      <c r="C161" s="11"/>
      <c r="D161" s="11" t="s">
        <v>586</v>
      </c>
      <c r="E161" s="11">
        <f xml:space="preserve"> IF($W$161,1,0)</f>
        <v>0</v>
      </c>
      <c r="F161" s="11" t="s">
        <v>587</v>
      </c>
      <c r="G161" s="11">
        <v>0</v>
      </c>
      <c r="H161" s="11">
        <v>0</v>
      </c>
      <c r="I161" s="11">
        <v>0</v>
      </c>
      <c r="J161" s="11">
        <v>0</v>
      </c>
      <c r="K161" s="11">
        <v>0</v>
      </c>
      <c r="L161" s="11">
        <v>0</v>
      </c>
      <c r="M161" s="11">
        <v>0</v>
      </c>
      <c r="N161" s="11">
        <v>0</v>
      </c>
      <c r="O161" s="11">
        <v>0</v>
      </c>
      <c r="P161" s="11">
        <v>0</v>
      </c>
      <c r="Q161" s="12">
        <v>0</v>
      </c>
      <c r="R161" s="12">
        <v>0</v>
      </c>
      <c r="S161" s="12">
        <v>0</v>
      </c>
      <c r="T161" s="12">
        <v>0</v>
      </c>
      <c r="U161" s="12">
        <f>$G$161*$G$8+$H$161*$H$8+$I$161*$I$8+$J$161*$J$8+$K$161*$K$8+$L$161*$L$8+$M$161*$M$8+$N$161*$N$8+$O$161*$O$8+$P$161*$P$8</f>
        <v>0</v>
      </c>
      <c r="V161" s="12">
        <f>SUM($Q$161:$T$161)</f>
        <v>0</v>
      </c>
      <c r="W161" s="12">
        <f>$U$161+$V$161</f>
        <v>0</v>
      </c>
    </row>
    <row r="162" spans="1:23" x14ac:dyDescent="0.3">
      <c r="A162" s="13" t="s">
        <v>588</v>
      </c>
      <c r="B162" s="14" t="s">
        <v>589</v>
      </c>
      <c r="C162" s="14"/>
      <c r="D162" s="14" t="s">
        <v>590</v>
      </c>
      <c r="E162" s="14">
        <f xml:space="preserve"> IF($W$162,1,0)</f>
        <v>0</v>
      </c>
      <c r="F162" s="14" t="s">
        <v>591</v>
      </c>
      <c r="G162" s="14">
        <v>0</v>
      </c>
      <c r="H162" s="14">
        <v>0</v>
      </c>
      <c r="I162" s="14">
        <v>0</v>
      </c>
      <c r="J162" s="14">
        <v>0</v>
      </c>
      <c r="K162" s="14">
        <v>0</v>
      </c>
      <c r="L162" s="14">
        <v>0</v>
      </c>
      <c r="M162" s="14">
        <v>0</v>
      </c>
      <c r="N162" s="14">
        <v>0</v>
      </c>
      <c r="O162" s="14">
        <v>0</v>
      </c>
      <c r="P162" s="14">
        <v>0</v>
      </c>
      <c r="Q162" s="15">
        <v>0</v>
      </c>
      <c r="R162" s="15">
        <v>0</v>
      </c>
      <c r="S162" s="15">
        <v>0</v>
      </c>
      <c r="T162" s="15">
        <v>0</v>
      </c>
      <c r="U162" s="15">
        <f>$G$162*$G$8+$H$162*$H$8+$I$162*$I$8+$J$162*$J$8+$K$162*$K$8+$L$162*$L$8+$M$162*$M$8+$N$162*$N$8+$O$162*$O$8+$P$162*$P$8</f>
        <v>0</v>
      </c>
      <c r="V162" s="15">
        <f>SUM($Q$162:$T$162)</f>
        <v>0</v>
      </c>
      <c r="W162" s="15">
        <f>$U$162+$V$162</f>
        <v>0</v>
      </c>
    </row>
    <row r="163" spans="1:23" x14ac:dyDescent="0.3">
      <c r="A163" s="10" t="s">
        <v>592</v>
      </c>
      <c r="B163" s="11" t="s">
        <v>593</v>
      </c>
      <c r="C163" s="11"/>
      <c r="D163" s="11" t="s">
        <v>594</v>
      </c>
      <c r="E163" s="11">
        <f xml:space="preserve"> IF($W$163,1,0)</f>
        <v>0</v>
      </c>
      <c r="F163" s="11" t="s">
        <v>595</v>
      </c>
      <c r="G163" s="11">
        <v>0</v>
      </c>
      <c r="H163" s="11">
        <v>0</v>
      </c>
      <c r="I163" s="11">
        <v>0</v>
      </c>
      <c r="J163" s="11">
        <v>0</v>
      </c>
      <c r="K163" s="11">
        <v>0</v>
      </c>
      <c r="L163" s="11">
        <v>0</v>
      </c>
      <c r="M163" s="11">
        <v>0</v>
      </c>
      <c r="N163" s="11">
        <v>0</v>
      </c>
      <c r="O163" s="11">
        <v>0</v>
      </c>
      <c r="P163" s="11">
        <v>0</v>
      </c>
      <c r="Q163" s="12">
        <v>0</v>
      </c>
      <c r="R163" s="12">
        <v>0</v>
      </c>
      <c r="S163" s="12">
        <v>0</v>
      </c>
      <c r="T163" s="12">
        <v>0</v>
      </c>
      <c r="U163" s="12">
        <f>$G$163*$G$8+$H$163*$H$8+$I$163*$I$8+$J$163*$J$8+$K$163*$K$8+$L$163*$L$8+$M$163*$M$8+$N$163*$N$8+$O$163*$O$8+$P$163*$P$8</f>
        <v>0</v>
      </c>
      <c r="V163" s="12">
        <f>SUM($Q$163:$T$163)</f>
        <v>0</v>
      </c>
      <c r="W163" s="12">
        <f>$U$163+$V$163</f>
        <v>0</v>
      </c>
    </row>
    <row r="164" spans="1:23" x14ac:dyDescent="0.3">
      <c r="A164" s="13" t="s">
        <v>596</v>
      </c>
      <c r="B164" s="14" t="s">
        <v>597</v>
      </c>
      <c r="C164" s="14"/>
      <c r="D164" s="14" t="s">
        <v>598</v>
      </c>
      <c r="E164" s="14">
        <f xml:space="preserve"> IF($W$164,1,0)</f>
        <v>0</v>
      </c>
      <c r="F164" s="14" t="s">
        <v>599</v>
      </c>
      <c r="G164" s="14">
        <v>0</v>
      </c>
      <c r="H164" s="14">
        <v>0</v>
      </c>
      <c r="I164" s="14">
        <v>0</v>
      </c>
      <c r="J164" s="14">
        <v>0</v>
      </c>
      <c r="K164" s="14">
        <v>0</v>
      </c>
      <c r="L164" s="14">
        <v>0</v>
      </c>
      <c r="M164" s="14">
        <v>0</v>
      </c>
      <c r="N164" s="14">
        <v>0</v>
      </c>
      <c r="O164" s="14">
        <v>0</v>
      </c>
      <c r="P164" s="14">
        <v>0</v>
      </c>
      <c r="Q164" s="15">
        <v>0</v>
      </c>
      <c r="R164" s="15">
        <v>0</v>
      </c>
      <c r="S164" s="15">
        <v>0</v>
      </c>
      <c r="T164" s="15">
        <v>0</v>
      </c>
      <c r="U164" s="15">
        <f>$G$164*$G$8+$H$164*$H$8+$I$164*$I$8+$J$164*$J$8+$K$164*$K$8+$L$164*$L$8+$M$164*$M$8+$N$164*$N$8+$O$164*$O$8+$P$164*$P$8</f>
        <v>0</v>
      </c>
      <c r="V164" s="15">
        <f>SUM($Q$164:$T$164)</f>
        <v>0</v>
      </c>
      <c r="W164" s="15">
        <f>$U$164+$V$164</f>
        <v>0</v>
      </c>
    </row>
    <row r="165" spans="1:23" x14ac:dyDescent="0.3">
      <c r="A165" s="10" t="s">
        <v>600</v>
      </c>
      <c r="B165" s="11" t="s">
        <v>601</v>
      </c>
      <c r="C165" s="11"/>
      <c r="D165" s="11" t="s">
        <v>70</v>
      </c>
      <c r="E165" s="11">
        <f xml:space="preserve"> IF($W$165,1,0)</f>
        <v>0</v>
      </c>
      <c r="F165" s="11" t="s">
        <v>602</v>
      </c>
      <c r="G165" s="11">
        <v>0</v>
      </c>
      <c r="H165" s="11">
        <v>0</v>
      </c>
      <c r="I165" s="11">
        <v>0</v>
      </c>
      <c r="J165" s="11">
        <v>0</v>
      </c>
      <c r="K165" s="11">
        <v>0</v>
      </c>
      <c r="L165" s="11">
        <v>0</v>
      </c>
      <c r="M165" s="11">
        <v>0</v>
      </c>
      <c r="N165" s="11">
        <v>0</v>
      </c>
      <c r="O165" s="11">
        <v>0</v>
      </c>
      <c r="P165" s="11">
        <v>0</v>
      </c>
      <c r="Q165" s="12">
        <v>0</v>
      </c>
      <c r="R165" s="12">
        <v>0</v>
      </c>
      <c r="S165" s="12">
        <v>0</v>
      </c>
      <c r="T165" s="12">
        <v>0</v>
      </c>
      <c r="U165" s="12">
        <f>$G$165*$G$8+$H$165*$H$8+$I$165*$I$8+$J$165*$J$8+$K$165*$K$8+$L$165*$L$8+$M$165*$M$8+$N$165*$N$8+$O$165*$O$8+$P$165*$P$8</f>
        <v>0</v>
      </c>
      <c r="V165" s="12">
        <f>SUM($Q$165:$T$165)</f>
        <v>0</v>
      </c>
      <c r="W165" s="12">
        <f>$U$165+$V$165</f>
        <v>0</v>
      </c>
    </row>
    <row r="166" spans="1:23" x14ac:dyDescent="0.3">
      <c r="A166" s="13" t="s">
        <v>603</v>
      </c>
      <c r="B166" s="14" t="s">
        <v>604</v>
      </c>
      <c r="C166" s="14"/>
      <c r="D166" s="14" t="s">
        <v>605</v>
      </c>
      <c r="E166" s="14">
        <f xml:space="preserve"> IF($W$166,1,0)</f>
        <v>0</v>
      </c>
      <c r="F166" s="14" t="s">
        <v>606</v>
      </c>
      <c r="G166" s="14">
        <v>0</v>
      </c>
      <c r="H166" s="14">
        <v>0</v>
      </c>
      <c r="I166" s="14">
        <v>0</v>
      </c>
      <c r="J166" s="14">
        <v>0</v>
      </c>
      <c r="K166" s="14">
        <v>0</v>
      </c>
      <c r="L166" s="14">
        <v>0</v>
      </c>
      <c r="M166" s="14">
        <v>0</v>
      </c>
      <c r="N166" s="14">
        <v>0</v>
      </c>
      <c r="O166" s="14">
        <v>0</v>
      </c>
      <c r="P166" s="14">
        <v>0</v>
      </c>
      <c r="Q166" s="15">
        <v>0</v>
      </c>
      <c r="R166" s="15">
        <v>0</v>
      </c>
      <c r="S166" s="15">
        <v>0</v>
      </c>
      <c r="T166" s="15">
        <v>0</v>
      </c>
      <c r="U166" s="15">
        <f>$G$166*$G$8+$H$166*$H$8+$I$166*$I$8+$J$166*$J$8+$K$166*$K$8+$L$166*$L$8+$M$166*$M$8+$N$166*$N$8+$O$166*$O$8+$P$166*$P$8</f>
        <v>0</v>
      </c>
      <c r="V166" s="15">
        <f>SUM($Q$166:$T$166)</f>
        <v>0</v>
      </c>
      <c r="W166" s="15">
        <f>$U$166+$V$166</f>
        <v>0</v>
      </c>
    </row>
    <row r="167" spans="1:23" x14ac:dyDescent="0.3">
      <c r="A167" s="10" t="s">
        <v>607</v>
      </c>
      <c r="B167" s="11" t="s">
        <v>608</v>
      </c>
      <c r="C167" s="11"/>
      <c r="D167" s="11" t="s">
        <v>609</v>
      </c>
      <c r="E167" s="11">
        <f xml:space="preserve"> IF($W$167,1,0)</f>
        <v>0</v>
      </c>
      <c r="F167" s="11" t="s">
        <v>610</v>
      </c>
      <c r="G167" s="11">
        <v>0</v>
      </c>
      <c r="H167" s="11">
        <v>0</v>
      </c>
      <c r="I167" s="11">
        <v>0</v>
      </c>
      <c r="J167" s="11">
        <v>0</v>
      </c>
      <c r="K167" s="11">
        <v>0</v>
      </c>
      <c r="L167" s="11">
        <v>0</v>
      </c>
      <c r="M167" s="11">
        <v>0</v>
      </c>
      <c r="N167" s="11">
        <v>0</v>
      </c>
      <c r="O167" s="11">
        <v>0</v>
      </c>
      <c r="P167" s="11">
        <v>0</v>
      </c>
      <c r="Q167" s="12">
        <v>0</v>
      </c>
      <c r="R167" s="12">
        <v>0</v>
      </c>
      <c r="S167" s="12">
        <v>0</v>
      </c>
      <c r="T167" s="12">
        <v>0</v>
      </c>
      <c r="U167" s="12">
        <f>$G$167*$G$8+$H$167*$H$8+$I$167*$I$8+$J$167*$J$8+$K$167*$K$8+$L$167*$L$8+$M$167*$M$8+$N$167*$N$8+$O$167*$O$8+$P$167*$P$8</f>
        <v>0</v>
      </c>
      <c r="V167" s="12">
        <f>SUM($Q$167:$T$167)</f>
        <v>0</v>
      </c>
      <c r="W167" s="12">
        <f>$U$167+$V$167</f>
        <v>0</v>
      </c>
    </row>
    <row r="168" spans="1:23" x14ac:dyDescent="0.3">
      <c r="A168" s="13" t="s">
        <v>611</v>
      </c>
      <c r="B168" s="14" t="s">
        <v>612</v>
      </c>
      <c r="C168" s="14"/>
      <c r="D168" s="14" t="s">
        <v>613</v>
      </c>
      <c r="E168" s="14">
        <f xml:space="preserve"> IF($W$168,1,0)</f>
        <v>0</v>
      </c>
      <c r="F168" s="14" t="s">
        <v>614</v>
      </c>
      <c r="G168" s="14">
        <v>0</v>
      </c>
      <c r="H168" s="14">
        <v>0</v>
      </c>
      <c r="I168" s="14">
        <v>0</v>
      </c>
      <c r="J168" s="14">
        <v>0</v>
      </c>
      <c r="K168" s="14">
        <v>0</v>
      </c>
      <c r="L168" s="14">
        <v>0</v>
      </c>
      <c r="M168" s="14">
        <v>0</v>
      </c>
      <c r="N168" s="14">
        <v>0</v>
      </c>
      <c r="O168" s="14">
        <v>0</v>
      </c>
      <c r="P168" s="14">
        <v>0</v>
      </c>
      <c r="Q168" s="15">
        <v>0</v>
      </c>
      <c r="R168" s="15">
        <v>0</v>
      </c>
      <c r="S168" s="15">
        <v>0</v>
      </c>
      <c r="T168" s="15">
        <v>0</v>
      </c>
      <c r="U168" s="15">
        <f>$G$168*$G$8+$H$168*$H$8+$I$168*$I$8+$J$168*$J$8+$K$168*$K$8+$L$168*$L$8+$M$168*$M$8+$N$168*$N$8+$O$168*$O$8+$P$168*$P$8</f>
        <v>0</v>
      </c>
      <c r="V168" s="15">
        <f>SUM($Q$168:$T$168)</f>
        <v>0</v>
      </c>
      <c r="W168" s="15">
        <f>$U$168+$V$168</f>
        <v>0</v>
      </c>
    </row>
    <row r="169" spans="1:23" x14ac:dyDescent="0.3">
      <c r="A169" s="10" t="s">
        <v>615</v>
      </c>
      <c r="B169" s="11" t="s">
        <v>616</v>
      </c>
      <c r="C169" s="11"/>
      <c r="D169" s="11" t="s">
        <v>617</v>
      </c>
      <c r="E169" s="11">
        <f xml:space="preserve"> IF($W$169,1,0)</f>
        <v>0</v>
      </c>
      <c r="F169" s="11" t="s">
        <v>618</v>
      </c>
      <c r="G169" s="11">
        <v>0</v>
      </c>
      <c r="H169" s="11">
        <v>0</v>
      </c>
      <c r="I169" s="11">
        <v>0</v>
      </c>
      <c r="J169" s="11">
        <v>0</v>
      </c>
      <c r="K169" s="11">
        <v>0</v>
      </c>
      <c r="L169" s="11">
        <v>0</v>
      </c>
      <c r="M169" s="11">
        <v>0</v>
      </c>
      <c r="N169" s="11">
        <v>0</v>
      </c>
      <c r="O169" s="11">
        <v>0</v>
      </c>
      <c r="P169" s="11">
        <v>0</v>
      </c>
      <c r="Q169" s="12">
        <v>0</v>
      </c>
      <c r="R169" s="12">
        <v>0</v>
      </c>
      <c r="S169" s="12">
        <v>0</v>
      </c>
      <c r="T169" s="12">
        <v>0</v>
      </c>
      <c r="U169" s="12">
        <f>$G$169*$G$8+$H$169*$H$8+$I$169*$I$8+$J$169*$J$8+$K$169*$K$8+$L$169*$L$8+$M$169*$M$8+$N$169*$N$8+$O$169*$O$8+$P$169*$P$8</f>
        <v>0</v>
      </c>
      <c r="V169" s="12">
        <f>SUM($Q$169:$T$169)</f>
        <v>0</v>
      </c>
      <c r="W169" s="12">
        <f>$U$169+$V$169</f>
        <v>0</v>
      </c>
    </row>
    <row r="170" spans="1:23" x14ac:dyDescent="0.3">
      <c r="A170" s="13" t="s">
        <v>619</v>
      </c>
      <c r="B170" s="14" t="s">
        <v>620</v>
      </c>
      <c r="C170" s="14" t="s">
        <v>34</v>
      </c>
      <c r="D170" s="14" t="s">
        <v>621</v>
      </c>
      <c r="E170" s="14">
        <f xml:space="preserve"> IF($W$170,1,0)</f>
        <v>0</v>
      </c>
      <c r="F170" s="14" t="s">
        <v>622</v>
      </c>
      <c r="G170" s="14">
        <v>0</v>
      </c>
      <c r="H170" s="14">
        <v>0</v>
      </c>
      <c r="I170" s="14">
        <v>0</v>
      </c>
      <c r="J170" s="14">
        <v>0</v>
      </c>
      <c r="K170" s="14">
        <v>0</v>
      </c>
      <c r="L170" s="14">
        <v>0</v>
      </c>
      <c r="M170" s="14">
        <v>0</v>
      </c>
      <c r="N170" s="14">
        <v>0</v>
      </c>
      <c r="O170" s="14">
        <v>0</v>
      </c>
      <c r="P170" s="14">
        <v>0</v>
      </c>
      <c r="Q170" s="15">
        <v>0</v>
      </c>
      <c r="R170" s="15">
        <v>0</v>
      </c>
      <c r="S170" s="15">
        <v>0</v>
      </c>
      <c r="T170" s="15">
        <v>0</v>
      </c>
      <c r="U170" s="15">
        <f>$G$170*$G$8+$H$170*$H$8+$I$170*$I$8+$J$170*$J$8+$K$170*$K$8+$L$170*$L$8+$M$170*$M$8+$N$170*$N$8+$O$170*$O$8+$P$170*$P$8</f>
        <v>0</v>
      </c>
      <c r="V170" s="15">
        <f>SUM($Q$170:$T$170)</f>
        <v>0</v>
      </c>
      <c r="W170" s="15">
        <f>$U$170+$V$170</f>
        <v>0</v>
      </c>
    </row>
    <row r="171" spans="1:23" x14ac:dyDescent="0.3">
      <c r="A171" s="10" t="s">
        <v>623</v>
      </c>
      <c r="B171" s="11" t="s">
        <v>624</v>
      </c>
      <c r="C171" s="11"/>
      <c r="D171" s="11" t="s">
        <v>625</v>
      </c>
      <c r="E171" s="11">
        <f xml:space="preserve"> IF($W$171,1,0)</f>
        <v>0</v>
      </c>
      <c r="F171" s="11" t="s">
        <v>626</v>
      </c>
      <c r="G171" s="11">
        <v>0</v>
      </c>
      <c r="H171" s="11">
        <v>0</v>
      </c>
      <c r="I171" s="11">
        <v>0</v>
      </c>
      <c r="J171" s="11">
        <v>0</v>
      </c>
      <c r="K171" s="11">
        <v>0</v>
      </c>
      <c r="L171" s="11">
        <v>0</v>
      </c>
      <c r="M171" s="11">
        <v>0</v>
      </c>
      <c r="N171" s="11">
        <v>0</v>
      </c>
      <c r="O171" s="11">
        <v>0</v>
      </c>
      <c r="P171" s="11">
        <v>0</v>
      </c>
      <c r="Q171" s="12">
        <v>0</v>
      </c>
      <c r="R171" s="12">
        <v>0</v>
      </c>
      <c r="S171" s="12">
        <v>0</v>
      </c>
      <c r="T171" s="12">
        <v>0</v>
      </c>
      <c r="U171" s="12">
        <f>$G$171*$G$8+$H$171*$H$8+$I$171*$I$8+$J$171*$J$8+$K$171*$K$8+$L$171*$L$8+$M$171*$M$8+$N$171*$N$8+$O$171*$O$8+$P$171*$P$8</f>
        <v>0</v>
      </c>
      <c r="V171" s="12">
        <f>SUM($Q$171:$T$171)</f>
        <v>0</v>
      </c>
      <c r="W171" s="12">
        <f>$U$171+$V$171</f>
        <v>0</v>
      </c>
    </row>
    <row r="172" spans="1:23" x14ac:dyDescent="0.3">
      <c r="A172" s="13" t="s">
        <v>627</v>
      </c>
      <c r="B172" s="14" t="s">
        <v>624</v>
      </c>
      <c r="C172" s="14"/>
      <c r="D172" s="14" t="s">
        <v>628</v>
      </c>
      <c r="E172" s="14">
        <f xml:space="preserve"> IF($W$172,1,0)</f>
        <v>0</v>
      </c>
      <c r="F172" s="14" t="s">
        <v>629</v>
      </c>
      <c r="G172" s="14">
        <v>0</v>
      </c>
      <c r="H172" s="14">
        <v>0</v>
      </c>
      <c r="I172" s="14">
        <v>0</v>
      </c>
      <c r="J172" s="14">
        <v>0</v>
      </c>
      <c r="K172" s="14">
        <v>0</v>
      </c>
      <c r="L172" s="14">
        <v>0</v>
      </c>
      <c r="M172" s="14">
        <v>0</v>
      </c>
      <c r="N172" s="14">
        <v>0</v>
      </c>
      <c r="O172" s="14">
        <v>0</v>
      </c>
      <c r="P172" s="14">
        <v>0</v>
      </c>
      <c r="Q172" s="15">
        <v>0</v>
      </c>
      <c r="R172" s="15">
        <v>0</v>
      </c>
      <c r="S172" s="15">
        <v>0</v>
      </c>
      <c r="T172" s="15">
        <v>0</v>
      </c>
      <c r="U172" s="15">
        <f>$G$172*$G$8+$H$172*$H$8+$I$172*$I$8+$J$172*$J$8+$K$172*$K$8+$L$172*$L$8+$M$172*$M$8+$N$172*$N$8+$O$172*$O$8+$P$172*$P$8</f>
        <v>0</v>
      </c>
      <c r="V172" s="15">
        <f>SUM($Q$172:$T$172)</f>
        <v>0</v>
      </c>
      <c r="W172" s="15">
        <f>$U$172+$V$172</f>
        <v>0</v>
      </c>
    </row>
    <row r="173" spans="1:23" x14ac:dyDescent="0.3">
      <c r="A173" s="10" t="s">
        <v>630</v>
      </c>
      <c r="B173" s="11" t="s">
        <v>631</v>
      </c>
      <c r="C173" s="11"/>
      <c r="D173" s="11" t="s">
        <v>632</v>
      </c>
      <c r="E173" s="11">
        <f xml:space="preserve"> IF($W$173,1,0)</f>
        <v>0</v>
      </c>
      <c r="F173" s="11" t="s">
        <v>633</v>
      </c>
      <c r="G173" s="11">
        <v>0</v>
      </c>
      <c r="H173" s="11">
        <v>0</v>
      </c>
      <c r="I173" s="11">
        <v>0</v>
      </c>
      <c r="J173" s="11">
        <v>0</v>
      </c>
      <c r="K173" s="11">
        <v>0</v>
      </c>
      <c r="L173" s="11">
        <v>0</v>
      </c>
      <c r="M173" s="11">
        <v>0</v>
      </c>
      <c r="N173" s="11">
        <v>0</v>
      </c>
      <c r="O173" s="11">
        <v>0</v>
      </c>
      <c r="P173" s="11">
        <v>0</v>
      </c>
      <c r="Q173" s="12">
        <v>0</v>
      </c>
      <c r="R173" s="12">
        <v>0</v>
      </c>
      <c r="S173" s="12">
        <v>0</v>
      </c>
      <c r="T173" s="12">
        <v>0</v>
      </c>
      <c r="U173" s="12">
        <f>$G$173*$G$8+$H$173*$H$8+$I$173*$I$8+$J$173*$J$8+$K$173*$K$8+$L$173*$L$8+$M$173*$M$8+$N$173*$N$8+$O$173*$O$8+$P$173*$P$8</f>
        <v>0</v>
      </c>
      <c r="V173" s="12">
        <f>SUM($Q$173:$T$173)</f>
        <v>0</v>
      </c>
      <c r="W173" s="12">
        <f>$U$173+$V$173</f>
        <v>0</v>
      </c>
    </row>
    <row r="174" spans="1:23" x14ac:dyDescent="0.3">
      <c r="A174" s="13" t="s">
        <v>634</v>
      </c>
      <c r="B174" s="14" t="s">
        <v>635</v>
      </c>
      <c r="C174" s="14"/>
      <c r="D174" s="14" t="s">
        <v>636</v>
      </c>
      <c r="E174" s="14">
        <f xml:space="preserve"> IF($W$174,1,0)</f>
        <v>0</v>
      </c>
      <c r="F174" s="14" t="s">
        <v>637</v>
      </c>
      <c r="G174" s="14">
        <v>0</v>
      </c>
      <c r="H174" s="14">
        <v>0</v>
      </c>
      <c r="I174" s="14">
        <v>0</v>
      </c>
      <c r="J174" s="14">
        <v>0</v>
      </c>
      <c r="K174" s="14">
        <v>0</v>
      </c>
      <c r="L174" s="14">
        <v>0</v>
      </c>
      <c r="M174" s="14">
        <v>0</v>
      </c>
      <c r="N174" s="14">
        <v>0</v>
      </c>
      <c r="O174" s="14">
        <v>0</v>
      </c>
      <c r="P174" s="14">
        <v>0</v>
      </c>
      <c r="Q174" s="15">
        <v>0</v>
      </c>
      <c r="R174" s="15">
        <v>0</v>
      </c>
      <c r="S174" s="15">
        <v>0</v>
      </c>
      <c r="T174" s="15">
        <v>0</v>
      </c>
      <c r="U174" s="15">
        <f>$G$174*$G$8+$H$174*$H$8+$I$174*$I$8+$J$174*$J$8+$K$174*$K$8+$L$174*$L$8+$M$174*$M$8+$N$174*$N$8+$O$174*$O$8+$P$174*$P$8</f>
        <v>0</v>
      </c>
      <c r="V174" s="15">
        <f>SUM($Q$174:$T$174)</f>
        <v>0</v>
      </c>
      <c r="W174" s="15">
        <f>$U$174+$V$174</f>
        <v>0</v>
      </c>
    </row>
    <row r="175" spans="1:23" x14ac:dyDescent="0.3">
      <c r="A175" s="10" t="s">
        <v>638</v>
      </c>
      <c r="B175" s="11" t="s">
        <v>639</v>
      </c>
      <c r="C175" s="11"/>
      <c r="D175" s="11" t="s">
        <v>274</v>
      </c>
      <c r="E175" s="11">
        <f xml:space="preserve"> IF($W$175,1,0)</f>
        <v>0</v>
      </c>
      <c r="F175" s="11" t="s">
        <v>640</v>
      </c>
      <c r="G175" s="11">
        <v>0</v>
      </c>
      <c r="H175" s="11">
        <v>0</v>
      </c>
      <c r="I175" s="11">
        <v>0</v>
      </c>
      <c r="J175" s="11">
        <v>0</v>
      </c>
      <c r="K175" s="11">
        <v>0</v>
      </c>
      <c r="L175" s="11">
        <v>0</v>
      </c>
      <c r="M175" s="11">
        <v>0</v>
      </c>
      <c r="N175" s="11">
        <v>0</v>
      </c>
      <c r="O175" s="11">
        <v>0</v>
      </c>
      <c r="P175" s="11">
        <v>0</v>
      </c>
      <c r="Q175" s="12">
        <v>0</v>
      </c>
      <c r="R175" s="12">
        <v>0</v>
      </c>
      <c r="S175" s="12">
        <v>0</v>
      </c>
      <c r="T175" s="12">
        <v>0</v>
      </c>
      <c r="U175" s="12">
        <f>$G$175*$G$8+$H$175*$H$8+$I$175*$I$8+$J$175*$J$8+$K$175*$K$8+$L$175*$L$8+$M$175*$M$8+$N$175*$N$8+$O$175*$O$8+$P$175*$P$8</f>
        <v>0</v>
      </c>
      <c r="V175" s="12">
        <f>SUM($Q$175:$T$175)</f>
        <v>0</v>
      </c>
      <c r="W175" s="12">
        <f>$U$175+$V$175</f>
        <v>0</v>
      </c>
    </row>
    <row r="176" spans="1:23" x14ac:dyDescent="0.3">
      <c r="A176" s="13" t="s">
        <v>641</v>
      </c>
      <c r="B176" s="14" t="s">
        <v>642</v>
      </c>
      <c r="C176" s="14"/>
      <c r="D176" s="14" t="s">
        <v>643</v>
      </c>
      <c r="E176" s="14">
        <f xml:space="preserve"> IF($W$176,1,0)</f>
        <v>0</v>
      </c>
      <c r="F176" s="14" t="s">
        <v>644</v>
      </c>
      <c r="G176" s="14">
        <v>0</v>
      </c>
      <c r="H176" s="14">
        <v>0</v>
      </c>
      <c r="I176" s="14">
        <v>0</v>
      </c>
      <c r="J176" s="14">
        <v>0</v>
      </c>
      <c r="K176" s="14">
        <v>0</v>
      </c>
      <c r="L176" s="14">
        <v>0</v>
      </c>
      <c r="M176" s="14">
        <v>0</v>
      </c>
      <c r="N176" s="14">
        <v>0</v>
      </c>
      <c r="O176" s="14">
        <v>0</v>
      </c>
      <c r="P176" s="14">
        <v>0</v>
      </c>
      <c r="Q176" s="15">
        <v>0</v>
      </c>
      <c r="R176" s="15">
        <v>0</v>
      </c>
      <c r="S176" s="15">
        <v>0</v>
      </c>
      <c r="T176" s="15">
        <v>0</v>
      </c>
      <c r="U176" s="15">
        <f>$G$176*$G$8+$H$176*$H$8+$I$176*$I$8+$J$176*$J$8+$K$176*$K$8+$L$176*$L$8+$M$176*$M$8+$N$176*$N$8+$O$176*$O$8+$P$176*$P$8</f>
        <v>0</v>
      </c>
      <c r="V176" s="15">
        <f>SUM($Q$176:$T$176)</f>
        <v>0</v>
      </c>
      <c r="W176" s="15">
        <f>$U$176+$V$176</f>
        <v>0</v>
      </c>
    </row>
    <row r="177" spans="1:23" x14ac:dyDescent="0.3">
      <c r="A177" s="10" t="s">
        <v>645</v>
      </c>
      <c r="B177" s="11" t="s">
        <v>646</v>
      </c>
      <c r="C177" s="11"/>
      <c r="D177" s="11" t="s">
        <v>647</v>
      </c>
      <c r="E177" s="11">
        <f xml:space="preserve"> IF($W$177,1,0)</f>
        <v>0</v>
      </c>
      <c r="F177" s="11" t="s">
        <v>648</v>
      </c>
      <c r="G177" s="11">
        <v>0</v>
      </c>
      <c r="H177" s="11">
        <v>0</v>
      </c>
      <c r="I177" s="11">
        <v>0</v>
      </c>
      <c r="J177" s="11">
        <v>0</v>
      </c>
      <c r="K177" s="11">
        <v>0</v>
      </c>
      <c r="L177" s="11">
        <v>0</v>
      </c>
      <c r="M177" s="11">
        <v>0</v>
      </c>
      <c r="N177" s="11">
        <v>0</v>
      </c>
      <c r="O177" s="11">
        <v>0</v>
      </c>
      <c r="P177" s="11">
        <v>0</v>
      </c>
      <c r="Q177" s="12">
        <v>0</v>
      </c>
      <c r="R177" s="12">
        <v>0</v>
      </c>
      <c r="S177" s="12">
        <v>0</v>
      </c>
      <c r="T177" s="12">
        <v>0</v>
      </c>
      <c r="U177" s="12">
        <f>$G$177*$G$8+$H$177*$H$8+$I$177*$I$8+$J$177*$J$8+$K$177*$K$8+$L$177*$L$8+$M$177*$M$8+$N$177*$N$8+$O$177*$O$8+$P$177*$P$8</f>
        <v>0</v>
      </c>
      <c r="V177" s="12">
        <f>SUM($Q$177:$T$177)</f>
        <v>0</v>
      </c>
      <c r="W177" s="12">
        <f>$U$177+$V$177</f>
        <v>0</v>
      </c>
    </row>
    <row r="178" spans="1:23" x14ac:dyDescent="0.3">
      <c r="A178" s="13" t="s">
        <v>649</v>
      </c>
      <c r="B178" s="14" t="s">
        <v>650</v>
      </c>
      <c r="C178" s="14"/>
      <c r="D178" s="14" t="s">
        <v>651</v>
      </c>
      <c r="E178" s="14">
        <f xml:space="preserve"> IF($W$178,1,0)</f>
        <v>0</v>
      </c>
      <c r="F178" s="14" t="s">
        <v>652</v>
      </c>
      <c r="G178" s="14">
        <v>0</v>
      </c>
      <c r="H178" s="14">
        <v>0</v>
      </c>
      <c r="I178" s="14">
        <v>0</v>
      </c>
      <c r="J178" s="14">
        <v>0</v>
      </c>
      <c r="K178" s="14">
        <v>0</v>
      </c>
      <c r="L178" s="14">
        <v>0</v>
      </c>
      <c r="M178" s="14">
        <v>0</v>
      </c>
      <c r="N178" s="14">
        <v>0</v>
      </c>
      <c r="O178" s="14">
        <v>0</v>
      </c>
      <c r="P178" s="14">
        <v>0</v>
      </c>
      <c r="Q178" s="15">
        <v>0</v>
      </c>
      <c r="R178" s="15">
        <v>0</v>
      </c>
      <c r="S178" s="15">
        <v>0</v>
      </c>
      <c r="T178" s="15">
        <v>0</v>
      </c>
      <c r="U178" s="15">
        <f>$G$178*$G$8+$H$178*$H$8+$I$178*$I$8+$J$178*$J$8+$K$178*$K$8+$L$178*$L$8+$M$178*$M$8+$N$178*$N$8+$O$178*$O$8+$P$178*$P$8</f>
        <v>0</v>
      </c>
      <c r="V178" s="15">
        <f>SUM($Q$178:$T$178)</f>
        <v>0</v>
      </c>
      <c r="W178" s="15">
        <f>$U$178+$V$178</f>
        <v>0</v>
      </c>
    </row>
    <row r="179" spans="1:23" x14ac:dyDescent="0.3">
      <c r="A179" s="10" t="s">
        <v>653</v>
      </c>
      <c r="B179" s="11" t="s">
        <v>654</v>
      </c>
      <c r="C179" s="11"/>
      <c r="D179" s="11" t="s">
        <v>655</v>
      </c>
      <c r="E179" s="11">
        <f xml:space="preserve"> IF($W$179,1,0)</f>
        <v>0</v>
      </c>
      <c r="F179" s="11" t="s">
        <v>656</v>
      </c>
      <c r="G179" s="11">
        <v>0</v>
      </c>
      <c r="H179" s="11">
        <v>0</v>
      </c>
      <c r="I179" s="11">
        <v>0</v>
      </c>
      <c r="J179" s="11">
        <v>0</v>
      </c>
      <c r="K179" s="11">
        <v>0</v>
      </c>
      <c r="L179" s="11">
        <v>0</v>
      </c>
      <c r="M179" s="11">
        <v>0</v>
      </c>
      <c r="N179" s="11">
        <v>0</v>
      </c>
      <c r="O179" s="11">
        <v>0</v>
      </c>
      <c r="P179" s="11">
        <v>0</v>
      </c>
      <c r="Q179" s="12">
        <v>0</v>
      </c>
      <c r="R179" s="12">
        <v>0</v>
      </c>
      <c r="S179" s="12">
        <v>0</v>
      </c>
      <c r="T179" s="12">
        <v>0</v>
      </c>
      <c r="U179" s="12">
        <f>$G$179*$G$8+$H$179*$H$8+$I$179*$I$8+$J$179*$J$8+$K$179*$K$8+$L$179*$L$8+$M$179*$M$8+$N$179*$N$8+$O$179*$O$8+$P$179*$P$8</f>
        <v>0</v>
      </c>
      <c r="V179" s="12">
        <f>SUM($Q$179:$T$179)</f>
        <v>0</v>
      </c>
      <c r="W179" s="12">
        <f>$U$179+$V$179</f>
        <v>0</v>
      </c>
    </row>
    <row r="180" spans="1:23" x14ac:dyDescent="0.3">
      <c r="A180" s="13" t="s">
        <v>657</v>
      </c>
      <c r="B180" s="14" t="s">
        <v>658</v>
      </c>
      <c r="C180" s="14"/>
      <c r="D180" s="14" t="s">
        <v>659</v>
      </c>
      <c r="E180" s="14">
        <f xml:space="preserve"> IF($W$180,1,0)</f>
        <v>0</v>
      </c>
      <c r="F180" s="14" t="s">
        <v>660</v>
      </c>
      <c r="G180" s="14">
        <v>0</v>
      </c>
      <c r="H180" s="14">
        <v>0</v>
      </c>
      <c r="I180" s="14">
        <v>0</v>
      </c>
      <c r="J180" s="14">
        <v>0</v>
      </c>
      <c r="K180" s="14">
        <v>0</v>
      </c>
      <c r="L180" s="14">
        <v>0</v>
      </c>
      <c r="M180" s="14">
        <v>0</v>
      </c>
      <c r="N180" s="14">
        <v>0</v>
      </c>
      <c r="O180" s="14">
        <v>0</v>
      </c>
      <c r="P180" s="14">
        <v>0</v>
      </c>
      <c r="Q180" s="15">
        <v>0</v>
      </c>
      <c r="R180" s="15">
        <v>0</v>
      </c>
      <c r="S180" s="15">
        <v>0</v>
      </c>
      <c r="T180" s="15">
        <v>0</v>
      </c>
      <c r="U180" s="15">
        <f>$G$180*$G$8+$H$180*$H$8+$I$180*$I$8+$J$180*$J$8+$K$180*$K$8+$L$180*$L$8+$M$180*$M$8+$N$180*$N$8+$O$180*$O$8+$P$180*$P$8</f>
        <v>0</v>
      </c>
      <c r="V180" s="15">
        <f>SUM($Q$180:$T$180)</f>
        <v>0</v>
      </c>
      <c r="W180" s="15">
        <f>$U$180+$V$180</f>
        <v>0</v>
      </c>
    </row>
    <row r="181" spans="1:23" x14ac:dyDescent="0.3">
      <c r="A181" s="10" t="s">
        <v>661</v>
      </c>
      <c r="B181" s="11" t="s">
        <v>658</v>
      </c>
      <c r="C181" s="11" t="s">
        <v>202</v>
      </c>
      <c r="D181" s="11" t="s">
        <v>662</v>
      </c>
      <c r="E181" s="11">
        <f xml:space="preserve"> IF($W$181,1,0)</f>
        <v>0</v>
      </c>
      <c r="F181" s="11" t="s">
        <v>663</v>
      </c>
      <c r="G181" s="11">
        <v>0</v>
      </c>
      <c r="H181" s="11">
        <v>0</v>
      </c>
      <c r="I181" s="11">
        <v>0</v>
      </c>
      <c r="J181" s="11">
        <v>0</v>
      </c>
      <c r="K181" s="11">
        <v>0</v>
      </c>
      <c r="L181" s="11">
        <v>0</v>
      </c>
      <c r="M181" s="11">
        <v>0</v>
      </c>
      <c r="N181" s="11">
        <v>0</v>
      </c>
      <c r="O181" s="11">
        <v>0</v>
      </c>
      <c r="P181" s="11">
        <v>0</v>
      </c>
      <c r="Q181" s="12">
        <v>0</v>
      </c>
      <c r="R181" s="12">
        <v>0</v>
      </c>
      <c r="S181" s="12">
        <v>0</v>
      </c>
      <c r="T181" s="12">
        <v>0</v>
      </c>
      <c r="U181" s="12">
        <f>$G$181*$G$8+$H$181*$H$8+$I$181*$I$8+$J$181*$J$8+$K$181*$K$8+$L$181*$L$8+$M$181*$M$8+$N$181*$N$8+$O$181*$O$8+$P$181*$P$8</f>
        <v>0</v>
      </c>
      <c r="V181" s="12">
        <f>SUM($Q$181:$T$181)</f>
        <v>0</v>
      </c>
      <c r="W181" s="12">
        <f>$U$181+$V$181</f>
        <v>0</v>
      </c>
    </row>
    <row r="182" spans="1:23" x14ac:dyDescent="0.3">
      <c r="A182" s="13" t="s">
        <v>664</v>
      </c>
      <c r="B182" s="14" t="s">
        <v>665</v>
      </c>
      <c r="C182" s="14"/>
      <c r="D182" s="14" t="s">
        <v>666</v>
      </c>
      <c r="E182" s="14">
        <f xml:space="preserve"> IF($W$182,1,0)</f>
        <v>0</v>
      </c>
      <c r="F182" s="14" t="s">
        <v>667</v>
      </c>
      <c r="G182" s="14">
        <v>0</v>
      </c>
      <c r="H182" s="14">
        <v>0</v>
      </c>
      <c r="I182" s="14">
        <v>0</v>
      </c>
      <c r="J182" s="14">
        <v>0</v>
      </c>
      <c r="K182" s="14">
        <v>0</v>
      </c>
      <c r="L182" s="14">
        <v>0</v>
      </c>
      <c r="M182" s="14">
        <v>0</v>
      </c>
      <c r="N182" s="14">
        <v>0</v>
      </c>
      <c r="O182" s="14">
        <v>0</v>
      </c>
      <c r="P182" s="14">
        <v>0</v>
      </c>
      <c r="Q182" s="15">
        <v>0</v>
      </c>
      <c r="R182" s="15">
        <v>0</v>
      </c>
      <c r="S182" s="15">
        <v>0</v>
      </c>
      <c r="T182" s="15">
        <v>0</v>
      </c>
      <c r="U182" s="15">
        <f>$G$182*$G$8+$H$182*$H$8+$I$182*$I$8+$J$182*$J$8+$K$182*$K$8+$L$182*$L$8+$M$182*$M$8+$N$182*$N$8+$O$182*$O$8+$P$182*$P$8</f>
        <v>0</v>
      </c>
      <c r="V182" s="15">
        <f>SUM($Q$182:$T$182)</f>
        <v>0</v>
      </c>
      <c r="W182" s="15">
        <f>$U$182+$V$182</f>
        <v>0</v>
      </c>
    </row>
    <row r="183" spans="1:23" x14ac:dyDescent="0.3">
      <c r="A183" s="10" t="s">
        <v>668</v>
      </c>
      <c r="B183" s="11" t="s">
        <v>669</v>
      </c>
      <c r="C183" s="11"/>
      <c r="D183" s="11" t="s">
        <v>670</v>
      </c>
      <c r="E183" s="11">
        <f xml:space="preserve"> IF($W$183,1,0)</f>
        <v>0</v>
      </c>
      <c r="F183" s="11" t="s">
        <v>671</v>
      </c>
      <c r="G183" s="11">
        <v>0</v>
      </c>
      <c r="H183" s="11">
        <v>0</v>
      </c>
      <c r="I183" s="11">
        <v>0</v>
      </c>
      <c r="J183" s="11">
        <v>0</v>
      </c>
      <c r="K183" s="11">
        <v>0</v>
      </c>
      <c r="L183" s="11">
        <v>0</v>
      </c>
      <c r="M183" s="11">
        <v>0</v>
      </c>
      <c r="N183" s="11">
        <v>0</v>
      </c>
      <c r="O183" s="11">
        <v>0</v>
      </c>
      <c r="P183" s="11">
        <v>0</v>
      </c>
      <c r="Q183" s="12">
        <v>0</v>
      </c>
      <c r="R183" s="12">
        <v>0</v>
      </c>
      <c r="S183" s="12">
        <v>0</v>
      </c>
      <c r="T183" s="12">
        <v>0</v>
      </c>
      <c r="U183" s="12">
        <f>$G$183*$G$8+$H$183*$H$8+$I$183*$I$8+$J$183*$J$8+$K$183*$K$8+$L$183*$L$8+$M$183*$M$8+$N$183*$N$8+$O$183*$O$8+$P$183*$P$8</f>
        <v>0</v>
      </c>
      <c r="V183" s="12">
        <f>SUM($Q$183:$T$183)</f>
        <v>0</v>
      </c>
      <c r="W183" s="12">
        <f>$U$183+$V$183</f>
        <v>0</v>
      </c>
    </row>
    <row r="184" spans="1:23" x14ac:dyDescent="0.3">
      <c r="A184" s="13" t="s">
        <v>672</v>
      </c>
      <c r="B184" s="14" t="s">
        <v>673</v>
      </c>
      <c r="C184" s="14"/>
      <c r="D184" s="14" t="s">
        <v>674</v>
      </c>
      <c r="E184" s="14">
        <f xml:space="preserve"> IF($W$184,1,0)</f>
        <v>0</v>
      </c>
      <c r="F184" s="14" t="s">
        <v>675</v>
      </c>
      <c r="G184" s="14">
        <v>0</v>
      </c>
      <c r="H184" s="14">
        <v>0</v>
      </c>
      <c r="I184" s="14">
        <v>0</v>
      </c>
      <c r="J184" s="14">
        <v>0</v>
      </c>
      <c r="K184" s="14">
        <v>0</v>
      </c>
      <c r="L184" s="14">
        <v>0</v>
      </c>
      <c r="M184" s="14">
        <v>0</v>
      </c>
      <c r="N184" s="14">
        <v>0</v>
      </c>
      <c r="O184" s="14">
        <v>0</v>
      </c>
      <c r="P184" s="14">
        <v>0</v>
      </c>
      <c r="Q184" s="15">
        <v>0</v>
      </c>
      <c r="R184" s="15">
        <v>0</v>
      </c>
      <c r="S184" s="15">
        <v>0</v>
      </c>
      <c r="T184" s="15">
        <v>0</v>
      </c>
      <c r="U184" s="15">
        <f>$G$184*$G$8+$H$184*$H$8+$I$184*$I$8+$J$184*$J$8+$K$184*$K$8+$L$184*$L$8+$M$184*$M$8+$N$184*$N$8+$O$184*$O$8+$P$184*$P$8</f>
        <v>0</v>
      </c>
      <c r="V184" s="15">
        <f>SUM($Q$184:$T$184)</f>
        <v>0</v>
      </c>
      <c r="W184" s="15">
        <f>$U$184+$V$184</f>
        <v>0</v>
      </c>
    </row>
    <row r="185" spans="1:23" x14ac:dyDescent="0.3">
      <c r="A185" s="10" t="s">
        <v>676</v>
      </c>
      <c r="B185" s="11" t="s">
        <v>677</v>
      </c>
      <c r="C185" s="11"/>
      <c r="D185" s="11" t="s">
        <v>678</v>
      </c>
      <c r="E185" s="11">
        <f xml:space="preserve"> IF($W$185,1,0)</f>
        <v>0</v>
      </c>
      <c r="F185" s="11" t="s">
        <v>679</v>
      </c>
      <c r="G185" s="11">
        <v>0</v>
      </c>
      <c r="H185" s="11">
        <v>0</v>
      </c>
      <c r="I185" s="11">
        <v>0</v>
      </c>
      <c r="J185" s="11">
        <v>0</v>
      </c>
      <c r="K185" s="11">
        <v>0</v>
      </c>
      <c r="L185" s="11">
        <v>0</v>
      </c>
      <c r="M185" s="11">
        <v>0</v>
      </c>
      <c r="N185" s="11">
        <v>0</v>
      </c>
      <c r="O185" s="11">
        <v>0</v>
      </c>
      <c r="P185" s="11">
        <v>0</v>
      </c>
      <c r="Q185" s="12">
        <v>0</v>
      </c>
      <c r="R185" s="12">
        <v>0</v>
      </c>
      <c r="S185" s="12">
        <v>0</v>
      </c>
      <c r="T185" s="12">
        <v>0</v>
      </c>
      <c r="U185" s="12">
        <f>$G$185*$G$8+$H$185*$H$8+$I$185*$I$8+$J$185*$J$8+$K$185*$K$8+$L$185*$L$8+$M$185*$M$8+$N$185*$N$8+$O$185*$O$8+$P$185*$P$8</f>
        <v>0</v>
      </c>
      <c r="V185" s="12">
        <f>SUM($Q$185:$T$185)</f>
        <v>0</v>
      </c>
      <c r="W185" s="12">
        <f>$U$185+$V$185</f>
        <v>0</v>
      </c>
    </row>
    <row r="186" spans="1:23" x14ac:dyDescent="0.3">
      <c r="A186" s="13" t="s">
        <v>680</v>
      </c>
      <c r="B186" s="14" t="s">
        <v>681</v>
      </c>
      <c r="C186" s="14"/>
      <c r="D186" s="14" t="s">
        <v>682</v>
      </c>
      <c r="E186" s="14">
        <f xml:space="preserve"> IF($W$186,1,0)</f>
        <v>0</v>
      </c>
      <c r="F186" s="14" t="s">
        <v>683</v>
      </c>
      <c r="G186" s="14">
        <v>0</v>
      </c>
      <c r="H186" s="14">
        <v>0</v>
      </c>
      <c r="I186" s="14">
        <v>0</v>
      </c>
      <c r="J186" s="14">
        <v>0</v>
      </c>
      <c r="K186" s="14">
        <v>0</v>
      </c>
      <c r="L186" s="14">
        <v>0</v>
      </c>
      <c r="M186" s="14">
        <v>0</v>
      </c>
      <c r="N186" s="14">
        <v>0</v>
      </c>
      <c r="O186" s="14">
        <v>0</v>
      </c>
      <c r="P186" s="14">
        <v>0</v>
      </c>
      <c r="Q186" s="15">
        <v>0</v>
      </c>
      <c r="R186" s="15">
        <v>0</v>
      </c>
      <c r="S186" s="15">
        <v>0</v>
      </c>
      <c r="T186" s="15">
        <v>0</v>
      </c>
      <c r="U186" s="15">
        <f>$G$186*$G$8+$H$186*$H$8+$I$186*$I$8+$J$186*$J$8+$K$186*$K$8+$L$186*$L$8+$M$186*$M$8+$N$186*$N$8+$O$186*$O$8+$P$186*$P$8</f>
        <v>0</v>
      </c>
      <c r="V186" s="15">
        <f>SUM($Q$186:$T$186)</f>
        <v>0</v>
      </c>
      <c r="W186" s="15">
        <f>$U$186+$V$186</f>
        <v>0</v>
      </c>
    </row>
    <row r="187" spans="1:23" x14ac:dyDescent="0.3">
      <c r="A187" s="10" t="s">
        <v>684</v>
      </c>
      <c r="B187" s="11" t="s">
        <v>685</v>
      </c>
      <c r="C187" s="11"/>
      <c r="D187" s="11" t="s">
        <v>686</v>
      </c>
      <c r="E187" s="11">
        <f xml:space="preserve"> IF($W$187,1,0)</f>
        <v>0</v>
      </c>
      <c r="F187" s="11" t="s">
        <v>687</v>
      </c>
      <c r="G187" s="11">
        <v>0</v>
      </c>
      <c r="H187" s="11">
        <v>0</v>
      </c>
      <c r="I187" s="11">
        <v>0</v>
      </c>
      <c r="J187" s="11">
        <v>0</v>
      </c>
      <c r="K187" s="11">
        <v>0</v>
      </c>
      <c r="L187" s="11">
        <v>0</v>
      </c>
      <c r="M187" s="11">
        <v>0</v>
      </c>
      <c r="N187" s="11">
        <v>0</v>
      </c>
      <c r="O187" s="11">
        <v>0</v>
      </c>
      <c r="P187" s="11">
        <v>0</v>
      </c>
      <c r="Q187" s="12">
        <v>0</v>
      </c>
      <c r="R187" s="12">
        <v>0</v>
      </c>
      <c r="S187" s="12">
        <v>0</v>
      </c>
      <c r="T187" s="12">
        <v>0</v>
      </c>
      <c r="U187" s="12">
        <f>$G$187*$G$8+$H$187*$H$8+$I$187*$I$8+$J$187*$J$8+$K$187*$K$8+$L$187*$L$8+$M$187*$M$8+$N$187*$N$8+$O$187*$O$8+$P$187*$P$8</f>
        <v>0</v>
      </c>
      <c r="V187" s="12">
        <f>SUM($Q$187:$T$187)</f>
        <v>0</v>
      </c>
      <c r="W187" s="12">
        <f>$U$187+$V$187</f>
        <v>0</v>
      </c>
    </row>
    <row r="188" spans="1:23" x14ac:dyDescent="0.3">
      <c r="A188" s="13" t="s">
        <v>688</v>
      </c>
      <c r="B188" s="14" t="s">
        <v>689</v>
      </c>
      <c r="C188" s="14"/>
      <c r="D188" s="14" t="s">
        <v>690</v>
      </c>
      <c r="E188" s="14">
        <f xml:space="preserve"> IF($W$188,1,0)</f>
        <v>0</v>
      </c>
      <c r="F188" s="14" t="s">
        <v>691</v>
      </c>
      <c r="G188" s="14">
        <v>0</v>
      </c>
      <c r="H188" s="14">
        <v>0</v>
      </c>
      <c r="I188" s="14">
        <v>0</v>
      </c>
      <c r="J188" s="14">
        <v>0</v>
      </c>
      <c r="K188" s="14">
        <v>0</v>
      </c>
      <c r="L188" s="14">
        <v>0</v>
      </c>
      <c r="M188" s="14">
        <v>0</v>
      </c>
      <c r="N188" s="14">
        <v>0</v>
      </c>
      <c r="O188" s="14">
        <v>0</v>
      </c>
      <c r="P188" s="14">
        <v>0</v>
      </c>
      <c r="Q188" s="15">
        <v>0</v>
      </c>
      <c r="R188" s="15">
        <v>0</v>
      </c>
      <c r="S188" s="15">
        <v>0</v>
      </c>
      <c r="T188" s="15">
        <v>0</v>
      </c>
      <c r="U188" s="15">
        <f>$G$188*$G$8+$H$188*$H$8+$I$188*$I$8+$J$188*$J$8+$K$188*$K$8+$L$188*$L$8+$M$188*$M$8+$N$188*$N$8+$O$188*$O$8+$P$188*$P$8</f>
        <v>0</v>
      </c>
      <c r="V188" s="15">
        <f>SUM($Q$188:$T$188)</f>
        <v>0</v>
      </c>
      <c r="W188" s="15">
        <f>$U$188+$V$188</f>
        <v>0</v>
      </c>
    </row>
    <row r="189" spans="1:23" x14ac:dyDescent="0.3">
      <c r="A189" s="10" t="s">
        <v>692</v>
      </c>
      <c r="B189" s="11" t="s">
        <v>693</v>
      </c>
      <c r="C189" s="11" t="s">
        <v>65</v>
      </c>
      <c r="D189" s="11" t="s">
        <v>694</v>
      </c>
      <c r="E189" s="11">
        <f xml:space="preserve"> IF($W$189,1,0)</f>
        <v>0</v>
      </c>
      <c r="F189" s="11" t="s">
        <v>695</v>
      </c>
      <c r="G189" s="11">
        <v>0</v>
      </c>
      <c r="H189" s="11">
        <v>0</v>
      </c>
      <c r="I189" s="11">
        <v>0</v>
      </c>
      <c r="J189" s="11">
        <v>0</v>
      </c>
      <c r="K189" s="11">
        <v>0</v>
      </c>
      <c r="L189" s="11">
        <v>0</v>
      </c>
      <c r="M189" s="11">
        <v>0</v>
      </c>
      <c r="N189" s="11">
        <v>0</v>
      </c>
      <c r="O189" s="11">
        <v>0</v>
      </c>
      <c r="P189" s="11">
        <v>0</v>
      </c>
      <c r="Q189" s="12">
        <v>0</v>
      </c>
      <c r="R189" s="12">
        <v>0</v>
      </c>
      <c r="S189" s="12">
        <v>0</v>
      </c>
      <c r="T189" s="12">
        <v>0</v>
      </c>
      <c r="U189" s="12">
        <f>$G$189*$G$8+$H$189*$H$8+$I$189*$I$8+$J$189*$J$8+$K$189*$K$8+$L$189*$L$8+$M$189*$M$8+$N$189*$N$8+$O$189*$O$8+$P$189*$P$8</f>
        <v>0</v>
      </c>
      <c r="V189" s="12">
        <f>SUM($Q$189:$T$189)</f>
        <v>0</v>
      </c>
      <c r="W189" s="12">
        <f>$U$189+$V$189</f>
        <v>0</v>
      </c>
    </row>
    <row r="190" spans="1:23" x14ac:dyDescent="0.3">
      <c r="A190" s="13" t="s">
        <v>696</v>
      </c>
      <c r="B190" s="14" t="s">
        <v>697</v>
      </c>
      <c r="C190" s="14"/>
      <c r="D190" s="14" t="s">
        <v>698</v>
      </c>
      <c r="E190" s="14">
        <f xml:space="preserve"> IF($W$190,1,0)</f>
        <v>0</v>
      </c>
      <c r="F190" s="14" t="s">
        <v>699</v>
      </c>
      <c r="G190" s="14">
        <v>0</v>
      </c>
      <c r="H190" s="14">
        <v>0</v>
      </c>
      <c r="I190" s="14">
        <v>0</v>
      </c>
      <c r="J190" s="14">
        <v>0</v>
      </c>
      <c r="K190" s="14">
        <v>0</v>
      </c>
      <c r="L190" s="14">
        <v>0</v>
      </c>
      <c r="M190" s="14">
        <v>0</v>
      </c>
      <c r="N190" s="14">
        <v>0</v>
      </c>
      <c r="O190" s="14">
        <v>0</v>
      </c>
      <c r="P190" s="14">
        <v>0</v>
      </c>
      <c r="Q190" s="15">
        <v>0</v>
      </c>
      <c r="R190" s="15">
        <v>0</v>
      </c>
      <c r="S190" s="15">
        <v>0</v>
      </c>
      <c r="T190" s="15">
        <v>0</v>
      </c>
      <c r="U190" s="15">
        <f>$G$190*$G$8+$H$190*$H$8+$I$190*$I$8+$J$190*$J$8+$K$190*$K$8+$L$190*$L$8+$M$190*$M$8+$N$190*$N$8+$O$190*$O$8+$P$190*$P$8</f>
        <v>0</v>
      </c>
      <c r="V190" s="15">
        <f>SUM($Q$190:$T$190)</f>
        <v>0</v>
      </c>
      <c r="W190" s="15">
        <f>$U$190+$V$190</f>
        <v>0</v>
      </c>
    </row>
    <row r="191" spans="1:23" x14ac:dyDescent="0.3">
      <c r="A191" s="10" t="s">
        <v>700</v>
      </c>
      <c r="B191" s="11" t="s">
        <v>697</v>
      </c>
      <c r="C191" s="11"/>
      <c r="D191" s="11" t="s">
        <v>701</v>
      </c>
      <c r="E191" s="11">
        <f xml:space="preserve"> IF($W$191,1,0)</f>
        <v>0</v>
      </c>
      <c r="F191" s="11" t="s">
        <v>702</v>
      </c>
      <c r="G191" s="11">
        <v>0</v>
      </c>
      <c r="H191" s="11">
        <v>0</v>
      </c>
      <c r="I191" s="11">
        <v>0</v>
      </c>
      <c r="J191" s="11">
        <v>0</v>
      </c>
      <c r="K191" s="11">
        <v>0</v>
      </c>
      <c r="L191" s="11">
        <v>0</v>
      </c>
      <c r="M191" s="11">
        <v>0</v>
      </c>
      <c r="N191" s="11">
        <v>0</v>
      </c>
      <c r="O191" s="11">
        <v>0</v>
      </c>
      <c r="P191" s="11">
        <v>0</v>
      </c>
      <c r="Q191" s="12">
        <v>0</v>
      </c>
      <c r="R191" s="12">
        <v>0</v>
      </c>
      <c r="S191" s="12">
        <v>0</v>
      </c>
      <c r="T191" s="12">
        <v>0</v>
      </c>
      <c r="U191" s="12">
        <f>$G$191*$G$8+$H$191*$H$8+$I$191*$I$8+$J$191*$J$8+$K$191*$K$8+$L$191*$L$8+$M$191*$M$8+$N$191*$N$8+$O$191*$O$8+$P$191*$P$8</f>
        <v>0</v>
      </c>
      <c r="V191" s="12">
        <f>SUM($Q$191:$T$191)</f>
        <v>0</v>
      </c>
      <c r="W191" s="12">
        <f>$U$191+$V$191</f>
        <v>0</v>
      </c>
    </row>
    <row r="192" spans="1:23" x14ac:dyDescent="0.3">
      <c r="A192" s="13" t="s">
        <v>703</v>
      </c>
      <c r="B192" s="14" t="s">
        <v>704</v>
      </c>
      <c r="C192" s="14"/>
      <c r="D192" s="14" t="s">
        <v>705</v>
      </c>
      <c r="E192" s="14">
        <f xml:space="preserve"> IF($W$192,1,0)</f>
        <v>0</v>
      </c>
      <c r="F192" s="14" t="s">
        <v>706</v>
      </c>
      <c r="G192" s="14">
        <v>0</v>
      </c>
      <c r="H192" s="14">
        <v>0</v>
      </c>
      <c r="I192" s="14">
        <v>0</v>
      </c>
      <c r="J192" s="14">
        <v>0</v>
      </c>
      <c r="K192" s="14">
        <v>0</v>
      </c>
      <c r="L192" s="14">
        <v>0</v>
      </c>
      <c r="M192" s="14">
        <v>0</v>
      </c>
      <c r="N192" s="14">
        <v>0</v>
      </c>
      <c r="O192" s="14">
        <v>0</v>
      </c>
      <c r="P192" s="14">
        <v>0</v>
      </c>
      <c r="Q192" s="15">
        <v>0</v>
      </c>
      <c r="R192" s="15">
        <v>0</v>
      </c>
      <c r="S192" s="15">
        <v>0</v>
      </c>
      <c r="T192" s="15">
        <v>0</v>
      </c>
      <c r="U192" s="15">
        <f>$G$192*$G$8+$H$192*$H$8+$I$192*$I$8+$J$192*$J$8+$K$192*$K$8+$L$192*$L$8+$M$192*$M$8+$N$192*$N$8+$O$192*$O$8+$P$192*$P$8</f>
        <v>0</v>
      </c>
      <c r="V192" s="15">
        <f>SUM($Q$192:$T$192)</f>
        <v>0</v>
      </c>
      <c r="W192" s="15">
        <f>$U$192+$V$192</f>
        <v>0</v>
      </c>
    </row>
    <row r="193" spans="1:23" x14ac:dyDescent="0.3">
      <c r="A193" s="10" t="s">
        <v>707</v>
      </c>
      <c r="B193" s="11" t="s">
        <v>708</v>
      </c>
      <c r="C193" s="11"/>
      <c r="D193" s="11" t="s">
        <v>222</v>
      </c>
      <c r="E193" s="11">
        <f xml:space="preserve"> IF($W$193,1,0)</f>
        <v>0</v>
      </c>
      <c r="F193" s="11" t="s">
        <v>709</v>
      </c>
      <c r="G193" s="11">
        <v>0</v>
      </c>
      <c r="H193" s="11">
        <v>0</v>
      </c>
      <c r="I193" s="11">
        <v>0</v>
      </c>
      <c r="J193" s="11">
        <v>0</v>
      </c>
      <c r="K193" s="11">
        <v>0</v>
      </c>
      <c r="L193" s="11">
        <v>0</v>
      </c>
      <c r="M193" s="11">
        <v>0</v>
      </c>
      <c r="N193" s="11">
        <v>0</v>
      </c>
      <c r="O193" s="11">
        <v>0</v>
      </c>
      <c r="P193" s="11">
        <v>0</v>
      </c>
      <c r="Q193" s="12">
        <v>0</v>
      </c>
      <c r="R193" s="12">
        <v>0</v>
      </c>
      <c r="S193" s="12">
        <v>0</v>
      </c>
      <c r="T193" s="12">
        <v>0</v>
      </c>
      <c r="U193" s="12">
        <f>$G$193*$G$8+$H$193*$H$8+$I$193*$I$8+$J$193*$J$8+$K$193*$K$8+$L$193*$L$8+$M$193*$M$8+$N$193*$N$8+$O$193*$O$8+$P$193*$P$8</f>
        <v>0</v>
      </c>
      <c r="V193" s="12">
        <f>SUM($Q$193:$T$193)</f>
        <v>0</v>
      </c>
      <c r="W193" s="12">
        <f>$U$193+$V$193</f>
        <v>0</v>
      </c>
    </row>
    <row r="194" spans="1:23" x14ac:dyDescent="0.3">
      <c r="A194" s="13" t="s">
        <v>710</v>
      </c>
      <c r="B194" s="14" t="s">
        <v>708</v>
      </c>
      <c r="C194" s="14"/>
      <c r="D194" s="14" t="s">
        <v>711</v>
      </c>
      <c r="E194" s="14">
        <f xml:space="preserve"> IF($W$194,1,0)</f>
        <v>0</v>
      </c>
      <c r="F194" s="14" t="s">
        <v>712</v>
      </c>
      <c r="G194" s="14">
        <v>0</v>
      </c>
      <c r="H194" s="14">
        <v>0</v>
      </c>
      <c r="I194" s="14">
        <v>0</v>
      </c>
      <c r="J194" s="14">
        <v>0</v>
      </c>
      <c r="K194" s="14">
        <v>0</v>
      </c>
      <c r="L194" s="14">
        <v>0</v>
      </c>
      <c r="M194" s="14">
        <v>0</v>
      </c>
      <c r="N194" s="14">
        <v>0</v>
      </c>
      <c r="O194" s="14">
        <v>0</v>
      </c>
      <c r="P194" s="14">
        <v>0</v>
      </c>
      <c r="Q194" s="15">
        <v>0</v>
      </c>
      <c r="R194" s="15">
        <v>0</v>
      </c>
      <c r="S194" s="15">
        <v>0</v>
      </c>
      <c r="T194" s="15">
        <v>0</v>
      </c>
      <c r="U194" s="15">
        <f>$G$194*$G$8+$H$194*$H$8+$I$194*$I$8+$J$194*$J$8+$K$194*$K$8+$L$194*$L$8+$M$194*$M$8+$N$194*$N$8+$O$194*$O$8+$P$194*$P$8</f>
        <v>0</v>
      </c>
      <c r="V194" s="15">
        <f>SUM($Q$194:$T$194)</f>
        <v>0</v>
      </c>
      <c r="W194" s="15">
        <f>$U$194+$V$194</f>
        <v>0</v>
      </c>
    </row>
    <row r="195" spans="1:23" x14ac:dyDescent="0.3">
      <c r="A195" s="10" t="s">
        <v>713</v>
      </c>
      <c r="B195" s="11" t="s">
        <v>708</v>
      </c>
      <c r="C195" s="11"/>
      <c r="D195" s="11" t="s">
        <v>714</v>
      </c>
      <c r="E195" s="11">
        <f xml:space="preserve"> IF($W$195,1,0)</f>
        <v>0</v>
      </c>
      <c r="F195" s="11" t="s">
        <v>715</v>
      </c>
      <c r="G195" s="11">
        <v>0</v>
      </c>
      <c r="H195" s="11">
        <v>0</v>
      </c>
      <c r="I195" s="11">
        <v>0</v>
      </c>
      <c r="J195" s="11">
        <v>0</v>
      </c>
      <c r="K195" s="11">
        <v>0</v>
      </c>
      <c r="L195" s="11">
        <v>0</v>
      </c>
      <c r="M195" s="11">
        <v>0</v>
      </c>
      <c r="N195" s="11">
        <v>0</v>
      </c>
      <c r="O195" s="11">
        <v>0</v>
      </c>
      <c r="P195" s="11">
        <v>0</v>
      </c>
      <c r="Q195" s="12">
        <v>0</v>
      </c>
      <c r="R195" s="12">
        <v>0</v>
      </c>
      <c r="S195" s="12">
        <v>0</v>
      </c>
      <c r="T195" s="12">
        <v>0</v>
      </c>
      <c r="U195" s="12">
        <f>$G$195*$G$8+$H$195*$H$8+$I$195*$I$8+$J$195*$J$8+$K$195*$K$8+$L$195*$L$8+$M$195*$M$8+$N$195*$N$8+$O$195*$O$8+$P$195*$P$8</f>
        <v>0</v>
      </c>
      <c r="V195" s="12">
        <f>SUM($Q$195:$T$195)</f>
        <v>0</v>
      </c>
      <c r="W195" s="12">
        <f>$U$195+$V$195</f>
        <v>0</v>
      </c>
    </row>
    <row r="196" spans="1:23" x14ac:dyDescent="0.3">
      <c r="A196" s="13" t="s">
        <v>716</v>
      </c>
      <c r="B196" s="14" t="s">
        <v>717</v>
      </c>
      <c r="C196" s="14"/>
      <c r="D196" s="14" t="s">
        <v>718</v>
      </c>
      <c r="E196" s="14">
        <f xml:space="preserve"> IF($W$196,1,0)</f>
        <v>0</v>
      </c>
      <c r="F196" s="14" t="s">
        <v>719</v>
      </c>
      <c r="G196" s="14">
        <v>0</v>
      </c>
      <c r="H196" s="14">
        <v>0</v>
      </c>
      <c r="I196" s="14">
        <v>0</v>
      </c>
      <c r="J196" s="14">
        <v>0</v>
      </c>
      <c r="K196" s="14">
        <v>0</v>
      </c>
      <c r="L196" s="14">
        <v>0</v>
      </c>
      <c r="M196" s="14">
        <v>0</v>
      </c>
      <c r="N196" s="14">
        <v>0</v>
      </c>
      <c r="O196" s="14">
        <v>0</v>
      </c>
      <c r="P196" s="14">
        <v>0</v>
      </c>
      <c r="Q196" s="15">
        <v>0</v>
      </c>
      <c r="R196" s="15">
        <v>0</v>
      </c>
      <c r="S196" s="15">
        <v>0</v>
      </c>
      <c r="T196" s="15">
        <v>0</v>
      </c>
      <c r="U196" s="15">
        <f>$G$196*$G$8+$H$196*$H$8+$I$196*$I$8+$J$196*$J$8+$K$196*$K$8+$L$196*$L$8+$M$196*$M$8+$N$196*$N$8+$O$196*$O$8+$P$196*$P$8</f>
        <v>0</v>
      </c>
      <c r="V196" s="15">
        <f>SUM($Q$196:$T$196)</f>
        <v>0</v>
      </c>
      <c r="W196" s="15">
        <f>$U$196+$V$196</f>
        <v>0</v>
      </c>
    </row>
    <row r="197" spans="1:23" x14ac:dyDescent="0.3">
      <c r="A197" s="10" t="s">
        <v>720</v>
      </c>
      <c r="B197" s="11" t="s">
        <v>721</v>
      </c>
      <c r="C197" s="11"/>
      <c r="D197" s="11" t="s">
        <v>722</v>
      </c>
      <c r="E197" s="11">
        <f xml:space="preserve"> IF($W$197,1,0)</f>
        <v>0</v>
      </c>
      <c r="F197" s="11" t="s">
        <v>723</v>
      </c>
      <c r="G197" s="11">
        <v>0</v>
      </c>
      <c r="H197" s="11">
        <v>0</v>
      </c>
      <c r="I197" s="11">
        <v>0</v>
      </c>
      <c r="J197" s="11">
        <v>0</v>
      </c>
      <c r="K197" s="11">
        <v>0</v>
      </c>
      <c r="L197" s="11">
        <v>0</v>
      </c>
      <c r="M197" s="11">
        <v>0</v>
      </c>
      <c r="N197" s="11">
        <v>0</v>
      </c>
      <c r="O197" s="11">
        <v>0</v>
      </c>
      <c r="P197" s="11">
        <v>0</v>
      </c>
      <c r="Q197" s="12">
        <v>0</v>
      </c>
      <c r="R197" s="12">
        <v>0</v>
      </c>
      <c r="S197" s="12">
        <v>0</v>
      </c>
      <c r="T197" s="12">
        <v>0</v>
      </c>
      <c r="U197" s="12">
        <f>$G$197*$G$8+$H$197*$H$8+$I$197*$I$8+$J$197*$J$8+$K$197*$K$8+$L$197*$L$8+$M$197*$M$8+$N$197*$N$8+$O$197*$O$8+$P$197*$P$8</f>
        <v>0</v>
      </c>
      <c r="V197" s="12">
        <f>SUM($Q$197:$T$197)</f>
        <v>0</v>
      </c>
      <c r="W197" s="12">
        <f>$U$197+$V$197</f>
        <v>0</v>
      </c>
    </row>
    <row r="198" spans="1:23" x14ac:dyDescent="0.3">
      <c r="A198" s="13" t="s">
        <v>724</v>
      </c>
      <c r="B198" s="14" t="s">
        <v>721</v>
      </c>
      <c r="C198" s="14"/>
      <c r="D198" s="14" t="s">
        <v>725</v>
      </c>
      <c r="E198" s="14">
        <f xml:space="preserve"> IF($W$198,1,0)</f>
        <v>0</v>
      </c>
      <c r="F198" s="14" t="s">
        <v>726</v>
      </c>
      <c r="G198" s="14">
        <v>0</v>
      </c>
      <c r="H198" s="14">
        <v>0</v>
      </c>
      <c r="I198" s="14">
        <v>0</v>
      </c>
      <c r="J198" s="14">
        <v>0</v>
      </c>
      <c r="K198" s="14">
        <v>0</v>
      </c>
      <c r="L198" s="14">
        <v>0</v>
      </c>
      <c r="M198" s="14">
        <v>0</v>
      </c>
      <c r="N198" s="14">
        <v>0</v>
      </c>
      <c r="O198" s="14">
        <v>0</v>
      </c>
      <c r="P198" s="14">
        <v>0</v>
      </c>
      <c r="Q198" s="15">
        <v>0</v>
      </c>
      <c r="R198" s="15">
        <v>0</v>
      </c>
      <c r="S198" s="15">
        <v>0</v>
      </c>
      <c r="T198" s="15">
        <v>0</v>
      </c>
      <c r="U198" s="15">
        <f>$G$198*$G$8+$H$198*$H$8+$I$198*$I$8+$J$198*$J$8+$K$198*$K$8+$L$198*$L$8+$M$198*$M$8+$N$198*$N$8+$O$198*$O$8+$P$198*$P$8</f>
        <v>0</v>
      </c>
      <c r="V198" s="15">
        <f>SUM($Q$198:$T$198)</f>
        <v>0</v>
      </c>
      <c r="W198" s="15">
        <f>$U$198+$V$198</f>
        <v>0</v>
      </c>
    </row>
    <row r="199" spans="1:23" x14ac:dyDescent="0.3">
      <c r="A199" s="10" t="s">
        <v>727</v>
      </c>
      <c r="B199" s="11" t="s">
        <v>728</v>
      </c>
      <c r="C199" s="11"/>
      <c r="D199" s="11" t="s">
        <v>729</v>
      </c>
      <c r="E199" s="11">
        <f xml:space="preserve"> IF($W$199,1,0)</f>
        <v>0</v>
      </c>
      <c r="F199" s="11" t="s">
        <v>730</v>
      </c>
      <c r="G199" s="11">
        <v>0</v>
      </c>
      <c r="H199" s="11">
        <v>0</v>
      </c>
      <c r="I199" s="11">
        <v>0</v>
      </c>
      <c r="J199" s="11">
        <v>0</v>
      </c>
      <c r="K199" s="11">
        <v>0</v>
      </c>
      <c r="L199" s="11">
        <v>0</v>
      </c>
      <c r="M199" s="11">
        <v>0</v>
      </c>
      <c r="N199" s="11">
        <v>0</v>
      </c>
      <c r="O199" s="11">
        <v>0</v>
      </c>
      <c r="P199" s="11">
        <v>0</v>
      </c>
      <c r="Q199" s="12">
        <v>0</v>
      </c>
      <c r="R199" s="12">
        <v>0</v>
      </c>
      <c r="S199" s="12">
        <v>0</v>
      </c>
      <c r="T199" s="12">
        <v>0</v>
      </c>
      <c r="U199" s="12">
        <f>$G$199*$G$8+$H$199*$H$8+$I$199*$I$8+$J$199*$J$8+$K$199*$K$8+$L$199*$L$8+$M$199*$M$8+$N$199*$N$8+$O$199*$O$8+$P$199*$P$8</f>
        <v>0</v>
      </c>
      <c r="V199" s="12">
        <f>SUM($Q$199:$T$199)</f>
        <v>0</v>
      </c>
      <c r="W199" s="12">
        <f>$U$199+$V$199</f>
        <v>0</v>
      </c>
    </row>
    <row r="200" spans="1:23" x14ac:dyDescent="0.3">
      <c r="A200" s="13" t="s">
        <v>731</v>
      </c>
      <c r="B200" s="14" t="s">
        <v>732</v>
      </c>
      <c r="C200" s="14"/>
      <c r="D200" s="14" t="s">
        <v>733</v>
      </c>
      <c r="E200" s="14">
        <f xml:space="preserve"> IF($W$200,1,0)</f>
        <v>0</v>
      </c>
      <c r="F200" s="14" t="s">
        <v>734</v>
      </c>
      <c r="G200" s="14">
        <v>0</v>
      </c>
      <c r="H200" s="14">
        <v>0</v>
      </c>
      <c r="I200" s="14">
        <v>0</v>
      </c>
      <c r="J200" s="14">
        <v>0</v>
      </c>
      <c r="K200" s="14">
        <v>0</v>
      </c>
      <c r="L200" s="14">
        <v>0</v>
      </c>
      <c r="M200" s="14">
        <v>0</v>
      </c>
      <c r="N200" s="14">
        <v>0</v>
      </c>
      <c r="O200" s="14">
        <v>0</v>
      </c>
      <c r="P200" s="14">
        <v>0</v>
      </c>
      <c r="Q200" s="15">
        <v>0</v>
      </c>
      <c r="R200" s="15">
        <v>0</v>
      </c>
      <c r="S200" s="15">
        <v>0</v>
      </c>
      <c r="T200" s="15">
        <v>0</v>
      </c>
      <c r="U200" s="15">
        <f>$G$200*$G$8+$H$200*$H$8+$I$200*$I$8+$J$200*$J$8+$K$200*$K$8+$L$200*$L$8+$M$200*$M$8+$N$200*$N$8+$O$200*$O$8+$P$200*$P$8</f>
        <v>0</v>
      </c>
      <c r="V200" s="15">
        <f>SUM($Q$200:$T$200)</f>
        <v>0</v>
      </c>
      <c r="W200" s="15">
        <f>$U$200+$V$200</f>
        <v>0</v>
      </c>
    </row>
    <row r="201" spans="1:23" x14ac:dyDescent="0.3">
      <c r="A201" s="10" t="s">
        <v>735</v>
      </c>
      <c r="B201" s="11" t="s">
        <v>736</v>
      </c>
      <c r="C201" s="11"/>
      <c r="D201" s="11" t="s">
        <v>737</v>
      </c>
      <c r="E201" s="11">
        <f xml:space="preserve"> IF($W$201,1,0)</f>
        <v>0</v>
      </c>
      <c r="F201" s="11" t="s">
        <v>738</v>
      </c>
      <c r="G201" s="11">
        <v>0</v>
      </c>
      <c r="H201" s="11">
        <v>0</v>
      </c>
      <c r="I201" s="11">
        <v>0</v>
      </c>
      <c r="J201" s="11">
        <v>0</v>
      </c>
      <c r="K201" s="11">
        <v>0</v>
      </c>
      <c r="L201" s="11">
        <v>0</v>
      </c>
      <c r="M201" s="11">
        <v>0</v>
      </c>
      <c r="N201" s="11">
        <v>0</v>
      </c>
      <c r="O201" s="11">
        <v>0</v>
      </c>
      <c r="P201" s="11">
        <v>0</v>
      </c>
      <c r="Q201" s="12">
        <v>0</v>
      </c>
      <c r="R201" s="12">
        <v>0</v>
      </c>
      <c r="S201" s="12">
        <v>0</v>
      </c>
      <c r="T201" s="12">
        <v>0</v>
      </c>
      <c r="U201" s="12">
        <f>$G$201*$G$8+$H$201*$H$8+$I$201*$I$8+$J$201*$J$8+$K$201*$K$8+$L$201*$L$8+$M$201*$M$8+$N$201*$N$8+$O$201*$O$8+$P$201*$P$8</f>
        <v>0</v>
      </c>
      <c r="V201" s="12">
        <f>SUM($Q$201:$T$201)</f>
        <v>0</v>
      </c>
      <c r="W201" s="12">
        <f>$U$201+$V$201</f>
        <v>0</v>
      </c>
    </row>
    <row r="202" spans="1:23" x14ac:dyDescent="0.3">
      <c r="A202" s="13" t="s">
        <v>739</v>
      </c>
      <c r="B202" s="14" t="s">
        <v>740</v>
      </c>
      <c r="C202" s="14" t="s">
        <v>65</v>
      </c>
      <c r="D202" s="14" t="s">
        <v>239</v>
      </c>
      <c r="E202" s="14">
        <f xml:space="preserve"> IF($W$202,1,0)</f>
        <v>0</v>
      </c>
      <c r="F202" s="14" t="s">
        <v>741</v>
      </c>
      <c r="G202" s="14">
        <v>0</v>
      </c>
      <c r="H202" s="14">
        <v>0</v>
      </c>
      <c r="I202" s="14">
        <v>0</v>
      </c>
      <c r="J202" s="14">
        <v>0</v>
      </c>
      <c r="K202" s="14">
        <v>0</v>
      </c>
      <c r="L202" s="14">
        <v>0</v>
      </c>
      <c r="M202" s="14">
        <v>0</v>
      </c>
      <c r="N202" s="14">
        <v>0</v>
      </c>
      <c r="O202" s="14">
        <v>0</v>
      </c>
      <c r="P202" s="14">
        <v>0</v>
      </c>
      <c r="Q202" s="15">
        <v>0</v>
      </c>
      <c r="R202" s="15">
        <v>0</v>
      </c>
      <c r="S202" s="15">
        <v>0</v>
      </c>
      <c r="T202" s="15">
        <v>0</v>
      </c>
      <c r="U202" s="15">
        <f>$G$202*$G$8+$H$202*$H$8+$I$202*$I$8+$J$202*$J$8+$K$202*$K$8+$L$202*$L$8+$M$202*$M$8+$N$202*$N$8+$O$202*$O$8+$P$202*$P$8</f>
        <v>0</v>
      </c>
      <c r="V202" s="15">
        <f>SUM($Q$202:$T$202)</f>
        <v>0</v>
      </c>
      <c r="W202" s="15">
        <f>$U$202+$V$202</f>
        <v>0</v>
      </c>
    </row>
    <row r="203" spans="1:23" x14ac:dyDescent="0.3">
      <c r="A203" s="10" t="s">
        <v>742</v>
      </c>
      <c r="B203" s="11" t="s">
        <v>743</v>
      </c>
      <c r="C203" s="11"/>
      <c r="D203" s="11" t="s">
        <v>744</v>
      </c>
      <c r="E203" s="11">
        <f xml:space="preserve"> IF($W$203,1,0)</f>
        <v>0</v>
      </c>
      <c r="F203" s="11" t="s">
        <v>745</v>
      </c>
      <c r="G203" s="11">
        <v>0</v>
      </c>
      <c r="H203" s="11">
        <v>0</v>
      </c>
      <c r="I203" s="11">
        <v>0</v>
      </c>
      <c r="J203" s="11">
        <v>0</v>
      </c>
      <c r="K203" s="11">
        <v>0</v>
      </c>
      <c r="L203" s="11">
        <v>0</v>
      </c>
      <c r="M203" s="11">
        <v>0</v>
      </c>
      <c r="N203" s="11">
        <v>0</v>
      </c>
      <c r="O203" s="11">
        <v>0</v>
      </c>
      <c r="P203" s="11">
        <v>0</v>
      </c>
      <c r="Q203" s="12">
        <v>0</v>
      </c>
      <c r="R203" s="12">
        <v>0</v>
      </c>
      <c r="S203" s="12">
        <v>0</v>
      </c>
      <c r="T203" s="12">
        <v>0</v>
      </c>
      <c r="U203" s="12">
        <f>$G$203*$G$8+$H$203*$H$8+$I$203*$I$8+$J$203*$J$8+$K$203*$K$8+$L$203*$L$8+$M$203*$M$8+$N$203*$N$8+$O$203*$O$8+$P$203*$P$8</f>
        <v>0</v>
      </c>
      <c r="V203" s="12">
        <f>SUM($Q$203:$T$203)</f>
        <v>0</v>
      </c>
      <c r="W203" s="12">
        <f>$U$203+$V$203</f>
        <v>0</v>
      </c>
    </row>
    <row r="204" spans="1:23" x14ac:dyDescent="0.3">
      <c r="A204" s="13" t="s">
        <v>746</v>
      </c>
      <c r="B204" s="14" t="s">
        <v>747</v>
      </c>
      <c r="C204" s="14"/>
      <c r="D204" s="14" t="s">
        <v>748</v>
      </c>
      <c r="E204" s="14">
        <f xml:space="preserve"> IF($W$204,1,0)</f>
        <v>0</v>
      </c>
      <c r="F204" s="14" t="s">
        <v>749</v>
      </c>
      <c r="G204" s="14">
        <v>0</v>
      </c>
      <c r="H204" s="14">
        <v>0</v>
      </c>
      <c r="I204" s="14">
        <v>0</v>
      </c>
      <c r="J204" s="14">
        <v>0</v>
      </c>
      <c r="K204" s="14">
        <v>0</v>
      </c>
      <c r="L204" s="14">
        <v>0</v>
      </c>
      <c r="M204" s="14">
        <v>0</v>
      </c>
      <c r="N204" s="14">
        <v>0</v>
      </c>
      <c r="O204" s="14">
        <v>0</v>
      </c>
      <c r="P204" s="14">
        <v>0</v>
      </c>
      <c r="Q204" s="15">
        <v>0</v>
      </c>
      <c r="R204" s="15">
        <v>0</v>
      </c>
      <c r="S204" s="15">
        <v>0</v>
      </c>
      <c r="T204" s="15">
        <v>0</v>
      </c>
      <c r="U204" s="15">
        <f>$G$204*$G$8+$H$204*$H$8+$I$204*$I$8+$J$204*$J$8+$K$204*$K$8+$L$204*$L$8+$M$204*$M$8+$N$204*$N$8+$O$204*$O$8+$P$204*$P$8</f>
        <v>0</v>
      </c>
      <c r="V204" s="15">
        <f>SUM($Q$204:$T$204)</f>
        <v>0</v>
      </c>
      <c r="W204" s="15">
        <f>$U$204+$V$204</f>
        <v>0</v>
      </c>
    </row>
    <row r="205" spans="1:23" x14ac:dyDescent="0.3">
      <c r="A205" s="10" t="s">
        <v>750</v>
      </c>
      <c r="B205" s="11" t="s">
        <v>751</v>
      </c>
      <c r="C205" s="11"/>
      <c r="D205" s="11" t="s">
        <v>752</v>
      </c>
      <c r="E205" s="11">
        <f xml:space="preserve"> IF($W$205,1,0)</f>
        <v>0</v>
      </c>
      <c r="F205" s="11" t="s">
        <v>753</v>
      </c>
      <c r="G205" s="11">
        <v>0</v>
      </c>
      <c r="H205" s="11">
        <v>0</v>
      </c>
      <c r="I205" s="11">
        <v>0</v>
      </c>
      <c r="J205" s="11">
        <v>0</v>
      </c>
      <c r="K205" s="11">
        <v>0</v>
      </c>
      <c r="L205" s="11">
        <v>0</v>
      </c>
      <c r="M205" s="11">
        <v>0</v>
      </c>
      <c r="N205" s="11">
        <v>0</v>
      </c>
      <c r="O205" s="11">
        <v>0</v>
      </c>
      <c r="P205" s="11">
        <v>0</v>
      </c>
      <c r="Q205" s="12">
        <v>0</v>
      </c>
      <c r="R205" s="12">
        <v>0</v>
      </c>
      <c r="S205" s="12">
        <v>0</v>
      </c>
      <c r="T205" s="12">
        <v>0</v>
      </c>
      <c r="U205" s="12">
        <f>$G$205*$G$8+$H$205*$H$8+$I$205*$I$8+$J$205*$J$8+$K$205*$K$8+$L$205*$L$8+$M$205*$M$8+$N$205*$N$8+$O$205*$O$8+$P$205*$P$8</f>
        <v>0</v>
      </c>
      <c r="V205" s="12">
        <f>SUM($Q$205:$T$205)</f>
        <v>0</v>
      </c>
      <c r="W205" s="12">
        <f>$U$205+$V$205</f>
        <v>0</v>
      </c>
    </row>
    <row r="206" spans="1:23" x14ac:dyDescent="0.3">
      <c r="A206" s="13" t="s">
        <v>754</v>
      </c>
      <c r="B206" s="14" t="s">
        <v>755</v>
      </c>
      <c r="C206" s="14"/>
      <c r="D206" s="14" t="s">
        <v>756</v>
      </c>
      <c r="E206" s="14">
        <f xml:space="preserve"> IF($W$206,1,0)</f>
        <v>0</v>
      </c>
      <c r="F206" s="14" t="s">
        <v>757</v>
      </c>
      <c r="G206" s="14">
        <v>0</v>
      </c>
      <c r="H206" s="14">
        <v>0</v>
      </c>
      <c r="I206" s="14">
        <v>0</v>
      </c>
      <c r="J206" s="14">
        <v>0</v>
      </c>
      <c r="K206" s="14">
        <v>0</v>
      </c>
      <c r="L206" s="14">
        <v>0</v>
      </c>
      <c r="M206" s="14">
        <v>0</v>
      </c>
      <c r="N206" s="14">
        <v>0</v>
      </c>
      <c r="O206" s="14">
        <v>0</v>
      </c>
      <c r="P206" s="14">
        <v>0</v>
      </c>
      <c r="Q206" s="15">
        <v>0</v>
      </c>
      <c r="R206" s="15">
        <v>0</v>
      </c>
      <c r="S206" s="15">
        <v>0</v>
      </c>
      <c r="T206" s="15">
        <v>0</v>
      </c>
      <c r="U206" s="15">
        <f>$G$206*$G$8+$H$206*$H$8+$I$206*$I$8+$J$206*$J$8+$K$206*$K$8+$L$206*$L$8+$M$206*$M$8+$N$206*$N$8+$O$206*$O$8+$P$206*$P$8</f>
        <v>0</v>
      </c>
      <c r="V206" s="15">
        <f>SUM($Q$206:$T$206)</f>
        <v>0</v>
      </c>
      <c r="W206" s="15">
        <f>$U$206+$V$206</f>
        <v>0</v>
      </c>
    </row>
    <row r="207" spans="1:23" x14ac:dyDescent="0.3">
      <c r="A207" s="10" t="s">
        <v>758</v>
      </c>
      <c r="B207" s="11" t="s">
        <v>759</v>
      </c>
      <c r="C207" s="11"/>
      <c r="D207" s="11" t="s">
        <v>760</v>
      </c>
      <c r="E207" s="11">
        <f xml:space="preserve"> IF($W$207,1,0)</f>
        <v>0</v>
      </c>
      <c r="F207" s="11" t="s">
        <v>761</v>
      </c>
      <c r="G207" s="11">
        <v>0</v>
      </c>
      <c r="H207" s="11">
        <v>0</v>
      </c>
      <c r="I207" s="11">
        <v>0</v>
      </c>
      <c r="J207" s="11">
        <v>0</v>
      </c>
      <c r="K207" s="11">
        <v>0</v>
      </c>
      <c r="L207" s="11">
        <v>0</v>
      </c>
      <c r="M207" s="11">
        <v>0</v>
      </c>
      <c r="N207" s="11">
        <v>0</v>
      </c>
      <c r="O207" s="11">
        <v>0</v>
      </c>
      <c r="P207" s="11">
        <v>0</v>
      </c>
      <c r="Q207" s="12">
        <v>0</v>
      </c>
      <c r="R207" s="12">
        <v>0</v>
      </c>
      <c r="S207" s="12">
        <v>0</v>
      </c>
      <c r="T207" s="12">
        <v>0</v>
      </c>
      <c r="U207" s="12">
        <f>$G$207*$G$8+$H$207*$H$8+$I$207*$I$8+$J$207*$J$8+$K$207*$K$8+$L$207*$L$8+$M$207*$M$8+$N$207*$N$8+$O$207*$O$8+$P$207*$P$8</f>
        <v>0</v>
      </c>
      <c r="V207" s="12">
        <f>SUM($Q$207:$T$207)</f>
        <v>0</v>
      </c>
      <c r="W207" s="12">
        <f>$U$207+$V$207</f>
        <v>0</v>
      </c>
    </row>
    <row r="208" spans="1:23" x14ac:dyDescent="0.3">
      <c r="A208" s="13" t="s">
        <v>762</v>
      </c>
      <c r="B208" s="14" t="s">
        <v>763</v>
      </c>
      <c r="C208" s="14"/>
      <c r="D208" s="14" t="s">
        <v>764</v>
      </c>
      <c r="E208" s="14">
        <f xml:space="preserve"> IF($W$208,1,0)</f>
        <v>0</v>
      </c>
      <c r="F208" s="14" t="s">
        <v>765</v>
      </c>
      <c r="G208" s="14">
        <v>0</v>
      </c>
      <c r="H208" s="14">
        <v>0</v>
      </c>
      <c r="I208" s="14">
        <v>0</v>
      </c>
      <c r="J208" s="14">
        <v>0</v>
      </c>
      <c r="K208" s="14">
        <v>0</v>
      </c>
      <c r="L208" s="14">
        <v>0</v>
      </c>
      <c r="M208" s="14">
        <v>0</v>
      </c>
      <c r="N208" s="14">
        <v>0</v>
      </c>
      <c r="O208" s="14">
        <v>0</v>
      </c>
      <c r="P208" s="14">
        <v>0</v>
      </c>
      <c r="Q208" s="15">
        <v>0</v>
      </c>
      <c r="R208" s="15">
        <v>0</v>
      </c>
      <c r="S208" s="15">
        <v>0</v>
      </c>
      <c r="T208" s="15">
        <v>0</v>
      </c>
      <c r="U208" s="15">
        <f>$G$208*$G$8+$H$208*$H$8+$I$208*$I$8+$J$208*$J$8+$K$208*$K$8+$L$208*$L$8+$M$208*$M$8+$N$208*$N$8+$O$208*$O$8+$P$208*$P$8</f>
        <v>0</v>
      </c>
      <c r="V208" s="15">
        <f>SUM($Q$208:$T$208)</f>
        <v>0</v>
      </c>
      <c r="W208" s="15">
        <f>$U$208+$V$208</f>
        <v>0</v>
      </c>
    </row>
    <row r="209" spans="1:23" x14ac:dyDescent="0.3">
      <c r="A209" s="10" t="s">
        <v>766</v>
      </c>
      <c r="B209" s="11" t="s">
        <v>767</v>
      </c>
      <c r="C209" s="11"/>
      <c r="D209" s="11" t="s">
        <v>768</v>
      </c>
      <c r="E209" s="11">
        <f xml:space="preserve"> IF($W$209,1,0)</f>
        <v>0</v>
      </c>
      <c r="F209" s="11" t="s">
        <v>769</v>
      </c>
      <c r="G209" s="11">
        <v>0</v>
      </c>
      <c r="H209" s="11">
        <v>0</v>
      </c>
      <c r="I209" s="11">
        <v>0</v>
      </c>
      <c r="J209" s="11">
        <v>0</v>
      </c>
      <c r="K209" s="11">
        <v>0</v>
      </c>
      <c r="L209" s="11">
        <v>0</v>
      </c>
      <c r="M209" s="11">
        <v>0</v>
      </c>
      <c r="N209" s="11">
        <v>0</v>
      </c>
      <c r="O209" s="11">
        <v>0</v>
      </c>
      <c r="P209" s="11">
        <v>0</v>
      </c>
      <c r="Q209" s="12">
        <v>0</v>
      </c>
      <c r="R209" s="12">
        <v>0</v>
      </c>
      <c r="S209" s="12">
        <v>0</v>
      </c>
      <c r="T209" s="12">
        <v>0</v>
      </c>
      <c r="U209" s="12">
        <f>$G$209*$G$8+$H$209*$H$8+$I$209*$I$8+$J$209*$J$8+$K$209*$K$8+$L$209*$L$8+$M$209*$M$8+$N$209*$N$8+$O$209*$O$8+$P$209*$P$8</f>
        <v>0</v>
      </c>
      <c r="V209" s="12">
        <f>SUM($Q$209:$T$209)</f>
        <v>0</v>
      </c>
      <c r="W209" s="12">
        <f>$U$209+$V$209</f>
        <v>0</v>
      </c>
    </row>
    <row r="210" spans="1:23" x14ac:dyDescent="0.3">
      <c r="A210" s="13" t="s">
        <v>770</v>
      </c>
      <c r="B210" s="14" t="s">
        <v>771</v>
      </c>
      <c r="C210" s="14"/>
      <c r="D210" s="14" t="s">
        <v>772</v>
      </c>
      <c r="E210" s="14">
        <f xml:space="preserve"> IF($W$210,1,0)</f>
        <v>0</v>
      </c>
      <c r="F210" s="14" t="s">
        <v>773</v>
      </c>
      <c r="G210" s="14">
        <v>0</v>
      </c>
      <c r="H210" s="14">
        <v>0</v>
      </c>
      <c r="I210" s="14">
        <v>0</v>
      </c>
      <c r="J210" s="14">
        <v>0</v>
      </c>
      <c r="K210" s="14">
        <v>0</v>
      </c>
      <c r="L210" s="14">
        <v>0</v>
      </c>
      <c r="M210" s="14">
        <v>0</v>
      </c>
      <c r="N210" s="14">
        <v>0</v>
      </c>
      <c r="O210" s="14">
        <v>0</v>
      </c>
      <c r="P210" s="14">
        <v>0</v>
      </c>
      <c r="Q210" s="15">
        <v>0</v>
      </c>
      <c r="R210" s="15">
        <v>0</v>
      </c>
      <c r="S210" s="15">
        <v>0</v>
      </c>
      <c r="T210" s="15">
        <v>0</v>
      </c>
      <c r="U210" s="15">
        <f>$G$210*$G$8+$H$210*$H$8+$I$210*$I$8+$J$210*$J$8+$K$210*$K$8+$L$210*$L$8+$M$210*$M$8+$N$210*$N$8+$O$210*$O$8+$P$210*$P$8</f>
        <v>0</v>
      </c>
      <c r="V210" s="15">
        <f>SUM($Q$210:$T$210)</f>
        <v>0</v>
      </c>
      <c r="W210" s="15">
        <f>$U$210+$V$210</f>
        <v>0</v>
      </c>
    </row>
    <row r="211" spans="1:23" x14ac:dyDescent="0.3">
      <c r="A211" s="10" t="s">
        <v>774</v>
      </c>
      <c r="B211" s="11" t="s">
        <v>775</v>
      </c>
      <c r="C211" s="11"/>
      <c r="D211" s="11" t="s">
        <v>776</v>
      </c>
      <c r="E211" s="11">
        <f xml:space="preserve"> IF($W$211,1,0)</f>
        <v>0</v>
      </c>
      <c r="F211" s="11" t="s">
        <v>777</v>
      </c>
      <c r="G211" s="11">
        <v>0</v>
      </c>
      <c r="H211" s="11">
        <v>0</v>
      </c>
      <c r="I211" s="11">
        <v>0</v>
      </c>
      <c r="J211" s="11">
        <v>0</v>
      </c>
      <c r="K211" s="11">
        <v>0</v>
      </c>
      <c r="L211" s="11">
        <v>0</v>
      </c>
      <c r="M211" s="11">
        <v>0</v>
      </c>
      <c r="N211" s="11">
        <v>0</v>
      </c>
      <c r="O211" s="11">
        <v>0</v>
      </c>
      <c r="P211" s="11">
        <v>0</v>
      </c>
      <c r="Q211" s="12">
        <v>0</v>
      </c>
      <c r="R211" s="12">
        <v>0</v>
      </c>
      <c r="S211" s="12">
        <v>0</v>
      </c>
      <c r="T211" s="12">
        <v>0</v>
      </c>
      <c r="U211" s="12">
        <f>$G$211*$G$8+$H$211*$H$8+$I$211*$I$8+$J$211*$J$8+$K$211*$K$8+$L$211*$L$8+$M$211*$M$8+$N$211*$N$8+$O$211*$O$8+$P$211*$P$8</f>
        <v>0</v>
      </c>
      <c r="V211" s="12">
        <f>SUM($Q$211:$T$211)</f>
        <v>0</v>
      </c>
      <c r="W211" s="12">
        <f>$U$211+$V$211</f>
        <v>0</v>
      </c>
    </row>
    <row r="212" spans="1:23" x14ac:dyDescent="0.3">
      <c r="A212" s="13" t="s">
        <v>778</v>
      </c>
      <c r="B212" s="14" t="s">
        <v>779</v>
      </c>
      <c r="C212" s="14"/>
      <c r="D212" s="14" t="s">
        <v>780</v>
      </c>
      <c r="E212" s="14">
        <f xml:space="preserve"> IF($W$212,1,0)</f>
        <v>0</v>
      </c>
      <c r="F212" s="14" t="s">
        <v>781</v>
      </c>
      <c r="G212" s="14">
        <v>0</v>
      </c>
      <c r="H212" s="14">
        <v>0</v>
      </c>
      <c r="I212" s="14">
        <v>0</v>
      </c>
      <c r="J212" s="14">
        <v>0</v>
      </c>
      <c r="K212" s="14">
        <v>0</v>
      </c>
      <c r="L212" s="14">
        <v>0</v>
      </c>
      <c r="M212" s="14">
        <v>0</v>
      </c>
      <c r="N212" s="14">
        <v>0</v>
      </c>
      <c r="O212" s="14">
        <v>0</v>
      </c>
      <c r="P212" s="14">
        <v>0</v>
      </c>
      <c r="Q212" s="15">
        <v>0</v>
      </c>
      <c r="R212" s="15">
        <v>0</v>
      </c>
      <c r="S212" s="15">
        <v>0</v>
      </c>
      <c r="T212" s="15">
        <v>0</v>
      </c>
      <c r="U212" s="15">
        <f>$G$212*$G$8+$H$212*$H$8+$I$212*$I$8+$J$212*$J$8+$K$212*$K$8+$L$212*$L$8+$M$212*$M$8+$N$212*$N$8+$O$212*$O$8+$P$212*$P$8</f>
        <v>0</v>
      </c>
      <c r="V212" s="15">
        <f>SUM($Q$212:$T$212)</f>
        <v>0</v>
      </c>
      <c r="W212" s="15">
        <f>$U$212+$V$212</f>
        <v>0</v>
      </c>
    </row>
    <row r="213" spans="1:23" x14ac:dyDescent="0.3">
      <c r="A213" s="10" t="s">
        <v>782</v>
      </c>
      <c r="B213" s="11" t="s">
        <v>779</v>
      </c>
      <c r="C213" s="11"/>
      <c r="D213" s="11" t="s">
        <v>783</v>
      </c>
      <c r="E213" s="11">
        <f xml:space="preserve"> IF($W$213,1,0)</f>
        <v>0</v>
      </c>
      <c r="F213" s="11" t="s">
        <v>784</v>
      </c>
      <c r="G213" s="11">
        <v>0</v>
      </c>
      <c r="H213" s="11">
        <v>0</v>
      </c>
      <c r="I213" s="11">
        <v>0</v>
      </c>
      <c r="J213" s="11">
        <v>0</v>
      </c>
      <c r="K213" s="11">
        <v>0</v>
      </c>
      <c r="L213" s="11">
        <v>0</v>
      </c>
      <c r="M213" s="11">
        <v>0</v>
      </c>
      <c r="N213" s="11">
        <v>0</v>
      </c>
      <c r="O213" s="11">
        <v>0</v>
      </c>
      <c r="P213" s="11">
        <v>0</v>
      </c>
      <c r="Q213" s="12">
        <v>0</v>
      </c>
      <c r="R213" s="12">
        <v>0</v>
      </c>
      <c r="S213" s="12">
        <v>0</v>
      </c>
      <c r="T213" s="12">
        <v>0</v>
      </c>
      <c r="U213" s="12">
        <f>$G$213*$G$8+$H$213*$H$8+$I$213*$I$8+$J$213*$J$8+$K$213*$K$8+$L$213*$L$8+$M$213*$M$8+$N$213*$N$8+$O$213*$O$8+$P$213*$P$8</f>
        <v>0</v>
      </c>
      <c r="V213" s="12">
        <f>SUM($Q$213:$T$213)</f>
        <v>0</v>
      </c>
      <c r="W213" s="12">
        <f>$U$213+$V$213</f>
        <v>0</v>
      </c>
    </row>
    <row r="214" spans="1:23" x14ac:dyDescent="0.3">
      <c r="A214" s="13" t="s">
        <v>785</v>
      </c>
      <c r="B214" s="14" t="s">
        <v>779</v>
      </c>
      <c r="C214" s="14"/>
      <c r="D214" s="14" t="s">
        <v>786</v>
      </c>
      <c r="E214" s="14">
        <f xml:space="preserve"> IF($W$214,1,0)</f>
        <v>0</v>
      </c>
      <c r="F214" s="14" t="s">
        <v>787</v>
      </c>
      <c r="G214" s="14">
        <v>0</v>
      </c>
      <c r="H214" s="14">
        <v>0</v>
      </c>
      <c r="I214" s="14">
        <v>0</v>
      </c>
      <c r="J214" s="14">
        <v>0</v>
      </c>
      <c r="K214" s="14">
        <v>0</v>
      </c>
      <c r="L214" s="14">
        <v>0</v>
      </c>
      <c r="M214" s="14">
        <v>0</v>
      </c>
      <c r="N214" s="14">
        <v>0</v>
      </c>
      <c r="O214" s="14">
        <v>0</v>
      </c>
      <c r="P214" s="14">
        <v>0</v>
      </c>
      <c r="Q214" s="15">
        <v>0</v>
      </c>
      <c r="R214" s="15">
        <v>0</v>
      </c>
      <c r="S214" s="15">
        <v>0</v>
      </c>
      <c r="T214" s="15">
        <v>0</v>
      </c>
      <c r="U214" s="15">
        <f>$G$214*$G$8+$H$214*$H$8+$I$214*$I$8+$J$214*$J$8+$K$214*$K$8+$L$214*$L$8+$M$214*$M$8+$N$214*$N$8+$O$214*$O$8+$P$214*$P$8</f>
        <v>0</v>
      </c>
      <c r="V214" s="15">
        <f>SUM($Q$214:$T$214)</f>
        <v>0</v>
      </c>
      <c r="W214" s="15">
        <f>$U$214+$V$214</f>
        <v>0</v>
      </c>
    </row>
    <row r="215" spans="1:23" x14ac:dyDescent="0.3">
      <c r="A215" s="10" t="s">
        <v>788</v>
      </c>
      <c r="B215" s="11" t="s">
        <v>789</v>
      </c>
      <c r="C215" s="11"/>
      <c r="D215" s="11" t="s">
        <v>790</v>
      </c>
      <c r="E215" s="11">
        <f xml:space="preserve"> IF($W$215,1,0)</f>
        <v>0</v>
      </c>
      <c r="F215" s="11" t="s">
        <v>791</v>
      </c>
      <c r="G215" s="11">
        <v>0</v>
      </c>
      <c r="H215" s="11">
        <v>0</v>
      </c>
      <c r="I215" s="11">
        <v>0</v>
      </c>
      <c r="J215" s="11">
        <v>0</v>
      </c>
      <c r="K215" s="11">
        <v>0</v>
      </c>
      <c r="L215" s="11">
        <v>0</v>
      </c>
      <c r="M215" s="11">
        <v>0</v>
      </c>
      <c r="N215" s="11">
        <v>0</v>
      </c>
      <c r="O215" s="11">
        <v>0</v>
      </c>
      <c r="P215" s="11">
        <v>0</v>
      </c>
      <c r="Q215" s="12">
        <v>0</v>
      </c>
      <c r="R215" s="12">
        <v>0</v>
      </c>
      <c r="S215" s="12">
        <v>0</v>
      </c>
      <c r="T215" s="12">
        <v>0</v>
      </c>
      <c r="U215" s="12">
        <f>$G$215*$G$8+$H$215*$H$8+$I$215*$I$8+$J$215*$J$8+$K$215*$K$8+$L$215*$L$8+$M$215*$M$8+$N$215*$N$8+$O$215*$O$8+$P$215*$P$8</f>
        <v>0</v>
      </c>
      <c r="V215" s="12">
        <f>SUM($Q$215:$T$215)</f>
        <v>0</v>
      </c>
      <c r="W215" s="12">
        <f>$U$215+$V$215</f>
        <v>0</v>
      </c>
    </row>
    <row r="216" spans="1:23" x14ac:dyDescent="0.3">
      <c r="A216" s="13" t="s">
        <v>792</v>
      </c>
      <c r="B216" s="14" t="s">
        <v>793</v>
      </c>
      <c r="C216" s="14"/>
      <c r="D216" s="14" t="s">
        <v>794</v>
      </c>
      <c r="E216" s="14">
        <f xml:space="preserve"> IF($W$216,1,0)</f>
        <v>0</v>
      </c>
      <c r="F216" s="14" t="s">
        <v>795</v>
      </c>
      <c r="G216" s="14">
        <v>0</v>
      </c>
      <c r="H216" s="14">
        <v>0</v>
      </c>
      <c r="I216" s="14">
        <v>0</v>
      </c>
      <c r="J216" s="14">
        <v>0</v>
      </c>
      <c r="K216" s="14">
        <v>0</v>
      </c>
      <c r="L216" s="14">
        <v>0</v>
      </c>
      <c r="M216" s="14">
        <v>0</v>
      </c>
      <c r="N216" s="14">
        <v>0</v>
      </c>
      <c r="O216" s="14">
        <v>0</v>
      </c>
      <c r="P216" s="14">
        <v>0</v>
      </c>
      <c r="Q216" s="15">
        <v>0</v>
      </c>
      <c r="R216" s="15">
        <v>0</v>
      </c>
      <c r="S216" s="15">
        <v>0</v>
      </c>
      <c r="T216" s="15">
        <v>0</v>
      </c>
      <c r="U216" s="15">
        <f>$G$216*$G$8+$H$216*$H$8+$I$216*$I$8+$J$216*$J$8+$K$216*$K$8+$L$216*$L$8+$M$216*$M$8+$N$216*$N$8+$O$216*$O$8+$P$216*$P$8</f>
        <v>0</v>
      </c>
      <c r="V216" s="15">
        <f>SUM($Q$216:$T$216)</f>
        <v>0</v>
      </c>
      <c r="W216" s="15">
        <f>$U$216+$V$216</f>
        <v>0</v>
      </c>
    </row>
    <row r="217" spans="1:23" x14ac:dyDescent="0.3">
      <c r="A217" s="10" t="s">
        <v>796</v>
      </c>
      <c r="B217" s="11" t="s">
        <v>797</v>
      </c>
      <c r="C217" s="11"/>
      <c r="D217" s="11" t="s">
        <v>798</v>
      </c>
      <c r="E217" s="11">
        <f xml:space="preserve"> IF($W$217,1,0)</f>
        <v>0</v>
      </c>
      <c r="F217" s="11" t="s">
        <v>799</v>
      </c>
      <c r="G217" s="11">
        <v>0</v>
      </c>
      <c r="H217" s="11">
        <v>0</v>
      </c>
      <c r="I217" s="11">
        <v>0</v>
      </c>
      <c r="J217" s="11">
        <v>0</v>
      </c>
      <c r="K217" s="11">
        <v>0</v>
      </c>
      <c r="L217" s="11">
        <v>0</v>
      </c>
      <c r="M217" s="11">
        <v>0</v>
      </c>
      <c r="N217" s="11">
        <v>0</v>
      </c>
      <c r="O217" s="11">
        <v>0</v>
      </c>
      <c r="P217" s="11">
        <v>0</v>
      </c>
      <c r="Q217" s="12">
        <v>0</v>
      </c>
      <c r="R217" s="12">
        <v>0</v>
      </c>
      <c r="S217" s="12">
        <v>0</v>
      </c>
      <c r="T217" s="12">
        <v>0</v>
      </c>
      <c r="U217" s="12">
        <f>$G$217*$G$8+$H$217*$H$8+$I$217*$I$8+$J$217*$J$8+$K$217*$K$8+$L$217*$L$8+$M$217*$M$8+$N$217*$N$8+$O$217*$O$8+$P$217*$P$8</f>
        <v>0</v>
      </c>
      <c r="V217" s="12">
        <f>SUM($Q$217:$T$217)</f>
        <v>0</v>
      </c>
      <c r="W217" s="12">
        <f>$U$217+$V$217</f>
        <v>0</v>
      </c>
    </row>
    <row r="218" spans="1:23" x14ac:dyDescent="0.3">
      <c r="A218" s="13" t="s">
        <v>800</v>
      </c>
      <c r="B218" s="14" t="s">
        <v>797</v>
      </c>
      <c r="C218" s="14" t="s">
        <v>34</v>
      </c>
      <c r="D218" s="14" t="s">
        <v>801</v>
      </c>
      <c r="E218" s="14">
        <f xml:space="preserve"> IF($W$218,1,0)</f>
        <v>0</v>
      </c>
      <c r="F218" s="14" t="s">
        <v>802</v>
      </c>
      <c r="G218" s="14">
        <v>0</v>
      </c>
      <c r="H218" s="14">
        <v>0</v>
      </c>
      <c r="I218" s="14">
        <v>0</v>
      </c>
      <c r="J218" s="14">
        <v>0</v>
      </c>
      <c r="K218" s="14">
        <v>0</v>
      </c>
      <c r="L218" s="14">
        <v>0</v>
      </c>
      <c r="M218" s="14">
        <v>0</v>
      </c>
      <c r="N218" s="14">
        <v>0</v>
      </c>
      <c r="O218" s="14">
        <v>0</v>
      </c>
      <c r="P218" s="14">
        <v>0</v>
      </c>
      <c r="Q218" s="15">
        <v>0</v>
      </c>
      <c r="R218" s="15">
        <v>0</v>
      </c>
      <c r="S218" s="15">
        <v>0</v>
      </c>
      <c r="T218" s="15">
        <v>0</v>
      </c>
      <c r="U218" s="15">
        <f>$G$218*$G$8+$H$218*$H$8+$I$218*$I$8+$J$218*$J$8+$K$218*$K$8+$L$218*$L$8+$M$218*$M$8+$N$218*$N$8+$O$218*$O$8+$P$218*$P$8</f>
        <v>0</v>
      </c>
      <c r="V218" s="15">
        <f>SUM($Q$218:$T$218)</f>
        <v>0</v>
      </c>
      <c r="W218" s="15">
        <f>$U$218+$V$218</f>
        <v>0</v>
      </c>
    </row>
    <row r="219" spans="1:23" x14ac:dyDescent="0.3">
      <c r="A219" s="10" t="s">
        <v>803</v>
      </c>
      <c r="B219" s="11" t="s">
        <v>804</v>
      </c>
      <c r="C219" s="11" t="s">
        <v>34</v>
      </c>
      <c r="D219" s="11" t="s">
        <v>805</v>
      </c>
      <c r="E219" s="11">
        <f xml:space="preserve"> IF($W$219,1,0)</f>
        <v>0</v>
      </c>
      <c r="F219" s="11" t="s">
        <v>806</v>
      </c>
      <c r="G219" s="11">
        <v>0</v>
      </c>
      <c r="H219" s="11">
        <v>0</v>
      </c>
      <c r="I219" s="11">
        <v>0</v>
      </c>
      <c r="J219" s="11">
        <v>0</v>
      </c>
      <c r="K219" s="11">
        <v>0</v>
      </c>
      <c r="L219" s="11">
        <v>0</v>
      </c>
      <c r="M219" s="11">
        <v>0</v>
      </c>
      <c r="N219" s="11">
        <v>0</v>
      </c>
      <c r="O219" s="11">
        <v>0</v>
      </c>
      <c r="P219" s="11">
        <v>0</v>
      </c>
      <c r="Q219" s="12">
        <v>0</v>
      </c>
      <c r="R219" s="12">
        <v>0</v>
      </c>
      <c r="S219" s="12">
        <v>0</v>
      </c>
      <c r="T219" s="12">
        <v>0</v>
      </c>
      <c r="U219" s="12">
        <f>$G$219*$G$8+$H$219*$H$8+$I$219*$I$8+$J$219*$J$8+$K$219*$K$8+$L$219*$L$8+$M$219*$M$8+$N$219*$N$8+$O$219*$O$8+$P$219*$P$8</f>
        <v>0</v>
      </c>
      <c r="V219" s="12">
        <f>SUM($Q$219:$T$219)</f>
        <v>0</v>
      </c>
      <c r="W219" s="12">
        <f>$U$219+$V$219</f>
        <v>0</v>
      </c>
    </row>
    <row r="220" spans="1:23" x14ac:dyDescent="0.3">
      <c r="A220" s="13" t="s">
        <v>807</v>
      </c>
      <c r="B220" s="14" t="s">
        <v>808</v>
      </c>
      <c r="C220" s="14"/>
      <c r="D220" s="14" t="s">
        <v>809</v>
      </c>
      <c r="E220" s="14">
        <f xml:space="preserve"> IF($W$220,1,0)</f>
        <v>0</v>
      </c>
      <c r="F220" s="14" t="s">
        <v>810</v>
      </c>
      <c r="G220" s="14">
        <v>0</v>
      </c>
      <c r="H220" s="14">
        <v>0</v>
      </c>
      <c r="I220" s="14">
        <v>0</v>
      </c>
      <c r="J220" s="14">
        <v>0</v>
      </c>
      <c r="K220" s="14">
        <v>0</v>
      </c>
      <c r="L220" s="14">
        <v>0</v>
      </c>
      <c r="M220" s="14">
        <v>0</v>
      </c>
      <c r="N220" s="14">
        <v>0</v>
      </c>
      <c r="O220" s="14">
        <v>0</v>
      </c>
      <c r="P220" s="14">
        <v>0</v>
      </c>
      <c r="Q220" s="15">
        <v>0</v>
      </c>
      <c r="R220" s="15">
        <v>0</v>
      </c>
      <c r="S220" s="15">
        <v>0</v>
      </c>
      <c r="T220" s="15">
        <v>0</v>
      </c>
      <c r="U220" s="15">
        <f>$G$220*$G$8+$H$220*$H$8+$I$220*$I$8+$J$220*$J$8+$K$220*$K$8+$L$220*$L$8+$M$220*$M$8+$N$220*$N$8+$O$220*$O$8+$P$220*$P$8</f>
        <v>0</v>
      </c>
      <c r="V220" s="15">
        <f>SUM($Q$220:$T$220)</f>
        <v>0</v>
      </c>
      <c r="W220" s="15">
        <f>$U$220+$V$220</f>
        <v>0</v>
      </c>
    </row>
    <row r="221" spans="1:23" x14ac:dyDescent="0.3">
      <c r="A221" s="10" t="s">
        <v>811</v>
      </c>
      <c r="B221" s="11" t="s">
        <v>812</v>
      </c>
      <c r="C221" s="11"/>
      <c r="D221" s="11" t="s">
        <v>813</v>
      </c>
      <c r="E221" s="11">
        <f xml:space="preserve"> IF($W$221,1,0)</f>
        <v>0</v>
      </c>
      <c r="F221" s="11" t="s">
        <v>814</v>
      </c>
      <c r="G221" s="11">
        <v>0</v>
      </c>
      <c r="H221" s="11">
        <v>0</v>
      </c>
      <c r="I221" s="11">
        <v>0</v>
      </c>
      <c r="J221" s="11">
        <v>0</v>
      </c>
      <c r="K221" s="11">
        <v>0</v>
      </c>
      <c r="L221" s="11">
        <v>0</v>
      </c>
      <c r="M221" s="11">
        <v>0</v>
      </c>
      <c r="N221" s="11">
        <v>0</v>
      </c>
      <c r="O221" s="11">
        <v>0</v>
      </c>
      <c r="P221" s="11">
        <v>0</v>
      </c>
      <c r="Q221" s="12">
        <v>0</v>
      </c>
      <c r="R221" s="12">
        <v>0</v>
      </c>
      <c r="S221" s="12">
        <v>0</v>
      </c>
      <c r="T221" s="12">
        <v>0</v>
      </c>
      <c r="U221" s="12">
        <f>$G$221*$G$8+$H$221*$H$8+$I$221*$I$8+$J$221*$J$8+$K$221*$K$8+$L$221*$L$8+$M$221*$M$8+$N$221*$N$8+$O$221*$O$8+$P$221*$P$8</f>
        <v>0</v>
      </c>
      <c r="V221" s="12">
        <f>SUM($Q$221:$T$221)</f>
        <v>0</v>
      </c>
      <c r="W221" s="12">
        <f>$U$221+$V$221</f>
        <v>0</v>
      </c>
    </row>
    <row r="222" spans="1:23" x14ac:dyDescent="0.3">
      <c r="A222" s="13" t="s">
        <v>815</v>
      </c>
      <c r="B222" s="14" t="s">
        <v>816</v>
      </c>
      <c r="C222" s="14"/>
      <c r="D222" s="14" t="s">
        <v>817</v>
      </c>
      <c r="E222" s="14">
        <f xml:space="preserve"> IF($W$222,1,0)</f>
        <v>0</v>
      </c>
      <c r="F222" s="14" t="s">
        <v>818</v>
      </c>
      <c r="G222" s="14">
        <v>0</v>
      </c>
      <c r="H222" s="14">
        <v>0</v>
      </c>
      <c r="I222" s="14">
        <v>0</v>
      </c>
      <c r="J222" s="14">
        <v>0</v>
      </c>
      <c r="K222" s="14">
        <v>0</v>
      </c>
      <c r="L222" s="14">
        <v>0</v>
      </c>
      <c r="M222" s="14">
        <v>0</v>
      </c>
      <c r="N222" s="14">
        <v>0</v>
      </c>
      <c r="O222" s="14">
        <v>0</v>
      </c>
      <c r="P222" s="14">
        <v>0</v>
      </c>
      <c r="Q222" s="15">
        <v>0</v>
      </c>
      <c r="R222" s="15">
        <v>0</v>
      </c>
      <c r="S222" s="15">
        <v>0</v>
      </c>
      <c r="T222" s="15">
        <v>0</v>
      </c>
      <c r="U222" s="15">
        <f>$G$222*$G$8+$H$222*$H$8+$I$222*$I$8+$J$222*$J$8+$K$222*$K$8+$L$222*$L$8+$M$222*$M$8+$N$222*$N$8+$O$222*$O$8+$P$222*$P$8</f>
        <v>0</v>
      </c>
      <c r="V222" s="15">
        <f>SUM($Q$222:$T$222)</f>
        <v>0</v>
      </c>
      <c r="W222" s="15">
        <f>$U$222+$V$222</f>
        <v>0</v>
      </c>
    </row>
    <row r="223" spans="1:23" x14ac:dyDescent="0.3">
      <c r="A223" s="10" t="s">
        <v>819</v>
      </c>
      <c r="B223" s="11" t="s">
        <v>820</v>
      </c>
      <c r="C223" s="11"/>
      <c r="D223" s="11" t="s">
        <v>821</v>
      </c>
      <c r="E223" s="11">
        <f xml:space="preserve"> IF($W$223,1,0)</f>
        <v>0</v>
      </c>
      <c r="F223" s="11" t="s">
        <v>822</v>
      </c>
      <c r="G223" s="11">
        <v>0</v>
      </c>
      <c r="H223" s="11">
        <v>0</v>
      </c>
      <c r="I223" s="11">
        <v>0</v>
      </c>
      <c r="J223" s="11">
        <v>0</v>
      </c>
      <c r="K223" s="11">
        <v>0</v>
      </c>
      <c r="L223" s="11">
        <v>0</v>
      </c>
      <c r="M223" s="11">
        <v>0</v>
      </c>
      <c r="N223" s="11">
        <v>0</v>
      </c>
      <c r="O223" s="11">
        <v>0</v>
      </c>
      <c r="P223" s="11">
        <v>0</v>
      </c>
      <c r="Q223" s="12">
        <v>0</v>
      </c>
      <c r="R223" s="12">
        <v>0</v>
      </c>
      <c r="S223" s="12">
        <v>0</v>
      </c>
      <c r="T223" s="12">
        <v>0</v>
      </c>
      <c r="U223" s="12">
        <f>$G$223*$G$8+$H$223*$H$8+$I$223*$I$8+$J$223*$J$8+$K$223*$K$8+$L$223*$L$8+$M$223*$M$8+$N$223*$N$8+$O$223*$O$8+$P$223*$P$8</f>
        <v>0</v>
      </c>
      <c r="V223" s="12">
        <f>SUM($Q$223:$T$223)</f>
        <v>0</v>
      </c>
      <c r="W223" s="12">
        <f>$U$223+$V$223</f>
        <v>0</v>
      </c>
    </row>
    <row r="224" spans="1:23" x14ac:dyDescent="0.3">
      <c r="A224" s="13" t="s">
        <v>823</v>
      </c>
      <c r="B224" s="14" t="s">
        <v>824</v>
      </c>
      <c r="C224" s="14"/>
      <c r="D224" s="14" t="s">
        <v>825</v>
      </c>
      <c r="E224" s="14">
        <f xml:space="preserve"> IF($W$224,1,0)</f>
        <v>0</v>
      </c>
      <c r="F224" s="14" t="s">
        <v>826</v>
      </c>
      <c r="G224" s="14">
        <v>0</v>
      </c>
      <c r="H224" s="14">
        <v>0</v>
      </c>
      <c r="I224" s="14">
        <v>0</v>
      </c>
      <c r="J224" s="14">
        <v>0</v>
      </c>
      <c r="K224" s="14">
        <v>0</v>
      </c>
      <c r="L224" s="14">
        <v>0</v>
      </c>
      <c r="M224" s="14">
        <v>0</v>
      </c>
      <c r="N224" s="14">
        <v>0</v>
      </c>
      <c r="O224" s="14">
        <v>0</v>
      </c>
      <c r="P224" s="14">
        <v>0</v>
      </c>
      <c r="Q224" s="15">
        <v>0</v>
      </c>
      <c r="R224" s="15">
        <v>0</v>
      </c>
      <c r="S224" s="15">
        <v>0</v>
      </c>
      <c r="T224" s="15">
        <v>0</v>
      </c>
      <c r="U224" s="15">
        <f>$G$224*$G$8+$H$224*$H$8+$I$224*$I$8+$J$224*$J$8+$K$224*$K$8+$L$224*$L$8+$M$224*$M$8+$N$224*$N$8+$O$224*$O$8+$P$224*$P$8</f>
        <v>0</v>
      </c>
      <c r="V224" s="15">
        <f>SUM($Q$224:$T$224)</f>
        <v>0</v>
      </c>
      <c r="W224" s="15">
        <f>$U$224+$V$224</f>
        <v>0</v>
      </c>
    </row>
    <row r="225" spans="1:23" x14ac:dyDescent="0.3">
      <c r="A225" s="10" t="s">
        <v>827</v>
      </c>
      <c r="B225" s="11" t="s">
        <v>828</v>
      </c>
      <c r="C225" s="11"/>
      <c r="D225" s="11" t="s">
        <v>829</v>
      </c>
      <c r="E225" s="11">
        <f xml:space="preserve"> IF($W$225,1,0)</f>
        <v>0</v>
      </c>
      <c r="F225" s="11" t="s">
        <v>830</v>
      </c>
      <c r="G225" s="11">
        <v>0</v>
      </c>
      <c r="H225" s="11">
        <v>0</v>
      </c>
      <c r="I225" s="11">
        <v>0</v>
      </c>
      <c r="J225" s="11">
        <v>0</v>
      </c>
      <c r="K225" s="11">
        <v>0</v>
      </c>
      <c r="L225" s="11">
        <v>0</v>
      </c>
      <c r="M225" s="11">
        <v>0</v>
      </c>
      <c r="N225" s="11">
        <v>0</v>
      </c>
      <c r="O225" s="11">
        <v>0</v>
      </c>
      <c r="P225" s="11">
        <v>0</v>
      </c>
      <c r="Q225" s="12">
        <v>0</v>
      </c>
      <c r="R225" s="12">
        <v>0</v>
      </c>
      <c r="S225" s="12">
        <v>0</v>
      </c>
      <c r="T225" s="12">
        <v>0</v>
      </c>
      <c r="U225" s="12">
        <f>$G$225*$G$8+$H$225*$H$8+$I$225*$I$8+$J$225*$J$8+$K$225*$K$8+$L$225*$L$8+$M$225*$M$8+$N$225*$N$8+$O$225*$O$8+$P$225*$P$8</f>
        <v>0</v>
      </c>
      <c r="V225" s="12">
        <f>SUM($Q$225:$T$225)</f>
        <v>0</v>
      </c>
      <c r="W225" s="12">
        <f>$U$225+$V$225</f>
        <v>0</v>
      </c>
    </row>
    <row r="226" spans="1:23" x14ac:dyDescent="0.3">
      <c r="A226" s="13" t="s">
        <v>831</v>
      </c>
      <c r="B226" s="14" t="s">
        <v>832</v>
      </c>
      <c r="C226" s="14"/>
      <c r="D226" s="14" t="s">
        <v>833</v>
      </c>
      <c r="E226" s="14">
        <f xml:space="preserve"> IF($W$226,1,0)</f>
        <v>0</v>
      </c>
      <c r="F226" s="14" t="s">
        <v>834</v>
      </c>
      <c r="G226" s="14">
        <v>0</v>
      </c>
      <c r="H226" s="14">
        <v>0</v>
      </c>
      <c r="I226" s="14">
        <v>0</v>
      </c>
      <c r="J226" s="14">
        <v>0</v>
      </c>
      <c r="K226" s="14">
        <v>0</v>
      </c>
      <c r="L226" s="14">
        <v>0</v>
      </c>
      <c r="M226" s="14">
        <v>0</v>
      </c>
      <c r="N226" s="14">
        <v>0</v>
      </c>
      <c r="O226" s="14">
        <v>0</v>
      </c>
      <c r="P226" s="14">
        <v>0</v>
      </c>
      <c r="Q226" s="15">
        <v>0</v>
      </c>
      <c r="R226" s="15">
        <v>0</v>
      </c>
      <c r="S226" s="15">
        <v>0</v>
      </c>
      <c r="T226" s="15">
        <v>0</v>
      </c>
      <c r="U226" s="15">
        <f>$G$226*$G$8+$H$226*$H$8+$I$226*$I$8+$J$226*$J$8+$K$226*$K$8+$L$226*$L$8+$M$226*$M$8+$N$226*$N$8+$O$226*$O$8+$P$226*$P$8</f>
        <v>0</v>
      </c>
      <c r="V226" s="15">
        <f>SUM($Q$226:$T$226)</f>
        <v>0</v>
      </c>
      <c r="W226" s="15">
        <f>$U$226+$V$226</f>
        <v>0</v>
      </c>
    </row>
    <row r="227" spans="1:23" x14ac:dyDescent="0.3">
      <c r="A227" s="10" t="s">
        <v>835</v>
      </c>
      <c r="B227" s="11" t="s">
        <v>836</v>
      </c>
      <c r="C227" s="11"/>
      <c r="D227" s="11" t="s">
        <v>837</v>
      </c>
      <c r="E227" s="11">
        <f xml:space="preserve"> IF($W$227,1,0)</f>
        <v>0</v>
      </c>
      <c r="F227" s="11" t="s">
        <v>838</v>
      </c>
      <c r="G227" s="11">
        <v>0</v>
      </c>
      <c r="H227" s="11">
        <v>0</v>
      </c>
      <c r="I227" s="11">
        <v>0</v>
      </c>
      <c r="J227" s="11">
        <v>0</v>
      </c>
      <c r="K227" s="11">
        <v>0</v>
      </c>
      <c r="L227" s="11">
        <v>0</v>
      </c>
      <c r="M227" s="11">
        <v>0</v>
      </c>
      <c r="N227" s="11">
        <v>0</v>
      </c>
      <c r="O227" s="11">
        <v>0</v>
      </c>
      <c r="P227" s="11">
        <v>0</v>
      </c>
      <c r="Q227" s="12">
        <v>0</v>
      </c>
      <c r="R227" s="12">
        <v>0</v>
      </c>
      <c r="S227" s="12">
        <v>0</v>
      </c>
      <c r="T227" s="12">
        <v>0</v>
      </c>
      <c r="U227" s="12">
        <f>$G$227*$G$8+$H$227*$H$8+$I$227*$I$8+$J$227*$J$8+$K$227*$K$8+$L$227*$L$8+$M$227*$M$8+$N$227*$N$8+$O$227*$O$8+$P$227*$P$8</f>
        <v>0</v>
      </c>
      <c r="V227" s="12">
        <f>SUM($Q$227:$T$227)</f>
        <v>0</v>
      </c>
      <c r="W227" s="12">
        <f>$U$227+$V$227</f>
        <v>0</v>
      </c>
    </row>
    <row r="228" spans="1:23" x14ac:dyDescent="0.3">
      <c r="A228" s="13" t="s">
        <v>839</v>
      </c>
      <c r="B228" s="14" t="s">
        <v>840</v>
      </c>
      <c r="C228" s="14"/>
      <c r="D228" s="14" t="s">
        <v>841</v>
      </c>
      <c r="E228" s="14">
        <f xml:space="preserve"> IF($W$228,1,0)</f>
        <v>0</v>
      </c>
      <c r="F228" s="14" t="s">
        <v>842</v>
      </c>
      <c r="G228" s="14">
        <v>0</v>
      </c>
      <c r="H228" s="14">
        <v>0</v>
      </c>
      <c r="I228" s="14">
        <v>0</v>
      </c>
      <c r="J228" s="14">
        <v>0</v>
      </c>
      <c r="K228" s="14">
        <v>0</v>
      </c>
      <c r="L228" s="14">
        <v>0</v>
      </c>
      <c r="M228" s="14">
        <v>0</v>
      </c>
      <c r="N228" s="14">
        <v>0</v>
      </c>
      <c r="O228" s="14">
        <v>0</v>
      </c>
      <c r="P228" s="14">
        <v>0</v>
      </c>
      <c r="Q228" s="15">
        <v>0</v>
      </c>
      <c r="R228" s="15">
        <v>0</v>
      </c>
      <c r="S228" s="15">
        <v>0</v>
      </c>
      <c r="T228" s="15">
        <v>0</v>
      </c>
      <c r="U228" s="15">
        <f>$G$228*$G$8+$H$228*$H$8+$I$228*$I$8+$J$228*$J$8+$K$228*$K$8+$L$228*$L$8+$M$228*$M$8+$N$228*$N$8+$O$228*$O$8+$P$228*$P$8</f>
        <v>0</v>
      </c>
      <c r="V228" s="15">
        <f>SUM($Q$228:$T$228)</f>
        <v>0</v>
      </c>
      <c r="W228" s="15">
        <f>$U$228+$V$228</f>
        <v>0</v>
      </c>
    </row>
    <row r="229" spans="1:23" x14ac:dyDescent="0.3">
      <c r="A229" s="10" t="s">
        <v>843</v>
      </c>
      <c r="B229" s="11" t="s">
        <v>844</v>
      </c>
      <c r="C229" s="11"/>
      <c r="D229" s="11" t="s">
        <v>845</v>
      </c>
      <c r="E229" s="11">
        <f xml:space="preserve"> IF($W$229,1,0)</f>
        <v>0</v>
      </c>
      <c r="F229" s="11" t="s">
        <v>846</v>
      </c>
      <c r="G229" s="11">
        <v>0</v>
      </c>
      <c r="H229" s="11">
        <v>0</v>
      </c>
      <c r="I229" s="11">
        <v>0</v>
      </c>
      <c r="J229" s="11">
        <v>0</v>
      </c>
      <c r="K229" s="11">
        <v>0</v>
      </c>
      <c r="L229" s="11">
        <v>0</v>
      </c>
      <c r="M229" s="11">
        <v>0</v>
      </c>
      <c r="N229" s="11">
        <v>0</v>
      </c>
      <c r="O229" s="11">
        <v>0</v>
      </c>
      <c r="P229" s="11">
        <v>0</v>
      </c>
      <c r="Q229" s="12">
        <v>0</v>
      </c>
      <c r="R229" s="12">
        <v>0</v>
      </c>
      <c r="S229" s="12">
        <v>0</v>
      </c>
      <c r="T229" s="12">
        <v>0</v>
      </c>
      <c r="U229" s="12">
        <f>$G$229*$G$8+$H$229*$H$8+$I$229*$I$8+$J$229*$J$8+$K$229*$K$8+$L$229*$L$8+$M$229*$M$8+$N$229*$N$8+$O$229*$O$8+$P$229*$P$8</f>
        <v>0</v>
      </c>
      <c r="V229" s="12">
        <f>SUM($Q$229:$T$229)</f>
        <v>0</v>
      </c>
      <c r="W229" s="12">
        <f>$U$229+$V$229</f>
        <v>0</v>
      </c>
    </row>
    <row r="230" spans="1:23" x14ac:dyDescent="0.3">
      <c r="A230" s="13" t="s">
        <v>847</v>
      </c>
      <c r="B230" s="14" t="s">
        <v>848</v>
      </c>
      <c r="C230" s="14" t="s">
        <v>202</v>
      </c>
      <c r="D230" s="14" t="s">
        <v>849</v>
      </c>
      <c r="E230" s="14">
        <f xml:space="preserve"> IF($W$230,1,0)</f>
        <v>0</v>
      </c>
      <c r="F230" s="14" t="s">
        <v>850</v>
      </c>
      <c r="G230" s="14">
        <v>0</v>
      </c>
      <c r="H230" s="14">
        <v>0</v>
      </c>
      <c r="I230" s="14">
        <v>0</v>
      </c>
      <c r="J230" s="14">
        <v>0</v>
      </c>
      <c r="K230" s="14">
        <v>0</v>
      </c>
      <c r="L230" s="14">
        <v>0</v>
      </c>
      <c r="M230" s="14">
        <v>0</v>
      </c>
      <c r="N230" s="14">
        <v>0</v>
      </c>
      <c r="O230" s="14">
        <v>0</v>
      </c>
      <c r="P230" s="14">
        <v>0</v>
      </c>
      <c r="Q230" s="15">
        <v>0</v>
      </c>
      <c r="R230" s="15">
        <v>0</v>
      </c>
      <c r="S230" s="15">
        <v>0</v>
      </c>
      <c r="T230" s="15">
        <v>0</v>
      </c>
      <c r="U230" s="15">
        <f>$G$230*$G$8+$H$230*$H$8+$I$230*$I$8+$J$230*$J$8+$K$230*$K$8+$L$230*$L$8+$M$230*$M$8+$N$230*$N$8+$O$230*$O$8+$P$230*$P$8</f>
        <v>0</v>
      </c>
      <c r="V230" s="15">
        <f>SUM($Q$230:$T$230)</f>
        <v>0</v>
      </c>
      <c r="W230" s="15">
        <f>$U$230+$V$230</f>
        <v>0</v>
      </c>
    </row>
    <row r="231" spans="1:23" x14ac:dyDescent="0.3">
      <c r="A231" s="10" t="s">
        <v>851</v>
      </c>
      <c r="B231" s="11" t="s">
        <v>852</v>
      </c>
      <c r="C231" s="11"/>
      <c r="D231" s="11" t="s">
        <v>853</v>
      </c>
      <c r="E231" s="11">
        <f xml:space="preserve"> IF($W$231,1,0)</f>
        <v>0</v>
      </c>
      <c r="F231" s="11" t="s">
        <v>854</v>
      </c>
      <c r="G231" s="11">
        <v>0</v>
      </c>
      <c r="H231" s="11">
        <v>0</v>
      </c>
      <c r="I231" s="11">
        <v>0</v>
      </c>
      <c r="J231" s="11">
        <v>0</v>
      </c>
      <c r="K231" s="11">
        <v>0</v>
      </c>
      <c r="L231" s="11">
        <v>0</v>
      </c>
      <c r="M231" s="11">
        <v>0</v>
      </c>
      <c r="N231" s="11">
        <v>0</v>
      </c>
      <c r="O231" s="11">
        <v>0</v>
      </c>
      <c r="P231" s="11">
        <v>0</v>
      </c>
      <c r="Q231" s="12">
        <v>0</v>
      </c>
      <c r="R231" s="12">
        <v>0</v>
      </c>
      <c r="S231" s="12">
        <v>0</v>
      </c>
      <c r="T231" s="12">
        <v>0</v>
      </c>
      <c r="U231" s="12">
        <f>$G$231*$G$8+$H$231*$H$8+$I$231*$I$8+$J$231*$J$8+$K$231*$K$8+$L$231*$L$8+$M$231*$M$8+$N$231*$N$8+$O$231*$O$8+$P$231*$P$8</f>
        <v>0</v>
      </c>
      <c r="V231" s="12">
        <f>SUM($Q$231:$T$231)</f>
        <v>0</v>
      </c>
      <c r="W231" s="12">
        <f>$U$231+$V$231</f>
        <v>0</v>
      </c>
    </row>
    <row r="232" spans="1:23" x14ac:dyDescent="0.3">
      <c r="A232" s="13" t="s">
        <v>855</v>
      </c>
      <c r="B232" s="14" t="s">
        <v>856</v>
      </c>
      <c r="C232" s="14"/>
      <c r="D232" s="14" t="s">
        <v>790</v>
      </c>
      <c r="E232" s="14">
        <f xml:space="preserve"> IF($W$232,1,0)</f>
        <v>0</v>
      </c>
      <c r="F232" s="14" t="s">
        <v>857</v>
      </c>
      <c r="G232" s="14">
        <v>0</v>
      </c>
      <c r="H232" s="14">
        <v>0</v>
      </c>
      <c r="I232" s="14">
        <v>0</v>
      </c>
      <c r="J232" s="14">
        <v>0</v>
      </c>
      <c r="K232" s="14">
        <v>0</v>
      </c>
      <c r="L232" s="14">
        <v>0</v>
      </c>
      <c r="M232" s="14">
        <v>0</v>
      </c>
      <c r="N232" s="14">
        <v>0</v>
      </c>
      <c r="O232" s="14">
        <v>0</v>
      </c>
      <c r="P232" s="14">
        <v>0</v>
      </c>
      <c r="Q232" s="15">
        <v>0</v>
      </c>
      <c r="R232" s="15">
        <v>0</v>
      </c>
      <c r="S232" s="15">
        <v>0</v>
      </c>
      <c r="T232" s="15">
        <v>0</v>
      </c>
      <c r="U232" s="15">
        <f>$G$232*$G$8+$H$232*$H$8+$I$232*$I$8+$J$232*$J$8+$K$232*$K$8+$L$232*$L$8+$M$232*$M$8+$N$232*$N$8+$O$232*$O$8+$P$232*$P$8</f>
        <v>0</v>
      </c>
      <c r="V232" s="15">
        <f>SUM($Q$232:$T$232)</f>
        <v>0</v>
      </c>
      <c r="W232" s="15">
        <f>$U$232+$V$232</f>
        <v>0</v>
      </c>
    </row>
    <row r="233" spans="1:23" x14ac:dyDescent="0.3">
      <c r="A233" s="10" t="s">
        <v>858</v>
      </c>
      <c r="B233" s="11" t="s">
        <v>859</v>
      </c>
      <c r="C233" s="11"/>
      <c r="D233" s="11" t="s">
        <v>860</v>
      </c>
      <c r="E233" s="11">
        <f xml:space="preserve"> IF($W$233,1,0)</f>
        <v>0</v>
      </c>
      <c r="F233" s="11" t="s">
        <v>861</v>
      </c>
      <c r="G233" s="11">
        <v>0</v>
      </c>
      <c r="H233" s="11">
        <v>0</v>
      </c>
      <c r="I233" s="11">
        <v>0</v>
      </c>
      <c r="J233" s="11">
        <v>0</v>
      </c>
      <c r="K233" s="11">
        <v>0</v>
      </c>
      <c r="L233" s="11">
        <v>0</v>
      </c>
      <c r="M233" s="11">
        <v>0</v>
      </c>
      <c r="N233" s="11">
        <v>0</v>
      </c>
      <c r="O233" s="11">
        <v>0</v>
      </c>
      <c r="P233" s="11">
        <v>0</v>
      </c>
      <c r="Q233" s="12">
        <v>0</v>
      </c>
      <c r="R233" s="12">
        <v>0</v>
      </c>
      <c r="S233" s="12">
        <v>0</v>
      </c>
      <c r="T233" s="12">
        <v>0</v>
      </c>
      <c r="U233" s="12">
        <f>$G$233*$G$8+$H$233*$H$8+$I$233*$I$8+$J$233*$J$8+$K$233*$K$8+$L$233*$L$8+$M$233*$M$8+$N$233*$N$8+$O$233*$O$8+$P$233*$P$8</f>
        <v>0</v>
      </c>
      <c r="V233" s="12">
        <f>SUM($Q$233:$T$233)</f>
        <v>0</v>
      </c>
      <c r="W233" s="12">
        <f>$U$233+$V$233</f>
        <v>0</v>
      </c>
    </row>
    <row r="234" spans="1:23" x14ac:dyDescent="0.3">
      <c r="A234" s="13" t="s">
        <v>862</v>
      </c>
      <c r="B234" s="14" t="s">
        <v>863</v>
      </c>
      <c r="C234" s="14"/>
      <c r="D234" s="14" t="s">
        <v>864</v>
      </c>
      <c r="E234" s="14">
        <f xml:space="preserve"> IF($W$234,1,0)</f>
        <v>0</v>
      </c>
      <c r="F234" s="14" t="s">
        <v>865</v>
      </c>
      <c r="G234" s="14">
        <v>0</v>
      </c>
      <c r="H234" s="14">
        <v>0</v>
      </c>
      <c r="I234" s="14">
        <v>0</v>
      </c>
      <c r="J234" s="14">
        <v>0</v>
      </c>
      <c r="K234" s="14">
        <v>0</v>
      </c>
      <c r="L234" s="14">
        <v>0</v>
      </c>
      <c r="M234" s="14">
        <v>0</v>
      </c>
      <c r="N234" s="14">
        <v>0</v>
      </c>
      <c r="O234" s="14">
        <v>0</v>
      </c>
      <c r="P234" s="14">
        <v>0</v>
      </c>
      <c r="Q234" s="15">
        <v>0</v>
      </c>
      <c r="R234" s="15">
        <v>0</v>
      </c>
      <c r="S234" s="15">
        <v>0</v>
      </c>
      <c r="T234" s="15">
        <v>0</v>
      </c>
      <c r="U234" s="15">
        <f>$G$234*$G$8+$H$234*$H$8+$I$234*$I$8+$J$234*$J$8+$K$234*$K$8+$L$234*$L$8+$M$234*$M$8+$N$234*$N$8+$O$234*$O$8+$P$234*$P$8</f>
        <v>0</v>
      </c>
      <c r="V234" s="15">
        <f>SUM($Q$234:$T$234)</f>
        <v>0</v>
      </c>
      <c r="W234" s="15">
        <f>$U$234+$V$234</f>
        <v>0</v>
      </c>
    </row>
    <row r="235" spans="1:23" x14ac:dyDescent="0.3">
      <c r="A235" s="10" t="s">
        <v>866</v>
      </c>
      <c r="B235" s="11" t="s">
        <v>867</v>
      </c>
      <c r="C235" s="11"/>
      <c r="D235" s="11" t="s">
        <v>868</v>
      </c>
      <c r="E235" s="11">
        <f xml:space="preserve"> IF($W$235,1,0)</f>
        <v>0</v>
      </c>
      <c r="F235" s="11" t="s">
        <v>869</v>
      </c>
      <c r="G235" s="11">
        <v>0</v>
      </c>
      <c r="H235" s="11">
        <v>0</v>
      </c>
      <c r="I235" s="11">
        <v>0</v>
      </c>
      <c r="J235" s="11">
        <v>0</v>
      </c>
      <c r="K235" s="11">
        <v>0</v>
      </c>
      <c r="L235" s="11">
        <v>0</v>
      </c>
      <c r="M235" s="11">
        <v>0</v>
      </c>
      <c r="N235" s="11">
        <v>0</v>
      </c>
      <c r="O235" s="11">
        <v>0</v>
      </c>
      <c r="P235" s="11">
        <v>0</v>
      </c>
      <c r="Q235" s="12">
        <v>0</v>
      </c>
      <c r="R235" s="12">
        <v>0</v>
      </c>
      <c r="S235" s="12">
        <v>0</v>
      </c>
      <c r="T235" s="12">
        <v>0</v>
      </c>
      <c r="U235" s="12">
        <f>$G$235*$G$8+$H$235*$H$8+$I$235*$I$8+$J$235*$J$8+$K$235*$K$8+$L$235*$L$8+$M$235*$M$8+$N$235*$N$8+$O$235*$O$8+$P$235*$P$8</f>
        <v>0</v>
      </c>
      <c r="V235" s="12">
        <f>SUM($Q$235:$T$235)</f>
        <v>0</v>
      </c>
      <c r="W235" s="12">
        <f>$U$235+$V$235</f>
        <v>0</v>
      </c>
    </row>
    <row r="236" spans="1:23" x14ac:dyDescent="0.3">
      <c r="A236" s="13" t="s">
        <v>870</v>
      </c>
      <c r="B236" s="14" t="s">
        <v>871</v>
      </c>
      <c r="C236" s="14" t="s">
        <v>243</v>
      </c>
      <c r="D236" s="14" t="s">
        <v>399</v>
      </c>
      <c r="E236" s="14">
        <f xml:space="preserve"> IF($W$236,1,0)</f>
        <v>0</v>
      </c>
      <c r="F236" s="14" t="s">
        <v>872</v>
      </c>
      <c r="G236" s="14">
        <v>0</v>
      </c>
      <c r="H236" s="14">
        <v>0</v>
      </c>
      <c r="I236" s="14">
        <v>0</v>
      </c>
      <c r="J236" s="14">
        <v>0</v>
      </c>
      <c r="K236" s="14">
        <v>0</v>
      </c>
      <c r="L236" s="14">
        <v>0</v>
      </c>
      <c r="M236" s="14">
        <v>0</v>
      </c>
      <c r="N236" s="14">
        <v>0</v>
      </c>
      <c r="O236" s="14">
        <v>0</v>
      </c>
      <c r="P236" s="14">
        <v>0</v>
      </c>
      <c r="Q236" s="15">
        <v>0</v>
      </c>
      <c r="R236" s="15">
        <v>0</v>
      </c>
      <c r="S236" s="15">
        <v>0</v>
      </c>
      <c r="T236" s="15">
        <v>0</v>
      </c>
      <c r="U236" s="15">
        <f>$G$236*$G$8+$H$236*$H$8+$I$236*$I$8+$J$236*$J$8+$K$236*$K$8+$L$236*$L$8+$M$236*$M$8+$N$236*$N$8+$O$236*$O$8+$P$236*$P$8</f>
        <v>0</v>
      </c>
      <c r="V236" s="15">
        <f>SUM($Q$236:$T$236)</f>
        <v>0</v>
      </c>
      <c r="W236" s="15">
        <f>$U$236+$V$236</f>
        <v>0</v>
      </c>
    </row>
    <row r="237" spans="1:23" x14ac:dyDescent="0.3">
      <c r="A237" s="10" t="s">
        <v>873</v>
      </c>
      <c r="B237" s="11" t="s">
        <v>874</v>
      </c>
      <c r="C237" s="11"/>
      <c r="D237" s="11" t="s">
        <v>875</v>
      </c>
      <c r="E237" s="11">
        <f xml:space="preserve"> IF($W$237,1,0)</f>
        <v>0</v>
      </c>
      <c r="F237" s="11" t="s">
        <v>876</v>
      </c>
      <c r="G237" s="11">
        <v>0</v>
      </c>
      <c r="H237" s="11">
        <v>0</v>
      </c>
      <c r="I237" s="11">
        <v>0</v>
      </c>
      <c r="J237" s="11">
        <v>0</v>
      </c>
      <c r="K237" s="11">
        <v>0</v>
      </c>
      <c r="L237" s="11">
        <v>0</v>
      </c>
      <c r="M237" s="11">
        <v>0</v>
      </c>
      <c r="N237" s="11">
        <v>0</v>
      </c>
      <c r="O237" s="11">
        <v>0</v>
      </c>
      <c r="P237" s="11">
        <v>0</v>
      </c>
      <c r="Q237" s="12">
        <v>0</v>
      </c>
      <c r="R237" s="12">
        <v>0</v>
      </c>
      <c r="S237" s="12">
        <v>0</v>
      </c>
      <c r="T237" s="12">
        <v>0</v>
      </c>
      <c r="U237" s="12">
        <f>$G$237*$G$8+$H$237*$H$8+$I$237*$I$8+$J$237*$J$8+$K$237*$K$8+$L$237*$L$8+$M$237*$M$8+$N$237*$N$8+$O$237*$O$8+$P$237*$P$8</f>
        <v>0</v>
      </c>
      <c r="V237" s="12">
        <f>SUM($Q$237:$T$237)</f>
        <v>0</v>
      </c>
      <c r="W237" s="12">
        <f>$U$237+$V$237</f>
        <v>0</v>
      </c>
    </row>
    <row r="238" spans="1:23" x14ac:dyDescent="0.3">
      <c r="A238" s="13" t="s">
        <v>877</v>
      </c>
      <c r="B238" s="14" t="s">
        <v>878</v>
      </c>
      <c r="C238" s="14"/>
      <c r="D238" s="14" t="s">
        <v>879</v>
      </c>
      <c r="E238" s="14">
        <f xml:space="preserve"> IF($W$238,1,0)</f>
        <v>0</v>
      </c>
      <c r="F238" s="14" t="s">
        <v>880</v>
      </c>
      <c r="G238" s="14">
        <v>0</v>
      </c>
      <c r="H238" s="14">
        <v>0</v>
      </c>
      <c r="I238" s="14">
        <v>0</v>
      </c>
      <c r="J238" s="14">
        <v>0</v>
      </c>
      <c r="K238" s="14">
        <v>0</v>
      </c>
      <c r="L238" s="14">
        <v>0</v>
      </c>
      <c r="M238" s="14">
        <v>0</v>
      </c>
      <c r="N238" s="14">
        <v>0</v>
      </c>
      <c r="O238" s="14">
        <v>0</v>
      </c>
      <c r="P238" s="14">
        <v>0</v>
      </c>
      <c r="Q238" s="15">
        <v>0</v>
      </c>
      <c r="R238" s="15">
        <v>0</v>
      </c>
      <c r="S238" s="15">
        <v>0</v>
      </c>
      <c r="T238" s="15">
        <v>0</v>
      </c>
      <c r="U238" s="15">
        <f>$G$238*$G$8+$H$238*$H$8+$I$238*$I$8+$J$238*$J$8+$K$238*$K$8+$L$238*$L$8+$M$238*$M$8+$N$238*$N$8+$O$238*$O$8+$P$238*$P$8</f>
        <v>0</v>
      </c>
      <c r="V238" s="15">
        <f>SUM($Q$238:$T$238)</f>
        <v>0</v>
      </c>
      <c r="W238" s="15">
        <f>$U$238+$V$238</f>
        <v>0</v>
      </c>
    </row>
    <row r="239" spans="1:23" x14ac:dyDescent="0.3">
      <c r="A239" s="10" t="s">
        <v>881</v>
      </c>
      <c r="B239" s="11" t="s">
        <v>882</v>
      </c>
      <c r="C239" s="11"/>
      <c r="D239" s="11" t="s">
        <v>883</v>
      </c>
      <c r="E239" s="11">
        <f xml:space="preserve"> IF($W$239,1,0)</f>
        <v>0</v>
      </c>
      <c r="F239" s="11" t="s">
        <v>884</v>
      </c>
      <c r="G239" s="11">
        <v>0</v>
      </c>
      <c r="H239" s="11">
        <v>0</v>
      </c>
      <c r="I239" s="11">
        <v>0</v>
      </c>
      <c r="J239" s="11">
        <v>0</v>
      </c>
      <c r="K239" s="11">
        <v>0</v>
      </c>
      <c r="L239" s="11">
        <v>0</v>
      </c>
      <c r="M239" s="11">
        <v>0</v>
      </c>
      <c r="N239" s="11">
        <v>0</v>
      </c>
      <c r="O239" s="11">
        <v>0</v>
      </c>
      <c r="P239" s="11">
        <v>0</v>
      </c>
      <c r="Q239" s="12">
        <v>0</v>
      </c>
      <c r="R239" s="12">
        <v>0</v>
      </c>
      <c r="S239" s="12">
        <v>0</v>
      </c>
      <c r="T239" s="12">
        <v>0</v>
      </c>
      <c r="U239" s="12">
        <f>$G$239*$G$8+$H$239*$H$8+$I$239*$I$8+$J$239*$J$8+$K$239*$K$8+$L$239*$L$8+$M$239*$M$8+$N$239*$N$8+$O$239*$O$8+$P$239*$P$8</f>
        <v>0</v>
      </c>
      <c r="V239" s="12">
        <f>SUM($Q$239:$T$239)</f>
        <v>0</v>
      </c>
      <c r="W239" s="12">
        <f>$U$239+$V$239</f>
        <v>0</v>
      </c>
    </row>
    <row r="240" spans="1:23" x14ac:dyDescent="0.3">
      <c r="A240" s="13" t="s">
        <v>885</v>
      </c>
      <c r="B240" s="14" t="s">
        <v>886</v>
      </c>
      <c r="C240" s="14" t="s">
        <v>887</v>
      </c>
      <c r="D240" s="14" t="s">
        <v>888</v>
      </c>
      <c r="E240" s="14">
        <f xml:space="preserve"> IF($W$240,1,0)</f>
        <v>0</v>
      </c>
      <c r="F240" s="14" t="s">
        <v>889</v>
      </c>
      <c r="G240" s="14">
        <v>0</v>
      </c>
      <c r="H240" s="14">
        <v>0</v>
      </c>
      <c r="I240" s="14">
        <v>0</v>
      </c>
      <c r="J240" s="14">
        <v>0</v>
      </c>
      <c r="K240" s="14">
        <v>0</v>
      </c>
      <c r="L240" s="14">
        <v>0</v>
      </c>
      <c r="M240" s="14">
        <v>0</v>
      </c>
      <c r="N240" s="14">
        <v>0</v>
      </c>
      <c r="O240" s="14">
        <v>0</v>
      </c>
      <c r="P240" s="14">
        <v>0</v>
      </c>
      <c r="Q240" s="15">
        <v>0</v>
      </c>
      <c r="R240" s="15">
        <v>0</v>
      </c>
      <c r="S240" s="15">
        <v>0</v>
      </c>
      <c r="T240" s="15">
        <v>0</v>
      </c>
      <c r="U240" s="15">
        <f>$G$240*$G$8+$H$240*$H$8+$I$240*$I$8+$J$240*$J$8+$K$240*$K$8+$L$240*$L$8+$M$240*$M$8+$N$240*$N$8+$O$240*$O$8+$P$240*$P$8</f>
        <v>0</v>
      </c>
      <c r="V240" s="15">
        <f>SUM($Q$240:$T$240)</f>
        <v>0</v>
      </c>
      <c r="W240" s="15">
        <f>$U$240+$V$240</f>
        <v>0</v>
      </c>
    </row>
    <row r="241" spans="1:23" x14ac:dyDescent="0.3">
      <c r="A241" s="10" t="s">
        <v>890</v>
      </c>
      <c r="B241" s="11" t="s">
        <v>886</v>
      </c>
      <c r="C241" s="11"/>
      <c r="D241" s="11" t="s">
        <v>891</v>
      </c>
      <c r="E241" s="11">
        <f xml:space="preserve"> IF($W$241,1,0)</f>
        <v>0</v>
      </c>
      <c r="F241" s="11" t="s">
        <v>892</v>
      </c>
      <c r="G241" s="11">
        <v>0</v>
      </c>
      <c r="H241" s="11">
        <v>0</v>
      </c>
      <c r="I241" s="11">
        <v>0</v>
      </c>
      <c r="J241" s="11">
        <v>0</v>
      </c>
      <c r="K241" s="11">
        <v>0</v>
      </c>
      <c r="L241" s="11">
        <v>0</v>
      </c>
      <c r="M241" s="11">
        <v>0</v>
      </c>
      <c r="N241" s="11">
        <v>0</v>
      </c>
      <c r="O241" s="11">
        <v>0</v>
      </c>
      <c r="P241" s="11">
        <v>0</v>
      </c>
      <c r="Q241" s="12">
        <v>0</v>
      </c>
      <c r="R241" s="12">
        <v>0</v>
      </c>
      <c r="S241" s="12">
        <v>0</v>
      </c>
      <c r="T241" s="12">
        <v>0</v>
      </c>
      <c r="U241" s="12">
        <f>$G$241*$G$8+$H$241*$H$8+$I$241*$I$8+$J$241*$J$8+$K$241*$K$8+$L$241*$L$8+$M$241*$M$8+$N$241*$N$8+$O$241*$O$8+$P$241*$P$8</f>
        <v>0</v>
      </c>
      <c r="V241" s="12">
        <f>SUM($Q$241:$T$241)</f>
        <v>0</v>
      </c>
      <c r="W241" s="12">
        <f>$U$241+$V$241</f>
        <v>0</v>
      </c>
    </row>
    <row r="242" spans="1:23" x14ac:dyDescent="0.3">
      <c r="A242" s="13" t="s">
        <v>893</v>
      </c>
      <c r="B242" s="14" t="s">
        <v>894</v>
      </c>
      <c r="C242" s="14"/>
      <c r="D242" s="14" t="s">
        <v>895</v>
      </c>
      <c r="E242" s="14">
        <f xml:space="preserve"> IF($W$242,1,0)</f>
        <v>0</v>
      </c>
      <c r="F242" s="14" t="s">
        <v>896</v>
      </c>
      <c r="G242" s="14">
        <v>0</v>
      </c>
      <c r="H242" s="14">
        <v>0</v>
      </c>
      <c r="I242" s="14">
        <v>0</v>
      </c>
      <c r="J242" s="14">
        <v>0</v>
      </c>
      <c r="K242" s="14">
        <v>0</v>
      </c>
      <c r="L242" s="14">
        <v>0</v>
      </c>
      <c r="M242" s="14">
        <v>0</v>
      </c>
      <c r="N242" s="14">
        <v>0</v>
      </c>
      <c r="O242" s="14">
        <v>0</v>
      </c>
      <c r="P242" s="14">
        <v>0</v>
      </c>
      <c r="Q242" s="15">
        <v>0</v>
      </c>
      <c r="R242" s="15">
        <v>0</v>
      </c>
      <c r="S242" s="15">
        <v>0</v>
      </c>
      <c r="T242" s="15">
        <v>0</v>
      </c>
      <c r="U242" s="15">
        <f>$G$242*$G$8+$H$242*$H$8+$I$242*$I$8+$J$242*$J$8+$K$242*$K$8+$L$242*$L$8+$M$242*$M$8+$N$242*$N$8+$O$242*$O$8+$P$242*$P$8</f>
        <v>0</v>
      </c>
      <c r="V242" s="15">
        <f>SUM($Q$242:$T$242)</f>
        <v>0</v>
      </c>
      <c r="W242" s="15">
        <f>$U$242+$V$242</f>
        <v>0</v>
      </c>
    </row>
    <row r="243" spans="1:23" x14ac:dyDescent="0.3">
      <c r="A243" s="10" t="s">
        <v>1290</v>
      </c>
      <c r="B243" s="11" t="s">
        <v>1291</v>
      </c>
      <c r="C243" s="11"/>
      <c r="D243" s="11" t="s">
        <v>1292</v>
      </c>
      <c r="E243" s="11">
        <f xml:space="preserve"> IF($W$243,1,0)</f>
        <v>0</v>
      </c>
      <c r="F243" s="11" t="s">
        <v>1293</v>
      </c>
      <c r="G243" s="11">
        <v>0</v>
      </c>
      <c r="H243" s="11">
        <v>0</v>
      </c>
      <c r="I243" s="11">
        <v>0</v>
      </c>
      <c r="J243" s="11">
        <v>0</v>
      </c>
      <c r="K243" s="11">
        <v>0</v>
      </c>
      <c r="L243" s="11">
        <v>0</v>
      </c>
      <c r="M243" s="11">
        <v>0</v>
      </c>
      <c r="N243" s="11">
        <v>0</v>
      </c>
      <c r="O243" s="11">
        <v>0</v>
      </c>
      <c r="P243" s="11">
        <v>0</v>
      </c>
      <c r="Q243" s="12">
        <v>0</v>
      </c>
      <c r="R243" s="12">
        <v>0</v>
      </c>
      <c r="S243" s="12">
        <v>0</v>
      </c>
      <c r="T243" s="12">
        <v>0</v>
      </c>
      <c r="U243" s="12">
        <f>$G$243*$G$8+$H$243*$H$8+$I$243*$I$8+$J$243*$J$8+$K$243*$K$8+$L$243*$L$8+$M$243*$M$8+$N$243*$N$8+$O$243*$O$8+$P$243*$P$8</f>
        <v>0</v>
      </c>
      <c r="V243" s="12">
        <f>SUM($Q$243:$T$243)</f>
        <v>0</v>
      </c>
      <c r="W243" s="12">
        <f>$U$243+$V$243</f>
        <v>0</v>
      </c>
    </row>
    <row r="244" spans="1:23" x14ac:dyDescent="0.3">
      <c r="A244" s="13" t="s">
        <v>897</v>
      </c>
      <c r="B244" s="14" t="s">
        <v>898</v>
      </c>
      <c r="C244" s="14"/>
      <c r="D244" s="14" t="s">
        <v>899</v>
      </c>
      <c r="E244" s="14">
        <f xml:space="preserve"> IF($W$244,1,0)</f>
        <v>0</v>
      </c>
      <c r="F244" s="14" t="s">
        <v>900</v>
      </c>
      <c r="G244" s="14">
        <v>0</v>
      </c>
      <c r="H244" s="14">
        <v>0</v>
      </c>
      <c r="I244" s="14">
        <v>0</v>
      </c>
      <c r="J244" s="14">
        <v>0</v>
      </c>
      <c r="K244" s="14">
        <v>0</v>
      </c>
      <c r="L244" s="14">
        <v>0</v>
      </c>
      <c r="M244" s="14">
        <v>0</v>
      </c>
      <c r="N244" s="14">
        <v>0</v>
      </c>
      <c r="O244" s="14">
        <v>0</v>
      </c>
      <c r="P244" s="14">
        <v>0</v>
      </c>
      <c r="Q244" s="15">
        <v>0</v>
      </c>
      <c r="R244" s="15">
        <v>0</v>
      </c>
      <c r="S244" s="15">
        <v>0</v>
      </c>
      <c r="T244" s="15">
        <v>0</v>
      </c>
      <c r="U244" s="15">
        <f>$G$244*$G$8+$H$244*$H$8+$I$244*$I$8+$J$244*$J$8+$K$244*$K$8+$L$244*$L$8+$M$244*$M$8+$N$244*$N$8+$O$244*$O$8+$P$244*$P$8</f>
        <v>0</v>
      </c>
      <c r="V244" s="15">
        <f>SUM($Q$244:$T$244)</f>
        <v>0</v>
      </c>
      <c r="W244" s="15">
        <f>$U$244+$V$244</f>
        <v>0</v>
      </c>
    </row>
    <row r="245" spans="1:23" x14ac:dyDescent="0.3">
      <c r="A245" s="10" t="s">
        <v>901</v>
      </c>
      <c r="B245" s="11" t="s">
        <v>902</v>
      </c>
      <c r="C245" s="11"/>
      <c r="D245" s="11" t="s">
        <v>903</v>
      </c>
      <c r="E245" s="11">
        <f xml:space="preserve"> IF($W$245,1,0)</f>
        <v>0</v>
      </c>
      <c r="F245" s="11" t="s">
        <v>904</v>
      </c>
      <c r="G245" s="11">
        <v>0</v>
      </c>
      <c r="H245" s="11">
        <v>0</v>
      </c>
      <c r="I245" s="11">
        <v>0</v>
      </c>
      <c r="J245" s="11">
        <v>0</v>
      </c>
      <c r="K245" s="11">
        <v>0</v>
      </c>
      <c r="L245" s="11">
        <v>0</v>
      </c>
      <c r="M245" s="11">
        <v>0</v>
      </c>
      <c r="N245" s="11">
        <v>0</v>
      </c>
      <c r="O245" s="11">
        <v>0</v>
      </c>
      <c r="P245" s="11">
        <v>0</v>
      </c>
      <c r="Q245" s="12">
        <v>0</v>
      </c>
      <c r="R245" s="12">
        <v>0</v>
      </c>
      <c r="S245" s="12">
        <v>0</v>
      </c>
      <c r="T245" s="12">
        <v>0</v>
      </c>
      <c r="U245" s="12">
        <f>$G$245*$G$8+$H$245*$H$8+$I$245*$I$8+$J$245*$J$8+$K$245*$K$8+$L$245*$L$8+$M$245*$M$8+$N$245*$N$8+$O$245*$O$8+$P$245*$P$8</f>
        <v>0</v>
      </c>
      <c r="V245" s="12">
        <f>SUM($Q$245:$T$245)</f>
        <v>0</v>
      </c>
      <c r="W245" s="12">
        <f>$U$245+$V$245</f>
        <v>0</v>
      </c>
    </row>
    <row r="246" spans="1:23" x14ac:dyDescent="0.3">
      <c r="A246" s="13" t="s">
        <v>905</v>
      </c>
      <c r="B246" s="14" t="s">
        <v>906</v>
      </c>
      <c r="C246" s="14" t="s">
        <v>283</v>
      </c>
      <c r="D246" s="14" t="s">
        <v>296</v>
      </c>
      <c r="E246" s="14">
        <f xml:space="preserve"> IF($W$246,1,0)</f>
        <v>0</v>
      </c>
      <c r="F246" s="14" t="s">
        <v>907</v>
      </c>
      <c r="G246" s="14">
        <v>0</v>
      </c>
      <c r="H246" s="14">
        <v>0</v>
      </c>
      <c r="I246" s="14">
        <v>0</v>
      </c>
      <c r="J246" s="14">
        <v>0</v>
      </c>
      <c r="K246" s="14">
        <v>0</v>
      </c>
      <c r="L246" s="14">
        <v>0</v>
      </c>
      <c r="M246" s="14">
        <v>0</v>
      </c>
      <c r="N246" s="14">
        <v>0</v>
      </c>
      <c r="O246" s="14">
        <v>0</v>
      </c>
      <c r="P246" s="14">
        <v>0</v>
      </c>
      <c r="Q246" s="15">
        <v>0</v>
      </c>
      <c r="R246" s="15">
        <v>0</v>
      </c>
      <c r="S246" s="15">
        <v>0</v>
      </c>
      <c r="T246" s="15">
        <v>0</v>
      </c>
      <c r="U246" s="15">
        <f>$G$246*$G$8+$H$246*$H$8+$I$246*$I$8+$J$246*$J$8+$K$246*$K$8+$L$246*$L$8+$M$246*$M$8+$N$246*$N$8+$O$246*$O$8+$P$246*$P$8</f>
        <v>0</v>
      </c>
      <c r="V246" s="15">
        <f>SUM($Q$246:$T$246)</f>
        <v>0</v>
      </c>
      <c r="W246" s="15">
        <f>$U$246+$V$246</f>
        <v>0</v>
      </c>
    </row>
    <row r="247" spans="1:23" x14ac:dyDescent="0.3">
      <c r="A247" s="10" t="s">
        <v>908</v>
      </c>
      <c r="B247" s="11" t="s">
        <v>909</v>
      </c>
      <c r="C247" s="11"/>
      <c r="D247" s="11" t="s">
        <v>910</v>
      </c>
      <c r="E247" s="11">
        <f xml:space="preserve"> IF($W$247,1,0)</f>
        <v>0</v>
      </c>
      <c r="F247" s="11" t="s">
        <v>911</v>
      </c>
      <c r="G247" s="11">
        <v>0</v>
      </c>
      <c r="H247" s="11">
        <v>0</v>
      </c>
      <c r="I247" s="11">
        <v>0</v>
      </c>
      <c r="J247" s="11">
        <v>0</v>
      </c>
      <c r="K247" s="11">
        <v>0</v>
      </c>
      <c r="L247" s="11">
        <v>0</v>
      </c>
      <c r="M247" s="11">
        <v>0</v>
      </c>
      <c r="N247" s="11">
        <v>0</v>
      </c>
      <c r="O247" s="11">
        <v>0</v>
      </c>
      <c r="P247" s="11">
        <v>0</v>
      </c>
      <c r="Q247" s="12">
        <v>0</v>
      </c>
      <c r="R247" s="12">
        <v>0</v>
      </c>
      <c r="S247" s="12">
        <v>0</v>
      </c>
      <c r="T247" s="12">
        <v>0</v>
      </c>
      <c r="U247" s="12">
        <f>$G$247*$G$8+$H$247*$H$8+$I$247*$I$8+$J$247*$J$8+$K$247*$K$8+$L$247*$L$8+$M$247*$M$8+$N$247*$N$8+$O$247*$O$8+$P$247*$P$8</f>
        <v>0</v>
      </c>
      <c r="V247" s="12">
        <f>SUM($Q$247:$T$247)</f>
        <v>0</v>
      </c>
      <c r="W247" s="12">
        <f>$U$247+$V$247</f>
        <v>0</v>
      </c>
    </row>
    <row r="248" spans="1:23" x14ac:dyDescent="0.3">
      <c r="A248" s="13" t="s">
        <v>912</v>
      </c>
      <c r="B248" s="14" t="s">
        <v>913</v>
      </c>
      <c r="C248" s="14" t="s">
        <v>65</v>
      </c>
      <c r="D248" s="14" t="s">
        <v>914</v>
      </c>
      <c r="E248" s="14">
        <f xml:space="preserve"> IF($W$248,1,0)</f>
        <v>0</v>
      </c>
      <c r="F248" s="14" t="s">
        <v>915</v>
      </c>
      <c r="G248" s="14">
        <v>0</v>
      </c>
      <c r="H248" s="14">
        <v>0</v>
      </c>
      <c r="I248" s="14">
        <v>0</v>
      </c>
      <c r="J248" s="14">
        <v>0</v>
      </c>
      <c r="K248" s="14">
        <v>0</v>
      </c>
      <c r="L248" s="14">
        <v>0</v>
      </c>
      <c r="M248" s="14">
        <v>0</v>
      </c>
      <c r="N248" s="14">
        <v>0</v>
      </c>
      <c r="O248" s="14">
        <v>0</v>
      </c>
      <c r="P248" s="14">
        <v>0</v>
      </c>
      <c r="Q248" s="15">
        <v>0</v>
      </c>
      <c r="R248" s="15">
        <v>0</v>
      </c>
      <c r="S248" s="15">
        <v>0</v>
      </c>
      <c r="T248" s="15">
        <v>0</v>
      </c>
      <c r="U248" s="15">
        <f>$G$248*$G$8+$H$248*$H$8+$I$248*$I$8+$J$248*$J$8+$K$248*$K$8+$L$248*$L$8+$M$248*$M$8+$N$248*$N$8+$O$248*$O$8+$P$248*$P$8</f>
        <v>0</v>
      </c>
      <c r="V248" s="15">
        <f>SUM($Q$248:$T$248)</f>
        <v>0</v>
      </c>
      <c r="W248" s="15">
        <f>$U$248+$V$248</f>
        <v>0</v>
      </c>
    </row>
    <row r="249" spans="1:23" x14ac:dyDescent="0.3">
      <c r="A249" s="10" t="s">
        <v>916</v>
      </c>
      <c r="B249" s="11" t="s">
        <v>917</v>
      </c>
      <c r="C249" s="11"/>
      <c r="D249" s="11" t="s">
        <v>918</v>
      </c>
      <c r="E249" s="11">
        <f xml:space="preserve"> IF($W$249,1,0)</f>
        <v>0</v>
      </c>
      <c r="F249" s="11" t="s">
        <v>919</v>
      </c>
      <c r="G249" s="11">
        <v>0</v>
      </c>
      <c r="H249" s="11">
        <v>0</v>
      </c>
      <c r="I249" s="11">
        <v>0</v>
      </c>
      <c r="J249" s="11">
        <v>0</v>
      </c>
      <c r="K249" s="11">
        <v>0</v>
      </c>
      <c r="L249" s="11">
        <v>0</v>
      </c>
      <c r="M249" s="11">
        <v>0</v>
      </c>
      <c r="N249" s="11">
        <v>0</v>
      </c>
      <c r="O249" s="11">
        <v>0</v>
      </c>
      <c r="P249" s="11">
        <v>0</v>
      </c>
      <c r="Q249" s="12">
        <v>0</v>
      </c>
      <c r="R249" s="12">
        <v>0</v>
      </c>
      <c r="S249" s="12">
        <v>0</v>
      </c>
      <c r="T249" s="12">
        <v>0</v>
      </c>
      <c r="U249" s="12">
        <f>$G$249*$G$8+$H$249*$H$8+$I$249*$I$8+$J$249*$J$8+$K$249*$K$8+$L$249*$L$8+$M$249*$M$8+$N$249*$N$8+$O$249*$O$8+$P$249*$P$8</f>
        <v>0</v>
      </c>
      <c r="V249" s="12">
        <f>SUM($Q$249:$T$249)</f>
        <v>0</v>
      </c>
      <c r="W249" s="12">
        <f>$U$249+$V$249</f>
        <v>0</v>
      </c>
    </row>
    <row r="250" spans="1:23" x14ac:dyDescent="0.3">
      <c r="A250" s="13" t="s">
        <v>920</v>
      </c>
      <c r="B250" s="14" t="s">
        <v>917</v>
      </c>
      <c r="C250" s="14"/>
      <c r="D250" s="14" t="s">
        <v>921</v>
      </c>
      <c r="E250" s="14">
        <f xml:space="preserve"> IF($W$250,1,0)</f>
        <v>0</v>
      </c>
      <c r="F250" s="14" t="s">
        <v>922</v>
      </c>
      <c r="G250" s="14">
        <v>0</v>
      </c>
      <c r="H250" s="14">
        <v>0</v>
      </c>
      <c r="I250" s="14">
        <v>0</v>
      </c>
      <c r="J250" s="14">
        <v>0</v>
      </c>
      <c r="K250" s="14">
        <v>0</v>
      </c>
      <c r="L250" s="14">
        <v>0</v>
      </c>
      <c r="M250" s="14">
        <v>0</v>
      </c>
      <c r="N250" s="14">
        <v>0</v>
      </c>
      <c r="O250" s="14">
        <v>0</v>
      </c>
      <c r="P250" s="14">
        <v>0</v>
      </c>
      <c r="Q250" s="15">
        <v>0</v>
      </c>
      <c r="R250" s="15">
        <v>0</v>
      </c>
      <c r="S250" s="15">
        <v>0</v>
      </c>
      <c r="T250" s="15">
        <v>0</v>
      </c>
      <c r="U250" s="15">
        <f>$G$250*$G$8+$H$250*$H$8+$I$250*$I$8+$J$250*$J$8+$K$250*$K$8+$L$250*$L$8+$M$250*$M$8+$N$250*$N$8+$O$250*$O$8+$P$250*$P$8</f>
        <v>0</v>
      </c>
      <c r="V250" s="15">
        <f>SUM($Q$250:$T$250)</f>
        <v>0</v>
      </c>
      <c r="W250" s="15">
        <f>$U$250+$V$250</f>
        <v>0</v>
      </c>
    </row>
    <row r="251" spans="1:23" x14ac:dyDescent="0.3">
      <c r="A251" s="10" t="s">
        <v>923</v>
      </c>
      <c r="B251" s="11" t="s">
        <v>917</v>
      </c>
      <c r="C251" s="11" t="s">
        <v>34</v>
      </c>
      <c r="D251" s="11" t="s">
        <v>924</v>
      </c>
      <c r="E251" s="11">
        <f xml:space="preserve"> IF($W$251,1,0)</f>
        <v>0</v>
      </c>
      <c r="F251" s="11" t="s">
        <v>925</v>
      </c>
      <c r="G251" s="11">
        <v>0</v>
      </c>
      <c r="H251" s="11">
        <v>0</v>
      </c>
      <c r="I251" s="11">
        <v>0</v>
      </c>
      <c r="J251" s="11">
        <v>0</v>
      </c>
      <c r="K251" s="11">
        <v>0</v>
      </c>
      <c r="L251" s="11">
        <v>0</v>
      </c>
      <c r="M251" s="11">
        <v>0</v>
      </c>
      <c r="N251" s="11">
        <v>0</v>
      </c>
      <c r="O251" s="11">
        <v>0</v>
      </c>
      <c r="P251" s="11">
        <v>0</v>
      </c>
      <c r="Q251" s="12">
        <v>0</v>
      </c>
      <c r="R251" s="12">
        <v>0</v>
      </c>
      <c r="S251" s="12">
        <v>0</v>
      </c>
      <c r="T251" s="12">
        <v>0</v>
      </c>
      <c r="U251" s="12">
        <f>$G$251*$G$8+$H$251*$H$8+$I$251*$I$8+$J$251*$J$8+$K$251*$K$8+$L$251*$L$8+$M$251*$M$8+$N$251*$N$8+$O$251*$O$8+$P$251*$P$8</f>
        <v>0</v>
      </c>
      <c r="V251" s="12">
        <f>SUM($Q$251:$T$251)</f>
        <v>0</v>
      </c>
      <c r="W251" s="12">
        <f>$U$251+$V$251</f>
        <v>0</v>
      </c>
    </row>
    <row r="252" spans="1:23" x14ac:dyDescent="0.3">
      <c r="A252" s="13" t="s">
        <v>926</v>
      </c>
      <c r="B252" s="14" t="s">
        <v>927</v>
      </c>
      <c r="C252" s="14"/>
      <c r="D252" s="14" t="s">
        <v>928</v>
      </c>
      <c r="E252" s="14">
        <f xml:space="preserve"> IF($W$252,1,0)</f>
        <v>0</v>
      </c>
      <c r="F252" s="14" t="s">
        <v>929</v>
      </c>
      <c r="G252" s="14">
        <v>0</v>
      </c>
      <c r="H252" s="14">
        <v>0</v>
      </c>
      <c r="I252" s="14">
        <v>0</v>
      </c>
      <c r="J252" s="14">
        <v>0</v>
      </c>
      <c r="K252" s="14">
        <v>0</v>
      </c>
      <c r="L252" s="14">
        <v>0</v>
      </c>
      <c r="M252" s="14">
        <v>0</v>
      </c>
      <c r="N252" s="14">
        <v>0</v>
      </c>
      <c r="O252" s="14">
        <v>0</v>
      </c>
      <c r="P252" s="14">
        <v>0</v>
      </c>
      <c r="Q252" s="15">
        <v>0</v>
      </c>
      <c r="R252" s="15">
        <v>0</v>
      </c>
      <c r="S252" s="15">
        <v>0</v>
      </c>
      <c r="T252" s="15">
        <v>0</v>
      </c>
      <c r="U252" s="15">
        <f>$G$252*$G$8+$H$252*$H$8+$I$252*$I$8+$J$252*$J$8+$K$252*$K$8+$L$252*$L$8+$M$252*$M$8+$N$252*$N$8+$O$252*$O$8+$P$252*$P$8</f>
        <v>0</v>
      </c>
      <c r="V252" s="15">
        <f>SUM($Q$252:$T$252)</f>
        <v>0</v>
      </c>
      <c r="W252" s="15">
        <f>$U$252+$V$252</f>
        <v>0</v>
      </c>
    </row>
    <row r="253" spans="1:23" x14ac:dyDescent="0.3">
      <c r="A253" s="10" t="s">
        <v>930</v>
      </c>
      <c r="B253" s="11" t="s">
        <v>931</v>
      </c>
      <c r="C253" s="11"/>
      <c r="D253" s="11" t="s">
        <v>932</v>
      </c>
      <c r="E253" s="11">
        <f xml:space="preserve"> IF($W$253,1,0)</f>
        <v>0</v>
      </c>
      <c r="F253" s="11" t="s">
        <v>933</v>
      </c>
      <c r="G253" s="11">
        <v>0</v>
      </c>
      <c r="H253" s="11">
        <v>0</v>
      </c>
      <c r="I253" s="11">
        <v>0</v>
      </c>
      <c r="J253" s="11">
        <v>0</v>
      </c>
      <c r="K253" s="11">
        <v>0</v>
      </c>
      <c r="L253" s="11">
        <v>0</v>
      </c>
      <c r="M253" s="11">
        <v>0</v>
      </c>
      <c r="N253" s="11">
        <v>0</v>
      </c>
      <c r="O253" s="11">
        <v>0</v>
      </c>
      <c r="P253" s="11">
        <v>0</v>
      </c>
      <c r="Q253" s="12">
        <v>0</v>
      </c>
      <c r="R253" s="12">
        <v>0</v>
      </c>
      <c r="S253" s="12">
        <v>0</v>
      </c>
      <c r="T253" s="12">
        <v>0</v>
      </c>
      <c r="U253" s="12">
        <f>$G$253*$G$8+$H$253*$H$8+$I$253*$I$8+$J$253*$J$8+$K$253*$K$8+$L$253*$L$8+$M$253*$M$8+$N$253*$N$8+$O$253*$O$8+$P$253*$P$8</f>
        <v>0</v>
      </c>
      <c r="V253" s="12">
        <f>SUM($Q$253:$T$253)</f>
        <v>0</v>
      </c>
      <c r="W253" s="12">
        <f>$U$253+$V$253</f>
        <v>0</v>
      </c>
    </row>
    <row r="254" spans="1:23" x14ac:dyDescent="0.3">
      <c r="A254" s="13" t="s">
        <v>934</v>
      </c>
      <c r="B254" s="14" t="s">
        <v>935</v>
      </c>
      <c r="C254" s="14"/>
      <c r="D254" s="14" t="s">
        <v>936</v>
      </c>
      <c r="E254" s="14">
        <f xml:space="preserve"> IF($W$254,1,0)</f>
        <v>0</v>
      </c>
      <c r="F254" s="14" t="s">
        <v>937</v>
      </c>
      <c r="G254" s="14">
        <v>0</v>
      </c>
      <c r="H254" s="14">
        <v>0</v>
      </c>
      <c r="I254" s="14">
        <v>0</v>
      </c>
      <c r="J254" s="14">
        <v>0</v>
      </c>
      <c r="K254" s="14">
        <v>0</v>
      </c>
      <c r="L254" s="14">
        <v>0</v>
      </c>
      <c r="M254" s="14">
        <v>0</v>
      </c>
      <c r="N254" s="14">
        <v>0</v>
      </c>
      <c r="O254" s="14">
        <v>0</v>
      </c>
      <c r="P254" s="14">
        <v>0</v>
      </c>
      <c r="Q254" s="15">
        <v>0</v>
      </c>
      <c r="R254" s="15">
        <v>0</v>
      </c>
      <c r="S254" s="15">
        <v>0</v>
      </c>
      <c r="T254" s="15">
        <v>0</v>
      </c>
      <c r="U254" s="15">
        <f>$G$254*$G$8+$H$254*$H$8+$I$254*$I$8+$J$254*$J$8+$K$254*$K$8+$L$254*$L$8+$M$254*$M$8+$N$254*$N$8+$O$254*$O$8+$P$254*$P$8</f>
        <v>0</v>
      </c>
      <c r="V254" s="15">
        <f>SUM($Q$254:$T$254)</f>
        <v>0</v>
      </c>
      <c r="W254" s="15">
        <f>$U$254+$V$254</f>
        <v>0</v>
      </c>
    </row>
    <row r="255" spans="1:23" x14ac:dyDescent="0.3">
      <c r="A255" s="10" t="s">
        <v>938</v>
      </c>
      <c r="B255" s="11" t="s">
        <v>939</v>
      </c>
      <c r="C255" s="11"/>
      <c r="D255" s="11" t="s">
        <v>940</v>
      </c>
      <c r="E255" s="11">
        <f xml:space="preserve"> IF($W$255,1,0)</f>
        <v>0</v>
      </c>
      <c r="F255" s="11" t="s">
        <v>941</v>
      </c>
      <c r="G255" s="11">
        <v>0</v>
      </c>
      <c r="H255" s="11">
        <v>0</v>
      </c>
      <c r="I255" s="11">
        <v>0</v>
      </c>
      <c r="J255" s="11">
        <v>0</v>
      </c>
      <c r="K255" s="11">
        <v>0</v>
      </c>
      <c r="L255" s="11">
        <v>0</v>
      </c>
      <c r="M255" s="11">
        <v>0</v>
      </c>
      <c r="N255" s="11">
        <v>0</v>
      </c>
      <c r="O255" s="11">
        <v>0</v>
      </c>
      <c r="P255" s="11">
        <v>0</v>
      </c>
      <c r="Q255" s="12">
        <v>0</v>
      </c>
      <c r="R255" s="12">
        <v>0</v>
      </c>
      <c r="S255" s="12">
        <v>0</v>
      </c>
      <c r="T255" s="12">
        <v>0</v>
      </c>
      <c r="U255" s="12">
        <f>$G$255*$G$8+$H$255*$H$8+$I$255*$I$8+$J$255*$J$8+$K$255*$K$8+$L$255*$L$8+$M$255*$M$8+$N$255*$N$8+$O$255*$O$8+$P$255*$P$8</f>
        <v>0</v>
      </c>
      <c r="V255" s="12">
        <f>SUM($Q$255:$T$255)</f>
        <v>0</v>
      </c>
      <c r="W255" s="12">
        <f>$U$255+$V$255</f>
        <v>0</v>
      </c>
    </row>
    <row r="256" spans="1:23" x14ac:dyDescent="0.3">
      <c r="A256" s="13" t="s">
        <v>942</v>
      </c>
      <c r="B256" s="14" t="s">
        <v>943</v>
      </c>
      <c r="C256" s="14"/>
      <c r="D256" s="14" t="s">
        <v>944</v>
      </c>
      <c r="E256" s="14">
        <f xml:space="preserve"> IF($W$256,1,0)</f>
        <v>0</v>
      </c>
      <c r="F256" s="14" t="s">
        <v>945</v>
      </c>
      <c r="G256" s="14">
        <v>0</v>
      </c>
      <c r="H256" s="14">
        <v>0</v>
      </c>
      <c r="I256" s="14">
        <v>0</v>
      </c>
      <c r="J256" s="14">
        <v>0</v>
      </c>
      <c r="K256" s="14">
        <v>0</v>
      </c>
      <c r="L256" s="14">
        <v>0</v>
      </c>
      <c r="M256" s="14">
        <v>0</v>
      </c>
      <c r="N256" s="14">
        <v>0</v>
      </c>
      <c r="O256" s="14">
        <v>0</v>
      </c>
      <c r="P256" s="14">
        <v>0</v>
      </c>
      <c r="Q256" s="15">
        <v>0</v>
      </c>
      <c r="R256" s="15">
        <v>0</v>
      </c>
      <c r="S256" s="15">
        <v>0</v>
      </c>
      <c r="T256" s="15">
        <v>0</v>
      </c>
      <c r="U256" s="15">
        <f>$G$256*$G$8+$H$256*$H$8+$I$256*$I$8+$J$256*$J$8+$K$256*$K$8+$L$256*$L$8+$M$256*$M$8+$N$256*$N$8+$O$256*$O$8+$P$256*$P$8</f>
        <v>0</v>
      </c>
      <c r="V256" s="15">
        <f>SUM($Q$256:$T$256)</f>
        <v>0</v>
      </c>
      <c r="W256" s="15">
        <f>$U$256+$V$256</f>
        <v>0</v>
      </c>
    </row>
    <row r="257" spans="1:23" x14ac:dyDescent="0.3">
      <c r="A257" s="10" t="s">
        <v>946</v>
      </c>
      <c r="B257" s="11" t="s">
        <v>947</v>
      </c>
      <c r="C257" s="11"/>
      <c r="D257" s="11" t="s">
        <v>948</v>
      </c>
      <c r="E257" s="11">
        <f xml:space="preserve"> IF($W$257,1,0)</f>
        <v>0</v>
      </c>
      <c r="F257" s="11" t="s">
        <v>949</v>
      </c>
      <c r="G257" s="11">
        <v>0</v>
      </c>
      <c r="H257" s="11">
        <v>0</v>
      </c>
      <c r="I257" s="11">
        <v>0</v>
      </c>
      <c r="J257" s="11">
        <v>0</v>
      </c>
      <c r="K257" s="11">
        <v>0</v>
      </c>
      <c r="L257" s="11">
        <v>0</v>
      </c>
      <c r="M257" s="11">
        <v>0</v>
      </c>
      <c r="N257" s="11">
        <v>0</v>
      </c>
      <c r="O257" s="11">
        <v>0</v>
      </c>
      <c r="P257" s="11">
        <v>0</v>
      </c>
      <c r="Q257" s="12">
        <v>0</v>
      </c>
      <c r="R257" s="12">
        <v>0</v>
      </c>
      <c r="S257" s="12">
        <v>0</v>
      </c>
      <c r="T257" s="12">
        <v>0</v>
      </c>
      <c r="U257" s="12">
        <f>$G$257*$G$8+$H$257*$H$8+$I$257*$I$8+$J$257*$J$8+$K$257*$K$8+$L$257*$L$8+$M$257*$M$8+$N$257*$N$8+$O$257*$O$8+$P$257*$P$8</f>
        <v>0</v>
      </c>
      <c r="V257" s="12">
        <f>SUM($Q$257:$T$257)</f>
        <v>0</v>
      </c>
      <c r="W257" s="12">
        <f>$U$257+$V$257</f>
        <v>0</v>
      </c>
    </row>
    <row r="258" spans="1:23" x14ac:dyDescent="0.3">
      <c r="A258" s="13" t="s">
        <v>950</v>
      </c>
      <c r="B258" s="14" t="s">
        <v>951</v>
      </c>
      <c r="C258" s="14" t="s">
        <v>34</v>
      </c>
      <c r="D258" s="14" t="s">
        <v>118</v>
      </c>
      <c r="E258" s="14">
        <f xml:space="preserve"> IF($W$258,1,0)</f>
        <v>0</v>
      </c>
      <c r="F258" s="14" t="s">
        <v>952</v>
      </c>
      <c r="G258" s="14">
        <v>0</v>
      </c>
      <c r="H258" s="14">
        <v>0</v>
      </c>
      <c r="I258" s="14">
        <v>0</v>
      </c>
      <c r="J258" s="14">
        <v>0</v>
      </c>
      <c r="K258" s="14">
        <v>0</v>
      </c>
      <c r="L258" s="14">
        <v>0</v>
      </c>
      <c r="M258" s="14">
        <v>0</v>
      </c>
      <c r="N258" s="14">
        <v>0</v>
      </c>
      <c r="O258" s="14">
        <v>0</v>
      </c>
      <c r="P258" s="14">
        <v>0</v>
      </c>
      <c r="Q258" s="15">
        <v>0</v>
      </c>
      <c r="R258" s="15">
        <v>0</v>
      </c>
      <c r="S258" s="15">
        <v>0</v>
      </c>
      <c r="T258" s="15">
        <v>0</v>
      </c>
      <c r="U258" s="15">
        <f>$G$258*$G$8+$H$258*$H$8+$I$258*$I$8+$J$258*$J$8+$K$258*$K$8+$L$258*$L$8+$M$258*$M$8+$N$258*$N$8+$O$258*$O$8+$P$258*$P$8</f>
        <v>0</v>
      </c>
      <c r="V258" s="15">
        <f>SUM($Q$258:$T$258)</f>
        <v>0</v>
      </c>
      <c r="W258" s="15">
        <f>$U$258+$V$258</f>
        <v>0</v>
      </c>
    </row>
    <row r="259" spans="1:23" x14ac:dyDescent="0.3">
      <c r="A259" s="10" t="s">
        <v>953</v>
      </c>
      <c r="B259" s="11" t="s">
        <v>954</v>
      </c>
      <c r="C259" s="11"/>
      <c r="D259" s="11" t="s">
        <v>955</v>
      </c>
      <c r="E259" s="11">
        <f xml:space="preserve"> IF($W$259,1,0)</f>
        <v>0</v>
      </c>
      <c r="F259" s="11" t="s">
        <v>956</v>
      </c>
      <c r="G259" s="11">
        <v>0</v>
      </c>
      <c r="H259" s="11">
        <v>0</v>
      </c>
      <c r="I259" s="11">
        <v>0</v>
      </c>
      <c r="J259" s="11">
        <v>0</v>
      </c>
      <c r="K259" s="11">
        <v>0</v>
      </c>
      <c r="L259" s="11">
        <v>0</v>
      </c>
      <c r="M259" s="11">
        <v>0</v>
      </c>
      <c r="N259" s="11">
        <v>0</v>
      </c>
      <c r="O259" s="11">
        <v>0</v>
      </c>
      <c r="P259" s="11">
        <v>0</v>
      </c>
      <c r="Q259" s="12">
        <v>0</v>
      </c>
      <c r="R259" s="12">
        <v>0</v>
      </c>
      <c r="S259" s="12">
        <v>0</v>
      </c>
      <c r="T259" s="12">
        <v>0</v>
      </c>
      <c r="U259" s="12">
        <f>$G$259*$G$8+$H$259*$H$8+$I$259*$I$8+$J$259*$J$8+$K$259*$K$8+$L$259*$L$8+$M$259*$M$8+$N$259*$N$8+$O$259*$O$8+$P$259*$P$8</f>
        <v>0</v>
      </c>
      <c r="V259" s="12">
        <f>SUM($Q$259:$T$259)</f>
        <v>0</v>
      </c>
      <c r="W259" s="12">
        <f>$U$259+$V$259</f>
        <v>0</v>
      </c>
    </row>
    <row r="260" spans="1:23" x14ac:dyDescent="0.3">
      <c r="A260" s="13" t="s">
        <v>957</v>
      </c>
      <c r="B260" s="14" t="s">
        <v>958</v>
      </c>
      <c r="C260" s="14" t="s">
        <v>65</v>
      </c>
      <c r="D260" s="14" t="s">
        <v>959</v>
      </c>
      <c r="E260" s="14">
        <f xml:space="preserve"> IF($W$260,1,0)</f>
        <v>0</v>
      </c>
      <c r="F260" s="14" t="s">
        <v>960</v>
      </c>
      <c r="G260" s="14">
        <v>0</v>
      </c>
      <c r="H260" s="14">
        <v>0</v>
      </c>
      <c r="I260" s="14">
        <v>0</v>
      </c>
      <c r="J260" s="14">
        <v>0</v>
      </c>
      <c r="K260" s="14">
        <v>0</v>
      </c>
      <c r="L260" s="14">
        <v>0</v>
      </c>
      <c r="M260" s="14">
        <v>0</v>
      </c>
      <c r="N260" s="14">
        <v>0</v>
      </c>
      <c r="O260" s="14">
        <v>0</v>
      </c>
      <c r="P260" s="14">
        <v>0</v>
      </c>
      <c r="Q260" s="15">
        <v>0</v>
      </c>
      <c r="R260" s="15">
        <v>0</v>
      </c>
      <c r="S260" s="15">
        <v>0</v>
      </c>
      <c r="T260" s="15">
        <v>0</v>
      </c>
      <c r="U260" s="15">
        <f>$G$260*$G$8+$H$260*$H$8+$I$260*$I$8+$J$260*$J$8+$K$260*$K$8+$L$260*$L$8+$M$260*$M$8+$N$260*$N$8+$O$260*$O$8+$P$260*$P$8</f>
        <v>0</v>
      </c>
      <c r="V260" s="15">
        <f>SUM($Q$260:$T$260)</f>
        <v>0</v>
      </c>
      <c r="W260" s="15">
        <f>$U$260+$V$260</f>
        <v>0</v>
      </c>
    </row>
    <row r="261" spans="1:23" x14ac:dyDescent="0.3">
      <c r="A261" s="10" t="s">
        <v>961</v>
      </c>
      <c r="B261" s="11" t="s">
        <v>962</v>
      </c>
      <c r="C261" s="11" t="s">
        <v>202</v>
      </c>
      <c r="D261" s="11" t="s">
        <v>963</v>
      </c>
      <c r="E261" s="11">
        <f xml:space="preserve"> IF($W$261,1,0)</f>
        <v>0</v>
      </c>
      <c r="F261" s="11" t="s">
        <v>964</v>
      </c>
      <c r="G261" s="11">
        <v>0</v>
      </c>
      <c r="H261" s="11">
        <v>0</v>
      </c>
      <c r="I261" s="11">
        <v>0</v>
      </c>
      <c r="J261" s="11">
        <v>0</v>
      </c>
      <c r="K261" s="11">
        <v>0</v>
      </c>
      <c r="L261" s="11">
        <v>0</v>
      </c>
      <c r="M261" s="11">
        <v>0</v>
      </c>
      <c r="N261" s="11">
        <v>0</v>
      </c>
      <c r="O261" s="11">
        <v>0</v>
      </c>
      <c r="P261" s="11">
        <v>0</v>
      </c>
      <c r="Q261" s="12">
        <v>0</v>
      </c>
      <c r="R261" s="12">
        <v>0</v>
      </c>
      <c r="S261" s="12">
        <v>0</v>
      </c>
      <c r="T261" s="12">
        <v>0</v>
      </c>
      <c r="U261" s="12">
        <f>$G$261*$G$8+$H$261*$H$8+$I$261*$I$8+$J$261*$J$8+$K$261*$K$8+$L$261*$L$8+$M$261*$M$8+$N$261*$N$8+$O$261*$O$8+$P$261*$P$8</f>
        <v>0</v>
      </c>
      <c r="V261" s="12">
        <f>SUM($Q$261:$T$261)</f>
        <v>0</v>
      </c>
      <c r="W261" s="12">
        <f>$U$261+$V$261</f>
        <v>0</v>
      </c>
    </row>
    <row r="262" spans="1:23" x14ac:dyDescent="0.3">
      <c r="A262" s="13" t="s">
        <v>965</v>
      </c>
      <c r="B262" s="14" t="s">
        <v>966</v>
      </c>
      <c r="C262" s="14"/>
      <c r="D262" s="14" t="s">
        <v>609</v>
      </c>
      <c r="E262" s="14">
        <f xml:space="preserve"> IF($W$262,1,0)</f>
        <v>0</v>
      </c>
      <c r="F262" s="14" t="s">
        <v>967</v>
      </c>
      <c r="G262" s="14">
        <v>0</v>
      </c>
      <c r="H262" s="14">
        <v>0</v>
      </c>
      <c r="I262" s="14">
        <v>0</v>
      </c>
      <c r="J262" s="14">
        <v>0</v>
      </c>
      <c r="K262" s="14">
        <v>0</v>
      </c>
      <c r="L262" s="14">
        <v>0</v>
      </c>
      <c r="M262" s="14">
        <v>0</v>
      </c>
      <c r="N262" s="14">
        <v>0</v>
      </c>
      <c r="O262" s="14">
        <v>0</v>
      </c>
      <c r="P262" s="14">
        <v>0</v>
      </c>
      <c r="Q262" s="15">
        <v>0</v>
      </c>
      <c r="R262" s="15">
        <v>0</v>
      </c>
      <c r="S262" s="15">
        <v>0</v>
      </c>
      <c r="T262" s="15">
        <v>0</v>
      </c>
      <c r="U262" s="15">
        <f>$G$262*$G$8+$H$262*$H$8+$I$262*$I$8+$J$262*$J$8+$K$262*$K$8+$L$262*$L$8+$M$262*$M$8+$N$262*$N$8+$O$262*$O$8+$P$262*$P$8</f>
        <v>0</v>
      </c>
      <c r="V262" s="15">
        <f>SUM($Q$262:$T$262)</f>
        <v>0</v>
      </c>
      <c r="W262" s="15">
        <f>$U$262+$V$262</f>
        <v>0</v>
      </c>
    </row>
    <row r="263" spans="1:23" x14ac:dyDescent="0.3">
      <c r="A263" s="10" t="s">
        <v>968</v>
      </c>
      <c r="B263" s="11" t="s">
        <v>969</v>
      </c>
      <c r="C263" s="11"/>
      <c r="D263" s="11" t="s">
        <v>970</v>
      </c>
      <c r="E263" s="11">
        <f xml:space="preserve"> IF($W$263,1,0)</f>
        <v>0</v>
      </c>
      <c r="F263" s="11" t="s">
        <v>971</v>
      </c>
      <c r="G263" s="11">
        <v>0</v>
      </c>
      <c r="H263" s="11">
        <v>0</v>
      </c>
      <c r="I263" s="11">
        <v>0</v>
      </c>
      <c r="J263" s="11">
        <v>0</v>
      </c>
      <c r="K263" s="11">
        <v>0</v>
      </c>
      <c r="L263" s="11">
        <v>0</v>
      </c>
      <c r="M263" s="11">
        <v>0</v>
      </c>
      <c r="N263" s="11">
        <v>0</v>
      </c>
      <c r="O263" s="11">
        <v>0</v>
      </c>
      <c r="P263" s="11">
        <v>0</v>
      </c>
      <c r="Q263" s="12">
        <v>0</v>
      </c>
      <c r="R263" s="12">
        <v>0</v>
      </c>
      <c r="S263" s="12">
        <v>0</v>
      </c>
      <c r="T263" s="12">
        <v>0</v>
      </c>
      <c r="U263" s="12">
        <f>$G$263*$G$8+$H$263*$H$8+$I$263*$I$8+$J$263*$J$8+$K$263*$K$8+$L$263*$L$8+$M$263*$M$8+$N$263*$N$8+$O$263*$O$8+$P$263*$P$8</f>
        <v>0</v>
      </c>
      <c r="V263" s="12">
        <f>SUM($Q$263:$T$263)</f>
        <v>0</v>
      </c>
      <c r="W263" s="12">
        <f>$U$263+$V$263</f>
        <v>0</v>
      </c>
    </row>
    <row r="264" spans="1:23" x14ac:dyDescent="0.3">
      <c r="A264" s="13" t="s">
        <v>972</v>
      </c>
      <c r="B264" s="14" t="s">
        <v>973</v>
      </c>
      <c r="C264" s="14"/>
      <c r="D264" s="14" t="s">
        <v>974</v>
      </c>
      <c r="E264" s="14">
        <f xml:space="preserve"> IF($W$264,1,0)</f>
        <v>0</v>
      </c>
      <c r="F264" s="14" t="s">
        <v>975</v>
      </c>
      <c r="G264" s="14">
        <v>0</v>
      </c>
      <c r="H264" s="14">
        <v>0</v>
      </c>
      <c r="I264" s="14">
        <v>0</v>
      </c>
      <c r="J264" s="14">
        <v>0</v>
      </c>
      <c r="K264" s="14">
        <v>0</v>
      </c>
      <c r="L264" s="14">
        <v>0</v>
      </c>
      <c r="M264" s="14">
        <v>0</v>
      </c>
      <c r="N264" s="14">
        <v>0</v>
      </c>
      <c r="O264" s="14">
        <v>0</v>
      </c>
      <c r="P264" s="14">
        <v>0</v>
      </c>
      <c r="Q264" s="15">
        <v>0</v>
      </c>
      <c r="R264" s="15">
        <v>0</v>
      </c>
      <c r="S264" s="15">
        <v>0</v>
      </c>
      <c r="T264" s="15">
        <v>0</v>
      </c>
      <c r="U264" s="15">
        <f>$G$264*$G$8+$H$264*$H$8+$I$264*$I$8+$J$264*$J$8+$K$264*$K$8+$L$264*$L$8+$M$264*$M$8+$N$264*$N$8+$O$264*$O$8+$P$264*$P$8</f>
        <v>0</v>
      </c>
      <c r="V264" s="15">
        <f>SUM($Q$264:$T$264)</f>
        <v>0</v>
      </c>
      <c r="W264" s="15">
        <f>$U$264+$V$264</f>
        <v>0</v>
      </c>
    </row>
    <row r="265" spans="1:23" x14ac:dyDescent="0.3">
      <c r="A265" s="10" t="s">
        <v>976</v>
      </c>
      <c r="B265" s="11" t="s">
        <v>977</v>
      </c>
      <c r="C265" s="11"/>
      <c r="D265" s="11" t="s">
        <v>978</v>
      </c>
      <c r="E265" s="11">
        <f xml:space="preserve"> IF($W$265,1,0)</f>
        <v>0</v>
      </c>
      <c r="F265" s="11" t="s">
        <v>979</v>
      </c>
      <c r="G265" s="11">
        <v>0</v>
      </c>
      <c r="H265" s="11">
        <v>0</v>
      </c>
      <c r="I265" s="11">
        <v>0</v>
      </c>
      <c r="J265" s="11">
        <v>0</v>
      </c>
      <c r="K265" s="11">
        <v>0</v>
      </c>
      <c r="L265" s="11">
        <v>0</v>
      </c>
      <c r="M265" s="11">
        <v>0</v>
      </c>
      <c r="N265" s="11">
        <v>0</v>
      </c>
      <c r="O265" s="11">
        <v>0</v>
      </c>
      <c r="P265" s="11">
        <v>0</v>
      </c>
      <c r="Q265" s="12">
        <v>0</v>
      </c>
      <c r="R265" s="12">
        <v>0</v>
      </c>
      <c r="S265" s="12">
        <v>0</v>
      </c>
      <c r="T265" s="12">
        <v>0</v>
      </c>
      <c r="U265" s="12">
        <f>$G$265*$G$8+$H$265*$H$8+$I$265*$I$8+$J$265*$J$8+$K$265*$K$8+$L$265*$L$8+$M$265*$M$8+$N$265*$N$8+$O$265*$O$8+$P$265*$P$8</f>
        <v>0</v>
      </c>
      <c r="V265" s="12">
        <f>SUM($Q$265:$T$265)</f>
        <v>0</v>
      </c>
      <c r="W265" s="12">
        <f>$U$265+$V$265</f>
        <v>0</v>
      </c>
    </row>
    <row r="266" spans="1:23" x14ac:dyDescent="0.3">
      <c r="A266" s="13" t="s">
        <v>980</v>
      </c>
      <c r="B266" s="14" t="s">
        <v>981</v>
      </c>
      <c r="C266" s="14" t="s">
        <v>34</v>
      </c>
      <c r="D266" s="14" t="s">
        <v>982</v>
      </c>
      <c r="E266" s="14">
        <f xml:space="preserve"> IF($W$266,1,0)</f>
        <v>0</v>
      </c>
      <c r="F266" s="14" t="s">
        <v>983</v>
      </c>
      <c r="G266" s="14">
        <v>0</v>
      </c>
      <c r="H266" s="14">
        <v>0</v>
      </c>
      <c r="I266" s="14">
        <v>0</v>
      </c>
      <c r="J266" s="14">
        <v>0</v>
      </c>
      <c r="K266" s="14">
        <v>0</v>
      </c>
      <c r="L266" s="14">
        <v>0</v>
      </c>
      <c r="M266" s="14">
        <v>0</v>
      </c>
      <c r="N266" s="14">
        <v>0</v>
      </c>
      <c r="O266" s="14">
        <v>0</v>
      </c>
      <c r="P266" s="14">
        <v>0</v>
      </c>
      <c r="Q266" s="15">
        <v>0</v>
      </c>
      <c r="R266" s="15">
        <v>0</v>
      </c>
      <c r="S266" s="15">
        <v>0</v>
      </c>
      <c r="T266" s="15">
        <v>0</v>
      </c>
      <c r="U266" s="15">
        <f>$G$266*$G$8+$H$266*$H$8+$I$266*$I$8+$J$266*$J$8+$K$266*$K$8+$L$266*$L$8+$M$266*$M$8+$N$266*$N$8+$O$266*$O$8+$P$266*$P$8</f>
        <v>0</v>
      </c>
      <c r="V266" s="15">
        <f>SUM($Q$266:$T$266)</f>
        <v>0</v>
      </c>
      <c r="W266" s="15">
        <f>$U$266+$V$266</f>
        <v>0</v>
      </c>
    </row>
    <row r="267" spans="1:23" x14ac:dyDescent="0.3">
      <c r="A267" s="10" t="s">
        <v>984</v>
      </c>
      <c r="B267" s="11" t="s">
        <v>985</v>
      </c>
      <c r="C267" s="11" t="s">
        <v>202</v>
      </c>
      <c r="D267" s="11" t="s">
        <v>986</v>
      </c>
      <c r="E267" s="11">
        <f xml:space="preserve"> IF($W$267,1,0)</f>
        <v>0</v>
      </c>
      <c r="F267" s="11" t="s">
        <v>987</v>
      </c>
      <c r="G267" s="11">
        <v>0</v>
      </c>
      <c r="H267" s="11">
        <v>0</v>
      </c>
      <c r="I267" s="11">
        <v>0</v>
      </c>
      <c r="J267" s="11">
        <v>0</v>
      </c>
      <c r="K267" s="11">
        <v>0</v>
      </c>
      <c r="L267" s="11">
        <v>0</v>
      </c>
      <c r="M267" s="11">
        <v>0</v>
      </c>
      <c r="N267" s="11">
        <v>0</v>
      </c>
      <c r="O267" s="11">
        <v>0</v>
      </c>
      <c r="P267" s="11">
        <v>0</v>
      </c>
      <c r="Q267" s="12">
        <v>0</v>
      </c>
      <c r="R267" s="12">
        <v>0</v>
      </c>
      <c r="S267" s="12">
        <v>0</v>
      </c>
      <c r="T267" s="12">
        <v>0</v>
      </c>
      <c r="U267" s="12">
        <f>$G$267*$G$8+$H$267*$H$8+$I$267*$I$8+$J$267*$J$8+$K$267*$K$8+$L$267*$L$8+$M$267*$M$8+$N$267*$N$8+$O$267*$O$8+$P$267*$P$8</f>
        <v>0</v>
      </c>
      <c r="V267" s="12">
        <f>SUM($Q$267:$T$267)</f>
        <v>0</v>
      </c>
      <c r="W267" s="12">
        <f>$U$267+$V$267</f>
        <v>0</v>
      </c>
    </row>
    <row r="268" spans="1:23" x14ac:dyDescent="0.3">
      <c r="A268" s="13" t="s">
        <v>1261</v>
      </c>
      <c r="B268" s="14" t="s">
        <v>1262</v>
      </c>
      <c r="C268" s="14"/>
      <c r="D268" s="14" t="s">
        <v>1263</v>
      </c>
      <c r="E268" s="14">
        <f xml:space="preserve"> IF($W$268,1,0)</f>
        <v>0</v>
      </c>
      <c r="F268" s="14" t="s">
        <v>1264</v>
      </c>
      <c r="G268" s="14">
        <v>0</v>
      </c>
      <c r="H268" s="14">
        <v>0</v>
      </c>
      <c r="I268" s="14">
        <v>0</v>
      </c>
      <c r="J268" s="14">
        <v>0</v>
      </c>
      <c r="K268" s="14">
        <v>0</v>
      </c>
      <c r="L268" s="14">
        <v>0</v>
      </c>
      <c r="M268" s="14">
        <v>0</v>
      </c>
      <c r="N268" s="14">
        <v>0</v>
      </c>
      <c r="O268" s="14">
        <v>0</v>
      </c>
      <c r="P268" s="14">
        <v>0</v>
      </c>
      <c r="Q268" s="15">
        <v>0</v>
      </c>
      <c r="R268" s="15">
        <v>0</v>
      </c>
      <c r="S268" s="15">
        <v>0</v>
      </c>
      <c r="T268" s="15">
        <v>0</v>
      </c>
      <c r="U268" s="15">
        <f>$G$268*$G$8+$H$268*$H$8+$I$268*$I$8+$J$268*$J$8+$K$268*$K$8+$L$268*$L$8+$M$268*$M$8+$N$268*$N$8+$O$268*$O$8+$P$268*$P$8</f>
        <v>0</v>
      </c>
      <c r="V268" s="15">
        <f>SUM($Q$268:$T$268)</f>
        <v>0</v>
      </c>
      <c r="W268" s="15">
        <f>$U$268+$V$268</f>
        <v>0</v>
      </c>
    </row>
    <row r="269" spans="1:23" x14ac:dyDescent="0.3">
      <c r="A269" s="10" t="s">
        <v>988</v>
      </c>
      <c r="B269" s="11" t="s">
        <v>989</v>
      </c>
      <c r="C269" s="11" t="s">
        <v>887</v>
      </c>
      <c r="D269" s="11" t="s">
        <v>1060</v>
      </c>
      <c r="E269" s="11">
        <f xml:space="preserve"> IF($W$269,1,0)</f>
        <v>0</v>
      </c>
      <c r="F269" s="11" t="s">
        <v>1256</v>
      </c>
      <c r="G269" s="11">
        <v>0</v>
      </c>
      <c r="H269" s="11">
        <v>0</v>
      </c>
      <c r="I269" s="11">
        <v>0</v>
      </c>
      <c r="J269" s="11">
        <v>0</v>
      </c>
      <c r="K269" s="11">
        <v>0</v>
      </c>
      <c r="L269" s="11">
        <v>0</v>
      </c>
      <c r="M269" s="11">
        <v>0</v>
      </c>
      <c r="N269" s="11">
        <v>0</v>
      </c>
      <c r="O269" s="11">
        <v>0</v>
      </c>
      <c r="P269" s="11">
        <v>0</v>
      </c>
      <c r="Q269" s="12">
        <v>0</v>
      </c>
      <c r="R269" s="12">
        <v>0</v>
      </c>
      <c r="S269" s="12">
        <v>0</v>
      </c>
      <c r="T269" s="12">
        <v>0</v>
      </c>
      <c r="U269" s="12">
        <f>$G$269*$G$8+$H$269*$H$8+$I$269*$I$8+$J$269*$J$8+$K$269*$K$8+$L$269*$L$8+$M$269*$M$8+$N$269*$N$8+$O$269*$O$8+$P$269*$P$8</f>
        <v>0</v>
      </c>
      <c r="V269" s="12">
        <f>SUM($Q$269:$T$269)</f>
        <v>0</v>
      </c>
      <c r="W269" s="12">
        <f>$U$269+$V$269</f>
        <v>0</v>
      </c>
    </row>
    <row r="270" spans="1:23" x14ac:dyDescent="0.3">
      <c r="A270" s="13" t="s">
        <v>992</v>
      </c>
      <c r="B270" s="14" t="s">
        <v>343</v>
      </c>
      <c r="C270" s="14"/>
      <c r="D270" s="14" t="s">
        <v>1294</v>
      </c>
      <c r="E270" s="14">
        <f xml:space="preserve"> IF($W$270,1,0)</f>
        <v>0</v>
      </c>
      <c r="F270" s="14" t="s">
        <v>1295</v>
      </c>
      <c r="G270" s="14">
        <v>0</v>
      </c>
      <c r="H270" s="14">
        <v>0</v>
      </c>
      <c r="I270" s="14">
        <v>0</v>
      </c>
      <c r="J270" s="14">
        <v>0</v>
      </c>
      <c r="K270" s="14">
        <v>0</v>
      </c>
      <c r="L270" s="14">
        <v>0</v>
      </c>
      <c r="M270" s="14">
        <v>0</v>
      </c>
      <c r="N270" s="14">
        <v>0</v>
      </c>
      <c r="O270" s="14">
        <v>0</v>
      </c>
      <c r="P270" s="14">
        <v>0</v>
      </c>
      <c r="Q270" s="15">
        <v>0</v>
      </c>
      <c r="R270" s="15">
        <v>0</v>
      </c>
      <c r="S270" s="15">
        <v>0</v>
      </c>
      <c r="T270" s="15">
        <v>0</v>
      </c>
      <c r="U270" s="15">
        <f>$G$270*$G$8+$H$270*$H$8+$I$270*$I$8+$J$270*$J$8+$K$270*$K$8+$L$270*$L$8+$M$270*$M$8+$N$270*$N$8+$O$270*$O$8+$P$270*$P$8</f>
        <v>0</v>
      </c>
      <c r="V270" s="15">
        <f>SUM($Q$270:$T$270)</f>
        <v>0</v>
      </c>
      <c r="W270" s="15">
        <f>$U$270+$V$270</f>
        <v>0</v>
      </c>
    </row>
    <row r="271" spans="1:23" x14ac:dyDescent="0.3">
      <c r="A271" s="10" t="s">
        <v>995</v>
      </c>
      <c r="B271" s="11" t="s">
        <v>996</v>
      </c>
      <c r="C271" s="11"/>
      <c r="D271" s="11" t="s">
        <v>997</v>
      </c>
      <c r="E271" s="11">
        <f xml:space="preserve"> IF($W$271,1,0)</f>
        <v>0</v>
      </c>
      <c r="F271" s="11" t="s">
        <v>998</v>
      </c>
      <c r="G271" s="11">
        <v>0</v>
      </c>
      <c r="H271" s="11">
        <v>0</v>
      </c>
      <c r="I271" s="11">
        <v>0</v>
      </c>
      <c r="J271" s="11">
        <v>0</v>
      </c>
      <c r="K271" s="11">
        <v>0</v>
      </c>
      <c r="L271" s="11">
        <v>0</v>
      </c>
      <c r="M271" s="11">
        <v>0</v>
      </c>
      <c r="N271" s="11">
        <v>0</v>
      </c>
      <c r="O271" s="11">
        <v>0</v>
      </c>
      <c r="P271" s="11">
        <v>0</v>
      </c>
      <c r="Q271" s="12">
        <v>0</v>
      </c>
      <c r="R271" s="12">
        <v>0</v>
      </c>
      <c r="S271" s="12">
        <v>0</v>
      </c>
      <c r="T271" s="12">
        <v>0</v>
      </c>
      <c r="U271" s="12">
        <f>$G$271*$G$8+$H$271*$H$8+$I$271*$I$8+$J$271*$J$8+$K$271*$K$8+$L$271*$L$8+$M$271*$M$8+$N$271*$N$8+$O$271*$O$8+$P$271*$P$8</f>
        <v>0</v>
      </c>
      <c r="V271" s="12">
        <f>SUM($Q$271:$T$271)</f>
        <v>0</v>
      </c>
      <c r="W271" s="12">
        <f>$U$271+$V$271</f>
        <v>0</v>
      </c>
    </row>
    <row r="272" spans="1:23" x14ac:dyDescent="0.3">
      <c r="A272" s="13" t="s">
        <v>999</v>
      </c>
      <c r="B272" s="14" t="s">
        <v>1000</v>
      </c>
      <c r="C272" s="14" t="s">
        <v>202</v>
      </c>
      <c r="D272" s="14" t="s">
        <v>1001</v>
      </c>
      <c r="E272" s="14">
        <f xml:space="preserve"> IF($W$272,1,0)</f>
        <v>0</v>
      </c>
      <c r="F272" s="14" t="s">
        <v>1002</v>
      </c>
      <c r="G272" s="14">
        <v>0</v>
      </c>
      <c r="H272" s="14">
        <v>0</v>
      </c>
      <c r="I272" s="14">
        <v>0</v>
      </c>
      <c r="J272" s="14">
        <v>0</v>
      </c>
      <c r="K272" s="14">
        <v>0</v>
      </c>
      <c r="L272" s="14">
        <v>0</v>
      </c>
      <c r="M272" s="14">
        <v>0</v>
      </c>
      <c r="N272" s="14">
        <v>0</v>
      </c>
      <c r="O272" s="14">
        <v>0</v>
      </c>
      <c r="P272" s="14">
        <v>0</v>
      </c>
      <c r="Q272" s="15">
        <v>0</v>
      </c>
      <c r="R272" s="15">
        <v>0</v>
      </c>
      <c r="S272" s="15">
        <v>0</v>
      </c>
      <c r="T272" s="15">
        <v>0</v>
      </c>
      <c r="U272" s="15">
        <f>$G$272*$G$8+$H$272*$H$8+$I$272*$I$8+$J$272*$J$8+$K$272*$K$8+$L$272*$L$8+$M$272*$M$8+$N$272*$N$8+$O$272*$O$8+$P$272*$P$8</f>
        <v>0</v>
      </c>
      <c r="V272" s="15">
        <f>SUM($Q$272:$T$272)</f>
        <v>0</v>
      </c>
      <c r="W272" s="15">
        <f>$U$272+$V$272</f>
        <v>0</v>
      </c>
    </row>
    <row r="273" spans="1:23" x14ac:dyDescent="0.3">
      <c r="A273" s="10" t="s">
        <v>1003</v>
      </c>
      <c r="B273" s="11" t="s">
        <v>1004</v>
      </c>
      <c r="C273" s="11"/>
      <c r="D273" s="11" t="s">
        <v>1005</v>
      </c>
      <c r="E273" s="11">
        <f xml:space="preserve"> IF($W$273,1,0)</f>
        <v>0</v>
      </c>
      <c r="F273" s="11" t="s">
        <v>1006</v>
      </c>
      <c r="G273" s="11">
        <v>0</v>
      </c>
      <c r="H273" s="11">
        <v>0</v>
      </c>
      <c r="I273" s="11">
        <v>0</v>
      </c>
      <c r="J273" s="11">
        <v>0</v>
      </c>
      <c r="K273" s="11">
        <v>0</v>
      </c>
      <c r="L273" s="11">
        <v>0</v>
      </c>
      <c r="M273" s="11">
        <v>0</v>
      </c>
      <c r="N273" s="11">
        <v>0</v>
      </c>
      <c r="O273" s="11">
        <v>0</v>
      </c>
      <c r="P273" s="11">
        <v>0</v>
      </c>
      <c r="Q273" s="12">
        <v>0</v>
      </c>
      <c r="R273" s="12">
        <v>0</v>
      </c>
      <c r="S273" s="12">
        <v>0</v>
      </c>
      <c r="T273" s="12">
        <v>0</v>
      </c>
      <c r="U273" s="12">
        <f>$G$273*$G$8+$H$273*$H$8+$I$273*$I$8+$J$273*$J$8+$K$273*$K$8+$L$273*$L$8+$M$273*$M$8+$N$273*$N$8+$O$273*$O$8+$P$273*$P$8</f>
        <v>0</v>
      </c>
      <c r="V273" s="12">
        <f>SUM($Q$273:$T$273)</f>
        <v>0</v>
      </c>
      <c r="W273" s="12">
        <f>$U$273+$V$273</f>
        <v>0</v>
      </c>
    </row>
    <row r="274" spans="1:23" x14ac:dyDescent="0.3">
      <c r="A274" s="13" t="s">
        <v>1007</v>
      </c>
      <c r="B274" s="14" t="s">
        <v>1004</v>
      </c>
      <c r="C274" s="14"/>
      <c r="D274" s="14" t="s">
        <v>1008</v>
      </c>
      <c r="E274" s="14">
        <f xml:space="preserve"> IF($W$274,1,0)</f>
        <v>0</v>
      </c>
      <c r="F274" s="14" t="s">
        <v>1009</v>
      </c>
      <c r="G274" s="14">
        <v>0</v>
      </c>
      <c r="H274" s="14">
        <v>0</v>
      </c>
      <c r="I274" s="14">
        <v>0</v>
      </c>
      <c r="J274" s="14">
        <v>0</v>
      </c>
      <c r="K274" s="14">
        <v>0</v>
      </c>
      <c r="L274" s="14">
        <v>0</v>
      </c>
      <c r="M274" s="14">
        <v>0</v>
      </c>
      <c r="N274" s="14">
        <v>0</v>
      </c>
      <c r="O274" s="14">
        <v>0</v>
      </c>
      <c r="P274" s="14">
        <v>0</v>
      </c>
      <c r="Q274" s="15">
        <v>0</v>
      </c>
      <c r="R274" s="15">
        <v>0</v>
      </c>
      <c r="S274" s="15">
        <v>0</v>
      </c>
      <c r="T274" s="15">
        <v>0</v>
      </c>
      <c r="U274" s="15">
        <f>$G$274*$G$8+$H$274*$H$8+$I$274*$I$8+$J$274*$J$8+$K$274*$K$8+$L$274*$L$8+$M$274*$M$8+$N$274*$N$8+$O$274*$O$8+$P$274*$P$8</f>
        <v>0</v>
      </c>
      <c r="V274" s="15">
        <f>SUM($Q$274:$T$274)</f>
        <v>0</v>
      </c>
      <c r="W274" s="15">
        <f>$U$274+$V$274</f>
        <v>0</v>
      </c>
    </row>
    <row r="275" spans="1:23" x14ac:dyDescent="0.3">
      <c r="A275" s="10" t="s">
        <v>1010</v>
      </c>
      <c r="B275" s="11" t="s">
        <v>1011</v>
      </c>
      <c r="C275" s="11"/>
      <c r="D275" s="11" t="s">
        <v>1012</v>
      </c>
      <c r="E275" s="11">
        <f xml:space="preserve"> IF($W$275,1,0)</f>
        <v>0</v>
      </c>
      <c r="F275" s="11" t="s">
        <v>1013</v>
      </c>
      <c r="G275" s="11">
        <v>0</v>
      </c>
      <c r="H275" s="11">
        <v>0</v>
      </c>
      <c r="I275" s="11">
        <v>0</v>
      </c>
      <c r="J275" s="11">
        <v>0</v>
      </c>
      <c r="K275" s="11">
        <v>0</v>
      </c>
      <c r="L275" s="11">
        <v>0</v>
      </c>
      <c r="M275" s="11">
        <v>0</v>
      </c>
      <c r="N275" s="11">
        <v>0</v>
      </c>
      <c r="O275" s="11">
        <v>0</v>
      </c>
      <c r="P275" s="11">
        <v>0</v>
      </c>
      <c r="Q275" s="12">
        <v>0</v>
      </c>
      <c r="R275" s="12">
        <v>0</v>
      </c>
      <c r="S275" s="12">
        <v>0</v>
      </c>
      <c r="T275" s="12">
        <v>0</v>
      </c>
      <c r="U275" s="12">
        <f>$G$275*$G$8+$H$275*$H$8+$I$275*$I$8+$J$275*$J$8+$K$275*$K$8+$L$275*$L$8+$M$275*$M$8+$N$275*$N$8+$O$275*$O$8+$P$275*$P$8</f>
        <v>0</v>
      </c>
      <c r="V275" s="12">
        <f>SUM($Q$275:$T$275)</f>
        <v>0</v>
      </c>
      <c r="W275" s="12">
        <f>$U$275+$V$275</f>
        <v>0</v>
      </c>
    </row>
    <row r="276" spans="1:23" x14ac:dyDescent="0.3">
      <c r="A276" s="13" t="s">
        <v>1014</v>
      </c>
      <c r="B276" s="14" t="s">
        <v>1015</v>
      </c>
      <c r="C276" s="14"/>
      <c r="D276" s="14" t="s">
        <v>1016</v>
      </c>
      <c r="E276" s="14">
        <f xml:space="preserve"> IF($W$276,1,0)</f>
        <v>0</v>
      </c>
      <c r="F276" s="14" t="s">
        <v>1017</v>
      </c>
      <c r="G276" s="14">
        <v>0</v>
      </c>
      <c r="H276" s="14">
        <v>0</v>
      </c>
      <c r="I276" s="14">
        <v>0</v>
      </c>
      <c r="J276" s="14">
        <v>0</v>
      </c>
      <c r="K276" s="14">
        <v>0</v>
      </c>
      <c r="L276" s="14">
        <v>0</v>
      </c>
      <c r="M276" s="14">
        <v>0</v>
      </c>
      <c r="N276" s="14">
        <v>0</v>
      </c>
      <c r="O276" s="14">
        <v>0</v>
      </c>
      <c r="P276" s="14">
        <v>0</v>
      </c>
      <c r="Q276" s="15">
        <v>0</v>
      </c>
      <c r="R276" s="15">
        <v>0</v>
      </c>
      <c r="S276" s="15">
        <v>0</v>
      </c>
      <c r="T276" s="15">
        <v>0</v>
      </c>
      <c r="U276" s="15">
        <f>$G$276*$G$8+$H$276*$H$8+$I$276*$I$8+$J$276*$J$8+$K$276*$K$8+$L$276*$L$8+$M$276*$M$8+$N$276*$N$8+$O$276*$O$8+$P$276*$P$8</f>
        <v>0</v>
      </c>
      <c r="V276" s="15">
        <f>SUM($Q$276:$T$276)</f>
        <v>0</v>
      </c>
      <c r="W276" s="15">
        <f>$U$276+$V$276</f>
        <v>0</v>
      </c>
    </row>
    <row r="277" spans="1:23" x14ac:dyDescent="0.3">
      <c r="A277" s="10" t="s">
        <v>1018</v>
      </c>
      <c r="B277" s="11" t="s">
        <v>1015</v>
      </c>
      <c r="C277" s="11"/>
      <c r="D277" s="11" t="s">
        <v>1019</v>
      </c>
      <c r="E277" s="11">
        <f xml:space="preserve"> IF($W$277,1,0)</f>
        <v>0</v>
      </c>
      <c r="F277" s="11" t="s">
        <v>1020</v>
      </c>
      <c r="G277" s="11">
        <v>0</v>
      </c>
      <c r="H277" s="11">
        <v>0</v>
      </c>
      <c r="I277" s="11">
        <v>0</v>
      </c>
      <c r="J277" s="11">
        <v>0</v>
      </c>
      <c r="K277" s="11">
        <v>0</v>
      </c>
      <c r="L277" s="11">
        <v>0</v>
      </c>
      <c r="M277" s="11">
        <v>0</v>
      </c>
      <c r="N277" s="11">
        <v>0</v>
      </c>
      <c r="O277" s="11">
        <v>0</v>
      </c>
      <c r="P277" s="11">
        <v>0</v>
      </c>
      <c r="Q277" s="12">
        <v>0</v>
      </c>
      <c r="R277" s="12">
        <v>0</v>
      </c>
      <c r="S277" s="12">
        <v>0</v>
      </c>
      <c r="T277" s="12">
        <v>0</v>
      </c>
      <c r="U277" s="12">
        <f>$G$277*$G$8+$H$277*$H$8+$I$277*$I$8+$J$277*$J$8+$K$277*$K$8+$L$277*$L$8+$M$277*$M$8+$N$277*$N$8+$O$277*$O$8+$P$277*$P$8</f>
        <v>0</v>
      </c>
      <c r="V277" s="12">
        <f>SUM($Q$277:$T$277)</f>
        <v>0</v>
      </c>
      <c r="W277" s="12">
        <f>$U$277+$V$277</f>
        <v>0</v>
      </c>
    </row>
    <row r="278" spans="1:23" x14ac:dyDescent="0.3">
      <c r="A278" s="13" t="s">
        <v>1021</v>
      </c>
      <c r="B278" s="14" t="s">
        <v>1022</v>
      </c>
      <c r="C278" s="14" t="s">
        <v>283</v>
      </c>
      <c r="D278" s="14" t="s">
        <v>1023</v>
      </c>
      <c r="E278" s="14">
        <f xml:space="preserve"> IF($W$278,1,0)</f>
        <v>0</v>
      </c>
      <c r="F278" s="14" t="s">
        <v>1024</v>
      </c>
      <c r="G278" s="14">
        <v>0</v>
      </c>
      <c r="H278" s="14">
        <v>0</v>
      </c>
      <c r="I278" s="14">
        <v>0</v>
      </c>
      <c r="J278" s="14">
        <v>0</v>
      </c>
      <c r="K278" s="14">
        <v>0</v>
      </c>
      <c r="L278" s="14">
        <v>0</v>
      </c>
      <c r="M278" s="14">
        <v>0</v>
      </c>
      <c r="N278" s="14">
        <v>0</v>
      </c>
      <c r="O278" s="14">
        <v>0</v>
      </c>
      <c r="P278" s="14">
        <v>0</v>
      </c>
      <c r="Q278" s="15">
        <v>0</v>
      </c>
      <c r="R278" s="15">
        <v>0</v>
      </c>
      <c r="S278" s="15">
        <v>0</v>
      </c>
      <c r="T278" s="15">
        <v>0</v>
      </c>
      <c r="U278" s="15">
        <f>$G$278*$G$8+$H$278*$H$8+$I$278*$I$8+$J$278*$J$8+$K$278*$K$8+$L$278*$L$8+$M$278*$M$8+$N$278*$N$8+$O$278*$O$8+$P$278*$P$8</f>
        <v>0</v>
      </c>
      <c r="V278" s="15">
        <f>SUM($Q$278:$T$278)</f>
        <v>0</v>
      </c>
      <c r="W278" s="15">
        <f>$U$278+$V$278</f>
        <v>0</v>
      </c>
    </row>
    <row r="279" spans="1:23" x14ac:dyDescent="0.3">
      <c r="A279" s="10" t="s">
        <v>1025</v>
      </c>
      <c r="B279" s="11" t="s">
        <v>1026</v>
      </c>
      <c r="C279" s="11"/>
      <c r="D279" s="11" t="s">
        <v>1027</v>
      </c>
      <c r="E279" s="11">
        <f xml:space="preserve"> IF($W$279,1,0)</f>
        <v>0</v>
      </c>
      <c r="F279" s="11" t="s">
        <v>1028</v>
      </c>
      <c r="G279" s="11">
        <v>0</v>
      </c>
      <c r="H279" s="11">
        <v>0</v>
      </c>
      <c r="I279" s="11">
        <v>0</v>
      </c>
      <c r="J279" s="11">
        <v>0</v>
      </c>
      <c r="K279" s="11">
        <v>0</v>
      </c>
      <c r="L279" s="11">
        <v>0</v>
      </c>
      <c r="M279" s="11">
        <v>0</v>
      </c>
      <c r="N279" s="11">
        <v>0</v>
      </c>
      <c r="O279" s="11">
        <v>0</v>
      </c>
      <c r="P279" s="11">
        <v>0</v>
      </c>
      <c r="Q279" s="12">
        <v>0</v>
      </c>
      <c r="R279" s="12">
        <v>0</v>
      </c>
      <c r="S279" s="12">
        <v>0</v>
      </c>
      <c r="T279" s="12">
        <v>0</v>
      </c>
      <c r="U279" s="12">
        <f>$G$279*$G$8+$H$279*$H$8+$I$279*$I$8+$J$279*$J$8+$K$279*$K$8+$L$279*$L$8+$M$279*$M$8+$N$279*$N$8+$O$279*$O$8+$P$279*$P$8</f>
        <v>0</v>
      </c>
      <c r="V279" s="12">
        <f>SUM($Q$279:$T$279)</f>
        <v>0</v>
      </c>
      <c r="W279" s="12">
        <f>$U$279+$V$279</f>
        <v>0</v>
      </c>
    </row>
    <row r="280" spans="1:23" x14ac:dyDescent="0.3">
      <c r="A280" s="13" t="s">
        <v>1029</v>
      </c>
      <c r="B280" s="14" t="s">
        <v>1030</v>
      </c>
      <c r="C280" s="14" t="s">
        <v>34</v>
      </c>
      <c r="D280" s="14" t="s">
        <v>1031</v>
      </c>
      <c r="E280" s="14">
        <f xml:space="preserve"> IF($W$280,1,0)</f>
        <v>0</v>
      </c>
      <c r="F280" s="14" t="s">
        <v>1032</v>
      </c>
      <c r="G280" s="14">
        <v>0</v>
      </c>
      <c r="H280" s="14">
        <v>0</v>
      </c>
      <c r="I280" s="14">
        <v>0</v>
      </c>
      <c r="J280" s="14">
        <v>0</v>
      </c>
      <c r="K280" s="14">
        <v>0</v>
      </c>
      <c r="L280" s="14">
        <v>0</v>
      </c>
      <c r="M280" s="14">
        <v>0</v>
      </c>
      <c r="N280" s="14">
        <v>0</v>
      </c>
      <c r="O280" s="14">
        <v>0</v>
      </c>
      <c r="P280" s="14">
        <v>0</v>
      </c>
      <c r="Q280" s="15">
        <v>0</v>
      </c>
      <c r="R280" s="15">
        <v>0</v>
      </c>
      <c r="S280" s="15">
        <v>0</v>
      </c>
      <c r="T280" s="15">
        <v>0</v>
      </c>
      <c r="U280" s="15">
        <f>$G$280*$G$8+$H$280*$H$8+$I$280*$I$8+$J$280*$J$8+$K$280*$K$8+$L$280*$L$8+$M$280*$M$8+$N$280*$N$8+$O$280*$O$8+$P$280*$P$8</f>
        <v>0</v>
      </c>
      <c r="V280" s="15">
        <f>SUM($Q$280:$T$280)</f>
        <v>0</v>
      </c>
      <c r="W280" s="15">
        <f>$U$280+$V$280</f>
        <v>0</v>
      </c>
    </row>
    <row r="281" spans="1:23" x14ac:dyDescent="0.3">
      <c r="A281" s="10" t="s">
        <v>1033</v>
      </c>
      <c r="B281" s="11" t="s">
        <v>1030</v>
      </c>
      <c r="C281" s="11"/>
      <c r="D281" s="11" t="s">
        <v>1034</v>
      </c>
      <c r="E281" s="11">
        <f xml:space="preserve"> IF($W$281,1,0)</f>
        <v>0</v>
      </c>
      <c r="F281" s="11" t="s">
        <v>1035</v>
      </c>
      <c r="G281" s="11">
        <v>0</v>
      </c>
      <c r="H281" s="11">
        <v>0</v>
      </c>
      <c r="I281" s="11">
        <v>0</v>
      </c>
      <c r="J281" s="11">
        <v>0</v>
      </c>
      <c r="K281" s="11">
        <v>0</v>
      </c>
      <c r="L281" s="11">
        <v>0</v>
      </c>
      <c r="M281" s="11">
        <v>0</v>
      </c>
      <c r="N281" s="11">
        <v>0</v>
      </c>
      <c r="O281" s="11">
        <v>0</v>
      </c>
      <c r="P281" s="11">
        <v>0</v>
      </c>
      <c r="Q281" s="12">
        <v>0</v>
      </c>
      <c r="R281" s="12">
        <v>0</v>
      </c>
      <c r="S281" s="12">
        <v>0</v>
      </c>
      <c r="T281" s="12">
        <v>0</v>
      </c>
      <c r="U281" s="12">
        <f>$G$281*$G$8+$H$281*$H$8+$I$281*$I$8+$J$281*$J$8+$K$281*$K$8+$L$281*$L$8+$M$281*$M$8+$N$281*$N$8+$O$281*$O$8+$P$281*$P$8</f>
        <v>0</v>
      </c>
      <c r="V281" s="12">
        <f>SUM($Q$281:$T$281)</f>
        <v>0</v>
      </c>
      <c r="W281" s="12">
        <f>$U$281+$V$281</f>
        <v>0</v>
      </c>
    </row>
    <row r="282" spans="1:23" x14ac:dyDescent="0.3">
      <c r="A282" s="13" t="s">
        <v>1036</v>
      </c>
      <c r="B282" s="14" t="s">
        <v>1037</v>
      </c>
      <c r="C282" s="14"/>
      <c r="D282" s="14" t="s">
        <v>1038</v>
      </c>
      <c r="E282" s="14">
        <f xml:space="preserve"> IF($W$282,1,0)</f>
        <v>0</v>
      </c>
      <c r="F282" s="14" t="s">
        <v>1039</v>
      </c>
      <c r="G282" s="14">
        <v>0</v>
      </c>
      <c r="H282" s="14">
        <v>0</v>
      </c>
      <c r="I282" s="14">
        <v>0</v>
      </c>
      <c r="J282" s="14">
        <v>0</v>
      </c>
      <c r="K282" s="14">
        <v>0</v>
      </c>
      <c r="L282" s="14">
        <v>0</v>
      </c>
      <c r="M282" s="14">
        <v>0</v>
      </c>
      <c r="N282" s="14">
        <v>0</v>
      </c>
      <c r="O282" s="14">
        <v>0</v>
      </c>
      <c r="P282" s="14">
        <v>0</v>
      </c>
      <c r="Q282" s="15">
        <v>0</v>
      </c>
      <c r="R282" s="15">
        <v>0</v>
      </c>
      <c r="S282" s="15">
        <v>0</v>
      </c>
      <c r="T282" s="15">
        <v>0</v>
      </c>
      <c r="U282" s="15">
        <f>$G$282*$G$8+$H$282*$H$8+$I$282*$I$8+$J$282*$J$8+$K$282*$K$8+$L$282*$L$8+$M$282*$M$8+$N$282*$N$8+$O$282*$O$8+$P$282*$P$8</f>
        <v>0</v>
      </c>
      <c r="V282" s="15">
        <f>SUM($Q$282:$T$282)</f>
        <v>0</v>
      </c>
      <c r="W282" s="15">
        <f>$U$282+$V$282</f>
        <v>0</v>
      </c>
    </row>
    <row r="283" spans="1:23" x14ac:dyDescent="0.3">
      <c r="A283" s="10" t="s">
        <v>1040</v>
      </c>
      <c r="B283" s="11" t="s">
        <v>1037</v>
      </c>
      <c r="C283" s="11" t="s">
        <v>202</v>
      </c>
      <c r="D283" s="11" t="s">
        <v>1041</v>
      </c>
      <c r="E283" s="11">
        <f xml:space="preserve"> IF($W$283,1,0)</f>
        <v>0</v>
      </c>
      <c r="F283" s="11" t="s">
        <v>1042</v>
      </c>
      <c r="G283" s="11">
        <v>0</v>
      </c>
      <c r="H283" s="11">
        <v>0</v>
      </c>
      <c r="I283" s="11">
        <v>0</v>
      </c>
      <c r="J283" s="11">
        <v>0</v>
      </c>
      <c r="K283" s="11">
        <v>0</v>
      </c>
      <c r="L283" s="11">
        <v>0</v>
      </c>
      <c r="M283" s="11">
        <v>0</v>
      </c>
      <c r="N283" s="11">
        <v>0</v>
      </c>
      <c r="O283" s="11">
        <v>0</v>
      </c>
      <c r="P283" s="11">
        <v>0</v>
      </c>
      <c r="Q283" s="12">
        <v>0</v>
      </c>
      <c r="R283" s="12">
        <v>0</v>
      </c>
      <c r="S283" s="12">
        <v>0</v>
      </c>
      <c r="T283" s="12">
        <v>0</v>
      </c>
      <c r="U283" s="12">
        <f>$G$283*$G$8+$H$283*$H$8+$I$283*$I$8+$J$283*$J$8+$K$283*$K$8+$L$283*$L$8+$M$283*$M$8+$N$283*$N$8+$O$283*$O$8+$P$283*$P$8</f>
        <v>0</v>
      </c>
      <c r="V283" s="12">
        <f>SUM($Q$283:$T$283)</f>
        <v>0</v>
      </c>
      <c r="W283" s="12">
        <f>$U$283+$V$283</f>
        <v>0</v>
      </c>
    </row>
    <row r="284" spans="1:23" x14ac:dyDescent="0.3">
      <c r="A284" s="13" t="s">
        <v>1043</v>
      </c>
      <c r="B284" s="14" t="s">
        <v>1044</v>
      </c>
      <c r="C284" s="14"/>
      <c r="D284" s="14" t="s">
        <v>1045</v>
      </c>
      <c r="E284" s="14">
        <f xml:space="preserve"> IF($W$284,1,0)</f>
        <v>0</v>
      </c>
      <c r="F284" s="14" t="s">
        <v>1046</v>
      </c>
      <c r="G284" s="14">
        <v>0</v>
      </c>
      <c r="H284" s="14">
        <v>0</v>
      </c>
      <c r="I284" s="14">
        <v>0</v>
      </c>
      <c r="J284" s="14">
        <v>0</v>
      </c>
      <c r="K284" s="14">
        <v>0</v>
      </c>
      <c r="L284" s="14">
        <v>0</v>
      </c>
      <c r="M284" s="14">
        <v>0</v>
      </c>
      <c r="N284" s="14">
        <v>0</v>
      </c>
      <c r="O284" s="14">
        <v>0</v>
      </c>
      <c r="P284" s="14">
        <v>0</v>
      </c>
      <c r="Q284" s="15">
        <v>0</v>
      </c>
      <c r="R284" s="15">
        <v>0</v>
      </c>
      <c r="S284" s="15">
        <v>0</v>
      </c>
      <c r="T284" s="15">
        <v>0</v>
      </c>
      <c r="U284" s="15">
        <f>$G$284*$G$8+$H$284*$H$8+$I$284*$I$8+$J$284*$J$8+$K$284*$K$8+$L$284*$L$8+$M$284*$M$8+$N$284*$N$8+$O$284*$O$8+$P$284*$P$8</f>
        <v>0</v>
      </c>
      <c r="V284" s="15">
        <f>SUM($Q$284:$T$284)</f>
        <v>0</v>
      </c>
      <c r="W284" s="15">
        <f>$U$284+$V$284</f>
        <v>0</v>
      </c>
    </row>
    <row r="285" spans="1:23" x14ac:dyDescent="0.3">
      <c r="A285" s="10" t="s">
        <v>1047</v>
      </c>
      <c r="B285" s="11" t="s">
        <v>1048</v>
      </c>
      <c r="C285" s="11"/>
      <c r="D285" s="11" t="s">
        <v>1049</v>
      </c>
      <c r="E285" s="11">
        <f xml:space="preserve"> IF($W$285,1,0)</f>
        <v>0</v>
      </c>
      <c r="F285" s="11" t="s">
        <v>1050</v>
      </c>
      <c r="G285" s="11">
        <v>0</v>
      </c>
      <c r="H285" s="11">
        <v>0</v>
      </c>
      <c r="I285" s="11">
        <v>0</v>
      </c>
      <c r="J285" s="11">
        <v>0</v>
      </c>
      <c r="K285" s="11">
        <v>0</v>
      </c>
      <c r="L285" s="11">
        <v>0</v>
      </c>
      <c r="M285" s="11">
        <v>0</v>
      </c>
      <c r="N285" s="11">
        <v>0</v>
      </c>
      <c r="O285" s="11">
        <v>0</v>
      </c>
      <c r="P285" s="11">
        <v>0</v>
      </c>
      <c r="Q285" s="12">
        <v>0</v>
      </c>
      <c r="R285" s="12">
        <v>0</v>
      </c>
      <c r="S285" s="12">
        <v>0</v>
      </c>
      <c r="T285" s="12">
        <v>0</v>
      </c>
      <c r="U285" s="12">
        <f>$G$285*$G$8+$H$285*$H$8+$I$285*$I$8+$J$285*$J$8+$K$285*$K$8+$L$285*$L$8+$M$285*$M$8+$N$285*$N$8+$O$285*$O$8+$P$285*$P$8</f>
        <v>0</v>
      </c>
      <c r="V285" s="12">
        <f>SUM($Q$285:$T$285)</f>
        <v>0</v>
      </c>
      <c r="W285" s="12">
        <f>$U$285+$V$285</f>
        <v>0</v>
      </c>
    </row>
    <row r="286" spans="1:23" x14ac:dyDescent="0.3">
      <c r="A286" s="13" t="s">
        <v>1051</v>
      </c>
      <c r="B286" s="14" t="s">
        <v>1052</v>
      </c>
      <c r="C286" s="14" t="s">
        <v>34</v>
      </c>
      <c r="D286" s="14" t="s">
        <v>1053</v>
      </c>
      <c r="E286" s="14">
        <f xml:space="preserve"> IF($W$286,1,0)</f>
        <v>0</v>
      </c>
      <c r="F286" s="14" t="s">
        <v>1054</v>
      </c>
      <c r="G286" s="14">
        <v>0</v>
      </c>
      <c r="H286" s="14">
        <v>0</v>
      </c>
      <c r="I286" s="14">
        <v>0</v>
      </c>
      <c r="J286" s="14">
        <v>0</v>
      </c>
      <c r="K286" s="14">
        <v>0</v>
      </c>
      <c r="L286" s="14">
        <v>0</v>
      </c>
      <c r="M286" s="14">
        <v>0</v>
      </c>
      <c r="N286" s="14">
        <v>0</v>
      </c>
      <c r="O286" s="14">
        <v>0</v>
      </c>
      <c r="P286" s="14">
        <v>0</v>
      </c>
      <c r="Q286" s="15">
        <v>0</v>
      </c>
      <c r="R286" s="15">
        <v>0</v>
      </c>
      <c r="S286" s="15">
        <v>0</v>
      </c>
      <c r="T286" s="15">
        <v>0</v>
      </c>
      <c r="U286" s="15">
        <f>$G$286*$G$8+$H$286*$H$8+$I$286*$I$8+$J$286*$J$8+$K$286*$K$8+$L$286*$L$8+$M$286*$M$8+$N$286*$N$8+$O$286*$O$8+$P$286*$P$8</f>
        <v>0</v>
      </c>
      <c r="V286" s="15">
        <f>SUM($Q$286:$T$286)</f>
        <v>0</v>
      </c>
      <c r="W286" s="15">
        <f>$U$286+$V$286</f>
        <v>0</v>
      </c>
    </row>
    <row r="287" spans="1:23" x14ac:dyDescent="0.3">
      <c r="A287" s="10" t="s">
        <v>1055</v>
      </c>
      <c r="B287" s="11" t="s">
        <v>1056</v>
      </c>
      <c r="C287" s="11" t="s">
        <v>243</v>
      </c>
      <c r="D287" s="11" t="s">
        <v>1057</v>
      </c>
      <c r="E287" s="11">
        <f xml:space="preserve"> IF($W$287,1,0)</f>
        <v>0</v>
      </c>
      <c r="F287" s="11" t="s">
        <v>1058</v>
      </c>
      <c r="G287" s="11">
        <v>0</v>
      </c>
      <c r="H287" s="11">
        <v>0</v>
      </c>
      <c r="I287" s="11">
        <v>0</v>
      </c>
      <c r="J287" s="11">
        <v>0</v>
      </c>
      <c r="K287" s="11">
        <v>0</v>
      </c>
      <c r="L287" s="11">
        <v>0</v>
      </c>
      <c r="M287" s="11">
        <v>0</v>
      </c>
      <c r="N287" s="11">
        <v>0</v>
      </c>
      <c r="O287" s="11">
        <v>0</v>
      </c>
      <c r="P287" s="11">
        <v>0</v>
      </c>
      <c r="Q287" s="12">
        <v>0</v>
      </c>
      <c r="R287" s="12">
        <v>0</v>
      </c>
      <c r="S287" s="12">
        <v>0</v>
      </c>
      <c r="T287" s="12">
        <v>0</v>
      </c>
      <c r="U287" s="12">
        <f>$G$287*$G$8+$H$287*$H$8+$I$287*$I$8+$J$287*$J$8+$K$287*$K$8+$L$287*$L$8+$M$287*$M$8+$N$287*$N$8+$O$287*$O$8+$P$287*$P$8</f>
        <v>0</v>
      </c>
      <c r="V287" s="12">
        <f>SUM($Q$287:$T$287)</f>
        <v>0</v>
      </c>
      <c r="W287" s="12">
        <f>$U$287+$V$287</f>
        <v>0</v>
      </c>
    </row>
    <row r="288" spans="1:23" x14ac:dyDescent="0.3">
      <c r="A288" s="13" t="s">
        <v>1059</v>
      </c>
      <c r="B288" s="14" t="s">
        <v>1056</v>
      </c>
      <c r="C288" s="14" t="s">
        <v>278</v>
      </c>
      <c r="D288" s="14" t="s">
        <v>1060</v>
      </c>
      <c r="E288" s="14">
        <f xml:space="preserve"> IF($W$288,1,0)</f>
        <v>0</v>
      </c>
      <c r="F288" s="14" t="s">
        <v>1061</v>
      </c>
      <c r="G288" s="14">
        <v>0</v>
      </c>
      <c r="H288" s="14">
        <v>0</v>
      </c>
      <c r="I288" s="14">
        <v>0</v>
      </c>
      <c r="J288" s="14">
        <v>0</v>
      </c>
      <c r="K288" s="14">
        <v>0</v>
      </c>
      <c r="L288" s="14">
        <v>0</v>
      </c>
      <c r="M288" s="14">
        <v>0</v>
      </c>
      <c r="N288" s="14">
        <v>0</v>
      </c>
      <c r="O288" s="14">
        <v>0</v>
      </c>
      <c r="P288" s="14">
        <v>0</v>
      </c>
      <c r="Q288" s="15">
        <v>0</v>
      </c>
      <c r="R288" s="15">
        <v>0</v>
      </c>
      <c r="S288" s="15">
        <v>0</v>
      </c>
      <c r="T288" s="15">
        <v>0</v>
      </c>
      <c r="U288" s="15">
        <f>$G$288*$G$8+$H$288*$H$8+$I$288*$I$8+$J$288*$J$8+$K$288*$K$8+$L$288*$L$8+$M$288*$M$8+$N$288*$N$8+$O$288*$O$8+$P$288*$P$8</f>
        <v>0</v>
      </c>
      <c r="V288" s="15">
        <f>SUM($Q$288:$T$288)</f>
        <v>0</v>
      </c>
      <c r="W288" s="15">
        <f>$U$288+$V$288</f>
        <v>0</v>
      </c>
    </row>
    <row r="289" spans="1:23" x14ac:dyDescent="0.3">
      <c r="A289" s="10" t="s">
        <v>1062</v>
      </c>
      <c r="B289" s="11" t="s">
        <v>1063</v>
      </c>
      <c r="C289" s="11"/>
      <c r="D289" s="11" t="s">
        <v>1064</v>
      </c>
      <c r="E289" s="11">
        <f xml:space="preserve"> IF($W$289,1,0)</f>
        <v>0</v>
      </c>
      <c r="F289" s="11" t="s">
        <v>1065</v>
      </c>
      <c r="G289" s="11">
        <v>0</v>
      </c>
      <c r="H289" s="11">
        <v>0</v>
      </c>
      <c r="I289" s="11">
        <v>0</v>
      </c>
      <c r="J289" s="11">
        <v>0</v>
      </c>
      <c r="K289" s="11">
        <v>0</v>
      </c>
      <c r="L289" s="11">
        <v>0</v>
      </c>
      <c r="M289" s="11">
        <v>0</v>
      </c>
      <c r="N289" s="11">
        <v>0</v>
      </c>
      <c r="O289" s="11">
        <v>0</v>
      </c>
      <c r="P289" s="11">
        <v>0</v>
      </c>
      <c r="Q289" s="12">
        <v>0</v>
      </c>
      <c r="R289" s="12">
        <v>0</v>
      </c>
      <c r="S289" s="12">
        <v>0</v>
      </c>
      <c r="T289" s="12">
        <v>0</v>
      </c>
      <c r="U289" s="12">
        <f>$G$289*$G$8+$H$289*$H$8+$I$289*$I$8+$J$289*$J$8+$K$289*$K$8+$L$289*$L$8+$M$289*$M$8+$N$289*$N$8+$O$289*$O$8+$P$289*$P$8</f>
        <v>0</v>
      </c>
      <c r="V289" s="12">
        <f>SUM($Q$289:$T$289)</f>
        <v>0</v>
      </c>
      <c r="W289" s="12">
        <f>$U$289+$V$289</f>
        <v>0</v>
      </c>
    </row>
    <row r="290" spans="1:23" x14ac:dyDescent="0.3">
      <c r="A290" s="13" t="s">
        <v>1066</v>
      </c>
      <c r="B290" s="14" t="s">
        <v>1067</v>
      </c>
      <c r="C290" s="14" t="s">
        <v>202</v>
      </c>
      <c r="D290" s="14" t="s">
        <v>1068</v>
      </c>
      <c r="E290" s="14">
        <f xml:space="preserve"> IF($W$290,1,0)</f>
        <v>0</v>
      </c>
      <c r="F290" s="14" t="s">
        <v>1069</v>
      </c>
      <c r="G290" s="14">
        <v>0</v>
      </c>
      <c r="H290" s="14">
        <v>0</v>
      </c>
      <c r="I290" s="14">
        <v>0</v>
      </c>
      <c r="J290" s="14">
        <v>0</v>
      </c>
      <c r="K290" s="14">
        <v>0</v>
      </c>
      <c r="L290" s="14">
        <v>0</v>
      </c>
      <c r="M290" s="14">
        <v>0</v>
      </c>
      <c r="N290" s="14">
        <v>0</v>
      </c>
      <c r="O290" s="14">
        <v>0</v>
      </c>
      <c r="P290" s="14">
        <v>0</v>
      </c>
      <c r="Q290" s="15">
        <v>0</v>
      </c>
      <c r="R290" s="15">
        <v>0</v>
      </c>
      <c r="S290" s="15">
        <v>0</v>
      </c>
      <c r="T290" s="15">
        <v>0</v>
      </c>
      <c r="U290" s="15">
        <f>$G$290*$G$8+$H$290*$H$8+$I$290*$I$8+$J$290*$J$8+$K$290*$K$8+$L$290*$L$8+$M$290*$M$8+$N$290*$N$8+$O$290*$O$8+$P$290*$P$8</f>
        <v>0</v>
      </c>
      <c r="V290" s="15">
        <f>SUM($Q$290:$T$290)</f>
        <v>0</v>
      </c>
      <c r="W290" s="15">
        <f>$U$290+$V$290</f>
        <v>0</v>
      </c>
    </row>
    <row r="291" spans="1:23" x14ac:dyDescent="0.3">
      <c r="A291" s="10" t="s">
        <v>1070</v>
      </c>
      <c r="B291" s="11" t="s">
        <v>1071</v>
      </c>
      <c r="C291" s="11"/>
      <c r="D291" s="11" t="s">
        <v>1072</v>
      </c>
      <c r="E291" s="11">
        <f xml:space="preserve"> IF($W$291,1,0)</f>
        <v>0</v>
      </c>
      <c r="F291" s="11" t="s">
        <v>1073</v>
      </c>
      <c r="G291" s="11">
        <v>0</v>
      </c>
      <c r="H291" s="11">
        <v>0</v>
      </c>
      <c r="I291" s="11">
        <v>0</v>
      </c>
      <c r="J291" s="11">
        <v>0</v>
      </c>
      <c r="K291" s="11">
        <v>0</v>
      </c>
      <c r="L291" s="11">
        <v>0</v>
      </c>
      <c r="M291" s="11">
        <v>0</v>
      </c>
      <c r="N291" s="11">
        <v>0</v>
      </c>
      <c r="O291" s="11">
        <v>0</v>
      </c>
      <c r="P291" s="11">
        <v>0</v>
      </c>
      <c r="Q291" s="12">
        <v>0</v>
      </c>
      <c r="R291" s="12">
        <v>0</v>
      </c>
      <c r="S291" s="12">
        <v>0</v>
      </c>
      <c r="T291" s="12">
        <v>0</v>
      </c>
      <c r="U291" s="12">
        <f>$G$291*$G$8+$H$291*$H$8+$I$291*$I$8+$J$291*$J$8+$K$291*$K$8+$L$291*$L$8+$M$291*$M$8+$N$291*$N$8+$O$291*$O$8+$P$291*$P$8</f>
        <v>0</v>
      </c>
      <c r="V291" s="12">
        <f>SUM($Q$291:$T$291)</f>
        <v>0</v>
      </c>
      <c r="W291" s="12">
        <f>$U$291+$V$291</f>
        <v>0</v>
      </c>
    </row>
    <row r="292" spans="1:23" x14ac:dyDescent="0.3">
      <c r="A292" s="13" t="s">
        <v>1074</v>
      </c>
      <c r="B292" s="14" t="s">
        <v>1071</v>
      </c>
      <c r="C292" s="14"/>
      <c r="D292" s="14" t="s">
        <v>1075</v>
      </c>
      <c r="E292" s="14">
        <f xml:space="preserve"> IF($W$292,1,0)</f>
        <v>0</v>
      </c>
      <c r="F292" s="14" t="s">
        <v>1076</v>
      </c>
      <c r="G292" s="14">
        <v>0</v>
      </c>
      <c r="H292" s="14">
        <v>0</v>
      </c>
      <c r="I292" s="14">
        <v>0</v>
      </c>
      <c r="J292" s="14">
        <v>0</v>
      </c>
      <c r="K292" s="14">
        <v>0</v>
      </c>
      <c r="L292" s="14">
        <v>0</v>
      </c>
      <c r="M292" s="14">
        <v>0</v>
      </c>
      <c r="N292" s="14">
        <v>0</v>
      </c>
      <c r="O292" s="14">
        <v>0</v>
      </c>
      <c r="P292" s="14">
        <v>0</v>
      </c>
      <c r="Q292" s="15">
        <v>0</v>
      </c>
      <c r="R292" s="15">
        <v>0</v>
      </c>
      <c r="S292" s="15">
        <v>0</v>
      </c>
      <c r="T292" s="15">
        <v>0</v>
      </c>
      <c r="U292" s="15">
        <f>$G$292*$G$8+$H$292*$H$8+$I$292*$I$8+$J$292*$J$8+$K$292*$K$8+$L$292*$L$8+$M$292*$M$8+$N$292*$N$8+$O$292*$O$8+$P$292*$P$8</f>
        <v>0</v>
      </c>
      <c r="V292" s="15">
        <f>SUM($Q$292:$T$292)</f>
        <v>0</v>
      </c>
      <c r="W292" s="15">
        <f>$U$292+$V$292</f>
        <v>0</v>
      </c>
    </row>
    <row r="293" spans="1:23" x14ac:dyDescent="0.3">
      <c r="A293" s="10" t="s">
        <v>1077</v>
      </c>
      <c r="B293" s="11" t="s">
        <v>1078</v>
      </c>
      <c r="C293" s="11"/>
      <c r="D293" s="11" t="s">
        <v>1079</v>
      </c>
      <c r="E293" s="11">
        <f xml:space="preserve"> IF($W$293,1,0)</f>
        <v>0</v>
      </c>
      <c r="F293" s="11" t="s">
        <v>1080</v>
      </c>
      <c r="G293" s="11">
        <v>0</v>
      </c>
      <c r="H293" s="11">
        <v>0</v>
      </c>
      <c r="I293" s="11">
        <v>0</v>
      </c>
      <c r="J293" s="11">
        <v>0</v>
      </c>
      <c r="K293" s="11">
        <v>0</v>
      </c>
      <c r="L293" s="11">
        <v>0</v>
      </c>
      <c r="M293" s="11">
        <v>0</v>
      </c>
      <c r="N293" s="11">
        <v>0</v>
      </c>
      <c r="O293" s="11">
        <v>0</v>
      </c>
      <c r="P293" s="11">
        <v>0</v>
      </c>
      <c r="Q293" s="12">
        <v>0</v>
      </c>
      <c r="R293" s="12">
        <v>0</v>
      </c>
      <c r="S293" s="12">
        <v>0</v>
      </c>
      <c r="T293" s="12">
        <v>0</v>
      </c>
      <c r="U293" s="12">
        <f>$G$293*$G$8+$H$293*$H$8+$I$293*$I$8+$J$293*$J$8+$K$293*$K$8+$L$293*$L$8+$M$293*$M$8+$N$293*$N$8+$O$293*$O$8+$P$293*$P$8</f>
        <v>0</v>
      </c>
      <c r="V293" s="12">
        <f>SUM($Q$293:$T$293)</f>
        <v>0</v>
      </c>
      <c r="W293" s="12">
        <f>$U$293+$V$293</f>
        <v>0</v>
      </c>
    </row>
    <row r="294" spans="1:23" x14ac:dyDescent="0.3">
      <c r="A294" s="13" t="s">
        <v>1081</v>
      </c>
      <c r="B294" s="14" t="s">
        <v>1082</v>
      </c>
      <c r="C294" s="14"/>
      <c r="D294" s="14" t="s">
        <v>1083</v>
      </c>
      <c r="E294" s="14">
        <f xml:space="preserve"> IF($W$294,1,0)</f>
        <v>0</v>
      </c>
      <c r="F294" s="14" t="s">
        <v>1084</v>
      </c>
      <c r="G294" s="14">
        <v>0</v>
      </c>
      <c r="H294" s="14">
        <v>0</v>
      </c>
      <c r="I294" s="14">
        <v>0</v>
      </c>
      <c r="J294" s="14">
        <v>0</v>
      </c>
      <c r="K294" s="14">
        <v>0</v>
      </c>
      <c r="L294" s="14">
        <v>0</v>
      </c>
      <c r="M294" s="14">
        <v>0</v>
      </c>
      <c r="N294" s="14">
        <v>0</v>
      </c>
      <c r="O294" s="14">
        <v>0</v>
      </c>
      <c r="P294" s="14">
        <v>0</v>
      </c>
      <c r="Q294" s="15">
        <v>0</v>
      </c>
      <c r="R294" s="15">
        <v>0</v>
      </c>
      <c r="S294" s="15">
        <v>0</v>
      </c>
      <c r="T294" s="15">
        <v>0</v>
      </c>
      <c r="U294" s="15">
        <f>$G$294*$G$8+$H$294*$H$8+$I$294*$I$8+$J$294*$J$8+$K$294*$K$8+$L$294*$L$8+$M$294*$M$8+$N$294*$N$8+$O$294*$O$8+$P$294*$P$8</f>
        <v>0</v>
      </c>
      <c r="V294" s="15">
        <f>SUM($Q$294:$T$294)</f>
        <v>0</v>
      </c>
      <c r="W294" s="15">
        <f>$U$294+$V$294</f>
        <v>0</v>
      </c>
    </row>
    <row r="295" spans="1:23" x14ac:dyDescent="0.3">
      <c r="A295" s="10" t="s">
        <v>1085</v>
      </c>
      <c r="B295" s="11" t="s">
        <v>1082</v>
      </c>
      <c r="C295" s="11"/>
      <c r="D295" s="11" t="s">
        <v>1086</v>
      </c>
      <c r="E295" s="11">
        <f xml:space="preserve"> IF($W$295,1,0)</f>
        <v>0</v>
      </c>
      <c r="F295" s="11" t="s">
        <v>1087</v>
      </c>
      <c r="G295" s="11">
        <v>0</v>
      </c>
      <c r="H295" s="11">
        <v>0</v>
      </c>
      <c r="I295" s="11">
        <v>0</v>
      </c>
      <c r="J295" s="11">
        <v>0</v>
      </c>
      <c r="K295" s="11">
        <v>0</v>
      </c>
      <c r="L295" s="11">
        <v>0</v>
      </c>
      <c r="M295" s="11">
        <v>0</v>
      </c>
      <c r="N295" s="11">
        <v>0</v>
      </c>
      <c r="O295" s="11">
        <v>0</v>
      </c>
      <c r="P295" s="11">
        <v>0</v>
      </c>
      <c r="Q295" s="12">
        <v>0</v>
      </c>
      <c r="R295" s="12">
        <v>0</v>
      </c>
      <c r="S295" s="12">
        <v>0</v>
      </c>
      <c r="T295" s="12">
        <v>0</v>
      </c>
      <c r="U295" s="12">
        <f>$G$295*$G$8+$H$295*$H$8+$I$295*$I$8+$J$295*$J$8+$K$295*$K$8+$L$295*$L$8+$M$295*$M$8+$N$295*$N$8+$O$295*$O$8+$P$295*$P$8</f>
        <v>0</v>
      </c>
      <c r="V295" s="12">
        <f>SUM($Q$295:$T$295)</f>
        <v>0</v>
      </c>
      <c r="W295" s="12">
        <f>$U$295+$V$295</f>
        <v>0</v>
      </c>
    </row>
    <row r="296" spans="1:23" x14ac:dyDescent="0.3">
      <c r="A296" s="13" t="s">
        <v>1088</v>
      </c>
      <c r="B296" s="14" t="s">
        <v>1082</v>
      </c>
      <c r="C296" s="14" t="s">
        <v>65</v>
      </c>
      <c r="D296" s="14" t="s">
        <v>1089</v>
      </c>
      <c r="E296" s="14">
        <f xml:space="preserve"> IF($W$296,1,0)</f>
        <v>0</v>
      </c>
      <c r="F296" s="14" t="s">
        <v>1090</v>
      </c>
      <c r="G296" s="14">
        <v>0</v>
      </c>
      <c r="H296" s="14">
        <v>0</v>
      </c>
      <c r="I296" s="14">
        <v>0</v>
      </c>
      <c r="J296" s="14">
        <v>0</v>
      </c>
      <c r="K296" s="14">
        <v>0</v>
      </c>
      <c r="L296" s="14">
        <v>0</v>
      </c>
      <c r="M296" s="14">
        <v>0</v>
      </c>
      <c r="N296" s="14">
        <v>0</v>
      </c>
      <c r="O296" s="14">
        <v>0</v>
      </c>
      <c r="P296" s="14">
        <v>0</v>
      </c>
      <c r="Q296" s="15">
        <v>0</v>
      </c>
      <c r="R296" s="15">
        <v>0</v>
      </c>
      <c r="S296" s="15">
        <v>0</v>
      </c>
      <c r="T296" s="15">
        <v>0</v>
      </c>
      <c r="U296" s="15">
        <f>$G$296*$G$8+$H$296*$H$8+$I$296*$I$8+$J$296*$J$8+$K$296*$K$8+$L$296*$L$8+$M$296*$M$8+$N$296*$N$8+$O$296*$O$8+$P$296*$P$8</f>
        <v>0</v>
      </c>
      <c r="V296" s="15">
        <f>SUM($Q$296:$T$296)</f>
        <v>0</v>
      </c>
      <c r="W296" s="15">
        <f>$U$296+$V$296</f>
        <v>0</v>
      </c>
    </row>
    <row r="297" spans="1:23" x14ac:dyDescent="0.3">
      <c r="A297" s="10" t="s">
        <v>1091</v>
      </c>
      <c r="B297" s="11" t="s">
        <v>1082</v>
      </c>
      <c r="C297" s="11"/>
      <c r="D297" s="11" t="s">
        <v>1092</v>
      </c>
      <c r="E297" s="11">
        <f xml:space="preserve"> IF($W$297,1,0)</f>
        <v>0</v>
      </c>
      <c r="F297" s="11" t="s">
        <v>1093</v>
      </c>
      <c r="G297" s="11">
        <v>0</v>
      </c>
      <c r="H297" s="11">
        <v>0</v>
      </c>
      <c r="I297" s="11">
        <v>0</v>
      </c>
      <c r="J297" s="11">
        <v>0</v>
      </c>
      <c r="K297" s="11">
        <v>0</v>
      </c>
      <c r="L297" s="11">
        <v>0</v>
      </c>
      <c r="M297" s="11">
        <v>0</v>
      </c>
      <c r="N297" s="11">
        <v>0</v>
      </c>
      <c r="O297" s="11">
        <v>0</v>
      </c>
      <c r="P297" s="11">
        <v>0</v>
      </c>
      <c r="Q297" s="12">
        <v>0</v>
      </c>
      <c r="R297" s="12">
        <v>0</v>
      </c>
      <c r="S297" s="12">
        <v>0</v>
      </c>
      <c r="T297" s="12">
        <v>0</v>
      </c>
      <c r="U297" s="12">
        <f>$G$297*$G$8+$H$297*$H$8+$I$297*$I$8+$J$297*$J$8+$K$297*$K$8+$L$297*$L$8+$M$297*$M$8+$N$297*$N$8+$O$297*$O$8+$P$297*$P$8</f>
        <v>0</v>
      </c>
      <c r="V297" s="12">
        <f>SUM($Q$297:$T$297)</f>
        <v>0</v>
      </c>
      <c r="W297" s="12">
        <f>$U$297+$V$297</f>
        <v>0</v>
      </c>
    </row>
    <row r="298" spans="1:23" x14ac:dyDescent="0.3">
      <c r="A298" s="13" t="s">
        <v>1094</v>
      </c>
      <c r="B298" s="14" t="s">
        <v>1095</v>
      </c>
      <c r="C298" s="14" t="s">
        <v>34</v>
      </c>
      <c r="D298" s="14" t="s">
        <v>1096</v>
      </c>
      <c r="E298" s="14">
        <f xml:space="preserve"> IF($W$298,1,0)</f>
        <v>0</v>
      </c>
      <c r="F298" s="14" t="s">
        <v>1097</v>
      </c>
      <c r="G298" s="14">
        <v>0</v>
      </c>
      <c r="H298" s="14">
        <v>0</v>
      </c>
      <c r="I298" s="14">
        <v>0</v>
      </c>
      <c r="J298" s="14">
        <v>0</v>
      </c>
      <c r="K298" s="14">
        <v>0</v>
      </c>
      <c r="L298" s="14">
        <v>0</v>
      </c>
      <c r="M298" s="14">
        <v>0</v>
      </c>
      <c r="N298" s="14">
        <v>0</v>
      </c>
      <c r="O298" s="14">
        <v>0</v>
      </c>
      <c r="P298" s="14">
        <v>0</v>
      </c>
      <c r="Q298" s="15">
        <v>0</v>
      </c>
      <c r="R298" s="15">
        <v>0</v>
      </c>
      <c r="S298" s="15">
        <v>0</v>
      </c>
      <c r="T298" s="15">
        <v>0</v>
      </c>
      <c r="U298" s="15">
        <f>$G$298*$G$8+$H$298*$H$8+$I$298*$I$8+$J$298*$J$8+$K$298*$K$8+$L$298*$L$8+$M$298*$M$8+$N$298*$N$8+$O$298*$O$8+$P$298*$P$8</f>
        <v>0</v>
      </c>
      <c r="V298" s="15">
        <f>SUM($Q$298:$T$298)</f>
        <v>0</v>
      </c>
      <c r="W298" s="15">
        <f>$U$298+$V$298</f>
        <v>0</v>
      </c>
    </row>
    <row r="299" spans="1:23" x14ac:dyDescent="0.3">
      <c r="A299" s="10" t="s">
        <v>1098</v>
      </c>
      <c r="B299" s="11" t="s">
        <v>1099</v>
      </c>
      <c r="C299" s="11"/>
      <c r="D299" s="11" t="s">
        <v>1100</v>
      </c>
      <c r="E299" s="11">
        <f xml:space="preserve"> IF($W$299,1,0)</f>
        <v>0</v>
      </c>
      <c r="F299" s="11" t="s">
        <v>1101</v>
      </c>
      <c r="G299" s="11">
        <v>0</v>
      </c>
      <c r="H299" s="11">
        <v>0</v>
      </c>
      <c r="I299" s="11">
        <v>0</v>
      </c>
      <c r="J299" s="11">
        <v>0</v>
      </c>
      <c r="K299" s="11">
        <v>0</v>
      </c>
      <c r="L299" s="11">
        <v>0</v>
      </c>
      <c r="M299" s="11">
        <v>0</v>
      </c>
      <c r="N299" s="11">
        <v>0</v>
      </c>
      <c r="O299" s="11">
        <v>0</v>
      </c>
      <c r="P299" s="11">
        <v>0</v>
      </c>
      <c r="Q299" s="12">
        <v>0</v>
      </c>
      <c r="R299" s="12">
        <v>0</v>
      </c>
      <c r="S299" s="12">
        <v>0</v>
      </c>
      <c r="T299" s="12">
        <v>0</v>
      </c>
      <c r="U299" s="12">
        <f>$G$299*$G$8+$H$299*$H$8+$I$299*$I$8+$J$299*$J$8+$K$299*$K$8+$L$299*$L$8+$M$299*$M$8+$N$299*$N$8+$O$299*$O$8+$P$299*$P$8</f>
        <v>0</v>
      </c>
      <c r="V299" s="12">
        <f>SUM($Q$299:$T$299)</f>
        <v>0</v>
      </c>
      <c r="W299" s="12">
        <f>$U$299+$V$299</f>
        <v>0</v>
      </c>
    </row>
    <row r="300" spans="1:23" x14ac:dyDescent="0.3">
      <c r="A300" s="13" t="s">
        <v>1102</v>
      </c>
      <c r="B300" s="14" t="s">
        <v>1103</v>
      </c>
      <c r="C300" s="14"/>
      <c r="D300" s="14" t="s">
        <v>1104</v>
      </c>
      <c r="E300" s="14">
        <f xml:space="preserve"> IF($W$300,1,0)</f>
        <v>0</v>
      </c>
      <c r="F300" s="14" t="s">
        <v>1105</v>
      </c>
      <c r="G300" s="14">
        <v>0</v>
      </c>
      <c r="H300" s="14">
        <v>0</v>
      </c>
      <c r="I300" s="14">
        <v>0</v>
      </c>
      <c r="J300" s="14">
        <v>0</v>
      </c>
      <c r="K300" s="14">
        <v>0</v>
      </c>
      <c r="L300" s="14">
        <v>0</v>
      </c>
      <c r="M300" s="14">
        <v>0</v>
      </c>
      <c r="N300" s="14">
        <v>0</v>
      </c>
      <c r="O300" s="14">
        <v>0</v>
      </c>
      <c r="P300" s="14">
        <v>0</v>
      </c>
      <c r="Q300" s="15">
        <v>0</v>
      </c>
      <c r="R300" s="15">
        <v>0</v>
      </c>
      <c r="S300" s="15">
        <v>0</v>
      </c>
      <c r="T300" s="15">
        <v>0</v>
      </c>
      <c r="U300" s="15">
        <f>$G$300*$G$8+$H$300*$H$8+$I$300*$I$8+$J$300*$J$8+$K$300*$K$8+$L$300*$L$8+$M$300*$M$8+$N$300*$N$8+$O$300*$O$8+$P$300*$P$8</f>
        <v>0</v>
      </c>
      <c r="V300" s="15">
        <f>SUM($Q$300:$T$300)</f>
        <v>0</v>
      </c>
      <c r="W300" s="15">
        <f>$U$300+$V$300</f>
        <v>0</v>
      </c>
    </row>
    <row r="301" spans="1:23" x14ac:dyDescent="0.3">
      <c r="A301" s="10" t="s">
        <v>1106</v>
      </c>
      <c r="B301" s="11" t="s">
        <v>1107</v>
      </c>
      <c r="C301" s="11"/>
      <c r="D301" s="11" t="s">
        <v>1107</v>
      </c>
      <c r="E301" s="11">
        <f xml:space="preserve"> IF($W$301,1,0)</f>
        <v>0</v>
      </c>
      <c r="F301" s="11" t="s">
        <v>1108</v>
      </c>
      <c r="G301" s="11">
        <v>0</v>
      </c>
      <c r="H301" s="11">
        <v>0</v>
      </c>
      <c r="I301" s="11">
        <v>0</v>
      </c>
      <c r="J301" s="11">
        <v>0</v>
      </c>
      <c r="K301" s="11">
        <v>0</v>
      </c>
      <c r="L301" s="11">
        <v>0</v>
      </c>
      <c r="M301" s="11">
        <v>0</v>
      </c>
      <c r="N301" s="11">
        <v>0</v>
      </c>
      <c r="O301" s="11">
        <v>0</v>
      </c>
      <c r="P301" s="11">
        <v>0</v>
      </c>
      <c r="Q301" s="12">
        <v>0</v>
      </c>
      <c r="R301" s="12">
        <v>0</v>
      </c>
      <c r="S301" s="12">
        <v>0</v>
      </c>
      <c r="T301" s="12">
        <v>0</v>
      </c>
      <c r="U301" s="12">
        <f>$G$301*$G$8+$H$301*$H$8+$I$301*$I$8+$J$301*$J$8+$K$301*$K$8+$L$301*$L$8+$M$301*$M$8+$N$301*$N$8+$O$301*$O$8+$P$301*$P$8</f>
        <v>0</v>
      </c>
      <c r="V301" s="12">
        <f>SUM($Q$301:$T$301)</f>
        <v>0</v>
      </c>
      <c r="W301" s="12">
        <f>$U$301+$V$301</f>
        <v>0</v>
      </c>
    </row>
    <row r="302" spans="1:23" x14ac:dyDescent="0.3">
      <c r="A302" s="13" t="s">
        <v>1109</v>
      </c>
      <c r="B302" s="14" t="s">
        <v>1110</v>
      </c>
      <c r="C302" s="14" t="s">
        <v>34</v>
      </c>
      <c r="D302" s="14" t="s">
        <v>1111</v>
      </c>
      <c r="E302" s="14">
        <f xml:space="preserve"> IF($W$302,1,0)</f>
        <v>0</v>
      </c>
      <c r="F302" s="14" t="s">
        <v>1112</v>
      </c>
      <c r="G302" s="14">
        <v>0</v>
      </c>
      <c r="H302" s="14">
        <v>0</v>
      </c>
      <c r="I302" s="14">
        <v>0</v>
      </c>
      <c r="J302" s="14">
        <v>0</v>
      </c>
      <c r="K302" s="14">
        <v>0</v>
      </c>
      <c r="L302" s="14">
        <v>0</v>
      </c>
      <c r="M302" s="14">
        <v>0</v>
      </c>
      <c r="N302" s="14">
        <v>0</v>
      </c>
      <c r="O302" s="14">
        <v>0</v>
      </c>
      <c r="P302" s="14">
        <v>0</v>
      </c>
      <c r="Q302" s="15">
        <v>0</v>
      </c>
      <c r="R302" s="15">
        <v>0</v>
      </c>
      <c r="S302" s="15">
        <v>0</v>
      </c>
      <c r="T302" s="15">
        <v>0</v>
      </c>
      <c r="U302" s="15">
        <f>$G$302*$G$8+$H$302*$H$8+$I$302*$I$8+$J$302*$J$8+$K$302*$K$8+$L$302*$L$8+$M$302*$M$8+$N$302*$N$8+$O$302*$O$8+$P$302*$P$8</f>
        <v>0</v>
      </c>
      <c r="V302" s="15">
        <f>SUM($Q$302:$T$302)</f>
        <v>0</v>
      </c>
      <c r="W302" s="15">
        <f>$U$302+$V$302</f>
        <v>0</v>
      </c>
    </row>
    <row r="303" spans="1:23" x14ac:dyDescent="0.3">
      <c r="A303" s="10" t="s">
        <v>1113</v>
      </c>
      <c r="B303" s="11" t="s">
        <v>1114</v>
      </c>
      <c r="C303" s="11" t="s">
        <v>34</v>
      </c>
      <c r="D303" s="11" t="s">
        <v>239</v>
      </c>
      <c r="E303" s="11">
        <f xml:space="preserve"> IF($W$303,1,0)</f>
        <v>0</v>
      </c>
      <c r="F303" s="11" t="s">
        <v>1115</v>
      </c>
      <c r="G303" s="11">
        <v>0</v>
      </c>
      <c r="H303" s="11">
        <v>0</v>
      </c>
      <c r="I303" s="11">
        <v>0</v>
      </c>
      <c r="J303" s="11">
        <v>0</v>
      </c>
      <c r="K303" s="11">
        <v>0</v>
      </c>
      <c r="L303" s="11">
        <v>0</v>
      </c>
      <c r="M303" s="11">
        <v>0</v>
      </c>
      <c r="N303" s="11">
        <v>0</v>
      </c>
      <c r="O303" s="11">
        <v>0</v>
      </c>
      <c r="P303" s="11">
        <v>0</v>
      </c>
      <c r="Q303" s="12">
        <v>0</v>
      </c>
      <c r="R303" s="12">
        <v>0</v>
      </c>
      <c r="S303" s="12">
        <v>0</v>
      </c>
      <c r="T303" s="12">
        <v>0</v>
      </c>
      <c r="U303" s="12">
        <f>$G$303*$G$8+$H$303*$H$8+$I$303*$I$8+$J$303*$J$8+$K$303*$K$8+$L$303*$L$8+$M$303*$M$8+$N$303*$N$8+$O$303*$O$8+$P$303*$P$8</f>
        <v>0</v>
      </c>
      <c r="V303" s="12">
        <f>SUM($Q$303:$T$303)</f>
        <v>0</v>
      </c>
      <c r="W303" s="12">
        <f>$U$303+$V$303</f>
        <v>0</v>
      </c>
    </row>
    <row r="304" spans="1:23" x14ac:dyDescent="0.3">
      <c r="A304" s="13" t="s">
        <v>1257</v>
      </c>
      <c r="B304" s="14" t="s">
        <v>1117</v>
      </c>
      <c r="C304" s="14" t="s">
        <v>202</v>
      </c>
      <c r="D304" s="14" t="s">
        <v>442</v>
      </c>
      <c r="E304" s="14">
        <f xml:space="preserve"> IF($W$304,1,0)</f>
        <v>0</v>
      </c>
      <c r="F304" s="14" t="s">
        <v>1258</v>
      </c>
      <c r="G304" s="14">
        <v>0</v>
      </c>
      <c r="H304" s="14">
        <v>0</v>
      </c>
      <c r="I304" s="14">
        <v>0</v>
      </c>
      <c r="J304" s="14">
        <v>0</v>
      </c>
      <c r="K304" s="14">
        <v>0</v>
      </c>
      <c r="L304" s="14">
        <v>0</v>
      </c>
      <c r="M304" s="14">
        <v>0</v>
      </c>
      <c r="N304" s="14">
        <v>0</v>
      </c>
      <c r="O304" s="14">
        <v>0</v>
      </c>
      <c r="P304" s="14">
        <v>0</v>
      </c>
      <c r="Q304" s="15">
        <v>0</v>
      </c>
      <c r="R304" s="15">
        <v>0</v>
      </c>
      <c r="S304" s="15">
        <v>0</v>
      </c>
      <c r="T304" s="15">
        <v>0</v>
      </c>
      <c r="U304" s="15">
        <f>$G$304*$G$8+$H$304*$H$8+$I$304*$I$8+$J$304*$J$8+$K$304*$K$8+$L$304*$L$8+$M$304*$M$8+$N$304*$N$8+$O$304*$O$8+$P$304*$P$8</f>
        <v>0</v>
      </c>
      <c r="V304" s="15">
        <f>SUM($Q$304:$T$304)</f>
        <v>0</v>
      </c>
      <c r="W304" s="15">
        <f>$U$304+$V$304</f>
        <v>0</v>
      </c>
    </row>
    <row r="305" spans="1:23" x14ac:dyDescent="0.3">
      <c r="A305" s="10" t="s">
        <v>1116</v>
      </c>
      <c r="B305" s="11" t="s">
        <v>1117</v>
      </c>
      <c r="C305" s="11"/>
      <c r="D305" s="11" t="s">
        <v>1118</v>
      </c>
      <c r="E305" s="11">
        <f xml:space="preserve"> IF($W$305,1,0)</f>
        <v>0</v>
      </c>
      <c r="F305" s="11" t="s">
        <v>1119</v>
      </c>
      <c r="G305" s="11">
        <v>0</v>
      </c>
      <c r="H305" s="11">
        <v>0</v>
      </c>
      <c r="I305" s="11">
        <v>0</v>
      </c>
      <c r="J305" s="11">
        <v>0</v>
      </c>
      <c r="K305" s="11">
        <v>0</v>
      </c>
      <c r="L305" s="11">
        <v>0</v>
      </c>
      <c r="M305" s="11">
        <v>0</v>
      </c>
      <c r="N305" s="11">
        <v>0</v>
      </c>
      <c r="O305" s="11">
        <v>0</v>
      </c>
      <c r="P305" s="11">
        <v>0</v>
      </c>
      <c r="Q305" s="12">
        <v>0</v>
      </c>
      <c r="R305" s="12">
        <v>0</v>
      </c>
      <c r="S305" s="12">
        <v>0</v>
      </c>
      <c r="T305" s="12">
        <v>0</v>
      </c>
      <c r="U305" s="12">
        <f>$G$305*$G$8+$H$305*$H$8+$I$305*$I$8+$J$305*$J$8+$K$305*$K$8+$L$305*$L$8+$M$305*$M$8+$N$305*$N$8+$O$305*$O$8+$P$305*$P$8</f>
        <v>0</v>
      </c>
      <c r="V305" s="12">
        <f>SUM($Q$305:$T$305)</f>
        <v>0</v>
      </c>
      <c r="W305" s="12">
        <f>$U$305+$V$305</f>
        <v>0</v>
      </c>
    </row>
    <row r="306" spans="1:23" x14ac:dyDescent="0.3">
      <c r="A306" s="13" t="s">
        <v>1120</v>
      </c>
      <c r="B306" s="14" t="s">
        <v>1117</v>
      </c>
      <c r="C306" s="14"/>
      <c r="D306" s="14" t="s">
        <v>1121</v>
      </c>
      <c r="E306" s="14">
        <f xml:space="preserve"> IF($W$306,1,0)</f>
        <v>0</v>
      </c>
      <c r="F306" s="14" t="s">
        <v>1122</v>
      </c>
      <c r="G306" s="14">
        <v>0</v>
      </c>
      <c r="H306" s="14">
        <v>0</v>
      </c>
      <c r="I306" s="14">
        <v>0</v>
      </c>
      <c r="J306" s="14">
        <v>0</v>
      </c>
      <c r="K306" s="14">
        <v>0</v>
      </c>
      <c r="L306" s="14">
        <v>0</v>
      </c>
      <c r="M306" s="14">
        <v>0</v>
      </c>
      <c r="N306" s="14">
        <v>0</v>
      </c>
      <c r="O306" s="14">
        <v>0</v>
      </c>
      <c r="P306" s="14">
        <v>0</v>
      </c>
      <c r="Q306" s="15">
        <v>0</v>
      </c>
      <c r="R306" s="15">
        <v>0</v>
      </c>
      <c r="S306" s="15">
        <v>0</v>
      </c>
      <c r="T306" s="15">
        <v>0</v>
      </c>
      <c r="U306" s="15">
        <f>$G$306*$G$8+$H$306*$H$8+$I$306*$I$8+$J$306*$J$8+$K$306*$K$8+$L$306*$L$8+$M$306*$M$8+$N$306*$N$8+$O$306*$O$8+$P$306*$P$8</f>
        <v>0</v>
      </c>
      <c r="V306" s="15">
        <f>SUM($Q$306:$T$306)</f>
        <v>0</v>
      </c>
      <c r="W306" s="15">
        <f>$U$306+$V$306</f>
        <v>0</v>
      </c>
    </row>
    <row r="307" spans="1:23" x14ac:dyDescent="0.3">
      <c r="A307" s="10" t="s">
        <v>1123</v>
      </c>
      <c r="B307" s="11" t="s">
        <v>1117</v>
      </c>
      <c r="C307" s="11"/>
      <c r="D307" s="11" t="s">
        <v>1124</v>
      </c>
      <c r="E307" s="11">
        <f xml:space="preserve"> IF($W$307,1,0)</f>
        <v>0</v>
      </c>
      <c r="F307" s="11" t="s">
        <v>1125</v>
      </c>
      <c r="G307" s="11">
        <v>0</v>
      </c>
      <c r="H307" s="11">
        <v>0</v>
      </c>
      <c r="I307" s="11">
        <v>0</v>
      </c>
      <c r="J307" s="11">
        <v>0</v>
      </c>
      <c r="K307" s="11">
        <v>0</v>
      </c>
      <c r="L307" s="11">
        <v>0</v>
      </c>
      <c r="M307" s="11">
        <v>0</v>
      </c>
      <c r="N307" s="11">
        <v>0</v>
      </c>
      <c r="O307" s="11">
        <v>0</v>
      </c>
      <c r="P307" s="11">
        <v>0</v>
      </c>
      <c r="Q307" s="12">
        <v>0</v>
      </c>
      <c r="R307" s="12">
        <v>0</v>
      </c>
      <c r="S307" s="12">
        <v>0</v>
      </c>
      <c r="T307" s="12">
        <v>0</v>
      </c>
      <c r="U307" s="12">
        <f>$G$307*$G$8+$H$307*$H$8+$I$307*$I$8+$J$307*$J$8+$K$307*$K$8+$L$307*$L$8+$M$307*$M$8+$N$307*$N$8+$O$307*$O$8+$P$307*$P$8</f>
        <v>0</v>
      </c>
      <c r="V307" s="12">
        <f>SUM($Q$307:$T$307)</f>
        <v>0</v>
      </c>
      <c r="W307" s="12">
        <f>$U$307+$V$307</f>
        <v>0</v>
      </c>
    </row>
    <row r="308" spans="1:23" x14ac:dyDescent="0.3">
      <c r="A308" s="13" t="s">
        <v>1126</v>
      </c>
      <c r="B308" s="14" t="s">
        <v>1117</v>
      </c>
      <c r="C308" s="14"/>
      <c r="D308" s="14" t="s">
        <v>1127</v>
      </c>
      <c r="E308" s="14">
        <f xml:space="preserve"> IF($W$308,1,0)</f>
        <v>0</v>
      </c>
      <c r="F308" s="14" t="s">
        <v>1128</v>
      </c>
      <c r="G308" s="14">
        <v>0</v>
      </c>
      <c r="H308" s="14">
        <v>0</v>
      </c>
      <c r="I308" s="14">
        <v>0</v>
      </c>
      <c r="J308" s="14">
        <v>0</v>
      </c>
      <c r="K308" s="14">
        <v>0</v>
      </c>
      <c r="L308" s="14">
        <v>0</v>
      </c>
      <c r="M308" s="14">
        <v>0</v>
      </c>
      <c r="N308" s="14">
        <v>0</v>
      </c>
      <c r="O308" s="14">
        <v>0</v>
      </c>
      <c r="P308" s="14">
        <v>0</v>
      </c>
      <c r="Q308" s="15">
        <v>0</v>
      </c>
      <c r="R308" s="15">
        <v>0</v>
      </c>
      <c r="S308" s="15">
        <v>0</v>
      </c>
      <c r="T308" s="15">
        <v>0</v>
      </c>
      <c r="U308" s="15">
        <f>$G$308*$G$8+$H$308*$H$8+$I$308*$I$8+$J$308*$J$8+$K$308*$K$8+$L$308*$L$8+$M$308*$M$8+$N$308*$N$8+$O$308*$O$8+$P$308*$P$8</f>
        <v>0</v>
      </c>
      <c r="V308" s="15">
        <f>SUM($Q$308:$T$308)</f>
        <v>0</v>
      </c>
      <c r="W308" s="15">
        <f>$U$308+$V$308</f>
        <v>0</v>
      </c>
    </row>
    <row r="309" spans="1:23" x14ac:dyDescent="0.3">
      <c r="A309" s="10" t="s">
        <v>1129</v>
      </c>
      <c r="B309" s="11" t="s">
        <v>1130</v>
      </c>
      <c r="C309" s="11" t="s">
        <v>34</v>
      </c>
      <c r="D309" s="11" t="s">
        <v>1131</v>
      </c>
      <c r="E309" s="11">
        <f xml:space="preserve"> IF($W$309,1,0)</f>
        <v>0</v>
      </c>
      <c r="F309" s="11" t="s">
        <v>1132</v>
      </c>
      <c r="G309" s="11">
        <v>0</v>
      </c>
      <c r="H309" s="11">
        <v>0</v>
      </c>
      <c r="I309" s="11">
        <v>0</v>
      </c>
      <c r="J309" s="11">
        <v>0</v>
      </c>
      <c r="K309" s="11">
        <v>0</v>
      </c>
      <c r="L309" s="11">
        <v>0</v>
      </c>
      <c r="M309" s="11">
        <v>0</v>
      </c>
      <c r="N309" s="11">
        <v>0</v>
      </c>
      <c r="O309" s="11">
        <v>0</v>
      </c>
      <c r="P309" s="11">
        <v>0</v>
      </c>
      <c r="Q309" s="12">
        <v>0</v>
      </c>
      <c r="R309" s="12">
        <v>0</v>
      </c>
      <c r="S309" s="12">
        <v>0</v>
      </c>
      <c r="T309" s="12">
        <v>0</v>
      </c>
      <c r="U309" s="12">
        <f>$G$309*$G$8+$H$309*$H$8+$I$309*$I$8+$J$309*$J$8+$K$309*$K$8+$L$309*$L$8+$M$309*$M$8+$N$309*$N$8+$O$309*$O$8+$P$309*$P$8</f>
        <v>0</v>
      </c>
      <c r="V309" s="12">
        <f>SUM($Q$309:$T$309)</f>
        <v>0</v>
      </c>
      <c r="W309" s="12">
        <f>$U$309+$V$309</f>
        <v>0</v>
      </c>
    </row>
    <row r="310" spans="1:23" x14ac:dyDescent="0.3">
      <c r="A310" s="13" t="s">
        <v>1133</v>
      </c>
      <c r="B310" s="14" t="s">
        <v>1134</v>
      </c>
      <c r="C310" s="14"/>
      <c r="D310" s="14" t="s">
        <v>1135</v>
      </c>
      <c r="E310" s="14">
        <f xml:space="preserve"> IF($W$310,1,0)</f>
        <v>0</v>
      </c>
      <c r="F310" s="14" t="s">
        <v>1136</v>
      </c>
      <c r="G310" s="14">
        <v>0</v>
      </c>
      <c r="H310" s="14">
        <v>0</v>
      </c>
      <c r="I310" s="14">
        <v>0</v>
      </c>
      <c r="J310" s="14">
        <v>0</v>
      </c>
      <c r="K310" s="14">
        <v>0</v>
      </c>
      <c r="L310" s="14">
        <v>0</v>
      </c>
      <c r="M310" s="14">
        <v>0</v>
      </c>
      <c r="N310" s="14">
        <v>0</v>
      </c>
      <c r="O310" s="14">
        <v>0</v>
      </c>
      <c r="P310" s="14">
        <v>0</v>
      </c>
      <c r="Q310" s="15">
        <v>0</v>
      </c>
      <c r="R310" s="15">
        <v>0</v>
      </c>
      <c r="S310" s="15">
        <v>0</v>
      </c>
      <c r="T310" s="15">
        <v>0</v>
      </c>
      <c r="U310" s="15">
        <f>$G$310*$G$8+$H$310*$H$8+$I$310*$I$8+$J$310*$J$8+$K$310*$K$8+$L$310*$L$8+$M$310*$M$8+$N$310*$N$8+$O$310*$O$8+$P$310*$P$8</f>
        <v>0</v>
      </c>
      <c r="V310" s="15">
        <f>SUM($Q$310:$T$310)</f>
        <v>0</v>
      </c>
      <c r="W310" s="15">
        <f>$U$310+$V$310</f>
        <v>0</v>
      </c>
    </row>
    <row r="311" spans="1:23" x14ac:dyDescent="0.3">
      <c r="A311" s="10" t="s">
        <v>1137</v>
      </c>
      <c r="B311" s="11" t="s">
        <v>1138</v>
      </c>
      <c r="C311" s="11" t="s">
        <v>1296</v>
      </c>
      <c r="D311" s="11" t="s">
        <v>1139</v>
      </c>
      <c r="E311" s="11">
        <f xml:space="preserve"> IF($W$311,1,0)</f>
        <v>0</v>
      </c>
      <c r="F311" s="11" t="s">
        <v>1297</v>
      </c>
      <c r="G311" s="11">
        <v>0</v>
      </c>
      <c r="H311" s="11">
        <v>0</v>
      </c>
      <c r="I311" s="11">
        <v>0</v>
      </c>
      <c r="J311" s="11">
        <v>0</v>
      </c>
      <c r="K311" s="11">
        <v>0</v>
      </c>
      <c r="L311" s="11">
        <v>0</v>
      </c>
      <c r="M311" s="11">
        <v>0</v>
      </c>
      <c r="N311" s="11">
        <v>0</v>
      </c>
      <c r="O311" s="11">
        <v>0</v>
      </c>
      <c r="P311" s="11">
        <v>0</v>
      </c>
      <c r="Q311" s="12">
        <v>0</v>
      </c>
      <c r="R311" s="12">
        <v>0</v>
      </c>
      <c r="S311" s="12">
        <v>0</v>
      </c>
      <c r="T311" s="12">
        <v>0</v>
      </c>
      <c r="U311" s="12">
        <f>$G$311*$G$8+$H$311*$H$8+$I$311*$I$8+$J$311*$J$8+$K$311*$K$8+$L$311*$L$8+$M$311*$M$8+$N$311*$N$8+$O$311*$O$8+$P$311*$P$8</f>
        <v>0</v>
      </c>
      <c r="V311" s="12">
        <f>SUM($Q$311:$T$311)</f>
        <v>0</v>
      </c>
      <c r="W311" s="12">
        <f>$U$311+$V$311</f>
        <v>0</v>
      </c>
    </row>
    <row r="312" spans="1:23" x14ac:dyDescent="0.3">
      <c r="A312" s="13" t="s">
        <v>1141</v>
      </c>
      <c r="B312" s="14" t="s">
        <v>1142</v>
      </c>
      <c r="C312" s="14" t="s">
        <v>202</v>
      </c>
      <c r="D312" s="14" t="s">
        <v>442</v>
      </c>
      <c r="E312" s="14">
        <f xml:space="preserve"> IF($W$312,1,0)</f>
        <v>0</v>
      </c>
      <c r="F312" s="14" t="s">
        <v>1143</v>
      </c>
      <c r="G312" s="14">
        <v>0</v>
      </c>
      <c r="H312" s="14">
        <v>0</v>
      </c>
      <c r="I312" s="14">
        <v>0</v>
      </c>
      <c r="J312" s="14">
        <v>0</v>
      </c>
      <c r="K312" s="14">
        <v>0</v>
      </c>
      <c r="L312" s="14">
        <v>0</v>
      </c>
      <c r="M312" s="14">
        <v>0</v>
      </c>
      <c r="N312" s="14">
        <v>0</v>
      </c>
      <c r="O312" s="14">
        <v>0</v>
      </c>
      <c r="P312" s="14">
        <v>0</v>
      </c>
      <c r="Q312" s="15">
        <v>0</v>
      </c>
      <c r="R312" s="15">
        <v>0</v>
      </c>
      <c r="S312" s="15">
        <v>0</v>
      </c>
      <c r="T312" s="15">
        <v>0</v>
      </c>
      <c r="U312" s="15">
        <f>$G$312*$G$8+$H$312*$H$8+$I$312*$I$8+$J$312*$J$8+$K$312*$K$8+$L$312*$L$8+$M$312*$M$8+$N$312*$N$8+$O$312*$O$8+$P$312*$P$8</f>
        <v>0</v>
      </c>
      <c r="V312" s="15">
        <f>SUM($Q$312:$T$312)</f>
        <v>0</v>
      </c>
      <c r="W312" s="15">
        <f>$U$312+$V$312</f>
        <v>0</v>
      </c>
    </row>
    <row r="313" spans="1:23" x14ac:dyDescent="0.3">
      <c r="A313" s="10" t="s">
        <v>1144</v>
      </c>
      <c r="B313" s="11" t="s">
        <v>1142</v>
      </c>
      <c r="C313" s="11"/>
      <c r="D313" s="11" t="s">
        <v>1145</v>
      </c>
      <c r="E313" s="11">
        <f xml:space="preserve"> IF($W$313,1,0)</f>
        <v>0</v>
      </c>
      <c r="F313" s="11" t="s">
        <v>1146</v>
      </c>
      <c r="G313" s="11">
        <v>0</v>
      </c>
      <c r="H313" s="11">
        <v>0</v>
      </c>
      <c r="I313" s="11">
        <v>0</v>
      </c>
      <c r="J313" s="11">
        <v>0</v>
      </c>
      <c r="K313" s="11">
        <v>0</v>
      </c>
      <c r="L313" s="11">
        <v>0</v>
      </c>
      <c r="M313" s="11">
        <v>0</v>
      </c>
      <c r="N313" s="11">
        <v>0</v>
      </c>
      <c r="O313" s="11">
        <v>0</v>
      </c>
      <c r="P313" s="11">
        <v>0</v>
      </c>
      <c r="Q313" s="12">
        <v>0</v>
      </c>
      <c r="R313" s="12">
        <v>0</v>
      </c>
      <c r="S313" s="12">
        <v>0</v>
      </c>
      <c r="T313" s="12">
        <v>0</v>
      </c>
      <c r="U313" s="12">
        <f>$G$313*$G$8+$H$313*$H$8+$I$313*$I$8+$J$313*$J$8+$K$313*$K$8+$L$313*$L$8+$M$313*$M$8+$N$313*$N$8+$O$313*$O$8+$P$313*$P$8</f>
        <v>0</v>
      </c>
      <c r="V313" s="12">
        <f>SUM($Q$313:$T$313)</f>
        <v>0</v>
      </c>
      <c r="W313" s="12">
        <f>$U$313+$V$313</f>
        <v>0</v>
      </c>
    </row>
    <row r="314" spans="1:23" x14ac:dyDescent="0.3">
      <c r="A314" s="13" t="s">
        <v>1147</v>
      </c>
      <c r="B314" s="14" t="s">
        <v>1142</v>
      </c>
      <c r="C314" s="14"/>
      <c r="D314" s="14" t="s">
        <v>138</v>
      </c>
      <c r="E314" s="14">
        <f xml:space="preserve"> IF($W$314,1,0)</f>
        <v>0</v>
      </c>
      <c r="F314" s="14" t="s">
        <v>1148</v>
      </c>
      <c r="G314" s="14">
        <v>0</v>
      </c>
      <c r="H314" s="14">
        <v>0</v>
      </c>
      <c r="I314" s="14">
        <v>0</v>
      </c>
      <c r="J314" s="14">
        <v>0</v>
      </c>
      <c r="K314" s="14">
        <v>0</v>
      </c>
      <c r="L314" s="14">
        <v>0</v>
      </c>
      <c r="M314" s="14">
        <v>0</v>
      </c>
      <c r="N314" s="14">
        <v>0</v>
      </c>
      <c r="O314" s="14">
        <v>0</v>
      </c>
      <c r="P314" s="14">
        <v>0</v>
      </c>
      <c r="Q314" s="15">
        <v>0</v>
      </c>
      <c r="R314" s="15">
        <v>0</v>
      </c>
      <c r="S314" s="15">
        <v>0</v>
      </c>
      <c r="T314" s="15">
        <v>0</v>
      </c>
      <c r="U314" s="15">
        <f>$G$314*$G$8+$H$314*$H$8+$I$314*$I$8+$J$314*$J$8+$K$314*$K$8+$L$314*$L$8+$M$314*$M$8+$N$314*$N$8+$O$314*$O$8+$P$314*$P$8</f>
        <v>0</v>
      </c>
      <c r="V314" s="15">
        <f>SUM($Q$314:$T$314)</f>
        <v>0</v>
      </c>
      <c r="W314" s="15">
        <f>$U$314+$V$314</f>
        <v>0</v>
      </c>
    </row>
    <row r="315" spans="1:23" x14ac:dyDescent="0.3">
      <c r="A315" s="10" t="s">
        <v>1149</v>
      </c>
      <c r="B315" s="11" t="s">
        <v>1142</v>
      </c>
      <c r="C315" s="11"/>
      <c r="D315" s="11" t="s">
        <v>1150</v>
      </c>
      <c r="E315" s="11">
        <f xml:space="preserve"> IF($W$315,1,0)</f>
        <v>0</v>
      </c>
      <c r="F315" s="11" t="s">
        <v>1151</v>
      </c>
      <c r="G315" s="11">
        <v>0</v>
      </c>
      <c r="H315" s="11">
        <v>0</v>
      </c>
      <c r="I315" s="11">
        <v>0</v>
      </c>
      <c r="J315" s="11">
        <v>0</v>
      </c>
      <c r="K315" s="11">
        <v>0</v>
      </c>
      <c r="L315" s="11">
        <v>0</v>
      </c>
      <c r="M315" s="11">
        <v>0</v>
      </c>
      <c r="N315" s="11">
        <v>0</v>
      </c>
      <c r="O315" s="11">
        <v>0</v>
      </c>
      <c r="P315" s="11">
        <v>0</v>
      </c>
      <c r="Q315" s="12">
        <v>0</v>
      </c>
      <c r="R315" s="12">
        <v>0</v>
      </c>
      <c r="S315" s="12">
        <v>0</v>
      </c>
      <c r="T315" s="12">
        <v>0</v>
      </c>
      <c r="U315" s="12">
        <f>$G$315*$G$8+$H$315*$H$8+$I$315*$I$8+$J$315*$J$8+$K$315*$K$8+$L$315*$L$8+$M$315*$M$8+$N$315*$N$8+$O$315*$O$8+$P$315*$P$8</f>
        <v>0</v>
      </c>
      <c r="V315" s="12">
        <f>SUM($Q$315:$T$315)</f>
        <v>0</v>
      </c>
      <c r="W315" s="12">
        <f>$U$315+$V$315</f>
        <v>0</v>
      </c>
    </row>
    <row r="316" spans="1:23" x14ac:dyDescent="0.3">
      <c r="A316" s="13" t="s">
        <v>1152</v>
      </c>
      <c r="B316" s="14" t="s">
        <v>1142</v>
      </c>
      <c r="C316" s="14"/>
      <c r="D316" s="14" t="s">
        <v>1153</v>
      </c>
      <c r="E316" s="14">
        <f xml:space="preserve"> IF($W$316,1,0)</f>
        <v>0</v>
      </c>
      <c r="F316" s="14" t="s">
        <v>1154</v>
      </c>
      <c r="G316" s="14">
        <v>0</v>
      </c>
      <c r="H316" s="14">
        <v>0</v>
      </c>
      <c r="I316" s="14">
        <v>0</v>
      </c>
      <c r="J316" s="14">
        <v>0</v>
      </c>
      <c r="K316" s="14">
        <v>0</v>
      </c>
      <c r="L316" s="14">
        <v>0</v>
      </c>
      <c r="M316" s="14">
        <v>0</v>
      </c>
      <c r="N316" s="14">
        <v>0</v>
      </c>
      <c r="O316" s="14">
        <v>0</v>
      </c>
      <c r="P316" s="14">
        <v>0</v>
      </c>
      <c r="Q316" s="15">
        <v>0</v>
      </c>
      <c r="R316" s="15">
        <v>0</v>
      </c>
      <c r="S316" s="15">
        <v>0</v>
      </c>
      <c r="T316" s="15">
        <v>0</v>
      </c>
      <c r="U316" s="15">
        <f>$G$316*$G$8+$H$316*$H$8+$I$316*$I$8+$J$316*$J$8+$K$316*$K$8+$L$316*$L$8+$M$316*$M$8+$N$316*$N$8+$O$316*$O$8+$P$316*$P$8</f>
        <v>0</v>
      </c>
      <c r="V316" s="15">
        <f>SUM($Q$316:$T$316)</f>
        <v>0</v>
      </c>
      <c r="W316" s="15">
        <f>$U$316+$V$316</f>
        <v>0</v>
      </c>
    </row>
    <row r="317" spans="1:23" x14ac:dyDescent="0.3">
      <c r="A317" s="10" t="s">
        <v>1155</v>
      </c>
      <c r="B317" s="11" t="s">
        <v>1156</v>
      </c>
      <c r="C317" s="11"/>
      <c r="D317" s="11" t="s">
        <v>1157</v>
      </c>
      <c r="E317" s="11">
        <f xml:space="preserve"> IF($W$317,1,0)</f>
        <v>0</v>
      </c>
      <c r="F317" s="11" t="s">
        <v>1158</v>
      </c>
      <c r="G317" s="11">
        <v>0</v>
      </c>
      <c r="H317" s="11">
        <v>0</v>
      </c>
      <c r="I317" s="11">
        <v>0</v>
      </c>
      <c r="J317" s="11">
        <v>0</v>
      </c>
      <c r="K317" s="11">
        <v>0</v>
      </c>
      <c r="L317" s="11">
        <v>0</v>
      </c>
      <c r="M317" s="11">
        <v>0</v>
      </c>
      <c r="N317" s="11">
        <v>0</v>
      </c>
      <c r="O317" s="11">
        <v>0</v>
      </c>
      <c r="P317" s="11">
        <v>0</v>
      </c>
      <c r="Q317" s="12">
        <v>0</v>
      </c>
      <c r="R317" s="12">
        <v>0</v>
      </c>
      <c r="S317" s="12">
        <v>0</v>
      </c>
      <c r="T317" s="12">
        <v>0</v>
      </c>
      <c r="U317" s="12">
        <f>$G$317*$G$8+$H$317*$H$8+$I$317*$I$8+$J$317*$J$8+$K$317*$K$8+$L$317*$L$8+$M$317*$M$8+$N$317*$N$8+$O$317*$O$8+$P$317*$P$8</f>
        <v>0</v>
      </c>
      <c r="V317" s="12">
        <f>SUM($Q$317:$T$317)</f>
        <v>0</v>
      </c>
      <c r="W317" s="12">
        <f>$U$317+$V$317</f>
        <v>0</v>
      </c>
    </row>
    <row r="318" spans="1:23" x14ac:dyDescent="0.3">
      <c r="A318" s="13" t="s">
        <v>1159</v>
      </c>
      <c r="B318" s="14" t="s">
        <v>1160</v>
      </c>
      <c r="C318" s="14"/>
      <c r="D318" s="14" t="s">
        <v>1161</v>
      </c>
      <c r="E318" s="14">
        <f xml:space="preserve"> IF($W$318,1,0)</f>
        <v>0</v>
      </c>
      <c r="F318" s="14" t="s">
        <v>1162</v>
      </c>
      <c r="G318" s="14">
        <v>0</v>
      </c>
      <c r="H318" s="14">
        <v>0</v>
      </c>
      <c r="I318" s="14">
        <v>0</v>
      </c>
      <c r="J318" s="14">
        <v>0</v>
      </c>
      <c r="K318" s="14">
        <v>0</v>
      </c>
      <c r="L318" s="14">
        <v>0</v>
      </c>
      <c r="M318" s="14">
        <v>0</v>
      </c>
      <c r="N318" s="14">
        <v>0</v>
      </c>
      <c r="O318" s="14">
        <v>0</v>
      </c>
      <c r="P318" s="14">
        <v>0</v>
      </c>
      <c r="Q318" s="15">
        <v>0</v>
      </c>
      <c r="R318" s="15">
        <v>0</v>
      </c>
      <c r="S318" s="15">
        <v>0</v>
      </c>
      <c r="T318" s="15">
        <v>0</v>
      </c>
      <c r="U318" s="15">
        <f>$G$318*$G$8+$H$318*$H$8+$I$318*$I$8+$J$318*$J$8+$K$318*$K$8+$L$318*$L$8+$M$318*$M$8+$N$318*$N$8+$O$318*$O$8+$P$318*$P$8</f>
        <v>0</v>
      </c>
      <c r="V318" s="15">
        <f>SUM($Q$318:$T$318)</f>
        <v>0</v>
      </c>
      <c r="W318" s="15">
        <f>$U$318+$V$318</f>
        <v>0</v>
      </c>
    </row>
    <row r="319" spans="1:23" x14ac:dyDescent="0.3">
      <c r="A319" s="10" t="s">
        <v>1163</v>
      </c>
      <c r="B319" s="11" t="s">
        <v>1160</v>
      </c>
      <c r="C319" s="11"/>
      <c r="D319" s="11" t="s">
        <v>1164</v>
      </c>
      <c r="E319" s="11">
        <f xml:space="preserve"> IF($W$319,1,0)</f>
        <v>0</v>
      </c>
      <c r="F319" s="11" t="s">
        <v>1165</v>
      </c>
      <c r="G319" s="11">
        <v>0</v>
      </c>
      <c r="H319" s="11">
        <v>0</v>
      </c>
      <c r="I319" s="11">
        <v>0</v>
      </c>
      <c r="J319" s="11">
        <v>0</v>
      </c>
      <c r="K319" s="11">
        <v>0</v>
      </c>
      <c r="L319" s="11">
        <v>0</v>
      </c>
      <c r="M319" s="11">
        <v>0</v>
      </c>
      <c r="N319" s="11">
        <v>0</v>
      </c>
      <c r="O319" s="11">
        <v>0</v>
      </c>
      <c r="P319" s="11">
        <v>0</v>
      </c>
      <c r="Q319" s="12">
        <v>0</v>
      </c>
      <c r="R319" s="12">
        <v>0</v>
      </c>
      <c r="S319" s="12">
        <v>0</v>
      </c>
      <c r="T319" s="12">
        <v>0</v>
      </c>
      <c r="U319" s="12">
        <f>$G$319*$G$8+$H$319*$H$8+$I$319*$I$8+$J$319*$J$8+$K$319*$K$8+$L$319*$L$8+$M$319*$M$8+$N$319*$N$8+$O$319*$O$8+$P$319*$P$8</f>
        <v>0</v>
      </c>
      <c r="V319" s="12">
        <f>SUM($Q$319:$T$319)</f>
        <v>0</v>
      </c>
      <c r="W319" s="12">
        <f>$U$319+$V$319</f>
        <v>0</v>
      </c>
    </row>
    <row r="320" spans="1:23" x14ac:dyDescent="0.3">
      <c r="A320" s="13" t="s">
        <v>1166</v>
      </c>
      <c r="B320" s="14" t="s">
        <v>1160</v>
      </c>
      <c r="C320" s="14" t="s">
        <v>243</v>
      </c>
      <c r="D320" s="14" t="s">
        <v>1167</v>
      </c>
      <c r="E320" s="14">
        <f xml:space="preserve"> IF($W$320,1,0)</f>
        <v>0</v>
      </c>
      <c r="F320" s="14" t="s">
        <v>1168</v>
      </c>
      <c r="G320" s="14">
        <v>0</v>
      </c>
      <c r="H320" s="14">
        <v>0</v>
      </c>
      <c r="I320" s="14">
        <v>0</v>
      </c>
      <c r="J320" s="14">
        <v>0</v>
      </c>
      <c r="K320" s="14">
        <v>0</v>
      </c>
      <c r="L320" s="14">
        <v>0</v>
      </c>
      <c r="M320" s="14">
        <v>0</v>
      </c>
      <c r="N320" s="14">
        <v>0</v>
      </c>
      <c r="O320" s="14">
        <v>0</v>
      </c>
      <c r="P320" s="14">
        <v>0</v>
      </c>
      <c r="Q320" s="15">
        <v>0</v>
      </c>
      <c r="R320" s="15">
        <v>0</v>
      </c>
      <c r="S320" s="15">
        <v>0</v>
      </c>
      <c r="T320" s="15">
        <v>0</v>
      </c>
      <c r="U320" s="15">
        <f>$G$320*$G$8+$H$320*$H$8+$I$320*$I$8+$J$320*$J$8+$K$320*$K$8+$L$320*$L$8+$M$320*$M$8+$N$320*$N$8+$O$320*$O$8+$P$320*$P$8</f>
        <v>0</v>
      </c>
      <c r="V320" s="15">
        <f>SUM($Q$320:$T$320)</f>
        <v>0</v>
      </c>
      <c r="W320" s="15">
        <f>$U$320+$V$320</f>
        <v>0</v>
      </c>
    </row>
    <row r="321" spans="1:23" x14ac:dyDescent="0.3">
      <c r="A321" s="10" t="s">
        <v>1169</v>
      </c>
      <c r="B321" s="11" t="s">
        <v>1170</v>
      </c>
      <c r="C321" s="11"/>
      <c r="D321" s="11" t="s">
        <v>1171</v>
      </c>
      <c r="E321" s="11">
        <f xml:space="preserve"> IF($W$321,1,0)</f>
        <v>0</v>
      </c>
      <c r="F321" s="11" t="s">
        <v>1172</v>
      </c>
      <c r="G321" s="11">
        <v>0</v>
      </c>
      <c r="H321" s="11">
        <v>0</v>
      </c>
      <c r="I321" s="11">
        <v>0</v>
      </c>
      <c r="J321" s="11">
        <v>0</v>
      </c>
      <c r="K321" s="11">
        <v>0</v>
      </c>
      <c r="L321" s="11">
        <v>0</v>
      </c>
      <c r="M321" s="11">
        <v>0</v>
      </c>
      <c r="N321" s="11">
        <v>0</v>
      </c>
      <c r="O321" s="11">
        <v>0</v>
      </c>
      <c r="P321" s="11">
        <v>0</v>
      </c>
      <c r="Q321" s="12">
        <v>0</v>
      </c>
      <c r="R321" s="12">
        <v>0</v>
      </c>
      <c r="S321" s="12">
        <v>0</v>
      </c>
      <c r="T321" s="12">
        <v>0</v>
      </c>
      <c r="U321" s="12">
        <f>$G$321*$G$8+$H$321*$H$8+$I$321*$I$8+$J$321*$J$8+$K$321*$K$8+$L$321*$L$8+$M$321*$M$8+$N$321*$N$8+$O$321*$O$8+$P$321*$P$8</f>
        <v>0</v>
      </c>
      <c r="V321" s="12">
        <f>SUM($Q$321:$T$321)</f>
        <v>0</v>
      </c>
      <c r="W321" s="12">
        <f>$U$321+$V$321</f>
        <v>0</v>
      </c>
    </row>
    <row r="322" spans="1:23" x14ac:dyDescent="0.3">
      <c r="A322" s="13" t="s">
        <v>1173</v>
      </c>
      <c r="B322" s="14" t="s">
        <v>1174</v>
      </c>
      <c r="C322" s="14"/>
      <c r="D322" s="14" t="s">
        <v>1175</v>
      </c>
      <c r="E322" s="14">
        <f xml:space="preserve"> IF($W$322,1,0)</f>
        <v>0</v>
      </c>
      <c r="F322" s="14" t="s">
        <v>1176</v>
      </c>
      <c r="G322" s="14">
        <v>0</v>
      </c>
      <c r="H322" s="14">
        <v>0</v>
      </c>
      <c r="I322" s="14">
        <v>0</v>
      </c>
      <c r="J322" s="14">
        <v>0</v>
      </c>
      <c r="K322" s="14">
        <v>0</v>
      </c>
      <c r="L322" s="14">
        <v>0</v>
      </c>
      <c r="M322" s="14">
        <v>0</v>
      </c>
      <c r="N322" s="14">
        <v>0</v>
      </c>
      <c r="O322" s="14">
        <v>0</v>
      </c>
      <c r="P322" s="14">
        <v>0</v>
      </c>
      <c r="Q322" s="15">
        <v>0</v>
      </c>
      <c r="R322" s="15">
        <v>0</v>
      </c>
      <c r="S322" s="15">
        <v>0</v>
      </c>
      <c r="T322" s="15">
        <v>0</v>
      </c>
      <c r="U322" s="15">
        <f>$G$322*$G$8+$H$322*$H$8+$I$322*$I$8+$J$322*$J$8+$K$322*$K$8+$L$322*$L$8+$M$322*$M$8+$N$322*$N$8+$O$322*$O$8+$P$322*$P$8</f>
        <v>0</v>
      </c>
      <c r="V322" s="15">
        <f>SUM($Q$322:$T$322)</f>
        <v>0</v>
      </c>
      <c r="W322" s="15">
        <f>$U$322+$V$322</f>
        <v>0</v>
      </c>
    </row>
    <row r="323" spans="1:23" x14ac:dyDescent="0.3">
      <c r="A323" s="10" t="s">
        <v>1177</v>
      </c>
      <c r="B323" s="11" t="s">
        <v>1174</v>
      </c>
      <c r="C323" s="11" t="s">
        <v>65</v>
      </c>
      <c r="D323" s="11" t="s">
        <v>1178</v>
      </c>
      <c r="E323" s="11">
        <f xml:space="preserve"> IF($W$323,1,0)</f>
        <v>0</v>
      </c>
      <c r="F323" s="11" t="s">
        <v>1179</v>
      </c>
      <c r="G323" s="11">
        <v>0</v>
      </c>
      <c r="H323" s="11">
        <v>0</v>
      </c>
      <c r="I323" s="11">
        <v>0</v>
      </c>
      <c r="J323" s="11">
        <v>0</v>
      </c>
      <c r="K323" s="11">
        <v>0</v>
      </c>
      <c r="L323" s="11">
        <v>0</v>
      </c>
      <c r="M323" s="11">
        <v>0</v>
      </c>
      <c r="N323" s="11">
        <v>0</v>
      </c>
      <c r="O323" s="11">
        <v>0</v>
      </c>
      <c r="P323" s="11">
        <v>0</v>
      </c>
      <c r="Q323" s="12">
        <v>0</v>
      </c>
      <c r="R323" s="12">
        <v>0</v>
      </c>
      <c r="S323" s="12">
        <v>0</v>
      </c>
      <c r="T323" s="12">
        <v>0</v>
      </c>
      <c r="U323" s="12">
        <f>$G$323*$G$8+$H$323*$H$8+$I$323*$I$8+$J$323*$J$8+$K$323*$K$8+$L$323*$L$8+$M$323*$M$8+$N$323*$N$8+$O$323*$O$8+$P$323*$P$8</f>
        <v>0</v>
      </c>
      <c r="V323" s="12">
        <f>SUM($Q$323:$T$323)</f>
        <v>0</v>
      </c>
      <c r="W323" s="12">
        <f>$U$323+$V$323</f>
        <v>0</v>
      </c>
    </row>
    <row r="324" spans="1:23" x14ac:dyDescent="0.3">
      <c r="A324" s="13" t="s">
        <v>1180</v>
      </c>
      <c r="B324" s="14" t="s">
        <v>1181</v>
      </c>
      <c r="C324" s="14"/>
      <c r="D324" s="14" t="s">
        <v>1182</v>
      </c>
      <c r="E324" s="14">
        <f xml:space="preserve"> IF($W$324,1,0)</f>
        <v>0</v>
      </c>
      <c r="F324" s="14" t="s">
        <v>1183</v>
      </c>
      <c r="G324" s="14">
        <v>0</v>
      </c>
      <c r="H324" s="14">
        <v>0</v>
      </c>
      <c r="I324" s="14">
        <v>0</v>
      </c>
      <c r="J324" s="14">
        <v>0</v>
      </c>
      <c r="K324" s="14">
        <v>0</v>
      </c>
      <c r="L324" s="14">
        <v>0</v>
      </c>
      <c r="M324" s="14">
        <v>0</v>
      </c>
      <c r="N324" s="14">
        <v>0</v>
      </c>
      <c r="O324" s="14">
        <v>0</v>
      </c>
      <c r="P324" s="14">
        <v>0</v>
      </c>
      <c r="Q324" s="15">
        <v>0</v>
      </c>
      <c r="R324" s="15">
        <v>0</v>
      </c>
      <c r="S324" s="15">
        <v>0</v>
      </c>
      <c r="T324" s="15">
        <v>0</v>
      </c>
      <c r="U324" s="15">
        <f>$G$324*$G$8+$H$324*$H$8+$I$324*$I$8+$J$324*$J$8+$K$324*$K$8+$L$324*$L$8+$M$324*$M$8+$N$324*$N$8+$O$324*$O$8+$P$324*$P$8</f>
        <v>0</v>
      </c>
      <c r="V324" s="15">
        <f>SUM($Q$324:$T$324)</f>
        <v>0</v>
      </c>
      <c r="W324" s="15">
        <f>$U$324+$V$324</f>
        <v>0</v>
      </c>
    </row>
    <row r="325" spans="1:23" x14ac:dyDescent="0.3">
      <c r="A325" s="10" t="s">
        <v>1184</v>
      </c>
      <c r="B325" s="11" t="s">
        <v>1185</v>
      </c>
      <c r="C325" s="11" t="s">
        <v>65</v>
      </c>
      <c r="D325" s="11" t="s">
        <v>1186</v>
      </c>
      <c r="E325" s="11">
        <f xml:space="preserve"> IF($W$325,1,0)</f>
        <v>0</v>
      </c>
      <c r="F325" s="11" t="s">
        <v>1187</v>
      </c>
      <c r="G325" s="11">
        <v>0</v>
      </c>
      <c r="H325" s="11">
        <v>0</v>
      </c>
      <c r="I325" s="11">
        <v>0</v>
      </c>
      <c r="J325" s="11">
        <v>0</v>
      </c>
      <c r="K325" s="11">
        <v>0</v>
      </c>
      <c r="L325" s="11">
        <v>0</v>
      </c>
      <c r="M325" s="11">
        <v>0</v>
      </c>
      <c r="N325" s="11">
        <v>0</v>
      </c>
      <c r="O325" s="11">
        <v>0</v>
      </c>
      <c r="P325" s="11">
        <v>0</v>
      </c>
      <c r="Q325" s="12">
        <v>0</v>
      </c>
      <c r="R325" s="12">
        <v>0</v>
      </c>
      <c r="S325" s="12">
        <v>0</v>
      </c>
      <c r="T325" s="12">
        <v>0</v>
      </c>
      <c r="U325" s="12">
        <f>$G$325*$G$8+$H$325*$H$8+$I$325*$I$8+$J$325*$J$8+$K$325*$K$8+$L$325*$L$8+$M$325*$M$8+$N$325*$N$8+$O$325*$O$8+$P$325*$P$8</f>
        <v>0</v>
      </c>
      <c r="V325" s="12">
        <f>SUM($Q$325:$T$325)</f>
        <v>0</v>
      </c>
      <c r="W325" s="12">
        <f>$U$325+$V$325</f>
        <v>0</v>
      </c>
    </row>
    <row r="326" spans="1:23" x14ac:dyDescent="0.3">
      <c r="A326" s="13" t="s">
        <v>1188</v>
      </c>
      <c r="B326" s="14" t="s">
        <v>1189</v>
      </c>
      <c r="C326" s="14"/>
      <c r="D326" s="14" t="s">
        <v>1190</v>
      </c>
      <c r="E326" s="14">
        <f xml:space="preserve"> IF($W$326,1,0)</f>
        <v>0</v>
      </c>
      <c r="F326" s="14" t="s">
        <v>1191</v>
      </c>
      <c r="G326" s="14">
        <v>0</v>
      </c>
      <c r="H326" s="14">
        <v>0</v>
      </c>
      <c r="I326" s="14">
        <v>0</v>
      </c>
      <c r="J326" s="14">
        <v>0</v>
      </c>
      <c r="K326" s="14">
        <v>0</v>
      </c>
      <c r="L326" s="14">
        <v>0</v>
      </c>
      <c r="M326" s="14">
        <v>0</v>
      </c>
      <c r="N326" s="14">
        <v>0</v>
      </c>
      <c r="O326" s="14">
        <v>0</v>
      </c>
      <c r="P326" s="14">
        <v>0</v>
      </c>
      <c r="Q326" s="15">
        <v>0</v>
      </c>
      <c r="R326" s="15">
        <v>0</v>
      </c>
      <c r="S326" s="15">
        <v>0</v>
      </c>
      <c r="T326" s="15">
        <v>0</v>
      </c>
      <c r="U326" s="15">
        <f>$G$326*$G$8+$H$326*$H$8+$I$326*$I$8+$J$326*$J$8+$K$326*$K$8+$L$326*$L$8+$M$326*$M$8+$N$326*$N$8+$O$326*$O$8+$P$326*$P$8</f>
        <v>0</v>
      </c>
      <c r="V326" s="15">
        <f>SUM($Q$326:$T$326)</f>
        <v>0</v>
      </c>
      <c r="W326" s="15">
        <f>$U$326+$V$326</f>
        <v>0</v>
      </c>
    </row>
    <row r="327" spans="1:23" x14ac:dyDescent="0.3">
      <c r="A327" s="10" t="s">
        <v>1192</v>
      </c>
      <c r="B327" s="11" t="s">
        <v>1193</v>
      </c>
      <c r="C327" s="11"/>
      <c r="D327" s="11" t="s">
        <v>1194</v>
      </c>
      <c r="E327" s="11">
        <f xml:space="preserve"> IF($W$327,1,0)</f>
        <v>0</v>
      </c>
      <c r="F327" s="11" t="s">
        <v>1195</v>
      </c>
      <c r="G327" s="11">
        <v>0</v>
      </c>
      <c r="H327" s="11">
        <v>0</v>
      </c>
      <c r="I327" s="11">
        <v>0</v>
      </c>
      <c r="J327" s="11">
        <v>0</v>
      </c>
      <c r="K327" s="11">
        <v>0</v>
      </c>
      <c r="L327" s="11">
        <v>0</v>
      </c>
      <c r="M327" s="11">
        <v>0</v>
      </c>
      <c r="N327" s="11">
        <v>0</v>
      </c>
      <c r="O327" s="11">
        <v>0</v>
      </c>
      <c r="P327" s="11">
        <v>0</v>
      </c>
      <c r="Q327" s="12">
        <v>0</v>
      </c>
      <c r="R327" s="12">
        <v>0</v>
      </c>
      <c r="S327" s="12">
        <v>0</v>
      </c>
      <c r="T327" s="12">
        <v>0</v>
      </c>
      <c r="U327" s="12">
        <f>$G$327*$G$8+$H$327*$H$8+$I$327*$I$8+$J$327*$J$8+$K$327*$K$8+$L$327*$L$8+$M$327*$M$8+$N$327*$N$8+$O$327*$O$8+$P$327*$P$8</f>
        <v>0</v>
      </c>
      <c r="V327" s="12">
        <f>SUM($Q$327:$T$327)</f>
        <v>0</v>
      </c>
      <c r="W327" s="12">
        <f>$U$327+$V$327</f>
        <v>0</v>
      </c>
    </row>
    <row r="328" spans="1:23" x14ac:dyDescent="0.3">
      <c r="A328" s="13" t="s">
        <v>1196</v>
      </c>
      <c r="B328" s="14" t="s">
        <v>1197</v>
      </c>
      <c r="C328" s="14"/>
      <c r="D328" s="14" t="s">
        <v>1198</v>
      </c>
      <c r="E328" s="14">
        <f xml:space="preserve"> IF($W$328,1,0)</f>
        <v>0</v>
      </c>
      <c r="F328" s="14" t="s">
        <v>1199</v>
      </c>
      <c r="G328" s="14">
        <v>0</v>
      </c>
      <c r="H328" s="14">
        <v>0</v>
      </c>
      <c r="I328" s="14">
        <v>0</v>
      </c>
      <c r="J328" s="14">
        <v>0</v>
      </c>
      <c r="K328" s="14">
        <v>0</v>
      </c>
      <c r="L328" s="14">
        <v>0</v>
      </c>
      <c r="M328" s="14">
        <v>0</v>
      </c>
      <c r="N328" s="14">
        <v>0</v>
      </c>
      <c r="O328" s="14">
        <v>0</v>
      </c>
      <c r="P328" s="14">
        <v>0</v>
      </c>
      <c r="Q328" s="15">
        <v>0</v>
      </c>
      <c r="R328" s="15">
        <v>0</v>
      </c>
      <c r="S328" s="15">
        <v>0</v>
      </c>
      <c r="T328" s="15">
        <v>0</v>
      </c>
      <c r="U328" s="15">
        <f>$G$328*$G$8+$H$328*$H$8+$I$328*$I$8+$J$328*$J$8+$K$328*$K$8+$L$328*$L$8+$M$328*$M$8+$N$328*$N$8+$O$328*$O$8+$P$328*$P$8</f>
        <v>0</v>
      </c>
      <c r="V328" s="15">
        <f>SUM($Q$328:$T$328)</f>
        <v>0</v>
      </c>
      <c r="W328" s="15">
        <f>$U$328+$V$328</f>
        <v>0</v>
      </c>
    </row>
    <row r="329" spans="1:23" x14ac:dyDescent="0.3">
      <c r="A329" s="10" t="s">
        <v>1200</v>
      </c>
      <c r="B329" s="11" t="s">
        <v>1201</v>
      </c>
      <c r="C329" s="11"/>
      <c r="D329" s="11" t="s">
        <v>1202</v>
      </c>
      <c r="E329" s="11">
        <f xml:space="preserve"> IF($W$329,1,0)</f>
        <v>0</v>
      </c>
      <c r="F329" s="11" t="s">
        <v>1203</v>
      </c>
      <c r="G329" s="11">
        <v>0</v>
      </c>
      <c r="H329" s="11">
        <v>0</v>
      </c>
      <c r="I329" s="11">
        <v>0</v>
      </c>
      <c r="J329" s="11">
        <v>0</v>
      </c>
      <c r="K329" s="11">
        <v>0</v>
      </c>
      <c r="L329" s="11">
        <v>0</v>
      </c>
      <c r="M329" s="11">
        <v>0</v>
      </c>
      <c r="N329" s="11">
        <v>0</v>
      </c>
      <c r="O329" s="11">
        <v>0</v>
      </c>
      <c r="P329" s="11">
        <v>0</v>
      </c>
      <c r="Q329" s="12">
        <v>0</v>
      </c>
      <c r="R329" s="12">
        <v>0</v>
      </c>
      <c r="S329" s="12">
        <v>0</v>
      </c>
      <c r="T329" s="12">
        <v>0</v>
      </c>
      <c r="U329" s="12">
        <f>$G$329*$G$8+$H$329*$H$8+$I$329*$I$8+$J$329*$J$8+$K$329*$K$8+$L$329*$L$8+$M$329*$M$8+$N$329*$N$8+$O$329*$O$8+$P$329*$P$8</f>
        <v>0</v>
      </c>
      <c r="V329" s="12">
        <f>SUM($Q$329:$T$329)</f>
        <v>0</v>
      </c>
      <c r="W329" s="12">
        <f>$U$329+$V$329</f>
        <v>0</v>
      </c>
    </row>
    <row r="330" spans="1:23" x14ac:dyDescent="0.3">
      <c r="A330" s="13" t="s">
        <v>1204</v>
      </c>
      <c r="B330" s="14" t="s">
        <v>1205</v>
      </c>
      <c r="C330" s="14"/>
      <c r="D330" s="14" t="s">
        <v>1206</v>
      </c>
      <c r="E330" s="14">
        <f xml:space="preserve"> IF($W$330,1,0)</f>
        <v>0</v>
      </c>
      <c r="F330" s="14" t="s">
        <v>1207</v>
      </c>
      <c r="G330" s="14">
        <v>0</v>
      </c>
      <c r="H330" s="14">
        <v>0</v>
      </c>
      <c r="I330" s="14">
        <v>0</v>
      </c>
      <c r="J330" s="14">
        <v>0</v>
      </c>
      <c r="K330" s="14">
        <v>0</v>
      </c>
      <c r="L330" s="14">
        <v>0</v>
      </c>
      <c r="M330" s="14">
        <v>0</v>
      </c>
      <c r="N330" s="14">
        <v>0</v>
      </c>
      <c r="O330" s="14">
        <v>0</v>
      </c>
      <c r="P330" s="14">
        <v>0</v>
      </c>
      <c r="Q330" s="15">
        <v>0</v>
      </c>
      <c r="R330" s="15">
        <v>0</v>
      </c>
      <c r="S330" s="15">
        <v>0</v>
      </c>
      <c r="T330" s="15">
        <v>0</v>
      </c>
      <c r="U330" s="15">
        <f>$G$330*$G$8+$H$330*$H$8+$I$330*$I$8+$J$330*$J$8+$K$330*$K$8+$L$330*$L$8+$M$330*$M$8+$N$330*$N$8+$O$330*$O$8+$P$330*$P$8</f>
        <v>0</v>
      </c>
      <c r="V330" s="15">
        <f>SUM($Q$330:$T$330)</f>
        <v>0</v>
      </c>
      <c r="W330" s="15">
        <f>$U$330+$V$330</f>
        <v>0</v>
      </c>
    </row>
    <row r="331" spans="1:23" x14ac:dyDescent="0.3">
      <c r="A331" s="10" t="s">
        <v>1208</v>
      </c>
      <c r="B331" s="11" t="s">
        <v>1205</v>
      </c>
      <c r="C331" s="11"/>
      <c r="D331" s="11" t="s">
        <v>1209</v>
      </c>
      <c r="E331" s="11">
        <f xml:space="preserve"> IF($W$331,1,0)</f>
        <v>0</v>
      </c>
      <c r="F331" s="11" t="s">
        <v>1210</v>
      </c>
      <c r="G331" s="11">
        <v>0</v>
      </c>
      <c r="H331" s="11">
        <v>0</v>
      </c>
      <c r="I331" s="11">
        <v>0</v>
      </c>
      <c r="J331" s="11">
        <v>0</v>
      </c>
      <c r="K331" s="11">
        <v>0</v>
      </c>
      <c r="L331" s="11">
        <v>0</v>
      </c>
      <c r="M331" s="11">
        <v>0</v>
      </c>
      <c r="N331" s="11">
        <v>0</v>
      </c>
      <c r="O331" s="11">
        <v>0</v>
      </c>
      <c r="P331" s="11">
        <v>0</v>
      </c>
      <c r="Q331" s="12">
        <v>0</v>
      </c>
      <c r="R331" s="12">
        <v>0</v>
      </c>
      <c r="S331" s="12">
        <v>0</v>
      </c>
      <c r="T331" s="12">
        <v>0</v>
      </c>
      <c r="U331" s="12">
        <f>$G$331*$G$8+$H$331*$H$8+$I$331*$I$8+$J$331*$J$8+$K$331*$K$8+$L$331*$L$8+$M$331*$M$8+$N$331*$N$8+$O$331*$O$8+$P$331*$P$8</f>
        <v>0</v>
      </c>
      <c r="V331" s="12">
        <f>SUM($Q$331:$T$331)</f>
        <v>0</v>
      </c>
      <c r="W331" s="12">
        <f>$U$331+$V$331</f>
        <v>0</v>
      </c>
    </row>
    <row r="332" spans="1:23" x14ac:dyDescent="0.3">
      <c r="A332" s="13" t="s">
        <v>1211</v>
      </c>
      <c r="B332" s="14" t="s">
        <v>1212</v>
      </c>
      <c r="C332" s="14"/>
      <c r="D332" s="14" t="s">
        <v>670</v>
      </c>
      <c r="E332" s="14">
        <f xml:space="preserve"> IF($W$332,1,0)</f>
        <v>0</v>
      </c>
      <c r="F332" s="14" t="s">
        <v>1213</v>
      </c>
      <c r="G332" s="14">
        <v>0</v>
      </c>
      <c r="H332" s="14">
        <v>0</v>
      </c>
      <c r="I332" s="14">
        <v>0</v>
      </c>
      <c r="J332" s="14">
        <v>0</v>
      </c>
      <c r="K332" s="14">
        <v>0</v>
      </c>
      <c r="L332" s="14">
        <v>0</v>
      </c>
      <c r="M332" s="14">
        <v>0</v>
      </c>
      <c r="N332" s="14">
        <v>0</v>
      </c>
      <c r="O332" s="14">
        <v>0</v>
      </c>
      <c r="P332" s="14">
        <v>0</v>
      </c>
      <c r="Q332" s="15">
        <v>0</v>
      </c>
      <c r="R332" s="15">
        <v>0</v>
      </c>
      <c r="S332" s="15">
        <v>0</v>
      </c>
      <c r="T332" s="15">
        <v>0</v>
      </c>
      <c r="U332" s="15">
        <f>$G$332*$G$8+$H$332*$H$8+$I$332*$I$8+$J$332*$J$8+$K$332*$K$8+$L$332*$L$8+$M$332*$M$8+$N$332*$N$8+$O$332*$O$8+$P$332*$P$8</f>
        <v>0</v>
      </c>
      <c r="V332" s="15">
        <f>SUM($Q$332:$T$332)</f>
        <v>0</v>
      </c>
      <c r="W332" s="15">
        <f>$U$332+$V$332</f>
        <v>0</v>
      </c>
    </row>
    <row r="333" spans="1:23" x14ac:dyDescent="0.3">
      <c r="A333" s="10" t="s">
        <v>1214</v>
      </c>
      <c r="B333" s="11" t="s">
        <v>1215</v>
      </c>
      <c r="C333" s="11"/>
      <c r="D333" s="11" t="s">
        <v>1216</v>
      </c>
      <c r="E333" s="11">
        <f xml:space="preserve"> IF($W$333,1,0)</f>
        <v>0</v>
      </c>
      <c r="F333" s="11" t="s">
        <v>1217</v>
      </c>
      <c r="G333" s="11">
        <v>0</v>
      </c>
      <c r="H333" s="11">
        <v>0</v>
      </c>
      <c r="I333" s="11">
        <v>0</v>
      </c>
      <c r="J333" s="11">
        <v>0</v>
      </c>
      <c r="K333" s="11">
        <v>0</v>
      </c>
      <c r="L333" s="11">
        <v>0</v>
      </c>
      <c r="M333" s="11">
        <v>0</v>
      </c>
      <c r="N333" s="11">
        <v>0</v>
      </c>
      <c r="O333" s="11">
        <v>0</v>
      </c>
      <c r="P333" s="11">
        <v>0</v>
      </c>
      <c r="Q333" s="12">
        <v>0</v>
      </c>
      <c r="R333" s="12">
        <v>0</v>
      </c>
      <c r="S333" s="12">
        <v>0</v>
      </c>
      <c r="T333" s="12">
        <v>0</v>
      </c>
      <c r="U333" s="12">
        <f>$G$333*$G$8+$H$333*$H$8+$I$333*$I$8+$J$333*$J$8+$K$333*$K$8+$L$333*$L$8+$M$333*$M$8+$N$333*$N$8+$O$333*$O$8+$P$333*$P$8</f>
        <v>0</v>
      </c>
      <c r="V333" s="12">
        <f>SUM($Q$333:$T$333)</f>
        <v>0</v>
      </c>
      <c r="W333" s="12">
        <f>$U$333+$V$333</f>
        <v>0</v>
      </c>
    </row>
    <row r="334" spans="1:23" x14ac:dyDescent="0.3">
      <c r="A334" s="13" t="s">
        <v>1218</v>
      </c>
      <c r="B334" s="14" t="s">
        <v>1219</v>
      </c>
      <c r="C334" s="14" t="s">
        <v>202</v>
      </c>
      <c r="D334" s="14" t="s">
        <v>1068</v>
      </c>
      <c r="E334" s="14">
        <f xml:space="preserve"> IF($W$334,1,0)</f>
        <v>0</v>
      </c>
      <c r="F334" s="14" t="s">
        <v>1220</v>
      </c>
      <c r="G334" s="14">
        <v>0</v>
      </c>
      <c r="H334" s="14">
        <v>0</v>
      </c>
      <c r="I334" s="14">
        <v>0</v>
      </c>
      <c r="J334" s="14">
        <v>0</v>
      </c>
      <c r="K334" s="14">
        <v>0</v>
      </c>
      <c r="L334" s="14">
        <v>0</v>
      </c>
      <c r="M334" s="14">
        <v>0</v>
      </c>
      <c r="N334" s="14">
        <v>0</v>
      </c>
      <c r="O334" s="14">
        <v>0</v>
      </c>
      <c r="P334" s="14">
        <v>0</v>
      </c>
      <c r="Q334" s="15">
        <v>0</v>
      </c>
      <c r="R334" s="15">
        <v>0</v>
      </c>
      <c r="S334" s="15">
        <v>0</v>
      </c>
      <c r="T334" s="15">
        <v>0</v>
      </c>
      <c r="U334" s="15">
        <f>$G$334*$G$8+$H$334*$H$8+$I$334*$I$8+$J$334*$J$8+$K$334*$K$8+$L$334*$L$8+$M$334*$M$8+$N$334*$N$8+$O$334*$O$8+$P$334*$P$8</f>
        <v>0</v>
      </c>
      <c r="V334" s="15">
        <f>SUM($Q$334:$T$334)</f>
        <v>0</v>
      </c>
      <c r="W334" s="15">
        <f>$U$334+$V$334</f>
        <v>0</v>
      </c>
    </row>
    <row r="335" spans="1:23" x14ac:dyDescent="0.3">
      <c r="A335" s="10" t="s">
        <v>1221</v>
      </c>
      <c r="B335" s="11" t="s">
        <v>1222</v>
      </c>
      <c r="C335" s="11"/>
      <c r="D335" s="11" t="s">
        <v>1223</v>
      </c>
      <c r="E335" s="11">
        <f xml:space="preserve"> IF($W$335,1,0)</f>
        <v>0</v>
      </c>
      <c r="F335" s="11" t="s">
        <v>1224</v>
      </c>
      <c r="G335" s="11">
        <v>0</v>
      </c>
      <c r="H335" s="11">
        <v>0</v>
      </c>
      <c r="I335" s="11">
        <v>0</v>
      </c>
      <c r="J335" s="11">
        <v>0</v>
      </c>
      <c r="K335" s="11">
        <v>0</v>
      </c>
      <c r="L335" s="11">
        <v>0</v>
      </c>
      <c r="M335" s="11">
        <v>0</v>
      </c>
      <c r="N335" s="11">
        <v>0</v>
      </c>
      <c r="O335" s="11">
        <v>0</v>
      </c>
      <c r="P335" s="11">
        <v>0</v>
      </c>
      <c r="Q335" s="12">
        <v>0</v>
      </c>
      <c r="R335" s="12">
        <v>0</v>
      </c>
      <c r="S335" s="12">
        <v>0</v>
      </c>
      <c r="T335" s="12">
        <v>0</v>
      </c>
      <c r="U335" s="12">
        <f>$G$335*$G$8+$H$335*$H$8+$I$335*$I$8+$J$335*$J$8+$K$335*$K$8+$L$335*$L$8+$M$335*$M$8+$N$335*$N$8+$O$335*$O$8+$P$335*$P$8</f>
        <v>0</v>
      </c>
      <c r="V335" s="12">
        <f>SUM($Q$335:$T$335)</f>
        <v>0</v>
      </c>
      <c r="W335" s="12">
        <f>$U$335+$V$335</f>
        <v>0</v>
      </c>
    </row>
    <row r="336" spans="1:23" x14ac:dyDescent="0.3">
      <c r="A336" s="13" t="s">
        <v>1225</v>
      </c>
      <c r="B336" s="14" t="s">
        <v>1226</v>
      </c>
      <c r="C336" s="14" t="s">
        <v>34</v>
      </c>
      <c r="D336" s="14" t="s">
        <v>1227</v>
      </c>
      <c r="E336" s="14">
        <f xml:space="preserve"> IF($W$336,1,0)</f>
        <v>0</v>
      </c>
      <c r="F336" s="14" t="s">
        <v>1228</v>
      </c>
      <c r="G336" s="14">
        <v>0</v>
      </c>
      <c r="H336" s="14">
        <v>0</v>
      </c>
      <c r="I336" s="14">
        <v>0</v>
      </c>
      <c r="J336" s="14">
        <v>0</v>
      </c>
      <c r="K336" s="14">
        <v>0</v>
      </c>
      <c r="L336" s="14">
        <v>0</v>
      </c>
      <c r="M336" s="14">
        <v>0</v>
      </c>
      <c r="N336" s="14">
        <v>0</v>
      </c>
      <c r="O336" s="14">
        <v>0</v>
      </c>
      <c r="P336" s="14">
        <v>0</v>
      </c>
      <c r="Q336" s="15">
        <v>0</v>
      </c>
      <c r="R336" s="15">
        <v>0</v>
      </c>
      <c r="S336" s="15">
        <v>0</v>
      </c>
      <c r="T336" s="15">
        <v>0</v>
      </c>
      <c r="U336" s="15">
        <f>$G$336*$G$8+$H$336*$H$8+$I$336*$I$8+$J$336*$J$8+$K$336*$K$8+$L$336*$L$8+$M$336*$M$8+$N$336*$N$8+$O$336*$O$8+$P$336*$P$8</f>
        <v>0</v>
      </c>
      <c r="V336" s="15">
        <f>SUM($Q$336:$T$336)</f>
        <v>0</v>
      </c>
      <c r="W336" s="15">
        <f>$U$336+$V$336</f>
        <v>0</v>
      </c>
    </row>
    <row r="337" spans="1:23" x14ac:dyDescent="0.3">
      <c r="A337" s="10" t="s">
        <v>1229</v>
      </c>
      <c r="B337" s="11" t="s">
        <v>1230</v>
      </c>
      <c r="C337" s="11"/>
      <c r="D337" s="11" t="s">
        <v>1231</v>
      </c>
      <c r="E337" s="11">
        <f xml:space="preserve"> IF($W$337,1,0)</f>
        <v>0</v>
      </c>
      <c r="F337" s="11" t="s">
        <v>1232</v>
      </c>
      <c r="G337" s="11">
        <v>0</v>
      </c>
      <c r="H337" s="11">
        <v>0</v>
      </c>
      <c r="I337" s="11">
        <v>0</v>
      </c>
      <c r="J337" s="11">
        <v>0</v>
      </c>
      <c r="K337" s="11">
        <v>0</v>
      </c>
      <c r="L337" s="11">
        <v>0</v>
      </c>
      <c r="M337" s="11">
        <v>0</v>
      </c>
      <c r="N337" s="11">
        <v>0</v>
      </c>
      <c r="O337" s="11">
        <v>0</v>
      </c>
      <c r="P337" s="11">
        <v>0</v>
      </c>
      <c r="Q337" s="12">
        <v>0</v>
      </c>
      <c r="R337" s="12">
        <v>0</v>
      </c>
      <c r="S337" s="12">
        <v>0</v>
      </c>
      <c r="T337" s="12">
        <v>0</v>
      </c>
      <c r="U337" s="12">
        <f>$G$337*$G$8+$H$337*$H$8+$I$337*$I$8+$J$337*$J$8+$K$337*$K$8+$L$337*$L$8+$M$337*$M$8+$N$337*$N$8+$O$337*$O$8+$P$337*$P$8</f>
        <v>0</v>
      </c>
      <c r="V337" s="12">
        <f>SUM($Q$337:$T$337)</f>
        <v>0</v>
      </c>
      <c r="W337" s="12">
        <f>$U$337+$V$337</f>
        <v>0</v>
      </c>
    </row>
    <row r="338" spans="1:23" x14ac:dyDescent="0.3">
      <c r="A338" s="13" t="s">
        <v>1233</v>
      </c>
      <c r="B338" s="14" t="s">
        <v>1230</v>
      </c>
      <c r="C338" s="14"/>
      <c r="D338" s="14" t="s">
        <v>1234</v>
      </c>
      <c r="E338" s="14">
        <f xml:space="preserve"> IF($W$338,1,0)</f>
        <v>0</v>
      </c>
      <c r="F338" s="14" t="s">
        <v>1235</v>
      </c>
      <c r="G338" s="14">
        <v>0</v>
      </c>
      <c r="H338" s="14">
        <v>0</v>
      </c>
      <c r="I338" s="14">
        <v>0</v>
      </c>
      <c r="J338" s="14">
        <v>0</v>
      </c>
      <c r="K338" s="14">
        <v>0</v>
      </c>
      <c r="L338" s="14">
        <v>0</v>
      </c>
      <c r="M338" s="14">
        <v>0</v>
      </c>
      <c r="N338" s="14">
        <v>0</v>
      </c>
      <c r="O338" s="14">
        <v>0</v>
      </c>
      <c r="P338" s="14">
        <v>0</v>
      </c>
      <c r="Q338" s="15">
        <v>0</v>
      </c>
      <c r="R338" s="15">
        <v>0</v>
      </c>
      <c r="S338" s="15">
        <v>0</v>
      </c>
      <c r="T338" s="15">
        <v>0</v>
      </c>
      <c r="U338" s="15">
        <f>$G$338*$G$8+$H$338*$H$8+$I$338*$I$8+$J$338*$J$8+$K$338*$K$8+$L$338*$L$8+$M$338*$M$8+$N$338*$N$8+$O$338*$O$8+$P$338*$P$8</f>
        <v>0</v>
      </c>
      <c r="V338" s="15">
        <f>SUM($Q$338:$T$338)</f>
        <v>0</v>
      </c>
      <c r="W338" s="15">
        <f>$U$338+$V$338</f>
        <v>0</v>
      </c>
    </row>
    <row r="339" spans="1:23" x14ac:dyDescent="0.3">
      <c r="A339" s="10" t="s">
        <v>1236</v>
      </c>
      <c r="B339" s="11" t="s">
        <v>1237</v>
      </c>
      <c r="C339" s="11"/>
      <c r="D339" s="11" t="s">
        <v>1237</v>
      </c>
      <c r="E339" s="11">
        <f xml:space="preserve"> IF($W$339,1,0)</f>
        <v>0</v>
      </c>
      <c r="F339" s="11" t="s">
        <v>1238</v>
      </c>
      <c r="G339" s="11">
        <v>0</v>
      </c>
      <c r="H339" s="11">
        <v>0</v>
      </c>
      <c r="I339" s="11">
        <v>0</v>
      </c>
      <c r="J339" s="11">
        <v>0</v>
      </c>
      <c r="K339" s="11">
        <v>0</v>
      </c>
      <c r="L339" s="11">
        <v>0</v>
      </c>
      <c r="M339" s="11">
        <v>0</v>
      </c>
      <c r="N339" s="11">
        <v>0</v>
      </c>
      <c r="O339" s="11">
        <v>0</v>
      </c>
      <c r="P339" s="11">
        <v>0</v>
      </c>
      <c r="Q339" s="12">
        <v>0</v>
      </c>
      <c r="R339" s="12">
        <v>0</v>
      </c>
      <c r="S339" s="12">
        <v>0</v>
      </c>
      <c r="T339" s="12">
        <v>0</v>
      </c>
      <c r="U339" s="12">
        <f>$G$339*$G$8+$H$339*$H$8+$I$339*$I$8+$J$339*$J$8+$K$339*$K$8+$L$339*$L$8+$M$339*$M$8+$N$339*$N$8+$O$339*$O$8+$P$339*$P$8</f>
        <v>0</v>
      </c>
      <c r="V339" s="12">
        <f>SUM($Q$339:$T$339)</f>
        <v>0</v>
      </c>
      <c r="W339" s="12">
        <f>$U$339+$V$339</f>
        <v>0</v>
      </c>
    </row>
    <row r="341" spans="1:23" ht="15" thickBot="1" x14ac:dyDescent="0.35">
      <c r="E341" s="5" t="s">
        <v>18</v>
      </c>
      <c r="F341" s="6" t="s">
        <v>19</v>
      </c>
      <c r="G341" s="6" t="s">
        <v>4</v>
      </c>
      <c r="H341" s="6" t="s">
        <v>1245</v>
      </c>
      <c r="I341" s="6" t="s">
        <v>7</v>
      </c>
      <c r="J341" s="6" t="s">
        <v>6</v>
      </c>
      <c r="K341" s="6" t="s">
        <v>8</v>
      </c>
      <c r="L341" s="6" t="s">
        <v>9</v>
      </c>
      <c r="M341" s="6" t="s">
        <v>10</v>
      </c>
      <c r="N341" s="6" t="s">
        <v>11</v>
      </c>
      <c r="O341" s="6" t="s">
        <v>12</v>
      </c>
      <c r="P341" s="6" t="s">
        <v>1277</v>
      </c>
      <c r="Q341" s="6" t="s">
        <v>1259</v>
      </c>
      <c r="R341" s="6" t="s">
        <v>1260</v>
      </c>
      <c r="S341" s="6" t="s">
        <v>1302</v>
      </c>
      <c r="T341" s="6" t="s">
        <v>1303</v>
      </c>
      <c r="U341" s="6" t="s">
        <v>23</v>
      </c>
      <c r="V341" s="6" t="s">
        <v>26</v>
      </c>
      <c r="W341" s="6" t="s">
        <v>25</v>
      </c>
    </row>
    <row r="342" spans="1:23" ht="15" thickTop="1" x14ac:dyDescent="0.3">
      <c r="E342" s="7">
        <f xml:space="preserve"> IF($W$342,1,0)</f>
        <v>1</v>
      </c>
      <c r="F342" s="8" t="s">
        <v>1298</v>
      </c>
      <c r="G342" s="8">
        <v>1</v>
      </c>
      <c r="H342" s="8">
        <v>1</v>
      </c>
      <c r="I342" s="8">
        <v>1</v>
      </c>
      <c r="J342" s="8">
        <v>1</v>
      </c>
      <c r="K342" s="8">
        <v>1</v>
      </c>
      <c r="L342" s="8">
        <v>1</v>
      </c>
      <c r="M342" s="8">
        <v>1</v>
      </c>
      <c r="N342" s="8">
        <v>1</v>
      </c>
      <c r="O342" s="8">
        <v>1</v>
      </c>
      <c r="P342" s="8">
        <v>1</v>
      </c>
      <c r="Q342" s="8"/>
      <c r="R342" s="8"/>
      <c r="S342" s="8"/>
      <c r="T342" s="8"/>
      <c r="U342" s="9">
        <f>$G$342*$G$8+$H$342*$H$8+$I$342*$I$8+$J$342*$J$8+$K$342*$K$8+$L$342*$L$8+$M$342*$M$8+$N$342*$N$8+$O$342*$O$8+$P$342*$P$8</f>
        <v>23.549999999999997</v>
      </c>
      <c r="V342" s="9">
        <f>$W$342/5</f>
        <v>4.7099999999999991</v>
      </c>
      <c r="W342" s="9">
        <f>$G$342*$G$8+$H$342*$H$8+$I$342*$I$8+$J$342*$J$8+$K$342*$K$8+$L$342*$L$8+$M$342*$M$8+$N$342*$N$8+$O$342*$O$8+$P$342*$P$8</f>
        <v>23.549999999999997</v>
      </c>
    </row>
    <row r="343" spans="1:23" x14ac:dyDescent="0.3">
      <c r="E343" s="10">
        <f xml:space="preserve"> IF($W$343,1,0)</f>
        <v>1</v>
      </c>
      <c r="F343" s="11" t="s">
        <v>1299</v>
      </c>
      <c r="G343" s="11">
        <v>0</v>
      </c>
      <c r="H343" s="11">
        <v>0</v>
      </c>
      <c r="I343" s="11">
        <v>0</v>
      </c>
      <c r="J343" s="11">
        <v>0</v>
      </c>
      <c r="K343" s="11">
        <v>1</v>
      </c>
      <c r="L343" s="11">
        <v>1</v>
      </c>
      <c r="M343" s="11">
        <v>1</v>
      </c>
      <c r="N343" s="11">
        <v>1</v>
      </c>
      <c r="O343" s="11">
        <v>0</v>
      </c>
      <c r="P343" s="11">
        <v>0</v>
      </c>
      <c r="Q343" s="11"/>
      <c r="R343" s="11"/>
      <c r="S343" s="11"/>
      <c r="T343" s="11"/>
      <c r="U343" s="12">
        <f>$G$343*$G$8+$H$343*$H$8+$I$343*$I$8+$J$343*$J$8+$K$343*$K$8+$L$343*$L$8+$M$343*$M$8+$N$343*$N$8+$O$343*$O$8+$P$343*$P$8</f>
        <v>14</v>
      </c>
      <c r="V343" s="12">
        <f>$W$343/5</f>
        <v>2.8</v>
      </c>
      <c r="W343" s="12">
        <f>$G$343*$G$8+$H$343*$H$8+$I$343*$I$8+$J$343*$J$8+$K$343*$K$8+$L$343*$L$8+$M$343*$M$8+$N$343*$N$8+$O$343*$O$8+$P$343*$P$8</f>
        <v>14</v>
      </c>
    </row>
    <row r="344" spans="1:23" x14ac:dyDescent="0.3">
      <c r="E344" s="13">
        <f xml:space="preserve"> IF($W$344,1,0)</f>
        <v>1</v>
      </c>
      <c r="F344" s="14" t="s">
        <v>1300</v>
      </c>
      <c r="G344" s="14">
        <v>0</v>
      </c>
      <c r="H344" s="14">
        <v>0</v>
      </c>
      <c r="I344" s="14">
        <v>2</v>
      </c>
      <c r="J344" s="14">
        <v>0</v>
      </c>
      <c r="K344" s="14">
        <v>0</v>
      </c>
      <c r="L344" s="14">
        <v>0</v>
      </c>
      <c r="M344" s="14">
        <v>0</v>
      </c>
      <c r="N344" s="14">
        <v>0</v>
      </c>
      <c r="O344" s="14">
        <v>0</v>
      </c>
      <c r="P344" s="14">
        <v>0</v>
      </c>
      <c r="Q344" s="14"/>
      <c r="R344" s="14"/>
      <c r="S344" s="14"/>
      <c r="T344" s="14"/>
      <c r="U344" s="15">
        <f>$G$344*$G$8+$H$344*$H$8+$I$344*$I$8+$J$344*$J$8+$K$344*$K$8+$L$344*$L$8+$M$344*$M$8+$N$344*$N$8+$O$344*$O$8+$P$344*$P$8</f>
        <v>9.5</v>
      </c>
      <c r="V344" s="15">
        <f>$W$344/4</f>
        <v>2.375</v>
      </c>
      <c r="W344" s="15">
        <f>$G$344*$G$8+$H$344*$H$8+$I$344*$I$8+$J$344*$J$8+$K$344*$K$8+$L$344*$L$8+$M$344*$M$8+$N$344*$N$8+$O$344*$O$8+$P$344*$P$8</f>
        <v>9.5</v>
      </c>
    </row>
    <row r="345" spans="1:23" x14ac:dyDescent="0.3">
      <c r="E345" s="10">
        <f xml:space="preserve"> IF($W$345,1,0)</f>
        <v>1</v>
      </c>
      <c r="F345" s="11" t="s">
        <v>1301</v>
      </c>
      <c r="G345" s="11">
        <v>0</v>
      </c>
      <c r="H345" s="11">
        <v>0</v>
      </c>
      <c r="I345" s="11">
        <v>0</v>
      </c>
      <c r="J345" s="11">
        <v>0</v>
      </c>
      <c r="K345" s="11">
        <v>0</v>
      </c>
      <c r="L345" s="11">
        <v>0</v>
      </c>
      <c r="M345" s="11">
        <v>0</v>
      </c>
      <c r="N345" s="11">
        <v>2</v>
      </c>
      <c r="O345" s="11">
        <v>0</v>
      </c>
      <c r="P345" s="11">
        <v>0</v>
      </c>
      <c r="Q345" s="11"/>
      <c r="R345" s="11"/>
      <c r="S345" s="11"/>
      <c r="T345" s="11"/>
      <c r="U345" s="12">
        <f>$G$345*$G$8+$H$345*$H$8+$I$345*$I$8+$J$345*$J$8+$K$345*$K$8+$L$345*$L$8+$M$345*$M$8+$N$345*$N$8+$O$345*$O$8+$P$345*$P$8</f>
        <v>10</v>
      </c>
      <c r="V345" s="12">
        <f>$W$345/2</f>
        <v>5</v>
      </c>
      <c r="W345" s="12">
        <f>$G$345*$G$8+$H$345*$H$8+$I$345*$I$8+$J$345*$J$8+$K$345*$K$8+$L$345*$L$8+$M$345*$M$8+$N$345*$N$8+$O$345*$O$8+$P$345*$P$8</f>
        <v>10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01355-530C-4CAA-A840-26383CE9FD5C}">
  <sheetPr codeName="Blad8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22</vt:i4>
      </vt:variant>
    </vt:vector>
  </HeadingPairs>
  <TitlesOfParts>
    <vt:vector size="22" baseType="lpstr">
      <vt:lpstr>Sheet4</vt:lpstr>
      <vt:lpstr>18-10-17 01.10.26</vt:lpstr>
      <vt:lpstr>19-10-17 02.29.17</vt:lpstr>
      <vt:lpstr>09-11-17 02.02.26</vt:lpstr>
      <vt:lpstr>15-05-17 03.22.05</vt:lpstr>
      <vt:lpstr>05-10-17 03.55.44</vt:lpstr>
      <vt:lpstr>16-11-17 02.10.19(3)</vt:lpstr>
      <vt:lpstr>16-11-17 02.10.19(2)</vt:lpstr>
      <vt:lpstr>16-11-17 02.10.19(1)</vt:lpstr>
      <vt:lpstr>16-11-17 02.10.19</vt:lpstr>
      <vt:lpstr>08-01-18 08.57.48</vt:lpstr>
      <vt:lpstr>08-01-18 08.57.48(5)</vt:lpstr>
      <vt:lpstr>08-01-18 08.57.48(4)</vt:lpstr>
      <vt:lpstr>08-01-18 08.57.48(3)</vt:lpstr>
      <vt:lpstr>08-01-18 08.57.48(2)</vt:lpstr>
      <vt:lpstr>08-01-18 08.57.48(1)</vt:lpstr>
      <vt:lpstr>15-05-17 03.22.05(1)</vt:lpstr>
      <vt:lpstr>05-10-17 03.55.44(1)</vt:lpstr>
      <vt:lpstr>16-11-17 02.10.19(4)</vt:lpstr>
      <vt:lpstr>16-11-17 02.10.35</vt:lpstr>
      <vt:lpstr>08-01-18 09.33.58</vt:lpstr>
      <vt:lpstr>Blad1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Gebruiker</dc:creator>
  <cp:lastModifiedBy>Gijs Vis</cp:lastModifiedBy>
  <dcterms:created xsi:type="dcterms:W3CDTF">2013-09-28T21:07:33Z</dcterms:created>
  <dcterms:modified xsi:type="dcterms:W3CDTF">2018-01-08T20:46:48Z</dcterms:modified>
</cp:coreProperties>
</file>