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ijs\workspace\Bar-app\excel\"/>
    </mc:Choice>
  </mc:AlternateContent>
  <bookViews>
    <workbookView xWindow="0" yWindow="0" windowWidth="23040" windowHeight="9048" firstSheet="4" activeTab="4" xr2:uid="{00000000-000D-0000-FFFF-FFFF00000000}"/>
  </bookViews>
  <sheets>
    <sheet name="Sheet4" sheetId="102" r:id="rId1"/>
    <sheet name="18-10-17 01.10.26" sheetId="104" r:id="rId2"/>
    <sheet name="19-10-17 02.29.17" sheetId="105" r:id="rId3"/>
    <sheet name="09-11-17 02.02.26" sheetId="106" r:id="rId4"/>
    <sheet name="16-11-17 02.10.19" sheetId="123" r:id="rId5"/>
    <sheet name="Blad1" sheetId="112" r:id="rId6"/>
  </sheets>
  <calcPr calcId="171027"/>
</workbook>
</file>

<file path=xl/calcChain.xml><?xml version="1.0" encoding="utf-8"?>
<calcChain xmlns="http://schemas.openxmlformats.org/spreadsheetml/2006/main">
  <c r="R7" i="123" l="1"/>
  <c r="Q7" i="123"/>
  <c r="P2" i="123"/>
  <c r="P3" i="123" s="1"/>
  <c r="O2" i="123"/>
  <c r="O3" i="123" s="1"/>
  <c r="N2" i="123"/>
  <c r="N3" i="123" s="1"/>
  <c r="M2" i="123"/>
  <c r="M3" i="123" s="1"/>
  <c r="L2" i="123"/>
  <c r="L3" i="123" s="1"/>
  <c r="K2" i="123"/>
  <c r="K3" i="123" s="1"/>
  <c r="J2" i="123"/>
  <c r="J3" i="123" s="1"/>
  <c r="I2" i="123"/>
  <c r="I3" i="123" s="1"/>
  <c r="H2" i="123"/>
  <c r="H3" i="123" s="1"/>
  <c r="G2" i="123"/>
  <c r="G3" i="123" s="1"/>
  <c r="T335" i="123"/>
  <c r="S335" i="123"/>
  <c r="T334" i="123"/>
  <c r="S334" i="123"/>
  <c r="U334" i="123" s="1"/>
  <c r="E334" i="123" s="1"/>
  <c r="E333" i="123"/>
  <c r="T333" i="123"/>
  <c r="S333" i="123"/>
  <c r="U333" i="123" s="1"/>
  <c r="T332" i="123"/>
  <c r="S332" i="123"/>
  <c r="U332" i="123" s="1"/>
  <c r="E332" i="123" s="1"/>
  <c r="T331" i="123"/>
  <c r="S331" i="123"/>
  <c r="T330" i="123"/>
  <c r="S330" i="123"/>
  <c r="U330" i="123" s="1"/>
  <c r="E330" i="123" s="1"/>
  <c r="T329" i="123"/>
  <c r="S329" i="123"/>
  <c r="T328" i="123"/>
  <c r="S328" i="123"/>
  <c r="T327" i="123"/>
  <c r="S327" i="123"/>
  <c r="T326" i="123"/>
  <c r="S326" i="123"/>
  <c r="U326" i="123" s="1"/>
  <c r="E326" i="123" s="1"/>
  <c r="E325" i="123"/>
  <c r="T325" i="123"/>
  <c r="S325" i="123"/>
  <c r="U325" i="123" s="1"/>
  <c r="T324" i="123"/>
  <c r="S324" i="123"/>
  <c r="U324" i="123" s="1"/>
  <c r="E324" i="123" s="1"/>
  <c r="T323" i="123"/>
  <c r="S323" i="123"/>
  <c r="T322" i="123"/>
  <c r="S322" i="123"/>
  <c r="U322" i="123" s="1"/>
  <c r="E322" i="123" s="1"/>
  <c r="T321" i="123"/>
  <c r="S321" i="123"/>
  <c r="T320" i="123"/>
  <c r="S320" i="123"/>
  <c r="T319" i="123"/>
  <c r="S319" i="123"/>
  <c r="T318" i="123"/>
  <c r="S318" i="123"/>
  <c r="U318" i="123" s="1"/>
  <c r="E318" i="123" s="1"/>
  <c r="E317" i="123"/>
  <c r="T317" i="123"/>
  <c r="S317" i="123"/>
  <c r="U317" i="123" s="1"/>
  <c r="T316" i="123"/>
  <c r="S316" i="123"/>
  <c r="U316" i="123" s="1"/>
  <c r="E316" i="123" s="1"/>
  <c r="T315" i="123"/>
  <c r="S315" i="123"/>
  <c r="T314" i="123"/>
  <c r="S314" i="123"/>
  <c r="U314" i="123" s="1"/>
  <c r="E314" i="123" s="1"/>
  <c r="T313" i="123"/>
  <c r="S313" i="123"/>
  <c r="T312" i="123"/>
  <c r="S312" i="123"/>
  <c r="T311" i="123"/>
  <c r="S311" i="123"/>
  <c r="T310" i="123"/>
  <c r="S310" i="123"/>
  <c r="U310" i="123" s="1"/>
  <c r="E310" i="123" s="1"/>
  <c r="E309" i="123"/>
  <c r="T309" i="123"/>
  <c r="S309" i="123"/>
  <c r="U309" i="123" s="1"/>
  <c r="T308" i="123"/>
  <c r="S308" i="123"/>
  <c r="U308" i="123" s="1"/>
  <c r="E308" i="123" s="1"/>
  <c r="T307" i="123"/>
  <c r="S307" i="123"/>
  <c r="T306" i="123"/>
  <c r="S306" i="123"/>
  <c r="U306" i="123" s="1"/>
  <c r="E306" i="123" s="1"/>
  <c r="T305" i="123"/>
  <c r="S305" i="123"/>
  <c r="T304" i="123"/>
  <c r="S304" i="123"/>
  <c r="T303" i="123"/>
  <c r="S303" i="123"/>
  <c r="T302" i="123"/>
  <c r="S302" i="123"/>
  <c r="U302" i="123" s="1"/>
  <c r="E302" i="123" s="1"/>
  <c r="E301" i="123"/>
  <c r="T301" i="123"/>
  <c r="S301" i="123"/>
  <c r="U301" i="123" s="1"/>
  <c r="T300" i="123"/>
  <c r="S300" i="123"/>
  <c r="U300" i="123" s="1"/>
  <c r="E300" i="123" s="1"/>
  <c r="T299" i="123"/>
  <c r="S299" i="123"/>
  <c r="T298" i="123"/>
  <c r="S298" i="123"/>
  <c r="U298" i="123" s="1"/>
  <c r="E298" i="123" s="1"/>
  <c r="T297" i="123"/>
  <c r="S297" i="123"/>
  <c r="T296" i="123"/>
  <c r="S296" i="123"/>
  <c r="T295" i="123"/>
  <c r="S295" i="123"/>
  <c r="T294" i="123"/>
  <c r="S294" i="123"/>
  <c r="U294" i="123" s="1"/>
  <c r="E294" i="123" s="1"/>
  <c r="E293" i="123"/>
  <c r="T293" i="123"/>
  <c r="S293" i="123"/>
  <c r="U293" i="123" s="1"/>
  <c r="T292" i="123"/>
  <c r="S292" i="123"/>
  <c r="U292" i="123" s="1"/>
  <c r="E292" i="123" s="1"/>
  <c r="T291" i="123"/>
  <c r="S291" i="123"/>
  <c r="T290" i="123"/>
  <c r="S290" i="123"/>
  <c r="U290" i="123" s="1"/>
  <c r="E290" i="123" s="1"/>
  <c r="T289" i="123"/>
  <c r="S289" i="123"/>
  <c r="T288" i="123"/>
  <c r="S288" i="123"/>
  <c r="T287" i="123"/>
  <c r="S287" i="123"/>
  <c r="T286" i="123"/>
  <c r="S286" i="123"/>
  <c r="U286" i="123" s="1"/>
  <c r="E286" i="123" s="1"/>
  <c r="E285" i="123"/>
  <c r="T285" i="123"/>
  <c r="S285" i="123"/>
  <c r="U285" i="123" s="1"/>
  <c r="T284" i="123"/>
  <c r="S284" i="123"/>
  <c r="U284" i="123" s="1"/>
  <c r="E284" i="123" s="1"/>
  <c r="T283" i="123"/>
  <c r="S283" i="123"/>
  <c r="T282" i="123"/>
  <c r="S282" i="123"/>
  <c r="U282" i="123" s="1"/>
  <c r="E282" i="123" s="1"/>
  <c r="T281" i="123"/>
  <c r="S281" i="123"/>
  <c r="T280" i="123"/>
  <c r="S280" i="123"/>
  <c r="T279" i="123"/>
  <c r="S279" i="123"/>
  <c r="T278" i="123"/>
  <c r="S278" i="123"/>
  <c r="U278" i="123" s="1"/>
  <c r="E278" i="123" s="1"/>
  <c r="E277" i="123"/>
  <c r="T277" i="123"/>
  <c r="S277" i="123"/>
  <c r="U277" i="123" s="1"/>
  <c r="T276" i="123"/>
  <c r="S276" i="123"/>
  <c r="U276" i="123" s="1"/>
  <c r="E276" i="123" s="1"/>
  <c r="T275" i="123"/>
  <c r="S275" i="123"/>
  <c r="T274" i="123"/>
  <c r="S274" i="123"/>
  <c r="U274" i="123" s="1"/>
  <c r="E274" i="123" s="1"/>
  <c r="T273" i="123"/>
  <c r="S273" i="123"/>
  <c r="T272" i="123"/>
  <c r="S272" i="123"/>
  <c r="T271" i="123"/>
  <c r="S271" i="123"/>
  <c r="T270" i="123"/>
  <c r="S270" i="123"/>
  <c r="U270" i="123" s="1"/>
  <c r="E270" i="123" s="1"/>
  <c r="E269" i="123"/>
  <c r="T269" i="123"/>
  <c r="S269" i="123"/>
  <c r="U269" i="123" s="1"/>
  <c r="T268" i="123"/>
  <c r="S268" i="123"/>
  <c r="U268" i="123" s="1"/>
  <c r="E268" i="123" s="1"/>
  <c r="T267" i="123"/>
  <c r="S267" i="123"/>
  <c r="T266" i="123"/>
  <c r="S266" i="123"/>
  <c r="U266" i="123" s="1"/>
  <c r="E266" i="123" s="1"/>
  <c r="T265" i="123"/>
  <c r="S265" i="123"/>
  <c r="T264" i="123"/>
  <c r="S264" i="123"/>
  <c r="T263" i="123"/>
  <c r="S263" i="123"/>
  <c r="T262" i="123"/>
  <c r="S262" i="123"/>
  <c r="U262" i="123" s="1"/>
  <c r="E262" i="123" s="1"/>
  <c r="E261" i="123"/>
  <c r="T261" i="123"/>
  <c r="S261" i="123"/>
  <c r="U261" i="123" s="1"/>
  <c r="T260" i="123"/>
  <c r="S260" i="123"/>
  <c r="U260" i="123" s="1"/>
  <c r="E260" i="123" s="1"/>
  <c r="T259" i="123"/>
  <c r="S259" i="123"/>
  <c r="T258" i="123"/>
  <c r="S258" i="123"/>
  <c r="U258" i="123" s="1"/>
  <c r="E258" i="123" s="1"/>
  <c r="T257" i="123"/>
  <c r="S257" i="123"/>
  <c r="T256" i="123"/>
  <c r="S256" i="123"/>
  <c r="T255" i="123"/>
  <c r="S255" i="123"/>
  <c r="T254" i="123"/>
  <c r="S254" i="123"/>
  <c r="U254" i="123" s="1"/>
  <c r="E254" i="123" s="1"/>
  <c r="E253" i="123"/>
  <c r="T253" i="123"/>
  <c r="S253" i="123"/>
  <c r="U253" i="123" s="1"/>
  <c r="T252" i="123"/>
  <c r="S252" i="123"/>
  <c r="U252" i="123" s="1"/>
  <c r="E252" i="123" s="1"/>
  <c r="T251" i="123"/>
  <c r="S251" i="123"/>
  <c r="T250" i="123"/>
  <c r="S250" i="123"/>
  <c r="U250" i="123" s="1"/>
  <c r="E250" i="123" s="1"/>
  <c r="T249" i="123"/>
  <c r="S249" i="123"/>
  <c r="T248" i="123"/>
  <c r="S248" i="123"/>
  <c r="T247" i="123"/>
  <c r="S247" i="123"/>
  <c r="T246" i="123"/>
  <c r="S246" i="123"/>
  <c r="U246" i="123" s="1"/>
  <c r="E246" i="123" s="1"/>
  <c r="E245" i="123"/>
  <c r="T245" i="123"/>
  <c r="S245" i="123"/>
  <c r="U245" i="123" s="1"/>
  <c r="T244" i="123"/>
  <c r="S244" i="123"/>
  <c r="U244" i="123" s="1"/>
  <c r="E244" i="123" s="1"/>
  <c r="T243" i="123"/>
  <c r="S243" i="123"/>
  <c r="T242" i="123"/>
  <c r="S242" i="123"/>
  <c r="U242" i="123" s="1"/>
  <c r="E242" i="123" s="1"/>
  <c r="T241" i="123"/>
  <c r="S241" i="123"/>
  <c r="T240" i="123"/>
  <c r="S240" i="123"/>
  <c r="T239" i="123"/>
  <c r="S239" i="123"/>
  <c r="T238" i="123"/>
  <c r="S238" i="123"/>
  <c r="U238" i="123" s="1"/>
  <c r="E238" i="123" s="1"/>
  <c r="E237" i="123"/>
  <c r="T237" i="123"/>
  <c r="S237" i="123"/>
  <c r="U237" i="123" s="1"/>
  <c r="T236" i="123"/>
  <c r="S236" i="123"/>
  <c r="U236" i="123" s="1"/>
  <c r="E236" i="123" s="1"/>
  <c r="T235" i="123"/>
  <c r="S235" i="123"/>
  <c r="T234" i="123"/>
  <c r="S234" i="123"/>
  <c r="U234" i="123" s="1"/>
  <c r="E234" i="123" s="1"/>
  <c r="T233" i="123"/>
  <c r="S233" i="123"/>
  <c r="T232" i="123"/>
  <c r="S232" i="123"/>
  <c r="T231" i="123"/>
  <c r="S231" i="123"/>
  <c r="T230" i="123"/>
  <c r="S230" i="123"/>
  <c r="U230" i="123" s="1"/>
  <c r="E230" i="123" s="1"/>
  <c r="E229" i="123"/>
  <c r="T229" i="123"/>
  <c r="S229" i="123"/>
  <c r="U229" i="123" s="1"/>
  <c r="T228" i="123"/>
  <c r="S228" i="123"/>
  <c r="U228" i="123" s="1"/>
  <c r="E228" i="123" s="1"/>
  <c r="T227" i="123"/>
  <c r="S227" i="123"/>
  <c r="T226" i="123"/>
  <c r="S226" i="123"/>
  <c r="U226" i="123" s="1"/>
  <c r="E226" i="123" s="1"/>
  <c r="T225" i="123"/>
  <c r="S225" i="123"/>
  <c r="T224" i="123"/>
  <c r="S224" i="123"/>
  <c r="T223" i="123"/>
  <c r="S223" i="123"/>
  <c r="T222" i="123"/>
  <c r="S222" i="123"/>
  <c r="U222" i="123" s="1"/>
  <c r="E222" i="123" s="1"/>
  <c r="E221" i="123"/>
  <c r="T221" i="123"/>
  <c r="S221" i="123"/>
  <c r="U221" i="123" s="1"/>
  <c r="T220" i="123"/>
  <c r="S220" i="123"/>
  <c r="U220" i="123" s="1"/>
  <c r="E220" i="123" s="1"/>
  <c r="T219" i="123"/>
  <c r="S219" i="123"/>
  <c r="T218" i="123"/>
  <c r="S218" i="123"/>
  <c r="U218" i="123" s="1"/>
  <c r="E218" i="123" s="1"/>
  <c r="T217" i="123"/>
  <c r="S217" i="123"/>
  <c r="T216" i="123"/>
  <c r="S216" i="123"/>
  <c r="T215" i="123"/>
  <c r="S215" i="123"/>
  <c r="T214" i="123"/>
  <c r="S214" i="123"/>
  <c r="U214" i="123" s="1"/>
  <c r="E214" i="123" s="1"/>
  <c r="E213" i="123"/>
  <c r="T213" i="123"/>
  <c r="S213" i="123"/>
  <c r="U213" i="123" s="1"/>
  <c r="T212" i="123"/>
  <c r="S212" i="123"/>
  <c r="U212" i="123" s="1"/>
  <c r="E212" i="123" s="1"/>
  <c r="T211" i="123"/>
  <c r="S211" i="123"/>
  <c r="T210" i="123"/>
  <c r="S210" i="123"/>
  <c r="U210" i="123" s="1"/>
  <c r="E210" i="123" s="1"/>
  <c r="T209" i="123"/>
  <c r="S209" i="123"/>
  <c r="T208" i="123"/>
  <c r="S208" i="123"/>
  <c r="T207" i="123"/>
  <c r="S207" i="123"/>
  <c r="T206" i="123"/>
  <c r="S206" i="123"/>
  <c r="U206" i="123" s="1"/>
  <c r="E206" i="123" s="1"/>
  <c r="E205" i="123"/>
  <c r="T205" i="123"/>
  <c r="S205" i="123"/>
  <c r="U205" i="123" s="1"/>
  <c r="T204" i="123"/>
  <c r="S204" i="123"/>
  <c r="U204" i="123" s="1"/>
  <c r="E204" i="123" s="1"/>
  <c r="T203" i="123"/>
  <c r="S203" i="123"/>
  <c r="T202" i="123"/>
  <c r="S202" i="123"/>
  <c r="U202" i="123" s="1"/>
  <c r="E202" i="123" s="1"/>
  <c r="T201" i="123"/>
  <c r="S201" i="123"/>
  <c r="T200" i="123"/>
  <c r="S200" i="123"/>
  <c r="T199" i="123"/>
  <c r="S199" i="123"/>
  <c r="T198" i="123"/>
  <c r="S198" i="123"/>
  <c r="U198" i="123" s="1"/>
  <c r="E198" i="123" s="1"/>
  <c r="E197" i="123"/>
  <c r="T197" i="123"/>
  <c r="S197" i="123"/>
  <c r="U197" i="123" s="1"/>
  <c r="T196" i="123"/>
  <c r="S196" i="123"/>
  <c r="U196" i="123" s="1"/>
  <c r="E196" i="123" s="1"/>
  <c r="T195" i="123"/>
  <c r="S195" i="123"/>
  <c r="T194" i="123"/>
  <c r="S194" i="123"/>
  <c r="U194" i="123" s="1"/>
  <c r="E194" i="123" s="1"/>
  <c r="T193" i="123"/>
  <c r="S193" i="123"/>
  <c r="T192" i="123"/>
  <c r="S192" i="123"/>
  <c r="T191" i="123"/>
  <c r="S191" i="123"/>
  <c r="T190" i="123"/>
  <c r="S190" i="123"/>
  <c r="U190" i="123" s="1"/>
  <c r="E190" i="123" s="1"/>
  <c r="E189" i="123"/>
  <c r="T189" i="123"/>
  <c r="S189" i="123"/>
  <c r="U189" i="123" s="1"/>
  <c r="T188" i="123"/>
  <c r="S188" i="123"/>
  <c r="U188" i="123" s="1"/>
  <c r="E188" i="123" s="1"/>
  <c r="T187" i="123"/>
  <c r="S187" i="123"/>
  <c r="T186" i="123"/>
  <c r="S186" i="123"/>
  <c r="U186" i="123" s="1"/>
  <c r="E186" i="123" s="1"/>
  <c r="T185" i="123"/>
  <c r="S185" i="123"/>
  <c r="T184" i="123"/>
  <c r="S184" i="123"/>
  <c r="T183" i="123"/>
  <c r="S183" i="123"/>
  <c r="T182" i="123"/>
  <c r="S182" i="123"/>
  <c r="U182" i="123" s="1"/>
  <c r="E182" i="123" s="1"/>
  <c r="E181" i="123"/>
  <c r="T181" i="123"/>
  <c r="S181" i="123"/>
  <c r="U181" i="123" s="1"/>
  <c r="T180" i="123"/>
  <c r="S180" i="123"/>
  <c r="U180" i="123" s="1"/>
  <c r="E180" i="123" s="1"/>
  <c r="T179" i="123"/>
  <c r="S179" i="123"/>
  <c r="T178" i="123"/>
  <c r="S178" i="123"/>
  <c r="U178" i="123" s="1"/>
  <c r="E178" i="123" s="1"/>
  <c r="T177" i="123"/>
  <c r="S177" i="123"/>
  <c r="T176" i="123"/>
  <c r="S176" i="123"/>
  <c r="T175" i="123"/>
  <c r="S175" i="123"/>
  <c r="T174" i="123"/>
  <c r="S174" i="123"/>
  <c r="U174" i="123" s="1"/>
  <c r="E174" i="123" s="1"/>
  <c r="E173" i="123"/>
  <c r="T173" i="123"/>
  <c r="S173" i="123"/>
  <c r="U173" i="123" s="1"/>
  <c r="T172" i="123"/>
  <c r="S172" i="123"/>
  <c r="U172" i="123" s="1"/>
  <c r="E172" i="123" s="1"/>
  <c r="T171" i="123"/>
  <c r="S171" i="123"/>
  <c r="U171" i="123" s="1"/>
  <c r="E171" i="123" s="1"/>
  <c r="T170" i="123"/>
  <c r="S170" i="123"/>
  <c r="U170" i="123" s="1"/>
  <c r="E170" i="123" s="1"/>
  <c r="T169" i="123"/>
  <c r="S169" i="123"/>
  <c r="T168" i="123"/>
  <c r="S168" i="123"/>
  <c r="U168" i="123" s="1"/>
  <c r="E168" i="123" s="1"/>
  <c r="T167" i="123"/>
  <c r="S167" i="123"/>
  <c r="U167" i="123" s="1"/>
  <c r="E167" i="123" s="1"/>
  <c r="T166" i="123"/>
  <c r="S166" i="123"/>
  <c r="U166" i="123" s="1"/>
  <c r="E166" i="123" s="1"/>
  <c r="T165" i="123"/>
  <c r="S165" i="123"/>
  <c r="T164" i="123"/>
  <c r="S164" i="123"/>
  <c r="U164" i="123" s="1"/>
  <c r="E164" i="123" s="1"/>
  <c r="T163" i="123"/>
  <c r="S163" i="123"/>
  <c r="U163" i="123" s="1"/>
  <c r="E163" i="123" s="1"/>
  <c r="T162" i="123"/>
  <c r="S162" i="123"/>
  <c r="U162" i="123" s="1"/>
  <c r="E162" i="123" s="1"/>
  <c r="T161" i="123"/>
  <c r="S161" i="123"/>
  <c r="T160" i="123"/>
  <c r="S160" i="123"/>
  <c r="U160" i="123" s="1"/>
  <c r="E160" i="123" s="1"/>
  <c r="T159" i="123"/>
  <c r="S159" i="123"/>
  <c r="U159" i="123" s="1"/>
  <c r="E159" i="123" s="1"/>
  <c r="T158" i="123"/>
  <c r="S158" i="123"/>
  <c r="U158" i="123" s="1"/>
  <c r="E158" i="123" s="1"/>
  <c r="T157" i="123"/>
  <c r="S157" i="123"/>
  <c r="T156" i="123"/>
  <c r="S156" i="123"/>
  <c r="U156" i="123" s="1"/>
  <c r="E156" i="123" s="1"/>
  <c r="T155" i="123"/>
  <c r="S155" i="123"/>
  <c r="U155" i="123" s="1"/>
  <c r="E155" i="123" s="1"/>
  <c r="T154" i="123"/>
  <c r="S154" i="123"/>
  <c r="U154" i="123" s="1"/>
  <c r="E154" i="123" s="1"/>
  <c r="T153" i="123"/>
  <c r="S153" i="123"/>
  <c r="T152" i="123"/>
  <c r="S152" i="123"/>
  <c r="U152" i="123" s="1"/>
  <c r="E152" i="123" s="1"/>
  <c r="T151" i="123"/>
  <c r="S151" i="123"/>
  <c r="U151" i="123" s="1"/>
  <c r="E151" i="123" s="1"/>
  <c r="T150" i="123"/>
  <c r="S150" i="123"/>
  <c r="U150" i="123" s="1"/>
  <c r="E150" i="123" s="1"/>
  <c r="T149" i="123"/>
  <c r="S149" i="123"/>
  <c r="T148" i="123"/>
  <c r="S148" i="123"/>
  <c r="U148" i="123" s="1"/>
  <c r="E148" i="123" s="1"/>
  <c r="T147" i="123"/>
  <c r="S147" i="123"/>
  <c r="U147" i="123" s="1"/>
  <c r="E147" i="123" s="1"/>
  <c r="T146" i="123"/>
  <c r="S146" i="123"/>
  <c r="U146" i="123" s="1"/>
  <c r="E146" i="123" s="1"/>
  <c r="T145" i="123"/>
  <c r="S145" i="123"/>
  <c r="T144" i="123"/>
  <c r="S144" i="123"/>
  <c r="U144" i="123" s="1"/>
  <c r="E144" i="123" s="1"/>
  <c r="T143" i="123"/>
  <c r="S143" i="123"/>
  <c r="U143" i="123" s="1"/>
  <c r="E143" i="123" s="1"/>
  <c r="T142" i="123"/>
  <c r="S142" i="123"/>
  <c r="U142" i="123" s="1"/>
  <c r="E142" i="123" s="1"/>
  <c r="T141" i="123"/>
  <c r="S141" i="123"/>
  <c r="T140" i="123"/>
  <c r="S140" i="123"/>
  <c r="U140" i="123" s="1"/>
  <c r="E140" i="123" s="1"/>
  <c r="T139" i="123"/>
  <c r="S139" i="123"/>
  <c r="U139" i="123" s="1"/>
  <c r="E139" i="123" s="1"/>
  <c r="T138" i="123"/>
  <c r="S138" i="123"/>
  <c r="U138" i="123" s="1"/>
  <c r="E138" i="123" s="1"/>
  <c r="T137" i="123"/>
  <c r="S137" i="123"/>
  <c r="T136" i="123"/>
  <c r="S136" i="123"/>
  <c r="U136" i="123" s="1"/>
  <c r="E136" i="123" s="1"/>
  <c r="T135" i="123"/>
  <c r="S135" i="123"/>
  <c r="U135" i="123" s="1"/>
  <c r="E135" i="123" s="1"/>
  <c r="T134" i="123"/>
  <c r="S134" i="123"/>
  <c r="U134" i="123" s="1"/>
  <c r="E134" i="123" s="1"/>
  <c r="T133" i="123"/>
  <c r="S133" i="123"/>
  <c r="T132" i="123"/>
  <c r="S132" i="123"/>
  <c r="U132" i="123" s="1"/>
  <c r="E132" i="123" s="1"/>
  <c r="T131" i="123"/>
  <c r="S131" i="123"/>
  <c r="U131" i="123" s="1"/>
  <c r="E131" i="123" s="1"/>
  <c r="T130" i="123"/>
  <c r="S130" i="123"/>
  <c r="U130" i="123" s="1"/>
  <c r="E130" i="123" s="1"/>
  <c r="T129" i="123"/>
  <c r="S129" i="123"/>
  <c r="T128" i="123"/>
  <c r="S128" i="123"/>
  <c r="U128" i="123" s="1"/>
  <c r="E128" i="123" s="1"/>
  <c r="T127" i="123"/>
  <c r="S127" i="123"/>
  <c r="U127" i="123" s="1"/>
  <c r="E127" i="123" s="1"/>
  <c r="S126" i="123"/>
  <c r="U125" i="123"/>
  <c r="E125" i="123" s="1"/>
  <c r="T125" i="123"/>
  <c r="S125" i="123"/>
  <c r="T124" i="123"/>
  <c r="S124" i="123"/>
  <c r="U124" i="123" s="1"/>
  <c r="E124" i="123" s="1"/>
  <c r="U123" i="123"/>
  <c r="E123" i="123" s="1"/>
  <c r="T123" i="123"/>
  <c r="S123" i="123"/>
  <c r="T122" i="123"/>
  <c r="S122" i="123"/>
  <c r="T121" i="123"/>
  <c r="U121" i="123" s="1"/>
  <c r="E121" i="123" s="1"/>
  <c r="S121" i="123"/>
  <c r="T120" i="123"/>
  <c r="S120" i="123"/>
  <c r="U119" i="123"/>
  <c r="E119" i="123" s="1"/>
  <c r="T119" i="123"/>
  <c r="S119" i="123"/>
  <c r="T118" i="123"/>
  <c r="S118" i="123"/>
  <c r="U118" i="123" s="1"/>
  <c r="E118" i="123" s="1"/>
  <c r="U117" i="123"/>
  <c r="E117" i="123" s="1"/>
  <c r="T117" i="123"/>
  <c r="S117" i="123"/>
  <c r="T116" i="123"/>
  <c r="S116" i="123"/>
  <c r="U115" i="123"/>
  <c r="E115" i="123" s="1"/>
  <c r="T115" i="123"/>
  <c r="S115" i="123"/>
  <c r="T114" i="123"/>
  <c r="S114" i="123"/>
  <c r="T113" i="123"/>
  <c r="U113" i="123" s="1"/>
  <c r="E113" i="123" s="1"/>
  <c r="S113" i="123"/>
  <c r="T112" i="123"/>
  <c r="S112" i="123"/>
  <c r="T111" i="123"/>
  <c r="U111" i="123" s="1"/>
  <c r="E111" i="123" s="1"/>
  <c r="S111" i="123"/>
  <c r="T110" i="123"/>
  <c r="S110" i="123"/>
  <c r="U110" i="123" s="1"/>
  <c r="E110" i="123" s="1"/>
  <c r="U109" i="123"/>
  <c r="E109" i="123" s="1"/>
  <c r="T109" i="123"/>
  <c r="S109" i="123"/>
  <c r="T108" i="123"/>
  <c r="S108" i="123"/>
  <c r="U108" i="123" s="1"/>
  <c r="E108" i="123" s="1"/>
  <c r="U107" i="123"/>
  <c r="E107" i="123" s="1"/>
  <c r="T107" i="123"/>
  <c r="S107" i="123"/>
  <c r="T106" i="123"/>
  <c r="S106" i="123"/>
  <c r="T105" i="123"/>
  <c r="U105" i="123" s="1"/>
  <c r="E105" i="123" s="1"/>
  <c r="S105" i="123"/>
  <c r="T104" i="123"/>
  <c r="S104" i="123"/>
  <c r="U103" i="123"/>
  <c r="E103" i="123" s="1"/>
  <c r="T103" i="123"/>
  <c r="S103" i="123"/>
  <c r="T102" i="123"/>
  <c r="S102" i="123"/>
  <c r="U102" i="123" s="1"/>
  <c r="E102" i="123" s="1"/>
  <c r="U101" i="123"/>
  <c r="E101" i="123" s="1"/>
  <c r="T101" i="123"/>
  <c r="S101" i="123"/>
  <c r="T100" i="123"/>
  <c r="S100" i="123"/>
  <c r="S99" i="123"/>
  <c r="U98" i="123"/>
  <c r="E98" i="123" s="1"/>
  <c r="T98" i="123"/>
  <c r="S98" i="123"/>
  <c r="T97" i="123"/>
  <c r="S97" i="123"/>
  <c r="U97" i="123" s="1"/>
  <c r="E97" i="123" s="1"/>
  <c r="T96" i="123"/>
  <c r="S96" i="123"/>
  <c r="U96" i="123" s="1"/>
  <c r="E96" i="123" s="1"/>
  <c r="E95" i="123"/>
  <c r="T95" i="123"/>
  <c r="S95" i="123"/>
  <c r="U95" i="123" s="1"/>
  <c r="T94" i="123"/>
  <c r="S94" i="123"/>
  <c r="U94" i="123" s="1"/>
  <c r="E94" i="123" s="1"/>
  <c r="E93" i="123"/>
  <c r="T93" i="123"/>
  <c r="S93" i="123"/>
  <c r="U93" i="123" s="1"/>
  <c r="U92" i="123"/>
  <c r="E92" i="123" s="1"/>
  <c r="T92" i="123"/>
  <c r="S92" i="123"/>
  <c r="E91" i="123"/>
  <c r="T91" i="123"/>
  <c r="S91" i="123"/>
  <c r="U91" i="123" s="1"/>
  <c r="T90" i="123"/>
  <c r="S90" i="123"/>
  <c r="U90" i="123" s="1"/>
  <c r="E90" i="123" s="1"/>
  <c r="T89" i="123"/>
  <c r="S89" i="123"/>
  <c r="U89" i="123" s="1"/>
  <c r="E89" i="123" s="1"/>
  <c r="T88" i="123"/>
  <c r="S88" i="123"/>
  <c r="U88" i="123" s="1"/>
  <c r="E88" i="123" s="1"/>
  <c r="T87" i="123"/>
  <c r="S87" i="123"/>
  <c r="U87" i="123" s="1"/>
  <c r="E87" i="123" s="1"/>
  <c r="E86" i="123"/>
  <c r="U86" i="123"/>
  <c r="T86" i="123"/>
  <c r="S86" i="123"/>
  <c r="E85" i="123"/>
  <c r="T85" i="123"/>
  <c r="S85" i="123"/>
  <c r="U85" i="123" s="1"/>
  <c r="E84" i="123"/>
  <c r="U84" i="123"/>
  <c r="T84" i="123"/>
  <c r="S84" i="123"/>
  <c r="T83" i="123"/>
  <c r="S83" i="123"/>
  <c r="U83" i="123" s="1"/>
  <c r="E83" i="123" s="1"/>
  <c r="U82" i="123"/>
  <c r="E82" i="123" s="1"/>
  <c r="T82" i="123"/>
  <c r="S82" i="123"/>
  <c r="T81" i="123"/>
  <c r="S81" i="123"/>
  <c r="U81" i="123" s="1"/>
  <c r="E81" i="123" s="1"/>
  <c r="T80" i="123"/>
  <c r="S80" i="123"/>
  <c r="U80" i="123" s="1"/>
  <c r="E80" i="123" s="1"/>
  <c r="E79" i="123"/>
  <c r="T79" i="123"/>
  <c r="S79" i="123"/>
  <c r="U79" i="123" s="1"/>
  <c r="T78" i="123"/>
  <c r="S78" i="123"/>
  <c r="U78" i="123" s="1"/>
  <c r="E78" i="123" s="1"/>
  <c r="E77" i="123"/>
  <c r="T77" i="123"/>
  <c r="S77" i="123"/>
  <c r="U77" i="123" s="1"/>
  <c r="U76" i="123"/>
  <c r="E76" i="123" s="1"/>
  <c r="T76" i="123"/>
  <c r="S76" i="123"/>
  <c r="E75" i="123"/>
  <c r="T75" i="123"/>
  <c r="S75" i="123"/>
  <c r="U75" i="123" s="1"/>
  <c r="T74" i="123"/>
  <c r="S74" i="123"/>
  <c r="U74" i="123" s="1"/>
  <c r="E74" i="123" s="1"/>
  <c r="T73" i="123"/>
  <c r="S73" i="123"/>
  <c r="U73" i="123" s="1"/>
  <c r="E73" i="123" s="1"/>
  <c r="T72" i="123"/>
  <c r="S72" i="123"/>
  <c r="U72" i="123" s="1"/>
  <c r="E72" i="123" s="1"/>
  <c r="T71" i="123"/>
  <c r="S71" i="123"/>
  <c r="U71" i="123" s="1"/>
  <c r="E71" i="123" s="1"/>
  <c r="E70" i="123"/>
  <c r="U70" i="123"/>
  <c r="T70" i="123"/>
  <c r="S70" i="123"/>
  <c r="E69" i="123"/>
  <c r="T69" i="123"/>
  <c r="S69" i="123"/>
  <c r="U69" i="123" s="1"/>
  <c r="E68" i="123"/>
  <c r="U68" i="123"/>
  <c r="T68" i="123"/>
  <c r="S68" i="123"/>
  <c r="T67" i="123"/>
  <c r="S67" i="123"/>
  <c r="U67" i="123" s="1"/>
  <c r="E67" i="123" s="1"/>
  <c r="U66" i="123"/>
  <c r="E66" i="123" s="1"/>
  <c r="T66" i="123"/>
  <c r="S66" i="123"/>
  <c r="T65" i="123"/>
  <c r="S65" i="123"/>
  <c r="U65" i="123" s="1"/>
  <c r="E65" i="123" s="1"/>
  <c r="T64" i="123"/>
  <c r="S64" i="123"/>
  <c r="U64" i="123" s="1"/>
  <c r="E64" i="123" s="1"/>
  <c r="E63" i="123"/>
  <c r="T63" i="123"/>
  <c r="S63" i="123"/>
  <c r="U63" i="123" s="1"/>
  <c r="T62" i="123"/>
  <c r="S62" i="123"/>
  <c r="U62" i="123" s="1"/>
  <c r="E62" i="123" s="1"/>
  <c r="E61" i="123"/>
  <c r="T61" i="123"/>
  <c r="S61" i="123"/>
  <c r="U61" i="123" s="1"/>
  <c r="U60" i="123"/>
  <c r="E60" i="123" s="1"/>
  <c r="T60" i="123"/>
  <c r="S60" i="123"/>
  <c r="E59" i="123"/>
  <c r="T59" i="123"/>
  <c r="S59" i="123"/>
  <c r="U59" i="123" s="1"/>
  <c r="T58" i="123"/>
  <c r="S58" i="123"/>
  <c r="U58" i="123" s="1"/>
  <c r="E58" i="123" s="1"/>
  <c r="T57" i="123"/>
  <c r="S57" i="123"/>
  <c r="U57" i="123" s="1"/>
  <c r="E57" i="123" s="1"/>
  <c r="T56" i="123"/>
  <c r="S56" i="123"/>
  <c r="U56" i="123" s="1"/>
  <c r="E56" i="123" s="1"/>
  <c r="T55" i="123"/>
  <c r="S55" i="123"/>
  <c r="U55" i="123" s="1"/>
  <c r="E55" i="123" s="1"/>
  <c r="E54" i="123"/>
  <c r="U54" i="123"/>
  <c r="T54" i="123"/>
  <c r="S54" i="123"/>
  <c r="T53" i="123"/>
  <c r="S53" i="123"/>
  <c r="U53" i="123" s="1"/>
  <c r="E53" i="123" s="1"/>
  <c r="E52" i="123"/>
  <c r="U52" i="123"/>
  <c r="T52" i="123"/>
  <c r="S52" i="123"/>
  <c r="T51" i="123"/>
  <c r="S51" i="123"/>
  <c r="U51" i="123" s="1"/>
  <c r="E51" i="123" s="1"/>
  <c r="E50" i="123"/>
  <c r="U50" i="123"/>
  <c r="T50" i="123"/>
  <c r="S50" i="123"/>
  <c r="S49" i="123"/>
  <c r="E48" i="123"/>
  <c r="T48" i="123"/>
  <c r="S48" i="123"/>
  <c r="U48" i="123" s="1"/>
  <c r="T47" i="123"/>
  <c r="S47" i="123"/>
  <c r="T46" i="123"/>
  <c r="S46" i="123"/>
  <c r="T45" i="123"/>
  <c r="S45" i="123"/>
  <c r="U45" i="123" s="1"/>
  <c r="E45" i="123" s="1"/>
  <c r="T44" i="123"/>
  <c r="S44" i="123"/>
  <c r="U44" i="123" s="1"/>
  <c r="E44" i="123" s="1"/>
  <c r="T43" i="123"/>
  <c r="S43" i="123"/>
  <c r="T42" i="123"/>
  <c r="S42" i="123"/>
  <c r="T41" i="123"/>
  <c r="S41" i="123"/>
  <c r="E40" i="123"/>
  <c r="T40" i="123"/>
  <c r="S40" i="123"/>
  <c r="U40" i="123" s="1"/>
  <c r="T39" i="123"/>
  <c r="S39" i="123"/>
  <c r="T38" i="123"/>
  <c r="S38" i="123"/>
  <c r="T37" i="123"/>
  <c r="S37" i="123"/>
  <c r="U37" i="123" s="1"/>
  <c r="E37" i="123" s="1"/>
  <c r="T36" i="123"/>
  <c r="S36" i="123"/>
  <c r="U36" i="123" s="1"/>
  <c r="E36" i="123" s="1"/>
  <c r="T35" i="123"/>
  <c r="S35" i="123"/>
  <c r="T34" i="123"/>
  <c r="S34" i="123"/>
  <c r="T33" i="123"/>
  <c r="S33" i="123"/>
  <c r="E32" i="123"/>
  <c r="T32" i="123"/>
  <c r="S32" i="123"/>
  <c r="U32" i="123" s="1"/>
  <c r="T31" i="123"/>
  <c r="S31" i="123"/>
  <c r="T30" i="123"/>
  <c r="S30" i="123"/>
  <c r="T29" i="123"/>
  <c r="S29" i="123"/>
  <c r="U29" i="123" s="1"/>
  <c r="E29" i="123" s="1"/>
  <c r="T28" i="123"/>
  <c r="S28" i="123"/>
  <c r="U28" i="123" s="1"/>
  <c r="E28" i="123" s="1"/>
  <c r="T27" i="123"/>
  <c r="S27" i="123"/>
  <c r="T26" i="123"/>
  <c r="S26" i="123"/>
  <c r="T25" i="123"/>
  <c r="S25" i="123"/>
  <c r="E24" i="123"/>
  <c r="T24" i="123"/>
  <c r="S24" i="123"/>
  <c r="U24" i="123" s="1"/>
  <c r="T23" i="123"/>
  <c r="S23" i="123"/>
  <c r="T22" i="123"/>
  <c r="S22" i="123"/>
  <c r="T21" i="123"/>
  <c r="S21" i="123"/>
  <c r="U21" i="123" s="1"/>
  <c r="E21" i="123" s="1"/>
  <c r="T20" i="123"/>
  <c r="S20" i="123"/>
  <c r="U20" i="123" s="1"/>
  <c r="E20" i="123" s="1"/>
  <c r="T19" i="123"/>
  <c r="S19" i="123"/>
  <c r="U18" i="123"/>
  <c r="E18" i="123" s="1"/>
  <c r="T18" i="123"/>
  <c r="S18" i="123"/>
  <c r="T17" i="123"/>
  <c r="S17" i="123"/>
  <c r="T16" i="123"/>
  <c r="S16" i="123"/>
  <c r="U16" i="123" s="1"/>
  <c r="E16" i="123" s="1"/>
  <c r="T15" i="123"/>
  <c r="S15" i="123"/>
  <c r="T14" i="123"/>
  <c r="S14" i="123"/>
  <c r="U14" i="123" s="1"/>
  <c r="E14" i="123" s="1"/>
  <c r="T13" i="123"/>
  <c r="S13" i="123"/>
  <c r="U13" i="123" s="1"/>
  <c r="E13" i="123" s="1"/>
  <c r="E12" i="123"/>
  <c r="U12" i="123"/>
  <c r="T12" i="123"/>
  <c r="S12" i="123"/>
  <c r="T11" i="123"/>
  <c r="S11" i="123"/>
  <c r="T10" i="123"/>
  <c r="U10" i="123" s="1"/>
  <c r="E10" i="123" s="1"/>
  <c r="S10" i="123"/>
  <c r="U339" i="123"/>
  <c r="E339" i="123" s="1"/>
  <c r="S339" i="123"/>
  <c r="U338" i="123"/>
  <c r="E338" i="123" s="1"/>
  <c r="S338" i="123"/>
  <c r="T338" i="123" l="1"/>
  <c r="T339" i="123"/>
  <c r="U11" i="123"/>
  <c r="E11" i="123" s="1"/>
  <c r="U23" i="123"/>
  <c r="E23" i="123" s="1"/>
  <c r="U31" i="123"/>
  <c r="E31" i="123" s="1"/>
  <c r="U39" i="123"/>
  <c r="E39" i="123" s="1"/>
  <c r="U47" i="123"/>
  <c r="E47" i="123" s="1"/>
  <c r="U104" i="123"/>
  <c r="E104" i="123" s="1"/>
  <c r="U120" i="123"/>
  <c r="E120" i="123" s="1"/>
  <c r="U26" i="123"/>
  <c r="E26" i="123" s="1"/>
  <c r="U34" i="123"/>
  <c r="E34" i="123" s="1"/>
  <c r="U42" i="123"/>
  <c r="E42" i="123" s="1"/>
  <c r="U114" i="123"/>
  <c r="E114" i="123" s="1"/>
  <c r="U19" i="123"/>
  <c r="E19" i="123" s="1"/>
  <c r="U27" i="123"/>
  <c r="E27" i="123" s="1"/>
  <c r="U35" i="123"/>
  <c r="E35" i="123" s="1"/>
  <c r="U43" i="123"/>
  <c r="E43" i="123" s="1"/>
  <c r="U112" i="123"/>
  <c r="E112" i="123" s="1"/>
  <c r="U17" i="123"/>
  <c r="E17" i="123" s="1"/>
  <c r="U22" i="123"/>
  <c r="E22" i="123" s="1"/>
  <c r="U30" i="123"/>
  <c r="E30" i="123" s="1"/>
  <c r="U38" i="123"/>
  <c r="E38" i="123" s="1"/>
  <c r="U46" i="123"/>
  <c r="E46" i="123" s="1"/>
  <c r="U106" i="123"/>
  <c r="E106" i="123" s="1"/>
  <c r="U122" i="123"/>
  <c r="E122" i="123" s="1"/>
  <c r="U15" i="123"/>
  <c r="E15" i="123" s="1"/>
  <c r="U25" i="123"/>
  <c r="E25" i="123" s="1"/>
  <c r="U33" i="123"/>
  <c r="E33" i="123" s="1"/>
  <c r="U41" i="123"/>
  <c r="E41" i="123" s="1"/>
  <c r="U100" i="123"/>
  <c r="E100" i="123" s="1"/>
  <c r="U116" i="123"/>
  <c r="E116" i="123" s="1"/>
  <c r="U129" i="123"/>
  <c r="E129" i="123" s="1"/>
  <c r="U133" i="123"/>
  <c r="E133" i="123" s="1"/>
  <c r="U137" i="123"/>
  <c r="E137" i="123" s="1"/>
  <c r="U141" i="123"/>
  <c r="E141" i="123" s="1"/>
  <c r="U145" i="123"/>
  <c r="E145" i="123" s="1"/>
  <c r="U149" i="123"/>
  <c r="E149" i="123" s="1"/>
  <c r="U153" i="123"/>
  <c r="E153" i="123" s="1"/>
  <c r="U157" i="123"/>
  <c r="E157" i="123" s="1"/>
  <c r="U161" i="123"/>
  <c r="E161" i="123" s="1"/>
  <c r="U165" i="123"/>
  <c r="E165" i="123" s="1"/>
  <c r="U169" i="123"/>
  <c r="E169" i="123" s="1"/>
  <c r="U177" i="123"/>
  <c r="E177" i="123" s="1"/>
  <c r="U185" i="123"/>
  <c r="E185" i="123" s="1"/>
  <c r="U193" i="123"/>
  <c r="E193" i="123" s="1"/>
  <c r="U201" i="123"/>
  <c r="E201" i="123" s="1"/>
  <c r="U209" i="123"/>
  <c r="E209" i="123" s="1"/>
  <c r="U217" i="123"/>
  <c r="E217" i="123" s="1"/>
  <c r="U225" i="123"/>
  <c r="E225" i="123" s="1"/>
  <c r="U233" i="123"/>
  <c r="E233" i="123" s="1"/>
  <c r="U241" i="123"/>
  <c r="E241" i="123" s="1"/>
  <c r="U249" i="123"/>
  <c r="E249" i="123" s="1"/>
  <c r="U257" i="123"/>
  <c r="E257" i="123" s="1"/>
  <c r="U265" i="123"/>
  <c r="E265" i="123" s="1"/>
  <c r="U273" i="123"/>
  <c r="E273" i="123" s="1"/>
  <c r="U281" i="123"/>
  <c r="E281" i="123" s="1"/>
  <c r="U289" i="123"/>
  <c r="E289" i="123" s="1"/>
  <c r="U297" i="123"/>
  <c r="E297" i="123" s="1"/>
  <c r="U305" i="123"/>
  <c r="E305" i="123" s="1"/>
  <c r="U313" i="123"/>
  <c r="E313" i="123" s="1"/>
  <c r="U321" i="123"/>
  <c r="E321" i="123" s="1"/>
  <c r="U329" i="123"/>
  <c r="E329" i="123" s="1"/>
  <c r="U175" i="123"/>
  <c r="E175" i="123" s="1"/>
  <c r="U183" i="123"/>
  <c r="E183" i="123" s="1"/>
  <c r="U191" i="123"/>
  <c r="E191" i="123" s="1"/>
  <c r="U199" i="123"/>
  <c r="E199" i="123" s="1"/>
  <c r="U207" i="123"/>
  <c r="E207" i="123" s="1"/>
  <c r="U215" i="123"/>
  <c r="E215" i="123" s="1"/>
  <c r="U223" i="123"/>
  <c r="E223" i="123" s="1"/>
  <c r="U231" i="123"/>
  <c r="E231" i="123" s="1"/>
  <c r="U239" i="123"/>
  <c r="E239" i="123" s="1"/>
  <c r="U247" i="123"/>
  <c r="E247" i="123" s="1"/>
  <c r="U255" i="123"/>
  <c r="E255" i="123" s="1"/>
  <c r="U263" i="123"/>
  <c r="E263" i="123" s="1"/>
  <c r="U271" i="123"/>
  <c r="E271" i="123" s="1"/>
  <c r="U279" i="123"/>
  <c r="E279" i="123" s="1"/>
  <c r="U287" i="123"/>
  <c r="E287" i="123" s="1"/>
  <c r="U295" i="123"/>
  <c r="E295" i="123" s="1"/>
  <c r="U303" i="123"/>
  <c r="E303" i="123" s="1"/>
  <c r="U311" i="123"/>
  <c r="E311" i="123" s="1"/>
  <c r="U319" i="123"/>
  <c r="E319" i="123" s="1"/>
  <c r="U327" i="123"/>
  <c r="E327" i="123" s="1"/>
  <c r="U335" i="123"/>
  <c r="E335" i="123" s="1"/>
  <c r="U176" i="123"/>
  <c r="E176" i="123" s="1"/>
  <c r="U184" i="123"/>
  <c r="E184" i="123" s="1"/>
  <c r="U192" i="123"/>
  <c r="E192" i="123" s="1"/>
  <c r="U200" i="123"/>
  <c r="E200" i="123" s="1"/>
  <c r="U208" i="123"/>
  <c r="E208" i="123" s="1"/>
  <c r="U216" i="123"/>
  <c r="E216" i="123" s="1"/>
  <c r="U224" i="123"/>
  <c r="E224" i="123" s="1"/>
  <c r="U232" i="123"/>
  <c r="E232" i="123" s="1"/>
  <c r="U240" i="123"/>
  <c r="E240" i="123" s="1"/>
  <c r="U248" i="123"/>
  <c r="E248" i="123" s="1"/>
  <c r="U256" i="123"/>
  <c r="E256" i="123" s="1"/>
  <c r="U264" i="123"/>
  <c r="E264" i="123" s="1"/>
  <c r="U272" i="123"/>
  <c r="E272" i="123" s="1"/>
  <c r="U280" i="123"/>
  <c r="E280" i="123" s="1"/>
  <c r="U288" i="123"/>
  <c r="E288" i="123" s="1"/>
  <c r="U296" i="123"/>
  <c r="E296" i="123" s="1"/>
  <c r="U304" i="123"/>
  <c r="E304" i="123" s="1"/>
  <c r="U312" i="123"/>
  <c r="E312" i="123" s="1"/>
  <c r="U320" i="123"/>
  <c r="E320" i="123" s="1"/>
  <c r="U328" i="123"/>
  <c r="E328" i="123" s="1"/>
  <c r="U179" i="123"/>
  <c r="E179" i="123" s="1"/>
  <c r="U187" i="123"/>
  <c r="E187" i="123" s="1"/>
  <c r="U195" i="123"/>
  <c r="E195" i="123" s="1"/>
  <c r="U203" i="123"/>
  <c r="E203" i="123" s="1"/>
  <c r="U211" i="123"/>
  <c r="E211" i="123" s="1"/>
  <c r="U219" i="123"/>
  <c r="E219" i="123" s="1"/>
  <c r="U227" i="123"/>
  <c r="E227" i="123" s="1"/>
  <c r="U235" i="123"/>
  <c r="E235" i="123" s="1"/>
  <c r="U243" i="123"/>
  <c r="E243" i="123" s="1"/>
  <c r="U251" i="123"/>
  <c r="E251" i="123" s="1"/>
  <c r="U259" i="123"/>
  <c r="E259" i="123" s="1"/>
  <c r="U267" i="123"/>
  <c r="E267" i="123" s="1"/>
  <c r="U275" i="123"/>
  <c r="E275" i="123" s="1"/>
  <c r="U283" i="123"/>
  <c r="E283" i="123" s="1"/>
  <c r="U291" i="123"/>
  <c r="E291" i="123" s="1"/>
  <c r="U299" i="123"/>
  <c r="E299" i="123" s="1"/>
  <c r="U307" i="123"/>
  <c r="E307" i="123" s="1"/>
  <c r="U315" i="123"/>
  <c r="E315" i="123" s="1"/>
  <c r="U323" i="123"/>
  <c r="E323" i="123" s="1"/>
  <c r="U331" i="123"/>
  <c r="E331" i="123" s="1"/>
  <c r="F5" i="106"/>
  <c r="Q2" i="106"/>
  <c r="Q3" i="106" s="1"/>
  <c r="P2" i="106"/>
  <c r="P3" i="106" s="1"/>
  <c r="O2" i="106"/>
  <c r="O3" i="106" s="1"/>
  <c r="N2" i="106"/>
  <c r="N3" i="106" s="1"/>
  <c r="M2" i="106"/>
  <c r="M3" i="106" s="1"/>
  <c r="L2" i="106"/>
  <c r="L3" i="106" s="1"/>
  <c r="K2" i="106"/>
  <c r="K3" i="106" s="1"/>
  <c r="J2" i="106"/>
  <c r="J3" i="106" s="1"/>
  <c r="I2" i="106"/>
  <c r="I3" i="106" s="1"/>
  <c r="H2" i="106"/>
  <c r="H3" i="106" s="1"/>
  <c r="G2" i="106"/>
  <c r="G3" i="106" s="1"/>
  <c r="E332" i="106"/>
  <c r="E264" i="106"/>
  <c r="E265" i="106"/>
  <c r="E205" i="106"/>
  <c r="E143" i="106"/>
  <c r="E173" i="106"/>
  <c r="E44" i="106"/>
  <c r="E186" i="106"/>
  <c r="E228" i="106"/>
  <c r="E260" i="106"/>
  <c r="E147" i="106"/>
  <c r="E208" i="106"/>
  <c r="E111" i="106"/>
  <c r="E114" i="106"/>
  <c r="E190" i="106"/>
  <c r="E38" i="106"/>
  <c r="E149" i="106"/>
  <c r="E102" i="106"/>
  <c r="E153" i="106"/>
  <c r="E297" i="106"/>
  <c r="E138" i="106"/>
  <c r="E179" i="106"/>
  <c r="E61" i="106"/>
  <c r="E214" i="106"/>
  <c r="E78" i="106"/>
  <c r="E235" i="106"/>
  <c r="E88" i="106"/>
  <c r="E244" i="106"/>
  <c r="E40" i="106"/>
  <c r="E133" i="106"/>
  <c r="E98" i="106"/>
  <c r="E263" i="106"/>
  <c r="E21" i="106"/>
  <c r="E55" i="106"/>
  <c r="E162" i="106"/>
  <c r="E159" i="106"/>
  <c r="E269" i="106"/>
  <c r="E331" i="106"/>
  <c r="E116" i="106"/>
  <c r="E152" i="106"/>
  <c r="E258" i="106"/>
  <c r="E43" i="106"/>
  <c r="E79" i="106"/>
  <c r="E47" i="106"/>
  <c r="E178" i="106"/>
  <c r="E234" i="106"/>
  <c r="E239" i="106"/>
  <c r="E286" i="106"/>
  <c r="E201" i="106"/>
  <c r="E308" i="106"/>
  <c r="E49" i="106"/>
  <c r="E83" i="106"/>
  <c r="E270" i="106"/>
  <c r="E290" i="106"/>
  <c r="E249" i="106"/>
  <c r="E291" i="106"/>
  <c r="E25" i="106"/>
  <c r="E280" i="106"/>
  <c r="E216" i="106"/>
  <c r="E218" i="106"/>
  <c r="E238" i="106"/>
  <c r="E275" i="106"/>
  <c r="E60" i="106"/>
  <c r="E17" i="106"/>
  <c r="E54" i="106"/>
  <c r="E242" i="106"/>
  <c r="E80" i="106"/>
  <c r="E86" i="106"/>
  <c r="E183" i="106"/>
  <c r="E320" i="106"/>
  <c r="E233" i="106"/>
  <c r="E169" i="106"/>
  <c r="E74" i="106"/>
  <c r="E134" i="106"/>
  <c r="E318" i="106"/>
  <c r="E52" i="106"/>
  <c r="E106" i="106"/>
  <c r="E161" i="106"/>
  <c r="E327" i="106"/>
  <c r="E73" i="106"/>
  <c r="E305" i="106"/>
  <c r="E93" i="106"/>
  <c r="E157" i="106"/>
  <c r="E136" i="106"/>
  <c r="E12" i="106"/>
  <c r="E274" i="106"/>
  <c r="E241" i="106"/>
  <c r="E66" i="106"/>
  <c r="E254" i="106"/>
  <c r="E97" i="106"/>
  <c r="E240" i="106"/>
  <c r="E15" i="106"/>
  <c r="E224" i="106"/>
  <c r="E103" i="106"/>
  <c r="E285" i="106"/>
  <c r="E283" i="106"/>
  <c r="E287" i="106"/>
  <c r="E300" i="106"/>
  <c r="E279" i="106"/>
  <c r="E104" i="106"/>
  <c r="E24" i="106"/>
  <c r="E58" i="106"/>
  <c r="E310" i="106"/>
  <c r="E188" i="106"/>
  <c r="E29" i="106"/>
  <c r="E250" i="106"/>
  <c r="E144" i="106"/>
  <c r="E165" i="106"/>
  <c r="E117" i="106"/>
  <c r="E311" i="106"/>
  <c r="E71" i="106"/>
  <c r="E122" i="106"/>
  <c r="E324" i="106"/>
  <c r="E323" i="106"/>
  <c r="E11" i="106"/>
  <c r="E31" i="106"/>
  <c r="E222" i="106"/>
  <c r="E51" i="106"/>
  <c r="E145" i="106"/>
  <c r="E75" i="106"/>
  <c r="E176" i="106"/>
  <c r="E303" i="106"/>
  <c r="E137" i="106"/>
  <c r="E156" i="106"/>
  <c r="E121" i="106"/>
  <c r="E282" i="106"/>
  <c r="E298" i="106"/>
  <c r="E312" i="106"/>
  <c r="E63" i="106"/>
  <c r="E108" i="106"/>
  <c r="E210" i="106"/>
  <c r="E230" i="106"/>
  <c r="E84" i="106"/>
  <c r="E175" i="106"/>
  <c r="E155" i="106"/>
  <c r="E109" i="106"/>
  <c r="E69" i="106"/>
  <c r="E192" i="106"/>
  <c r="E195" i="106"/>
  <c r="E243" i="106"/>
  <c r="E87" i="106"/>
  <c r="E112" i="106"/>
  <c r="E33" i="106"/>
  <c r="E187" i="106"/>
  <c r="E125" i="106"/>
  <c r="E313" i="106"/>
  <c r="E215" i="106"/>
  <c r="E278" i="106"/>
  <c r="E182" i="106"/>
  <c r="E39" i="106"/>
  <c r="E148" i="106"/>
  <c r="E42" i="106"/>
  <c r="E141" i="106"/>
  <c r="E294" i="106"/>
  <c r="E293" i="106"/>
  <c r="E167" i="106"/>
  <c r="E115" i="106"/>
  <c r="E296" i="106"/>
  <c r="E151" i="106"/>
  <c r="E317" i="106"/>
  <c r="E219" i="106"/>
  <c r="E50" i="106"/>
  <c r="E16" i="106"/>
  <c r="E246" i="106"/>
  <c r="E276" i="106"/>
  <c r="E262" i="106"/>
  <c r="E105" i="106"/>
  <c r="E289" i="106"/>
  <c r="E225" i="106"/>
  <c r="E198" i="106"/>
  <c r="E252" i="106"/>
  <c r="E206" i="106"/>
  <c r="E326" i="106"/>
  <c r="E37" i="106"/>
  <c r="E65" i="106"/>
  <c r="E253" i="106"/>
  <c r="E90" i="106"/>
  <c r="E30" i="106"/>
  <c r="E171" i="106"/>
  <c r="E271" i="106"/>
  <c r="E158" i="106"/>
  <c r="E203" i="106"/>
  <c r="E199" i="106"/>
  <c r="E62" i="106"/>
  <c r="E191" i="106"/>
  <c r="E96" i="106"/>
  <c r="E257" i="106"/>
  <c r="E177" i="106"/>
  <c r="E231" i="106"/>
  <c r="E245" i="106"/>
  <c r="E229" i="106"/>
  <c r="E119" i="106"/>
  <c r="E139" i="106"/>
  <c r="E101" i="106"/>
  <c r="E221" i="106"/>
  <c r="E81" i="106"/>
  <c r="E277" i="106"/>
  <c r="E45" i="106"/>
  <c r="E128" i="106"/>
  <c r="E207" i="106"/>
  <c r="E56" i="106"/>
  <c r="E304" i="106"/>
  <c r="E213" i="106"/>
  <c r="E184" i="106"/>
  <c r="E82" i="106"/>
  <c r="E329" i="106"/>
  <c r="E92" i="106"/>
  <c r="E193" i="106"/>
  <c r="E227" i="106"/>
  <c r="E46" i="106"/>
  <c r="E72" i="106"/>
  <c r="E185" i="106"/>
  <c r="E100" i="106"/>
  <c r="E57" i="106"/>
  <c r="E220" i="106"/>
  <c r="E14" i="106"/>
  <c r="E330" i="106"/>
  <c r="E160" i="106"/>
  <c r="E89" i="106"/>
  <c r="E197" i="106"/>
  <c r="E307" i="106"/>
  <c r="E118" i="106"/>
  <c r="E131" i="106"/>
  <c r="E223" i="106"/>
  <c r="E150" i="106"/>
  <c r="E154" i="106"/>
  <c r="E256" i="106"/>
  <c r="E168" i="106"/>
  <c r="E272" i="106"/>
  <c r="E146" i="106"/>
  <c r="E32" i="106"/>
  <c r="E328" i="106"/>
  <c r="E314" i="106"/>
  <c r="E248" i="106"/>
  <c r="E142" i="106"/>
  <c r="E126" i="106"/>
  <c r="E266" i="106"/>
  <c r="E26" i="106"/>
  <c r="E321" i="106"/>
  <c r="E189" i="106"/>
  <c r="E95" i="106"/>
  <c r="E19" i="106"/>
  <c r="E123" i="106"/>
  <c r="E236" i="106"/>
  <c r="E127" i="106"/>
  <c r="E85" i="106"/>
  <c r="E23" i="106"/>
  <c r="E288" i="106"/>
  <c r="E315" i="106"/>
  <c r="E284" i="106"/>
  <c r="E113" i="106"/>
  <c r="E67" i="106"/>
  <c r="E319" i="106"/>
  <c r="E302" i="106"/>
  <c r="E18" i="106"/>
  <c r="E232" i="106"/>
  <c r="E292" i="106"/>
  <c r="E91" i="106"/>
  <c r="E34" i="106"/>
  <c r="E48" i="106"/>
  <c r="E194" i="106"/>
  <c r="E325" i="106"/>
  <c r="E301" i="106"/>
  <c r="E196" i="106"/>
  <c r="E226" i="106"/>
  <c r="E76" i="106"/>
  <c r="E59" i="106"/>
  <c r="E13" i="106"/>
  <c r="E132" i="106"/>
  <c r="E180" i="106"/>
  <c r="E107" i="106"/>
  <c r="E28" i="106"/>
  <c r="E268" i="106"/>
  <c r="E53" i="106"/>
  <c r="E204" i="106"/>
  <c r="E202" i="106"/>
  <c r="E35" i="106"/>
  <c r="E130" i="106"/>
  <c r="E172" i="106"/>
  <c r="E41" i="106"/>
  <c r="E135" i="106"/>
  <c r="E322" i="106"/>
  <c r="E306" i="106"/>
  <c r="E68" i="106"/>
  <c r="E110" i="106"/>
  <c r="E10" i="106"/>
  <c r="E174" i="106"/>
  <c r="E273" i="106"/>
  <c r="E259" i="106"/>
  <c r="E36" i="106"/>
  <c r="E261" i="106"/>
  <c r="E22" i="106"/>
  <c r="E212" i="106"/>
  <c r="E255" i="106"/>
  <c r="E267" i="106"/>
  <c r="E27" i="106"/>
  <c r="E129" i="106"/>
  <c r="E209" i="106"/>
  <c r="E124" i="106"/>
  <c r="E295" i="106"/>
  <c r="E247" i="106"/>
  <c r="E99" i="106"/>
  <c r="E211" i="106"/>
  <c r="E20" i="106"/>
  <c r="E309" i="106"/>
  <c r="E217" i="106"/>
  <c r="E70" i="106"/>
  <c r="E120" i="106"/>
  <c r="E281" i="106"/>
  <c r="E77" i="106"/>
  <c r="E299" i="106"/>
  <c r="E181" i="106"/>
  <c r="E316" i="106"/>
  <c r="E140" i="106"/>
  <c r="E251" i="106"/>
  <c r="E170" i="106"/>
  <c r="E163" i="106"/>
  <c r="E200" i="106"/>
  <c r="E94" i="106"/>
  <c r="E64" i="106"/>
  <c r="E166" i="106"/>
  <c r="E237" i="106"/>
  <c r="E164" i="106"/>
  <c r="T335" i="106"/>
  <c r="E335" i="106" s="1"/>
  <c r="R335" i="106"/>
  <c r="R49" i="123" l="1"/>
  <c r="T49" i="123" s="1"/>
  <c r="U49" i="123" s="1"/>
  <c r="E49" i="123" s="1"/>
  <c r="R3" i="123" s="1"/>
  <c r="R99" i="123"/>
  <c r="Q126" i="123"/>
  <c r="T126" i="123" s="1"/>
  <c r="U126" i="123" s="1"/>
  <c r="E126" i="123" s="1"/>
  <c r="Q99" i="123"/>
  <c r="T99" i="123" s="1"/>
  <c r="U99" i="123" s="1"/>
  <c r="E99" i="123" s="1"/>
  <c r="F4" i="106"/>
  <c r="F6" i="106"/>
  <c r="S335" i="106"/>
  <c r="S3" i="106"/>
  <c r="F5" i="105"/>
  <c r="P2" i="105"/>
  <c r="P3" i="105" s="1"/>
  <c r="O2" i="105"/>
  <c r="O3" i="105" s="1"/>
  <c r="N2" i="105"/>
  <c r="N3" i="105" s="1"/>
  <c r="M2" i="105"/>
  <c r="M3" i="105" s="1"/>
  <c r="L2" i="105"/>
  <c r="L3" i="105" s="1"/>
  <c r="K2" i="105"/>
  <c r="K3" i="105" s="1"/>
  <c r="J2" i="105"/>
  <c r="J3" i="105" s="1"/>
  <c r="I2" i="105"/>
  <c r="I3" i="105" s="1"/>
  <c r="H2" i="105"/>
  <c r="H3" i="105" s="1"/>
  <c r="G2" i="105"/>
  <c r="G3" i="105" s="1"/>
  <c r="E332" i="105"/>
  <c r="E264" i="105"/>
  <c r="E265" i="105"/>
  <c r="E205" i="105"/>
  <c r="E143" i="105"/>
  <c r="E173" i="105"/>
  <c r="E44" i="105"/>
  <c r="E186" i="105"/>
  <c r="E228" i="105"/>
  <c r="E260" i="105"/>
  <c r="E147" i="105"/>
  <c r="E208" i="105"/>
  <c r="E111" i="105"/>
  <c r="E114" i="105"/>
  <c r="E190" i="105"/>
  <c r="E38" i="105"/>
  <c r="E149" i="105"/>
  <c r="E102" i="105"/>
  <c r="E153" i="105"/>
  <c r="E297" i="105"/>
  <c r="E138" i="105"/>
  <c r="E179" i="105"/>
  <c r="E61" i="105"/>
  <c r="E214" i="105"/>
  <c r="E78" i="105"/>
  <c r="E235" i="105"/>
  <c r="E88" i="105"/>
  <c r="E244" i="105"/>
  <c r="E40" i="105"/>
  <c r="E133" i="105"/>
  <c r="E98" i="105"/>
  <c r="E263" i="105"/>
  <c r="E21" i="105"/>
  <c r="E55" i="105"/>
  <c r="E162" i="105"/>
  <c r="E159" i="105"/>
  <c r="E269" i="105"/>
  <c r="E331" i="105"/>
  <c r="E116" i="105"/>
  <c r="E152" i="105"/>
  <c r="E258" i="105"/>
  <c r="E43" i="105"/>
  <c r="E79" i="105"/>
  <c r="E47" i="105"/>
  <c r="E178" i="105"/>
  <c r="E234" i="105"/>
  <c r="E239" i="105"/>
  <c r="E286" i="105"/>
  <c r="E201" i="105"/>
  <c r="E308" i="105"/>
  <c r="E49" i="105"/>
  <c r="E83" i="105"/>
  <c r="E270" i="105"/>
  <c r="E290" i="105"/>
  <c r="E249" i="105"/>
  <c r="E291" i="105"/>
  <c r="E25" i="105"/>
  <c r="E280" i="105"/>
  <c r="E216" i="105"/>
  <c r="E218" i="105"/>
  <c r="E238" i="105"/>
  <c r="E275" i="105"/>
  <c r="E60" i="105"/>
  <c r="E17" i="105"/>
  <c r="E54" i="105"/>
  <c r="E242" i="105"/>
  <c r="E80" i="105"/>
  <c r="E86" i="105"/>
  <c r="E183" i="105"/>
  <c r="E320" i="105"/>
  <c r="E233" i="105"/>
  <c r="E169" i="105"/>
  <c r="E74" i="105"/>
  <c r="E134" i="105"/>
  <c r="E318" i="105"/>
  <c r="E52" i="105"/>
  <c r="E106" i="105"/>
  <c r="E161" i="105"/>
  <c r="E327" i="105"/>
  <c r="E73" i="105"/>
  <c r="E305" i="105"/>
  <c r="E93" i="105"/>
  <c r="E157" i="105"/>
  <c r="E136" i="105"/>
  <c r="E12" i="105"/>
  <c r="E274" i="105"/>
  <c r="E241" i="105"/>
  <c r="E66" i="105"/>
  <c r="E254" i="105"/>
  <c r="E97" i="105"/>
  <c r="E240" i="105"/>
  <c r="E15" i="105"/>
  <c r="E224" i="105"/>
  <c r="E103" i="105"/>
  <c r="E285" i="105"/>
  <c r="E283" i="105"/>
  <c r="E287" i="105"/>
  <c r="E300" i="105"/>
  <c r="E279" i="105"/>
  <c r="E104" i="105"/>
  <c r="E24" i="105"/>
  <c r="E58" i="105"/>
  <c r="E310" i="105"/>
  <c r="E188" i="105"/>
  <c r="E29" i="105"/>
  <c r="E250" i="105"/>
  <c r="E144" i="105"/>
  <c r="E165" i="105"/>
  <c r="E117" i="105"/>
  <c r="E311" i="105"/>
  <c r="E71" i="105"/>
  <c r="E122" i="105"/>
  <c r="E324" i="105"/>
  <c r="E323" i="105"/>
  <c r="E11" i="105"/>
  <c r="E31" i="105"/>
  <c r="E222" i="105"/>
  <c r="E51" i="105"/>
  <c r="E145" i="105"/>
  <c r="E75" i="105"/>
  <c r="E176" i="105"/>
  <c r="E303" i="105"/>
  <c r="E137" i="105"/>
  <c r="E156" i="105"/>
  <c r="E121" i="105"/>
  <c r="E282" i="105"/>
  <c r="E298" i="105"/>
  <c r="E312" i="105"/>
  <c r="E63" i="105"/>
  <c r="E108" i="105"/>
  <c r="E210" i="105"/>
  <c r="E230" i="105"/>
  <c r="E84" i="105"/>
  <c r="E175" i="105"/>
  <c r="E155" i="105"/>
  <c r="E109" i="105"/>
  <c r="E69" i="105"/>
  <c r="E192" i="105"/>
  <c r="E195" i="105"/>
  <c r="E243" i="105"/>
  <c r="E87" i="105"/>
  <c r="E112" i="105"/>
  <c r="E33" i="105"/>
  <c r="E187" i="105"/>
  <c r="E125" i="105"/>
  <c r="E313" i="105"/>
  <c r="E215" i="105"/>
  <c r="E278" i="105"/>
  <c r="E182" i="105"/>
  <c r="E39" i="105"/>
  <c r="E148" i="105"/>
  <c r="E42" i="105"/>
  <c r="E141" i="105"/>
  <c r="E294" i="105"/>
  <c r="E293" i="105"/>
  <c r="E167" i="105"/>
  <c r="E115" i="105"/>
  <c r="E296" i="105"/>
  <c r="E151" i="105"/>
  <c r="E317" i="105"/>
  <c r="E219" i="105"/>
  <c r="E50" i="105"/>
  <c r="E16" i="105"/>
  <c r="E246" i="105"/>
  <c r="E276" i="105"/>
  <c r="E262" i="105"/>
  <c r="E105" i="105"/>
  <c r="E289" i="105"/>
  <c r="E225" i="105"/>
  <c r="E198" i="105"/>
  <c r="E252" i="105"/>
  <c r="E206" i="105"/>
  <c r="E326" i="105"/>
  <c r="E37" i="105"/>
  <c r="E65" i="105"/>
  <c r="E253" i="105"/>
  <c r="E90" i="105"/>
  <c r="E30" i="105"/>
  <c r="E171" i="105"/>
  <c r="E271" i="105"/>
  <c r="E158" i="105"/>
  <c r="E203" i="105"/>
  <c r="E199" i="105"/>
  <c r="E62" i="105"/>
  <c r="E191" i="105"/>
  <c r="E96" i="105"/>
  <c r="E257" i="105"/>
  <c r="E177" i="105"/>
  <c r="E231" i="105"/>
  <c r="E245" i="105"/>
  <c r="E229" i="105"/>
  <c r="E119" i="105"/>
  <c r="E139" i="105"/>
  <c r="E101" i="105"/>
  <c r="E221" i="105"/>
  <c r="E81" i="105"/>
  <c r="E277" i="105"/>
  <c r="E45" i="105"/>
  <c r="E128" i="105"/>
  <c r="E207" i="105"/>
  <c r="E56" i="105"/>
  <c r="E304" i="105"/>
  <c r="E213" i="105"/>
  <c r="E184" i="105"/>
  <c r="E82" i="105"/>
  <c r="E329" i="105"/>
  <c r="E92" i="105"/>
  <c r="E193" i="105"/>
  <c r="E227" i="105"/>
  <c r="E46" i="105"/>
  <c r="E72" i="105"/>
  <c r="E185" i="105"/>
  <c r="E100" i="105"/>
  <c r="E57" i="105"/>
  <c r="E220" i="105"/>
  <c r="E14" i="105"/>
  <c r="E330" i="105"/>
  <c r="E160" i="105"/>
  <c r="E89" i="105"/>
  <c r="E197" i="105"/>
  <c r="E307" i="105"/>
  <c r="E118" i="105"/>
  <c r="E131" i="105"/>
  <c r="E223" i="105"/>
  <c r="E150" i="105"/>
  <c r="E154" i="105"/>
  <c r="E256" i="105"/>
  <c r="E168" i="105"/>
  <c r="E272" i="105"/>
  <c r="E146" i="105"/>
  <c r="E32" i="105"/>
  <c r="E328" i="105"/>
  <c r="E314" i="105"/>
  <c r="E248" i="105"/>
  <c r="E142" i="105"/>
  <c r="E126" i="105"/>
  <c r="E266" i="105"/>
  <c r="E26" i="105"/>
  <c r="E321" i="105"/>
  <c r="E189" i="105"/>
  <c r="E95" i="105"/>
  <c r="E19" i="105"/>
  <c r="E123" i="105"/>
  <c r="E236" i="105"/>
  <c r="E127" i="105"/>
  <c r="E85" i="105"/>
  <c r="E23" i="105"/>
  <c r="E288" i="105"/>
  <c r="E315" i="105"/>
  <c r="E284" i="105"/>
  <c r="E113" i="105"/>
  <c r="E67" i="105"/>
  <c r="E319" i="105"/>
  <c r="E302" i="105"/>
  <c r="E18" i="105"/>
  <c r="E232" i="105"/>
  <c r="E292" i="105"/>
  <c r="E91" i="105"/>
  <c r="E34" i="105"/>
  <c r="E48" i="105"/>
  <c r="E194" i="105"/>
  <c r="E325" i="105"/>
  <c r="E301" i="105"/>
  <c r="E196" i="105"/>
  <c r="E226" i="105"/>
  <c r="E76" i="105"/>
  <c r="E59" i="105"/>
  <c r="E13" i="105"/>
  <c r="E132" i="105"/>
  <c r="E180" i="105"/>
  <c r="E107" i="105"/>
  <c r="E28" i="105"/>
  <c r="E268" i="105"/>
  <c r="E53" i="105"/>
  <c r="E204" i="105"/>
  <c r="E202" i="105"/>
  <c r="E35" i="105"/>
  <c r="E130" i="105"/>
  <c r="E172" i="105"/>
  <c r="E41" i="105"/>
  <c r="E135" i="105"/>
  <c r="E322" i="105"/>
  <c r="E306" i="105"/>
  <c r="E68" i="105"/>
  <c r="E110" i="105"/>
  <c r="E10" i="105"/>
  <c r="E174" i="105"/>
  <c r="E273" i="105"/>
  <c r="E259" i="105"/>
  <c r="E36" i="105"/>
  <c r="E261" i="105"/>
  <c r="E22" i="105"/>
  <c r="E212" i="105"/>
  <c r="E255" i="105"/>
  <c r="E267" i="105"/>
  <c r="E27" i="105"/>
  <c r="E129" i="105"/>
  <c r="E209" i="105"/>
  <c r="E124" i="105"/>
  <c r="E295" i="105"/>
  <c r="E247" i="105"/>
  <c r="E99" i="105"/>
  <c r="E211" i="105"/>
  <c r="E20" i="105"/>
  <c r="E309" i="105"/>
  <c r="E217" i="105"/>
  <c r="E70" i="105"/>
  <c r="E120" i="105"/>
  <c r="E281" i="105"/>
  <c r="E77" i="105"/>
  <c r="E299" i="105"/>
  <c r="E181" i="105"/>
  <c r="E316" i="105"/>
  <c r="E140" i="105"/>
  <c r="E251" i="105"/>
  <c r="E170" i="105"/>
  <c r="E163" i="105"/>
  <c r="E200" i="105"/>
  <c r="E94" i="105"/>
  <c r="E64" i="105"/>
  <c r="E166" i="105"/>
  <c r="E237" i="105"/>
  <c r="S335" i="105"/>
  <c r="E335" i="105" s="1"/>
  <c r="Q335" i="105"/>
  <c r="F4" i="105" l="1"/>
  <c r="F6" i="105"/>
  <c r="E164" i="105"/>
  <c r="R3" i="105" s="1"/>
  <c r="R335" i="105"/>
  <c r="P2" i="104"/>
  <c r="P3" i="104" s="1"/>
  <c r="O2" i="104"/>
  <c r="O3" i="104" s="1"/>
  <c r="N2" i="104"/>
  <c r="N3" i="104" s="1"/>
  <c r="M2" i="104"/>
  <c r="M3" i="104" s="1"/>
  <c r="L2" i="104"/>
  <c r="L3" i="104" s="1"/>
  <c r="K2" i="104"/>
  <c r="K3" i="104" s="1"/>
  <c r="J2" i="104"/>
  <c r="J3" i="104" s="1"/>
  <c r="I2" i="104"/>
  <c r="I3" i="104" s="1"/>
  <c r="H2" i="104"/>
  <c r="H3" i="104" s="1"/>
  <c r="G2" i="104"/>
  <c r="G3" i="104" s="1"/>
  <c r="F4" i="104" s="1"/>
  <c r="E331" i="104"/>
  <c r="E330" i="104"/>
  <c r="E329" i="104"/>
  <c r="E328" i="104"/>
  <c r="E327" i="104"/>
  <c r="E326" i="104"/>
  <c r="E38" i="104"/>
  <c r="E325" i="104"/>
  <c r="E324" i="104"/>
  <c r="E323" i="104"/>
  <c r="E322" i="104"/>
  <c r="E321" i="104"/>
  <c r="E37" i="104"/>
  <c r="E320" i="104"/>
  <c r="E319" i="104"/>
  <c r="E318" i="104"/>
  <c r="E317" i="104"/>
  <c r="E316" i="104"/>
  <c r="E315" i="104"/>
  <c r="E314" i="104"/>
  <c r="E313" i="104"/>
  <c r="E312" i="104"/>
  <c r="E35" i="104"/>
  <c r="E311" i="104"/>
  <c r="E310" i="104"/>
  <c r="E309" i="104"/>
  <c r="E308" i="104"/>
  <c r="E307" i="104"/>
  <c r="E306" i="104"/>
  <c r="E305" i="104"/>
  <c r="E304" i="104"/>
  <c r="E303" i="104"/>
  <c r="E302" i="104"/>
  <c r="E301" i="104"/>
  <c r="E300" i="104"/>
  <c r="E299" i="104"/>
  <c r="E298" i="104"/>
  <c r="E297" i="104"/>
  <c r="E296" i="104"/>
  <c r="E295" i="104"/>
  <c r="E294" i="104"/>
  <c r="E293" i="104"/>
  <c r="E292" i="104"/>
  <c r="E291" i="104"/>
  <c r="E290" i="104"/>
  <c r="E289" i="104"/>
  <c r="E288" i="104"/>
  <c r="E287" i="104"/>
  <c r="E286" i="104"/>
  <c r="E285" i="104"/>
  <c r="E284" i="104"/>
  <c r="E283" i="104"/>
  <c r="E282" i="104"/>
  <c r="E281" i="104"/>
  <c r="E280" i="104"/>
  <c r="E279" i="104"/>
  <c r="E34" i="104"/>
  <c r="E278" i="104"/>
  <c r="E16" i="104"/>
  <c r="E277" i="104"/>
  <c r="E276" i="104"/>
  <c r="E275" i="104"/>
  <c r="E274" i="104"/>
  <c r="E273" i="104"/>
  <c r="E272" i="104"/>
  <c r="E271" i="104"/>
  <c r="E270" i="104"/>
  <c r="E269" i="104"/>
  <c r="E268" i="104"/>
  <c r="E267" i="104"/>
  <c r="E266" i="104"/>
  <c r="E265" i="104"/>
  <c r="E264" i="104"/>
  <c r="E263" i="104"/>
  <c r="E262" i="104"/>
  <c r="E261" i="104"/>
  <c r="E260" i="104"/>
  <c r="E259" i="104"/>
  <c r="E258" i="104"/>
  <c r="E257" i="104"/>
  <c r="E256" i="104"/>
  <c r="E26" i="104"/>
  <c r="E40" i="104"/>
  <c r="E255" i="104"/>
  <c r="E254" i="104"/>
  <c r="E253" i="104"/>
  <c r="E252" i="104"/>
  <c r="E251" i="104"/>
  <c r="E250" i="104"/>
  <c r="E249" i="104"/>
  <c r="E248" i="104"/>
  <c r="E247" i="104"/>
  <c r="E246" i="104"/>
  <c r="E245" i="104"/>
  <c r="E244" i="104"/>
  <c r="E243" i="104"/>
  <c r="E242" i="104"/>
  <c r="E241" i="104"/>
  <c r="E240" i="104"/>
  <c r="E239" i="104"/>
  <c r="E238" i="104"/>
  <c r="E237" i="104"/>
  <c r="E236" i="104"/>
  <c r="E235" i="104"/>
  <c r="E10" i="104"/>
  <c r="E234" i="104"/>
  <c r="E233" i="104"/>
  <c r="E232" i="104"/>
  <c r="E231" i="104"/>
  <c r="E230" i="104"/>
  <c r="E229" i="104"/>
  <c r="E228" i="104"/>
  <c r="E227" i="104"/>
  <c r="E226" i="104"/>
  <c r="E225" i="104"/>
  <c r="E224" i="104"/>
  <c r="E223" i="104"/>
  <c r="E222" i="104"/>
  <c r="E221" i="104"/>
  <c r="E220" i="104"/>
  <c r="E219" i="104"/>
  <c r="E218" i="104"/>
  <c r="E17" i="104"/>
  <c r="E217" i="104"/>
  <c r="E216" i="104"/>
  <c r="E215" i="104"/>
  <c r="E214" i="104"/>
  <c r="E213" i="104"/>
  <c r="E212" i="104"/>
  <c r="E211" i="104"/>
  <c r="E210" i="104"/>
  <c r="E209" i="104"/>
  <c r="E208" i="104"/>
  <c r="E207" i="104"/>
  <c r="E206" i="104"/>
  <c r="E205" i="104"/>
  <c r="E204" i="104"/>
  <c r="E203" i="104"/>
  <c r="E15" i="104"/>
  <c r="E202" i="104"/>
  <c r="E201" i="104"/>
  <c r="E18" i="104"/>
  <c r="E200" i="104"/>
  <c r="E14" i="104"/>
  <c r="E199" i="104"/>
  <c r="E198" i="104"/>
  <c r="E33" i="104"/>
  <c r="E197" i="104"/>
  <c r="E196" i="104"/>
  <c r="E195" i="104"/>
  <c r="E194" i="104"/>
  <c r="E193" i="104"/>
  <c r="E192" i="104"/>
  <c r="E191" i="104"/>
  <c r="E190" i="104"/>
  <c r="E189" i="104"/>
  <c r="E24" i="104"/>
  <c r="E188" i="104"/>
  <c r="E11" i="104"/>
  <c r="E187" i="104"/>
  <c r="E186" i="104"/>
  <c r="E185" i="104"/>
  <c r="E184" i="104"/>
  <c r="E183" i="104"/>
  <c r="E182" i="104"/>
  <c r="E181" i="104"/>
  <c r="E180" i="104"/>
  <c r="E179" i="104"/>
  <c r="E178" i="104"/>
  <c r="E177" i="104"/>
  <c r="E176" i="104"/>
  <c r="E175" i="104"/>
  <c r="E174" i="104"/>
  <c r="E173" i="104"/>
  <c r="E172" i="104"/>
  <c r="E171" i="104"/>
  <c r="E25" i="104"/>
  <c r="E170" i="104"/>
  <c r="E169" i="104"/>
  <c r="E168" i="104"/>
  <c r="E167" i="104"/>
  <c r="E166" i="104"/>
  <c r="E165" i="104"/>
  <c r="E164" i="104"/>
  <c r="E163" i="104"/>
  <c r="E162" i="104"/>
  <c r="E161" i="104"/>
  <c r="E23" i="104"/>
  <c r="E160" i="104"/>
  <c r="E159" i="104"/>
  <c r="E158" i="104"/>
  <c r="E157" i="104"/>
  <c r="E20" i="104"/>
  <c r="E156" i="104"/>
  <c r="E155" i="104"/>
  <c r="E154" i="104"/>
  <c r="E153" i="104"/>
  <c r="E152" i="104"/>
  <c r="E151" i="104"/>
  <c r="E150" i="104"/>
  <c r="E149" i="104"/>
  <c r="E148" i="104"/>
  <c r="E147" i="104"/>
  <c r="E146" i="104"/>
  <c r="E145" i="104"/>
  <c r="E144" i="104"/>
  <c r="E143" i="104"/>
  <c r="E31" i="104"/>
  <c r="E142" i="104"/>
  <c r="E141" i="104"/>
  <c r="E22" i="104"/>
  <c r="E140" i="104"/>
  <c r="E139" i="104"/>
  <c r="E138" i="104"/>
  <c r="E137" i="104"/>
  <c r="E136" i="104"/>
  <c r="E135" i="104"/>
  <c r="E134" i="104"/>
  <c r="E133" i="104"/>
  <c r="E132" i="104"/>
  <c r="E131" i="104"/>
  <c r="E130" i="104"/>
  <c r="E129" i="104"/>
  <c r="E39" i="104"/>
  <c r="E128" i="104"/>
  <c r="E127" i="104"/>
  <c r="E126" i="104"/>
  <c r="E125" i="104"/>
  <c r="E124" i="104"/>
  <c r="E123" i="104"/>
  <c r="E122" i="104"/>
  <c r="E121" i="104"/>
  <c r="E120" i="104"/>
  <c r="E36" i="104"/>
  <c r="E27" i="104"/>
  <c r="E119" i="104"/>
  <c r="E118" i="104"/>
  <c r="E117" i="104"/>
  <c r="E116" i="104"/>
  <c r="E115" i="104"/>
  <c r="E30" i="104"/>
  <c r="E114" i="104"/>
  <c r="E113" i="104"/>
  <c r="E112" i="104"/>
  <c r="E111" i="104"/>
  <c r="E110" i="104"/>
  <c r="E109" i="104"/>
  <c r="E108" i="104"/>
  <c r="E107" i="104"/>
  <c r="E106" i="104"/>
  <c r="E105" i="104"/>
  <c r="E104" i="104"/>
  <c r="E103" i="104"/>
  <c r="E102" i="104"/>
  <c r="E101" i="104"/>
  <c r="E100" i="104"/>
  <c r="E99" i="104"/>
  <c r="E98" i="104"/>
  <c r="E97" i="104"/>
  <c r="E96" i="104"/>
  <c r="E95" i="104"/>
  <c r="E94" i="104"/>
  <c r="E93" i="104"/>
  <c r="E92" i="104"/>
  <c r="E91" i="104"/>
  <c r="E90" i="104"/>
  <c r="E89" i="104"/>
  <c r="E88" i="104"/>
  <c r="E87" i="104"/>
  <c r="E86" i="104"/>
  <c r="E85" i="104"/>
  <c r="E84" i="104"/>
  <c r="E83" i="104"/>
  <c r="E82" i="104"/>
  <c r="E81" i="104"/>
  <c r="E80" i="104"/>
  <c r="E79" i="104"/>
  <c r="E78" i="104"/>
  <c r="E77" i="104"/>
  <c r="E76" i="104"/>
  <c r="E75" i="104"/>
  <c r="E74" i="104"/>
  <c r="E13" i="104"/>
  <c r="E19" i="104"/>
  <c r="E73" i="104"/>
  <c r="E72" i="104"/>
  <c r="E71" i="104"/>
  <c r="E70" i="104"/>
  <c r="E69" i="104"/>
  <c r="E29" i="104"/>
  <c r="E68" i="104"/>
  <c r="E12" i="104"/>
  <c r="E67" i="104"/>
  <c r="E66" i="104"/>
  <c r="E65" i="104"/>
  <c r="E64" i="104"/>
  <c r="E63" i="104"/>
  <c r="E32" i="104"/>
  <c r="E28" i="104"/>
  <c r="E62" i="104"/>
  <c r="E61" i="104"/>
  <c r="E60" i="104"/>
  <c r="E59" i="104"/>
  <c r="E58" i="104"/>
  <c r="E57" i="104"/>
  <c r="E56" i="104"/>
  <c r="E55" i="104"/>
  <c r="E54" i="104"/>
  <c r="E53" i="104"/>
  <c r="E52" i="104"/>
  <c r="E51" i="104"/>
  <c r="E50" i="104"/>
  <c r="E49" i="104"/>
  <c r="E48" i="104"/>
  <c r="E47" i="104"/>
  <c r="E46" i="104"/>
  <c r="E45" i="104"/>
  <c r="E21" i="104"/>
  <c r="E44" i="104"/>
  <c r="E43" i="104"/>
  <c r="E42" i="104"/>
  <c r="E41" i="104"/>
  <c r="S334" i="104"/>
  <c r="E334" i="104" s="1"/>
  <c r="Q334" i="104"/>
  <c r="R334" i="104" l="1"/>
  <c r="R3" i="104"/>
</calcChain>
</file>

<file path=xl/sharedStrings.xml><?xml version="1.0" encoding="utf-8"?>
<sst xmlns="http://schemas.openxmlformats.org/spreadsheetml/2006/main" count="5636" uniqueCount="1265">
  <si>
    <t>1. Ga naar View =&gt; Macro's =&gt; Import_turflijst =&gt; Run</t>
  </si>
  <si>
    <t>2. Navigeer naar de SD kaart van de tablet. De afrekeningen staan in  Android/data/nl.groover.bar/files/afrekeningen</t>
  </si>
  <si>
    <t>3. Navigeer naar de map met de juiste datum. Het bestand wat je wilt importeren heet "afrekening(.xml)"</t>
  </si>
  <si>
    <t>4. Klik op importeer.</t>
  </si>
  <si>
    <t>Bier</t>
  </si>
  <si>
    <t>Weizen</t>
  </si>
  <si>
    <t>Fris</t>
  </si>
  <si>
    <t>Wijn</t>
  </si>
  <si>
    <t>Whisky €2</t>
  </si>
  <si>
    <t>Whisky €3</t>
  </si>
  <si>
    <t>Whisky €4</t>
  </si>
  <si>
    <t>Whisky €5</t>
  </si>
  <si>
    <t>Chips</t>
  </si>
  <si>
    <t>Warme snack</t>
  </si>
  <si>
    <t>ID</t>
  </si>
  <si>
    <t>Voornaam</t>
  </si>
  <si>
    <t>Tussenvoegsel</t>
  </si>
  <si>
    <t>Achternaam</t>
  </si>
  <si>
    <t>Aanwezig</t>
  </si>
  <si>
    <t>Naam</t>
  </si>
  <si>
    <t>Afzet:</t>
  </si>
  <si>
    <t>Omzet:</t>
  </si>
  <si>
    <t>Prijzen:</t>
  </si>
  <si>
    <t>Subtotaal consumpties</t>
  </si>
  <si>
    <t>Subtotaal groepen</t>
  </si>
  <si>
    <t>Totaal</t>
  </si>
  <si>
    <t>Totaal per persoon</t>
  </si>
  <si>
    <t>pandco 'vo</t>
  </si>
  <si>
    <t>ID0704</t>
  </si>
  <si>
    <t>Albert</t>
  </si>
  <si>
    <t>Franquet</t>
  </si>
  <si>
    <t>Albert Franquet</t>
  </si>
  <si>
    <t>ID0827</t>
  </si>
  <si>
    <t>Alberto</t>
  </si>
  <si>
    <t>van</t>
  </si>
  <si>
    <t>Meenen GEEN 18!!!</t>
  </si>
  <si>
    <t>Alberto van Meenen GEEN 18!!!</t>
  </si>
  <si>
    <t>ID0709</t>
  </si>
  <si>
    <t>Alex</t>
  </si>
  <si>
    <t>Pobuda</t>
  </si>
  <si>
    <t>Alex Pobuda</t>
  </si>
  <si>
    <t>ID0450</t>
  </si>
  <si>
    <t>Veringmeier</t>
  </si>
  <si>
    <t>Alex Veringmeier</t>
  </si>
  <si>
    <t>ID0542</t>
  </si>
  <si>
    <t>Alexander</t>
  </si>
  <si>
    <t>Heemels</t>
  </si>
  <si>
    <t>Alexander Heemels</t>
  </si>
  <si>
    <t>ID0773</t>
  </si>
  <si>
    <t>Kolset</t>
  </si>
  <si>
    <t>Alexander Kolset</t>
  </si>
  <si>
    <t>ID0702</t>
  </si>
  <si>
    <t>Alexandros</t>
  </si>
  <si>
    <t>Skourtis-Cabrera</t>
  </si>
  <si>
    <t>Alexandros Skourtis-Cabrera</t>
  </si>
  <si>
    <t>ID0727</t>
  </si>
  <si>
    <t>Almaz</t>
  </si>
  <si>
    <t>Paalvast</t>
  </si>
  <si>
    <t>Almaz Paalvast</t>
  </si>
  <si>
    <t>ID0841</t>
  </si>
  <si>
    <t>Alo</t>
  </si>
  <si>
    <t>Brewster</t>
  </si>
  <si>
    <t>Alo Brewster</t>
  </si>
  <si>
    <t>ID0656</t>
  </si>
  <si>
    <t>Amanda</t>
  </si>
  <si>
    <t>van der</t>
  </si>
  <si>
    <t>Sijs</t>
  </si>
  <si>
    <t>Amanda van der Sijs</t>
  </si>
  <si>
    <t>ID0906</t>
  </si>
  <si>
    <t>Amar</t>
  </si>
  <si>
    <t>Kohabir</t>
  </si>
  <si>
    <t>Amar Kohabir</t>
  </si>
  <si>
    <t>ID0746</t>
  </si>
  <si>
    <t>Anna</t>
  </si>
  <si>
    <t>Zonneveld</t>
  </si>
  <si>
    <t>Anna Zonneveld</t>
  </si>
  <si>
    <t>ID0889</t>
  </si>
  <si>
    <t>Anne</t>
  </si>
  <si>
    <t>Hoekstra</t>
  </si>
  <si>
    <t>Anne Hoekstra</t>
  </si>
  <si>
    <t>ID0495</t>
  </si>
  <si>
    <t>Klein</t>
  </si>
  <si>
    <t>Anne van der Klein</t>
  </si>
  <si>
    <t>ID0871</t>
  </si>
  <si>
    <t>Anne-Mei</t>
  </si>
  <si>
    <t>Anne-Mei Klein</t>
  </si>
  <si>
    <t>ID0610</t>
  </si>
  <si>
    <t>Annemiek</t>
  </si>
  <si>
    <t>Wiggers</t>
  </si>
  <si>
    <t>Annemiek Wiggers</t>
  </si>
  <si>
    <t>ID0471</t>
  </si>
  <si>
    <t>Arend</t>
  </si>
  <si>
    <t>Moerman</t>
  </si>
  <si>
    <t>Arend Moerman</t>
  </si>
  <si>
    <t>ID0800</t>
  </si>
  <si>
    <t>Aron</t>
  </si>
  <si>
    <t>Bevelander</t>
  </si>
  <si>
    <t>Aron Bevelander</t>
  </si>
  <si>
    <t>ID0899</t>
  </si>
  <si>
    <t>Arturo</t>
  </si>
  <si>
    <t>Martinez Lopez</t>
  </si>
  <si>
    <t>Arturo Martinez Lopez</t>
  </si>
  <si>
    <t>ID0234</t>
  </si>
  <si>
    <t>Bas</t>
  </si>
  <si>
    <t>Biesheuvel</t>
  </si>
  <si>
    <t>Bas Biesheuvel</t>
  </si>
  <si>
    <t>ID0789</t>
  </si>
  <si>
    <t>Gradussen</t>
  </si>
  <si>
    <t>Bas Gradussen</t>
  </si>
  <si>
    <t>ID0558</t>
  </si>
  <si>
    <t>Rosenboom</t>
  </si>
  <si>
    <t>Bas Rosenboom</t>
  </si>
  <si>
    <t>ID0837</t>
  </si>
  <si>
    <t>Bauke</t>
  </si>
  <si>
    <t>Schoustra</t>
  </si>
  <si>
    <t>Bauke Schoustra</t>
  </si>
  <si>
    <t>ID0885</t>
  </si>
  <si>
    <t>Bendert</t>
  </si>
  <si>
    <t>Dijk</t>
  </si>
  <si>
    <t>Bendert van Dijk</t>
  </si>
  <si>
    <t>ID0620</t>
  </si>
  <si>
    <t>Bente</t>
  </si>
  <si>
    <t>Vermaat</t>
  </si>
  <si>
    <t>Bente Vermaat</t>
  </si>
  <si>
    <t>ID0787</t>
  </si>
  <si>
    <t>Billy</t>
  </si>
  <si>
    <t>Abadi</t>
  </si>
  <si>
    <t>Billy Abadi</t>
  </si>
  <si>
    <t>ID0639</t>
  </si>
  <si>
    <t>Boaz</t>
  </si>
  <si>
    <t>Willigenburg</t>
  </si>
  <si>
    <t>Boaz van Willigenburg</t>
  </si>
  <si>
    <t>ID0262</t>
  </si>
  <si>
    <t>Bram</t>
  </si>
  <si>
    <t>Peerlings</t>
  </si>
  <si>
    <t>Bram Peerlings</t>
  </si>
  <si>
    <t>ID0857</t>
  </si>
  <si>
    <t>Bruno</t>
  </si>
  <si>
    <t>Hermans</t>
  </si>
  <si>
    <t>Bruno Hermans</t>
  </si>
  <si>
    <t>ID0845</t>
  </si>
  <si>
    <t>Carlijn</t>
  </si>
  <si>
    <t>Kuijper</t>
  </si>
  <si>
    <t>Carlijn Kuijper</t>
  </si>
  <si>
    <t>ID0793</t>
  </si>
  <si>
    <t>Cas</t>
  </si>
  <si>
    <t>Jiskoot</t>
  </si>
  <si>
    <t>Cas Jiskoot</t>
  </si>
  <si>
    <t>ID0244</t>
  </si>
  <si>
    <t>Casper</t>
  </si>
  <si>
    <t>Hugel</t>
  </si>
  <si>
    <t>Casper Hugel</t>
  </si>
  <si>
    <t>ID0851</t>
  </si>
  <si>
    <t>Cedrick</t>
  </si>
  <si>
    <t>Vandeputte</t>
  </si>
  <si>
    <t>Cedrick Vandeputte</t>
  </si>
  <si>
    <t>ID0315</t>
  </si>
  <si>
    <t>Cees</t>
  </si>
  <si>
    <t>Geer</t>
  </si>
  <si>
    <t>Cees van der Geer</t>
  </si>
  <si>
    <t>ID0849</t>
  </si>
  <si>
    <t>Chantal</t>
  </si>
  <si>
    <t>Schouwenaar</t>
  </si>
  <si>
    <t>Chantal Schouwenaar</t>
  </si>
  <si>
    <t>ID0863</t>
  </si>
  <si>
    <t>Charly</t>
  </si>
  <si>
    <t>Watson</t>
  </si>
  <si>
    <t>Charly Watson</t>
  </si>
  <si>
    <t>ID0739</t>
  </si>
  <si>
    <t>Christian</t>
  </si>
  <si>
    <t>Zalm</t>
  </si>
  <si>
    <t>Christian van der Zalm</t>
  </si>
  <si>
    <t>ID0001</t>
  </si>
  <si>
    <t>Contant</t>
  </si>
  <si>
    <t>Kas</t>
  </si>
  <si>
    <t>Contant Kas</t>
  </si>
  <si>
    <t>ID0584</t>
  </si>
  <si>
    <t>Daan</t>
  </si>
  <si>
    <t>de Wolf</t>
  </si>
  <si>
    <t>Daan de Wolf</t>
  </si>
  <si>
    <t>ID0467</t>
  </si>
  <si>
    <t>Houtzager</t>
  </si>
  <si>
    <t>Daan Houtzager</t>
  </si>
  <si>
    <t>ID0896</t>
  </si>
  <si>
    <t>Juurlink</t>
  </si>
  <si>
    <t>Daan Juurlink</t>
  </si>
  <si>
    <t>ID0912</t>
  </si>
  <si>
    <t>Kluwer</t>
  </si>
  <si>
    <t>Daan Kluwer</t>
  </si>
  <si>
    <t>ID0649</t>
  </si>
  <si>
    <t>Koetzier</t>
  </si>
  <si>
    <t>Daan Koetzier</t>
  </si>
  <si>
    <t>ID0344</t>
  </si>
  <si>
    <t>Picavet</t>
  </si>
  <si>
    <t>Daan Picavet</t>
  </si>
  <si>
    <t>ID0737</t>
  </si>
  <si>
    <t>Prinsze</t>
  </si>
  <si>
    <t>Daan Prinsze</t>
  </si>
  <si>
    <t>ID0640</t>
  </si>
  <si>
    <t>Spek</t>
  </si>
  <si>
    <t>Daan van der Spek</t>
  </si>
  <si>
    <t>ID0310</t>
  </si>
  <si>
    <t>de</t>
  </si>
  <si>
    <t>Winter</t>
  </si>
  <si>
    <t>Daan de Winter</t>
  </si>
  <si>
    <t>ID0776</t>
  </si>
  <si>
    <t>Dan</t>
  </si>
  <si>
    <t>McCusker</t>
  </si>
  <si>
    <t>Dan McCusker</t>
  </si>
  <si>
    <t>ID0778</t>
  </si>
  <si>
    <t>Daniel</t>
  </si>
  <si>
    <t>Salomon</t>
  </si>
  <si>
    <t>Daniel Salomon</t>
  </si>
  <si>
    <t>ID0408</t>
  </si>
  <si>
    <t>Zhuk</t>
  </si>
  <si>
    <t>Daniel Zhuk</t>
  </si>
  <si>
    <t>ID0858</t>
  </si>
  <si>
    <t>Darcey</t>
  </si>
  <si>
    <t>Bil</t>
  </si>
  <si>
    <t>Darcey Bil</t>
  </si>
  <si>
    <t>ID0272</t>
  </si>
  <si>
    <t>Davey</t>
  </si>
  <si>
    <t>Giesen</t>
  </si>
  <si>
    <t>Davey van Giesen</t>
  </si>
  <si>
    <t>ID0578</t>
  </si>
  <si>
    <t>David</t>
  </si>
  <si>
    <t>Alderliesten</t>
  </si>
  <si>
    <t>David Alderliesten</t>
  </si>
  <si>
    <t>ID0745</t>
  </si>
  <si>
    <t>Marcinek</t>
  </si>
  <si>
    <t>David Marcinek</t>
  </si>
  <si>
    <t>ID0645</t>
  </si>
  <si>
    <t>Oldenhuis</t>
  </si>
  <si>
    <t>David Oldenhuis</t>
  </si>
  <si>
    <t>ID0029</t>
  </si>
  <si>
    <t>Dennis</t>
  </si>
  <si>
    <t>Schaart</t>
  </si>
  <si>
    <t>Dennis Schaart</t>
  </si>
  <si>
    <t>ID0428</t>
  </si>
  <si>
    <t>Veen</t>
  </si>
  <si>
    <t>Dennis van Veen</t>
  </si>
  <si>
    <t>ID0493</t>
  </si>
  <si>
    <t>Dion</t>
  </si>
  <si>
    <t>van den</t>
  </si>
  <si>
    <t>Heuvel</t>
  </si>
  <si>
    <t>Dion van den Heuvel</t>
  </si>
  <si>
    <t>ID0812</t>
  </si>
  <si>
    <t>Platschorre</t>
  </si>
  <si>
    <t>Dion Platschorre</t>
  </si>
  <si>
    <t>ID0769</t>
  </si>
  <si>
    <t>Strijen</t>
  </si>
  <si>
    <t>Dion van Strijen</t>
  </si>
  <si>
    <t>ID0891</t>
  </si>
  <si>
    <t>Djennifer</t>
  </si>
  <si>
    <t>Madzia-Madzou</t>
  </si>
  <si>
    <t>Djennifer Madzia-Madzou</t>
  </si>
  <si>
    <t>ID0915</t>
  </si>
  <si>
    <t>Dylan</t>
  </si>
  <si>
    <t>Selden</t>
  </si>
  <si>
    <t>Dylan Selden</t>
  </si>
  <si>
    <t>ID0764</t>
  </si>
  <si>
    <t>Eddie</t>
  </si>
  <si>
    <t>Skinner</t>
  </si>
  <si>
    <t>Eddie Skinner</t>
  </si>
  <si>
    <t>ID0389</t>
  </si>
  <si>
    <t>Eileen</t>
  </si>
  <si>
    <t>Stornebrink</t>
  </si>
  <si>
    <t>Eileen Stornebrink</t>
  </si>
  <si>
    <t>ID0309</t>
  </si>
  <si>
    <t>Elena</t>
  </si>
  <si>
    <t>Hooijschuur</t>
  </si>
  <si>
    <t>Elena Hooijschuur</t>
  </si>
  <si>
    <t>ID0525</t>
  </si>
  <si>
    <t>Elmo</t>
  </si>
  <si>
    <t>Koning</t>
  </si>
  <si>
    <t>Elmo Koning</t>
  </si>
  <si>
    <t>ID0882</t>
  </si>
  <si>
    <t>Elodie</t>
  </si>
  <si>
    <t>van de</t>
  </si>
  <si>
    <t>Kemenade</t>
  </si>
  <si>
    <t>Elodie van de Kemenade</t>
  </si>
  <si>
    <t>ID0822</t>
  </si>
  <si>
    <t>Elyn</t>
  </si>
  <si>
    <t>den</t>
  </si>
  <si>
    <t>Hollander</t>
  </si>
  <si>
    <t>Elyn den Hollander</t>
  </si>
  <si>
    <t>ID0201</t>
  </si>
  <si>
    <t>Emiel</t>
  </si>
  <si>
    <t>Ven</t>
  </si>
  <si>
    <t>Emiel van de Ven</t>
  </si>
  <si>
    <t>ID0892</t>
  </si>
  <si>
    <t>Emile</t>
  </si>
  <si>
    <t>Vreeburg</t>
  </si>
  <si>
    <t>Emile Vreeburg</t>
  </si>
  <si>
    <t>ID0909</t>
  </si>
  <si>
    <t>Emma</t>
  </si>
  <si>
    <t>Bakker</t>
  </si>
  <si>
    <t>Emma Bakker</t>
  </si>
  <si>
    <t>ID0466</t>
  </si>
  <si>
    <t>Wisse</t>
  </si>
  <si>
    <t>Emma Wisse</t>
  </si>
  <si>
    <t>ID0594</t>
  </si>
  <si>
    <t>Ernesto</t>
  </si>
  <si>
    <t>Gonzales</t>
  </si>
  <si>
    <t>Ernesto Gonzales</t>
  </si>
  <si>
    <t>ID0874</t>
  </si>
  <si>
    <t>Eva</t>
  </si>
  <si>
    <t>Pelk</t>
  </si>
  <si>
    <t>Eva Pelk</t>
  </si>
  <si>
    <t>ID0905</t>
  </si>
  <si>
    <t>Evgenios</t>
  </si>
  <si>
    <t>Snitsas</t>
  </si>
  <si>
    <t>Evgenios Snitsas</t>
  </si>
  <si>
    <t>ID0878</t>
  </si>
  <si>
    <t>Falko</t>
  </si>
  <si>
    <t>Baatsen</t>
  </si>
  <si>
    <t>Falko Baatsen</t>
  </si>
  <si>
    <t>ID0248</t>
  </si>
  <si>
    <t>Felix</t>
  </si>
  <si>
    <t>Quaedvlieg</t>
  </si>
  <si>
    <t>Felix Quaedvlieg</t>
  </si>
  <si>
    <t>ID0512</t>
  </si>
  <si>
    <t>Femke</t>
  </si>
  <si>
    <t>Lokhorst</t>
  </si>
  <si>
    <t>Femke Lokhorst</t>
  </si>
  <si>
    <t>ID0633</t>
  </si>
  <si>
    <t>Floor</t>
  </si>
  <si>
    <t>Berg</t>
  </si>
  <si>
    <t>Floor van den Berg</t>
  </si>
  <si>
    <t>ID0826</t>
  </si>
  <si>
    <t>Florian</t>
  </si>
  <si>
    <t>Holtbernd</t>
  </si>
  <si>
    <t>Florian Holtbernd</t>
  </si>
  <si>
    <t>ID0617</t>
  </si>
  <si>
    <t>Floris</t>
  </si>
  <si>
    <t>Bruinsma</t>
  </si>
  <si>
    <t>Floris Bruinsma</t>
  </si>
  <si>
    <t>ID0219</t>
  </si>
  <si>
    <t>Rouwen</t>
  </si>
  <si>
    <t>Floris Rouwen</t>
  </si>
  <si>
    <t>ID0543</t>
  </si>
  <si>
    <t>Florrie</t>
  </si>
  <si>
    <t>le</t>
  </si>
  <si>
    <t>Roy</t>
  </si>
  <si>
    <t>Florrie le Roy</t>
  </si>
  <si>
    <t>ID0758</t>
  </si>
  <si>
    <t>Frank</t>
  </si>
  <si>
    <t>Schilperoort</t>
  </si>
  <si>
    <t>Frank Schilperoort</t>
  </si>
  <si>
    <t>ID0911</t>
  </si>
  <si>
    <t>Gabriela</t>
  </si>
  <si>
    <t>Koster</t>
  </si>
  <si>
    <t>Gabriela Koster</t>
  </si>
  <si>
    <t>ID0260</t>
  </si>
  <si>
    <t>Gerran</t>
  </si>
  <si>
    <t>Lankhorst</t>
  </si>
  <si>
    <t>Gerran Lankhorst</t>
  </si>
  <si>
    <t>ID0856</t>
  </si>
  <si>
    <t>Gijs</t>
  </si>
  <si>
    <t>Eck</t>
  </si>
  <si>
    <t>Gijs van Eck</t>
  </si>
  <si>
    <t>ID0632</t>
  </si>
  <si>
    <t>Gasteren</t>
  </si>
  <si>
    <t>Gijs van Gasteren</t>
  </si>
  <si>
    <t>ID0659</t>
  </si>
  <si>
    <t>Vis</t>
  </si>
  <si>
    <t>Gijs Vis</t>
  </si>
  <si>
    <t>ID0838</t>
  </si>
  <si>
    <t>Guilaume</t>
  </si>
  <si>
    <t>Guilaume van Dijk</t>
  </si>
  <si>
    <t>ID0904</t>
  </si>
  <si>
    <t>Guo</t>
  </si>
  <si>
    <t>Ghen</t>
  </si>
  <si>
    <t>Guo Ghen</t>
  </si>
  <si>
    <t>ID0918</t>
  </si>
  <si>
    <t>gustaf</t>
  </si>
  <si>
    <t>jackson</t>
  </si>
  <si>
    <t>gustaf jackson</t>
  </si>
  <si>
    <t>ID0303</t>
  </si>
  <si>
    <t>Guy</t>
  </si>
  <si>
    <t>Versluys</t>
  </si>
  <si>
    <t>Guy Versluys</t>
  </si>
  <si>
    <t>ID0669</t>
  </si>
  <si>
    <t>Halana</t>
  </si>
  <si>
    <t>Vlaming</t>
  </si>
  <si>
    <t>Halana Vlaming</t>
  </si>
  <si>
    <t>ID0862</t>
  </si>
  <si>
    <t>Hidde</t>
  </si>
  <si>
    <t>Rhee</t>
  </si>
  <si>
    <t>Hidde van de Rhee</t>
  </si>
  <si>
    <t>ID0712</t>
  </si>
  <si>
    <t>Wiechen</t>
  </si>
  <si>
    <t>Hidde van Wiechen</t>
  </si>
  <si>
    <t>ID0846</t>
  </si>
  <si>
    <t>Hugo</t>
  </si>
  <si>
    <t>Loopik</t>
  </si>
  <si>
    <t>Hugo Loopik</t>
  </si>
  <si>
    <t>ID0680</t>
  </si>
  <si>
    <t>Ilse</t>
  </si>
  <si>
    <t>Brink</t>
  </si>
  <si>
    <t>Ilse van den Brink</t>
  </si>
  <si>
    <t>ID0676</t>
  </si>
  <si>
    <t>Ingo</t>
  </si>
  <si>
    <t>Nettersheim</t>
  </si>
  <si>
    <t>Ingo Nettersheim</t>
  </si>
  <si>
    <t>ID0806</t>
  </si>
  <si>
    <t>Iris</t>
  </si>
  <si>
    <t>Jansen</t>
  </si>
  <si>
    <t>Iris Jansen</t>
  </si>
  <si>
    <t>ID0644</t>
  </si>
  <si>
    <t>Isaac</t>
  </si>
  <si>
    <t>Blange</t>
  </si>
  <si>
    <t>Isaac Blange</t>
  </si>
  <si>
    <t>ID0603</t>
  </si>
  <si>
    <t>Isabella</t>
  </si>
  <si>
    <t>Keppy</t>
  </si>
  <si>
    <t>Isabella Keppy</t>
  </si>
  <si>
    <t>ID0897</t>
  </si>
  <si>
    <t>Ivan</t>
  </si>
  <si>
    <t>Kalkman</t>
  </si>
  <si>
    <t>Ivan Kalkman</t>
  </si>
  <si>
    <t>ID0770</t>
  </si>
  <si>
    <t>Jaap</t>
  </si>
  <si>
    <t>Koopmans</t>
  </si>
  <si>
    <t>Jaap Koopmans</t>
  </si>
  <si>
    <t>ID0523</t>
  </si>
  <si>
    <t>Jacomijn</t>
  </si>
  <si>
    <t>Ham</t>
  </si>
  <si>
    <t>Jacomijn van Ham</t>
  </si>
  <si>
    <t>ID0698</t>
  </si>
  <si>
    <t>Jahmil</t>
  </si>
  <si>
    <t>Givner</t>
  </si>
  <si>
    <t>Jahmil Givner</t>
  </si>
  <si>
    <t>ID0031</t>
  </si>
  <si>
    <t>Jan</t>
  </si>
  <si>
    <t>Kort</t>
  </si>
  <si>
    <t>Jan de Kort</t>
  </si>
  <si>
    <t>ID0803</t>
  </si>
  <si>
    <t>Panhuis</t>
  </si>
  <si>
    <t>Jan Panhuis</t>
  </si>
  <si>
    <t>ID0424</t>
  </si>
  <si>
    <t>Jan Gerk</t>
  </si>
  <si>
    <t>Boer</t>
  </si>
  <si>
    <t>Jan Gerk de Boer</t>
  </si>
  <si>
    <t>ID0562</t>
  </si>
  <si>
    <t>Janneke</t>
  </si>
  <si>
    <t>Jolink</t>
  </si>
  <si>
    <t>Janneke Jolink</t>
  </si>
  <si>
    <t>ID0751</t>
  </si>
  <si>
    <t>Jari</t>
  </si>
  <si>
    <t>Bervoets</t>
  </si>
  <si>
    <t>Jari Bervoets</t>
  </si>
  <si>
    <t>ID0482</t>
  </si>
  <si>
    <t>Jarl</t>
  </si>
  <si>
    <t>Everaart</t>
  </si>
  <si>
    <t>Jarl Everaart</t>
  </si>
  <si>
    <t>ID0383</t>
  </si>
  <si>
    <t>Jasper</t>
  </si>
  <si>
    <t>Eenhoorn</t>
  </si>
  <si>
    <t>Jasper Eenhoorn</t>
  </si>
  <si>
    <t>ID0813</t>
  </si>
  <si>
    <t>Kuijt</t>
  </si>
  <si>
    <t>Jasper Kuijt</t>
  </si>
  <si>
    <t>ID0763</t>
  </si>
  <si>
    <t>Rosendaal</t>
  </si>
  <si>
    <t>Jasper van Rosendaal</t>
  </si>
  <si>
    <t>ID0527</t>
  </si>
  <si>
    <t>Sauer</t>
  </si>
  <si>
    <t>Jasper Sauer</t>
  </si>
  <si>
    <t>ID0919</t>
  </si>
  <si>
    <t>javier</t>
  </si>
  <si>
    <t>figuera comojo</t>
  </si>
  <si>
    <t>javier figuera comojo</t>
  </si>
  <si>
    <t>ID0503</t>
  </si>
  <si>
    <t>Jeanique</t>
  </si>
  <si>
    <t>Romeijnders</t>
  </si>
  <si>
    <t>Jeanique Romeijnders</t>
  </si>
  <si>
    <t>ID0750</t>
  </si>
  <si>
    <t>Jelmer</t>
  </si>
  <si>
    <t>Basting</t>
  </si>
  <si>
    <t>Jelmer Basting</t>
  </si>
  <si>
    <t>ID0795</t>
  </si>
  <si>
    <t>Jens</t>
  </si>
  <si>
    <t>Coppoolse</t>
  </si>
  <si>
    <t>Jens Coppoolse</t>
  </si>
  <si>
    <t>ID0894</t>
  </si>
  <si>
    <t>Jeroen</t>
  </si>
  <si>
    <t>Hes</t>
  </si>
  <si>
    <t>Jeroen Hes</t>
  </si>
  <si>
    <t>ID0415</t>
  </si>
  <si>
    <t>Jesse</t>
  </si>
  <si>
    <t>Salet</t>
  </si>
  <si>
    <t>Jesse Salet</t>
  </si>
  <si>
    <t>ID0785</t>
  </si>
  <si>
    <t>Jippe</t>
  </si>
  <si>
    <t>Dunne</t>
  </si>
  <si>
    <t>Jippe van Dunne</t>
  </si>
  <si>
    <t>ID0635</t>
  </si>
  <si>
    <t>Jiska</t>
  </si>
  <si>
    <t>Bonte</t>
  </si>
  <si>
    <t>Jiska Bonte</t>
  </si>
  <si>
    <t>ID0378</t>
  </si>
  <si>
    <t>Job</t>
  </si>
  <si>
    <t>Erp</t>
  </si>
  <si>
    <t>Job van Erp</t>
  </si>
  <si>
    <t>ID0867</t>
  </si>
  <si>
    <t>Job Oldenhuis</t>
  </si>
  <si>
    <t>ID0502</t>
  </si>
  <si>
    <t>Jochem</t>
  </si>
  <si>
    <t>Zaag</t>
  </si>
  <si>
    <t>Jochem van der Zaag</t>
  </si>
  <si>
    <t>ID0804</t>
  </si>
  <si>
    <t>Joell</t>
  </si>
  <si>
    <t>ten</t>
  </si>
  <si>
    <t>Hove</t>
  </si>
  <si>
    <t>Joell ten Hove</t>
  </si>
  <si>
    <t>ID0567</t>
  </si>
  <si>
    <t>Joep</t>
  </si>
  <si>
    <t>Hagen</t>
  </si>
  <si>
    <t>Joep van der Hagen</t>
  </si>
  <si>
    <t>ID0654</t>
  </si>
  <si>
    <t>Knepper</t>
  </si>
  <si>
    <t>Joep Knepper</t>
  </si>
  <si>
    <t>ID0608</t>
  </si>
  <si>
    <t>Johannes</t>
  </si>
  <si>
    <t>Johannes van der Berg</t>
  </si>
  <si>
    <t>ID0816</t>
  </si>
  <si>
    <t>Jonas</t>
  </si>
  <si>
    <t>Roozenburg</t>
  </si>
  <si>
    <t>Jonas Roozenburg</t>
  </si>
  <si>
    <t>ID0835</t>
  </si>
  <si>
    <t>Jonathan</t>
  </si>
  <si>
    <t>swart GEEN 18!!!</t>
  </si>
  <si>
    <t>Jonathan swart GEEN 18!!!</t>
  </si>
  <si>
    <t>ID0820</t>
  </si>
  <si>
    <t>Joost</t>
  </si>
  <si>
    <t>Nijskens</t>
  </si>
  <si>
    <t>Joost Nijskens</t>
  </si>
  <si>
    <t>ID0742</t>
  </si>
  <si>
    <t>Schoonhoven</t>
  </si>
  <si>
    <t>Joost Schoonhoven</t>
  </si>
  <si>
    <t>ID0847</t>
  </si>
  <si>
    <t>Joram</t>
  </si>
  <si>
    <t>Boumans</t>
  </si>
  <si>
    <t>Joram Boumans</t>
  </si>
  <si>
    <t>ID0552</t>
  </si>
  <si>
    <t>Jordi</t>
  </si>
  <si>
    <t>Alkemade</t>
  </si>
  <si>
    <t>Jordi Alkemade</t>
  </si>
  <si>
    <t>ID0760</t>
  </si>
  <si>
    <t>Jordy</t>
  </si>
  <si>
    <t>Eijk</t>
  </si>
  <si>
    <t>Jordy van Eijk</t>
  </si>
  <si>
    <t>ID0441</t>
  </si>
  <si>
    <t>Joris</t>
  </si>
  <si>
    <t>Albeda</t>
  </si>
  <si>
    <t>Joris Albeda</t>
  </si>
  <si>
    <t>ID0772</t>
  </si>
  <si>
    <t>Vellekoop</t>
  </si>
  <si>
    <t>Joris Vellekoop</t>
  </si>
  <si>
    <t>ID0777</t>
  </si>
  <si>
    <t>Jorn</t>
  </si>
  <si>
    <t>Zwetsloot</t>
  </si>
  <si>
    <t>Jorn Zwetsloot</t>
  </si>
  <si>
    <t>ID0695</t>
  </si>
  <si>
    <t>Jos</t>
  </si>
  <si>
    <t>Feenstra</t>
  </si>
  <si>
    <t>Jos Feenstra</t>
  </si>
  <si>
    <t>ID0861</t>
  </si>
  <si>
    <t>Joschua</t>
  </si>
  <si>
    <t>Gosslar</t>
  </si>
  <si>
    <t>Joschua Gosslar</t>
  </si>
  <si>
    <t>ID0736</t>
  </si>
  <si>
    <t>Judith</t>
  </si>
  <si>
    <t>Heugten</t>
  </si>
  <si>
    <t>Judith van Heugten</t>
  </si>
  <si>
    <t>ID0297</t>
  </si>
  <si>
    <t>Julia</t>
  </si>
  <si>
    <t>Stoevelaar</t>
  </si>
  <si>
    <t>Julia Stoevelaar</t>
  </si>
  <si>
    <t>ID0524</t>
  </si>
  <si>
    <t>Julian</t>
  </si>
  <si>
    <t>Kaihatu</t>
  </si>
  <si>
    <t>Julian Kaihatu</t>
  </si>
  <si>
    <t>ID0843</t>
  </si>
  <si>
    <t>Julius</t>
  </si>
  <si>
    <t>Koppen</t>
  </si>
  <si>
    <t>Julius Koppen</t>
  </si>
  <si>
    <t>ID0453</t>
  </si>
  <si>
    <t>Jurgen</t>
  </si>
  <si>
    <t>Kuipers</t>
  </si>
  <si>
    <t>Jurgen Kuipers</t>
  </si>
  <si>
    <t>ID0321</t>
  </si>
  <si>
    <t>Jurriaan</t>
  </si>
  <si>
    <t>Govers</t>
  </si>
  <si>
    <t>Jurriaan Govers</t>
  </si>
  <si>
    <t>ID0916</t>
  </si>
  <si>
    <t>kalea</t>
  </si>
  <si>
    <t>holkema</t>
  </si>
  <si>
    <t>kalea holkema</t>
  </si>
  <si>
    <t>ID0784</t>
  </si>
  <si>
    <t>Karan</t>
  </si>
  <si>
    <t>Karan Kohabir</t>
  </si>
  <si>
    <t>ID0842</t>
  </si>
  <si>
    <t>Karel</t>
  </si>
  <si>
    <t>Hamburg</t>
  </si>
  <si>
    <t>Karel Hamburg</t>
  </si>
  <si>
    <t>ID0771</t>
  </si>
  <si>
    <t>Kari</t>
  </si>
  <si>
    <t>Dooren</t>
  </si>
  <si>
    <t>Kari Dooren</t>
  </si>
  <si>
    <t>ID0809</t>
  </si>
  <si>
    <t>Kate</t>
  </si>
  <si>
    <t>Loe</t>
  </si>
  <si>
    <t>Kate Loe</t>
  </si>
  <si>
    <t>ID0879</t>
  </si>
  <si>
    <t>Kevin</t>
  </si>
  <si>
    <t>Robbesom</t>
  </si>
  <si>
    <t>Kevin Robbesom</t>
  </si>
  <si>
    <t>ID0575</t>
  </si>
  <si>
    <t>Kim</t>
  </si>
  <si>
    <t>Eekelen</t>
  </si>
  <si>
    <t>Kim van Eekelen</t>
  </si>
  <si>
    <t>ID0852</t>
  </si>
  <si>
    <t>Koen</t>
  </si>
  <si>
    <t>Ruijgrok</t>
  </si>
  <si>
    <t>Koen Ruijgrok</t>
  </si>
  <si>
    <t>ID0866</t>
  </si>
  <si>
    <t>Zoeter</t>
  </si>
  <si>
    <t>Koen Zoeter</t>
  </si>
  <si>
    <t>ID0836</t>
  </si>
  <si>
    <t>Kris</t>
  </si>
  <si>
    <t>Ransijn</t>
  </si>
  <si>
    <t>Kris Ransijn</t>
  </si>
  <si>
    <t>ID0097</t>
  </si>
  <si>
    <t>Kristiaan</t>
  </si>
  <si>
    <t>Schuppers</t>
  </si>
  <si>
    <t>Kristiaan Schuppers</t>
  </si>
  <si>
    <t>ID0392</t>
  </si>
  <si>
    <t>Laetitia</t>
  </si>
  <si>
    <t>Laetitia Koning</t>
  </si>
  <si>
    <t>ID0802</t>
  </si>
  <si>
    <t>Laika</t>
  </si>
  <si>
    <t>Buser</t>
  </si>
  <si>
    <t>Laika Buser</t>
  </si>
  <si>
    <t>ID0907</t>
  </si>
  <si>
    <t>Larissa</t>
  </si>
  <si>
    <t>Lobbezoo</t>
  </si>
  <si>
    <t>Larissa Lobbezoo</t>
  </si>
  <si>
    <t>ID0677</t>
  </si>
  <si>
    <t>Lars</t>
  </si>
  <si>
    <t>Hoogland</t>
  </si>
  <si>
    <t>Lars Hoogland</t>
  </si>
  <si>
    <t>ID0886</t>
  </si>
  <si>
    <t>Laura</t>
  </si>
  <si>
    <t>Rivera Diez</t>
  </si>
  <si>
    <t>Laura Rivera Diez</t>
  </si>
  <si>
    <t>ID0596</t>
  </si>
  <si>
    <t>Laurens</t>
  </si>
  <si>
    <t>Buijs</t>
  </si>
  <si>
    <t>Laurens Buijs</t>
  </si>
  <si>
    <t>ID0710</t>
  </si>
  <si>
    <t>Munck</t>
  </si>
  <si>
    <t>Laurens de Munck</t>
  </si>
  <si>
    <t>ID0883</t>
  </si>
  <si>
    <t>Leon</t>
  </si>
  <si>
    <t>Yegenoglu</t>
  </si>
  <si>
    <t>Leon Yegenoglu</t>
  </si>
  <si>
    <t>ID0884</t>
  </si>
  <si>
    <t>Lianne</t>
  </si>
  <si>
    <t>Smits</t>
  </si>
  <si>
    <t>Lianne Smits</t>
  </si>
  <si>
    <t>ID0658</t>
  </si>
  <si>
    <t>Lina</t>
  </si>
  <si>
    <t>Wang</t>
  </si>
  <si>
    <t>Lina Wang</t>
  </si>
  <si>
    <t>ID0349</t>
  </si>
  <si>
    <t>Linda</t>
  </si>
  <si>
    <t>Supheert</t>
  </si>
  <si>
    <t>Linda Supheert</t>
  </si>
  <si>
    <t>ID0674</t>
  </si>
  <si>
    <t>Liset</t>
  </si>
  <si>
    <t>Vliegen</t>
  </si>
  <si>
    <t>Liset Vliegen</t>
  </si>
  <si>
    <t>ID0330</t>
  </si>
  <si>
    <t>Lizzy</t>
  </si>
  <si>
    <t>Berendsen</t>
  </si>
  <si>
    <t>Lizzy Berendsen</t>
  </si>
  <si>
    <t>ID0747</t>
  </si>
  <si>
    <t>Lorena</t>
  </si>
  <si>
    <t>Hendrix</t>
  </si>
  <si>
    <t>Lorena Hendrix</t>
  </si>
  <si>
    <t>ID0868</t>
  </si>
  <si>
    <t>Lotte</t>
  </si>
  <si>
    <t>Jagt</t>
  </si>
  <si>
    <t>Lotte van der Jagt</t>
  </si>
  <si>
    <t>ID0797</t>
  </si>
  <si>
    <t>Louise</t>
  </si>
  <si>
    <t>Houweling</t>
  </si>
  <si>
    <t>Louise Houweling</t>
  </si>
  <si>
    <t>ID0903</t>
  </si>
  <si>
    <t>Petersson</t>
  </si>
  <si>
    <t>Louise Petersson</t>
  </si>
  <si>
    <t>ID0628</t>
  </si>
  <si>
    <t>Luca</t>
  </si>
  <si>
    <t>van der Knaap</t>
  </si>
  <si>
    <t>Luca van der Knaap</t>
  </si>
  <si>
    <t>ID0755</t>
  </si>
  <si>
    <t>Lucas</t>
  </si>
  <si>
    <t>Lucas Giesen</t>
  </si>
  <si>
    <t>ID0304</t>
  </si>
  <si>
    <t>Mathijssen</t>
  </si>
  <si>
    <t>Lucas Mathijssen</t>
  </si>
  <si>
    <t>ID0589</t>
  </si>
  <si>
    <t>Norder</t>
  </si>
  <si>
    <t>Lucas Norder</t>
  </si>
  <si>
    <t>ID0520</t>
  </si>
  <si>
    <t>Lukas</t>
  </si>
  <si>
    <t>Veldman</t>
  </si>
  <si>
    <t>Lukas Veldman</t>
  </si>
  <si>
    <t>ID0833</t>
  </si>
  <si>
    <t>Luuk</t>
  </si>
  <si>
    <t>Eeftink</t>
  </si>
  <si>
    <t>Luuk Eeftink</t>
  </si>
  <si>
    <t>ID0765</t>
  </si>
  <si>
    <t>Withagen</t>
  </si>
  <si>
    <t>Luuk Withagen</t>
  </si>
  <si>
    <t>ID0762</t>
  </si>
  <si>
    <t>Maarten</t>
  </si>
  <si>
    <t>Mens</t>
  </si>
  <si>
    <t>Maarten Mens</t>
  </si>
  <si>
    <t>ID0469</t>
  </si>
  <si>
    <t>Machteld</t>
  </si>
  <si>
    <t>Zinsmeister</t>
  </si>
  <si>
    <t>Machteld Zinsmeister</t>
  </si>
  <si>
    <t>ID0583</t>
  </si>
  <si>
    <t>Mala</t>
  </si>
  <si>
    <t>Dengkeng</t>
  </si>
  <si>
    <t>Mala Dengkeng</t>
  </si>
  <si>
    <t>ID0690</t>
  </si>
  <si>
    <t>Manuel</t>
  </si>
  <si>
    <t>Manuel van der Veen</t>
  </si>
  <si>
    <t>ID0740</t>
  </si>
  <si>
    <t>Marc</t>
  </si>
  <si>
    <t>Corstanje</t>
  </si>
  <si>
    <t>Marc Corstanje</t>
  </si>
  <si>
    <t>ID0508</t>
  </si>
  <si>
    <t>Marco</t>
  </si>
  <si>
    <t>Admiraal</t>
  </si>
  <si>
    <t>Marco Admiraal</t>
  </si>
  <si>
    <t>ID0819</t>
  </si>
  <si>
    <t>Maren</t>
  </si>
  <si>
    <t>Hengelmolen</t>
  </si>
  <si>
    <t>Maren Hengelmolen</t>
  </si>
  <si>
    <t>ID0788</t>
  </si>
  <si>
    <t>Margo</t>
  </si>
  <si>
    <t>Welsch</t>
  </si>
  <si>
    <t>Margo Welsch</t>
  </si>
  <si>
    <t>ID0580</t>
  </si>
  <si>
    <t>Marijn</t>
  </si>
  <si>
    <t>Reiche</t>
  </si>
  <si>
    <t>Marijn Reiche</t>
  </si>
  <si>
    <t>ID0449</t>
  </si>
  <si>
    <t>Marinus</t>
  </si>
  <si>
    <t>Jongeneel</t>
  </si>
  <si>
    <t>Marinus Jongeneel</t>
  </si>
  <si>
    <t>ID0902</t>
  </si>
  <si>
    <t>Mario</t>
  </si>
  <si>
    <t>Roman Cabezas</t>
  </si>
  <si>
    <t>Mario Roman Cabezas</t>
  </si>
  <si>
    <t>ID0888</t>
  </si>
  <si>
    <t>Mark</t>
  </si>
  <si>
    <t>Kuntz</t>
  </si>
  <si>
    <t>Mark Kuntz</t>
  </si>
  <si>
    <t>ID0872</t>
  </si>
  <si>
    <t>Marloes</t>
  </si>
  <si>
    <t>Slokker</t>
  </si>
  <si>
    <t>Marloes Slokker</t>
  </si>
  <si>
    <t>ID0612</t>
  </si>
  <si>
    <t>Martijn</t>
  </si>
  <si>
    <t>Bodegraven</t>
  </si>
  <si>
    <t>Martijn Bodegraven</t>
  </si>
  <si>
    <t>ID0691</t>
  </si>
  <si>
    <t>Vos</t>
  </si>
  <si>
    <t>Martijn Vos</t>
  </si>
  <si>
    <t>ID0652</t>
  </si>
  <si>
    <t>Weverling</t>
  </si>
  <si>
    <t>Martijn Weverling</t>
  </si>
  <si>
    <t>ID0893</t>
  </si>
  <si>
    <t>Martin</t>
  </si>
  <si>
    <t>Meijer</t>
  </si>
  <si>
    <t>Martin Meijer</t>
  </si>
  <si>
    <t>ID0741</t>
  </si>
  <si>
    <t>Mathilde</t>
  </si>
  <si>
    <t>Siderius</t>
  </si>
  <si>
    <t>Mathilde Siderius</t>
  </si>
  <si>
    <t>ID0491</t>
  </si>
  <si>
    <t>Mats</t>
  </si>
  <si>
    <t>Dirkzwager</t>
  </si>
  <si>
    <t>Mats Dirkzwager</t>
  </si>
  <si>
    <t>ID0666</t>
  </si>
  <si>
    <t>Tongeren</t>
  </si>
  <si>
    <t>Mats van Tongeren</t>
  </si>
  <si>
    <t>ID0396</t>
  </si>
  <si>
    <t>Matthijs</t>
  </si>
  <si>
    <t>Neerven</t>
  </si>
  <si>
    <t>Matthijs van Neerven</t>
  </si>
  <si>
    <t>ID0805</t>
  </si>
  <si>
    <t>Matze</t>
  </si>
  <si>
    <t>Huising</t>
  </si>
  <si>
    <t>Matze Huising</t>
  </si>
  <si>
    <t>ID0299</t>
  </si>
  <si>
    <t>Maura</t>
  </si>
  <si>
    <t>Henkes</t>
  </si>
  <si>
    <t>Maura Henkes</t>
  </si>
  <si>
    <t>ID0002</t>
  </si>
  <si>
    <t>Maurits</t>
  </si>
  <si>
    <t>Kok</t>
  </si>
  <si>
    <t>Maurits Kok</t>
  </si>
  <si>
    <t>ID0913</t>
  </si>
  <si>
    <t>Meltem</t>
  </si>
  <si>
    <t>Coroz</t>
  </si>
  <si>
    <t>Meltem Coroz</t>
  </si>
  <si>
    <t>ID0914</t>
  </si>
  <si>
    <t>Mert</t>
  </si>
  <si>
    <t>Bereket</t>
  </si>
  <si>
    <t>Mert Bereket</t>
  </si>
  <si>
    <t>ID0615</t>
  </si>
  <si>
    <t>Mike</t>
  </si>
  <si>
    <t>Roelofsen</t>
  </si>
  <si>
    <t>Mike Roelofsen</t>
  </si>
  <si>
    <t>ID0477</t>
  </si>
  <si>
    <t>Milan</t>
  </si>
  <si>
    <t>Niestijl</t>
  </si>
  <si>
    <t>Milan Niestijl</t>
  </si>
  <si>
    <t>ID0901</t>
  </si>
  <si>
    <t>Mingyu</t>
  </si>
  <si>
    <t>Liu</t>
  </si>
  <si>
    <t>Mingyu Liu</t>
  </si>
  <si>
    <t>ID0602</t>
  </si>
  <si>
    <t>Minne</t>
  </si>
  <si>
    <t>Dekker</t>
  </si>
  <si>
    <t>Minne Dekker</t>
  </si>
  <si>
    <t>ID0707</t>
  </si>
  <si>
    <t>Mirthe</t>
  </si>
  <si>
    <t>Strijker</t>
  </si>
  <si>
    <t>Mirthe Strijker</t>
  </si>
  <si>
    <t>ID0663</t>
  </si>
  <si>
    <t>Mischa</t>
  </si>
  <si>
    <t>Haan</t>
  </si>
  <si>
    <t>Mischa de Haan</t>
  </si>
  <si>
    <t>ID0840</t>
  </si>
  <si>
    <t>Mo</t>
  </si>
  <si>
    <t>Javenfekr</t>
  </si>
  <si>
    <t>Mo Javenfekr</t>
  </si>
  <si>
    <t>ID0288</t>
  </si>
  <si>
    <t>Moos</t>
  </si>
  <si>
    <t>Moos Meijer</t>
  </si>
  <si>
    <t>ID0757</t>
  </si>
  <si>
    <t>Nadja</t>
  </si>
  <si>
    <t>Znamenskaya</t>
  </si>
  <si>
    <t>Nadja Znamenskaya</t>
  </si>
  <si>
    <t>ID0900</t>
  </si>
  <si>
    <t>Nancy</t>
  </si>
  <si>
    <t>Keyner</t>
  </si>
  <si>
    <t>Nancy Keyner</t>
  </si>
  <si>
    <t>ID0426</t>
  </si>
  <si>
    <t>Naomi</t>
  </si>
  <si>
    <t>Binnekamp</t>
  </si>
  <si>
    <t>Naomi Binnekamp</t>
  </si>
  <si>
    <t>ID0254</t>
  </si>
  <si>
    <t>Nicas</t>
  </si>
  <si>
    <t>Nicas van den Brink</t>
  </si>
  <si>
    <t>ID0571</t>
  </si>
  <si>
    <t>Nicky</t>
  </si>
  <si>
    <t>van Hinsberg</t>
  </si>
  <si>
    <t>Nicky van Hinsberg</t>
  </si>
  <si>
    <t>ID0869</t>
  </si>
  <si>
    <t>Nicolas</t>
  </si>
  <si>
    <t>Rückert</t>
  </si>
  <si>
    <t>Nicolas Rückert</t>
  </si>
  <si>
    <t>ID0890</t>
  </si>
  <si>
    <t>Niels</t>
  </si>
  <si>
    <t>Dur</t>
  </si>
  <si>
    <t>Niels Dur</t>
  </si>
  <si>
    <t>ID0877</t>
  </si>
  <si>
    <t>Nina</t>
  </si>
  <si>
    <t>te</t>
  </si>
  <si>
    <t>Groen</t>
  </si>
  <si>
    <t>Nina te Groen</t>
  </si>
  <si>
    <t>ID0873</t>
  </si>
  <si>
    <t>Touw</t>
  </si>
  <si>
    <t>Nina Touw</t>
  </si>
  <si>
    <t>ID0875</t>
  </si>
  <si>
    <t>Niroda</t>
  </si>
  <si>
    <t>Smit</t>
  </si>
  <si>
    <t>Niroda Smit</t>
  </si>
  <si>
    <t>ID0570</t>
  </si>
  <si>
    <t>Oskar</t>
  </si>
  <si>
    <t>Zakrzewski</t>
  </si>
  <si>
    <t>Oskar Zakrzewski</t>
  </si>
  <si>
    <t>ID0807</t>
  </si>
  <si>
    <t>Patrick</t>
  </si>
  <si>
    <t>Schilder</t>
  </si>
  <si>
    <t>Patrick Schilder</t>
  </si>
  <si>
    <t>ID0078</t>
  </si>
  <si>
    <t>Paul</t>
  </si>
  <si>
    <t>Paul den Bakker</t>
  </si>
  <si>
    <t>ID0830</t>
  </si>
  <si>
    <t>Paula</t>
  </si>
  <si>
    <t>Goldebeld</t>
  </si>
  <si>
    <t>Paula Goldebeld</t>
  </si>
  <si>
    <t>ID0555</t>
  </si>
  <si>
    <t>Pauline</t>
  </si>
  <si>
    <t>Heijden</t>
  </si>
  <si>
    <t>Pauline van der Heijden</t>
  </si>
  <si>
    <t>ID0844</t>
  </si>
  <si>
    <t>Peter</t>
  </si>
  <si>
    <t>Habraken</t>
  </si>
  <si>
    <t>Peter Habraken</t>
  </si>
  <si>
    <t>ID0462</t>
  </si>
  <si>
    <t>Mulders</t>
  </si>
  <si>
    <t>Peter Mulders</t>
  </si>
  <si>
    <t>ID0831</t>
  </si>
  <si>
    <t>Oost</t>
  </si>
  <si>
    <t>Peter van Oost</t>
  </si>
  <si>
    <t>ID0864</t>
  </si>
  <si>
    <t>Philippe</t>
  </si>
  <si>
    <t>Rouffoem</t>
  </si>
  <si>
    <t>Philippe Rouffoem</t>
  </si>
  <si>
    <t>ID0024</t>
  </si>
  <si>
    <t>Pieter-Jan</t>
  </si>
  <si>
    <t>Coumou</t>
  </si>
  <si>
    <t>Pieter-Jan Coumou</t>
  </si>
  <si>
    <t>ID0651</t>
  </si>
  <si>
    <t>Pim</t>
  </si>
  <si>
    <t>America</t>
  </si>
  <si>
    <t>Pim America</t>
  </si>
  <si>
    <t>ID0692</t>
  </si>
  <si>
    <t>Puck</t>
  </si>
  <si>
    <t>Bieseman</t>
  </si>
  <si>
    <t>Puck Bieseman</t>
  </si>
  <si>
    <t>ID0529</t>
  </si>
  <si>
    <t>Rachel</t>
  </si>
  <si>
    <t>Los</t>
  </si>
  <si>
    <t>Rachel Los</t>
  </si>
  <si>
    <t>ID0895</t>
  </si>
  <si>
    <t>Randy</t>
  </si>
  <si>
    <t>Kocha</t>
  </si>
  <si>
    <t>Randy Kocha</t>
  </si>
  <si>
    <t>ID0484</t>
  </si>
  <si>
    <t>Raymond</t>
  </si>
  <si>
    <t>Raymond van Dijk</t>
  </si>
  <si>
    <t>ID0917</t>
  </si>
  <si>
    <t>raymond</t>
  </si>
  <si>
    <t>lagraauw</t>
  </si>
  <si>
    <t>raymond lagraauw</t>
  </si>
  <si>
    <t>ID0699</t>
  </si>
  <si>
    <t>Rees</t>
  </si>
  <si>
    <t>Sommen</t>
  </si>
  <si>
    <t>Rees van der Sommen</t>
  </si>
  <si>
    <t>ID0577</t>
  </si>
  <si>
    <t>Reindert</t>
  </si>
  <si>
    <t>Reuver</t>
  </si>
  <si>
    <t>Reindert de Reuver</t>
  </si>
  <si>
    <t>ID0402</t>
  </si>
  <si>
    <t>Renee</t>
  </si>
  <si>
    <t>Renee Dooren</t>
  </si>
  <si>
    <t>ID0908</t>
  </si>
  <si>
    <t>Rens</t>
  </si>
  <si>
    <t>Kierkels</t>
  </si>
  <si>
    <t>Rens Kierkels</t>
  </si>
  <si>
    <t>ID0648</t>
  </si>
  <si>
    <t>Resy</t>
  </si>
  <si>
    <t>Aarts</t>
  </si>
  <si>
    <t>Resy Aarts</t>
  </si>
  <si>
    <t>ID0487</t>
  </si>
  <si>
    <t>Richard</t>
  </si>
  <si>
    <t>Coesoij</t>
  </si>
  <si>
    <t>Richard Coesoij</t>
  </si>
  <si>
    <t>ID0714</t>
  </si>
  <si>
    <t>Rieneke</t>
  </si>
  <si>
    <t>Noort</t>
  </si>
  <si>
    <t>Rieneke van Noort</t>
  </si>
  <si>
    <t>ID0823</t>
  </si>
  <si>
    <t>Robbie</t>
  </si>
  <si>
    <t>Groot</t>
  </si>
  <si>
    <t>Robbie de Groot</t>
  </si>
  <si>
    <t>ID0910</t>
  </si>
  <si>
    <t>Roos</t>
  </si>
  <si>
    <t>Velde GEEN 18!!!</t>
  </si>
  <si>
    <t>Roos te Velde GEEN 18!!!</t>
  </si>
  <si>
    <t>ID0749</t>
  </si>
  <si>
    <t>Vorster GEEN 18!</t>
  </si>
  <si>
    <t>Roy Vorster GEEN 18!</t>
  </si>
  <si>
    <t>ID0518</t>
  </si>
  <si>
    <t>Ruben</t>
  </si>
  <si>
    <t>Borsje</t>
  </si>
  <si>
    <t>Ruben Borsje</t>
  </si>
  <si>
    <t>ID0501</t>
  </si>
  <si>
    <t>Rudy</t>
  </si>
  <si>
    <t>Lange</t>
  </si>
  <si>
    <t>Rudy de Lange</t>
  </si>
  <si>
    <t>ID0832</t>
  </si>
  <si>
    <t>Rutger</t>
  </si>
  <si>
    <t>Mayer</t>
  </si>
  <si>
    <t>Rutger Mayer</t>
  </si>
  <si>
    <t>ID0409</t>
  </si>
  <si>
    <t>Schönfeld</t>
  </si>
  <si>
    <t>Rutger Schönfeld</t>
  </si>
  <si>
    <t>ID0165</t>
  </si>
  <si>
    <t>Samuel</t>
  </si>
  <si>
    <t>Verburg</t>
  </si>
  <si>
    <t>Samuel Verburg</t>
  </si>
  <si>
    <t>ID0434</t>
  </si>
  <si>
    <t>Sara</t>
  </si>
  <si>
    <t>Francke</t>
  </si>
  <si>
    <t>Sara Francke</t>
  </si>
  <si>
    <t>ID0865</t>
  </si>
  <si>
    <t>Okhuijsen</t>
  </si>
  <si>
    <t>Sara Okhuijsen</t>
  </si>
  <si>
    <t>ID0828</t>
  </si>
  <si>
    <t>Sarah</t>
  </si>
  <si>
    <t>Hartog GEEN 18!!!</t>
  </si>
  <si>
    <t>Sarah den Hartog GEEN 18!!!</t>
  </si>
  <si>
    <t>ID0801</t>
  </si>
  <si>
    <t>Saskia</t>
  </si>
  <si>
    <t>Monen</t>
  </si>
  <si>
    <t>Saskia Monen</t>
  </si>
  <si>
    <t>ID0799</t>
  </si>
  <si>
    <t>Savanne</t>
  </si>
  <si>
    <t>Harrewijen</t>
  </si>
  <si>
    <t>Savanne van Harrewijen</t>
  </si>
  <si>
    <t>ID0870</t>
  </si>
  <si>
    <t>Klop</t>
  </si>
  <si>
    <t>Savanne Klop</t>
  </si>
  <si>
    <t>ID0255</t>
  </si>
  <si>
    <t>Sebas</t>
  </si>
  <si>
    <t>Joosten</t>
  </si>
  <si>
    <t>Sebas Joosten</t>
  </si>
  <si>
    <t>ID0881</t>
  </si>
  <si>
    <t>Ranitz</t>
  </si>
  <si>
    <t>Sebas de Ranitz</t>
  </si>
  <si>
    <t>ID0839</t>
  </si>
  <si>
    <t>Sem</t>
  </si>
  <si>
    <t>Nouws</t>
  </si>
  <si>
    <t>Sem Nouws</t>
  </si>
  <si>
    <t>ID0880</t>
  </si>
  <si>
    <t>Sherine</t>
  </si>
  <si>
    <t>Brahma</t>
  </si>
  <si>
    <t>Sherine Brahma</t>
  </si>
  <si>
    <t>ID0860</t>
  </si>
  <si>
    <t>Simon</t>
  </si>
  <si>
    <t>Staalduine</t>
  </si>
  <si>
    <t>Simon van Staalduine</t>
  </si>
  <si>
    <t>ID0507</t>
  </si>
  <si>
    <t>Sjoerd</t>
  </si>
  <si>
    <t>Bos</t>
  </si>
  <si>
    <t>Sjoerd van den Bos</t>
  </si>
  <si>
    <t>ID0391</t>
  </si>
  <si>
    <t>Velde</t>
  </si>
  <si>
    <t>Sjoerd van de Velde</t>
  </si>
  <si>
    <t>ID0898</t>
  </si>
  <si>
    <t>Sonia</t>
  </si>
  <si>
    <t>Perdeck</t>
  </si>
  <si>
    <t>Sonia Perdeck</t>
  </si>
  <si>
    <t>ID0774</t>
  </si>
  <si>
    <t>Sonny Floyd</t>
  </si>
  <si>
    <t>Jong</t>
  </si>
  <si>
    <t>Sonny Floyd de Jong</t>
  </si>
  <si>
    <t>ID0876</t>
  </si>
  <si>
    <t>Stefan</t>
  </si>
  <si>
    <t>Hoogervorst</t>
  </si>
  <si>
    <t>Stefan Hoogervorst</t>
  </si>
  <si>
    <t>ID0829</t>
  </si>
  <si>
    <t>Loonen</t>
  </si>
  <si>
    <t>Stefan Loonen</t>
  </si>
  <si>
    <t>ID0824</t>
  </si>
  <si>
    <t>Stephan</t>
  </si>
  <si>
    <t>Neevel</t>
  </si>
  <si>
    <t>Stephan Neevel</t>
  </si>
  <si>
    <t>ID0743</t>
  </si>
  <si>
    <t>Stijn</t>
  </si>
  <si>
    <t>Lakerveld</t>
  </si>
  <si>
    <t>Stijn Lakerveld</t>
  </si>
  <si>
    <t>ID0385</t>
  </si>
  <si>
    <t>Linderman</t>
  </si>
  <si>
    <t>Stijn Linderman</t>
  </si>
  <si>
    <t>ID0497</t>
  </si>
  <si>
    <t>Smagt</t>
  </si>
  <si>
    <t>Stijn van der Smagt</t>
  </si>
  <si>
    <t>ID0370</t>
  </si>
  <si>
    <t>van den Elshout</t>
  </si>
  <si>
    <t>Stijn van den Elshout</t>
  </si>
  <si>
    <t>ID0848</t>
  </si>
  <si>
    <t>Suze</t>
  </si>
  <si>
    <t>Santen</t>
  </si>
  <si>
    <t>Suze van Santen</t>
  </si>
  <si>
    <t>ID0678</t>
  </si>
  <si>
    <t>Swier</t>
  </si>
  <si>
    <t>Garst</t>
  </si>
  <si>
    <t>Swier Garst</t>
  </si>
  <si>
    <t>ID0599</t>
  </si>
  <si>
    <t>Tessa</t>
  </si>
  <si>
    <t>Lievestro</t>
  </si>
  <si>
    <t>Tessa Lievestro</t>
  </si>
  <si>
    <t>ID2011</t>
  </si>
  <si>
    <t>test</t>
  </si>
  <si>
    <t>test test</t>
  </si>
  <si>
    <t>ID0859</t>
  </si>
  <si>
    <t>Teun</t>
  </si>
  <si>
    <t>Woudenberg</t>
  </si>
  <si>
    <t>Teun van Woudenberg</t>
  </si>
  <si>
    <t>ID0697</t>
  </si>
  <si>
    <t>Thijs</t>
  </si>
  <si>
    <t>Thijs van Veen</t>
  </si>
  <si>
    <t>ID0701</t>
  </si>
  <si>
    <t>Thomas</t>
  </si>
  <si>
    <t>Booij</t>
  </si>
  <si>
    <t>Thomas Booij</t>
  </si>
  <si>
    <t>ID0411</t>
  </si>
  <si>
    <t>Haex</t>
  </si>
  <si>
    <t>Thomas Haex</t>
  </si>
  <si>
    <t>ID0239</t>
  </si>
  <si>
    <t>Sips</t>
  </si>
  <si>
    <t>Thomas Sips</t>
  </si>
  <si>
    <t>ID0853</t>
  </si>
  <si>
    <t>Ypma</t>
  </si>
  <si>
    <t>Thomas Ypma</t>
  </si>
  <si>
    <t>ID0556</t>
  </si>
  <si>
    <t>Thymen</t>
  </si>
  <si>
    <t>Duijn</t>
  </si>
  <si>
    <t>Thymen van Duijn</t>
  </si>
  <si>
    <t>ID0646</t>
  </si>
  <si>
    <t>Thymo</t>
  </si>
  <si>
    <t>Vlot</t>
  </si>
  <si>
    <t>Thymo Vlot</t>
  </si>
  <si>
    <t>ID0337</t>
  </si>
  <si>
    <t>Ties</t>
  </si>
  <si>
    <t>Nieuwenhuizen</t>
  </si>
  <si>
    <t>Ties Nieuwenhuizen</t>
  </si>
  <si>
    <t>ID0834</t>
  </si>
  <si>
    <t>Tim</t>
  </si>
  <si>
    <t>Tim de Boer</t>
  </si>
  <si>
    <t>ID0521</t>
  </si>
  <si>
    <t>Boot</t>
  </si>
  <si>
    <t>Tim Boot</t>
  </si>
  <si>
    <t>ID0825</t>
  </si>
  <si>
    <t>Tim Hermans</t>
  </si>
  <si>
    <t>ID0496</t>
  </si>
  <si>
    <t>Hosman</t>
  </si>
  <si>
    <t>Tim Hosman</t>
  </si>
  <si>
    <t>ID0796</t>
  </si>
  <si>
    <t>Puglia</t>
  </si>
  <si>
    <t>Tim Puglia</t>
  </si>
  <si>
    <t>ID0437</t>
  </si>
  <si>
    <t>Tobias</t>
  </si>
  <si>
    <t>Roest</t>
  </si>
  <si>
    <t>Tobias Roest</t>
  </si>
  <si>
    <t>ID0744</t>
  </si>
  <si>
    <t>Tom</t>
  </si>
  <si>
    <t>Scheeper</t>
  </si>
  <si>
    <t>Tom Scheeper</t>
  </si>
  <si>
    <t>ID0653</t>
  </si>
  <si>
    <t>Wemelsfelder</t>
  </si>
  <si>
    <t>Tom Wemelsfelder</t>
  </si>
  <si>
    <t>ID0887</t>
  </si>
  <si>
    <t>Wijngaard</t>
  </si>
  <si>
    <t>Tom van den Wijngaard</t>
  </si>
  <si>
    <t>ID0679</t>
  </si>
  <si>
    <t>Van-Nhi</t>
  </si>
  <si>
    <t>Nguyen</t>
  </si>
  <si>
    <t>Van-Nhi Nguyen</t>
  </si>
  <si>
    <t>ID0569</t>
  </si>
  <si>
    <t>Victor</t>
  </si>
  <si>
    <t>Ionescu</t>
  </si>
  <si>
    <t>Victor Ionescu</t>
  </si>
  <si>
    <t>ID0675</t>
  </si>
  <si>
    <t>Werff</t>
  </si>
  <si>
    <t>Victor van der Werff</t>
  </si>
  <si>
    <t>ID0323</t>
  </si>
  <si>
    <t>Vincent</t>
  </si>
  <si>
    <t>HOfte</t>
  </si>
  <si>
    <t>Vincent HOfte</t>
  </si>
  <si>
    <t>ID0759</t>
  </si>
  <si>
    <t>Ward</t>
  </si>
  <si>
    <t>Velden</t>
  </si>
  <si>
    <t>Ward van der Velden</t>
  </si>
  <si>
    <t>ID0595</t>
  </si>
  <si>
    <t>Wessel</t>
  </si>
  <si>
    <t>Teunisse</t>
  </si>
  <si>
    <t>Wessel Teunisse</t>
  </si>
  <si>
    <t>ID0585</t>
  </si>
  <si>
    <t>Wietske</t>
  </si>
  <si>
    <t>Maas</t>
  </si>
  <si>
    <t>Wietske Maas</t>
  </si>
  <si>
    <t>ID0786</t>
  </si>
  <si>
    <t>Willem</t>
  </si>
  <si>
    <t>Wolleswinkel</t>
  </si>
  <si>
    <t>Willem Wolleswinkel</t>
  </si>
  <si>
    <t>ID0673</t>
  </si>
  <si>
    <t>William</t>
  </si>
  <si>
    <t>Hunter</t>
  </si>
  <si>
    <t>William Hunter</t>
  </si>
  <si>
    <t>ID0850</t>
  </si>
  <si>
    <t>Wouter</t>
  </si>
  <si>
    <t>Sipma</t>
  </si>
  <si>
    <t>Wouter Sipma</t>
  </si>
  <si>
    <t>ID0814</t>
  </si>
  <si>
    <t>Zijlstra</t>
  </si>
  <si>
    <t>Wouter Zijlstra</t>
  </si>
  <si>
    <t>ID0752</t>
  </si>
  <si>
    <t>Xander</t>
  </si>
  <si>
    <t>Xander Smits</t>
  </si>
  <si>
    <t>ID0374</t>
  </si>
  <si>
    <t>Yann</t>
  </si>
  <si>
    <t>Rosema</t>
  </si>
  <si>
    <t>Yann Rosema</t>
  </si>
  <si>
    <t>ID0738</t>
  </si>
  <si>
    <t>Yorick</t>
  </si>
  <si>
    <t>Yorick de Jong</t>
  </si>
  <si>
    <t>ID0661</t>
  </si>
  <si>
    <t>Youri</t>
  </si>
  <si>
    <t>Penders</t>
  </si>
  <si>
    <t>Youri Penders</t>
  </si>
  <si>
    <t>ID0783</t>
  </si>
  <si>
    <t>Ysk</t>
  </si>
  <si>
    <t>Horssen</t>
  </si>
  <si>
    <t>Ysk van Horssen</t>
  </si>
  <si>
    <t>ID0855</t>
  </si>
  <si>
    <t>Zach</t>
  </si>
  <si>
    <t>Burr</t>
  </si>
  <si>
    <t>Zach Burr</t>
  </si>
  <si>
    <t>ID0854</t>
  </si>
  <si>
    <t>Cobut</t>
  </si>
  <si>
    <t>Zach Cobut</t>
  </si>
  <si>
    <t>ID2400</t>
  </si>
  <si>
    <t>zzzzzz</t>
  </si>
  <si>
    <t>zzzzzz zzzzzz</t>
  </si>
  <si>
    <t>Bezoekers</t>
  </si>
  <si>
    <t>Nacho's</t>
  </si>
  <si>
    <t>ID1200</t>
  </si>
  <si>
    <t>Jamleider</t>
  </si>
  <si>
    <t>(MAX 6.60)</t>
  </si>
  <si>
    <t>Jamleider (MAX 6.60)</t>
  </si>
  <si>
    <t>Herfstbok</t>
  </si>
  <si>
    <t>IPA</t>
  </si>
  <si>
    <t>comciehoog</t>
  </si>
  <si>
    <t>ID6667</t>
  </si>
  <si>
    <t>earproof</t>
  </si>
  <si>
    <t>!</t>
  </si>
  <si>
    <t>earproof !</t>
  </si>
  <si>
    <t>ID6668</t>
  </si>
  <si>
    <t>jamleider</t>
  </si>
  <si>
    <t>MAX €6.60</t>
  </si>
  <si>
    <t>jamleider MAX €6.60</t>
  </si>
  <si>
    <t>Roos te Velde</t>
  </si>
  <si>
    <t>ID6666</t>
  </si>
  <si>
    <t>Thomas de Boer</t>
  </si>
  <si>
    <t>Kolom1</t>
  </si>
  <si>
    <t>Kolom2</t>
  </si>
  <si>
    <t>ID6670</t>
  </si>
  <si>
    <t>Ronald</t>
  </si>
  <si>
    <t>Olsthoorn</t>
  </si>
  <si>
    <t>Ronald Olsthoorn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</si>
</sst>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€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center" wrapText="1"/>
    </xf>
    <xf numFmtId="164" fontId="0" fillId="0" borderId="0" xfId="0" applyNumberFormat="1"/>
    <xf numFmtId="164" fontId="0" fillId="0" borderId="1" xfId="0" applyNumberFormat="1" applyBorder="1"/>
    <xf numFmtId="0" fontId="1" fillId="2" borderId="0" xfId="0" applyFont="1" applyFill="1" applyBorder="1"/>
    <xf numFmtId="0" fontId="1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164" fontId="0" fillId="3" borderId="4" xfId="0" applyNumberFormat="1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164" fontId="0" fillId="4" borderId="6" xfId="0" applyNumberFormat="1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164" fontId="0" fillId="3" borderId="6" xfId="0" applyNumberFormat="1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164" fontId="0" fillId="4" borderId="4" xfId="0" applyNumberFormat="1" applyFont="1" applyFill="1" applyBorder="1"/>
    <xf numFmtId="0" fontId="0" fillId="0" borderId="0" xfId="0" applyAlignment="1">
      <alignment horizontal="center" vertical="center" wrapText="1"/>
    </xf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K3:T21"/>
  <sheetViews>
    <sheetView workbookViewId="0">
      <selection activeCell="R28" sqref="R28"/>
    </sheetView>
  </sheetViews>
  <sheetFormatPr defaultRowHeight="14.4" x14ac:dyDescent="0.3"/>
  <sheetData>
    <row r="3" spans="11:20" ht="15" x14ac:dyDescent="0.25">
      <c r="K3" s="1"/>
      <c r="L3" s="1"/>
      <c r="M3" s="1"/>
      <c r="N3" s="1"/>
      <c r="O3" s="1"/>
      <c r="P3" s="1"/>
      <c r="Q3" s="1"/>
      <c r="R3" s="1"/>
      <c r="S3" s="1"/>
      <c r="T3" s="1"/>
    </row>
    <row r="4" spans="11:20" ht="15" x14ac:dyDescent="0.25">
      <c r="K4" s="1"/>
      <c r="L4" s="1"/>
      <c r="M4" s="1"/>
      <c r="N4" s="1"/>
      <c r="O4" s="1"/>
      <c r="P4" s="1"/>
      <c r="Q4" s="1"/>
      <c r="R4" s="1"/>
      <c r="S4" s="1"/>
      <c r="T4" s="1"/>
    </row>
    <row r="6" spans="11:20" ht="15" x14ac:dyDescent="0.25">
      <c r="K6" s="1"/>
      <c r="L6" s="1"/>
      <c r="M6" s="1"/>
      <c r="N6" s="1"/>
      <c r="O6" s="1"/>
      <c r="P6" s="1"/>
      <c r="Q6" s="1"/>
      <c r="R6" s="1"/>
      <c r="S6" s="1"/>
      <c r="T6" s="1"/>
    </row>
    <row r="7" spans="11:20" ht="15" x14ac:dyDescent="0.25">
      <c r="K7" s="1"/>
      <c r="L7" s="1"/>
      <c r="M7" s="1"/>
      <c r="N7" s="1"/>
      <c r="O7" s="1"/>
      <c r="P7" s="1"/>
      <c r="Q7" s="1"/>
      <c r="R7" s="1"/>
      <c r="S7" s="1"/>
      <c r="T7" s="1"/>
    </row>
    <row r="9" spans="11:20" x14ac:dyDescent="0.3">
      <c r="K9" s="19" t="s">
        <v>0</v>
      </c>
      <c r="L9" s="19"/>
      <c r="M9" s="19"/>
      <c r="N9" s="19"/>
      <c r="O9" s="19"/>
      <c r="P9" s="19"/>
      <c r="Q9" s="19"/>
      <c r="R9" s="19"/>
      <c r="S9" s="19"/>
      <c r="T9" s="19"/>
    </row>
    <row r="10" spans="11:20" x14ac:dyDescent="0.3"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2" spans="11:20" x14ac:dyDescent="0.3">
      <c r="K12" s="19" t="s">
        <v>1</v>
      </c>
      <c r="L12" s="19"/>
      <c r="M12" s="19"/>
      <c r="N12" s="19"/>
      <c r="O12" s="19"/>
      <c r="P12" s="19"/>
      <c r="Q12" s="19"/>
      <c r="R12" s="19"/>
      <c r="S12" s="19"/>
      <c r="T12" s="19"/>
    </row>
    <row r="13" spans="11:20" x14ac:dyDescent="0.3"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5" spans="11:20" x14ac:dyDescent="0.3">
      <c r="K15" s="19" t="s">
        <v>2</v>
      </c>
      <c r="L15" s="19"/>
      <c r="M15" s="19"/>
      <c r="N15" s="19"/>
      <c r="O15" s="19"/>
      <c r="P15" s="19"/>
      <c r="Q15" s="19"/>
      <c r="R15" s="19"/>
      <c r="S15" s="19"/>
      <c r="T15" s="19"/>
    </row>
    <row r="16" spans="11:20" x14ac:dyDescent="0.3"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8" spans="11:20" ht="15" customHeight="1" x14ac:dyDescent="0.3">
      <c r="K18" s="19" t="s">
        <v>3</v>
      </c>
      <c r="L18" s="19"/>
      <c r="M18" s="19"/>
      <c r="N18" s="19"/>
      <c r="O18" s="19"/>
      <c r="P18" s="19"/>
      <c r="Q18" s="19"/>
      <c r="R18" s="19"/>
      <c r="S18" s="19"/>
      <c r="T18" s="19"/>
    </row>
    <row r="19" spans="11:20" x14ac:dyDescent="0.3"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1:20" ht="15" x14ac:dyDescent="0.25"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1:20" ht="15" x14ac:dyDescent="0.25">
      <c r="K21" s="2"/>
      <c r="L21" s="2"/>
      <c r="M21" s="2"/>
      <c r="N21" s="2"/>
      <c r="O21" s="2"/>
      <c r="P21" s="2"/>
      <c r="Q21" s="2"/>
      <c r="R21" s="2"/>
      <c r="S21" s="2"/>
      <c r="T21" s="2"/>
    </row>
  </sheetData>
  <mergeCells count="4">
    <mergeCell ref="K9:T10"/>
    <mergeCell ref="K12:T13"/>
    <mergeCell ref="K15:T16"/>
    <mergeCell ref="K18:T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BEA5-8C11-46CC-A996-56A25BB8BE4A}">
  <sheetPr codeName="Blad1"/>
  <dimension ref="A2:S334"/>
  <sheetViews>
    <sheetView workbookViewId="0">
      <selection activeCell="F16" sqref="F1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14.21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SUM($G$10:$G$331)+ SUM($G$334:$G$334)</f>
        <v>26</v>
      </c>
      <c r="H2">
        <f>SUM($H$10:$H$331)+ SUM($H$334:$H$334)</f>
        <v>25</v>
      </c>
      <c r="I2">
        <f>SUM($I$10:$I$331)+ SUM($I$334:$I$334)</f>
        <v>10</v>
      </c>
      <c r="J2">
        <f>SUM($J$10:$J$331)+ SUM($J$334:$J$334)</f>
        <v>1</v>
      </c>
      <c r="K2">
        <f>SUM($K$10:$K$331)+ SUM($K$334:$K$334)</f>
        <v>5</v>
      </c>
      <c r="L2">
        <f>SUM($L$10:$L$331)+ SUM($L$334:$L$334)</f>
        <v>5</v>
      </c>
      <c r="M2">
        <f>SUM($M$10:$M$331)+ SUM($M$334:$M$334)</f>
        <v>4</v>
      </c>
      <c r="N2">
        <f>SUM($N$10:$N$331)+ SUM($N$334:$N$334)</f>
        <v>0</v>
      </c>
      <c r="O2">
        <f>SUM($O$10:$O$331)+ SUM($O$334:$O$334)</f>
        <v>4</v>
      </c>
      <c r="P2">
        <f>SUM($P$10:$P$331)+ SUM($P$334:$P$334)</f>
        <v>0</v>
      </c>
      <c r="R2" t="s">
        <v>1239</v>
      </c>
    </row>
    <row r="3" spans="1:19" x14ac:dyDescent="0.3">
      <c r="F3" t="s">
        <v>21</v>
      </c>
      <c r="G3" s="3">
        <f>$G$8*G2</f>
        <v>28.6</v>
      </c>
      <c r="H3" s="3">
        <f>$H$8*H2</f>
        <v>50</v>
      </c>
      <c r="I3" s="3">
        <f>$I$8*I2</f>
        <v>10</v>
      </c>
      <c r="J3" s="3">
        <f>$J$8*J2</f>
        <v>4.75</v>
      </c>
      <c r="K3" s="3">
        <f>$K$8*K2</f>
        <v>10</v>
      </c>
      <c r="L3" s="3">
        <f>$L$8*L2</f>
        <v>15</v>
      </c>
      <c r="M3" s="3">
        <f>$M$8*M2</f>
        <v>16</v>
      </c>
      <c r="N3" s="3">
        <f>$N$8*N2</f>
        <v>0</v>
      </c>
      <c r="O3" s="3">
        <f>$O$8*O2</f>
        <v>2</v>
      </c>
      <c r="P3" s="3">
        <f>$P$8*P2</f>
        <v>0</v>
      </c>
      <c r="R3">
        <f>SUM($E$10:$E$331)</f>
        <v>31</v>
      </c>
    </row>
    <row r="4" spans="1:19" x14ac:dyDescent="0.3">
      <c r="F4" s="3">
        <f>SUM(G3:P3)</f>
        <v>136.35</v>
      </c>
    </row>
    <row r="5" spans="1:19" x14ac:dyDescent="0.3">
      <c r="F5" s="3"/>
    </row>
    <row r="6" spans="1:19" x14ac:dyDescent="0.3">
      <c r="F6" s="3"/>
    </row>
    <row r="7" spans="1:19" x14ac:dyDescent="0.3">
      <c r="R7" s="3"/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855</v>
      </c>
      <c r="B10" s="17" t="s">
        <v>856</v>
      </c>
      <c r="C10" s="17"/>
      <c r="D10" s="17" t="s">
        <v>790</v>
      </c>
      <c r="E10" s="17">
        <f xml:space="preserve"> IF($S$227,1,0)</f>
        <v>0</v>
      </c>
      <c r="F10" s="17" t="s">
        <v>857</v>
      </c>
      <c r="G10" s="17">
        <v>1</v>
      </c>
      <c r="H10" s="17">
        <v>0</v>
      </c>
      <c r="I10" s="17">
        <v>0</v>
      </c>
      <c r="J10" s="17">
        <v>0</v>
      </c>
      <c r="K10" s="17">
        <v>1</v>
      </c>
      <c r="L10" s="17">
        <v>1</v>
      </c>
      <c r="M10" s="17">
        <v>2</v>
      </c>
      <c r="N10" s="17">
        <v>0</v>
      </c>
      <c r="O10" s="17">
        <v>0</v>
      </c>
      <c r="P10" s="17">
        <v>0</v>
      </c>
      <c r="Q10" s="18">
        <v>14.1</v>
      </c>
      <c r="R10" s="18">
        <v>0</v>
      </c>
      <c r="S10" s="18">
        <v>14.1</v>
      </c>
    </row>
    <row r="11" spans="1:19" x14ac:dyDescent="0.3">
      <c r="A11" s="10" t="s">
        <v>649</v>
      </c>
      <c r="B11" s="11" t="s">
        <v>650</v>
      </c>
      <c r="C11" s="11"/>
      <c r="D11" s="11" t="s">
        <v>651</v>
      </c>
      <c r="E11" s="11">
        <f xml:space="preserve"> IF($S$173,1,0)</f>
        <v>0</v>
      </c>
      <c r="F11" s="11" t="s">
        <v>652</v>
      </c>
      <c r="G11" s="11">
        <v>0</v>
      </c>
      <c r="H11" s="11">
        <v>4</v>
      </c>
      <c r="I11" s="11">
        <v>0</v>
      </c>
      <c r="J11" s="11">
        <v>0</v>
      </c>
      <c r="K11" s="11">
        <v>0</v>
      </c>
      <c r="L11" s="11">
        <v>1</v>
      </c>
      <c r="M11" s="11">
        <v>0</v>
      </c>
      <c r="N11" s="11">
        <v>0</v>
      </c>
      <c r="O11" s="11">
        <v>0</v>
      </c>
      <c r="P11" s="11">
        <v>0</v>
      </c>
      <c r="Q11" s="12">
        <v>11</v>
      </c>
      <c r="R11" s="12">
        <v>0</v>
      </c>
      <c r="S11" s="12">
        <v>11</v>
      </c>
    </row>
    <row r="12" spans="1:19" x14ac:dyDescent="0.3">
      <c r="A12" s="13" t="s">
        <v>144</v>
      </c>
      <c r="B12" s="14" t="s">
        <v>145</v>
      </c>
      <c r="C12" s="14"/>
      <c r="D12" s="14" t="s">
        <v>146</v>
      </c>
      <c r="E12" s="14">
        <f xml:space="preserve"> IF($S$40,1,0)</f>
        <v>1</v>
      </c>
      <c r="F12" s="14" t="s">
        <v>147</v>
      </c>
      <c r="G12" s="14">
        <v>0</v>
      </c>
      <c r="H12" s="14">
        <v>3</v>
      </c>
      <c r="I12" s="14">
        <v>0</v>
      </c>
      <c r="J12" s="14">
        <v>0</v>
      </c>
      <c r="K12" s="14">
        <v>0</v>
      </c>
      <c r="L12" s="14">
        <v>0</v>
      </c>
      <c r="M12" s="14">
        <v>1</v>
      </c>
      <c r="N12" s="14">
        <v>0</v>
      </c>
      <c r="O12" s="14">
        <v>0</v>
      </c>
      <c r="P12" s="14">
        <v>0</v>
      </c>
      <c r="Q12" s="15">
        <v>10</v>
      </c>
      <c r="R12" s="15">
        <v>0</v>
      </c>
      <c r="S12" s="15">
        <v>10</v>
      </c>
    </row>
    <row r="13" spans="1:19" x14ac:dyDescent="0.3">
      <c r="A13" s="10" t="s">
        <v>180</v>
      </c>
      <c r="B13" s="11" t="s">
        <v>177</v>
      </c>
      <c r="C13" s="11"/>
      <c r="D13" s="11" t="s">
        <v>181</v>
      </c>
      <c r="E13" s="11">
        <f xml:space="preserve"> IF($S$49,1,0)</f>
        <v>0</v>
      </c>
      <c r="F13" s="11" t="s">
        <v>182</v>
      </c>
      <c r="G13" s="11">
        <v>0</v>
      </c>
      <c r="H13" s="11">
        <v>1</v>
      </c>
      <c r="I13" s="11">
        <v>0</v>
      </c>
      <c r="J13" s="11">
        <v>0</v>
      </c>
      <c r="K13" s="11">
        <v>0</v>
      </c>
      <c r="L13" s="11">
        <v>1</v>
      </c>
      <c r="M13" s="11">
        <v>1</v>
      </c>
      <c r="N13" s="11">
        <v>0</v>
      </c>
      <c r="O13" s="11">
        <v>0</v>
      </c>
      <c r="P13" s="11">
        <v>0</v>
      </c>
      <c r="Q13" s="12">
        <v>9</v>
      </c>
      <c r="R13" s="12">
        <v>0</v>
      </c>
      <c r="S13" s="12">
        <v>9</v>
      </c>
    </row>
    <row r="14" spans="1:19" x14ac:dyDescent="0.3">
      <c r="A14" s="13" t="s">
        <v>707</v>
      </c>
      <c r="B14" s="14" t="s">
        <v>708</v>
      </c>
      <c r="C14" s="14"/>
      <c r="D14" s="14" t="s">
        <v>222</v>
      </c>
      <c r="E14" s="14">
        <f xml:space="preserve"> IF($S$188,1,0)</f>
        <v>0</v>
      </c>
      <c r="F14" s="14" t="s">
        <v>709</v>
      </c>
      <c r="G14" s="14">
        <v>4</v>
      </c>
      <c r="H14" s="14">
        <v>0</v>
      </c>
      <c r="I14" s="14">
        <v>0</v>
      </c>
      <c r="J14" s="14">
        <v>0</v>
      </c>
      <c r="K14" s="14">
        <v>2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8.4</v>
      </c>
      <c r="R14" s="15">
        <v>0</v>
      </c>
      <c r="S14" s="15">
        <v>8.4</v>
      </c>
    </row>
    <row r="15" spans="1:19" x14ac:dyDescent="0.3">
      <c r="A15" s="10" t="s">
        <v>724</v>
      </c>
      <c r="B15" s="11" t="s">
        <v>721</v>
      </c>
      <c r="C15" s="11"/>
      <c r="D15" s="11" t="s">
        <v>725</v>
      </c>
      <c r="E15" s="11">
        <f xml:space="preserve"> IF($S$193,1,0)</f>
        <v>0</v>
      </c>
      <c r="F15" s="11" t="s">
        <v>726</v>
      </c>
      <c r="G15" s="11">
        <v>2</v>
      </c>
      <c r="H15" s="11">
        <v>3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8.1999999999999993</v>
      </c>
      <c r="R15" s="12">
        <v>0</v>
      </c>
      <c r="S15" s="12">
        <v>8.1999999999999993</v>
      </c>
    </row>
    <row r="16" spans="1:19" x14ac:dyDescent="0.3">
      <c r="A16" s="10" t="s">
        <v>1029</v>
      </c>
      <c r="B16" s="11" t="s">
        <v>1030</v>
      </c>
      <c r="C16" s="11" t="s">
        <v>34</v>
      </c>
      <c r="D16" s="11" t="s">
        <v>1031</v>
      </c>
      <c r="E16" s="11">
        <f xml:space="preserve"> IF($S$273,1,0)</f>
        <v>0</v>
      </c>
      <c r="F16" s="11" t="s">
        <v>1032</v>
      </c>
      <c r="G16" s="11">
        <v>0</v>
      </c>
      <c r="H16" s="11">
        <v>3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1</v>
      </c>
      <c r="P16" s="11">
        <v>0</v>
      </c>
      <c r="Q16" s="12">
        <v>6.5</v>
      </c>
      <c r="R16" s="12">
        <v>0</v>
      </c>
      <c r="S16" s="12">
        <v>6.5</v>
      </c>
    </row>
    <row r="17" spans="1:19" x14ac:dyDescent="0.3">
      <c r="A17" s="10" t="s">
        <v>785</v>
      </c>
      <c r="B17" s="11" t="s">
        <v>779</v>
      </c>
      <c r="C17" s="11"/>
      <c r="D17" s="11" t="s">
        <v>786</v>
      </c>
      <c r="E17" s="11">
        <f xml:space="preserve"> IF($S$209,1,0)</f>
        <v>0</v>
      </c>
      <c r="F17" s="11" t="s">
        <v>787</v>
      </c>
      <c r="G17" s="11">
        <v>2</v>
      </c>
      <c r="H17" s="11">
        <v>2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6.2</v>
      </c>
      <c r="R17" s="12">
        <v>0</v>
      </c>
      <c r="S17" s="12">
        <v>6.2</v>
      </c>
    </row>
    <row r="18" spans="1:19" x14ac:dyDescent="0.3">
      <c r="A18" s="13" t="s">
        <v>713</v>
      </c>
      <c r="B18" s="14" t="s">
        <v>708</v>
      </c>
      <c r="C18" s="14"/>
      <c r="D18" s="14" t="s">
        <v>714</v>
      </c>
      <c r="E18" s="14">
        <f xml:space="preserve"> IF($S$190,1,0)</f>
        <v>0</v>
      </c>
      <c r="F18" s="14" t="s">
        <v>715</v>
      </c>
      <c r="G18" s="14">
        <v>1</v>
      </c>
      <c r="H18" s="14">
        <v>1</v>
      </c>
      <c r="I18" s="14">
        <v>0</v>
      </c>
      <c r="J18" s="14">
        <v>0</v>
      </c>
      <c r="K18" s="14">
        <v>0</v>
      </c>
      <c r="L18" s="14">
        <v>1</v>
      </c>
      <c r="M18" s="14">
        <v>0</v>
      </c>
      <c r="N18" s="14">
        <v>0</v>
      </c>
      <c r="O18" s="14">
        <v>0</v>
      </c>
      <c r="P18" s="14">
        <v>0</v>
      </c>
      <c r="Q18" s="15">
        <v>6.1</v>
      </c>
      <c r="R18" s="15">
        <v>0</v>
      </c>
      <c r="S18" s="15">
        <v>6.1</v>
      </c>
    </row>
    <row r="19" spans="1:19" x14ac:dyDescent="0.3">
      <c r="A19" s="13" t="s">
        <v>176</v>
      </c>
      <c r="B19" s="14" t="s">
        <v>177</v>
      </c>
      <c r="C19" s="14"/>
      <c r="D19" s="14" t="s">
        <v>178</v>
      </c>
      <c r="E19" s="14">
        <f xml:space="preserve"> IF($S$48,1,0)</f>
        <v>0</v>
      </c>
      <c r="F19" s="14" t="s">
        <v>179</v>
      </c>
      <c r="G19" s="14">
        <v>4</v>
      </c>
      <c r="H19" s="14">
        <v>0</v>
      </c>
      <c r="I19" s="14">
        <v>1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5">
        <v>5.4</v>
      </c>
      <c r="R19" s="15">
        <v>0</v>
      </c>
      <c r="S19" s="15">
        <v>5.4</v>
      </c>
    </row>
    <row r="20" spans="1:19" x14ac:dyDescent="0.3">
      <c r="A20" s="10" t="s">
        <v>520</v>
      </c>
      <c r="B20" s="11" t="s">
        <v>517</v>
      </c>
      <c r="C20" s="11"/>
      <c r="D20" s="11" t="s">
        <v>521</v>
      </c>
      <c r="E20" s="11">
        <f xml:space="preserve"> IF($S$139,1,0)</f>
        <v>0</v>
      </c>
      <c r="F20" s="11" t="s">
        <v>522</v>
      </c>
      <c r="G20" s="11">
        <v>0</v>
      </c>
      <c r="H20" s="11">
        <v>0</v>
      </c>
      <c r="I20" s="11">
        <v>0</v>
      </c>
      <c r="J20" s="11">
        <v>1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4.75</v>
      </c>
      <c r="R20" s="12">
        <v>0</v>
      </c>
      <c r="S20" s="12">
        <v>4.75</v>
      </c>
    </row>
    <row r="21" spans="1:19" x14ac:dyDescent="0.3">
      <c r="A21" s="13" t="s">
        <v>44</v>
      </c>
      <c r="B21" s="14" t="s">
        <v>45</v>
      </c>
      <c r="C21" s="14"/>
      <c r="D21" s="14" t="s">
        <v>46</v>
      </c>
      <c r="E21" s="14">
        <f xml:space="preserve"> IF($S$14,1,0)</f>
        <v>1</v>
      </c>
      <c r="F21" s="14" t="s">
        <v>47</v>
      </c>
      <c r="G21" s="14">
        <v>0</v>
      </c>
      <c r="H21" s="14">
        <v>2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4</v>
      </c>
      <c r="R21" s="15">
        <v>0</v>
      </c>
      <c r="S21" s="15">
        <v>4</v>
      </c>
    </row>
    <row r="22" spans="1:19" x14ac:dyDescent="0.3">
      <c r="A22" s="10" t="s">
        <v>452</v>
      </c>
      <c r="B22" s="11" t="s">
        <v>453</v>
      </c>
      <c r="C22" s="11"/>
      <c r="D22" s="11" t="s">
        <v>454</v>
      </c>
      <c r="E22" s="11">
        <f xml:space="preserve"> IF($S$121,1,0)</f>
        <v>0</v>
      </c>
      <c r="F22" s="11" t="s">
        <v>455</v>
      </c>
      <c r="G22" s="11">
        <v>0</v>
      </c>
      <c r="H22" s="11">
        <v>2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4</v>
      </c>
      <c r="R22" s="12">
        <v>0</v>
      </c>
      <c r="S22" s="12">
        <v>4</v>
      </c>
    </row>
    <row r="23" spans="1:19" x14ac:dyDescent="0.3">
      <c r="A23" s="13" t="s">
        <v>538</v>
      </c>
      <c r="B23" s="14" t="s">
        <v>535</v>
      </c>
      <c r="C23" s="14"/>
      <c r="D23" s="14" t="s">
        <v>539</v>
      </c>
      <c r="E23" s="14">
        <f xml:space="preserve"> IF($S$144,1,0)</f>
        <v>0</v>
      </c>
      <c r="F23" s="14" t="s">
        <v>540</v>
      </c>
      <c r="G23" s="14">
        <v>0</v>
      </c>
      <c r="H23" s="14">
        <v>0</v>
      </c>
      <c r="I23" s="14">
        <v>0</v>
      </c>
      <c r="J23" s="14">
        <v>0</v>
      </c>
      <c r="K23" s="14">
        <v>2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4</v>
      </c>
      <c r="R23" s="15">
        <v>0</v>
      </c>
      <c r="S23" s="15">
        <v>4</v>
      </c>
    </row>
    <row r="24" spans="1:19" x14ac:dyDescent="0.3">
      <c r="A24" s="10" t="s">
        <v>657</v>
      </c>
      <c r="B24" s="11" t="s">
        <v>658</v>
      </c>
      <c r="C24" s="11"/>
      <c r="D24" s="11" t="s">
        <v>659</v>
      </c>
      <c r="E24" s="11">
        <f xml:space="preserve"> IF($S$175,1,0)</f>
        <v>0</v>
      </c>
      <c r="F24" s="11" t="s">
        <v>660</v>
      </c>
      <c r="G24" s="11">
        <v>0</v>
      </c>
      <c r="H24" s="11">
        <v>2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2">
        <v>4</v>
      </c>
      <c r="R24" s="12">
        <v>0</v>
      </c>
      <c r="S24" s="12">
        <v>4</v>
      </c>
    </row>
    <row r="25" spans="1:19" x14ac:dyDescent="0.3">
      <c r="A25" s="10" t="s">
        <v>580</v>
      </c>
      <c r="B25" s="11" t="s">
        <v>581</v>
      </c>
      <c r="C25" s="11"/>
      <c r="D25" s="11" t="s">
        <v>582</v>
      </c>
      <c r="E25" s="11">
        <f xml:space="preserve"> IF($S$155,1,0)</f>
        <v>0</v>
      </c>
      <c r="F25" s="11" t="s">
        <v>583</v>
      </c>
      <c r="G25" s="11">
        <v>3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3.3000000000000003</v>
      </c>
      <c r="R25" s="12">
        <v>0</v>
      </c>
      <c r="S25" s="12">
        <v>3.3000000000000003</v>
      </c>
    </row>
    <row r="26" spans="1:19" x14ac:dyDescent="0.3">
      <c r="A26" s="13" t="s">
        <v>942</v>
      </c>
      <c r="B26" s="14" t="s">
        <v>943</v>
      </c>
      <c r="C26" s="14"/>
      <c r="D26" s="14" t="s">
        <v>944</v>
      </c>
      <c r="E26" s="14">
        <f xml:space="preserve"> IF($S$250,1,0)</f>
        <v>0</v>
      </c>
      <c r="F26" s="14" t="s">
        <v>945</v>
      </c>
      <c r="G26" s="14">
        <v>1</v>
      </c>
      <c r="H26" s="14">
        <v>1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3.1</v>
      </c>
      <c r="R26" s="15">
        <v>0</v>
      </c>
      <c r="S26" s="15">
        <v>3.1</v>
      </c>
    </row>
    <row r="27" spans="1:19" x14ac:dyDescent="0.3">
      <c r="A27" s="10" t="s">
        <v>361</v>
      </c>
      <c r="B27" s="11" t="s">
        <v>358</v>
      </c>
      <c r="C27" s="11" t="s">
        <v>34</v>
      </c>
      <c r="D27" s="11" t="s">
        <v>362</v>
      </c>
      <c r="E27" s="11">
        <f xml:space="preserve"> IF($S$97,1,0)</f>
        <v>0</v>
      </c>
      <c r="F27" s="11" t="s">
        <v>363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1</v>
      </c>
      <c r="M27" s="11">
        <v>0</v>
      </c>
      <c r="N27" s="11">
        <v>0</v>
      </c>
      <c r="O27" s="11">
        <v>0</v>
      </c>
      <c r="P27" s="11">
        <v>0</v>
      </c>
      <c r="Q27" s="12">
        <v>3</v>
      </c>
      <c r="R27" s="12">
        <v>0</v>
      </c>
      <c r="S27" s="12">
        <v>3</v>
      </c>
    </row>
    <row r="28" spans="1:19" x14ac:dyDescent="0.3">
      <c r="A28" s="10" t="s">
        <v>116</v>
      </c>
      <c r="B28" s="11" t="s">
        <v>117</v>
      </c>
      <c r="C28" s="11" t="s">
        <v>34</v>
      </c>
      <c r="D28" s="11" t="s">
        <v>118</v>
      </c>
      <c r="E28" s="11">
        <f xml:space="preserve"> IF($S$33,1,0)</f>
        <v>1</v>
      </c>
      <c r="F28" s="11" t="s">
        <v>119</v>
      </c>
      <c r="G28" s="11">
        <v>2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2.2000000000000002</v>
      </c>
      <c r="R28" s="12">
        <v>0</v>
      </c>
      <c r="S28" s="12">
        <v>2.2000000000000002</v>
      </c>
    </row>
    <row r="29" spans="1:19" x14ac:dyDescent="0.3">
      <c r="A29" s="13" t="s">
        <v>152</v>
      </c>
      <c r="B29" s="14" t="s">
        <v>153</v>
      </c>
      <c r="C29" s="14"/>
      <c r="D29" s="14" t="s">
        <v>154</v>
      </c>
      <c r="E29" s="14">
        <f xml:space="preserve"> IF($S$42,1,0)</f>
        <v>0</v>
      </c>
      <c r="F29" s="14" t="s">
        <v>155</v>
      </c>
      <c r="G29" s="14">
        <v>2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5">
        <v>2.2000000000000002</v>
      </c>
      <c r="R29" s="15">
        <v>0</v>
      </c>
      <c r="S29" s="15">
        <v>2.2000000000000002</v>
      </c>
    </row>
    <row r="30" spans="1:19" x14ac:dyDescent="0.3">
      <c r="A30" s="10" t="s">
        <v>337</v>
      </c>
      <c r="B30" s="11" t="s">
        <v>334</v>
      </c>
      <c r="C30" s="11"/>
      <c r="D30" s="11" t="s">
        <v>338</v>
      </c>
      <c r="E30" s="11">
        <f xml:space="preserve"> IF($S$91,1,0)</f>
        <v>0</v>
      </c>
      <c r="F30" s="11" t="s">
        <v>339</v>
      </c>
      <c r="G30" s="11">
        <v>2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2.2000000000000002</v>
      </c>
      <c r="R30" s="12">
        <v>0</v>
      </c>
      <c r="S30" s="12">
        <v>2.2000000000000002</v>
      </c>
    </row>
    <row r="31" spans="1:19" x14ac:dyDescent="0.3">
      <c r="A31" s="13" t="s">
        <v>463</v>
      </c>
      <c r="B31" s="14" t="s">
        <v>457</v>
      </c>
      <c r="C31" s="14" t="s">
        <v>34</v>
      </c>
      <c r="D31" s="14" t="s">
        <v>464</v>
      </c>
      <c r="E31" s="14">
        <f xml:space="preserve"> IF($S$124,1,0)</f>
        <v>0</v>
      </c>
      <c r="F31" s="14" t="s">
        <v>465</v>
      </c>
      <c r="G31" s="14">
        <v>2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5">
        <v>2.2000000000000002</v>
      </c>
      <c r="R31" s="15">
        <v>0</v>
      </c>
      <c r="S31" s="15">
        <v>2.2000000000000002</v>
      </c>
    </row>
    <row r="32" spans="1:19" x14ac:dyDescent="0.3">
      <c r="A32" s="13" t="s">
        <v>120</v>
      </c>
      <c r="B32" s="14" t="s">
        <v>121</v>
      </c>
      <c r="C32" s="14"/>
      <c r="D32" s="14" t="s">
        <v>122</v>
      </c>
      <c r="E32" s="14">
        <f xml:space="preserve"> IF($S$34,1,0)</f>
        <v>1</v>
      </c>
      <c r="F32" s="14" t="s">
        <v>123</v>
      </c>
      <c r="G32" s="14">
        <v>0</v>
      </c>
      <c r="H32" s="14">
        <v>0</v>
      </c>
      <c r="I32" s="14">
        <v>2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2</v>
      </c>
      <c r="R32" s="15">
        <v>0</v>
      </c>
      <c r="S32" s="15">
        <v>2</v>
      </c>
    </row>
    <row r="33" spans="1:19" x14ac:dyDescent="0.3">
      <c r="A33" s="10" t="s">
        <v>696</v>
      </c>
      <c r="B33" s="11" t="s">
        <v>697</v>
      </c>
      <c r="C33" s="11"/>
      <c r="D33" s="11" t="s">
        <v>698</v>
      </c>
      <c r="E33" s="11">
        <f xml:space="preserve"> IF($S$185,1,0)</f>
        <v>0</v>
      </c>
      <c r="F33" s="11" t="s">
        <v>699</v>
      </c>
      <c r="G33" s="11">
        <v>0</v>
      </c>
      <c r="H33" s="11">
        <v>1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2</v>
      </c>
      <c r="R33" s="12">
        <v>0</v>
      </c>
      <c r="S33" s="12">
        <v>2</v>
      </c>
    </row>
    <row r="34" spans="1:19" x14ac:dyDescent="0.3">
      <c r="A34" s="10" t="s">
        <v>1036</v>
      </c>
      <c r="B34" s="11" t="s">
        <v>1037</v>
      </c>
      <c r="C34" s="11"/>
      <c r="D34" s="11" t="s">
        <v>1038</v>
      </c>
      <c r="E34" s="11">
        <f xml:space="preserve"> IF($S$275,1,0)</f>
        <v>0</v>
      </c>
      <c r="F34" s="11" t="s">
        <v>1039</v>
      </c>
      <c r="G34" s="11">
        <v>0</v>
      </c>
      <c r="H34" s="11">
        <v>0</v>
      </c>
      <c r="I34" s="11">
        <v>2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2">
        <v>2</v>
      </c>
      <c r="R34" s="12">
        <v>0</v>
      </c>
      <c r="S34" s="12">
        <v>2</v>
      </c>
    </row>
    <row r="35" spans="1:19" x14ac:dyDescent="0.3">
      <c r="A35" s="10" t="s">
        <v>1155</v>
      </c>
      <c r="B35" s="11" t="s">
        <v>1156</v>
      </c>
      <c r="C35" s="11"/>
      <c r="D35" s="11" t="s">
        <v>1157</v>
      </c>
      <c r="E35" s="11">
        <f xml:space="preserve"> IF($S$309,1,0)</f>
        <v>0</v>
      </c>
      <c r="F35" s="11" t="s">
        <v>1158</v>
      </c>
      <c r="G35" s="11">
        <v>0</v>
      </c>
      <c r="H35" s="11">
        <v>0</v>
      </c>
      <c r="I35" s="11">
        <v>2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2</v>
      </c>
      <c r="R35" s="12">
        <v>0</v>
      </c>
      <c r="S35" s="12">
        <v>2</v>
      </c>
    </row>
    <row r="36" spans="1:19" x14ac:dyDescent="0.3">
      <c r="A36" s="13" t="s">
        <v>364</v>
      </c>
      <c r="B36" s="14" t="s">
        <v>358</v>
      </c>
      <c r="C36" s="14"/>
      <c r="D36" s="14" t="s">
        <v>365</v>
      </c>
      <c r="E36" s="14">
        <f xml:space="preserve"> IF($S$98,1,0)</f>
        <v>0</v>
      </c>
      <c r="F36" s="14" t="s">
        <v>366</v>
      </c>
      <c r="G36" s="14">
        <v>0</v>
      </c>
      <c r="H36" s="14">
        <v>0</v>
      </c>
      <c r="I36" s="14">
        <v>1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1</v>
      </c>
      <c r="P36" s="14">
        <v>0</v>
      </c>
      <c r="Q36" s="15">
        <v>1.5</v>
      </c>
      <c r="R36" s="15">
        <v>0</v>
      </c>
      <c r="S36" s="15">
        <v>1.5</v>
      </c>
    </row>
    <row r="37" spans="1:19" x14ac:dyDescent="0.3">
      <c r="A37" s="10" t="s">
        <v>1192</v>
      </c>
      <c r="B37" s="11" t="s">
        <v>1193</v>
      </c>
      <c r="C37" s="11"/>
      <c r="D37" s="11" t="s">
        <v>1194</v>
      </c>
      <c r="E37" s="11">
        <f xml:space="preserve"> IF($S$319,1,0)</f>
        <v>0</v>
      </c>
      <c r="F37" s="11" t="s">
        <v>1195</v>
      </c>
      <c r="G37" s="11">
        <v>0</v>
      </c>
      <c r="H37" s="11">
        <v>0</v>
      </c>
      <c r="I37" s="11">
        <v>1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1</v>
      </c>
      <c r="R37" s="12">
        <v>0</v>
      </c>
      <c r="S37" s="12">
        <v>1</v>
      </c>
    </row>
    <row r="38" spans="1:19" x14ac:dyDescent="0.3">
      <c r="A38" s="10" t="s">
        <v>1214</v>
      </c>
      <c r="B38" s="11" t="s">
        <v>1215</v>
      </c>
      <c r="C38" s="11"/>
      <c r="D38" s="11" t="s">
        <v>1216</v>
      </c>
      <c r="E38" s="11">
        <f xml:space="preserve"> IF($S$325,1,0)</f>
        <v>0</v>
      </c>
      <c r="F38" s="11" t="s">
        <v>1217</v>
      </c>
      <c r="G38" s="11">
        <v>0</v>
      </c>
      <c r="H38" s="11">
        <v>0</v>
      </c>
      <c r="I38" s="11">
        <v>1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1</v>
      </c>
      <c r="R38" s="12">
        <v>0</v>
      </c>
      <c r="S38" s="12">
        <v>1</v>
      </c>
    </row>
    <row r="39" spans="1:19" x14ac:dyDescent="0.3">
      <c r="A39" s="13" t="s">
        <v>401</v>
      </c>
      <c r="B39" s="14" t="s">
        <v>402</v>
      </c>
      <c r="C39" s="14"/>
      <c r="D39" s="14" t="s">
        <v>403</v>
      </c>
      <c r="E39" s="14">
        <f xml:space="preserve"> IF($S$108,1,0)</f>
        <v>0</v>
      </c>
      <c r="F39" s="14" t="s">
        <v>404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1</v>
      </c>
      <c r="P39" s="14">
        <v>0</v>
      </c>
      <c r="Q39" s="15">
        <v>0.5</v>
      </c>
      <c r="R39" s="15">
        <v>0</v>
      </c>
      <c r="S39" s="15">
        <v>0.5</v>
      </c>
    </row>
    <row r="40" spans="1:19" x14ac:dyDescent="0.3">
      <c r="A40" s="10" t="s">
        <v>938</v>
      </c>
      <c r="B40" s="11" t="s">
        <v>939</v>
      </c>
      <c r="C40" s="11"/>
      <c r="D40" s="11" t="s">
        <v>940</v>
      </c>
      <c r="E40" s="11">
        <f xml:space="preserve"> IF($S$249,1,0)</f>
        <v>0</v>
      </c>
      <c r="F40" s="11" t="s">
        <v>941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1</v>
      </c>
      <c r="P40" s="11">
        <v>0</v>
      </c>
      <c r="Q40" s="12">
        <v>0.5</v>
      </c>
      <c r="R40" s="12">
        <v>0</v>
      </c>
      <c r="S40" s="12">
        <v>0.5</v>
      </c>
    </row>
    <row r="41" spans="1:19" x14ac:dyDescent="0.3">
      <c r="A41" s="13" t="s">
        <v>28</v>
      </c>
      <c r="B41" s="14" t="s">
        <v>29</v>
      </c>
      <c r="C41" s="14"/>
      <c r="D41" s="14" t="s">
        <v>30</v>
      </c>
      <c r="E41" s="14">
        <f xml:space="preserve"> IF($S$10,1,0)</f>
        <v>1</v>
      </c>
      <c r="F41" s="14" t="s">
        <v>31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5">
        <v>0</v>
      </c>
      <c r="R41" s="15">
        <v>0</v>
      </c>
      <c r="S41" s="15">
        <v>0</v>
      </c>
    </row>
    <row r="42" spans="1:19" x14ac:dyDescent="0.3">
      <c r="A42" s="10" t="s">
        <v>32</v>
      </c>
      <c r="B42" s="11" t="s">
        <v>33</v>
      </c>
      <c r="C42" s="11" t="s">
        <v>34</v>
      </c>
      <c r="D42" s="11" t="s">
        <v>35</v>
      </c>
      <c r="E42" s="11">
        <f xml:space="preserve"> IF($S$11,1,0)</f>
        <v>1</v>
      </c>
      <c r="F42" s="11" t="s">
        <v>36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3" t="s">
        <v>37</v>
      </c>
      <c r="B43" s="14" t="s">
        <v>38</v>
      </c>
      <c r="C43" s="14"/>
      <c r="D43" s="14" t="s">
        <v>39</v>
      </c>
      <c r="E43" s="14">
        <f xml:space="preserve"> IF($S$12,1,0)</f>
        <v>1</v>
      </c>
      <c r="F43" s="14" t="s">
        <v>40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5">
        <v>0</v>
      </c>
      <c r="R43" s="15">
        <v>0</v>
      </c>
      <c r="S43" s="15">
        <v>0</v>
      </c>
    </row>
    <row r="44" spans="1:19" x14ac:dyDescent="0.3">
      <c r="A44" s="10" t="s">
        <v>41</v>
      </c>
      <c r="B44" s="11" t="s">
        <v>38</v>
      </c>
      <c r="C44" s="11"/>
      <c r="D44" s="11" t="s">
        <v>42</v>
      </c>
      <c r="E44" s="11">
        <f xml:space="preserve"> IF($S$13,1,0)</f>
        <v>1</v>
      </c>
      <c r="F44" s="11" t="s">
        <v>43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2">
        <v>0</v>
      </c>
      <c r="R44" s="12">
        <v>0</v>
      </c>
      <c r="S44" s="12">
        <v>0</v>
      </c>
    </row>
    <row r="45" spans="1:19" x14ac:dyDescent="0.3">
      <c r="A45" s="10" t="s">
        <v>48</v>
      </c>
      <c r="B45" s="11" t="s">
        <v>45</v>
      </c>
      <c r="C45" s="11"/>
      <c r="D45" s="11" t="s">
        <v>49</v>
      </c>
      <c r="E45" s="11">
        <f xml:space="preserve"> IF($S$15,1,0)</f>
        <v>1</v>
      </c>
      <c r="F45" s="11" t="s">
        <v>50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</row>
    <row r="46" spans="1:19" x14ac:dyDescent="0.3">
      <c r="A46" s="13" t="s">
        <v>51</v>
      </c>
      <c r="B46" s="14" t="s">
        <v>52</v>
      </c>
      <c r="C46" s="14"/>
      <c r="D46" s="14" t="s">
        <v>53</v>
      </c>
      <c r="E46" s="14">
        <f xml:space="preserve"> IF($S$16,1,0)</f>
        <v>1</v>
      </c>
      <c r="F46" s="14" t="s">
        <v>54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v>0</v>
      </c>
    </row>
    <row r="47" spans="1:19" x14ac:dyDescent="0.3">
      <c r="A47" s="10" t="s">
        <v>55</v>
      </c>
      <c r="B47" s="11" t="s">
        <v>56</v>
      </c>
      <c r="C47" s="11"/>
      <c r="D47" s="11" t="s">
        <v>57</v>
      </c>
      <c r="E47" s="11">
        <f xml:space="preserve"> IF($S$17,1,0)</f>
        <v>1</v>
      </c>
      <c r="F47" s="11" t="s">
        <v>58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3" t="s">
        <v>59</v>
      </c>
      <c r="B48" s="14" t="s">
        <v>60</v>
      </c>
      <c r="C48" s="14"/>
      <c r="D48" s="14" t="s">
        <v>61</v>
      </c>
      <c r="E48" s="14">
        <f xml:space="preserve"> IF($S$18,1,0)</f>
        <v>1</v>
      </c>
      <c r="F48" s="14" t="s">
        <v>62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v>0</v>
      </c>
    </row>
    <row r="49" spans="1:19" x14ac:dyDescent="0.3">
      <c r="A49" s="10" t="s">
        <v>63</v>
      </c>
      <c r="B49" s="11" t="s">
        <v>64</v>
      </c>
      <c r="C49" s="11" t="s">
        <v>65</v>
      </c>
      <c r="D49" s="11" t="s">
        <v>66</v>
      </c>
      <c r="E49" s="11">
        <f xml:space="preserve"> IF($S$19,1,0)</f>
        <v>1</v>
      </c>
      <c r="F49" s="11" t="s">
        <v>67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v>0</v>
      </c>
    </row>
    <row r="50" spans="1:19" x14ac:dyDescent="0.3">
      <c r="A50" s="13" t="s">
        <v>68</v>
      </c>
      <c r="B50" s="14" t="s">
        <v>69</v>
      </c>
      <c r="C50" s="14"/>
      <c r="D50" s="14" t="s">
        <v>70</v>
      </c>
      <c r="E50" s="14">
        <f xml:space="preserve"> IF($S$20,1,0)</f>
        <v>1</v>
      </c>
      <c r="F50" s="14" t="s">
        <v>71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v>0</v>
      </c>
    </row>
    <row r="51" spans="1:19" x14ac:dyDescent="0.3">
      <c r="A51" s="10" t="s">
        <v>72</v>
      </c>
      <c r="B51" s="11" t="s">
        <v>73</v>
      </c>
      <c r="C51" s="11"/>
      <c r="D51" s="11" t="s">
        <v>74</v>
      </c>
      <c r="E51" s="11">
        <f xml:space="preserve"> IF($S$21,1,0)</f>
        <v>1</v>
      </c>
      <c r="F51" s="11" t="s">
        <v>75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3" t="s">
        <v>76</v>
      </c>
      <c r="B52" s="14" t="s">
        <v>77</v>
      </c>
      <c r="C52" s="14"/>
      <c r="D52" s="14" t="s">
        <v>78</v>
      </c>
      <c r="E52" s="14">
        <f xml:space="preserve"> IF($S$22,1,0)</f>
        <v>1</v>
      </c>
      <c r="F52" s="14" t="s">
        <v>79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v>0</v>
      </c>
    </row>
    <row r="53" spans="1:19" x14ac:dyDescent="0.3">
      <c r="A53" s="10" t="s">
        <v>80</v>
      </c>
      <c r="B53" s="11" t="s">
        <v>77</v>
      </c>
      <c r="C53" s="11" t="s">
        <v>65</v>
      </c>
      <c r="D53" s="11" t="s">
        <v>81</v>
      </c>
      <c r="E53" s="11">
        <f xml:space="preserve"> IF($S$23,1,0)</f>
        <v>1</v>
      </c>
      <c r="F53" s="11" t="s">
        <v>82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83</v>
      </c>
      <c r="B54" s="14" t="s">
        <v>84</v>
      </c>
      <c r="C54" s="14"/>
      <c r="D54" s="14" t="s">
        <v>81</v>
      </c>
      <c r="E54" s="14">
        <f xml:space="preserve"> IF($S$24,1,0)</f>
        <v>1</v>
      </c>
      <c r="F54" s="14" t="s">
        <v>85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86</v>
      </c>
      <c r="B55" s="11" t="s">
        <v>87</v>
      </c>
      <c r="C55" s="11"/>
      <c r="D55" s="11" t="s">
        <v>88</v>
      </c>
      <c r="E55" s="11">
        <f xml:space="preserve"> IF($S$25,1,0)</f>
        <v>1</v>
      </c>
      <c r="F55" s="11" t="s">
        <v>89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90</v>
      </c>
      <c r="B56" s="14" t="s">
        <v>91</v>
      </c>
      <c r="C56" s="14"/>
      <c r="D56" s="14" t="s">
        <v>92</v>
      </c>
      <c r="E56" s="14">
        <f xml:space="preserve"> IF($S$26,1,0)</f>
        <v>1</v>
      </c>
      <c r="F56" s="14" t="s">
        <v>93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94</v>
      </c>
      <c r="B57" s="11" t="s">
        <v>95</v>
      </c>
      <c r="C57" s="11"/>
      <c r="D57" s="11" t="s">
        <v>96</v>
      </c>
      <c r="E57" s="11">
        <f xml:space="preserve"> IF($S$27,1,0)</f>
        <v>1</v>
      </c>
      <c r="F57" s="11" t="s">
        <v>97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3" t="s">
        <v>98</v>
      </c>
      <c r="B58" s="14" t="s">
        <v>99</v>
      </c>
      <c r="C58" s="14"/>
      <c r="D58" s="14" t="s">
        <v>100</v>
      </c>
      <c r="E58" s="14">
        <f xml:space="preserve"> IF($S$28,1,0)</f>
        <v>1</v>
      </c>
      <c r="F58" s="14" t="s">
        <v>101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v>0</v>
      </c>
    </row>
    <row r="59" spans="1:19" x14ac:dyDescent="0.3">
      <c r="A59" s="10" t="s">
        <v>102</v>
      </c>
      <c r="B59" s="11" t="s">
        <v>103</v>
      </c>
      <c r="C59" s="11"/>
      <c r="D59" s="11" t="s">
        <v>104</v>
      </c>
      <c r="E59" s="11">
        <f xml:space="preserve"> IF($S$29,1,0)</f>
        <v>1</v>
      </c>
      <c r="F59" s="11" t="s">
        <v>105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v>0</v>
      </c>
    </row>
    <row r="60" spans="1:19" x14ac:dyDescent="0.3">
      <c r="A60" s="13" t="s">
        <v>106</v>
      </c>
      <c r="B60" s="14" t="s">
        <v>103</v>
      </c>
      <c r="C60" s="14"/>
      <c r="D60" s="14" t="s">
        <v>107</v>
      </c>
      <c r="E60" s="14">
        <f xml:space="preserve"> IF($S$30,1,0)</f>
        <v>1</v>
      </c>
      <c r="F60" s="14" t="s">
        <v>108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0" t="s">
        <v>109</v>
      </c>
      <c r="B61" s="11" t="s">
        <v>103</v>
      </c>
      <c r="C61" s="11"/>
      <c r="D61" s="11" t="s">
        <v>110</v>
      </c>
      <c r="E61" s="11">
        <f xml:space="preserve"> IF($S$31,1,0)</f>
        <v>1</v>
      </c>
      <c r="F61" s="11" t="s">
        <v>111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v>0</v>
      </c>
    </row>
    <row r="62" spans="1:19" x14ac:dyDescent="0.3">
      <c r="A62" s="13" t="s">
        <v>112</v>
      </c>
      <c r="B62" s="14" t="s">
        <v>113</v>
      </c>
      <c r="C62" s="14"/>
      <c r="D62" s="14" t="s">
        <v>114</v>
      </c>
      <c r="E62" s="14">
        <f xml:space="preserve"> IF($S$32,1,0)</f>
        <v>1</v>
      </c>
      <c r="F62" s="14" t="s">
        <v>115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v>0</v>
      </c>
    </row>
    <row r="63" spans="1:19" x14ac:dyDescent="0.3">
      <c r="A63" s="10" t="s">
        <v>124</v>
      </c>
      <c r="B63" s="11" t="s">
        <v>125</v>
      </c>
      <c r="C63" s="11"/>
      <c r="D63" s="11" t="s">
        <v>126</v>
      </c>
      <c r="E63" s="11">
        <f xml:space="preserve"> IF($S$35,1,0)</f>
        <v>1</v>
      </c>
      <c r="F63" s="11" t="s">
        <v>127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v>0</v>
      </c>
    </row>
    <row r="64" spans="1:19" x14ac:dyDescent="0.3">
      <c r="A64" s="13" t="s">
        <v>128</v>
      </c>
      <c r="B64" s="14" t="s">
        <v>129</v>
      </c>
      <c r="C64" s="14" t="s">
        <v>34</v>
      </c>
      <c r="D64" s="14" t="s">
        <v>130</v>
      </c>
      <c r="E64" s="14">
        <f xml:space="preserve"> IF($S$36,1,0)</f>
        <v>1</v>
      </c>
      <c r="F64" s="14" t="s">
        <v>131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v>0</v>
      </c>
    </row>
    <row r="65" spans="1:19" x14ac:dyDescent="0.3">
      <c r="A65" s="10" t="s">
        <v>132</v>
      </c>
      <c r="B65" s="11" t="s">
        <v>133</v>
      </c>
      <c r="C65" s="11"/>
      <c r="D65" s="11" t="s">
        <v>134</v>
      </c>
      <c r="E65" s="11">
        <f xml:space="preserve"> IF($S$37,1,0)</f>
        <v>1</v>
      </c>
      <c r="F65" s="11" t="s">
        <v>135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v>0</v>
      </c>
    </row>
    <row r="66" spans="1:19" x14ac:dyDescent="0.3">
      <c r="A66" s="13" t="s">
        <v>136</v>
      </c>
      <c r="B66" s="14" t="s">
        <v>137</v>
      </c>
      <c r="C66" s="14"/>
      <c r="D66" s="14" t="s">
        <v>138</v>
      </c>
      <c r="E66" s="14">
        <f xml:space="preserve"> IF($S$38,1,0)</f>
        <v>1</v>
      </c>
      <c r="F66" s="14" t="s">
        <v>139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v>0</v>
      </c>
    </row>
    <row r="67" spans="1:19" x14ac:dyDescent="0.3">
      <c r="A67" s="10" t="s">
        <v>140</v>
      </c>
      <c r="B67" s="11" t="s">
        <v>141</v>
      </c>
      <c r="C67" s="11"/>
      <c r="D67" s="11" t="s">
        <v>142</v>
      </c>
      <c r="E67" s="11">
        <f xml:space="preserve"> IF($S$39,1,0)</f>
        <v>1</v>
      </c>
      <c r="F67" s="11" t="s">
        <v>143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v>0</v>
      </c>
    </row>
    <row r="68" spans="1:19" x14ac:dyDescent="0.3">
      <c r="A68" s="10" t="s">
        <v>148</v>
      </c>
      <c r="B68" s="11" t="s">
        <v>149</v>
      </c>
      <c r="C68" s="11"/>
      <c r="D68" s="11" t="s">
        <v>150</v>
      </c>
      <c r="E68" s="11">
        <f xml:space="preserve"> IF($S$41,1,0)</f>
        <v>0</v>
      </c>
      <c r="F68" s="11" t="s">
        <v>151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2">
        <v>0</v>
      </c>
      <c r="R68" s="12">
        <v>0</v>
      </c>
      <c r="S68" s="12">
        <v>0</v>
      </c>
    </row>
    <row r="69" spans="1:19" x14ac:dyDescent="0.3">
      <c r="A69" s="10" t="s">
        <v>156</v>
      </c>
      <c r="B69" s="11" t="s">
        <v>157</v>
      </c>
      <c r="C69" s="11" t="s">
        <v>65</v>
      </c>
      <c r="D69" s="11" t="s">
        <v>158</v>
      </c>
      <c r="E69" s="11">
        <f xml:space="preserve"> IF($S$43,1,0)</f>
        <v>0</v>
      </c>
      <c r="F69" s="11" t="s">
        <v>159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v>0</v>
      </c>
    </row>
    <row r="70" spans="1:19" x14ac:dyDescent="0.3">
      <c r="A70" s="13" t="s">
        <v>160</v>
      </c>
      <c r="B70" s="14" t="s">
        <v>161</v>
      </c>
      <c r="C70" s="14"/>
      <c r="D70" s="14" t="s">
        <v>162</v>
      </c>
      <c r="E70" s="14">
        <f xml:space="preserve"> IF($S$44,1,0)</f>
        <v>0</v>
      </c>
      <c r="F70" s="14" t="s">
        <v>163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0" t="s">
        <v>164</v>
      </c>
      <c r="B71" s="11" t="s">
        <v>165</v>
      </c>
      <c r="C71" s="11"/>
      <c r="D71" s="11" t="s">
        <v>166</v>
      </c>
      <c r="E71" s="11">
        <f xml:space="preserve"> IF($S$45,1,0)</f>
        <v>0</v>
      </c>
      <c r="F71" s="11" t="s">
        <v>167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v>0</v>
      </c>
    </row>
    <row r="72" spans="1:19" x14ac:dyDescent="0.3">
      <c r="A72" s="13" t="s">
        <v>168</v>
      </c>
      <c r="B72" s="14" t="s">
        <v>169</v>
      </c>
      <c r="C72" s="14" t="s">
        <v>65</v>
      </c>
      <c r="D72" s="14" t="s">
        <v>170</v>
      </c>
      <c r="E72" s="14">
        <f xml:space="preserve"> IF($S$46,1,0)</f>
        <v>0</v>
      </c>
      <c r="F72" s="14" t="s">
        <v>171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v>0</v>
      </c>
    </row>
    <row r="73" spans="1:19" x14ac:dyDescent="0.3">
      <c r="A73" s="10" t="s">
        <v>172</v>
      </c>
      <c r="B73" s="11" t="s">
        <v>173</v>
      </c>
      <c r="C73" s="11"/>
      <c r="D73" s="11" t="s">
        <v>174</v>
      </c>
      <c r="E73" s="11">
        <f xml:space="preserve"> IF($S$47,1,0)</f>
        <v>0</v>
      </c>
      <c r="F73" s="11" t="s">
        <v>175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183</v>
      </c>
      <c r="B74" s="14" t="s">
        <v>177</v>
      </c>
      <c r="C74" s="14"/>
      <c r="D74" s="14" t="s">
        <v>184</v>
      </c>
      <c r="E74" s="14">
        <f xml:space="preserve"> IF($S$50,1,0)</f>
        <v>0</v>
      </c>
      <c r="F74" s="14" t="s">
        <v>185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186</v>
      </c>
      <c r="B75" s="11" t="s">
        <v>177</v>
      </c>
      <c r="C75" s="11"/>
      <c r="D75" s="11" t="s">
        <v>187</v>
      </c>
      <c r="E75" s="11">
        <f xml:space="preserve"> IF($S$51,1,0)</f>
        <v>0</v>
      </c>
      <c r="F75" s="11" t="s">
        <v>188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3" t="s">
        <v>189</v>
      </c>
      <c r="B76" s="14" t="s">
        <v>177</v>
      </c>
      <c r="C76" s="14"/>
      <c r="D76" s="14" t="s">
        <v>190</v>
      </c>
      <c r="E76" s="14">
        <f xml:space="preserve"> IF($S$52,1,0)</f>
        <v>0</v>
      </c>
      <c r="F76" s="14" t="s">
        <v>191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v>0</v>
      </c>
    </row>
    <row r="77" spans="1:19" x14ac:dyDescent="0.3">
      <c r="A77" s="10" t="s">
        <v>192</v>
      </c>
      <c r="B77" s="11" t="s">
        <v>177</v>
      </c>
      <c r="C77" s="11"/>
      <c r="D77" s="11" t="s">
        <v>193</v>
      </c>
      <c r="E77" s="11">
        <f xml:space="preserve"> IF($S$53,1,0)</f>
        <v>0</v>
      </c>
      <c r="F77" s="11" t="s">
        <v>194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195</v>
      </c>
      <c r="B78" s="14" t="s">
        <v>177</v>
      </c>
      <c r="C78" s="14"/>
      <c r="D78" s="14" t="s">
        <v>196</v>
      </c>
      <c r="E78" s="14">
        <f xml:space="preserve"> IF($S$54,1,0)</f>
        <v>0</v>
      </c>
      <c r="F78" s="14" t="s">
        <v>197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0" t="s">
        <v>198</v>
      </c>
      <c r="B79" s="11" t="s">
        <v>177</v>
      </c>
      <c r="C79" s="11" t="s">
        <v>65</v>
      </c>
      <c r="D79" s="11" t="s">
        <v>199</v>
      </c>
      <c r="E79" s="11">
        <f xml:space="preserve"> IF($S$55,1,0)</f>
        <v>0</v>
      </c>
      <c r="F79" s="11" t="s">
        <v>200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v>0</v>
      </c>
    </row>
    <row r="80" spans="1:19" x14ac:dyDescent="0.3">
      <c r="A80" s="13" t="s">
        <v>201</v>
      </c>
      <c r="B80" s="14" t="s">
        <v>177</v>
      </c>
      <c r="C80" s="14" t="s">
        <v>202</v>
      </c>
      <c r="D80" s="14" t="s">
        <v>203</v>
      </c>
      <c r="E80" s="14">
        <f xml:space="preserve"> IF($S$56,1,0)</f>
        <v>0</v>
      </c>
      <c r="F80" s="14" t="s">
        <v>204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205</v>
      </c>
      <c r="B81" s="11" t="s">
        <v>206</v>
      </c>
      <c r="C81" s="11"/>
      <c r="D81" s="11" t="s">
        <v>207</v>
      </c>
      <c r="E81" s="11">
        <f xml:space="preserve"> IF($S$57,1,0)</f>
        <v>0</v>
      </c>
      <c r="F81" s="11" t="s">
        <v>208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209</v>
      </c>
      <c r="B82" s="14" t="s">
        <v>210</v>
      </c>
      <c r="C82" s="14"/>
      <c r="D82" s="14" t="s">
        <v>211</v>
      </c>
      <c r="E82" s="14">
        <f xml:space="preserve"> IF($S$58,1,0)</f>
        <v>0</v>
      </c>
      <c r="F82" s="14" t="s">
        <v>212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213</v>
      </c>
      <c r="B83" s="11" t="s">
        <v>210</v>
      </c>
      <c r="C83" s="11"/>
      <c r="D83" s="11" t="s">
        <v>214</v>
      </c>
      <c r="E83" s="11">
        <f xml:space="preserve"> IF($S$59,1,0)</f>
        <v>0</v>
      </c>
      <c r="F83" s="11" t="s">
        <v>215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216</v>
      </c>
      <c r="B84" s="14" t="s">
        <v>217</v>
      </c>
      <c r="C84" s="14"/>
      <c r="D84" s="14" t="s">
        <v>218</v>
      </c>
      <c r="E84" s="14">
        <f xml:space="preserve"> IF($S$60,1,0)</f>
        <v>0</v>
      </c>
      <c r="F84" s="14" t="s">
        <v>219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220</v>
      </c>
      <c r="B85" s="11" t="s">
        <v>221</v>
      </c>
      <c r="C85" s="11" t="s">
        <v>34</v>
      </c>
      <c r="D85" s="11" t="s">
        <v>222</v>
      </c>
      <c r="E85" s="11">
        <f xml:space="preserve"> IF($S$61,1,0)</f>
        <v>0</v>
      </c>
      <c r="F85" s="11" t="s">
        <v>223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3" t="s">
        <v>224</v>
      </c>
      <c r="B86" s="14" t="s">
        <v>225</v>
      </c>
      <c r="C86" s="14"/>
      <c r="D86" s="14" t="s">
        <v>226</v>
      </c>
      <c r="E86" s="14">
        <f xml:space="preserve"> IF($S$62,1,0)</f>
        <v>0</v>
      </c>
      <c r="F86" s="14" t="s">
        <v>227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v>0</v>
      </c>
    </row>
    <row r="87" spans="1:19" x14ac:dyDescent="0.3">
      <c r="A87" s="10" t="s">
        <v>228</v>
      </c>
      <c r="B87" s="11" t="s">
        <v>225</v>
      </c>
      <c r="C87" s="11"/>
      <c r="D87" s="11" t="s">
        <v>229</v>
      </c>
      <c r="E87" s="11">
        <f xml:space="preserve"> IF($S$63,1,0)</f>
        <v>0</v>
      </c>
      <c r="F87" s="11" t="s">
        <v>230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v>0</v>
      </c>
    </row>
    <row r="88" spans="1:19" x14ac:dyDescent="0.3">
      <c r="A88" s="13" t="s">
        <v>231</v>
      </c>
      <c r="B88" s="14" t="s">
        <v>225</v>
      </c>
      <c r="C88" s="14"/>
      <c r="D88" s="14" t="s">
        <v>232</v>
      </c>
      <c r="E88" s="14">
        <f xml:space="preserve"> IF($S$64,1,0)</f>
        <v>0</v>
      </c>
      <c r="F88" s="14" t="s">
        <v>233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v>0</v>
      </c>
    </row>
    <row r="89" spans="1:19" x14ac:dyDescent="0.3">
      <c r="A89" s="10" t="s">
        <v>234</v>
      </c>
      <c r="B89" s="11" t="s">
        <v>235</v>
      </c>
      <c r="C89" s="11"/>
      <c r="D89" s="11" t="s">
        <v>236</v>
      </c>
      <c r="E89" s="11">
        <f xml:space="preserve"> IF($S$65,1,0)</f>
        <v>0</v>
      </c>
      <c r="F89" s="11" t="s">
        <v>237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v>0</v>
      </c>
    </row>
    <row r="90" spans="1:19" x14ac:dyDescent="0.3">
      <c r="A90" s="13" t="s">
        <v>238</v>
      </c>
      <c r="B90" s="14" t="s">
        <v>235</v>
      </c>
      <c r="C90" s="14" t="s">
        <v>34</v>
      </c>
      <c r="D90" s="14" t="s">
        <v>239</v>
      </c>
      <c r="E90" s="14">
        <f xml:space="preserve"> IF($S$66,1,0)</f>
        <v>0</v>
      </c>
      <c r="F90" s="14" t="s">
        <v>240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v>0</v>
      </c>
    </row>
    <row r="91" spans="1:19" x14ac:dyDescent="0.3">
      <c r="A91" s="10" t="s">
        <v>241</v>
      </c>
      <c r="B91" s="11" t="s">
        <v>242</v>
      </c>
      <c r="C91" s="11" t="s">
        <v>243</v>
      </c>
      <c r="D91" s="11" t="s">
        <v>244</v>
      </c>
      <c r="E91" s="11">
        <f xml:space="preserve"> IF($S$67,1,0)</f>
        <v>0</v>
      </c>
      <c r="F91" s="11" t="s">
        <v>245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v>0</v>
      </c>
    </row>
    <row r="92" spans="1:19" x14ac:dyDescent="0.3">
      <c r="A92" s="13" t="s">
        <v>246</v>
      </c>
      <c r="B92" s="14" t="s">
        <v>242</v>
      </c>
      <c r="C92" s="14"/>
      <c r="D92" s="14" t="s">
        <v>247</v>
      </c>
      <c r="E92" s="14">
        <f xml:space="preserve"> IF($S$68,1,0)</f>
        <v>0</v>
      </c>
      <c r="F92" s="14" t="s">
        <v>248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v>0</v>
      </c>
    </row>
    <row r="93" spans="1:19" x14ac:dyDescent="0.3">
      <c r="A93" s="10" t="s">
        <v>249</v>
      </c>
      <c r="B93" s="11" t="s">
        <v>242</v>
      </c>
      <c r="C93" s="11" t="s">
        <v>34</v>
      </c>
      <c r="D93" s="11" t="s">
        <v>250</v>
      </c>
      <c r="E93" s="11">
        <f xml:space="preserve"> IF($S$69,1,0)</f>
        <v>0</v>
      </c>
      <c r="F93" s="11" t="s">
        <v>251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252</v>
      </c>
      <c r="B94" s="14" t="s">
        <v>253</v>
      </c>
      <c r="C94" s="14"/>
      <c r="D94" s="14" t="s">
        <v>254</v>
      </c>
      <c r="E94" s="14">
        <f xml:space="preserve"> IF($S$70,1,0)</f>
        <v>0</v>
      </c>
      <c r="F94" s="14" t="s">
        <v>255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0" t="s">
        <v>256</v>
      </c>
      <c r="B95" s="11" t="s">
        <v>257</v>
      </c>
      <c r="C95" s="11"/>
      <c r="D95" s="11" t="s">
        <v>258</v>
      </c>
      <c r="E95" s="11">
        <f xml:space="preserve"> IF($S$71,1,0)</f>
        <v>0</v>
      </c>
      <c r="F95" s="11" t="s">
        <v>259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v>0</v>
      </c>
    </row>
    <row r="96" spans="1:19" x14ac:dyDescent="0.3">
      <c r="A96" s="13" t="s">
        <v>260</v>
      </c>
      <c r="B96" s="14" t="s">
        <v>261</v>
      </c>
      <c r="C96" s="14"/>
      <c r="D96" s="14" t="s">
        <v>262</v>
      </c>
      <c r="E96" s="14">
        <f xml:space="preserve"> IF($S$72,1,0)</f>
        <v>0</v>
      </c>
      <c r="F96" s="14" t="s">
        <v>263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v>0</v>
      </c>
    </row>
    <row r="97" spans="1:19" x14ac:dyDescent="0.3">
      <c r="A97" s="10" t="s">
        <v>264</v>
      </c>
      <c r="B97" s="11" t="s">
        <v>265</v>
      </c>
      <c r="C97" s="11"/>
      <c r="D97" s="11" t="s">
        <v>266</v>
      </c>
      <c r="E97" s="11">
        <f xml:space="preserve"> IF($S$73,1,0)</f>
        <v>0</v>
      </c>
      <c r="F97" s="11" t="s">
        <v>267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268</v>
      </c>
      <c r="B98" s="14" t="s">
        <v>269</v>
      </c>
      <c r="C98" s="14"/>
      <c r="D98" s="14" t="s">
        <v>270</v>
      </c>
      <c r="E98" s="14">
        <f xml:space="preserve"> IF($S$74,1,0)</f>
        <v>0</v>
      </c>
      <c r="F98" s="14" t="s">
        <v>271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272</v>
      </c>
      <c r="B99" s="11" t="s">
        <v>273</v>
      </c>
      <c r="C99" s="11"/>
      <c r="D99" s="11" t="s">
        <v>274</v>
      </c>
      <c r="E99" s="11">
        <f xml:space="preserve"> IF($S$75,1,0)</f>
        <v>0</v>
      </c>
      <c r="F99" s="11" t="s">
        <v>275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276</v>
      </c>
      <c r="B100" s="14" t="s">
        <v>277</v>
      </c>
      <c r="C100" s="14" t="s">
        <v>278</v>
      </c>
      <c r="D100" s="14" t="s">
        <v>279</v>
      </c>
      <c r="E100" s="14">
        <f xml:space="preserve"> IF($S$76,1,0)</f>
        <v>0</v>
      </c>
      <c r="F100" s="14" t="s">
        <v>280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281</v>
      </c>
      <c r="B101" s="11" t="s">
        <v>282</v>
      </c>
      <c r="C101" s="11" t="s">
        <v>283</v>
      </c>
      <c r="D101" s="11" t="s">
        <v>284</v>
      </c>
      <c r="E101" s="11">
        <f xml:space="preserve"> IF($S$77,1,0)</f>
        <v>0</v>
      </c>
      <c r="F101" s="11" t="s">
        <v>285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v>0</v>
      </c>
    </row>
    <row r="102" spans="1:19" x14ac:dyDescent="0.3">
      <c r="A102" s="13" t="s">
        <v>286</v>
      </c>
      <c r="B102" s="14" t="s">
        <v>287</v>
      </c>
      <c r="C102" s="14" t="s">
        <v>278</v>
      </c>
      <c r="D102" s="14" t="s">
        <v>288</v>
      </c>
      <c r="E102" s="14">
        <f xml:space="preserve"> IF($S$78,1,0)</f>
        <v>0</v>
      </c>
      <c r="F102" s="14" t="s">
        <v>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v>0</v>
      </c>
    </row>
    <row r="103" spans="1:19" x14ac:dyDescent="0.3">
      <c r="A103" s="10" t="s">
        <v>290</v>
      </c>
      <c r="B103" s="11" t="s">
        <v>291</v>
      </c>
      <c r="C103" s="11"/>
      <c r="D103" s="11" t="s">
        <v>292</v>
      </c>
      <c r="E103" s="11">
        <f xml:space="preserve"> IF($S$79,1,0)</f>
        <v>0</v>
      </c>
      <c r="F103" s="11" t="s">
        <v>293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3" t="s">
        <v>294</v>
      </c>
      <c r="B104" s="14" t="s">
        <v>295</v>
      </c>
      <c r="C104" s="14"/>
      <c r="D104" s="14" t="s">
        <v>296</v>
      </c>
      <c r="E104" s="14">
        <f xml:space="preserve"> IF($S$80,1,0)</f>
        <v>0</v>
      </c>
      <c r="F104" s="14" t="s">
        <v>297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v>0</v>
      </c>
    </row>
    <row r="105" spans="1:19" x14ac:dyDescent="0.3">
      <c r="A105" s="10" t="s">
        <v>298</v>
      </c>
      <c r="B105" s="11" t="s">
        <v>295</v>
      </c>
      <c r="C105" s="11"/>
      <c r="D105" s="11" t="s">
        <v>299</v>
      </c>
      <c r="E105" s="11">
        <f xml:space="preserve"> IF($S$81,1,0)</f>
        <v>0</v>
      </c>
      <c r="F105" s="11" t="s">
        <v>300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v>0</v>
      </c>
    </row>
    <row r="106" spans="1:19" x14ac:dyDescent="0.3">
      <c r="A106" s="13" t="s">
        <v>301</v>
      </c>
      <c r="B106" s="14" t="s">
        <v>302</v>
      </c>
      <c r="C106" s="14"/>
      <c r="D106" s="14" t="s">
        <v>303</v>
      </c>
      <c r="E106" s="14">
        <f xml:space="preserve"> IF($S$82,1,0)</f>
        <v>0</v>
      </c>
      <c r="F106" s="14" t="s">
        <v>304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0" t="s">
        <v>305</v>
      </c>
      <c r="B107" s="11" t="s">
        <v>306</v>
      </c>
      <c r="C107" s="11"/>
      <c r="D107" s="11" t="s">
        <v>307</v>
      </c>
      <c r="E107" s="11">
        <f xml:space="preserve"> IF($S$83,1,0)</f>
        <v>0</v>
      </c>
      <c r="F107" s="11" t="s">
        <v>308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v>0</v>
      </c>
    </row>
    <row r="108" spans="1:19" x14ac:dyDescent="0.3">
      <c r="A108" s="13" t="s">
        <v>309</v>
      </c>
      <c r="B108" s="14" t="s">
        <v>310</v>
      </c>
      <c r="C108" s="14"/>
      <c r="D108" s="14" t="s">
        <v>311</v>
      </c>
      <c r="E108" s="14">
        <f xml:space="preserve"> IF($S$84,1,0)</f>
        <v>0</v>
      </c>
      <c r="F108" s="14" t="s">
        <v>312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v>0</v>
      </c>
    </row>
    <row r="109" spans="1:19" x14ac:dyDescent="0.3">
      <c r="A109" s="10" t="s">
        <v>313</v>
      </c>
      <c r="B109" s="11" t="s">
        <v>314</v>
      </c>
      <c r="C109" s="11"/>
      <c r="D109" s="11" t="s">
        <v>315</v>
      </c>
      <c r="E109" s="11">
        <f xml:space="preserve"> IF($S$85,1,0)</f>
        <v>0</v>
      </c>
      <c r="F109" s="11" t="s">
        <v>316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317</v>
      </c>
      <c r="B110" s="14" t="s">
        <v>318</v>
      </c>
      <c r="C110" s="14"/>
      <c r="D110" s="14" t="s">
        <v>319</v>
      </c>
      <c r="E110" s="14">
        <f xml:space="preserve"> IF($S$86,1,0)</f>
        <v>0</v>
      </c>
      <c r="F110" s="14" t="s">
        <v>320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0" t="s">
        <v>321</v>
      </c>
      <c r="B111" s="11" t="s">
        <v>322</v>
      </c>
      <c r="C111" s="11"/>
      <c r="D111" s="11" t="s">
        <v>323</v>
      </c>
      <c r="E111" s="11">
        <f xml:space="preserve"> IF($S$87,1,0)</f>
        <v>0</v>
      </c>
      <c r="F111" s="11" t="s">
        <v>324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v>0</v>
      </c>
    </row>
    <row r="112" spans="1:19" x14ac:dyDescent="0.3">
      <c r="A112" s="13" t="s">
        <v>325</v>
      </c>
      <c r="B112" s="14" t="s">
        <v>326</v>
      </c>
      <c r="C112" s="14" t="s">
        <v>243</v>
      </c>
      <c r="D112" s="14" t="s">
        <v>327</v>
      </c>
      <c r="E112" s="14">
        <f xml:space="preserve"> IF($S$88,1,0)</f>
        <v>0</v>
      </c>
      <c r="F112" s="14" t="s">
        <v>328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v>0</v>
      </c>
    </row>
    <row r="113" spans="1:19" x14ac:dyDescent="0.3">
      <c r="A113" s="10" t="s">
        <v>329</v>
      </c>
      <c r="B113" s="11" t="s">
        <v>330</v>
      </c>
      <c r="C113" s="11"/>
      <c r="D113" s="11" t="s">
        <v>331</v>
      </c>
      <c r="E113" s="11">
        <f xml:space="preserve"> IF($S$89,1,0)</f>
        <v>0</v>
      </c>
      <c r="F113" s="11" t="s">
        <v>332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v>0</v>
      </c>
    </row>
    <row r="114" spans="1:19" x14ac:dyDescent="0.3">
      <c r="A114" s="13" t="s">
        <v>333</v>
      </c>
      <c r="B114" s="14" t="s">
        <v>334</v>
      </c>
      <c r="C114" s="14"/>
      <c r="D114" s="14" t="s">
        <v>335</v>
      </c>
      <c r="E114" s="14">
        <f xml:space="preserve"> IF($S$90,1,0)</f>
        <v>0</v>
      </c>
      <c r="F114" s="14" t="s">
        <v>336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v>0</v>
      </c>
    </row>
    <row r="115" spans="1:19" x14ac:dyDescent="0.3">
      <c r="A115" s="13" t="s">
        <v>340</v>
      </c>
      <c r="B115" s="14" t="s">
        <v>341</v>
      </c>
      <c r="C115" s="14" t="s">
        <v>342</v>
      </c>
      <c r="D115" s="14" t="s">
        <v>343</v>
      </c>
      <c r="E115" s="14">
        <f xml:space="preserve"> IF($S$92,1,0)</f>
        <v>0</v>
      </c>
      <c r="F115" s="14" t="s">
        <v>344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0" t="s">
        <v>345</v>
      </c>
      <c r="B116" s="11" t="s">
        <v>346</v>
      </c>
      <c r="C116" s="11"/>
      <c r="D116" s="11" t="s">
        <v>347</v>
      </c>
      <c r="E116" s="11">
        <f xml:space="preserve"> IF($S$93,1,0)</f>
        <v>0</v>
      </c>
      <c r="F116" s="11" t="s">
        <v>348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2">
        <v>0</v>
      </c>
      <c r="R116" s="12">
        <v>0</v>
      </c>
      <c r="S116" s="12">
        <v>0</v>
      </c>
    </row>
    <row r="117" spans="1:19" x14ac:dyDescent="0.3">
      <c r="A117" s="13" t="s">
        <v>349</v>
      </c>
      <c r="B117" s="14" t="s">
        <v>350</v>
      </c>
      <c r="C117" s="14"/>
      <c r="D117" s="14" t="s">
        <v>351</v>
      </c>
      <c r="E117" s="14">
        <f xml:space="preserve"> IF($S$94,1,0)</f>
        <v>0</v>
      </c>
      <c r="F117" s="14" t="s">
        <v>352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353</v>
      </c>
      <c r="B118" s="11" t="s">
        <v>354</v>
      </c>
      <c r="C118" s="11"/>
      <c r="D118" s="11" t="s">
        <v>355</v>
      </c>
      <c r="E118" s="11">
        <f xml:space="preserve"> IF($S$95,1,0)</f>
        <v>0</v>
      </c>
      <c r="F118" s="11" t="s">
        <v>356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3" t="s">
        <v>357</v>
      </c>
      <c r="B119" s="14" t="s">
        <v>358</v>
      </c>
      <c r="C119" s="14" t="s">
        <v>34</v>
      </c>
      <c r="D119" s="14" t="s">
        <v>359</v>
      </c>
      <c r="E119" s="14">
        <f xml:space="preserve"> IF($S$96,1,0)</f>
        <v>0</v>
      </c>
      <c r="F119" s="14" t="s">
        <v>360</v>
      </c>
      <c r="G119" s="14">
        <v>0</v>
      </c>
      <c r="H119" s="14">
        <v>0</v>
      </c>
      <c r="I119" s="14">
        <v>0</v>
      </c>
      <c r="J119" s="14">
        <v>0</v>
      </c>
      <c r="K119" s="14">
        <v>0</v>
      </c>
      <c r="L119" s="14">
        <v>0</v>
      </c>
      <c r="M119" s="14">
        <v>0</v>
      </c>
      <c r="N119" s="14">
        <v>0</v>
      </c>
      <c r="O119" s="14">
        <v>0</v>
      </c>
      <c r="P119" s="14">
        <v>0</v>
      </c>
      <c r="Q119" s="15">
        <v>0</v>
      </c>
      <c r="R119" s="15">
        <v>0</v>
      </c>
      <c r="S119" s="15">
        <v>0</v>
      </c>
    </row>
    <row r="120" spans="1:19" x14ac:dyDescent="0.3">
      <c r="A120" s="10" t="s">
        <v>367</v>
      </c>
      <c r="B120" s="11" t="s">
        <v>368</v>
      </c>
      <c r="C120" s="11" t="s">
        <v>34</v>
      </c>
      <c r="D120" s="11" t="s">
        <v>118</v>
      </c>
      <c r="E120" s="11">
        <f xml:space="preserve"> IF($S$99,1,0)</f>
        <v>0</v>
      </c>
      <c r="F120" s="11" t="s">
        <v>369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370</v>
      </c>
      <c r="B121" s="14" t="s">
        <v>371</v>
      </c>
      <c r="C121" s="14"/>
      <c r="D121" s="14" t="s">
        <v>372</v>
      </c>
      <c r="E121" s="14">
        <f xml:space="preserve"> IF($S$100,1,0)</f>
        <v>0</v>
      </c>
      <c r="F121" s="14" t="s">
        <v>373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374</v>
      </c>
      <c r="B122" s="11" t="s">
        <v>375</v>
      </c>
      <c r="C122" s="11"/>
      <c r="D122" s="11" t="s">
        <v>376</v>
      </c>
      <c r="E122" s="11">
        <f xml:space="preserve"> IF($S$101,1,0)</f>
        <v>0</v>
      </c>
      <c r="F122" s="11" t="s">
        <v>377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378</v>
      </c>
      <c r="B123" s="14" t="s">
        <v>379</v>
      </c>
      <c r="C123" s="14"/>
      <c r="D123" s="14" t="s">
        <v>380</v>
      </c>
      <c r="E123" s="14">
        <f xml:space="preserve"> IF($S$102,1,0)</f>
        <v>0</v>
      </c>
      <c r="F123" s="14" t="s">
        <v>381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0" t="s">
        <v>382</v>
      </c>
      <c r="B124" s="11" t="s">
        <v>383</v>
      </c>
      <c r="C124" s="11"/>
      <c r="D124" s="11" t="s">
        <v>384</v>
      </c>
      <c r="E124" s="11">
        <f xml:space="preserve"> IF($S$103,1,0)</f>
        <v>0</v>
      </c>
      <c r="F124" s="11" t="s">
        <v>385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2">
        <v>0</v>
      </c>
      <c r="R124" s="12">
        <v>0</v>
      </c>
      <c r="S124" s="12">
        <v>0</v>
      </c>
    </row>
    <row r="125" spans="1:19" x14ac:dyDescent="0.3">
      <c r="A125" s="13" t="s">
        <v>386</v>
      </c>
      <c r="B125" s="14" t="s">
        <v>387</v>
      </c>
      <c r="C125" s="14" t="s">
        <v>278</v>
      </c>
      <c r="D125" s="14" t="s">
        <v>388</v>
      </c>
      <c r="E125" s="14">
        <f xml:space="preserve"> IF($S$104,1,0)</f>
        <v>0</v>
      </c>
      <c r="F125" s="14" t="s">
        <v>389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390</v>
      </c>
      <c r="B126" s="11" t="s">
        <v>387</v>
      </c>
      <c r="C126" s="11" t="s">
        <v>34</v>
      </c>
      <c r="D126" s="11" t="s">
        <v>391</v>
      </c>
      <c r="E126" s="11">
        <f xml:space="preserve"> IF($S$105,1,0)</f>
        <v>0</v>
      </c>
      <c r="F126" s="11" t="s">
        <v>392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2">
        <v>0</v>
      </c>
      <c r="R126" s="12">
        <v>0</v>
      </c>
      <c r="S126" s="12">
        <v>0</v>
      </c>
    </row>
    <row r="127" spans="1:19" x14ac:dyDescent="0.3">
      <c r="A127" s="13" t="s">
        <v>393</v>
      </c>
      <c r="B127" s="14" t="s">
        <v>394</v>
      </c>
      <c r="C127" s="14"/>
      <c r="D127" s="14" t="s">
        <v>395</v>
      </c>
      <c r="E127" s="14">
        <f xml:space="preserve"> IF($S$106,1,0)</f>
        <v>0</v>
      </c>
      <c r="F127" s="14" t="s">
        <v>396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0" t="s">
        <v>397</v>
      </c>
      <c r="B128" s="11" t="s">
        <v>398</v>
      </c>
      <c r="C128" s="11" t="s">
        <v>243</v>
      </c>
      <c r="D128" s="11" t="s">
        <v>399</v>
      </c>
      <c r="E128" s="11">
        <f xml:space="preserve"> IF($S$107,1,0)</f>
        <v>0</v>
      </c>
      <c r="F128" s="11" t="s">
        <v>400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2">
        <v>0</v>
      </c>
      <c r="R128" s="12">
        <v>0</v>
      </c>
      <c r="S128" s="12">
        <v>0</v>
      </c>
    </row>
    <row r="129" spans="1:19" x14ac:dyDescent="0.3">
      <c r="A129" s="10" t="s">
        <v>405</v>
      </c>
      <c r="B129" s="11" t="s">
        <v>406</v>
      </c>
      <c r="C129" s="11"/>
      <c r="D129" s="11" t="s">
        <v>407</v>
      </c>
      <c r="E129" s="11">
        <f xml:space="preserve"> IF($S$109,1,0)</f>
        <v>0</v>
      </c>
      <c r="F129" s="11" t="s">
        <v>408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v>0</v>
      </c>
    </row>
    <row r="130" spans="1:19" x14ac:dyDescent="0.3">
      <c r="A130" s="13" t="s">
        <v>409</v>
      </c>
      <c r="B130" s="14" t="s">
        <v>410</v>
      </c>
      <c r="C130" s="14"/>
      <c r="D130" s="14" t="s">
        <v>411</v>
      </c>
      <c r="E130" s="14">
        <f xml:space="preserve"> IF($S$110,1,0)</f>
        <v>0</v>
      </c>
      <c r="F130" s="14" t="s">
        <v>412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v>0</v>
      </c>
    </row>
    <row r="131" spans="1:19" x14ac:dyDescent="0.3">
      <c r="A131" s="10" t="s">
        <v>413</v>
      </c>
      <c r="B131" s="11" t="s">
        <v>414</v>
      </c>
      <c r="C131" s="11"/>
      <c r="D131" s="11" t="s">
        <v>415</v>
      </c>
      <c r="E131" s="11">
        <f xml:space="preserve"> IF($S$111,1,0)</f>
        <v>0</v>
      </c>
      <c r="F131" s="11" t="s">
        <v>416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v>0</v>
      </c>
    </row>
    <row r="132" spans="1:19" x14ac:dyDescent="0.3">
      <c r="A132" s="13" t="s">
        <v>417</v>
      </c>
      <c r="B132" s="14" t="s">
        <v>418</v>
      </c>
      <c r="C132" s="14"/>
      <c r="D132" s="14" t="s">
        <v>419</v>
      </c>
      <c r="E132" s="14">
        <f xml:space="preserve"> IF($S$112,1,0)</f>
        <v>0</v>
      </c>
      <c r="F132" s="14" t="s">
        <v>420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421</v>
      </c>
      <c r="B133" s="11" t="s">
        <v>422</v>
      </c>
      <c r="C133" s="11"/>
      <c r="D133" s="11" t="s">
        <v>423</v>
      </c>
      <c r="E133" s="11">
        <f xml:space="preserve"> IF($S$113,1,0)</f>
        <v>0</v>
      </c>
      <c r="F133" s="11" t="s">
        <v>424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3" t="s">
        <v>425</v>
      </c>
      <c r="B134" s="14" t="s">
        <v>426</v>
      </c>
      <c r="C134" s="14" t="s">
        <v>34</v>
      </c>
      <c r="D134" s="14" t="s">
        <v>427</v>
      </c>
      <c r="E134" s="14">
        <f xml:space="preserve"> IF($S$114,1,0)</f>
        <v>0</v>
      </c>
      <c r="F134" s="14" t="s">
        <v>428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v>0</v>
      </c>
    </row>
    <row r="135" spans="1:19" x14ac:dyDescent="0.3">
      <c r="A135" s="10" t="s">
        <v>429</v>
      </c>
      <c r="B135" s="11" t="s">
        <v>430</v>
      </c>
      <c r="C135" s="11"/>
      <c r="D135" s="11" t="s">
        <v>431</v>
      </c>
      <c r="E135" s="11">
        <f xml:space="preserve"> IF($S$115,1,0)</f>
        <v>0</v>
      </c>
      <c r="F135" s="11" t="s">
        <v>432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</row>
    <row r="136" spans="1:19" x14ac:dyDescent="0.3">
      <c r="A136" s="13" t="s">
        <v>433</v>
      </c>
      <c r="B136" s="14" t="s">
        <v>434</v>
      </c>
      <c r="C136" s="14" t="s">
        <v>202</v>
      </c>
      <c r="D136" s="14" t="s">
        <v>435</v>
      </c>
      <c r="E136" s="14">
        <f xml:space="preserve"> IF($S$116,1,0)</f>
        <v>0</v>
      </c>
      <c r="F136" s="14" t="s">
        <v>436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</row>
    <row r="137" spans="1:19" x14ac:dyDescent="0.3">
      <c r="A137" s="10" t="s">
        <v>437</v>
      </c>
      <c r="B137" s="11" t="s">
        <v>434</v>
      </c>
      <c r="C137" s="11"/>
      <c r="D137" s="11" t="s">
        <v>438</v>
      </c>
      <c r="E137" s="11">
        <f xml:space="preserve"> IF($S$117,1,0)</f>
        <v>0</v>
      </c>
      <c r="F137" s="11" t="s">
        <v>439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</row>
    <row r="138" spans="1:19" x14ac:dyDescent="0.3">
      <c r="A138" s="13" t="s">
        <v>440</v>
      </c>
      <c r="B138" s="14" t="s">
        <v>441</v>
      </c>
      <c r="C138" s="14" t="s">
        <v>202</v>
      </c>
      <c r="D138" s="14" t="s">
        <v>442</v>
      </c>
      <c r="E138" s="14">
        <f xml:space="preserve"> IF($S$118,1,0)</f>
        <v>0</v>
      </c>
      <c r="F138" s="14" t="s">
        <v>443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0" t="s">
        <v>444</v>
      </c>
      <c r="B139" s="11" t="s">
        <v>445</v>
      </c>
      <c r="C139" s="11"/>
      <c r="D139" s="11" t="s">
        <v>446</v>
      </c>
      <c r="E139" s="11">
        <f xml:space="preserve"> IF($S$119,1,0)</f>
        <v>0</v>
      </c>
      <c r="F139" s="11" t="s">
        <v>447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</row>
    <row r="140" spans="1:19" x14ac:dyDescent="0.3">
      <c r="A140" s="13" t="s">
        <v>448</v>
      </c>
      <c r="B140" s="14" t="s">
        <v>449</v>
      </c>
      <c r="C140" s="14"/>
      <c r="D140" s="14" t="s">
        <v>450</v>
      </c>
      <c r="E140" s="14">
        <f xml:space="preserve"> IF($S$120,1,0)</f>
        <v>0</v>
      </c>
      <c r="F140" s="14" t="s">
        <v>451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</row>
    <row r="141" spans="1:19" x14ac:dyDescent="0.3">
      <c r="A141" s="13" t="s">
        <v>456</v>
      </c>
      <c r="B141" s="14" t="s">
        <v>457</v>
      </c>
      <c r="C141" s="14"/>
      <c r="D141" s="14" t="s">
        <v>458</v>
      </c>
      <c r="E141" s="14">
        <f xml:space="preserve"> IF($S$122,1,0)</f>
        <v>0</v>
      </c>
      <c r="F141" s="14" t="s">
        <v>459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0</v>
      </c>
      <c r="R141" s="15">
        <v>0</v>
      </c>
      <c r="S141" s="15">
        <v>0</v>
      </c>
    </row>
    <row r="142" spans="1:19" x14ac:dyDescent="0.3">
      <c r="A142" s="10" t="s">
        <v>460</v>
      </c>
      <c r="B142" s="11" t="s">
        <v>457</v>
      </c>
      <c r="C142" s="11"/>
      <c r="D142" s="11" t="s">
        <v>461</v>
      </c>
      <c r="E142" s="11">
        <f xml:space="preserve"> IF($S$123,1,0)</f>
        <v>0</v>
      </c>
      <c r="F142" s="11" t="s">
        <v>462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2">
        <v>0</v>
      </c>
      <c r="R142" s="12">
        <v>0</v>
      </c>
      <c r="S142" s="12">
        <v>0</v>
      </c>
    </row>
    <row r="143" spans="1:19" x14ac:dyDescent="0.3">
      <c r="A143" s="10" t="s">
        <v>466</v>
      </c>
      <c r="B143" s="11" t="s">
        <v>457</v>
      </c>
      <c r="C143" s="11"/>
      <c r="D143" s="11" t="s">
        <v>467</v>
      </c>
      <c r="E143" s="11">
        <f xml:space="preserve"> IF($S$125,1,0)</f>
        <v>0</v>
      </c>
      <c r="F143" s="11" t="s">
        <v>468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</row>
    <row r="144" spans="1:19" x14ac:dyDescent="0.3">
      <c r="A144" s="13" t="s">
        <v>469</v>
      </c>
      <c r="B144" s="14" t="s">
        <v>470</v>
      </c>
      <c r="C144" s="14"/>
      <c r="D144" s="14" t="s">
        <v>471</v>
      </c>
      <c r="E144" s="14">
        <f xml:space="preserve"> IF($S$126,1,0)</f>
        <v>0</v>
      </c>
      <c r="F144" s="14" t="s">
        <v>472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0" t="s">
        <v>473</v>
      </c>
      <c r="B145" s="11" t="s">
        <v>474</v>
      </c>
      <c r="C145" s="11"/>
      <c r="D145" s="11" t="s">
        <v>475</v>
      </c>
      <c r="E145" s="11">
        <f xml:space="preserve"> IF($S$127,1,0)</f>
        <v>0</v>
      </c>
      <c r="F145" s="11" t="s">
        <v>476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</row>
    <row r="146" spans="1:19" x14ac:dyDescent="0.3">
      <c r="A146" s="13" t="s">
        <v>477</v>
      </c>
      <c r="B146" s="14" t="s">
        <v>478</v>
      </c>
      <c r="C146" s="14"/>
      <c r="D146" s="14" t="s">
        <v>479</v>
      </c>
      <c r="E146" s="14">
        <f xml:space="preserve"> IF($S$128,1,0)</f>
        <v>0</v>
      </c>
      <c r="F146" s="14" t="s">
        <v>480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</row>
    <row r="147" spans="1:19" x14ac:dyDescent="0.3">
      <c r="A147" s="10" t="s">
        <v>481</v>
      </c>
      <c r="B147" s="11" t="s">
        <v>482</v>
      </c>
      <c r="C147" s="11"/>
      <c r="D147" s="11" t="s">
        <v>483</v>
      </c>
      <c r="E147" s="11">
        <f xml:space="preserve"> IF($S$129,1,0)</f>
        <v>0</v>
      </c>
      <c r="F147" s="11" t="s">
        <v>484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</row>
    <row r="148" spans="1:19" x14ac:dyDescent="0.3">
      <c r="A148" s="13" t="s">
        <v>485</v>
      </c>
      <c r="B148" s="14" t="s">
        <v>486</v>
      </c>
      <c r="C148" s="14"/>
      <c r="D148" s="14" t="s">
        <v>487</v>
      </c>
      <c r="E148" s="14">
        <f xml:space="preserve"> IF($S$130,1,0)</f>
        <v>0</v>
      </c>
      <c r="F148" s="14" t="s">
        <v>488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0" t="s">
        <v>489</v>
      </c>
      <c r="B149" s="11" t="s">
        <v>490</v>
      </c>
      <c r="C149" s="11"/>
      <c r="D149" s="11" t="s">
        <v>491</v>
      </c>
      <c r="E149" s="11">
        <f xml:space="preserve"> IF($S$131,1,0)</f>
        <v>0</v>
      </c>
      <c r="F149" s="11" t="s">
        <v>492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</row>
    <row r="150" spans="1:19" x14ac:dyDescent="0.3">
      <c r="A150" s="13" t="s">
        <v>493</v>
      </c>
      <c r="B150" s="14" t="s">
        <v>494</v>
      </c>
      <c r="C150" s="14" t="s">
        <v>34</v>
      </c>
      <c r="D150" s="14" t="s">
        <v>495</v>
      </c>
      <c r="E150" s="14">
        <f xml:space="preserve"> IF($S$132,1,0)</f>
        <v>0</v>
      </c>
      <c r="F150" s="14" t="s">
        <v>496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</row>
    <row r="151" spans="1:19" x14ac:dyDescent="0.3">
      <c r="A151" s="10" t="s">
        <v>497</v>
      </c>
      <c r="B151" s="11" t="s">
        <v>498</v>
      </c>
      <c r="C151" s="11"/>
      <c r="D151" s="11" t="s">
        <v>499</v>
      </c>
      <c r="E151" s="11">
        <f xml:space="preserve"> IF($S$133,1,0)</f>
        <v>0</v>
      </c>
      <c r="F151" s="11" t="s">
        <v>500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</row>
    <row r="152" spans="1:19" x14ac:dyDescent="0.3">
      <c r="A152" s="13" t="s">
        <v>501</v>
      </c>
      <c r="B152" s="14" t="s">
        <v>502</v>
      </c>
      <c r="C152" s="14" t="s">
        <v>34</v>
      </c>
      <c r="D152" s="14" t="s">
        <v>503</v>
      </c>
      <c r="E152" s="14">
        <f xml:space="preserve"> IF($S$134,1,0)</f>
        <v>0</v>
      </c>
      <c r="F152" s="14" t="s">
        <v>504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</row>
    <row r="153" spans="1:19" x14ac:dyDescent="0.3">
      <c r="A153" s="10" t="s">
        <v>505</v>
      </c>
      <c r="B153" s="11" t="s">
        <v>502</v>
      </c>
      <c r="C153" s="11"/>
      <c r="D153" s="11" t="s">
        <v>232</v>
      </c>
      <c r="E153" s="11">
        <f xml:space="preserve"> IF($S$135,1,0)</f>
        <v>0</v>
      </c>
      <c r="F153" s="11" t="s">
        <v>506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</row>
    <row r="154" spans="1:19" x14ac:dyDescent="0.3">
      <c r="A154" s="13" t="s">
        <v>507</v>
      </c>
      <c r="B154" s="14" t="s">
        <v>508</v>
      </c>
      <c r="C154" s="14" t="s">
        <v>65</v>
      </c>
      <c r="D154" s="14" t="s">
        <v>509</v>
      </c>
      <c r="E154" s="14">
        <f xml:space="preserve"> IF($S$136,1,0)</f>
        <v>0</v>
      </c>
      <c r="F154" s="14" t="s">
        <v>510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</row>
    <row r="155" spans="1:19" x14ac:dyDescent="0.3">
      <c r="A155" s="10" t="s">
        <v>511</v>
      </c>
      <c r="B155" s="11" t="s">
        <v>512</v>
      </c>
      <c r="C155" s="11" t="s">
        <v>513</v>
      </c>
      <c r="D155" s="11" t="s">
        <v>514</v>
      </c>
      <c r="E155" s="11">
        <f xml:space="preserve"> IF($S$137,1,0)</f>
        <v>0</v>
      </c>
      <c r="F155" s="11" t="s">
        <v>515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</row>
    <row r="156" spans="1:19" x14ac:dyDescent="0.3">
      <c r="A156" s="13" t="s">
        <v>516</v>
      </c>
      <c r="B156" s="14" t="s">
        <v>517</v>
      </c>
      <c r="C156" s="14" t="s">
        <v>65</v>
      </c>
      <c r="D156" s="14" t="s">
        <v>518</v>
      </c>
      <c r="E156" s="14">
        <f xml:space="preserve"> IF($S$138,1,0)</f>
        <v>0</v>
      </c>
      <c r="F156" s="14" t="s">
        <v>519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</row>
    <row r="157" spans="1:19" x14ac:dyDescent="0.3">
      <c r="A157" s="13" t="s">
        <v>523</v>
      </c>
      <c r="B157" s="14" t="s">
        <v>524</v>
      </c>
      <c r="C157" s="14" t="s">
        <v>65</v>
      </c>
      <c r="D157" s="14" t="s">
        <v>327</v>
      </c>
      <c r="E157" s="14">
        <f xml:space="preserve"> IF($S$140,1,0)</f>
        <v>0</v>
      </c>
      <c r="F157" s="14" t="s">
        <v>525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5">
        <v>0</v>
      </c>
      <c r="R157" s="15">
        <v>0</v>
      </c>
      <c r="S157" s="15">
        <v>0</v>
      </c>
    </row>
    <row r="158" spans="1:19" x14ac:dyDescent="0.3">
      <c r="A158" s="10" t="s">
        <v>526</v>
      </c>
      <c r="B158" s="11" t="s">
        <v>527</v>
      </c>
      <c r="C158" s="11"/>
      <c r="D158" s="11" t="s">
        <v>528</v>
      </c>
      <c r="E158" s="11">
        <f xml:space="preserve"> IF($S$141,1,0)</f>
        <v>0</v>
      </c>
      <c r="F158" s="11" t="s">
        <v>529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2">
        <v>0</v>
      </c>
      <c r="R158" s="12">
        <v>0</v>
      </c>
      <c r="S158" s="12">
        <v>0</v>
      </c>
    </row>
    <row r="159" spans="1:19" x14ac:dyDescent="0.3">
      <c r="A159" s="13" t="s">
        <v>530</v>
      </c>
      <c r="B159" s="14" t="s">
        <v>531</v>
      </c>
      <c r="C159" s="14"/>
      <c r="D159" s="14" t="s">
        <v>532</v>
      </c>
      <c r="E159" s="14">
        <f xml:space="preserve"> IF($S$142,1,0)</f>
        <v>0</v>
      </c>
      <c r="F159" s="14" t="s">
        <v>533</v>
      </c>
      <c r="G159" s="14">
        <v>0</v>
      </c>
      <c r="H159" s="14">
        <v>0</v>
      </c>
      <c r="I159" s="14">
        <v>0</v>
      </c>
      <c r="J159" s="14">
        <v>0</v>
      </c>
      <c r="K159" s="14">
        <v>0</v>
      </c>
      <c r="L159" s="14">
        <v>0</v>
      </c>
      <c r="M159" s="14">
        <v>0</v>
      </c>
      <c r="N159" s="14">
        <v>0</v>
      </c>
      <c r="O159" s="14">
        <v>0</v>
      </c>
      <c r="P159" s="14">
        <v>0</v>
      </c>
      <c r="Q159" s="15">
        <v>0</v>
      </c>
      <c r="R159" s="15">
        <v>0</v>
      </c>
      <c r="S159" s="15">
        <v>0</v>
      </c>
    </row>
    <row r="160" spans="1:19" x14ac:dyDescent="0.3">
      <c r="A160" s="10" t="s">
        <v>534</v>
      </c>
      <c r="B160" s="11" t="s">
        <v>535</v>
      </c>
      <c r="C160" s="11"/>
      <c r="D160" s="11" t="s">
        <v>536</v>
      </c>
      <c r="E160" s="11">
        <f xml:space="preserve"> IF($S$143,1,0)</f>
        <v>0</v>
      </c>
      <c r="F160" s="11" t="s">
        <v>537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541</v>
      </c>
      <c r="B161" s="11" t="s">
        <v>542</v>
      </c>
      <c r="C161" s="11"/>
      <c r="D161" s="11" t="s">
        <v>543</v>
      </c>
      <c r="E161" s="11">
        <f xml:space="preserve"> IF($S$145,1,0)</f>
        <v>0</v>
      </c>
      <c r="F161" s="11" t="s">
        <v>544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545</v>
      </c>
      <c r="B162" s="14" t="s">
        <v>546</v>
      </c>
      <c r="C162" s="14"/>
      <c r="D162" s="14" t="s">
        <v>547</v>
      </c>
      <c r="E162" s="14">
        <f xml:space="preserve"> IF($S$146,1,0)</f>
        <v>0</v>
      </c>
      <c r="F162" s="14" t="s">
        <v>548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0" t="s">
        <v>549</v>
      </c>
      <c r="B163" s="11" t="s">
        <v>550</v>
      </c>
      <c r="C163" s="11" t="s">
        <v>34</v>
      </c>
      <c r="D163" s="11" t="s">
        <v>551</v>
      </c>
      <c r="E163" s="11">
        <f xml:space="preserve"> IF($S$147,1,0)</f>
        <v>0</v>
      </c>
      <c r="F163" s="11" t="s">
        <v>552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</row>
    <row r="164" spans="1:19" x14ac:dyDescent="0.3">
      <c r="A164" s="13" t="s">
        <v>553</v>
      </c>
      <c r="B164" s="14" t="s">
        <v>554</v>
      </c>
      <c r="C164" s="14"/>
      <c r="D164" s="14" t="s">
        <v>555</v>
      </c>
      <c r="E164" s="14">
        <f xml:space="preserve"> IF($S$148,1,0)</f>
        <v>0</v>
      </c>
      <c r="F164" s="14" t="s">
        <v>556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557</v>
      </c>
      <c r="B165" s="11" t="s">
        <v>554</v>
      </c>
      <c r="C165" s="11"/>
      <c r="D165" s="11" t="s">
        <v>558</v>
      </c>
      <c r="E165" s="11">
        <f xml:space="preserve"> IF($S$149,1,0)</f>
        <v>0</v>
      </c>
      <c r="F165" s="11" t="s">
        <v>559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560</v>
      </c>
      <c r="B166" s="14" t="s">
        <v>561</v>
      </c>
      <c r="C166" s="14"/>
      <c r="D166" s="14" t="s">
        <v>562</v>
      </c>
      <c r="E166" s="14">
        <f xml:space="preserve"> IF($S$150,1,0)</f>
        <v>0</v>
      </c>
      <c r="F166" s="14" t="s">
        <v>563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564</v>
      </c>
      <c r="B167" s="11" t="s">
        <v>565</v>
      </c>
      <c r="C167" s="11"/>
      <c r="D167" s="11" t="s">
        <v>566</v>
      </c>
      <c r="E167" s="11">
        <f xml:space="preserve"> IF($S$151,1,0)</f>
        <v>0</v>
      </c>
      <c r="F167" s="11" t="s">
        <v>567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3" t="s">
        <v>568</v>
      </c>
      <c r="B168" s="14" t="s">
        <v>569</v>
      </c>
      <c r="C168" s="14"/>
      <c r="D168" s="14" t="s">
        <v>570</v>
      </c>
      <c r="E168" s="14">
        <f xml:space="preserve"> IF($S$152,1,0)</f>
        <v>0</v>
      </c>
      <c r="F168" s="14" t="s">
        <v>571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</row>
    <row r="169" spans="1:19" x14ac:dyDescent="0.3">
      <c r="A169" s="10" t="s">
        <v>572</v>
      </c>
      <c r="B169" s="11" t="s">
        <v>573</v>
      </c>
      <c r="C169" s="11" t="s">
        <v>34</v>
      </c>
      <c r="D169" s="11" t="s">
        <v>574</v>
      </c>
      <c r="E169" s="11">
        <f xml:space="preserve"> IF($S$153,1,0)</f>
        <v>0</v>
      </c>
      <c r="F169" s="11" t="s">
        <v>575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3" t="s">
        <v>576</v>
      </c>
      <c r="B170" s="14" t="s">
        <v>577</v>
      </c>
      <c r="C170" s="14"/>
      <c r="D170" s="14" t="s">
        <v>578</v>
      </c>
      <c r="E170" s="14">
        <f xml:space="preserve"> IF($S$154,1,0)</f>
        <v>0</v>
      </c>
      <c r="F170" s="14" t="s">
        <v>579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</row>
    <row r="171" spans="1:19" x14ac:dyDescent="0.3">
      <c r="A171" s="13" t="s">
        <v>584</v>
      </c>
      <c r="B171" s="14" t="s">
        <v>585</v>
      </c>
      <c r="C171" s="14"/>
      <c r="D171" s="14" t="s">
        <v>586</v>
      </c>
      <c r="E171" s="14">
        <f xml:space="preserve"> IF($S$156,1,0)</f>
        <v>0</v>
      </c>
      <c r="F171" s="14" t="s">
        <v>587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0" t="s">
        <v>588</v>
      </c>
      <c r="B172" s="11" t="s">
        <v>589</v>
      </c>
      <c r="C172" s="11"/>
      <c r="D172" s="11" t="s">
        <v>590</v>
      </c>
      <c r="E172" s="11">
        <f xml:space="preserve"> IF($S$157,1,0)</f>
        <v>0</v>
      </c>
      <c r="F172" s="11" t="s">
        <v>591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2">
        <v>0</v>
      </c>
      <c r="R172" s="12">
        <v>0</v>
      </c>
      <c r="S172" s="12">
        <v>0</v>
      </c>
    </row>
    <row r="173" spans="1:19" x14ac:dyDescent="0.3">
      <c r="A173" s="13" t="s">
        <v>592</v>
      </c>
      <c r="B173" s="14" t="s">
        <v>593</v>
      </c>
      <c r="C173" s="14"/>
      <c r="D173" s="14" t="s">
        <v>594</v>
      </c>
      <c r="E173" s="14">
        <f xml:space="preserve"> IF($S$158,1,0)</f>
        <v>0</v>
      </c>
      <c r="F173" s="14" t="s">
        <v>595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5">
        <v>0</v>
      </c>
      <c r="R173" s="15">
        <v>0</v>
      </c>
      <c r="S173" s="15">
        <v>0</v>
      </c>
    </row>
    <row r="174" spans="1:19" x14ac:dyDescent="0.3">
      <c r="A174" s="10" t="s">
        <v>596</v>
      </c>
      <c r="B174" s="11" t="s">
        <v>597</v>
      </c>
      <c r="C174" s="11"/>
      <c r="D174" s="11" t="s">
        <v>598</v>
      </c>
      <c r="E174" s="11">
        <f xml:space="preserve"> IF($S$159,1,0)</f>
        <v>0</v>
      </c>
      <c r="F174" s="11" t="s">
        <v>599</v>
      </c>
      <c r="G174" s="11">
        <v>0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2">
        <v>0</v>
      </c>
      <c r="R174" s="12">
        <v>0</v>
      </c>
      <c r="S174" s="12">
        <v>0</v>
      </c>
    </row>
    <row r="175" spans="1:19" x14ac:dyDescent="0.3">
      <c r="A175" s="13" t="s">
        <v>600</v>
      </c>
      <c r="B175" s="14" t="s">
        <v>601</v>
      </c>
      <c r="C175" s="14"/>
      <c r="D175" s="14" t="s">
        <v>70</v>
      </c>
      <c r="E175" s="14">
        <f xml:space="preserve"> IF($S$160,1,0)</f>
        <v>0</v>
      </c>
      <c r="F175" s="14" t="s">
        <v>602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0</v>
      </c>
      <c r="M175" s="14">
        <v>0</v>
      </c>
      <c r="N175" s="14">
        <v>0</v>
      </c>
      <c r="O175" s="14">
        <v>0</v>
      </c>
      <c r="P175" s="14">
        <v>0</v>
      </c>
      <c r="Q175" s="15">
        <v>0</v>
      </c>
      <c r="R175" s="15">
        <v>0</v>
      </c>
      <c r="S175" s="15">
        <v>0</v>
      </c>
    </row>
    <row r="176" spans="1:19" x14ac:dyDescent="0.3">
      <c r="A176" s="10" t="s">
        <v>603</v>
      </c>
      <c r="B176" s="11" t="s">
        <v>604</v>
      </c>
      <c r="C176" s="11"/>
      <c r="D176" s="11" t="s">
        <v>605</v>
      </c>
      <c r="E176" s="11">
        <f xml:space="preserve"> IF($S$161,1,0)</f>
        <v>0</v>
      </c>
      <c r="F176" s="11" t="s">
        <v>606</v>
      </c>
      <c r="G176" s="11">
        <v>0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>
        <v>0</v>
      </c>
      <c r="Q176" s="12">
        <v>0</v>
      </c>
      <c r="R176" s="12">
        <v>0</v>
      </c>
      <c r="S176" s="12">
        <v>0</v>
      </c>
    </row>
    <row r="177" spans="1:19" x14ac:dyDescent="0.3">
      <c r="A177" s="13" t="s">
        <v>607</v>
      </c>
      <c r="B177" s="14" t="s">
        <v>608</v>
      </c>
      <c r="C177" s="14"/>
      <c r="D177" s="14" t="s">
        <v>609</v>
      </c>
      <c r="E177" s="14">
        <f xml:space="preserve"> IF($S$162,1,0)</f>
        <v>0</v>
      </c>
      <c r="F177" s="14" t="s">
        <v>610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0</v>
      </c>
      <c r="M177" s="14">
        <v>0</v>
      </c>
      <c r="N177" s="14">
        <v>0</v>
      </c>
      <c r="O177" s="14">
        <v>0</v>
      </c>
      <c r="P177" s="14">
        <v>0</v>
      </c>
      <c r="Q177" s="15">
        <v>0</v>
      </c>
      <c r="R177" s="15">
        <v>0</v>
      </c>
      <c r="S177" s="15">
        <v>0</v>
      </c>
    </row>
    <row r="178" spans="1:19" x14ac:dyDescent="0.3">
      <c r="A178" s="10" t="s">
        <v>611</v>
      </c>
      <c r="B178" s="11" t="s">
        <v>612</v>
      </c>
      <c r="C178" s="11"/>
      <c r="D178" s="11" t="s">
        <v>613</v>
      </c>
      <c r="E178" s="11">
        <f xml:space="preserve"> IF($S$163,1,0)</f>
        <v>0</v>
      </c>
      <c r="F178" s="11" t="s">
        <v>614</v>
      </c>
      <c r="G178" s="11">
        <v>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>
        <v>0</v>
      </c>
      <c r="Q178" s="12">
        <v>0</v>
      </c>
      <c r="R178" s="12">
        <v>0</v>
      </c>
      <c r="S178" s="12">
        <v>0</v>
      </c>
    </row>
    <row r="179" spans="1:19" x14ac:dyDescent="0.3">
      <c r="A179" s="13" t="s">
        <v>615</v>
      </c>
      <c r="B179" s="14" t="s">
        <v>616</v>
      </c>
      <c r="C179" s="14"/>
      <c r="D179" s="14" t="s">
        <v>617</v>
      </c>
      <c r="E179" s="14">
        <f xml:space="preserve"> IF($S$164,1,0)</f>
        <v>0</v>
      </c>
      <c r="F179" s="14" t="s">
        <v>618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0</v>
      </c>
      <c r="M179" s="14">
        <v>0</v>
      </c>
      <c r="N179" s="14">
        <v>0</v>
      </c>
      <c r="O179" s="14">
        <v>0</v>
      </c>
      <c r="P179" s="14">
        <v>0</v>
      </c>
      <c r="Q179" s="15">
        <v>0</v>
      </c>
      <c r="R179" s="15">
        <v>0</v>
      </c>
      <c r="S179" s="15">
        <v>0</v>
      </c>
    </row>
    <row r="180" spans="1:19" x14ac:dyDescent="0.3">
      <c r="A180" s="10" t="s">
        <v>619</v>
      </c>
      <c r="B180" s="11" t="s">
        <v>620</v>
      </c>
      <c r="C180" s="11" t="s">
        <v>34</v>
      </c>
      <c r="D180" s="11" t="s">
        <v>621</v>
      </c>
      <c r="E180" s="11">
        <f xml:space="preserve"> IF($S$165,1,0)</f>
        <v>0</v>
      </c>
      <c r="F180" s="11" t="s">
        <v>622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3" t="s">
        <v>623</v>
      </c>
      <c r="B181" s="14" t="s">
        <v>624</v>
      </c>
      <c r="C181" s="14"/>
      <c r="D181" s="14" t="s">
        <v>625</v>
      </c>
      <c r="E181" s="14">
        <f xml:space="preserve"> IF($S$166,1,0)</f>
        <v>0</v>
      </c>
      <c r="F181" s="14" t="s">
        <v>626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5">
        <v>0</v>
      </c>
      <c r="R181" s="15">
        <v>0</v>
      </c>
      <c r="S181" s="15">
        <v>0</v>
      </c>
    </row>
    <row r="182" spans="1:19" x14ac:dyDescent="0.3">
      <c r="A182" s="10" t="s">
        <v>627</v>
      </c>
      <c r="B182" s="11" t="s">
        <v>624</v>
      </c>
      <c r="C182" s="11"/>
      <c r="D182" s="11" t="s">
        <v>628</v>
      </c>
      <c r="E182" s="11">
        <f xml:space="preserve"> IF($S$167,1,0)</f>
        <v>0</v>
      </c>
      <c r="F182" s="11" t="s">
        <v>629</v>
      </c>
      <c r="G182" s="11">
        <v>0</v>
      </c>
      <c r="H182" s="11">
        <v>0</v>
      </c>
      <c r="I182" s="11">
        <v>0</v>
      </c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>
        <v>0</v>
      </c>
      <c r="Q182" s="12">
        <v>0</v>
      </c>
      <c r="R182" s="12">
        <v>0</v>
      </c>
      <c r="S182" s="12">
        <v>0</v>
      </c>
    </row>
    <row r="183" spans="1:19" x14ac:dyDescent="0.3">
      <c r="A183" s="13" t="s">
        <v>630</v>
      </c>
      <c r="B183" s="14" t="s">
        <v>631</v>
      </c>
      <c r="C183" s="14"/>
      <c r="D183" s="14" t="s">
        <v>632</v>
      </c>
      <c r="E183" s="14">
        <f xml:space="preserve"> IF($S$168,1,0)</f>
        <v>0</v>
      </c>
      <c r="F183" s="14" t="s">
        <v>633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634</v>
      </c>
      <c r="B184" s="11" t="s">
        <v>635</v>
      </c>
      <c r="C184" s="11"/>
      <c r="D184" s="11" t="s">
        <v>636</v>
      </c>
      <c r="E184" s="11">
        <f xml:space="preserve"> IF($S$169,1,0)</f>
        <v>0</v>
      </c>
      <c r="F184" s="11" t="s">
        <v>637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3" t="s">
        <v>638</v>
      </c>
      <c r="B185" s="14" t="s">
        <v>639</v>
      </c>
      <c r="C185" s="14"/>
      <c r="D185" s="14" t="s">
        <v>274</v>
      </c>
      <c r="E185" s="14">
        <f xml:space="preserve"> IF($S$170,1,0)</f>
        <v>0</v>
      </c>
      <c r="F185" s="14" t="s">
        <v>640</v>
      </c>
      <c r="G185" s="14">
        <v>0</v>
      </c>
      <c r="H185" s="14">
        <v>0</v>
      </c>
      <c r="I185" s="14">
        <v>0</v>
      </c>
      <c r="J185" s="14">
        <v>0</v>
      </c>
      <c r="K185" s="14">
        <v>0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5">
        <v>0</v>
      </c>
      <c r="R185" s="15">
        <v>0</v>
      </c>
      <c r="S185" s="15">
        <v>0</v>
      </c>
    </row>
    <row r="186" spans="1:19" x14ac:dyDescent="0.3">
      <c r="A186" s="10" t="s">
        <v>641</v>
      </c>
      <c r="B186" s="11" t="s">
        <v>642</v>
      </c>
      <c r="C186" s="11"/>
      <c r="D186" s="11" t="s">
        <v>643</v>
      </c>
      <c r="E186" s="11">
        <f xml:space="preserve"> IF($S$171,1,0)</f>
        <v>0</v>
      </c>
      <c r="F186" s="11" t="s">
        <v>644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2">
        <v>0</v>
      </c>
      <c r="R186" s="12">
        <v>0</v>
      </c>
      <c r="S186" s="12">
        <v>0</v>
      </c>
    </row>
    <row r="187" spans="1:19" x14ac:dyDescent="0.3">
      <c r="A187" s="13" t="s">
        <v>645</v>
      </c>
      <c r="B187" s="14" t="s">
        <v>646</v>
      </c>
      <c r="C187" s="14"/>
      <c r="D187" s="14" t="s">
        <v>647</v>
      </c>
      <c r="E187" s="14">
        <f xml:space="preserve"> IF($S$172,1,0)</f>
        <v>0</v>
      </c>
      <c r="F187" s="14" t="s">
        <v>648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0</v>
      </c>
      <c r="M187" s="14">
        <v>0</v>
      </c>
      <c r="N187" s="14">
        <v>0</v>
      </c>
      <c r="O187" s="14">
        <v>0</v>
      </c>
      <c r="P187" s="14">
        <v>0</v>
      </c>
      <c r="Q187" s="15">
        <v>0</v>
      </c>
      <c r="R187" s="15">
        <v>0</v>
      </c>
      <c r="S187" s="15">
        <v>0</v>
      </c>
    </row>
    <row r="188" spans="1:19" x14ac:dyDescent="0.3">
      <c r="A188" s="13" t="s">
        <v>653</v>
      </c>
      <c r="B188" s="14" t="s">
        <v>654</v>
      </c>
      <c r="C188" s="14"/>
      <c r="D188" s="14" t="s">
        <v>655</v>
      </c>
      <c r="E188" s="14">
        <f xml:space="preserve"> IF($S$174,1,0)</f>
        <v>0</v>
      </c>
      <c r="F188" s="14" t="s">
        <v>656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</row>
    <row r="189" spans="1:19" x14ac:dyDescent="0.3">
      <c r="A189" s="13" t="s">
        <v>661</v>
      </c>
      <c r="B189" s="14" t="s">
        <v>658</v>
      </c>
      <c r="C189" s="14" t="s">
        <v>202</v>
      </c>
      <c r="D189" s="14" t="s">
        <v>662</v>
      </c>
      <c r="E189" s="14">
        <f xml:space="preserve"> IF($S$176,1,0)</f>
        <v>0</v>
      </c>
      <c r="F189" s="14" t="s">
        <v>663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0</v>
      </c>
      <c r="M189" s="14">
        <v>0</v>
      </c>
      <c r="N189" s="14">
        <v>0</v>
      </c>
      <c r="O189" s="14">
        <v>0</v>
      </c>
      <c r="P189" s="14">
        <v>0</v>
      </c>
      <c r="Q189" s="15">
        <v>0</v>
      </c>
      <c r="R189" s="15">
        <v>0</v>
      </c>
      <c r="S189" s="15">
        <v>0</v>
      </c>
    </row>
    <row r="190" spans="1:19" x14ac:dyDescent="0.3">
      <c r="A190" s="10" t="s">
        <v>664</v>
      </c>
      <c r="B190" s="11" t="s">
        <v>665</v>
      </c>
      <c r="C190" s="11"/>
      <c r="D190" s="11" t="s">
        <v>666</v>
      </c>
      <c r="E190" s="11">
        <f xml:space="preserve"> IF($S$177,1,0)</f>
        <v>0</v>
      </c>
      <c r="F190" s="11" t="s">
        <v>667</v>
      </c>
      <c r="G190" s="11">
        <v>0</v>
      </c>
      <c r="H190" s="11">
        <v>0</v>
      </c>
      <c r="I190" s="11">
        <v>0</v>
      </c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>
        <v>0</v>
      </c>
      <c r="Q190" s="12">
        <v>0</v>
      </c>
      <c r="R190" s="12">
        <v>0</v>
      </c>
      <c r="S190" s="12">
        <v>0</v>
      </c>
    </row>
    <row r="191" spans="1:19" x14ac:dyDescent="0.3">
      <c r="A191" s="13" t="s">
        <v>668</v>
      </c>
      <c r="B191" s="14" t="s">
        <v>669</v>
      </c>
      <c r="C191" s="14"/>
      <c r="D191" s="14" t="s">
        <v>670</v>
      </c>
      <c r="E191" s="14">
        <f xml:space="preserve"> IF($S$178,1,0)</f>
        <v>0</v>
      </c>
      <c r="F191" s="14" t="s">
        <v>671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0</v>
      </c>
      <c r="R191" s="15">
        <v>0</v>
      </c>
      <c r="S191" s="15">
        <v>0</v>
      </c>
    </row>
    <row r="192" spans="1:19" x14ac:dyDescent="0.3">
      <c r="A192" s="10" t="s">
        <v>672</v>
      </c>
      <c r="B192" s="11" t="s">
        <v>673</v>
      </c>
      <c r="C192" s="11"/>
      <c r="D192" s="11" t="s">
        <v>674</v>
      </c>
      <c r="E192" s="11">
        <f xml:space="preserve"> IF($S$179,1,0)</f>
        <v>0</v>
      </c>
      <c r="F192" s="11" t="s">
        <v>675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3" t="s">
        <v>676</v>
      </c>
      <c r="B193" s="14" t="s">
        <v>677</v>
      </c>
      <c r="C193" s="14"/>
      <c r="D193" s="14" t="s">
        <v>678</v>
      </c>
      <c r="E193" s="14">
        <f xml:space="preserve"> IF($S$180,1,0)</f>
        <v>0</v>
      </c>
      <c r="F193" s="14" t="s">
        <v>679</v>
      </c>
      <c r="G193" s="14">
        <v>0</v>
      </c>
      <c r="H193" s="14">
        <v>0</v>
      </c>
      <c r="I193" s="14">
        <v>0</v>
      </c>
      <c r="J193" s="14">
        <v>0</v>
      </c>
      <c r="K193" s="14">
        <v>0</v>
      </c>
      <c r="L193" s="14">
        <v>0</v>
      </c>
      <c r="M193" s="14">
        <v>0</v>
      </c>
      <c r="N193" s="14">
        <v>0</v>
      </c>
      <c r="O193" s="14">
        <v>0</v>
      </c>
      <c r="P193" s="14">
        <v>0</v>
      </c>
      <c r="Q193" s="15">
        <v>0</v>
      </c>
      <c r="R193" s="15">
        <v>0</v>
      </c>
      <c r="S193" s="15">
        <v>0</v>
      </c>
    </row>
    <row r="194" spans="1:19" x14ac:dyDescent="0.3">
      <c r="A194" s="10" t="s">
        <v>680</v>
      </c>
      <c r="B194" s="11" t="s">
        <v>681</v>
      </c>
      <c r="C194" s="11"/>
      <c r="D194" s="11" t="s">
        <v>682</v>
      </c>
      <c r="E194" s="11">
        <f xml:space="preserve"> IF($S$181,1,0)</f>
        <v>0</v>
      </c>
      <c r="F194" s="11" t="s">
        <v>683</v>
      </c>
      <c r="G194" s="11">
        <v>0</v>
      </c>
      <c r="H194" s="11">
        <v>0</v>
      </c>
      <c r="I194" s="11">
        <v>0</v>
      </c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>
        <v>0</v>
      </c>
      <c r="Q194" s="12">
        <v>0</v>
      </c>
      <c r="R194" s="12">
        <v>0</v>
      </c>
      <c r="S194" s="12">
        <v>0</v>
      </c>
    </row>
    <row r="195" spans="1:19" x14ac:dyDescent="0.3">
      <c r="A195" s="13" t="s">
        <v>684</v>
      </c>
      <c r="B195" s="14" t="s">
        <v>685</v>
      </c>
      <c r="C195" s="14"/>
      <c r="D195" s="14" t="s">
        <v>686</v>
      </c>
      <c r="E195" s="14">
        <f xml:space="preserve"> IF($S$182,1,0)</f>
        <v>0</v>
      </c>
      <c r="F195" s="14" t="s">
        <v>687</v>
      </c>
      <c r="G195" s="14">
        <v>0</v>
      </c>
      <c r="H195" s="14">
        <v>0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5">
        <v>0</v>
      </c>
      <c r="R195" s="15">
        <v>0</v>
      </c>
      <c r="S195" s="15">
        <v>0</v>
      </c>
    </row>
    <row r="196" spans="1:19" x14ac:dyDescent="0.3">
      <c r="A196" s="10" t="s">
        <v>688</v>
      </c>
      <c r="B196" s="11" t="s">
        <v>689</v>
      </c>
      <c r="C196" s="11"/>
      <c r="D196" s="11" t="s">
        <v>690</v>
      </c>
      <c r="E196" s="11">
        <f xml:space="preserve"> IF($S$183,1,0)</f>
        <v>0</v>
      </c>
      <c r="F196" s="11" t="s">
        <v>691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3" t="s">
        <v>692</v>
      </c>
      <c r="B197" s="14" t="s">
        <v>693</v>
      </c>
      <c r="C197" s="14" t="s">
        <v>65</v>
      </c>
      <c r="D197" s="14" t="s">
        <v>694</v>
      </c>
      <c r="E197" s="14">
        <f xml:space="preserve"> IF($S$184,1,0)</f>
        <v>0</v>
      </c>
      <c r="F197" s="14" t="s">
        <v>695</v>
      </c>
      <c r="G197" s="14">
        <v>0</v>
      </c>
      <c r="H197" s="14">
        <v>0</v>
      </c>
      <c r="I197" s="14">
        <v>0</v>
      </c>
      <c r="J197" s="14">
        <v>0</v>
      </c>
      <c r="K197" s="14">
        <v>0</v>
      </c>
      <c r="L197" s="14">
        <v>0</v>
      </c>
      <c r="M197" s="14">
        <v>0</v>
      </c>
      <c r="N197" s="14">
        <v>0</v>
      </c>
      <c r="O197" s="14">
        <v>0</v>
      </c>
      <c r="P197" s="14">
        <v>0</v>
      </c>
      <c r="Q197" s="15">
        <v>0</v>
      </c>
      <c r="R197" s="15">
        <v>0</v>
      </c>
      <c r="S197" s="15">
        <v>0</v>
      </c>
    </row>
    <row r="198" spans="1:19" x14ac:dyDescent="0.3">
      <c r="A198" s="13" t="s">
        <v>700</v>
      </c>
      <c r="B198" s="14" t="s">
        <v>697</v>
      </c>
      <c r="C198" s="14"/>
      <c r="D198" s="14" t="s">
        <v>701</v>
      </c>
      <c r="E198" s="14">
        <f xml:space="preserve"> IF($S$186,1,0)</f>
        <v>0</v>
      </c>
      <c r="F198" s="14" t="s">
        <v>702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</row>
    <row r="199" spans="1:19" x14ac:dyDescent="0.3">
      <c r="A199" s="10" t="s">
        <v>703</v>
      </c>
      <c r="B199" s="11" t="s">
        <v>704</v>
      </c>
      <c r="C199" s="11"/>
      <c r="D199" s="11" t="s">
        <v>705</v>
      </c>
      <c r="E199" s="11">
        <f xml:space="preserve"> IF($S$187,1,0)</f>
        <v>0</v>
      </c>
      <c r="F199" s="11" t="s">
        <v>706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</row>
    <row r="200" spans="1:19" x14ac:dyDescent="0.3">
      <c r="A200" s="10" t="s">
        <v>710</v>
      </c>
      <c r="B200" s="11" t="s">
        <v>708</v>
      </c>
      <c r="C200" s="11"/>
      <c r="D200" s="11" t="s">
        <v>711</v>
      </c>
      <c r="E200" s="11">
        <f xml:space="preserve"> IF($S$189,1,0)</f>
        <v>0</v>
      </c>
      <c r="F200" s="11" t="s">
        <v>712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0" t="s">
        <v>716</v>
      </c>
      <c r="B201" s="11" t="s">
        <v>717</v>
      </c>
      <c r="C201" s="11"/>
      <c r="D201" s="11" t="s">
        <v>718</v>
      </c>
      <c r="E201" s="11">
        <f xml:space="preserve"> IF($S$191,1,0)</f>
        <v>0</v>
      </c>
      <c r="F201" s="11" t="s">
        <v>719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</row>
    <row r="202" spans="1:19" x14ac:dyDescent="0.3">
      <c r="A202" s="13" t="s">
        <v>720</v>
      </c>
      <c r="B202" s="14" t="s">
        <v>721</v>
      </c>
      <c r="C202" s="14"/>
      <c r="D202" s="14" t="s">
        <v>722</v>
      </c>
      <c r="E202" s="14">
        <f xml:space="preserve"> IF($S$192,1,0)</f>
        <v>0</v>
      </c>
      <c r="F202" s="14" t="s">
        <v>723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</row>
    <row r="203" spans="1:19" x14ac:dyDescent="0.3">
      <c r="A203" s="13" t="s">
        <v>727</v>
      </c>
      <c r="B203" s="14" t="s">
        <v>728</v>
      </c>
      <c r="C203" s="14"/>
      <c r="D203" s="14" t="s">
        <v>729</v>
      </c>
      <c r="E203" s="14">
        <f xml:space="preserve"> IF($S$194,1,0)</f>
        <v>0</v>
      </c>
      <c r="F203" s="14" t="s">
        <v>730</v>
      </c>
      <c r="G203" s="14">
        <v>0</v>
      </c>
      <c r="H203" s="14">
        <v>0</v>
      </c>
      <c r="I203" s="14">
        <v>0</v>
      </c>
      <c r="J203" s="14">
        <v>0</v>
      </c>
      <c r="K203" s="14">
        <v>0</v>
      </c>
      <c r="L203" s="14">
        <v>0</v>
      </c>
      <c r="M203" s="14">
        <v>0</v>
      </c>
      <c r="N203" s="14">
        <v>0</v>
      </c>
      <c r="O203" s="14">
        <v>0</v>
      </c>
      <c r="P203" s="14">
        <v>0</v>
      </c>
      <c r="Q203" s="15">
        <v>0</v>
      </c>
      <c r="R203" s="15">
        <v>0</v>
      </c>
      <c r="S203" s="15">
        <v>0</v>
      </c>
    </row>
    <row r="204" spans="1:19" x14ac:dyDescent="0.3">
      <c r="A204" s="10" t="s">
        <v>731</v>
      </c>
      <c r="B204" s="11" t="s">
        <v>732</v>
      </c>
      <c r="C204" s="11"/>
      <c r="D204" s="11" t="s">
        <v>733</v>
      </c>
      <c r="E204" s="11">
        <f xml:space="preserve"> IF($S$195,1,0)</f>
        <v>0</v>
      </c>
      <c r="F204" s="11" t="s">
        <v>734</v>
      </c>
      <c r="G204" s="11">
        <v>0</v>
      </c>
      <c r="H204" s="11">
        <v>0</v>
      </c>
      <c r="I204" s="11">
        <v>0</v>
      </c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>
        <v>0</v>
      </c>
      <c r="Q204" s="12">
        <v>0</v>
      </c>
      <c r="R204" s="12">
        <v>0</v>
      </c>
      <c r="S204" s="12">
        <v>0</v>
      </c>
    </row>
    <row r="205" spans="1:19" x14ac:dyDescent="0.3">
      <c r="A205" s="13" t="s">
        <v>735</v>
      </c>
      <c r="B205" s="14" t="s">
        <v>736</v>
      </c>
      <c r="C205" s="14"/>
      <c r="D205" s="14" t="s">
        <v>737</v>
      </c>
      <c r="E205" s="14">
        <f xml:space="preserve"> IF($S$196,1,0)</f>
        <v>0</v>
      </c>
      <c r="F205" s="14" t="s">
        <v>738</v>
      </c>
      <c r="G205" s="14">
        <v>0</v>
      </c>
      <c r="H205" s="14">
        <v>0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4">
        <v>0</v>
      </c>
      <c r="P205" s="14">
        <v>0</v>
      </c>
      <c r="Q205" s="15">
        <v>0</v>
      </c>
      <c r="R205" s="15">
        <v>0</v>
      </c>
      <c r="S205" s="15">
        <v>0</v>
      </c>
    </row>
    <row r="206" spans="1:19" x14ac:dyDescent="0.3">
      <c r="A206" s="10" t="s">
        <v>739</v>
      </c>
      <c r="B206" s="11" t="s">
        <v>740</v>
      </c>
      <c r="C206" s="11" t="s">
        <v>65</v>
      </c>
      <c r="D206" s="11" t="s">
        <v>239</v>
      </c>
      <c r="E206" s="11">
        <f xml:space="preserve"> IF($S$197,1,0)</f>
        <v>0</v>
      </c>
      <c r="F206" s="11" t="s">
        <v>741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3" t="s">
        <v>742</v>
      </c>
      <c r="B207" s="14" t="s">
        <v>743</v>
      </c>
      <c r="C207" s="14"/>
      <c r="D207" s="14" t="s">
        <v>744</v>
      </c>
      <c r="E207" s="14">
        <f xml:space="preserve"> IF($S$198,1,0)</f>
        <v>0</v>
      </c>
      <c r="F207" s="14" t="s">
        <v>745</v>
      </c>
      <c r="G207" s="14">
        <v>0</v>
      </c>
      <c r="H207" s="14">
        <v>0</v>
      </c>
      <c r="I207" s="14">
        <v>0</v>
      </c>
      <c r="J207" s="14">
        <v>0</v>
      </c>
      <c r="K207" s="14">
        <v>0</v>
      </c>
      <c r="L207" s="14">
        <v>0</v>
      </c>
      <c r="M207" s="14">
        <v>0</v>
      </c>
      <c r="N207" s="14">
        <v>0</v>
      </c>
      <c r="O207" s="14">
        <v>0</v>
      </c>
      <c r="P207" s="14">
        <v>0</v>
      </c>
      <c r="Q207" s="15">
        <v>0</v>
      </c>
      <c r="R207" s="15">
        <v>0</v>
      </c>
      <c r="S207" s="15">
        <v>0</v>
      </c>
    </row>
    <row r="208" spans="1:19" x14ac:dyDescent="0.3">
      <c r="A208" s="10" t="s">
        <v>746</v>
      </c>
      <c r="B208" s="11" t="s">
        <v>747</v>
      </c>
      <c r="C208" s="11"/>
      <c r="D208" s="11" t="s">
        <v>748</v>
      </c>
      <c r="E208" s="11">
        <f xml:space="preserve"> IF($S$199,1,0)</f>
        <v>0</v>
      </c>
      <c r="F208" s="11" t="s">
        <v>749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3" t="s">
        <v>750</v>
      </c>
      <c r="B209" s="14" t="s">
        <v>751</v>
      </c>
      <c r="C209" s="14"/>
      <c r="D209" s="14" t="s">
        <v>752</v>
      </c>
      <c r="E209" s="14">
        <f xml:space="preserve"> IF($S$200,1,0)</f>
        <v>0</v>
      </c>
      <c r="F209" s="14" t="s">
        <v>753</v>
      </c>
      <c r="G209" s="14">
        <v>0</v>
      </c>
      <c r="H209" s="14">
        <v>0</v>
      </c>
      <c r="I209" s="14">
        <v>0</v>
      </c>
      <c r="J209" s="14">
        <v>0</v>
      </c>
      <c r="K209" s="14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5">
        <v>0</v>
      </c>
      <c r="R209" s="15">
        <v>0</v>
      </c>
      <c r="S209" s="15">
        <v>0</v>
      </c>
    </row>
    <row r="210" spans="1:19" x14ac:dyDescent="0.3">
      <c r="A210" s="10" t="s">
        <v>754</v>
      </c>
      <c r="B210" s="11" t="s">
        <v>755</v>
      </c>
      <c r="C210" s="11"/>
      <c r="D210" s="11" t="s">
        <v>756</v>
      </c>
      <c r="E210" s="11">
        <f xml:space="preserve"> IF($S$201,1,0)</f>
        <v>0</v>
      </c>
      <c r="F210" s="11" t="s">
        <v>757</v>
      </c>
      <c r="G210" s="11">
        <v>0</v>
      </c>
      <c r="H210" s="11">
        <v>0</v>
      </c>
      <c r="I210" s="11">
        <v>0</v>
      </c>
      <c r="J210" s="11">
        <v>0</v>
      </c>
      <c r="K210" s="11">
        <v>0</v>
      </c>
      <c r="L210" s="11">
        <v>0</v>
      </c>
      <c r="M210" s="11">
        <v>0</v>
      </c>
      <c r="N210" s="11">
        <v>0</v>
      </c>
      <c r="O210" s="11">
        <v>0</v>
      </c>
      <c r="P210" s="11">
        <v>0</v>
      </c>
      <c r="Q210" s="12">
        <v>0</v>
      </c>
      <c r="R210" s="12">
        <v>0</v>
      </c>
      <c r="S210" s="12">
        <v>0</v>
      </c>
    </row>
    <row r="211" spans="1:19" x14ac:dyDescent="0.3">
      <c r="A211" s="13" t="s">
        <v>758</v>
      </c>
      <c r="B211" s="14" t="s">
        <v>759</v>
      </c>
      <c r="C211" s="14"/>
      <c r="D211" s="14" t="s">
        <v>760</v>
      </c>
      <c r="E211" s="14">
        <f xml:space="preserve"> IF($S$202,1,0)</f>
        <v>0</v>
      </c>
      <c r="F211" s="14" t="s">
        <v>761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0" t="s">
        <v>762</v>
      </c>
      <c r="B212" s="11" t="s">
        <v>763</v>
      </c>
      <c r="C212" s="11"/>
      <c r="D212" s="11" t="s">
        <v>764</v>
      </c>
      <c r="E212" s="11">
        <f xml:space="preserve"> IF($S$203,1,0)</f>
        <v>0</v>
      </c>
      <c r="F212" s="11" t="s">
        <v>765</v>
      </c>
      <c r="G212" s="11">
        <v>0</v>
      </c>
      <c r="H212" s="11">
        <v>0</v>
      </c>
      <c r="I212" s="11">
        <v>0</v>
      </c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>
        <v>0</v>
      </c>
      <c r="Q212" s="12">
        <v>0</v>
      </c>
      <c r="R212" s="12">
        <v>0</v>
      </c>
      <c r="S212" s="12">
        <v>0</v>
      </c>
    </row>
    <row r="213" spans="1:19" x14ac:dyDescent="0.3">
      <c r="A213" s="13" t="s">
        <v>766</v>
      </c>
      <c r="B213" s="14" t="s">
        <v>767</v>
      </c>
      <c r="C213" s="14"/>
      <c r="D213" s="14" t="s">
        <v>768</v>
      </c>
      <c r="E213" s="14">
        <f xml:space="preserve"> IF($S$204,1,0)</f>
        <v>0</v>
      </c>
      <c r="F213" s="14" t="s">
        <v>769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770</v>
      </c>
      <c r="B214" s="11" t="s">
        <v>771</v>
      </c>
      <c r="C214" s="11"/>
      <c r="D214" s="11" t="s">
        <v>772</v>
      </c>
      <c r="E214" s="11">
        <f xml:space="preserve"> IF($S$205,1,0)</f>
        <v>0</v>
      </c>
      <c r="F214" s="11" t="s">
        <v>773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774</v>
      </c>
      <c r="B215" s="14" t="s">
        <v>775</v>
      </c>
      <c r="C215" s="14"/>
      <c r="D215" s="14" t="s">
        <v>776</v>
      </c>
      <c r="E215" s="14">
        <f xml:space="preserve"> IF($S$206,1,0)</f>
        <v>0</v>
      </c>
      <c r="F215" s="14" t="s">
        <v>777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0" t="s">
        <v>778</v>
      </c>
      <c r="B216" s="11" t="s">
        <v>779</v>
      </c>
      <c r="C216" s="11"/>
      <c r="D216" s="11" t="s">
        <v>780</v>
      </c>
      <c r="E216" s="11">
        <f xml:space="preserve"> IF($S$207,1,0)</f>
        <v>0</v>
      </c>
      <c r="F216" s="11" t="s">
        <v>781</v>
      </c>
      <c r="G216" s="11">
        <v>0</v>
      </c>
      <c r="H216" s="11">
        <v>0</v>
      </c>
      <c r="I216" s="11">
        <v>0</v>
      </c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>
        <v>0</v>
      </c>
      <c r="Q216" s="12">
        <v>0</v>
      </c>
      <c r="R216" s="12">
        <v>0</v>
      </c>
      <c r="S216" s="12">
        <v>0</v>
      </c>
    </row>
    <row r="217" spans="1:19" x14ac:dyDescent="0.3">
      <c r="A217" s="13" t="s">
        <v>782</v>
      </c>
      <c r="B217" s="14" t="s">
        <v>779</v>
      </c>
      <c r="C217" s="14"/>
      <c r="D217" s="14" t="s">
        <v>783</v>
      </c>
      <c r="E217" s="14">
        <f xml:space="preserve"> IF($S$208,1,0)</f>
        <v>0</v>
      </c>
      <c r="F217" s="14" t="s">
        <v>784</v>
      </c>
      <c r="G217" s="14">
        <v>0</v>
      </c>
      <c r="H217" s="14">
        <v>0</v>
      </c>
      <c r="I217" s="14">
        <v>0</v>
      </c>
      <c r="J217" s="14">
        <v>0</v>
      </c>
      <c r="K217" s="14">
        <v>0</v>
      </c>
      <c r="L217" s="14">
        <v>0</v>
      </c>
      <c r="M217" s="14">
        <v>0</v>
      </c>
      <c r="N217" s="14">
        <v>0</v>
      </c>
      <c r="O217" s="14">
        <v>0</v>
      </c>
      <c r="P217" s="14">
        <v>0</v>
      </c>
      <c r="Q217" s="15">
        <v>0</v>
      </c>
      <c r="R217" s="15">
        <v>0</v>
      </c>
      <c r="S217" s="15">
        <v>0</v>
      </c>
    </row>
    <row r="218" spans="1:19" x14ac:dyDescent="0.3">
      <c r="A218" s="13" t="s">
        <v>788</v>
      </c>
      <c r="B218" s="14" t="s">
        <v>789</v>
      </c>
      <c r="C218" s="14"/>
      <c r="D218" s="14" t="s">
        <v>790</v>
      </c>
      <c r="E218" s="14">
        <f xml:space="preserve"> IF($S$210,1,0)</f>
        <v>0</v>
      </c>
      <c r="F218" s="14" t="s">
        <v>791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</row>
    <row r="219" spans="1:19" x14ac:dyDescent="0.3">
      <c r="A219" s="10" t="s">
        <v>792</v>
      </c>
      <c r="B219" s="11" t="s">
        <v>793</v>
      </c>
      <c r="C219" s="11"/>
      <c r="D219" s="11" t="s">
        <v>794</v>
      </c>
      <c r="E219" s="11">
        <f xml:space="preserve"> IF($S$211,1,0)</f>
        <v>0</v>
      </c>
      <c r="F219" s="11" t="s">
        <v>795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</row>
    <row r="220" spans="1:19" x14ac:dyDescent="0.3">
      <c r="A220" s="13" t="s">
        <v>796</v>
      </c>
      <c r="B220" s="14" t="s">
        <v>797</v>
      </c>
      <c r="C220" s="14"/>
      <c r="D220" s="14" t="s">
        <v>798</v>
      </c>
      <c r="E220" s="14">
        <f xml:space="preserve"> IF($S$212,1,0)</f>
        <v>0</v>
      </c>
      <c r="F220" s="14" t="s">
        <v>799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0" t="s">
        <v>800</v>
      </c>
      <c r="B221" s="11" t="s">
        <v>797</v>
      </c>
      <c r="C221" s="11" t="s">
        <v>34</v>
      </c>
      <c r="D221" s="11" t="s">
        <v>801</v>
      </c>
      <c r="E221" s="11">
        <f xml:space="preserve"> IF($S$213,1,0)</f>
        <v>0</v>
      </c>
      <c r="F221" s="11" t="s">
        <v>802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</row>
    <row r="222" spans="1:19" x14ac:dyDescent="0.3">
      <c r="A222" s="13" t="s">
        <v>803</v>
      </c>
      <c r="B222" s="14" t="s">
        <v>804</v>
      </c>
      <c r="C222" s="14" t="s">
        <v>34</v>
      </c>
      <c r="D222" s="14" t="s">
        <v>805</v>
      </c>
      <c r="E222" s="14">
        <f xml:space="preserve"> IF($S$214,1,0)</f>
        <v>0</v>
      </c>
      <c r="F222" s="14" t="s">
        <v>806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807</v>
      </c>
      <c r="B223" s="11" t="s">
        <v>808</v>
      </c>
      <c r="C223" s="11"/>
      <c r="D223" s="11" t="s">
        <v>809</v>
      </c>
      <c r="E223" s="11">
        <f xml:space="preserve"> IF($S$215,1,0)</f>
        <v>0</v>
      </c>
      <c r="F223" s="11" t="s">
        <v>810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</row>
    <row r="224" spans="1:19" x14ac:dyDescent="0.3">
      <c r="A224" s="13" t="s">
        <v>811</v>
      </c>
      <c r="B224" s="14" t="s">
        <v>812</v>
      </c>
      <c r="C224" s="14"/>
      <c r="D224" s="14" t="s">
        <v>813</v>
      </c>
      <c r="E224" s="14">
        <f xml:space="preserve"> IF($S$216,1,0)</f>
        <v>0</v>
      </c>
      <c r="F224" s="14" t="s">
        <v>814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0" t="s">
        <v>815</v>
      </c>
      <c r="B225" s="11" t="s">
        <v>816</v>
      </c>
      <c r="C225" s="11"/>
      <c r="D225" s="11" t="s">
        <v>817</v>
      </c>
      <c r="E225" s="11">
        <f xml:space="preserve"> IF($S$217,1,0)</f>
        <v>0</v>
      </c>
      <c r="F225" s="11" t="s">
        <v>818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</row>
    <row r="226" spans="1:19" x14ac:dyDescent="0.3">
      <c r="A226" s="13" t="s">
        <v>819</v>
      </c>
      <c r="B226" s="14" t="s">
        <v>820</v>
      </c>
      <c r="C226" s="14"/>
      <c r="D226" s="14" t="s">
        <v>821</v>
      </c>
      <c r="E226" s="14">
        <f xml:space="preserve"> IF($S$218,1,0)</f>
        <v>0</v>
      </c>
      <c r="F226" s="14" t="s">
        <v>822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0" t="s">
        <v>823</v>
      </c>
      <c r="B227" s="11" t="s">
        <v>824</v>
      </c>
      <c r="C227" s="11"/>
      <c r="D227" s="11" t="s">
        <v>825</v>
      </c>
      <c r="E227" s="11">
        <f xml:space="preserve"> IF($S$219,1,0)</f>
        <v>0</v>
      </c>
      <c r="F227" s="11" t="s">
        <v>826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</row>
    <row r="228" spans="1:19" x14ac:dyDescent="0.3">
      <c r="A228" s="13" t="s">
        <v>827</v>
      </c>
      <c r="B228" s="14" t="s">
        <v>828</v>
      </c>
      <c r="C228" s="14"/>
      <c r="D228" s="14" t="s">
        <v>829</v>
      </c>
      <c r="E228" s="14">
        <f xml:space="preserve"> IF($S$220,1,0)</f>
        <v>0</v>
      </c>
      <c r="F228" s="14" t="s">
        <v>830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0" t="s">
        <v>831</v>
      </c>
      <c r="B229" s="11" t="s">
        <v>832</v>
      </c>
      <c r="C229" s="11"/>
      <c r="D229" s="11" t="s">
        <v>833</v>
      </c>
      <c r="E229" s="11">
        <f xml:space="preserve"> IF($S$221,1,0)</f>
        <v>0</v>
      </c>
      <c r="F229" s="11" t="s">
        <v>834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</row>
    <row r="230" spans="1:19" x14ac:dyDescent="0.3">
      <c r="A230" s="13" t="s">
        <v>835</v>
      </c>
      <c r="B230" s="14" t="s">
        <v>836</v>
      </c>
      <c r="C230" s="14"/>
      <c r="D230" s="14" t="s">
        <v>837</v>
      </c>
      <c r="E230" s="14">
        <f xml:space="preserve"> IF($S$222,1,0)</f>
        <v>0</v>
      </c>
      <c r="F230" s="14" t="s">
        <v>838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</row>
    <row r="231" spans="1:19" x14ac:dyDescent="0.3">
      <c r="A231" s="10" t="s">
        <v>839</v>
      </c>
      <c r="B231" s="11" t="s">
        <v>840</v>
      </c>
      <c r="C231" s="11"/>
      <c r="D231" s="11" t="s">
        <v>841</v>
      </c>
      <c r="E231" s="11">
        <f xml:space="preserve"> IF($S$223,1,0)</f>
        <v>0</v>
      </c>
      <c r="F231" s="11" t="s">
        <v>842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</row>
    <row r="232" spans="1:19" x14ac:dyDescent="0.3">
      <c r="A232" s="13" t="s">
        <v>843</v>
      </c>
      <c r="B232" s="14" t="s">
        <v>844</v>
      </c>
      <c r="C232" s="14"/>
      <c r="D232" s="14" t="s">
        <v>845</v>
      </c>
      <c r="E232" s="14">
        <f xml:space="preserve"> IF($S$224,1,0)</f>
        <v>0</v>
      </c>
      <c r="F232" s="14" t="s">
        <v>846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</row>
    <row r="233" spans="1:19" x14ac:dyDescent="0.3">
      <c r="A233" s="10" t="s">
        <v>847</v>
      </c>
      <c r="B233" s="11" t="s">
        <v>848</v>
      </c>
      <c r="C233" s="11" t="s">
        <v>202</v>
      </c>
      <c r="D233" s="11" t="s">
        <v>849</v>
      </c>
      <c r="E233" s="11">
        <f xml:space="preserve"> IF($S$225,1,0)</f>
        <v>0</v>
      </c>
      <c r="F233" s="11" t="s">
        <v>850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</row>
    <row r="234" spans="1:19" x14ac:dyDescent="0.3">
      <c r="A234" s="13" t="s">
        <v>851</v>
      </c>
      <c r="B234" s="14" t="s">
        <v>852</v>
      </c>
      <c r="C234" s="14"/>
      <c r="D234" s="14" t="s">
        <v>853</v>
      </c>
      <c r="E234" s="14">
        <f xml:space="preserve"> IF($S$226,1,0)</f>
        <v>0</v>
      </c>
      <c r="F234" s="14" t="s">
        <v>854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</row>
    <row r="235" spans="1:19" x14ac:dyDescent="0.3">
      <c r="A235" s="13" t="s">
        <v>858</v>
      </c>
      <c r="B235" s="14" t="s">
        <v>859</v>
      </c>
      <c r="C235" s="14"/>
      <c r="D235" s="14" t="s">
        <v>860</v>
      </c>
      <c r="E235" s="14">
        <f xml:space="preserve"> IF($S$228,1,0)</f>
        <v>0</v>
      </c>
      <c r="F235" s="14" t="s">
        <v>861</v>
      </c>
      <c r="G235" s="14">
        <v>0</v>
      </c>
      <c r="H235" s="14">
        <v>0</v>
      </c>
      <c r="I235" s="14">
        <v>0</v>
      </c>
      <c r="J235" s="14">
        <v>0</v>
      </c>
      <c r="K235" s="14">
        <v>0</v>
      </c>
      <c r="L235" s="14">
        <v>0</v>
      </c>
      <c r="M235" s="14">
        <v>0</v>
      </c>
      <c r="N235" s="14">
        <v>0</v>
      </c>
      <c r="O235" s="14">
        <v>0</v>
      </c>
      <c r="P235" s="14">
        <v>0</v>
      </c>
      <c r="Q235" s="15">
        <v>0</v>
      </c>
      <c r="R235" s="15">
        <v>0</v>
      </c>
      <c r="S235" s="15">
        <v>0</v>
      </c>
    </row>
    <row r="236" spans="1:19" x14ac:dyDescent="0.3">
      <c r="A236" s="10" t="s">
        <v>862</v>
      </c>
      <c r="B236" s="11" t="s">
        <v>863</v>
      </c>
      <c r="C236" s="11"/>
      <c r="D236" s="11" t="s">
        <v>864</v>
      </c>
      <c r="E236" s="11">
        <f xml:space="preserve"> IF($S$229,1,0)</f>
        <v>0</v>
      </c>
      <c r="F236" s="11" t="s">
        <v>865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2">
        <v>0</v>
      </c>
      <c r="R236" s="12">
        <v>0</v>
      </c>
      <c r="S236" s="12">
        <v>0</v>
      </c>
    </row>
    <row r="237" spans="1:19" x14ac:dyDescent="0.3">
      <c r="A237" s="13" t="s">
        <v>866</v>
      </c>
      <c r="B237" s="14" t="s">
        <v>867</v>
      </c>
      <c r="C237" s="14"/>
      <c r="D237" s="14" t="s">
        <v>868</v>
      </c>
      <c r="E237" s="14">
        <f xml:space="preserve"> IF($S$230,1,0)</f>
        <v>0</v>
      </c>
      <c r="F237" s="14" t="s">
        <v>869</v>
      </c>
      <c r="G237" s="14">
        <v>0</v>
      </c>
      <c r="H237" s="14">
        <v>0</v>
      </c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5">
        <v>0</v>
      </c>
      <c r="R237" s="15">
        <v>0</v>
      </c>
      <c r="S237" s="15">
        <v>0</v>
      </c>
    </row>
    <row r="238" spans="1:19" x14ac:dyDescent="0.3">
      <c r="A238" s="10" t="s">
        <v>870</v>
      </c>
      <c r="B238" s="11" t="s">
        <v>871</v>
      </c>
      <c r="C238" s="11" t="s">
        <v>243</v>
      </c>
      <c r="D238" s="11" t="s">
        <v>399</v>
      </c>
      <c r="E238" s="11">
        <f xml:space="preserve"> IF($S$231,1,0)</f>
        <v>0</v>
      </c>
      <c r="F238" s="11" t="s">
        <v>872</v>
      </c>
      <c r="G238" s="11">
        <v>0</v>
      </c>
      <c r="H238" s="11">
        <v>0</v>
      </c>
      <c r="I238" s="11">
        <v>0</v>
      </c>
      <c r="J238" s="11">
        <v>0</v>
      </c>
      <c r="K238" s="11">
        <v>0</v>
      </c>
      <c r="L238" s="11">
        <v>0</v>
      </c>
      <c r="M238" s="11">
        <v>0</v>
      </c>
      <c r="N238" s="11">
        <v>0</v>
      </c>
      <c r="O238" s="11">
        <v>0</v>
      </c>
      <c r="P238" s="11">
        <v>0</v>
      </c>
      <c r="Q238" s="12">
        <v>0</v>
      </c>
      <c r="R238" s="12">
        <v>0</v>
      </c>
      <c r="S238" s="12">
        <v>0</v>
      </c>
    </row>
    <row r="239" spans="1:19" x14ac:dyDescent="0.3">
      <c r="A239" s="13" t="s">
        <v>873</v>
      </c>
      <c r="B239" s="14" t="s">
        <v>874</v>
      </c>
      <c r="C239" s="14"/>
      <c r="D239" s="14" t="s">
        <v>875</v>
      </c>
      <c r="E239" s="14">
        <f xml:space="preserve"> IF($S$232,1,0)</f>
        <v>0</v>
      </c>
      <c r="F239" s="14" t="s">
        <v>876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5">
        <v>0</v>
      </c>
      <c r="R239" s="15">
        <v>0</v>
      </c>
      <c r="S239" s="15">
        <v>0</v>
      </c>
    </row>
    <row r="240" spans="1:19" x14ac:dyDescent="0.3">
      <c r="A240" s="10" t="s">
        <v>877</v>
      </c>
      <c r="B240" s="11" t="s">
        <v>878</v>
      </c>
      <c r="C240" s="11"/>
      <c r="D240" s="11" t="s">
        <v>879</v>
      </c>
      <c r="E240" s="11">
        <f xml:space="preserve"> IF($S$233,1,0)</f>
        <v>0</v>
      </c>
      <c r="F240" s="11" t="s">
        <v>880</v>
      </c>
      <c r="G240" s="11">
        <v>0</v>
      </c>
      <c r="H240" s="11">
        <v>0</v>
      </c>
      <c r="I240" s="11">
        <v>0</v>
      </c>
      <c r="J240" s="11">
        <v>0</v>
      </c>
      <c r="K240" s="11">
        <v>0</v>
      </c>
      <c r="L240" s="11">
        <v>0</v>
      </c>
      <c r="M240" s="11">
        <v>0</v>
      </c>
      <c r="N240" s="11">
        <v>0</v>
      </c>
      <c r="O240" s="11">
        <v>0</v>
      </c>
      <c r="P240" s="11">
        <v>0</v>
      </c>
      <c r="Q240" s="12">
        <v>0</v>
      </c>
      <c r="R240" s="12">
        <v>0</v>
      </c>
      <c r="S240" s="12">
        <v>0</v>
      </c>
    </row>
    <row r="241" spans="1:19" x14ac:dyDescent="0.3">
      <c r="A241" s="13" t="s">
        <v>881</v>
      </c>
      <c r="B241" s="14" t="s">
        <v>882</v>
      </c>
      <c r="C241" s="14"/>
      <c r="D241" s="14" t="s">
        <v>883</v>
      </c>
      <c r="E241" s="14">
        <f xml:space="preserve"> IF($S$234,1,0)</f>
        <v>0</v>
      </c>
      <c r="F241" s="14" t="s">
        <v>884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885</v>
      </c>
      <c r="B242" s="11" t="s">
        <v>886</v>
      </c>
      <c r="C242" s="11" t="s">
        <v>887</v>
      </c>
      <c r="D242" s="11" t="s">
        <v>888</v>
      </c>
      <c r="E242" s="11">
        <f xml:space="preserve"> IF($S$235,1,0)</f>
        <v>0</v>
      </c>
      <c r="F242" s="11" t="s">
        <v>889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0</v>
      </c>
      <c r="R242" s="12">
        <v>0</v>
      </c>
      <c r="S242" s="12">
        <v>0</v>
      </c>
    </row>
    <row r="243" spans="1:19" x14ac:dyDescent="0.3">
      <c r="A243" s="13" t="s">
        <v>890</v>
      </c>
      <c r="B243" s="14" t="s">
        <v>886</v>
      </c>
      <c r="C243" s="14"/>
      <c r="D243" s="14" t="s">
        <v>891</v>
      </c>
      <c r="E243" s="14">
        <f xml:space="preserve"> IF($S$236,1,0)</f>
        <v>0</v>
      </c>
      <c r="F243" s="14" t="s">
        <v>892</v>
      </c>
      <c r="G243" s="14">
        <v>0</v>
      </c>
      <c r="H243" s="14">
        <v>0</v>
      </c>
      <c r="I243" s="14">
        <v>0</v>
      </c>
      <c r="J243" s="14">
        <v>0</v>
      </c>
      <c r="K243" s="14">
        <v>0</v>
      </c>
      <c r="L243" s="14">
        <v>0</v>
      </c>
      <c r="M243" s="14">
        <v>0</v>
      </c>
      <c r="N243" s="14">
        <v>0</v>
      </c>
      <c r="O243" s="14">
        <v>0</v>
      </c>
      <c r="P243" s="14">
        <v>0</v>
      </c>
      <c r="Q243" s="15">
        <v>0</v>
      </c>
      <c r="R243" s="15">
        <v>0</v>
      </c>
      <c r="S243" s="15">
        <v>0</v>
      </c>
    </row>
    <row r="244" spans="1:19" x14ac:dyDescent="0.3">
      <c r="A244" s="10" t="s">
        <v>893</v>
      </c>
      <c r="B244" s="11" t="s">
        <v>894</v>
      </c>
      <c r="C244" s="11"/>
      <c r="D244" s="11" t="s">
        <v>895</v>
      </c>
      <c r="E244" s="11">
        <f xml:space="preserve"> IF($S$237,1,0)</f>
        <v>0</v>
      </c>
      <c r="F244" s="11" t="s">
        <v>896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3" t="s">
        <v>897</v>
      </c>
      <c r="B245" s="14" t="s">
        <v>898</v>
      </c>
      <c r="C245" s="14"/>
      <c r="D245" s="14" t="s">
        <v>899</v>
      </c>
      <c r="E245" s="14">
        <f xml:space="preserve"> IF($S$238,1,0)</f>
        <v>0</v>
      </c>
      <c r="F245" s="14" t="s">
        <v>900</v>
      </c>
      <c r="G245" s="14">
        <v>0</v>
      </c>
      <c r="H245" s="14">
        <v>0</v>
      </c>
      <c r="I245" s="14">
        <v>0</v>
      </c>
      <c r="J245" s="14">
        <v>0</v>
      </c>
      <c r="K245" s="14">
        <v>0</v>
      </c>
      <c r="L245" s="14">
        <v>0</v>
      </c>
      <c r="M245" s="14">
        <v>0</v>
      </c>
      <c r="N245" s="14">
        <v>0</v>
      </c>
      <c r="O245" s="14">
        <v>0</v>
      </c>
      <c r="P245" s="14">
        <v>0</v>
      </c>
      <c r="Q245" s="15">
        <v>0</v>
      </c>
      <c r="R245" s="15">
        <v>0</v>
      </c>
      <c r="S245" s="15">
        <v>0</v>
      </c>
    </row>
    <row r="246" spans="1:19" x14ac:dyDescent="0.3">
      <c r="A246" s="10" t="s">
        <v>901</v>
      </c>
      <c r="B246" s="11" t="s">
        <v>902</v>
      </c>
      <c r="C246" s="11"/>
      <c r="D246" s="11" t="s">
        <v>903</v>
      </c>
      <c r="E246" s="11">
        <f xml:space="preserve"> IF($S$239,1,0)</f>
        <v>0</v>
      </c>
      <c r="F246" s="11" t="s">
        <v>904</v>
      </c>
      <c r="G246" s="11">
        <v>0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0</v>
      </c>
      <c r="R246" s="12">
        <v>0</v>
      </c>
      <c r="S246" s="12">
        <v>0</v>
      </c>
    </row>
    <row r="247" spans="1:19" x14ac:dyDescent="0.3">
      <c r="A247" s="13" t="s">
        <v>905</v>
      </c>
      <c r="B247" s="14" t="s">
        <v>906</v>
      </c>
      <c r="C247" s="14" t="s">
        <v>283</v>
      </c>
      <c r="D247" s="14" t="s">
        <v>296</v>
      </c>
      <c r="E247" s="14">
        <f xml:space="preserve"> IF($S$240,1,0)</f>
        <v>0</v>
      </c>
      <c r="F247" s="14" t="s">
        <v>907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908</v>
      </c>
      <c r="B248" s="11" t="s">
        <v>909</v>
      </c>
      <c r="C248" s="11"/>
      <c r="D248" s="11" t="s">
        <v>910</v>
      </c>
      <c r="E248" s="11">
        <f xml:space="preserve"> IF($S$241,1,0)</f>
        <v>0</v>
      </c>
      <c r="F248" s="11" t="s">
        <v>911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912</v>
      </c>
      <c r="B249" s="14" t="s">
        <v>913</v>
      </c>
      <c r="C249" s="14" t="s">
        <v>65</v>
      </c>
      <c r="D249" s="14" t="s">
        <v>914</v>
      </c>
      <c r="E249" s="14">
        <f xml:space="preserve"> IF($S$242,1,0)</f>
        <v>0</v>
      </c>
      <c r="F249" s="14" t="s">
        <v>915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916</v>
      </c>
      <c r="B250" s="11" t="s">
        <v>917</v>
      </c>
      <c r="C250" s="11"/>
      <c r="D250" s="11" t="s">
        <v>918</v>
      </c>
      <c r="E250" s="11">
        <f xml:space="preserve"> IF($S$243,1,0)</f>
        <v>0</v>
      </c>
      <c r="F250" s="11" t="s">
        <v>919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920</v>
      </c>
      <c r="B251" s="14" t="s">
        <v>917</v>
      </c>
      <c r="C251" s="14"/>
      <c r="D251" s="14" t="s">
        <v>921</v>
      </c>
      <c r="E251" s="14">
        <f xml:space="preserve"> IF($S$244,1,0)</f>
        <v>0</v>
      </c>
      <c r="F251" s="14" t="s">
        <v>922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0" t="s">
        <v>923</v>
      </c>
      <c r="B252" s="11" t="s">
        <v>917</v>
      </c>
      <c r="C252" s="11" t="s">
        <v>34</v>
      </c>
      <c r="D252" s="11" t="s">
        <v>924</v>
      </c>
      <c r="E252" s="11">
        <f xml:space="preserve"> IF($S$245,1,0)</f>
        <v>0</v>
      </c>
      <c r="F252" s="11" t="s">
        <v>925</v>
      </c>
      <c r="G252" s="11">
        <v>0</v>
      </c>
      <c r="H252" s="11">
        <v>0</v>
      </c>
      <c r="I252" s="11">
        <v>0</v>
      </c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>
        <v>0</v>
      </c>
      <c r="Q252" s="12">
        <v>0</v>
      </c>
      <c r="R252" s="12">
        <v>0</v>
      </c>
      <c r="S252" s="12">
        <v>0</v>
      </c>
    </row>
    <row r="253" spans="1:19" x14ac:dyDescent="0.3">
      <c r="A253" s="13" t="s">
        <v>926</v>
      </c>
      <c r="B253" s="14" t="s">
        <v>927</v>
      </c>
      <c r="C253" s="14"/>
      <c r="D253" s="14" t="s">
        <v>928</v>
      </c>
      <c r="E253" s="14">
        <f xml:space="preserve"> IF($S$246,1,0)</f>
        <v>0</v>
      </c>
      <c r="F253" s="14" t="s">
        <v>929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5">
        <v>0</v>
      </c>
      <c r="R253" s="15">
        <v>0</v>
      </c>
      <c r="S253" s="15">
        <v>0</v>
      </c>
    </row>
    <row r="254" spans="1:19" x14ac:dyDescent="0.3">
      <c r="A254" s="10" t="s">
        <v>930</v>
      </c>
      <c r="B254" s="11" t="s">
        <v>931</v>
      </c>
      <c r="C254" s="11"/>
      <c r="D254" s="11" t="s">
        <v>932</v>
      </c>
      <c r="E254" s="11">
        <f xml:space="preserve"> IF($S$247,1,0)</f>
        <v>0</v>
      </c>
      <c r="F254" s="11" t="s">
        <v>933</v>
      </c>
      <c r="G254" s="11">
        <v>0</v>
      </c>
      <c r="H254" s="11">
        <v>0</v>
      </c>
      <c r="I254" s="11">
        <v>0</v>
      </c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>
        <v>0</v>
      </c>
      <c r="Q254" s="12">
        <v>0</v>
      </c>
      <c r="R254" s="12">
        <v>0</v>
      </c>
      <c r="S254" s="12">
        <v>0</v>
      </c>
    </row>
    <row r="255" spans="1:19" x14ac:dyDescent="0.3">
      <c r="A255" s="13" t="s">
        <v>934</v>
      </c>
      <c r="B255" s="14" t="s">
        <v>935</v>
      </c>
      <c r="C255" s="14"/>
      <c r="D255" s="14" t="s">
        <v>936</v>
      </c>
      <c r="E255" s="14">
        <f xml:space="preserve"> IF($S$248,1,0)</f>
        <v>0</v>
      </c>
      <c r="F255" s="14" t="s">
        <v>937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5">
        <v>0</v>
      </c>
      <c r="R255" s="15">
        <v>0</v>
      </c>
      <c r="S255" s="15">
        <v>0</v>
      </c>
    </row>
    <row r="256" spans="1:19" x14ac:dyDescent="0.3">
      <c r="A256" s="10" t="s">
        <v>946</v>
      </c>
      <c r="B256" s="11" t="s">
        <v>947</v>
      </c>
      <c r="C256" s="11"/>
      <c r="D256" s="11" t="s">
        <v>948</v>
      </c>
      <c r="E256" s="11">
        <f xml:space="preserve"> IF($S$251,1,0)</f>
        <v>0</v>
      </c>
      <c r="F256" s="11" t="s">
        <v>949</v>
      </c>
      <c r="G256" s="11">
        <v>0</v>
      </c>
      <c r="H256" s="11">
        <v>0</v>
      </c>
      <c r="I256" s="11">
        <v>0</v>
      </c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>
        <v>0</v>
      </c>
      <c r="Q256" s="12">
        <v>0</v>
      </c>
      <c r="R256" s="12">
        <v>0</v>
      </c>
      <c r="S256" s="12">
        <v>0</v>
      </c>
    </row>
    <row r="257" spans="1:19" x14ac:dyDescent="0.3">
      <c r="A257" s="13" t="s">
        <v>950</v>
      </c>
      <c r="B257" s="14" t="s">
        <v>951</v>
      </c>
      <c r="C257" s="14" t="s">
        <v>34</v>
      </c>
      <c r="D257" s="14" t="s">
        <v>118</v>
      </c>
      <c r="E257" s="14">
        <f xml:space="preserve"> IF($S$252,1,0)</f>
        <v>0</v>
      </c>
      <c r="F257" s="14" t="s">
        <v>952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0" t="s">
        <v>953</v>
      </c>
      <c r="B258" s="11" t="s">
        <v>954</v>
      </c>
      <c r="C258" s="11"/>
      <c r="D258" s="11" t="s">
        <v>955</v>
      </c>
      <c r="E258" s="11">
        <f xml:space="preserve"> IF($S$253,1,0)</f>
        <v>0</v>
      </c>
      <c r="F258" s="11" t="s">
        <v>956</v>
      </c>
      <c r="G258" s="11">
        <v>0</v>
      </c>
      <c r="H258" s="11">
        <v>0</v>
      </c>
      <c r="I258" s="11">
        <v>0</v>
      </c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>
        <v>0</v>
      </c>
      <c r="Q258" s="12">
        <v>0</v>
      </c>
      <c r="R258" s="12">
        <v>0</v>
      </c>
      <c r="S258" s="12">
        <v>0</v>
      </c>
    </row>
    <row r="259" spans="1:19" x14ac:dyDescent="0.3">
      <c r="A259" s="13" t="s">
        <v>957</v>
      </c>
      <c r="B259" s="14" t="s">
        <v>958</v>
      </c>
      <c r="C259" s="14" t="s">
        <v>65</v>
      </c>
      <c r="D259" s="14" t="s">
        <v>959</v>
      </c>
      <c r="E259" s="14">
        <f xml:space="preserve"> IF($S$254,1,0)</f>
        <v>0</v>
      </c>
      <c r="F259" s="14" t="s">
        <v>960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0</v>
      </c>
      <c r="R259" s="15">
        <v>0</v>
      </c>
      <c r="S259" s="15">
        <v>0</v>
      </c>
    </row>
    <row r="260" spans="1:19" x14ac:dyDescent="0.3">
      <c r="A260" s="10" t="s">
        <v>961</v>
      </c>
      <c r="B260" s="11" t="s">
        <v>962</v>
      </c>
      <c r="C260" s="11" t="s">
        <v>202</v>
      </c>
      <c r="D260" s="11" t="s">
        <v>963</v>
      </c>
      <c r="E260" s="11">
        <f xml:space="preserve"> IF($S$255,1,0)</f>
        <v>0</v>
      </c>
      <c r="F260" s="11" t="s">
        <v>964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965</v>
      </c>
      <c r="B261" s="14" t="s">
        <v>966</v>
      </c>
      <c r="C261" s="14"/>
      <c r="D261" s="14" t="s">
        <v>609</v>
      </c>
      <c r="E261" s="14">
        <f xml:space="preserve"> IF($S$256,1,0)</f>
        <v>0</v>
      </c>
      <c r="F261" s="14" t="s">
        <v>967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0</v>
      </c>
      <c r="R261" s="15">
        <v>0</v>
      </c>
      <c r="S261" s="15">
        <v>0</v>
      </c>
    </row>
    <row r="262" spans="1:19" x14ac:dyDescent="0.3">
      <c r="A262" s="10" t="s">
        <v>968</v>
      </c>
      <c r="B262" s="11" t="s">
        <v>969</v>
      </c>
      <c r="C262" s="11"/>
      <c r="D262" s="11" t="s">
        <v>970</v>
      </c>
      <c r="E262" s="11">
        <f xml:space="preserve"> IF($S$257,1,0)</f>
        <v>0</v>
      </c>
      <c r="F262" s="11" t="s">
        <v>971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3" t="s">
        <v>972</v>
      </c>
      <c r="B263" s="14" t="s">
        <v>973</v>
      </c>
      <c r="C263" s="14"/>
      <c r="D263" s="14" t="s">
        <v>974</v>
      </c>
      <c r="E263" s="14">
        <f xml:space="preserve"> IF($S$258,1,0)</f>
        <v>0</v>
      </c>
      <c r="F263" s="14" t="s">
        <v>975</v>
      </c>
      <c r="G263" s="14">
        <v>0</v>
      </c>
      <c r="H263" s="14">
        <v>0</v>
      </c>
      <c r="I263" s="14">
        <v>0</v>
      </c>
      <c r="J263" s="14">
        <v>0</v>
      </c>
      <c r="K263" s="14">
        <v>0</v>
      </c>
      <c r="L263" s="14">
        <v>0</v>
      </c>
      <c r="M263" s="14">
        <v>0</v>
      </c>
      <c r="N263" s="14">
        <v>0</v>
      </c>
      <c r="O263" s="14">
        <v>0</v>
      </c>
      <c r="P263" s="14">
        <v>0</v>
      </c>
      <c r="Q263" s="15">
        <v>0</v>
      </c>
      <c r="R263" s="15">
        <v>0</v>
      </c>
      <c r="S263" s="15">
        <v>0</v>
      </c>
    </row>
    <row r="264" spans="1:19" x14ac:dyDescent="0.3">
      <c r="A264" s="10" t="s">
        <v>976</v>
      </c>
      <c r="B264" s="11" t="s">
        <v>977</v>
      </c>
      <c r="C264" s="11"/>
      <c r="D264" s="11" t="s">
        <v>978</v>
      </c>
      <c r="E264" s="11">
        <f xml:space="preserve"> IF($S$259,1,0)</f>
        <v>0</v>
      </c>
      <c r="F264" s="11" t="s">
        <v>979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980</v>
      </c>
      <c r="B265" s="14" t="s">
        <v>981</v>
      </c>
      <c r="C265" s="14" t="s">
        <v>34</v>
      </c>
      <c r="D265" s="14" t="s">
        <v>982</v>
      </c>
      <c r="E265" s="14">
        <f xml:space="preserve"> IF($S$260,1,0)</f>
        <v>0</v>
      </c>
      <c r="F265" s="14" t="s">
        <v>983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5">
        <v>0</v>
      </c>
      <c r="R265" s="15">
        <v>0</v>
      </c>
      <c r="S265" s="15">
        <v>0</v>
      </c>
    </row>
    <row r="266" spans="1:19" x14ac:dyDescent="0.3">
      <c r="A266" s="10" t="s">
        <v>984</v>
      </c>
      <c r="B266" s="11" t="s">
        <v>985</v>
      </c>
      <c r="C266" s="11" t="s">
        <v>202</v>
      </c>
      <c r="D266" s="11" t="s">
        <v>986</v>
      </c>
      <c r="E266" s="11">
        <f xml:space="preserve"> IF($S$261,1,0)</f>
        <v>0</v>
      </c>
      <c r="F266" s="11" t="s">
        <v>987</v>
      </c>
      <c r="G266" s="11">
        <v>0</v>
      </c>
      <c r="H266" s="11">
        <v>0</v>
      </c>
      <c r="I266" s="11">
        <v>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>
        <v>0</v>
      </c>
      <c r="Q266" s="12">
        <v>0</v>
      </c>
      <c r="R266" s="12">
        <v>0</v>
      </c>
      <c r="S266" s="12">
        <v>0</v>
      </c>
    </row>
    <row r="267" spans="1:19" x14ac:dyDescent="0.3">
      <c r="A267" s="13" t="s">
        <v>988</v>
      </c>
      <c r="B267" s="14" t="s">
        <v>989</v>
      </c>
      <c r="C267" s="14" t="s">
        <v>887</v>
      </c>
      <c r="D267" s="14" t="s">
        <v>990</v>
      </c>
      <c r="E267" s="14">
        <f xml:space="preserve"> IF($S$262,1,0)</f>
        <v>0</v>
      </c>
      <c r="F267" s="14" t="s">
        <v>991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0" t="s">
        <v>992</v>
      </c>
      <c r="B268" s="11" t="s">
        <v>343</v>
      </c>
      <c r="C268" s="11"/>
      <c r="D268" s="11" t="s">
        <v>993</v>
      </c>
      <c r="E268" s="11">
        <f xml:space="preserve"> IF($S$263,1,0)</f>
        <v>0</v>
      </c>
      <c r="F268" s="11" t="s">
        <v>994</v>
      </c>
      <c r="G268" s="11">
        <v>0</v>
      </c>
      <c r="H268" s="11">
        <v>0</v>
      </c>
      <c r="I268" s="11">
        <v>0</v>
      </c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>
        <v>0</v>
      </c>
      <c r="Q268" s="12">
        <v>0</v>
      </c>
      <c r="R268" s="12">
        <v>0</v>
      </c>
      <c r="S268" s="12">
        <v>0</v>
      </c>
    </row>
    <row r="269" spans="1:19" x14ac:dyDescent="0.3">
      <c r="A269" s="13" t="s">
        <v>995</v>
      </c>
      <c r="B269" s="14" t="s">
        <v>996</v>
      </c>
      <c r="C269" s="14"/>
      <c r="D269" s="14" t="s">
        <v>997</v>
      </c>
      <c r="E269" s="14">
        <f xml:space="preserve"> IF($S$264,1,0)</f>
        <v>0</v>
      </c>
      <c r="F269" s="14" t="s">
        <v>998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0" t="s">
        <v>999</v>
      </c>
      <c r="B270" s="11" t="s">
        <v>1000</v>
      </c>
      <c r="C270" s="11" t="s">
        <v>202</v>
      </c>
      <c r="D270" s="11" t="s">
        <v>1001</v>
      </c>
      <c r="E270" s="11">
        <f xml:space="preserve"> IF($S$265,1,0)</f>
        <v>0</v>
      </c>
      <c r="F270" s="11" t="s">
        <v>1002</v>
      </c>
      <c r="G270" s="11">
        <v>0</v>
      </c>
      <c r="H270" s="11">
        <v>0</v>
      </c>
      <c r="I270" s="11">
        <v>0</v>
      </c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>
        <v>0</v>
      </c>
      <c r="Q270" s="12">
        <v>0</v>
      </c>
      <c r="R270" s="12">
        <v>0</v>
      </c>
      <c r="S270" s="12">
        <v>0</v>
      </c>
    </row>
    <row r="271" spans="1:19" x14ac:dyDescent="0.3">
      <c r="A271" s="13" t="s">
        <v>1003</v>
      </c>
      <c r="B271" s="14" t="s">
        <v>1004</v>
      </c>
      <c r="C271" s="14"/>
      <c r="D271" s="14" t="s">
        <v>1005</v>
      </c>
      <c r="E271" s="14">
        <f xml:space="preserve"> IF($S$266,1,0)</f>
        <v>0</v>
      </c>
      <c r="F271" s="14" t="s">
        <v>1006</v>
      </c>
      <c r="G271" s="14">
        <v>0</v>
      </c>
      <c r="H271" s="14">
        <v>0</v>
      </c>
      <c r="I271" s="14">
        <v>0</v>
      </c>
      <c r="J271" s="14">
        <v>0</v>
      </c>
      <c r="K271" s="14">
        <v>0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5">
        <v>0</v>
      </c>
      <c r="R271" s="15">
        <v>0</v>
      </c>
      <c r="S271" s="15">
        <v>0</v>
      </c>
    </row>
    <row r="272" spans="1:19" x14ac:dyDescent="0.3">
      <c r="A272" s="10" t="s">
        <v>1007</v>
      </c>
      <c r="B272" s="11" t="s">
        <v>1004</v>
      </c>
      <c r="C272" s="11"/>
      <c r="D272" s="11" t="s">
        <v>1008</v>
      </c>
      <c r="E272" s="11">
        <f xml:space="preserve"> IF($S$267,1,0)</f>
        <v>0</v>
      </c>
      <c r="F272" s="11" t="s">
        <v>1009</v>
      </c>
      <c r="G272" s="11">
        <v>0</v>
      </c>
      <c r="H272" s="11">
        <v>0</v>
      </c>
      <c r="I272" s="11">
        <v>0</v>
      </c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>
        <v>0</v>
      </c>
      <c r="Q272" s="12">
        <v>0</v>
      </c>
      <c r="R272" s="12">
        <v>0</v>
      </c>
      <c r="S272" s="12">
        <v>0</v>
      </c>
    </row>
    <row r="273" spans="1:19" x14ac:dyDescent="0.3">
      <c r="A273" s="13" t="s">
        <v>1010</v>
      </c>
      <c r="B273" s="14" t="s">
        <v>1011</v>
      </c>
      <c r="C273" s="14"/>
      <c r="D273" s="14" t="s">
        <v>1012</v>
      </c>
      <c r="E273" s="14">
        <f xml:space="preserve"> IF($S$268,1,0)</f>
        <v>0</v>
      </c>
      <c r="F273" s="14" t="s">
        <v>1013</v>
      </c>
      <c r="G273" s="14">
        <v>0</v>
      </c>
      <c r="H273" s="14">
        <v>0</v>
      </c>
      <c r="I273" s="14">
        <v>0</v>
      </c>
      <c r="J273" s="14">
        <v>0</v>
      </c>
      <c r="K273" s="14">
        <v>0</v>
      </c>
      <c r="L273" s="14">
        <v>0</v>
      </c>
      <c r="M273" s="14">
        <v>0</v>
      </c>
      <c r="N273" s="14">
        <v>0</v>
      </c>
      <c r="O273" s="14">
        <v>0</v>
      </c>
      <c r="P273" s="14">
        <v>0</v>
      </c>
      <c r="Q273" s="15">
        <v>0</v>
      </c>
      <c r="R273" s="15">
        <v>0</v>
      </c>
      <c r="S273" s="15">
        <v>0</v>
      </c>
    </row>
    <row r="274" spans="1:19" x14ac:dyDescent="0.3">
      <c r="A274" s="10" t="s">
        <v>1014</v>
      </c>
      <c r="B274" s="11" t="s">
        <v>1015</v>
      </c>
      <c r="C274" s="11"/>
      <c r="D274" s="11" t="s">
        <v>1016</v>
      </c>
      <c r="E274" s="11">
        <f xml:space="preserve"> IF($S$269,1,0)</f>
        <v>0</v>
      </c>
      <c r="F274" s="11" t="s">
        <v>1017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3" t="s">
        <v>1018</v>
      </c>
      <c r="B275" s="14" t="s">
        <v>1015</v>
      </c>
      <c r="C275" s="14"/>
      <c r="D275" s="14" t="s">
        <v>1019</v>
      </c>
      <c r="E275" s="14">
        <f xml:space="preserve"> IF($S$270,1,0)</f>
        <v>0</v>
      </c>
      <c r="F275" s="14" t="s">
        <v>1020</v>
      </c>
      <c r="G275" s="14">
        <v>0</v>
      </c>
      <c r="H275" s="14">
        <v>0</v>
      </c>
      <c r="I275" s="14">
        <v>0</v>
      </c>
      <c r="J275" s="14">
        <v>0</v>
      </c>
      <c r="K275" s="14">
        <v>0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5">
        <v>0</v>
      </c>
      <c r="R275" s="15">
        <v>0</v>
      </c>
      <c r="S275" s="15">
        <v>0</v>
      </c>
    </row>
    <row r="276" spans="1:19" x14ac:dyDescent="0.3">
      <c r="A276" s="10" t="s">
        <v>1021</v>
      </c>
      <c r="B276" s="11" t="s">
        <v>1022</v>
      </c>
      <c r="C276" s="11" t="s">
        <v>283</v>
      </c>
      <c r="D276" s="11" t="s">
        <v>1023</v>
      </c>
      <c r="E276" s="11">
        <f xml:space="preserve"> IF($S$271,1,0)</f>
        <v>0</v>
      </c>
      <c r="F276" s="11" t="s">
        <v>1024</v>
      </c>
      <c r="G276" s="11">
        <v>0</v>
      </c>
      <c r="H276" s="11">
        <v>0</v>
      </c>
      <c r="I276" s="11">
        <v>0</v>
      </c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>
        <v>0</v>
      </c>
      <c r="Q276" s="12">
        <v>0</v>
      </c>
      <c r="R276" s="12">
        <v>0</v>
      </c>
      <c r="S276" s="12">
        <v>0</v>
      </c>
    </row>
    <row r="277" spans="1:19" x14ac:dyDescent="0.3">
      <c r="A277" s="13" t="s">
        <v>1025</v>
      </c>
      <c r="B277" s="14" t="s">
        <v>1026</v>
      </c>
      <c r="C277" s="14"/>
      <c r="D277" s="14" t="s">
        <v>1027</v>
      </c>
      <c r="E277" s="14">
        <f xml:space="preserve"> IF($S$272,1,0)</f>
        <v>0</v>
      </c>
      <c r="F277" s="14" t="s">
        <v>1028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3" t="s">
        <v>1033</v>
      </c>
      <c r="B278" s="14" t="s">
        <v>1030</v>
      </c>
      <c r="C278" s="14"/>
      <c r="D278" s="14" t="s">
        <v>1034</v>
      </c>
      <c r="E278" s="14">
        <f xml:space="preserve"> IF($S$274,1,0)</f>
        <v>0</v>
      </c>
      <c r="F278" s="14" t="s">
        <v>1035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</row>
    <row r="279" spans="1:19" x14ac:dyDescent="0.3">
      <c r="A279" s="13" t="s">
        <v>1040</v>
      </c>
      <c r="B279" s="14" t="s">
        <v>1037</v>
      </c>
      <c r="C279" s="14" t="s">
        <v>202</v>
      </c>
      <c r="D279" s="14" t="s">
        <v>1041</v>
      </c>
      <c r="E279" s="14">
        <f xml:space="preserve"> IF($S$276,1,0)</f>
        <v>0</v>
      </c>
      <c r="F279" s="14" t="s">
        <v>1042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1043</v>
      </c>
      <c r="B280" s="11" t="s">
        <v>1044</v>
      </c>
      <c r="C280" s="11"/>
      <c r="D280" s="11" t="s">
        <v>1045</v>
      </c>
      <c r="E280" s="11">
        <f xml:space="preserve"> IF($S$277,1,0)</f>
        <v>0</v>
      </c>
      <c r="F280" s="11" t="s">
        <v>1046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1047</v>
      </c>
      <c r="B281" s="14" t="s">
        <v>1048</v>
      </c>
      <c r="C281" s="14"/>
      <c r="D281" s="14" t="s">
        <v>1049</v>
      </c>
      <c r="E281" s="14">
        <f xml:space="preserve"> IF($S$278,1,0)</f>
        <v>0</v>
      </c>
      <c r="F281" s="14" t="s">
        <v>1050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1051</v>
      </c>
      <c r="B282" s="11" t="s">
        <v>1052</v>
      </c>
      <c r="C282" s="11" t="s">
        <v>34</v>
      </c>
      <c r="D282" s="11" t="s">
        <v>1053</v>
      </c>
      <c r="E282" s="11">
        <f xml:space="preserve"> IF($S$279,1,0)</f>
        <v>0</v>
      </c>
      <c r="F282" s="11" t="s">
        <v>1054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3" t="s">
        <v>1055</v>
      </c>
      <c r="B283" s="14" t="s">
        <v>1056</v>
      </c>
      <c r="C283" s="14" t="s">
        <v>243</v>
      </c>
      <c r="D283" s="14" t="s">
        <v>1057</v>
      </c>
      <c r="E283" s="14">
        <f xml:space="preserve"> IF($S$280,1,0)</f>
        <v>0</v>
      </c>
      <c r="F283" s="14" t="s">
        <v>1058</v>
      </c>
      <c r="G283" s="14">
        <v>0</v>
      </c>
      <c r="H283" s="14">
        <v>0</v>
      </c>
      <c r="I283" s="14">
        <v>0</v>
      </c>
      <c r="J283" s="14">
        <v>0</v>
      </c>
      <c r="K283" s="14">
        <v>0</v>
      </c>
      <c r="L283" s="14">
        <v>0</v>
      </c>
      <c r="M283" s="14">
        <v>0</v>
      </c>
      <c r="N283" s="14">
        <v>0</v>
      </c>
      <c r="O283" s="14">
        <v>0</v>
      </c>
      <c r="P283" s="14">
        <v>0</v>
      </c>
      <c r="Q283" s="15">
        <v>0</v>
      </c>
      <c r="R283" s="15">
        <v>0</v>
      </c>
      <c r="S283" s="15">
        <v>0</v>
      </c>
    </row>
    <row r="284" spans="1:19" x14ac:dyDescent="0.3">
      <c r="A284" s="10" t="s">
        <v>1059</v>
      </c>
      <c r="B284" s="11" t="s">
        <v>1056</v>
      </c>
      <c r="C284" s="11" t="s">
        <v>278</v>
      </c>
      <c r="D284" s="11" t="s">
        <v>1060</v>
      </c>
      <c r="E284" s="11">
        <f xml:space="preserve"> IF($S$281,1,0)</f>
        <v>0</v>
      </c>
      <c r="F284" s="11" t="s">
        <v>1061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1062</v>
      </c>
      <c r="B285" s="14" t="s">
        <v>1063</v>
      </c>
      <c r="C285" s="14"/>
      <c r="D285" s="14" t="s">
        <v>1064</v>
      </c>
      <c r="E285" s="14">
        <f xml:space="preserve"> IF($S$282,1,0)</f>
        <v>0</v>
      </c>
      <c r="F285" s="14" t="s">
        <v>1065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1066</v>
      </c>
      <c r="B286" s="11" t="s">
        <v>1067</v>
      </c>
      <c r="C286" s="11" t="s">
        <v>202</v>
      </c>
      <c r="D286" s="11" t="s">
        <v>1068</v>
      </c>
      <c r="E286" s="11">
        <f xml:space="preserve"> IF($S$283,1,0)</f>
        <v>0</v>
      </c>
      <c r="F286" s="11" t="s">
        <v>1069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0</v>
      </c>
      <c r="R286" s="12">
        <v>0</v>
      </c>
      <c r="S286" s="12">
        <v>0</v>
      </c>
    </row>
    <row r="287" spans="1:19" x14ac:dyDescent="0.3">
      <c r="A287" s="13" t="s">
        <v>1070</v>
      </c>
      <c r="B287" s="14" t="s">
        <v>1071</v>
      </c>
      <c r="C287" s="14"/>
      <c r="D287" s="14" t="s">
        <v>1072</v>
      </c>
      <c r="E287" s="14">
        <f xml:space="preserve"> IF($S$284,1,0)</f>
        <v>0</v>
      </c>
      <c r="F287" s="14" t="s">
        <v>1073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1074</v>
      </c>
      <c r="B288" s="11" t="s">
        <v>1071</v>
      </c>
      <c r="C288" s="11"/>
      <c r="D288" s="11" t="s">
        <v>1075</v>
      </c>
      <c r="E288" s="11">
        <f xml:space="preserve"> IF($S$285,1,0)</f>
        <v>0</v>
      </c>
      <c r="F288" s="11" t="s">
        <v>1076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3" t="s">
        <v>1077</v>
      </c>
      <c r="B289" s="14" t="s">
        <v>1078</v>
      </c>
      <c r="C289" s="14"/>
      <c r="D289" s="14" t="s">
        <v>1079</v>
      </c>
      <c r="E289" s="14">
        <f xml:space="preserve"> IF($S$286,1,0)</f>
        <v>0</v>
      </c>
      <c r="F289" s="14" t="s">
        <v>1080</v>
      </c>
      <c r="G289" s="14">
        <v>0</v>
      </c>
      <c r="H289" s="14">
        <v>0</v>
      </c>
      <c r="I289" s="14">
        <v>0</v>
      </c>
      <c r="J289" s="14">
        <v>0</v>
      </c>
      <c r="K289" s="14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5">
        <v>0</v>
      </c>
      <c r="R289" s="15">
        <v>0</v>
      </c>
      <c r="S289" s="15">
        <v>0</v>
      </c>
    </row>
    <row r="290" spans="1:19" x14ac:dyDescent="0.3">
      <c r="A290" s="10" t="s">
        <v>1081</v>
      </c>
      <c r="B290" s="11" t="s">
        <v>1082</v>
      </c>
      <c r="C290" s="11"/>
      <c r="D290" s="11" t="s">
        <v>1083</v>
      </c>
      <c r="E290" s="11">
        <f xml:space="preserve"> IF($S$287,1,0)</f>
        <v>0</v>
      </c>
      <c r="F290" s="11" t="s">
        <v>1084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0</v>
      </c>
      <c r="R290" s="12">
        <v>0</v>
      </c>
      <c r="S290" s="12">
        <v>0</v>
      </c>
    </row>
    <row r="291" spans="1:19" x14ac:dyDescent="0.3">
      <c r="A291" s="13" t="s">
        <v>1085</v>
      </c>
      <c r="B291" s="14" t="s">
        <v>1082</v>
      </c>
      <c r="C291" s="14"/>
      <c r="D291" s="14" t="s">
        <v>1086</v>
      </c>
      <c r="E291" s="14">
        <f xml:space="preserve"> IF($S$288,1,0)</f>
        <v>0</v>
      </c>
      <c r="F291" s="14" t="s">
        <v>1087</v>
      </c>
      <c r="G291" s="14">
        <v>0</v>
      </c>
      <c r="H291" s="14">
        <v>0</v>
      </c>
      <c r="I291" s="14">
        <v>0</v>
      </c>
      <c r="J291" s="14">
        <v>0</v>
      </c>
      <c r="K291" s="14">
        <v>0</v>
      </c>
      <c r="L291" s="14">
        <v>0</v>
      </c>
      <c r="M291" s="14">
        <v>0</v>
      </c>
      <c r="N291" s="14">
        <v>0</v>
      </c>
      <c r="O291" s="14">
        <v>0</v>
      </c>
      <c r="P291" s="14">
        <v>0</v>
      </c>
      <c r="Q291" s="15">
        <v>0</v>
      </c>
      <c r="R291" s="15">
        <v>0</v>
      </c>
      <c r="S291" s="15">
        <v>0</v>
      </c>
    </row>
    <row r="292" spans="1:19" x14ac:dyDescent="0.3">
      <c r="A292" s="10" t="s">
        <v>1088</v>
      </c>
      <c r="B292" s="11" t="s">
        <v>1082</v>
      </c>
      <c r="C292" s="11" t="s">
        <v>65</v>
      </c>
      <c r="D292" s="11" t="s">
        <v>1089</v>
      </c>
      <c r="E292" s="11">
        <f xml:space="preserve"> IF($S$289,1,0)</f>
        <v>0</v>
      </c>
      <c r="F292" s="11" t="s">
        <v>1090</v>
      </c>
      <c r="G292" s="11">
        <v>0</v>
      </c>
      <c r="H292" s="11">
        <v>0</v>
      </c>
      <c r="I292" s="11">
        <v>0</v>
      </c>
      <c r="J292" s="11">
        <v>0</v>
      </c>
      <c r="K292" s="11">
        <v>0</v>
      </c>
      <c r="L292" s="11">
        <v>0</v>
      </c>
      <c r="M292" s="11">
        <v>0</v>
      </c>
      <c r="N292" s="11">
        <v>0</v>
      </c>
      <c r="O292" s="11">
        <v>0</v>
      </c>
      <c r="P292" s="11">
        <v>0</v>
      </c>
      <c r="Q292" s="12">
        <v>0</v>
      </c>
      <c r="R292" s="12">
        <v>0</v>
      </c>
      <c r="S292" s="12">
        <v>0</v>
      </c>
    </row>
    <row r="293" spans="1:19" x14ac:dyDescent="0.3">
      <c r="A293" s="13" t="s">
        <v>1091</v>
      </c>
      <c r="B293" s="14" t="s">
        <v>1082</v>
      </c>
      <c r="C293" s="14"/>
      <c r="D293" s="14" t="s">
        <v>1092</v>
      </c>
      <c r="E293" s="14">
        <f xml:space="preserve"> IF($S$290,1,0)</f>
        <v>0</v>
      </c>
      <c r="F293" s="14" t="s">
        <v>1093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1094</v>
      </c>
      <c r="B294" s="11" t="s">
        <v>1095</v>
      </c>
      <c r="C294" s="11" t="s">
        <v>34</v>
      </c>
      <c r="D294" s="11" t="s">
        <v>1096</v>
      </c>
      <c r="E294" s="11">
        <f xml:space="preserve"> IF($S$291,1,0)</f>
        <v>0</v>
      </c>
      <c r="F294" s="11" t="s">
        <v>1097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0</v>
      </c>
      <c r="R294" s="12">
        <v>0</v>
      </c>
      <c r="S294" s="12">
        <v>0</v>
      </c>
    </row>
    <row r="295" spans="1:19" x14ac:dyDescent="0.3">
      <c r="A295" s="13" t="s">
        <v>1098</v>
      </c>
      <c r="B295" s="14" t="s">
        <v>1099</v>
      </c>
      <c r="C295" s="14"/>
      <c r="D295" s="14" t="s">
        <v>1100</v>
      </c>
      <c r="E295" s="14">
        <f xml:space="preserve"> IF($S$292,1,0)</f>
        <v>0</v>
      </c>
      <c r="F295" s="14" t="s">
        <v>1101</v>
      </c>
      <c r="G295" s="14">
        <v>0</v>
      </c>
      <c r="H295" s="14">
        <v>0</v>
      </c>
      <c r="I295" s="14">
        <v>0</v>
      </c>
      <c r="J295" s="14">
        <v>0</v>
      </c>
      <c r="K295" s="14">
        <v>0</v>
      </c>
      <c r="L295" s="14">
        <v>0</v>
      </c>
      <c r="M295" s="14">
        <v>0</v>
      </c>
      <c r="N295" s="14">
        <v>0</v>
      </c>
      <c r="O295" s="14">
        <v>0</v>
      </c>
      <c r="P295" s="14">
        <v>0</v>
      </c>
      <c r="Q295" s="15">
        <v>0</v>
      </c>
      <c r="R295" s="15">
        <v>0</v>
      </c>
      <c r="S295" s="15">
        <v>0</v>
      </c>
    </row>
    <row r="296" spans="1:19" x14ac:dyDescent="0.3">
      <c r="A296" s="10" t="s">
        <v>1102</v>
      </c>
      <c r="B296" s="11" t="s">
        <v>1103</v>
      </c>
      <c r="C296" s="11"/>
      <c r="D296" s="11" t="s">
        <v>1104</v>
      </c>
      <c r="E296" s="11">
        <f xml:space="preserve"> IF($S$293,1,0)</f>
        <v>0</v>
      </c>
      <c r="F296" s="11" t="s">
        <v>1105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3" t="s">
        <v>1106</v>
      </c>
      <c r="B297" s="14" t="s">
        <v>1107</v>
      </c>
      <c r="C297" s="14"/>
      <c r="D297" s="14" t="s">
        <v>1107</v>
      </c>
      <c r="E297" s="14">
        <f xml:space="preserve"> IF($S$294,1,0)</f>
        <v>0</v>
      </c>
      <c r="F297" s="14" t="s">
        <v>1108</v>
      </c>
      <c r="G297" s="14">
        <v>0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  <c r="M297" s="14">
        <v>0</v>
      </c>
      <c r="N297" s="14">
        <v>0</v>
      </c>
      <c r="O297" s="14">
        <v>0</v>
      </c>
      <c r="P297" s="14">
        <v>0</v>
      </c>
      <c r="Q297" s="15">
        <v>0</v>
      </c>
      <c r="R297" s="15">
        <v>0</v>
      </c>
      <c r="S297" s="15">
        <v>0</v>
      </c>
    </row>
    <row r="298" spans="1:19" x14ac:dyDescent="0.3">
      <c r="A298" s="10" t="s">
        <v>1109</v>
      </c>
      <c r="B298" s="11" t="s">
        <v>1110</v>
      </c>
      <c r="C298" s="11" t="s">
        <v>34</v>
      </c>
      <c r="D298" s="11" t="s">
        <v>1111</v>
      </c>
      <c r="E298" s="11">
        <f xml:space="preserve"> IF($S$295,1,0)</f>
        <v>0</v>
      </c>
      <c r="F298" s="11" t="s">
        <v>1112</v>
      </c>
      <c r="G298" s="11">
        <v>0</v>
      </c>
      <c r="H298" s="11">
        <v>0</v>
      </c>
      <c r="I298" s="11">
        <v>0</v>
      </c>
      <c r="J298" s="11">
        <v>0</v>
      </c>
      <c r="K298" s="11">
        <v>0</v>
      </c>
      <c r="L298" s="11">
        <v>0</v>
      </c>
      <c r="M298" s="11">
        <v>0</v>
      </c>
      <c r="N298" s="11">
        <v>0</v>
      </c>
      <c r="O298" s="11">
        <v>0</v>
      </c>
      <c r="P298" s="11">
        <v>0</v>
      </c>
      <c r="Q298" s="12">
        <v>0</v>
      </c>
      <c r="R298" s="12">
        <v>0</v>
      </c>
      <c r="S298" s="12">
        <v>0</v>
      </c>
    </row>
    <row r="299" spans="1:19" x14ac:dyDescent="0.3">
      <c r="A299" s="13" t="s">
        <v>1113</v>
      </c>
      <c r="B299" s="14" t="s">
        <v>1114</v>
      </c>
      <c r="C299" s="14" t="s">
        <v>34</v>
      </c>
      <c r="D299" s="14" t="s">
        <v>239</v>
      </c>
      <c r="E299" s="14">
        <f xml:space="preserve"> IF($S$296,1,0)</f>
        <v>0</v>
      </c>
      <c r="F299" s="14" t="s">
        <v>1115</v>
      </c>
      <c r="G299" s="14">
        <v>0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5">
        <v>0</v>
      </c>
      <c r="R299" s="15">
        <v>0</v>
      </c>
      <c r="S299" s="15">
        <v>0</v>
      </c>
    </row>
    <row r="300" spans="1:19" x14ac:dyDescent="0.3">
      <c r="A300" s="10" t="s">
        <v>1116</v>
      </c>
      <c r="B300" s="11" t="s">
        <v>1117</v>
      </c>
      <c r="C300" s="11"/>
      <c r="D300" s="11" t="s">
        <v>1118</v>
      </c>
      <c r="E300" s="11">
        <f xml:space="preserve"> IF($S$297,1,0)</f>
        <v>0</v>
      </c>
      <c r="F300" s="11" t="s">
        <v>1119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0</v>
      </c>
      <c r="R300" s="12">
        <v>0</v>
      </c>
      <c r="S300" s="12">
        <v>0</v>
      </c>
    </row>
    <row r="301" spans="1:19" x14ac:dyDescent="0.3">
      <c r="A301" s="13" t="s">
        <v>1120</v>
      </c>
      <c r="B301" s="14" t="s">
        <v>1117</v>
      </c>
      <c r="C301" s="14"/>
      <c r="D301" s="14" t="s">
        <v>1121</v>
      </c>
      <c r="E301" s="14">
        <f xml:space="preserve"> IF($S$298,1,0)</f>
        <v>0</v>
      </c>
      <c r="F301" s="14" t="s">
        <v>1122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1123</v>
      </c>
      <c r="B302" s="11" t="s">
        <v>1117</v>
      </c>
      <c r="C302" s="11"/>
      <c r="D302" s="11" t="s">
        <v>1124</v>
      </c>
      <c r="E302" s="11">
        <f xml:space="preserve"> IF($S$299,1,0)</f>
        <v>0</v>
      </c>
      <c r="F302" s="11" t="s">
        <v>1125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3" t="s">
        <v>1126</v>
      </c>
      <c r="B303" s="14" t="s">
        <v>1117</v>
      </c>
      <c r="C303" s="14"/>
      <c r="D303" s="14" t="s">
        <v>1127</v>
      </c>
      <c r="E303" s="14">
        <f xml:space="preserve"> IF($S$300,1,0)</f>
        <v>0</v>
      </c>
      <c r="F303" s="14" t="s">
        <v>1128</v>
      </c>
      <c r="G303" s="14">
        <v>0</v>
      </c>
      <c r="H303" s="14">
        <v>0</v>
      </c>
      <c r="I303" s="14">
        <v>0</v>
      </c>
      <c r="J303" s="14">
        <v>0</v>
      </c>
      <c r="K303" s="14">
        <v>0</v>
      </c>
      <c r="L303" s="14">
        <v>0</v>
      </c>
      <c r="M303" s="14">
        <v>0</v>
      </c>
      <c r="N303" s="14">
        <v>0</v>
      </c>
      <c r="O303" s="14">
        <v>0</v>
      </c>
      <c r="P303" s="14">
        <v>0</v>
      </c>
      <c r="Q303" s="15">
        <v>0</v>
      </c>
      <c r="R303" s="15">
        <v>0</v>
      </c>
      <c r="S303" s="15">
        <v>0</v>
      </c>
    </row>
    <row r="304" spans="1:19" x14ac:dyDescent="0.3">
      <c r="A304" s="10" t="s">
        <v>1129</v>
      </c>
      <c r="B304" s="11" t="s">
        <v>1130</v>
      </c>
      <c r="C304" s="11" t="s">
        <v>34</v>
      </c>
      <c r="D304" s="11" t="s">
        <v>1131</v>
      </c>
      <c r="E304" s="11">
        <f xml:space="preserve"> IF($S$301,1,0)</f>
        <v>0</v>
      </c>
      <c r="F304" s="11" t="s">
        <v>1132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1133</v>
      </c>
      <c r="B305" s="14" t="s">
        <v>1134</v>
      </c>
      <c r="C305" s="14"/>
      <c r="D305" s="14" t="s">
        <v>1135</v>
      </c>
      <c r="E305" s="14">
        <f xml:space="preserve"> IF($S$302,1,0)</f>
        <v>0</v>
      </c>
      <c r="F305" s="14" t="s">
        <v>1136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0" t="s">
        <v>1137</v>
      </c>
      <c r="B306" s="11" t="s">
        <v>1138</v>
      </c>
      <c r="C306" s="11"/>
      <c r="D306" s="11" t="s">
        <v>1139</v>
      </c>
      <c r="E306" s="11">
        <f xml:space="preserve"> IF($S$303,1,0)</f>
        <v>0</v>
      </c>
      <c r="F306" s="11" t="s">
        <v>1140</v>
      </c>
      <c r="G306" s="11">
        <v>0</v>
      </c>
      <c r="H306" s="11">
        <v>0</v>
      </c>
      <c r="I306" s="11">
        <v>0</v>
      </c>
      <c r="J306" s="11">
        <v>0</v>
      </c>
      <c r="K306" s="11">
        <v>0</v>
      </c>
      <c r="L306" s="11">
        <v>0</v>
      </c>
      <c r="M306" s="11">
        <v>0</v>
      </c>
      <c r="N306" s="11">
        <v>0</v>
      </c>
      <c r="O306" s="11">
        <v>0</v>
      </c>
      <c r="P306" s="11">
        <v>0</v>
      </c>
      <c r="Q306" s="12">
        <v>0</v>
      </c>
      <c r="R306" s="12">
        <v>0</v>
      </c>
      <c r="S306" s="12">
        <v>0</v>
      </c>
    </row>
    <row r="307" spans="1:19" x14ac:dyDescent="0.3">
      <c r="A307" s="13" t="s">
        <v>1141</v>
      </c>
      <c r="B307" s="14" t="s">
        <v>1142</v>
      </c>
      <c r="C307" s="14" t="s">
        <v>202</v>
      </c>
      <c r="D307" s="14" t="s">
        <v>442</v>
      </c>
      <c r="E307" s="14">
        <f xml:space="preserve"> IF($S$304,1,0)</f>
        <v>0</v>
      </c>
      <c r="F307" s="14" t="s">
        <v>1143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0</v>
      </c>
      <c r="R307" s="15">
        <v>0</v>
      </c>
      <c r="S307" s="15">
        <v>0</v>
      </c>
    </row>
    <row r="308" spans="1:19" x14ac:dyDescent="0.3">
      <c r="A308" s="10" t="s">
        <v>1144</v>
      </c>
      <c r="B308" s="11" t="s">
        <v>1142</v>
      </c>
      <c r="C308" s="11"/>
      <c r="D308" s="11" t="s">
        <v>1145</v>
      </c>
      <c r="E308" s="11">
        <f xml:space="preserve"> IF($S$305,1,0)</f>
        <v>0</v>
      </c>
      <c r="F308" s="11" t="s">
        <v>1146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1147</v>
      </c>
      <c r="B309" s="14" t="s">
        <v>1142</v>
      </c>
      <c r="C309" s="14"/>
      <c r="D309" s="14" t="s">
        <v>138</v>
      </c>
      <c r="E309" s="14">
        <f xml:space="preserve"> IF($S$306,1,0)</f>
        <v>0</v>
      </c>
      <c r="F309" s="14" t="s">
        <v>1148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0" t="s">
        <v>1149</v>
      </c>
      <c r="B310" s="11" t="s">
        <v>1142</v>
      </c>
      <c r="C310" s="11"/>
      <c r="D310" s="11" t="s">
        <v>1150</v>
      </c>
      <c r="E310" s="11">
        <f xml:space="preserve"> IF($S$307,1,0)</f>
        <v>0</v>
      </c>
      <c r="F310" s="11" t="s">
        <v>1151</v>
      </c>
      <c r="G310" s="11">
        <v>0</v>
      </c>
      <c r="H310" s="11">
        <v>0</v>
      </c>
      <c r="I310" s="11">
        <v>0</v>
      </c>
      <c r="J310" s="11">
        <v>0</v>
      </c>
      <c r="K310" s="11">
        <v>0</v>
      </c>
      <c r="L310" s="11">
        <v>0</v>
      </c>
      <c r="M310" s="11">
        <v>0</v>
      </c>
      <c r="N310" s="11">
        <v>0</v>
      </c>
      <c r="O310" s="11">
        <v>0</v>
      </c>
      <c r="P310" s="11">
        <v>0</v>
      </c>
      <c r="Q310" s="12">
        <v>0</v>
      </c>
      <c r="R310" s="12">
        <v>0</v>
      </c>
      <c r="S310" s="12">
        <v>0</v>
      </c>
    </row>
    <row r="311" spans="1:19" x14ac:dyDescent="0.3">
      <c r="A311" s="13" t="s">
        <v>1152</v>
      </c>
      <c r="B311" s="14" t="s">
        <v>1142</v>
      </c>
      <c r="C311" s="14"/>
      <c r="D311" s="14" t="s">
        <v>1153</v>
      </c>
      <c r="E311" s="14">
        <f xml:space="preserve"> IF($S$308,1,0)</f>
        <v>0</v>
      </c>
      <c r="F311" s="14" t="s">
        <v>1154</v>
      </c>
      <c r="G311" s="14">
        <v>0</v>
      </c>
      <c r="H311" s="14">
        <v>0</v>
      </c>
      <c r="I311" s="14">
        <v>0</v>
      </c>
      <c r="J311" s="14">
        <v>0</v>
      </c>
      <c r="K311" s="14">
        <v>0</v>
      </c>
      <c r="L311" s="14">
        <v>0</v>
      </c>
      <c r="M311" s="14">
        <v>0</v>
      </c>
      <c r="N311" s="14">
        <v>0</v>
      </c>
      <c r="O311" s="14">
        <v>0</v>
      </c>
      <c r="P311" s="14">
        <v>0</v>
      </c>
      <c r="Q311" s="15">
        <v>0</v>
      </c>
      <c r="R311" s="15">
        <v>0</v>
      </c>
      <c r="S311" s="15">
        <v>0</v>
      </c>
    </row>
    <row r="312" spans="1:19" x14ac:dyDescent="0.3">
      <c r="A312" s="13" t="s">
        <v>1159</v>
      </c>
      <c r="B312" s="14" t="s">
        <v>1160</v>
      </c>
      <c r="C312" s="14"/>
      <c r="D312" s="14" t="s">
        <v>1161</v>
      </c>
      <c r="E312" s="14">
        <f xml:space="preserve"> IF($S$310,1,0)</f>
        <v>0</v>
      </c>
      <c r="F312" s="14" t="s">
        <v>1162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</row>
    <row r="313" spans="1:19" x14ac:dyDescent="0.3">
      <c r="A313" s="10" t="s">
        <v>1163</v>
      </c>
      <c r="B313" s="11" t="s">
        <v>1160</v>
      </c>
      <c r="C313" s="11"/>
      <c r="D313" s="11" t="s">
        <v>1164</v>
      </c>
      <c r="E313" s="11">
        <f xml:space="preserve"> IF($S$311,1,0)</f>
        <v>0</v>
      </c>
      <c r="F313" s="11" t="s">
        <v>1165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</row>
    <row r="314" spans="1:19" x14ac:dyDescent="0.3">
      <c r="A314" s="13" t="s">
        <v>1166</v>
      </c>
      <c r="B314" s="14" t="s">
        <v>1160</v>
      </c>
      <c r="C314" s="14" t="s">
        <v>243</v>
      </c>
      <c r="D314" s="14" t="s">
        <v>1167</v>
      </c>
      <c r="E314" s="14">
        <f xml:space="preserve"> IF($S$312,1,0)</f>
        <v>0</v>
      </c>
      <c r="F314" s="14" t="s">
        <v>1168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0" t="s">
        <v>1169</v>
      </c>
      <c r="B315" s="11" t="s">
        <v>1170</v>
      </c>
      <c r="C315" s="11"/>
      <c r="D315" s="11" t="s">
        <v>1171</v>
      </c>
      <c r="E315" s="11">
        <f xml:space="preserve"> IF($S$313,1,0)</f>
        <v>0</v>
      </c>
      <c r="F315" s="11" t="s">
        <v>1172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</row>
    <row r="316" spans="1:19" x14ac:dyDescent="0.3">
      <c r="A316" s="13" t="s">
        <v>1173</v>
      </c>
      <c r="B316" s="14" t="s">
        <v>1174</v>
      </c>
      <c r="C316" s="14"/>
      <c r="D316" s="14" t="s">
        <v>1175</v>
      </c>
      <c r="E316" s="14">
        <f xml:space="preserve"> IF($S$314,1,0)</f>
        <v>0</v>
      </c>
      <c r="F316" s="14" t="s">
        <v>1176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1177</v>
      </c>
      <c r="B317" s="11" t="s">
        <v>1174</v>
      </c>
      <c r="C317" s="11" t="s">
        <v>65</v>
      </c>
      <c r="D317" s="11" t="s">
        <v>1178</v>
      </c>
      <c r="E317" s="11">
        <f xml:space="preserve"> IF($S$315,1,0)</f>
        <v>0</v>
      </c>
      <c r="F317" s="11" t="s">
        <v>1179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1180</v>
      </c>
      <c r="B318" s="14" t="s">
        <v>1181</v>
      </c>
      <c r="C318" s="14"/>
      <c r="D318" s="14" t="s">
        <v>1182</v>
      </c>
      <c r="E318" s="14">
        <f xml:space="preserve"> IF($S$316,1,0)</f>
        <v>0</v>
      </c>
      <c r="F318" s="14" t="s">
        <v>1183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</row>
    <row r="319" spans="1:19" x14ac:dyDescent="0.3">
      <c r="A319" s="10" t="s">
        <v>1184</v>
      </c>
      <c r="B319" s="11" t="s">
        <v>1185</v>
      </c>
      <c r="C319" s="11" t="s">
        <v>65</v>
      </c>
      <c r="D319" s="11" t="s">
        <v>1186</v>
      </c>
      <c r="E319" s="11">
        <f xml:space="preserve"> IF($S$317,1,0)</f>
        <v>0</v>
      </c>
      <c r="F319" s="11" t="s">
        <v>1187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</row>
    <row r="320" spans="1:19" x14ac:dyDescent="0.3">
      <c r="A320" s="13" t="s">
        <v>1188</v>
      </c>
      <c r="B320" s="14" t="s">
        <v>1189</v>
      </c>
      <c r="C320" s="14"/>
      <c r="D320" s="14" t="s">
        <v>1190</v>
      </c>
      <c r="E320" s="14">
        <f xml:space="preserve"> IF($S$318,1,0)</f>
        <v>0</v>
      </c>
      <c r="F320" s="14" t="s">
        <v>1191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</row>
    <row r="321" spans="1:19" x14ac:dyDescent="0.3">
      <c r="A321" s="13" t="s">
        <v>1196</v>
      </c>
      <c r="B321" s="14" t="s">
        <v>1197</v>
      </c>
      <c r="C321" s="14"/>
      <c r="D321" s="14" t="s">
        <v>1198</v>
      </c>
      <c r="E321" s="14">
        <f xml:space="preserve"> IF($S$320,1,0)</f>
        <v>0</v>
      </c>
      <c r="F321" s="14" t="s">
        <v>1199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1200</v>
      </c>
      <c r="B322" s="11" t="s">
        <v>1201</v>
      </c>
      <c r="C322" s="11"/>
      <c r="D322" s="11" t="s">
        <v>1202</v>
      </c>
      <c r="E322" s="11">
        <f xml:space="preserve"> IF($S$321,1,0)</f>
        <v>0</v>
      </c>
      <c r="F322" s="11" t="s">
        <v>1203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0</v>
      </c>
      <c r="R322" s="12">
        <v>0</v>
      </c>
      <c r="S322" s="12">
        <v>0</v>
      </c>
    </row>
    <row r="323" spans="1:19" x14ac:dyDescent="0.3">
      <c r="A323" s="13" t="s">
        <v>1204</v>
      </c>
      <c r="B323" s="14" t="s">
        <v>1205</v>
      </c>
      <c r="C323" s="14"/>
      <c r="D323" s="14" t="s">
        <v>1206</v>
      </c>
      <c r="E323" s="14">
        <f xml:space="preserve"> IF($S$322,1,0)</f>
        <v>0</v>
      </c>
      <c r="F323" s="14" t="s">
        <v>1207</v>
      </c>
      <c r="G323" s="14">
        <v>0</v>
      </c>
      <c r="H323" s="14">
        <v>0</v>
      </c>
      <c r="I323" s="14">
        <v>0</v>
      </c>
      <c r="J323" s="14">
        <v>0</v>
      </c>
      <c r="K323" s="14">
        <v>0</v>
      </c>
      <c r="L323" s="14">
        <v>0</v>
      </c>
      <c r="M323" s="14">
        <v>0</v>
      </c>
      <c r="N323" s="14">
        <v>0</v>
      </c>
      <c r="O323" s="14">
        <v>0</v>
      </c>
      <c r="P323" s="14">
        <v>0</v>
      </c>
      <c r="Q323" s="15">
        <v>0</v>
      </c>
      <c r="R323" s="15">
        <v>0</v>
      </c>
      <c r="S323" s="15">
        <v>0</v>
      </c>
    </row>
    <row r="324" spans="1:19" x14ac:dyDescent="0.3">
      <c r="A324" s="10" t="s">
        <v>1208</v>
      </c>
      <c r="B324" s="11" t="s">
        <v>1205</v>
      </c>
      <c r="C324" s="11"/>
      <c r="D324" s="11" t="s">
        <v>1209</v>
      </c>
      <c r="E324" s="11">
        <f xml:space="preserve"> IF($S$323,1,0)</f>
        <v>0</v>
      </c>
      <c r="F324" s="11" t="s">
        <v>1210</v>
      </c>
      <c r="G324" s="11">
        <v>0</v>
      </c>
      <c r="H324" s="11">
        <v>0</v>
      </c>
      <c r="I324" s="11">
        <v>0</v>
      </c>
      <c r="J324" s="11">
        <v>0</v>
      </c>
      <c r="K324" s="11">
        <v>0</v>
      </c>
      <c r="L324" s="11">
        <v>0</v>
      </c>
      <c r="M324" s="11">
        <v>0</v>
      </c>
      <c r="N324" s="11">
        <v>0</v>
      </c>
      <c r="O324" s="11">
        <v>0</v>
      </c>
      <c r="P324" s="11">
        <v>0</v>
      </c>
      <c r="Q324" s="12">
        <v>0</v>
      </c>
      <c r="R324" s="12">
        <v>0</v>
      </c>
      <c r="S324" s="12">
        <v>0</v>
      </c>
    </row>
    <row r="325" spans="1:19" x14ac:dyDescent="0.3">
      <c r="A325" s="13" t="s">
        <v>1211</v>
      </c>
      <c r="B325" s="14" t="s">
        <v>1212</v>
      </c>
      <c r="C325" s="14"/>
      <c r="D325" s="14" t="s">
        <v>670</v>
      </c>
      <c r="E325" s="14">
        <f xml:space="preserve"> IF($S$324,1,0)</f>
        <v>0</v>
      </c>
      <c r="F325" s="14" t="s">
        <v>1213</v>
      </c>
      <c r="G325" s="14">
        <v>0</v>
      </c>
      <c r="H325" s="14">
        <v>0</v>
      </c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14">
        <v>0</v>
      </c>
      <c r="O325" s="14">
        <v>0</v>
      </c>
      <c r="P325" s="14">
        <v>0</v>
      </c>
      <c r="Q325" s="15">
        <v>0</v>
      </c>
      <c r="R325" s="15">
        <v>0</v>
      </c>
      <c r="S325" s="15">
        <v>0</v>
      </c>
    </row>
    <row r="326" spans="1:19" x14ac:dyDescent="0.3">
      <c r="A326" s="13" t="s">
        <v>1218</v>
      </c>
      <c r="B326" s="14" t="s">
        <v>1219</v>
      </c>
      <c r="C326" s="14" t="s">
        <v>202</v>
      </c>
      <c r="D326" s="14" t="s">
        <v>1068</v>
      </c>
      <c r="E326" s="14">
        <f xml:space="preserve"> IF($S$326,1,0)</f>
        <v>0</v>
      </c>
      <c r="F326" s="14" t="s">
        <v>1220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0" t="s">
        <v>1221</v>
      </c>
      <c r="B327" s="11" t="s">
        <v>1222</v>
      </c>
      <c r="C327" s="11"/>
      <c r="D327" s="11" t="s">
        <v>1223</v>
      </c>
      <c r="E327" s="11">
        <f xml:space="preserve"> IF($S$327,1,0)</f>
        <v>0</v>
      </c>
      <c r="F327" s="11" t="s">
        <v>1224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</row>
    <row r="328" spans="1:19" x14ac:dyDescent="0.3">
      <c r="A328" s="13" t="s">
        <v>1225</v>
      </c>
      <c r="B328" s="14" t="s">
        <v>1226</v>
      </c>
      <c r="C328" s="14" t="s">
        <v>34</v>
      </c>
      <c r="D328" s="14" t="s">
        <v>1227</v>
      </c>
      <c r="E328" s="14">
        <f xml:space="preserve"> IF($S$328,1,0)</f>
        <v>0</v>
      </c>
      <c r="F328" s="14" t="s">
        <v>1228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</row>
    <row r="329" spans="1:19" x14ac:dyDescent="0.3">
      <c r="A329" s="10" t="s">
        <v>1229</v>
      </c>
      <c r="B329" s="11" t="s">
        <v>1230</v>
      </c>
      <c r="C329" s="11"/>
      <c r="D329" s="11" t="s">
        <v>1231</v>
      </c>
      <c r="E329" s="11">
        <f xml:space="preserve"> IF($S$329,1,0)</f>
        <v>0</v>
      </c>
      <c r="F329" s="11" t="s">
        <v>1232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1233</v>
      </c>
      <c r="B330" s="14" t="s">
        <v>1230</v>
      </c>
      <c r="C330" s="14"/>
      <c r="D330" s="14" t="s">
        <v>1234</v>
      </c>
      <c r="E330" s="14">
        <f xml:space="preserve"> IF($S$330,1,0)</f>
        <v>0</v>
      </c>
      <c r="F330" s="14" t="s">
        <v>1235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</row>
    <row r="331" spans="1:19" x14ac:dyDescent="0.3">
      <c r="A331" s="10" t="s">
        <v>1236</v>
      </c>
      <c r="B331" s="11" t="s">
        <v>1237</v>
      </c>
      <c r="C331" s="11"/>
      <c r="D331" s="11" t="s">
        <v>1237</v>
      </c>
      <c r="E331" s="11">
        <f xml:space="preserve"> IF($S$331,1,0)</f>
        <v>0</v>
      </c>
      <c r="F331" s="11" t="s">
        <v>1238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3" spans="1:19" ht="15" thickBot="1" x14ac:dyDescent="0.35">
      <c r="E333" s="5" t="s">
        <v>18</v>
      </c>
      <c r="F333" s="6" t="s">
        <v>19</v>
      </c>
      <c r="G333" s="6" t="s">
        <v>4</v>
      </c>
      <c r="H333" s="6" t="s">
        <v>5</v>
      </c>
      <c r="I333" s="6" t="s">
        <v>6</v>
      </c>
      <c r="J333" s="6" t="s">
        <v>7</v>
      </c>
      <c r="K333" s="6" t="s">
        <v>8</v>
      </c>
      <c r="L333" s="6" t="s">
        <v>9</v>
      </c>
      <c r="M333" s="6" t="s">
        <v>10</v>
      </c>
      <c r="N333" s="6" t="s">
        <v>11</v>
      </c>
      <c r="O333" s="6" t="s">
        <v>12</v>
      </c>
      <c r="P333" s="6" t="s">
        <v>13</v>
      </c>
      <c r="Q333" s="6" t="s">
        <v>23</v>
      </c>
      <c r="R333" s="6" t="s">
        <v>26</v>
      </c>
      <c r="S333" s="6" t="s">
        <v>25</v>
      </c>
    </row>
    <row r="334" spans="1:19" ht="15" thickTop="1" x14ac:dyDescent="0.3">
      <c r="E334" s="7">
        <f xml:space="preserve"> IF($S$334,1,0)</f>
        <v>0</v>
      </c>
      <c r="F334" s="8" t="s">
        <v>27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>
        <v>0</v>
      </c>
      <c r="P334" s="8">
        <v>0</v>
      </c>
      <c r="Q334" s="9">
        <f>$G$334*$G$8+$H$334*$H$8+$I$334*$I$8+$J$334*$J$8+$K$334*$K$8+$L$334*$L$8+$M$334*$M$8+$N$334*$N$8+$O$334*$O$8+$P$334*$P$8</f>
        <v>0</v>
      </c>
      <c r="R334" s="9">
        <f>$S$334/2</f>
        <v>0</v>
      </c>
      <c r="S334" s="9">
        <f>$G$334*$G$8+$H$334*$H$8+$I$334*$I$8+$J$334*$J$8+$K$334*$K$8+$L$334*$L$8+$M$334*$M$8+$N$334*$N$8+$O$334*$O$8+$P$334*$P$8</f>
        <v>0</v>
      </c>
    </row>
  </sheetData>
  <sortState ref="A10:S331">
    <sortCondition descending="1" ref="Q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23CFD-F729-4C1B-A9E8-0705AA36C293}">
  <sheetPr codeName="Blad2"/>
  <dimension ref="A2:S335"/>
  <sheetViews>
    <sheetView workbookViewId="0">
      <selection activeCell="S139" sqref="S13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9.5546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SUM($G$10:$G$332)+ SUM($G$335:$G$335)</f>
        <v>213</v>
      </c>
      <c r="H2">
        <f>SUM($H$10:$H$332)+ SUM($H$335:$H$335)</f>
        <v>51</v>
      </c>
      <c r="I2">
        <f>SUM($I$10:$I$332)+ SUM($I$335:$I$335)</f>
        <v>9</v>
      </c>
      <c r="J2">
        <f>SUM($J$10:$J$332)+ SUM($J$335:$J$335)</f>
        <v>0</v>
      </c>
      <c r="K2">
        <f>SUM($K$10:$K$332)+ SUM($K$335:$K$335)</f>
        <v>11</v>
      </c>
      <c r="L2">
        <f>SUM($L$10:$L$332)+ SUM($L$335:$L$335)</f>
        <v>44</v>
      </c>
      <c r="M2">
        <f>SUM($M$10:$M$332)+ SUM($M$335:$M$335)</f>
        <v>12</v>
      </c>
      <c r="N2">
        <f>SUM($N$10:$N$332)+ SUM($N$335:$N$335)</f>
        <v>1</v>
      </c>
      <c r="O2">
        <f>SUM($O$10:$O$332)+ SUM($O$335:$O$335)</f>
        <v>0</v>
      </c>
      <c r="P2">
        <f>SUM($P$10:$P$332)+ SUM($P$335:$P$335)</f>
        <v>16</v>
      </c>
      <c r="R2" t="s">
        <v>1239</v>
      </c>
    </row>
    <row r="3" spans="1:19" x14ac:dyDescent="0.3">
      <c r="F3" t="s">
        <v>21</v>
      </c>
      <c r="G3" s="3">
        <f>$G$8*G2</f>
        <v>234.3</v>
      </c>
      <c r="H3" s="3">
        <f>$H$8*H2</f>
        <v>102</v>
      </c>
      <c r="I3" s="3">
        <f>$I$8*I2</f>
        <v>9</v>
      </c>
      <c r="J3" s="3">
        <f>$J$8*J2</f>
        <v>0</v>
      </c>
      <c r="K3" s="3">
        <f>$K$8*K2</f>
        <v>22</v>
      </c>
      <c r="L3" s="3">
        <f>$L$8*L2</f>
        <v>132</v>
      </c>
      <c r="M3" s="3">
        <f>$M$8*M2</f>
        <v>48</v>
      </c>
      <c r="N3" s="3">
        <f>$N$8*N2</f>
        <v>5</v>
      </c>
      <c r="O3" s="3">
        <f>$O$8*O2</f>
        <v>0</v>
      </c>
      <c r="P3" s="3">
        <f>$P$8*P2</f>
        <v>48</v>
      </c>
      <c r="R3">
        <f>SUM($E$10:$E$332)</f>
        <v>73</v>
      </c>
    </row>
    <row r="4" spans="1:19" x14ac:dyDescent="0.3">
      <c r="F4" s="3">
        <f>SUM(G3:P3)</f>
        <v>600.29999999999995</v>
      </c>
    </row>
    <row r="5" spans="1:19" x14ac:dyDescent="0.3">
      <c r="F5" s="3">
        <f>SUM(Q10:Q332)</f>
        <v>600.30000000000018</v>
      </c>
    </row>
    <row r="6" spans="1:19" x14ac:dyDescent="0.3">
      <c r="F6" s="3">
        <f>SUM(S10:S332)</f>
        <v>600.30000000000018</v>
      </c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3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1240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IF($S$47,1,0)</f>
        <v>0</v>
      </c>
      <c r="F10" s="17" t="s">
        <v>175</v>
      </c>
      <c r="G10" s="17">
        <v>2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8">
        <v>2.2000000000000002</v>
      </c>
      <c r="R10" s="18">
        <v>0</v>
      </c>
      <c r="S10" s="18">
        <v>2.2000000000000002</v>
      </c>
    </row>
    <row r="11" spans="1:19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IF($S$218,1,0)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5">
        <v>0</v>
      </c>
      <c r="R11" s="15">
        <v>0</v>
      </c>
      <c r="S11" s="15">
        <v>0</v>
      </c>
    </row>
    <row r="12" spans="1:19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IF($S$248,1,0)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v>0</v>
      </c>
    </row>
    <row r="13" spans="1:19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IF($S$65,1,0)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v>0</v>
      </c>
    </row>
    <row r="14" spans="1:19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IF($S$117,1,0)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2">
        <v>0</v>
      </c>
      <c r="R14" s="12">
        <v>0</v>
      </c>
      <c r="S14" s="12">
        <v>0</v>
      </c>
    </row>
    <row r="15" spans="1:19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IF($S$241,1,0)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0</v>
      </c>
    </row>
    <row r="16" spans="1:19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IF($S$170,1,0)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v>0</v>
      </c>
    </row>
    <row r="17" spans="1:19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IF($S$269,1,0)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v>0</v>
      </c>
    </row>
    <row r="18" spans="1:19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IF($S$78,1,0)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v>0</v>
      </c>
    </row>
    <row r="19" spans="1:19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IF($S$91,1,0)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v>0</v>
      </c>
    </row>
    <row r="20" spans="1:19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IF($S$29,1,0)</f>
        <v>1</v>
      </c>
      <c r="F20" s="11" t="s">
        <v>105</v>
      </c>
      <c r="G20" s="11">
        <v>8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8.8000000000000007</v>
      </c>
      <c r="R20" s="12">
        <v>0</v>
      </c>
      <c r="S20" s="12">
        <v>8.8000000000000007</v>
      </c>
    </row>
    <row r="21" spans="1:19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IF($S$300,1,0)</f>
        <v>1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0</v>
      </c>
      <c r="R21" s="15">
        <v>0</v>
      </c>
      <c r="S21" s="15">
        <v>0</v>
      </c>
    </row>
    <row r="22" spans="1:19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IF($S$41,1,0)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0</v>
      </c>
      <c r="R22" s="12">
        <v>0</v>
      </c>
      <c r="S22" s="12">
        <v>0</v>
      </c>
    </row>
    <row r="23" spans="1:19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IF($S$86,1,0)</f>
        <v>1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0</v>
      </c>
      <c r="R23" s="15">
        <v>0</v>
      </c>
      <c r="S23" s="15">
        <v>0</v>
      </c>
    </row>
    <row r="24" spans="1:19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IF($S$232,1,0)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0</v>
      </c>
    </row>
    <row r="25" spans="1:19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IF($S$276,1,0)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5">
        <v>0</v>
      </c>
      <c r="S25" s="15">
        <v>0</v>
      </c>
    </row>
    <row r="26" spans="1:19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IF($S$95,1,0)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2">
        <v>0</v>
      </c>
      <c r="R26" s="12">
        <v>0</v>
      </c>
      <c r="S26" s="12">
        <v>0</v>
      </c>
    </row>
    <row r="27" spans="1:19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IF($S$37,1,0)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0</v>
      </c>
    </row>
    <row r="28" spans="1:19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IF($S$61,1,0)</f>
        <v>1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0</v>
      </c>
      <c r="R28" s="12">
        <v>0</v>
      </c>
      <c r="S28" s="12">
        <v>0</v>
      </c>
    </row>
    <row r="29" spans="1:19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IF($S$228,1,0)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2</v>
      </c>
      <c r="M29" s="14">
        <v>0</v>
      </c>
      <c r="N29" s="14">
        <v>0</v>
      </c>
      <c r="O29" s="14">
        <v>0</v>
      </c>
      <c r="P29" s="14">
        <v>0</v>
      </c>
      <c r="Q29" s="15">
        <v>6</v>
      </c>
      <c r="R29" s="15">
        <v>0</v>
      </c>
      <c r="S29" s="15">
        <v>6</v>
      </c>
    </row>
    <row r="30" spans="1:19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IF($S$155,1,0)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0</v>
      </c>
      <c r="R30" s="12">
        <v>0</v>
      </c>
      <c r="S30" s="12">
        <v>0</v>
      </c>
    </row>
    <row r="31" spans="1:19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IF($S$217,1,0)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</row>
    <row r="32" spans="1:19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IF($S$102,1,0)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</row>
    <row r="33" spans="1:19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IF($S$190,1,0)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5">
        <v>0</v>
      </c>
      <c r="R33" s="15">
        <v>0</v>
      </c>
      <c r="S33" s="15">
        <v>0</v>
      </c>
    </row>
    <row r="34" spans="1:19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IF($S$74,1,0)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v>0</v>
      </c>
    </row>
    <row r="35" spans="1:19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IF($S$56,1,0)</f>
        <v>0</v>
      </c>
      <c r="F35" s="14" t="s">
        <v>204</v>
      </c>
      <c r="G35" s="14">
        <v>5</v>
      </c>
      <c r="H35" s="14">
        <v>0</v>
      </c>
      <c r="I35" s="14">
        <v>0</v>
      </c>
      <c r="J35" s="14">
        <v>0</v>
      </c>
      <c r="K35" s="14">
        <v>0</v>
      </c>
      <c r="L35" s="14">
        <v>2</v>
      </c>
      <c r="M35" s="14">
        <v>0</v>
      </c>
      <c r="N35" s="14">
        <v>0</v>
      </c>
      <c r="O35" s="14">
        <v>0</v>
      </c>
      <c r="P35" s="14">
        <v>0</v>
      </c>
      <c r="Q35" s="15">
        <v>11.5</v>
      </c>
      <c r="R35" s="15">
        <v>0</v>
      </c>
      <c r="S35" s="15">
        <v>11.5</v>
      </c>
    </row>
    <row r="36" spans="1:19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IF($S$43,1,0)</f>
        <v>1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2">
        <v>0</v>
      </c>
      <c r="R36" s="12">
        <v>0</v>
      </c>
      <c r="S36" s="12">
        <v>0</v>
      </c>
    </row>
    <row r="37" spans="1:19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IF($S$159,1,0)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</row>
    <row r="38" spans="1:19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IF($S$317,1,0)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0</v>
      </c>
      <c r="R38" s="12">
        <v>0</v>
      </c>
      <c r="S38" s="12">
        <v>0</v>
      </c>
    </row>
    <row r="39" spans="1:19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IF($S$183,1,0)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</row>
    <row r="40" spans="1:19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IF($S$304,1,0)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v>0</v>
      </c>
    </row>
    <row r="41" spans="1:19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IF($S$53,1,0)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v>0</v>
      </c>
    </row>
    <row r="42" spans="1:19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IF($S$181,1,0)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IF($S$291,1,0)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1</v>
      </c>
      <c r="M43" s="11">
        <v>0</v>
      </c>
      <c r="N43" s="11">
        <v>0</v>
      </c>
      <c r="O43" s="11">
        <v>0</v>
      </c>
      <c r="P43" s="11">
        <v>0</v>
      </c>
      <c r="Q43" s="12">
        <v>3</v>
      </c>
      <c r="R43" s="12">
        <v>0</v>
      </c>
      <c r="S43" s="12">
        <v>3</v>
      </c>
    </row>
    <row r="44" spans="1:19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IF($S$326,1,0)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1</v>
      </c>
      <c r="N44" s="14">
        <v>0</v>
      </c>
      <c r="O44" s="14">
        <v>0</v>
      </c>
      <c r="P44" s="14">
        <v>0</v>
      </c>
      <c r="Q44" s="15">
        <v>4</v>
      </c>
      <c r="R44" s="15">
        <v>0</v>
      </c>
      <c r="S44" s="15">
        <v>4</v>
      </c>
    </row>
    <row r="45" spans="1:19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IF($S$135,1,0)</f>
        <v>0</v>
      </c>
      <c r="F45" s="11" t="s">
        <v>504</v>
      </c>
      <c r="G45" s="11">
        <v>11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12.100000000000001</v>
      </c>
      <c r="R45" s="12">
        <v>0</v>
      </c>
      <c r="S45" s="12">
        <v>12.100000000000001</v>
      </c>
    </row>
    <row r="46" spans="1:19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IF($S$123,1,0)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2">
        <v>0</v>
      </c>
      <c r="R46" s="12">
        <v>0</v>
      </c>
      <c r="S46" s="12">
        <v>0</v>
      </c>
    </row>
    <row r="47" spans="1:19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IF($S$289,1,0)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IF($S$73,1,0)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2">
        <v>0</v>
      </c>
      <c r="R48" s="12">
        <v>0</v>
      </c>
      <c r="S48" s="12">
        <v>0</v>
      </c>
    </row>
    <row r="49" spans="1:19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IF($S$282,1,0)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5">
        <v>0</v>
      </c>
      <c r="R49" s="15">
        <v>0</v>
      </c>
      <c r="S49" s="15">
        <v>0</v>
      </c>
    </row>
    <row r="50" spans="1:19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IF($S$171,1,0)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2">
        <v>0</v>
      </c>
      <c r="R50" s="12">
        <v>0</v>
      </c>
      <c r="S50" s="12">
        <v>0</v>
      </c>
    </row>
    <row r="51" spans="1:19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IF($S$215,1,0)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IF($S$257,1,0)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2">
        <v>0</v>
      </c>
      <c r="R52" s="12">
        <v>0</v>
      </c>
      <c r="S52" s="12">
        <v>0</v>
      </c>
    </row>
    <row r="53" spans="1:19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IF($S$59,1,0)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IF($S$268,1,0)</f>
        <v>1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IF($S$299,1,0)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IF($S$132,1,0)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IF($S$119,1,0)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IF($S$231,1,0)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2">
        <v>0</v>
      </c>
      <c r="R58" s="12">
        <v>0</v>
      </c>
      <c r="S58" s="12">
        <v>0</v>
      </c>
    </row>
    <row r="59" spans="1:19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IF($S$66,1,0)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5">
        <v>0</v>
      </c>
      <c r="R59" s="15">
        <v>0</v>
      </c>
      <c r="S59" s="15">
        <v>0</v>
      </c>
    </row>
    <row r="60" spans="1:19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IF($S$270,1,0)</f>
        <v>1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IF($S$310,1,0)</f>
        <v>0</v>
      </c>
      <c r="F61" s="14" t="s">
        <v>1158</v>
      </c>
      <c r="G61" s="14">
        <v>0</v>
      </c>
      <c r="H61" s="14">
        <v>4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1</v>
      </c>
      <c r="Q61" s="15">
        <v>11</v>
      </c>
      <c r="R61" s="15">
        <v>0</v>
      </c>
      <c r="S61" s="15">
        <v>11</v>
      </c>
    </row>
    <row r="62" spans="1:19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IF($S$149,1,0)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2">
        <v>0</v>
      </c>
      <c r="R62" s="12">
        <v>0</v>
      </c>
      <c r="S62" s="12">
        <v>0</v>
      </c>
    </row>
    <row r="63" spans="1:19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IF($S$204,1,0)</f>
        <v>1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5">
        <v>0</v>
      </c>
      <c r="R63" s="15">
        <v>0</v>
      </c>
      <c r="S63" s="15">
        <v>0</v>
      </c>
    </row>
    <row r="64" spans="1:19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IF($S$13,1,0)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2">
        <v>0</v>
      </c>
      <c r="R64" s="12">
        <v>0</v>
      </c>
      <c r="S64" s="12">
        <v>0</v>
      </c>
    </row>
    <row r="65" spans="1:19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IF($S$158,1,0)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5">
        <v>0</v>
      </c>
      <c r="R65" s="15">
        <v>0</v>
      </c>
      <c r="S65" s="15">
        <v>0</v>
      </c>
    </row>
    <row r="66" spans="1:19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IF($S$245,1,0)</f>
        <v>1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2">
        <v>0</v>
      </c>
      <c r="R66" s="12">
        <v>0</v>
      </c>
      <c r="S66" s="12">
        <v>0</v>
      </c>
    </row>
    <row r="67" spans="1:19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IF($S$81,1,0)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5</v>
      </c>
      <c r="L67" s="11">
        <v>5</v>
      </c>
      <c r="M67" s="11">
        <v>0</v>
      </c>
      <c r="N67" s="11">
        <v>0</v>
      </c>
      <c r="O67" s="11">
        <v>0</v>
      </c>
      <c r="P67" s="11">
        <v>0</v>
      </c>
      <c r="Q67" s="12">
        <v>25</v>
      </c>
      <c r="R67" s="12">
        <v>0</v>
      </c>
      <c r="S67" s="12">
        <v>25</v>
      </c>
    </row>
    <row r="68" spans="1:19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IF($S$49,1,0)</f>
        <v>0</v>
      </c>
      <c r="F68" s="11" t="s">
        <v>182</v>
      </c>
      <c r="G68" s="11">
        <v>0</v>
      </c>
      <c r="H68" s="11">
        <v>6</v>
      </c>
      <c r="I68" s="11">
        <v>0</v>
      </c>
      <c r="J68" s="11">
        <v>0</v>
      </c>
      <c r="K68" s="11">
        <v>0</v>
      </c>
      <c r="L68" s="11">
        <v>4</v>
      </c>
      <c r="M68" s="11">
        <v>0</v>
      </c>
      <c r="N68" s="11">
        <v>0</v>
      </c>
      <c r="O68" s="11">
        <v>0</v>
      </c>
      <c r="P68" s="11">
        <v>0</v>
      </c>
      <c r="Q68" s="12">
        <v>24</v>
      </c>
      <c r="R68" s="12">
        <v>0</v>
      </c>
      <c r="S68" s="12">
        <v>24</v>
      </c>
    </row>
    <row r="69" spans="1:19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IF($S$196,1,0)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5">
        <v>0</v>
      </c>
      <c r="R69" s="15">
        <v>0</v>
      </c>
      <c r="S69" s="15">
        <v>0</v>
      </c>
    </row>
    <row r="70" spans="1:19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IF($S$26,1,0)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IF($S$222,1,0)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1</v>
      </c>
      <c r="M71" s="14">
        <v>1</v>
      </c>
      <c r="N71" s="14">
        <v>0</v>
      </c>
      <c r="O71" s="14">
        <v>0</v>
      </c>
      <c r="P71" s="14">
        <v>0</v>
      </c>
      <c r="Q71" s="15">
        <v>7</v>
      </c>
      <c r="R71" s="15">
        <v>0</v>
      </c>
      <c r="S71" s="15">
        <v>7</v>
      </c>
    </row>
    <row r="72" spans="1:19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IF($S$122,1,0)</f>
        <v>0</v>
      </c>
      <c r="F72" s="14" t="s">
        <v>455</v>
      </c>
      <c r="G72" s="14">
        <v>6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6.6000000000000005</v>
      </c>
      <c r="R72" s="15">
        <v>0</v>
      </c>
      <c r="S72" s="15">
        <v>6.6000000000000005</v>
      </c>
    </row>
    <row r="73" spans="1:19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IF($S$253,1,0)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IF($S$260,1,0)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IF($S$213,1,0)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IF($S$67,1,0)</f>
        <v>1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2">
        <v>0</v>
      </c>
      <c r="R76" s="12">
        <v>0</v>
      </c>
      <c r="S76" s="12">
        <v>0</v>
      </c>
    </row>
    <row r="77" spans="1:19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IF($S$23,1,0)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IF($S$308,1,0)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IF($S$290,1,0)</f>
        <v>1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5">
        <v>0</v>
      </c>
      <c r="R79" s="15">
        <v>0</v>
      </c>
      <c r="S79" s="15">
        <v>0</v>
      </c>
    </row>
    <row r="80" spans="1:19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IF($S$266,1,0)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IF($S$137,1,0)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IF($S$128,1,0)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IF($S$281,1,0)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IF($S$200,1,0)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IF($S$87,1,0)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IF($S$265,1,0)</f>
        <v>1</v>
      </c>
      <c r="F86" s="11" t="s">
        <v>998</v>
      </c>
      <c r="G86" s="11">
        <v>2</v>
      </c>
      <c r="H86" s="11">
        <v>0</v>
      </c>
      <c r="I86" s="11">
        <v>0</v>
      </c>
      <c r="J86" s="11">
        <v>0</v>
      </c>
      <c r="K86" s="11">
        <v>0</v>
      </c>
      <c r="L86" s="11">
        <v>2</v>
      </c>
      <c r="M86" s="11">
        <v>2</v>
      </c>
      <c r="N86" s="11">
        <v>0</v>
      </c>
      <c r="O86" s="11">
        <v>0</v>
      </c>
      <c r="P86" s="11">
        <v>1</v>
      </c>
      <c r="Q86" s="12">
        <v>19.2</v>
      </c>
      <c r="R86" s="12">
        <v>0</v>
      </c>
      <c r="S86" s="12">
        <v>19.2</v>
      </c>
    </row>
    <row r="87" spans="1:19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IF($S$192,1,0)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5">
        <v>0</v>
      </c>
      <c r="R87" s="15">
        <v>0</v>
      </c>
      <c r="S87" s="15">
        <v>0</v>
      </c>
    </row>
    <row r="88" spans="1:19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IF($S$306,1,0)</f>
        <v>1</v>
      </c>
      <c r="F88" s="14" t="s">
        <v>1146</v>
      </c>
      <c r="G88" s="14">
        <v>6</v>
      </c>
      <c r="H88" s="14">
        <v>0</v>
      </c>
      <c r="I88" s="14">
        <v>0</v>
      </c>
      <c r="J88" s="14">
        <v>0</v>
      </c>
      <c r="K88" s="14">
        <v>0</v>
      </c>
      <c r="L88" s="14">
        <v>2</v>
      </c>
      <c r="M88" s="14">
        <v>0</v>
      </c>
      <c r="N88" s="14">
        <v>0</v>
      </c>
      <c r="O88" s="14">
        <v>0</v>
      </c>
      <c r="P88" s="14">
        <v>1</v>
      </c>
      <c r="Q88" s="15">
        <v>15.600000000000001</v>
      </c>
      <c r="R88" s="15">
        <v>0</v>
      </c>
      <c r="S88" s="15">
        <v>15.600000000000001</v>
      </c>
    </row>
    <row r="89" spans="1:19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IF($S$114,1,0)</f>
        <v>1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5">
        <v>0</v>
      </c>
      <c r="R89" s="15">
        <v>0</v>
      </c>
      <c r="S89" s="15">
        <v>0</v>
      </c>
    </row>
    <row r="90" spans="1:19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IF($S$156,1,0)</f>
        <v>0</v>
      </c>
      <c r="F90" s="14" t="s">
        <v>583</v>
      </c>
      <c r="G90" s="14">
        <v>0</v>
      </c>
      <c r="H90" s="14">
        <v>3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1</v>
      </c>
      <c r="Q90" s="15">
        <v>14</v>
      </c>
      <c r="R90" s="15">
        <v>0</v>
      </c>
      <c r="S90" s="15">
        <v>14</v>
      </c>
    </row>
    <row r="91" spans="1:19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IF($S$75,1,0)</f>
        <v>0</v>
      </c>
      <c r="F91" s="11" t="s">
        <v>275</v>
      </c>
      <c r="G91" s="11">
        <v>0</v>
      </c>
      <c r="H91" s="11">
        <v>9</v>
      </c>
      <c r="I91" s="11">
        <v>0</v>
      </c>
      <c r="J91" s="11">
        <v>0</v>
      </c>
      <c r="K91" s="11">
        <v>0</v>
      </c>
      <c r="L91" s="11">
        <v>1</v>
      </c>
      <c r="M91" s="11">
        <v>0</v>
      </c>
      <c r="N91" s="11">
        <v>0</v>
      </c>
      <c r="O91" s="11">
        <v>0</v>
      </c>
      <c r="P91" s="11">
        <v>0</v>
      </c>
      <c r="Q91" s="12">
        <v>21</v>
      </c>
      <c r="R91" s="12">
        <v>0</v>
      </c>
      <c r="S91" s="12">
        <v>21</v>
      </c>
    </row>
    <row r="92" spans="1:19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IF($S$126,1,0)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2.2000000000000002</v>
      </c>
      <c r="R92" s="15">
        <v>0</v>
      </c>
      <c r="S92" s="15">
        <v>2.2000000000000002</v>
      </c>
    </row>
    <row r="93" spans="1:19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IF($S$251,1,0)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IF($S$14,1,0)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IF($S$92,1,0)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5">
        <v>0</v>
      </c>
      <c r="R95" s="15">
        <v>0</v>
      </c>
      <c r="S95" s="15">
        <v>0</v>
      </c>
    </row>
    <row r="96" spans="1:19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IF($S$147,1,0)</f>
        <v>0</v>
      </c>
      <c r="F96" s="11" t="s">
        <v>548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2">
        <v>0</v>
      </c>
      <c r="R96" s="12">
        <v>0</v>
      </c>
      <c r="S96" s="12">
        <v>0</v>
      </c>
    </row>
    <row r="97" spans="1:19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IF($S$243,1,0)</f>
        <v>1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IF($S$302,1,0)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IF($S$31,1,0)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IF($S$120,1,0)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IF($S$139,1,0)</f>
        <v>1</v>
      </c>
      <c r="F101" s="11" t="s">
        <v>519</v>
      </c>
      <c r="G101" s="11">
        <v>3</v>
      </c>
      <c r="H101" s="11">
        <v>0</v>
      </c>
      <c r="I101" s="11">
        <v>3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6.3</v>
      </c>
      <c r="R101" s="12">
        <v>0</v>
      </c>
      <c r="S101" s="12">
        <v>6.3</v>
      </c>
    </row>
    <row r="102" spans="1:19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IF($S$315,1,0)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2">
        <v>0</v>
      </c>
      <c r="R102" s="12">
        <v>0</v>
      </c>
      <c r="S102" s="12">
        <v>0</v>
      </c>
    </row>
    <row r="103" spans="1:19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IF($S$239,1,0)</f>
        <v>1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IF($S$233,1,0)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2">
        <v>0</v>
      </c>
      <c r="R104" s="12">
        <v>0</v>
      </c>
      <c r="S104" s="12">
        <v>0</v>
      </c>
    </row>
    <row r="105" spans="1:19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IF($S$166,1,0)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5">
        <v>0</v>
      </c>
      <c r="R105" s="15">
        <v>0</v>
      </c>
      <c r="S105" s="15">
        <v>0</v>
      </c>
    </row>
    <row r="106" spans="1:19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IF($S$256,1,0)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IF($S$62,1,0)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5">
        <v>0</v>
      </c>
      <c r="R107" s="15">
        <v>0</v>
      </c>
      <c r="S107" s="15">
        <v>0</v>
      </c>
    </row>
    <row r="108" spans="1:19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IF($S$203,1,0)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2">
        <v>0</v>
      </c>
      <c r="R108" s="12">
        <v>0</v>
      </c>
      <c r="S108" s="12">
        <v>0</v>
      </c>
    </row>
    <row r="109" spans="1:19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IF($S$197,1,0)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IF($S$48,1,0)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IF($S$320,1,0)</f>
        <v>1</v>
      </c>
      <c r="F111" s="14" t="s">
        <v>1195</v>
      </c>
      <c r="G111" s="14">
        <v>2</v>
      </c>
      <c r="H111" s="14">
        <v>3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5">
        <v>8.1999999999999993</v>
      </c>
      <c r="R111" s="15">
        <v>0</v>
      </c>
      <c r="S111" s="15">
        <v>8.1999999999999993</v>
      </c>
    </row>
    <row r="112" spans="1:19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IF($S$191,1,0)</f>
        <v>1</v>
      </c>
      <c r="F112" s="11" t="s">
        <v>715</v>
      </c>
      <c r="G112" s="11">
        <v>3</v>
      </c>
      <c r="H112" s="11">
        <v>0</v>
      </c>
      <c r="I112" s="11">
        <v>0</v>
      </c>
      <c r="J112" s="11">
        <v>0</v>
      </c>
      <c r="K112" s="11">
        <v>0</v>
      </c>
      <c r="L112" s="11">
        <v>2</v>
      </c>
      <c r="M112" s="11">
        <v>0</v>
      </c>
      <c r="N112" s="11">
        <v>0</v>
      </c>
      <c r="O112" s="11">
        <v>0</v>
      </c>
      <c r="P112" s="11">
        <v>1</v>
      </c>
      <c r="Q112" s="12">
        <v>12.3</v>
      </c>
      <c r="R112" s="12">
        <v>0</v>
      </c>
      <c r="S112" s="12">
        <v>12.3</v>
      </c>
    </row>
    <row r="113" spans="1:19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IF($S$82,1,0)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5">
        <v>0</v>
      </c>
      <c r="R113" s="15">
        <v>0</v>
      </c>
      <c r="S113" s="15">
        <v>0</v>
      </c>
    </row>
    <row r="114" spans="1:19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IF($S$319,1,0)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1</v>
      </c>
      <c r="Q114" s="12">
        <v>3</v>
      </c>
      <c r="R114" s="12">
        <v>0</v>
      </c>
      <c r="S114" s="12">
        <v>3</v>
      </c>
    </row>
    <row r="115" spans="1:19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IF($S$176,1,0)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IF($S$294,1,0)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v>0</v>
      </c>
    </row>
    <row r="117" spans="1:19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IF($S$224,1,0)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IF($S$111,1,0)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IF($S$141,1,0)</f>
        <v>1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v>0</v>
      </c>
    </row>
    <row r="120" spans="1:19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IF($S$25,1,0)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IF($S$208,1,0)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IF($S$221,1,0)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IF($S$90,1,0)</f>
        <v>1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IF($S$34,1,0)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v>0</v>
      </c>
    </row>
    <row r="125" spans="1:19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IF($S$188,1,0)</f>
        <v>1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IF($S$97,1,0)</f>
        <v>0</v>
      </c>
      <c r="F126" s="11" t="s">
        <v>363</v>
      </c>
      <c r="G126" s="11">
        <v>0</v>
      </c>
      <c r="H126" s="11">
        <v>2</v>
      </c>
      <c r="I126" s="11">
        <v>0</v>
      </c>
      <c r="J126" s="11">
        <v>0</v>
      </c>
      <c r="K126" s="11">
        <v>0</v>
      </c>
      <c r="L126" s="11">
        <v>2</v>
      </c>
      <c r="M126" s="11">
        <v>0</v>
      </c>
      <c r="N126" s="11">
        <v>0</v>
      </c>
      <c r="O126" s="11">
        <v>0</v>
      </c>
      <c r="P126" s="11">
        <v>0</v>
      </c>
      <c r="Q126" s="12">
        <v>10</v>
      </c>
      <c r="R126" s="12">
        <v>0</v>
      </c>
      <c r="S126" s="12">
        <v>10</v>
      </c>
    </row>
    <row r="127" spans="1:19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IF($S$88,1,0)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IF($S$134,1,0)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v>0</v>
      </c>
    </row>
    <row r="129" spans="1:19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IF($S$36,1,0)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5">
        <v>0</v>
      </c>
      <c r="R129" s="15">
        <v>0</v>
      </c>
      <c r="S129" s="15">
        <v>0</v>
      </c>
    </row>
    <row r="130" spans="1:19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IF($S$55,1,0)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2">
        <v>0</v>
      </c>
      <c r="R130" s="12">
        <v>0</v>
      </c>
      <c r="S130" s="12">
        <v>0</v>
      </c>
    </row>
    <row r="131" spans="1:19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IF($S$110,1,0)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5">
        <v>0</v>
      </c>
      <c r="R131" s="15">
        <v>0</v>
      </c>
      <c r="S131" s="15">
        <v>0</v>
      </c>
    </row>
    <row r="132" spans="1:19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IF($S$64,1,0)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IF($S$303,1,0)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IF($S$259,1,0)</f>
        <v>1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2">
        <v>0</v>
      </c>
      <c r="R134" s="12">
        <v>0</v>
      </c>
      <c r="S134" s="12">
        <v>0</v>
      </c>
    </row>
    <row r="135" spans="1:19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IF($S$52,1,0)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5">
        <v>0</v>
      </c>
      <c r="R135" s="15">
        <v>0</v>
      </c>
      <c r="S135" s="15">
        <v>0</v>
      </c>
    </row>
    <row r="136" spans="1:19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IF($S$249,1,0)</f>
        <v>0</v>
      </c>
      <c r="F136" s="11" t="s">
        <v>937</v>
      </c>
      <c r="G136" s="11">
        <v>0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2">
        <v>0</v>
      </c>
      <c r="R136" s="12">
        <v>0</v>
      </c>
      <c r="S136" s="12">
        <v>0</v>
      </c>
    </row>
    <row r="137" spans="1:19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IF($S$210,1,0)</f>
        <v>0</v>
      </c>
      <c r="F137" s="14" t="s">
        <v>787</v>
      </c>
      <c r="G137" s="14">
        <v>1</v>
      </c>
      <c r="H137" s="14">
        <v>0</v>
      </c>
      <c r="I137" s="14">
        <v>0</v>
      </c>
      <c r="J137" s="14">
        <v>0</v>
      </c>
      <c r="K137" s="14">
        <v>1</v>
      </c>
      <c r="L137" s="14">
        <v>1</v>
      </c>
      <c r="M137" s="14">
        <v>0</v>
      </c>
      <c r="N137" s="14">
        <v>0</v>
      </c>
      <c r="O137" s="14">
        <v>0</v>
      </c>
      <c r="P137" s="14">
        <v>0</v>
      </c>
      <c r="Q137" s="15">
        <v>6.1</v>
      </c>
      <c r="R137" s="15">
        <v>0</v>
      </c>
      <c r="S137" s="15">
        <v>6.1</v>
      </c>
    </row>
    <row r="138" spans="1:19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IF($S$312,1,0)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IF($S$140,1,0)</f>
        <v>0</v>
      </c>
      <c r="F139" s="14" t="s">
        <v>522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2</v>
      </c>
      <c r="M139" s="14">
        <v>0</v>
      </c>
      <c r="N139" s="14">
        <v>0</v>
      </c>
      <c r="O139" s="14">
        <v>0</v>
      </c>
      <c r="P139" s="14">
        <v>1</v>
      </c>
      <c r="Q139" s="15">
        <v>9</v>
      </c>
      <c r="R139" s="15">
        <v>0</v>
      </c>
      <c r="S139" s="15">
        <v>9</v>
      </c>
    </row>
    <row r="140" spans="1:19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IF($S$19,1,0)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2">
        <v>0</v>
      </c>
      <c r="R140" s="12">
        <v>0</v>
      </c>
      <c r="S140" s="12">
        <v>0</v>
      </c>
    </row>
    <row r="141" spans="1:19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IF($S$180,1,0)</f>
        <v>0</v>
      </c>
      <c r="F141" s="14" t="s">
        <v>675</v>
      </c>
      <c r="G141" s="14">
        <v>3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3.3000000000000003</v>
      </c>
      <c r="R141" s="15">
        <v>0</v>
      </c>
      <c r="S141" s="15">
        <v>3.3000000000000003</v>
      </c>
    </row>
    <row r="142" spans="1:19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IF($S$98,1,0)</f>
        <v>0</v>
      </c>
      <c r="F142" s="14" t="s">
        <v>366</v>
      </c>
      <c r="G142" s="14">
        <v>0</v>
      </c>
      <c r="H142" s="14">
        <v>4</v>
      </c>
      <c r="I142" s="14">
        <v>0</v>
      </c>
      <c r="J142" s="14">
        <v>0</v>
      </c>
      <c r="K142" s="14">
        <v>2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12</v>
      </c>
      <c r="R142" s="15">
        <v>0</v>
      </c>
      <c r="S142" s="15">
        <v>12</v>
      </c>
    </row>
    <row r="143" spans="1:19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IF($S$328,1,0)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5">
        <v>0</v>
      </c>
      <c r="R143" s="15">
        <v>0</v>
      </c>
      <c r="S143" s="15">
        <v>0</v>
      </c>
    </row>
    <row r="144" spans="1:19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IF($S$226,1,0)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IF($S$214,1,0)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5">
        <v>0</v>
      </c>
      <c r="R145" s="15">
        <v>0</v>
      </c>
      <c r="S145" s="15">
        <v>0</v>
      </c>
    </row>
    <row r="146" spans="1:19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IF($S$103,1,0)</f>
        <v>0</v>
      </c>
      <c r="F146" s="11" t="s">
        <v>385</v>
      </c>
      <c r="G146" s="11">
        <v>0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2">
        <v>0</v>
      </c>
      <c r="R146" s="12">
        <v>0</v>
      </c>
      <c r="S146" s="12">
        <v>0</v>
      </c>
    </row>
    <row r="147" spans="1:19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IF($S$322,1,0)</f>
        <v>1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5">
        <v>0</v>
      </c>
      <c r="R147" s="15">
        <v>0</v>
      </c>
      <c r="S147" s="15">
        <v>0</v>
      </c>
    </row>
    <row r="148" spans="1:19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IF($S$182,1,0)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IF($S$316,1,0)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5">
        <v>0</v>
      </c>
      <c r="R149" s="15">
        <v>0</v>
      </c>
      <c r="S149" s="15">
        <v>0</v>
      </c>
    </row>
    <row r="150" spans="1:19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IF($S$108,1,0)</f>
        <v>0</v>
      </c>
      <c r="F150" s="14" t="s">
        <v>404</v>
      </c>
      <c r="G150" s="14">
        <v>0</v>
      </c>
      <c r="H150" s="14">
        <v>0</v>
      </c>
      <c r="I150" s="14">
        <v>1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1</v>
      </c>
      <c r="R150" s="15">
        <v>0</v>
      </c>
      <c r="S150" s="15">
        <v>1</v>
      </c>
    </row>
    <row r="151" spans="1:19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IF($S$174,1,0)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5">
        <v>0</v>
      </c>
      <c r="R151" s="15">
        <v>0</v>
      </c>
      <c r="S151" s="15">
        <v>0</v>
      </c>
    </row>
    <row r="152" spans="1:19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IF($S$293,1,0)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2">
        <v>0</v>
      </c>
      <c r="R152" s="12">
        <v>0</v>
      </c>
      <c r="S152" s="12">
        <v>0</v>
      </c>
    </row>
    <row r="153" spans="1:19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IF($S$314,1,0)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5">
        <v>0</v>
      </c>
      <c r="R153" s="15">
        <v>0</v>
      </c>
      <c r="S153" s="15">
        <v>0</v>
      </c>
    </row>
    <row r="154" spans="1:19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IF($S$107,1,0)</f>
        <v>0</v>
      </c>
      <c r="F154" s="11" t="s">
        <v>400</v>
      </c>
      <c r="G154" s="11">
        <v>0</v>
      </c>
      <c r="H154" s="11">
        <v>3</v>
      </c>
      <c r="I154" s="11">
        <v>0</v>
      </c>
      <c r="J154" s="11">
        <v>0</v>
      </c>
      <c r="K154" s="11">
        <v>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2">
        <v>8</v>
      </c>
      <c r="R154" s="12">
        <v>0</v>
      </c>
      <c r="S154" s="12">
        <v>8</v>
      </c>
    </row>
    <row r="155" spans="1:19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IF($S$198,1,0)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5">
        <v>0</v>
      </c>
      <c r="R155" s="15">
        <v>0</v>
      </c>
      <c r="S155" s="15">
        <v>0</v>
      </c>
    </row>
    <row r="156" spans="1:19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IF($S$209,1,0)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2">
        <v>0</v>
      </c>
      <c r="R156" s="12">
        <v>0</v>
      </c>
      <c r="S156" s="12">
        <v>0</v>
      </c>
    </row>
    <row r="157" spans="1:19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IF($S$250,1,0)</f>
        <v>0</v>
      </c>
      <c r="F157" s="14" t="s">
        <v>941</v>
      </c>
      <c r="G157" s="14">
        <v>2</v>
      </c>
      <c r="H157" s="14">
        <v>0</v>
      </c>
      <c r="I157" s="14">
        <v>1</v>
      </c>
      <c r="J157" s="14">
        <v>0</v>
      </c>
      <c r="K157" s="14">
        <v>0</v>
      </c>
      <c r="L157" s="14">
        <v>0</v>
      </c>
      <c r="M157" s="14">
        <v>2</v>
      </c>
      <c r="N157" s="14">
        <v>0</v>
      </c>
      <c r="O157" s="14">
        <v>0</v>
      </c>
      <c r="P157" s="14">
        <v>2</v>
      </c>
      <c r="Q157" s="15">
        <v>17.2</v>
      </c>
      <c r="R157" s="15">
        <v>0</v>
      </c>
      <c r="S157" s="15">
        <v>17.2</v>
      </c>
    </row>
    <row r="158" spans="1:19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IF($S$152,1,0)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0</v>
      </c>
      <c r="N158" s="14">
        <v>0</v>
      </c>
      <c r="O158" s="14">
        <v>0</v>
      </c>
      <c r="P158" s="14">
        <v>0</v>
      </c>
      <c r="Q158" s="15">
        <v>3</v>
      </c>
      <c r="R158" s="15">
        <v>0</v>
      </c>
      <c r="S158" s="15">
        <v>3</v>
      </c>
    </row>
    <row r="159" spans="1:19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IF($S$297,1,0)</f>
        <v>1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</row>
    <row r="160" spans="1:19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IF($S$115,1,0)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IF($S$255,1,0)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IF($S$298,1,0)</f>
        <v>0</v>
      </c>
      <c r="F162" s="14" t="s">
        <v>1119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IF($S$16,1,0)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5">
        <v>0</v>
      </c>
      <c r="R163" s="15">
        <v>0</v>
      </c>
      <c r="S163" s="15">
        <v>0</v>
      </c>
    </row>
    <row r="164" spans="1:19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IF($S$10,1,0)</f>
        <v>1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IF($S$225,1,0)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IF($S$12,1,0)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IF($S$177,1,0)</f>
        <v>0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IF($S$105,1,0)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2">
        <v>0</v>
      </c>
      <c r="R168" s="12">
        <v>0</v>
      </c>
      <c r="S168" s="12">
        <v>0</v>
      </c>
    </row>
    <row r="169" spans="1:19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IF($S$261,1,0)</f>
        <v>1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IF($S$17,1,0)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2">
        <v>0</v>
      </c>
      <c r="R170" s="12">
        <v>0</v>
      </c>
      <c r="S170" s="12">
        <v>0</v>
      </c>
    </row>
    <row r="171" spans="1:19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IF($S$154,1,0)</f>
        <v>1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IF($S$54,1,0)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</row>
    <row r="173" spans="1:19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IF($S$327,1,0)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</row>
    <row r="174" spans="1:19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IF($S$46,1,0)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</row>
    <row r="175" spans="1:19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IF($S$199,1,0)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</row>
    <row r="176" spans="1:19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IF($S$212,1,0)</f>
        <v>0</v>
      </c>
      <c r="F176" s="14" t="s">
        <v>795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1</v>
      </c>
      <c r="Q176" s="15">
        <v>3</v>
      </c>
      <c r="R176" s="15">
        <v>0</v>
      </c>
      <c r="S176" s="15">
        <v>3</v>
      </c>
    </row>
    <row r="177" spans="1:19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IF($S$145,1,0)</f>
        <v>0</v>
      </c>
      <c r="F177" s="11" t="s">
        <v>540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</row>
    <row r="178" spans="1:19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IF($S$288,1,0)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</row>
    <row r="179" spans="1:19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IF($S$311,1,0)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</row>
    <row r="180" spans="1:19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IF($S$63,1,0)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IF($S$21,1,0)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</row>
    <row r="182" spans="1:19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IF($S$184,1,0)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</row>
    <row r="183" spans="1:19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IF($S$264,1,0)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IF($S$129,1,0)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IF($S$121,1,0)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</row>
    <row r="186" spans="1:19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IF($S$325,1,0)</f>
        <v>1</v>
      </c>
      <c r="F186" s="11" t="s">
        <v>1213</v>
      </c>
      <c r="G186" s="11">
        <v>11</v>
      </c>
      <c r="H186" s="11">
        <v>3</v>
      </c>
      <c r="I186" s="11">
        <v>0</v>
      </c>
      <c r="J186" s="11">
        <v>0</v>
      </c>
      <c r="K186" s="11">
        <v>0</v>
      </c>
      <c r="L186" s="11">
        <v>1</v>
      </c>
      <c r="M186" s="11">
        <v>0</v>
      </c>
      <c r="N186" s="11">
        <v>0</v>
      </c>
      <c r="O186" s="11">
        <v>0</v>
      </c>
      <c r="P186" s="11">
        <v>0</v>
      </c>
      <c r="Q186" s="12">
        <v>21.1</v>
      </c>
      <c r="R186" s="12">
        <v>0</v>
      </c>
      <c r="S186" s="12">
        <v>21.1</v>
      </c>
    </row>
    <row r="187" spans="1:19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IF($S$189,1,0)</f>
        <v>0</v>
      </c>
      <c r="F187" s="11" t="s">
        <v>709</v>
      </c>
      <c r="G187" s="11">
        <v>2</v>
      </c>
      <c r="H187" s="11">
        <v>2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6.2</v>
      </c>
      <c r="R187" s="12">
        <v>0</v>
      </c>
      <c r="S187" s="12">
        <v>6.2</v>
      </c>
    </row>
    <row r="188" spans="1:19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IF($S$229,1,0)</f>
        <v>0</v>
      </c>
      <c r="F188" s="11" t="s">
        <v>861</v>
      </c>
      <c r="G188" s="11">
        <v>1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2">
        <v>1.1000000000000001</v>
      </c>
      <c r="R188" s="12">
        <v>0</v>
      </c>
      <c r="S188" s="12">
        <v>1.1000000000000001</v>
      </c>
    </row>
    <row r="189" spans="1:19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IF($S$93,1,0)</f>
        <v>0</v>
      </c>
      <c r="F189" s="11" t="s">
        <v>348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</row>
    <row r="190" spans="1:19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IF($S$318,1,0)</f>
        <v>1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</row>
    <row r="191" spans="1:19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IF($S$148,1,0)</f>
        <v>0</v>
      </c>
      <c r="F191" s="14" t="s">
        <v>552</v>
      </c>
      <c r="G191" s="14">
        <v>4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4.4000000000000004</v>
      </c>
      <c r="R191" s="15">
        <v>0</v>
      </c>
      <c r="S191" s="15">
        <v>4.4000000000000004</v>
      </c>
    </row>
    <row r="192" spans="1:19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IF($S$195,1,0)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IF($S$125,1,0)</f>
        <v>0</v>
      </c>
      <c r="F193" s="11" t="s">
        <v>465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1</v>
      </c>
      <c r="M193" s="11">
        <v>1</v>
      </c>
      <c r="N193" s="11">
        <v>0</v>
      </c>
      <c r="O193" s="11">
        <v>0</v>
      </c>
      <c r="P193" s="11">
        <v>0</v>
      </c>
      <c r="Q193" s="12">
        <v>7</v>
      </c>
      <c r="R193" s="12">
        <v>0</v>
      </c>
      <c r="S193" s="12">
        <v>7</v>
      </c>
    </row>
    <row r="194" spans="1:19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IF($S$72,1,0)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</row>
    <row r="195" spans="1:19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IF($S$194,1,0)</f>
        <v>0</v>
      </c>
      <c r="F195" s="14" t="s">
        <v>726</v>
      </c>
      <c r="G195" s="14">
        <v>2</v>
      </c>
      <c r="H195" s="14">
        <v>4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1</v>
      </c>
      <c r="Q195" s="15">
        <v>13.2</v>
      </c>
      <c r="R195" s="15">
        <v>0</v>
      </c>
      <c r="S195" s="15">
        <v>13.2</v>
      </c>
    </row>
    <row r="196" spans="1:19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IF($S$69,1,0)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IF($S$113,1,0)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</row>
    <row r="198" spans="1:19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IF($S$163,1,0)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2">
        <v>0</v>
      </c>
      <c r="R198" s="12">
        <v>0</v>
      </c>
      <c r="S198" s="12">
        <v>0</v>
      </c>
    </row>
    <row r="199" spans="1:19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IF($S$150,1,0)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5">
        <v>0</v>
      </c>
      <c r="R199" s="15">
        <v>0</v>
      </c>
      <c r="S199" s="15">
        <v>0</v>
      </c>
    </row>
    <row r="200" spans="1:19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IF($S$15,1,0)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IF($S$284,1,0)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5">
        <v>0</v>
      </c>
      <c r="R201" s="15">
        <v>0</v>
      </c>
      <c r="S201" s="15">
        <v>0</v>
      </c>
    </row>
    <row r="202" spans="1:19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IF($S$57,1,0)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2">
        <v>0</v>
      </c>
      <c r="R202" s="12">
        <v>0</v>
      </c>
      <c r="S202" s="12">
        <v>0</v>
      </c>
    </row>
    <row r="203" spans="1:19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IF($S$151,1,0)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</row>
    <row r="204" spans="1:19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IF($S$58,1,0)</f>
        <v>0</v>
      </c>
      <c r="F204" s="14" t="s">
        <v>212</v>
      </c>
      <c r="G204" s="14">
        <v>4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4.4000000000000004</v>
      </c>
      <c r="R204" s="15">
        <v>0</v>
      </c>
      <c r="S204" s="15">
        <v>4.4000000000000004</v>
      </c>
    </row>
    <row r="205" spans="1:19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IF($S$329,1,0)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</row>
    <row r="206" spans="1:19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IF($S$161,1,0)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IF($S$133,1,0)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</row>
    <row r="208" spans="1:19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IF($S$321,1,0)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IF($S$35,1,0)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</row>
    <row r="210" spans="1:19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IF($S$202,1,0)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</row>
    <row r="211" spans="1:19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IF($S$30,1,0)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IF($S$40,1,0)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</row>
    <row r="213" spans="1:19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IF($S$130,1,0)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IF($S$309,1,0)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IF($S$186,1,0)</f>
        <v>1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IF($S$274,1,0)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</row>
    <row r="217" spans="1:19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IF($S$27,1,0)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</row>
    <row r="218" spans="1:19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IF($S$273,1,0)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2">
        <v>0</v>
      </c>
      <c r="R218" s="12">
        <v>0</v>
      </c>
      <c r="S218" s="12">
        <v>0</v>
      </c>
    </row>
    <row r="219" spans="1:19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IF($S$172,1,0)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5">
        <v>0</v>
      </c>
      <c r="R219" s="15">
        <v>0</v>
      </c>
      <c r="S219" s="15">
        <v>0</v>
      </c>
    </row>
    <row r="220" spans="1:19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IF($S$118,1,0)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IF($S$138,1,0)</f>
        <v>0</v>
      </c>
      <c r="F221" s="14" t="s">
        <v>515</v>
      </c>
      <c r="G221" s="14">
        <v>19</v>
      </c>
      <c r="H221" s="14">
        <v>5</v>
      </c>
      <c r="I221" s="14">
        <v>0</v>
      </c>
      <c r="J221" s="14">
        <v>0</v>
      </c>
      <c r="K221" s="14">
        <v>0</v>
      </c>
      <c r="L221" s="14">
        <v>2</v>
      </c>
      <c r="M221" s="14">
        <v>0</v>
      </c>
      <c r="N221" s="14">
        <v>0</v>
      </c>
      <c r="O221" s="14">
        <v>0</v>
      </c>
      <c r="P221" s="14">
        <v>0</v>
      </c>
      <c r="Q221" s="15">
        <v>36.900000000000006</v>
      </c>
      <c r="R221" s="15">
        <v>0</v>
      </c>
      <c r="S221" s="15">
        <v>36.900000000000006</v>
      </c>
    </row>
    <row r="222" spans="1:19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IF($S$216,1,0)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IF($S$109,1,0)</f>
        <v>0</v>
      </c>
      <c r="F223" s="11" t="s">
        <v>408</v>
      </c>
      <c r="G223" s="11">
        <v>3</v>
      </c>
      <c r="H223" s="11">
        <v>2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7.3000000000000007</v>
      </c>
      <c r="R223" s="12">
        <v>0</v>
      </c>
      <c r="S223" s="12">
        <v>7.3000000000000007</v>
      </c>
    </row>
    <row r="224" spans="1:19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IF($S$240,1,0)</f>
        <v>1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IF($S$164,1,0)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5">
        <v>0</v>
      </c>
      <c r="R225" s="15">
        <v>0</v>
      </c>
      <c r="S225" s="15">
        <v>0</v>
      </c>
    </row>
    <row r="226" spans="1:19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IF($S$68,1,0)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IF($S$124,1,0)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5">
        <v>0</v>
      </c>
      <c r="R227" s="15">
        <v>0</v>
      </c>
      <c r="S227" s="15">
        <v>0</v>
      </c>
    </row>
    <row r="228" spans="1:19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IF($S$324,1,0)</f>
        <v>1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IF($S$142,1,0)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5">
        <v>0</v>
      </c>
      <c r="R229" s="15">
        <v>0</v>
      </c>
      <c r="S229" s="15">
        <v>0</v>
      </c>
    </row>
    <row r="230" spans="1:19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IF($S$201,1,0)</f>
        <v>0</v>
      </c>
      <c r="F230" s="11" t="s">
        <v>753</v>
      </c>
      <c r="G230" s="11">
        <v>3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2">
        <v>3.3000000000000003</v>
      </c>
      <c r="R230" s="12">
        <v>0</v>
      </c>
      <c r="S230" s="12">
        <v>3.3000000000000003</v>
      </c>
    </row>
    <row r="231" spans="1:19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IF($S$144,1,0)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5">
        <v>0</v>
      </c>
      <c r="R231" s="15">
        <v>0</v>
      </c>
      <c r="S231" s="15">
        <v>0</v>
      </c>
    </row>
    <row r="232" spans="1:19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IF($S$77,1,0)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2">
        <v>0</v>
      </c>
      <c r="R232" s="12">
        <v>0</v>
      </c>
      <c r="S232" s="12">
        <v>0</v>
      </c>
    </row>
    <row r="233" spans="1:19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IF($S$262,1,0)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5">
        <v>0</v>
      </c>
      <c r="R233" s="15">
        <v>0</v>
      </c>
      <c r="S233" s="15">
        <v>0</v>
      </c>
    </row>
    <row r="234" spans="1:19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IF($S$287,1,0)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2">
        <v>0</v>
      </c>
      <c r="R234" s="12">
        <v>0</v>
      </c>
      <c r="S234" s="12">
        <v>0</v>
      </c>
    </row>
    <row r="235" spans="1:19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IF($S$307,1,0)</f>
        <v>1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</row>
    <row r="236" spans="1:19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IF($S$89,1,0)</f>
        <v>0</v>
      </c>
      <c r="F236" s="11" t="s">
        <v>332</v>
      </c>
      <c r="G236" s="11">
        <v>5</v>
      </c>
      <c r="H236" s="11">
        <v>1</v>
      </c>
      <c r="I236" s="11">
        <v>0</v>
      </c>
      <c r="J236" s="11">
        <v>0</v>
      </c>
      <c r="K236" s="11">
        <v>0</v>
      </c>
      <c r="L236" s="11">
        <v>2</v>
      </c>
      <c r="M236" s="11">
        <v>0</v>
      </c>
      <c r="N236" s="11">
        <v>0</v>
      </c>
      <c r="O236" s="11">
        <v>0</v>
      </c>
      <c r="P236" s="11">
        <v>0</v>
      </c>
      <c r="Q236" s="12">
        <v>13.5</v>
      </c>
      <c r="R236" s="12">
        <v>0</v>
      </c>
      <c r="S236" s="12">
        <v>13.5</v>
      </c>
    </row>
    <row r="237" spans="1:19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IF($S$11,1,0)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</row>
    <row r="238" spans="1:19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IF($S$272,1,0)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</row>
    <row r="239" spans="1:19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IF($S$286,1,0)</f>
        <v>1</v>
      </c>
      <c r="F239" s="14" t="s">
        <v>1076</v>
      </c>
      <c r="G239" s="14">
        <v>7</v>
      </c>
      <c r="H239" s="14">
        <v>0</v>
      </c>
      <c r="I239" s="14">
        <v>0</v>
      </c>
      <c r="J239" s="14">
        <v>0</v>
      </c>
      <c r="K239" s="14">
        <v>0</v>
      </c>
      <c r="L239" s="14">
        <v>2</v>
      </c>
      <c r="M239" s="14">
        <v>2</v>
      </c>
      <c r="N239" s="14">
        <v>0</v>
      </c>
      <c r="O239" s="14">
        <v>0</v>
      </c>
      <c r="P239" s="14">
        <v>1</v>
      </c>
      <c r="Q239" s="15">
        <v>24.700000000000003</v>
      </c>
      <c r="R239" s="15">
        <v>0</v>
      </c>
      <c r="S239" s="15">
        <v>24.700000000000003</v>
      </c>
    </row>
    <row r="240" spans="1:19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IF($S$242,1,0)</f>
        <v>1</v>
      </c>
      <c r="F240" s="14" t="s">
        <v>911</v>
      </c>
      <c r="G240" s="14">
        <v>8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8.8000000000000007</v>
      </c>
      <c r="R240" s="15">
        <v>0</v>
      </c>
      <c r="S240" s="15">
        <v>8.8000000000000007</v>
      </c>
    </row>
    <row r="241" spans="1:19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IF($S$246,1,0)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IF($S$267,1,0)</f>
        <v>0</v>
      </c>
      <c r="F242" s="11" t="s">
        <v>1006</v>
      </c>
      <c r="G242" s="11">
        <v>2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2.2000000000000002</v>
      </c>
      <c r="R242" s="12">
        <v>0</v>
      </c>
      <c r="S242" s="12">
        <v>2.2000000000000002</v>
      </c>
    </row>
    <row r="243" spans="1:19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IF($S$193,1,0)</f>
        <v>1</v>
      </c>
      <c r="F243" s="11" t="s">
        <v>723</v>
      </c>
      <c r="G243" s="11">
        <v>8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1</v>
      </c>
      <c r="O243" s="11">
        <v>0</v>
      </c>
      <c r="P243" s="11">
        <v>1</v>
      </c>
      <c r="Q243" s="12">
        <v>16.8</v>
      </c>
      <c r="R243" s="12">
        <v>0</v>
      </c>
      <c r="S243" s="12">
        <v>16.8</v>
      </c>
    </row>
    <row r="244" spans="1:19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IF($S$305,1,0)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IF($S$143,1,0)</f>
        <v>0</v>
      </c>
      <c r="F245" s="11" t="s">
        <v>533</v>
      </c>
      <c r="G245" s="11">
        <v>0</v>
      </c>
      <c r="H245" s="11">
        <v>0</v>
      </c>
      <c r="I245" s="11">
        <v>1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1</v>
      </c>
      <c r="R245" s="12">
        <v>0</v>
      </c>
      <c r="S245" s="12">
        <v>1</v>
      </c>
    </row>
    <row r="246" spans="1:19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IF($S$169,1,0)</f>
        <v>0</v>
      </c>
      <c r="F246" s="11" t="s">
        <v>633</v>
      </c>
      <c r="G246" s="11">
        <v>2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2.2000000000000002</v>
      </c>
      <c r="R246" s="12">
        <v>0</v>
      </c>
      <c r="S246" s="12">
        <v>2.2000000000000002</v>
      </c>
    </row>
    <row r="247" spans="1:19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IF($S$32,1,0)</f>
        <v>0</v>
      </c>
      <c r="F247" s="14" t="s">
        <v>115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IF($S$99,1,0)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IF($S$278,1,0)</f>
        <v>1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IF($S$227,1,0)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IF($S$18,1,0)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IF($S$162,1,0)</f>
        <v>0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</row>
    <row r="253" spans="1:19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IF($S$157,1,0)</f>
        <v>1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</row>
    <row r="254" spans="1:19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IF($S$244,1,0)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</row>
    <row r="255" spans="1:19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IF($S$39,1,0)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</row>
    <row r="256" spans="1:19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IF($S$106,1,0)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</row>
    <row r="257" spans="1:19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IF($S$146,1,0)</f>
        <v>0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IF($S$292,1,0)</f>
        <v>1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</row>
    <row r="259" spans="1:19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IF($S$44,1,0)</f>
        <v>1</v>
      </c>
      <c r="F259" s="14" t="s">
        <v>163</v>
      </c>
      <c r="G259" s="14">
        <v>5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5.5</v>
      </c>
      <c r="R259" s="15">
        <v>0</v>
      </c>
      <c r="S259" s="15">
        <v>5.5</v>
      </c>
    </row>
    <row r="260" spans="1:19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IF($S$323,1,0)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IF($S$42,1,0)</f>
        <v>0</v>
      </c>
      <c r="F261" s="14" t="s">
        <v>155</v>
      </c>
      <c r="G261" s="14">
        <v>3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3.3000000000000003</v>
      </c>
      <c r="R261" s="15">
        <v>0</v>
      </c>
      <c r="S261" s="15">
        <v>3.3000000000000003</v>
      </c>
    </row>
    <row r="262" spans="1:19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IF($S$167,1,0)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IF($S$301,1,0)</f>
        <v>0</v>
      </c>
      <c r="F263" s="11" t="s">
        <v>1128</v>
      </c>
      <c r="G263" s="11">
        <v>2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2.2000000000000002</v>
      </c>
      <c r="R263" s="12">
        <v>0</v>
      </c>
      <c r="S263" s="12">
        <v>2.2000000000000002</v>
      </c>
    </row>
    <row r="264" spans="1:19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IF($S$331,1,0)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IF($S$330,1,0)</f>
        <v>1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1</v>
      </c>
      <c r="M265" s="14">
        <v>0</v>
      </c>
      <c r="N265" s="14">
        <v>0</v>
      </c>
      <c r="O265" s="14">
        <v>0</v>
      </c>
      <c r="P265" s="14">
        <v>0</v>
      </c>
      <c r="Q265" s="15">
        <v>3</v>
      </c>
      <c r="R265" s="15">
        <v>0</v>
      </c>
      <c r="S265" s="15">
        <v>3</v>
      </c>
    </row>
    <row r="266" spans="1:19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IF($S$96,1,0)</f>
        <v>0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</row>
    <row r="267" spans="1:19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IF($S$38,1,0)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IF($S$60,1,0)</f>
        <v>0</v>
      </c>
      <c r="F268" s="14" t="s">
        <v>219</v>
      </c>
      <c r="G268" s="14">
        <v>3</v>
      </c>
      <c r="H268" s="14">
        <v>0</v>
      </c>
      <c r="I268" s="14">
        <v>2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5.3000000000000007</v>
      </c>
      <c r="R268" s="15">
        <v>0</v>
      </c>
      <c r="S268" s="15">
        <v>5.3000000000000007</v>
      </c>
    </row>
    <row r="269" spans="1:19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IF($S$296,1,0)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IF($S$280,1,0)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1</v>
      </c>
      <c r="N270" s="14">
        <v>0</v>
      </c>
      <c r="O270" s="14">
        <v>0</v>
      </c>
      <c r="P270" s="14">
        <v>0</v>
      </c>
      <c r="Q270" s="15">
        <v>4</v>
      </c>
      <c r="R270" s="15">
        <v>0</v>
      </c>
      <c r="S270" s="15">
        <v>4</v>
      </c>
    </row>
    <row r="271" spans="1:19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IF($S$153,1,0)</f>
        <v>0</v>
      </c>
      <c r="F271" s="11" t="s">
        <v>571</v>
      </c>
      <c r="G271" s="11">
        <v>6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1</v>
      </c>
      <c r="Q271" s="12">
        <v>9.6000000000000014</v>
      </c>
      <c r="R271" s="12">
        <v>0</v>
      </c>
      <c r="S271" s="12">
        <v>9.6000000000000014</v>
      </c>
    </row>
    <row r="272" spans="1:19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IF($S$104,1,0)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</row>
    <row r="273" spans="1:19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IF($S$45,1,0)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</row>
    <row r="274" spans="1:19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IF($S$247,1,0)</f>
        <v>0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IF($S$271,1,0)</f>
        <v>1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</row>
    <row r="276" spans="1:19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IF($S$168,1,0)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</row>
    <row r="277" spans="1:19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IF($S$136,1,0)</f>
        <v>0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IF($S$185,1,0)</f>
        <v>0</v>
      </c>
      <c r="F278" s="11" t="s">
        <v>695</v>
      </c>
      <c r="G278" s="11">
        <v>0</v>
      </c>
      <c r="H278" s="11">
        <v>0</v>
      </c>
      <c r="I278" s="11">
        <v>1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2">
        <v>1</v>
      </c>
      <c r="R278" s="12">
        <v>0</v>
      </c>
      <c r="S278" s="12">
        <v>1</v>
      </c>
    </row>
    <row r="279" spans="1:19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IF($S$234,1,0)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IF($S$275,1,0)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IF($S$24,1,0)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IF($S$207,1,0)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IF($S$237,1,0)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</row>
    <row r="284" spans="1:19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IF($S$83,1,0)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IF($S$238,1,0)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IF($S$285,1,0)</f>
        <v>0</v>
      </c>
      <c r="F286" s="11" t="s">
        <v>1073</v>
      </c>
      <c r="G286" s="11">
        <v>5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5.5</v>
      </c>
      <c r="R286" s="12">
        <v>0</v>
      </c>
      <c r="S286" s="12">
        <v>5.5</v>
      </c>
    </row>
    <row r="287" spans="1:19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IF($S$236,1,0)</f>
        <v>1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IF($S$85,1,0)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IF($S$165,1,0)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</row>
    <row r="290" spans="1:19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IF($S$279,1,0)</f>
        <v>0</v>
      </c>
      <c r="F290" s="11" t="s">
        <v>1050</v>
      </c>
      <c r="G290" s="11">
        <v>10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11</v>
      </c>
      <c r="R290" s="12">
        <v>0</v>
      </c>
      <c r="S290" s="12">
        <v>11</v>
      </c>
    </row>
    <row r="291" spans="1:19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IF($S$277,1,0)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</row>
    <row r="292" spans="1:19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IF($S$76,1,0)</f>
        <v>0</v>
      </c>
      <c r="F292" s="14" t="s">
        <v>280</v>
      </c>
      <c r="G292" s="14">
        <v>5</v>
      </c>
      <c r="H292" s="14">
        <v>0</v>
      </c>
      <c r="I292" s="14">
        <v>0</v>
      </c>
      <c r="J292" s="14">
        <v>0</v>
      </c>
      <c r="K292" s="14">
        <v>1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7.5</v>
      </c>
      <c r="R292" s="15">
        <v>0</v>
      </c>
      <c r="S292" s="15">
        <v>7.5</v>
      </c>
    </row>
    <row r="293" spans="1:19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IF($S$178,1,0)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IF($S$179,1,0)</f>
        <v>0</v>
      </c>
      <c r="F294" s="11" t="s">
        <v>671</v>
      </c>
      <c r="G294" s="11">
        <v>1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1.1000000000000001</v>
      </c>
      <c r="R294" s="12">
        <v>0</v>
      </c>
      <c r="S294" s="12">
        <v>1.1000000000000001</v>
      </c>
    </row>
    <row r="295" spans="1:19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IF($S$33,1,0)</f>
        <v>0</v>
      </c>
      <c r="F295" s="11" t="s">
        <v>119</v>
      </c>
      <c r="G295" s="11">
        <v>2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2.2000000000000002</v>
      </c>
      <c r="R295" s="12">
        <v>0</v>
      </c>
      <c r="S295" s="12">
        <v>2.2000000000000002</v>
      </c>
    </row>
    <row r="296" spans="1:19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IF($S$175,1,0)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IF($S$313,1,0)</f>
        <v>1</v>
      </c>
      <c r="F297" s="11" t="s">
        <v>1168</v>
      </c>
      <c r="G297" s="11">
        <v>3</v>
      </c>
      <c r="H297" s="11">
        <v>0</v>
      </c>
      <c r="I297" s="11">
        <v>0</v>
      </c>
      <c r="J297" s="11">
        <v>0</v>
      </c>
      <c r="K297" s="11">
        <v>0</v>
      </c>
      <c r="L297" s="11">
        <v>3</v>
      </c>
      <c r="M297" s="11">
        <v>0</v>
      </c>
      <c r="N297" s="11">
        <v>0</v>
      </c>
      <c r="O297" s="11">
        <v>0</v>
      </c>
      <c r="P297" s="11">
        <v>0</v>
      </c>
      <c r="Q297" s="12">
        <v>12.3</v>
      </c>
      <c r="R297" s="12">
        <v>0</v>
      </c>
      <c r="S297" s="12">
        <v>12.3</v>
      </c>
    </row>
    <row r="298" spans="1:19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IF($S$206,1,0)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</row>
    <row r="299" spans="1:19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IF($S$22,1,0)</f>
        <v>0</v>
      </c>
      <c r="F299" s="14" t="s">
        <v>79</v>
      </c>
      <c r="G299" s="14">
        <v>8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1</v>
      </c>
      <c r="Q299" s="15">
        <v>11.8</v>
      </c>
      <c r="R299" s="15">
        <v>0</v>
      </c>
      <c r="S299" s="15">
        <v>11.8</v>
      </c>
    </row>
    <row r="300" spans="1:19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IF($S$235,1,0)</f>
        <v>0</v>
      </c>
      <c r="F300" s="11" t="s">
        <v>884</v>
      </c>
      <c r="G300" s="11">
        <v>4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4.4000000000000004</v>
      </c>
      <c r="R300" s="12">
        <v>0</v>
      </c>
      <c r="S300" s="12">
        <v>4.4000000000000004</v>
      </c>
    </row>
    <row r="301" spans="1:19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IF($S$70,1,0)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IF($S$79,1,0)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IF($S$211,1,0)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</row>
    <row r="304" spans="1:19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IF($S$131,1,0)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IF($S$252,1,0)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IF($S$50,1,0)</f>
        <v>0</v>
      </c>
      <c r="F306" s="14" t="s">
        <v>185</v>
      </c>
      <c r="G306" s="14">
        <v>2</v>
      </c>
      <c r="H306" s="14">
        <v>0</v>
      </c>
      <c r="I306" s="14">
        <v>0</v>
      </c>
      <c r="J306" s="14">
        <v>0</v>
      </c>
      <c r="K306" s="14">
        <v>0</v>
      </c>
      <c r="L306" s="14">
        <v>1</v>
      </c>
      <c r="M306" s="14">
        <v>0</v>
      </c>
      <c r="N306" s="14">
        <v>0</v>
      </c>
      <c r="O306" s="14">
        <v>0</v>
      </c>
      <c r="P306" s="14">
        <v>0</v>
      </c>
      <c r="Q306" s="15">
        <v>5.2</v>
      </c>
      <c r="R306" s="15">
        <v>0</v>
      </c>
      <c r="S306" s="15">
        <v>5.2</v>
      </c>
    </row>
    <row r="307" spans="1:19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IF($S$112,1,0)</f>
        <v>1</v>
      </c>
      <c r="F307" s="14" t="s">
        <v>420</v>
      </c>
      <c r="G307" s="14">
        <v>4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4.4000000000000004</v>
      </c>
      <c r="R307" s="15">
        <v>0</v>
      </c>
      <c r="S307" s="15">
        <v>4.4000000000000004</v>
      </c>
    </row>
    <row r="308" spans="1:19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IF($S$283,1,0)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IF($S$28,1,0)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IF($S$230,1,0)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</row>
    <row r="311" spans="1:19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IF($S$223,1,0)</f>
        <v>1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</row>
    <row r="312" spans="1:19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IF($S$205,1,0)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2">
        <v>0</v>
      </c>
      <c r="R312" s="12">
        <v>0</v>
      </c>
      <c r="S312" s="12">
        <v>0</v>
      </c>
    </row>
    <row r="313" spans="1:19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IF($S$187,1,0)</f>
        <v>1</v>
      </c>
      <c r="F313" s="11" t="s">
        <v>702</v>
      </c>
      <c r="G313" s="11">
        <v>1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1.1000000000000001</v>
      </c>
      <c r="R313" s="12">
        <v>0</v>
      </c>
      <c r="S313" s="12">
        <v>1.1000000000000001</v>
      </c>
    </row>
    <row r="314" spans="1:19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IF($S$100,1,0)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IF($S$84,1,0)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5">
        <v>0</v>
      </c>
      <c r="R315" s="15">
        <v>0</v>
      </c>
      <c r="S315" s="15">
        <v>0</v>
      </c>
    </row>
    <row r="316" spans="1:19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IF($S$20,1,0)</f>
        <v>1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IF($S$173,1,0)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IF($S$258,1,0)</f>
        <v>0</v>
      </c>
      <c r="F318" s="14" t="s">
        <v>971</v>
      </c>
      <c r="G318" s="14">
        <v>2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2.2000000000000002</v>
      </c>
      <c r="R318" s="15">
        <v>0</v>
      </c>
      <c r="S318" s="15">
        <v>2.2000000000000002</v>
      </c>
    </row>
    <row r="319" spans="1:19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IF($S$80,1,0)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5">
        <v>0</v>
      </c>
      <c r="R319" s="15">
        <v>0</v>
      </c>
      <c r="S319" s="15">
        <v>0</v>
      </c>
    </row>
    <row r="320" spans="1:19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IF($S$263,1,0)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1</v>
      </c>
      <c r="Q320" s="12">
        <v>3</v>
      </c>
      <c r="R320" s="12">
        <v>0</v>
      </c>
      <c r="S320" s="12">
        <v>3</v>
      </c>
    </row>
    <row r="321" spans="1:19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IF($S$94,1,0)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IF($S$51,1,0)</f>
        <v>0</v>
      </c>
      <c r="F322" s="11" t="s">
        <v>188</v>
      </c>
      <c r="G322" s="11">
        <v>6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6.6000000000000005</v>
      </c>
      <c r="R322" s="12">
        <v>0</v>
      </c>
      <c r="S322" s="12">
        <v>6.6000000000000005</v>
      </c>
    </row>
    <row r="323" spans="1:19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IF($S$219,1,0)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</row>
    <row r="324" spans="1:19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IF($S$220,1,0)</f>
        <v>0</v>
      </c>
      <c r="F324" s="14" t="s">
        <v>826</v>
      </c>
      <c r="G324" s="14">
        <v>2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2.2000000000000002</v>
      </c>
      <c r="R324" s="15">
        <v>0</v>
      </c>
      <c r="S324" s="15">
        <v>2.2000000000000002</v>
      </c>
    </row>
    <row r="325" spans="1:19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IF($S$71,1,0)</f>
        <v>1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2</v>
      </c>
      <c r="M325" s="11">
        <v>2</v>
      </c>
      <c r="N325" s="11">
        <v>0</v>
      </c>
      <c r="O325" s="11">
        <v>0</v>
      </c>
      <c r="P325" s="11">
        <v>0</v>
      </c>
      <c r="Q325" s="12">
        <v>14</v>
      </c>
      <c r="R325" s="12">
        <v>0</v>
      </c>
      <c r="S325" s="12">
        <v>14</v>
      </c>
    </row>
    <row r="326" spans="1:19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IF($S$160,1,0)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IF($S$254,1,0)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5">
        <v>0</v>
      </c>
      <c r="R327" s="15">
        <v>0</v>
      </c>
      <c r="S327" s="15">
        <v>0</v>
      </c>
    </row>
    <row r="328" spans="1:19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IF($S$101,1,0)</f>
        <v>1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2">
        <v>0</v>
      </c>
      <c r="R328" s="12">
        <v>0</v>
      </c>
      <c r="S328" s="12">
        <v>0</v>
      </c>
    </row>
    <row r="329" spans="1:19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IF($S$127,1,0)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IF($S$116,1,0)</f>
        <v>0</v>
      </c>
      <c r="F330" s="14" t="s">
        <v>1244</v>
      </c>
      <c r="G330" s="14">
        <v>2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2.2000000000000002</v>
      </c>
      <c r="R330" s="15">
        <v>0</v>
      </c>
      <c r="S330" s="15">
        <v>2.2000000000000002</v>
      </c>
    </row>
    <row r="331" spans="1:19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IF($S$295,1,0)</f>
        <v>1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2" spans="1:19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IF($S$332,1,0)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</row>
    <row r="334" spans="1:19" ht="15" thickBot="1" x14ac:dyDescent="0.35">
      <c r="E334" s="5" t="s">
        <v>18</v>
      </c>
      <c r="F334" s="6" t="s">
        <v>19</v>
      </c>
      <c r="G334" s="6" t="s">
        <v>4</v>
      </c>
      <c r="H334" s="6" t="s">
        <v>5</v>
      </c>
      <c r="I334" s="6" t="s">
        <v>6</v>
      </c>
      <c r="J334" s="6" t="s">
        <v>7</v>
      </c>
      <c r="K334" s="6" t="s">
        <v>8</v>
      </c>
      <c r="L334" s="6" t="s">
        <v>9</v>
      </c>
      <c r="M334" s="6" t="s">
        <v>10</v>
      </c>
      <c r="N334" s="6" t="s">
        <v>11</v>
      </c>
      <c r="O334" s="6" t="s">
        <v>12</v>
      </c>
      <c r="P334" s="6" t="s">
        <v>1240</v>
      </c>
      <c r="Q334" s="6" t="s">
        <v>23</v>
      </c>
      <c r="R334" s="6" t="s">
        <v>26</v>
      </c>
      <c r="S334" s="6" t="s">
        <v>25</v>
      </c>
    </row>
    <row r="335" spans="1:19" ht="15" thickTop="1" x14ac:dyDescent="0.3">
      <c r="E335" s="7">
        <f xml:space="preserve"> IF($S$335,1,0)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9">
        <f>$G$335*$G$8+$H$335*$H$8+$I$335*$I$8+$J$335*$J$8+$K$335*$K$8+$L$335*$L$8+$M$335*$M$8+$N$335*$N$8+$O$335*$O$8+$P$335*$P$8</f>
        <v>0</v>
      </c>
      <c r="R335" s="9">
        <f>$S$335/2</f>
        <v>0</v>
      </c>
      <c r="S335" s="9">
        <f>$G$335*$G$8+$H$335*$H$8+$I$335*$I$8+$J$335*$J$8+$K$335*$K$8+$L$335*$L$8+$M$335*$M$8+$N$335*$N$8+$O$335*$O$8+$P$335*$P$8</f>
        <v>0</v>
      </c>
    </row>
  </sheetData>
  <sortState ref="A10:S332">
    <sortCondition ref="A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8B48-2934-4BE2-8CDC-28AE123AFB4A}">
  <sheetPr codeName="Blad3"/>
  <dimension ref="A2:T335"/>
  <sheetViews>
    <sheetView topLeftCell="A319" workbookViewId="0">
      <selection activeCell="J330" sqref="J330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F2" t="s">
        <v>20</v>
      </c>
      <c r="G2">
        <f>SUM($G$10:$G$332)+ SUM($G$335:$G$335)</f>
        <v>82</v>
      </c>
      <c r="H2">
        <f>SUM($H$10:$H$332)+ SUM($H$335:$H$335)</f>
        <v>28</v>
      </c>
      <c r="I2">
        <f>SUM($I$10:$I$332)+ SUM($I$335:$I$335)</f>
        <v>10</v>
      </c>
      <c r="J2">
        <f>SUM($J$10:$J$332)+ SUM($J$335:$J$335)</f>
        <v>3</v>
      </c>
      <c r="K2">
        <f>SUM($K$10:$K$332)+ SUM($K$335:$K$335)</f>
        <v>1</v>
      </c>
      <c r="L2">
        <f>SUM($L$10:$L$332)+ SUM($L$335:$L$335)</f>
        <v>12</v>
      </c>
      <c r="M2">
        <f>SUM($M$10:$M$332)+ SUM($M$335:$M$335)</f>
        <v>17</v>
      </c>
      <c r="N2">
        <f>SUM($N$10:$N$332)+ SUM($N$335:$N$335)</f>
        <v>0</v>
      </c>
      <c r="O2">
        <f>SUM($O$10:$O$332)+ SUM($O$335:$O$335)</f>
        <v>4</v>
      </c>
      <c r="P2">
        <f>SUM($P$10:$P$332)+ SUM($P$335:$P$335)</f>
        <v>0</v>
      </c>
      <c r="Q2">
        <f>SUM($Q$10:$Q$332)+ SUM($Q$335:$Q$335)</f>
        <v>8</v>
      </c>
      <c r="S2" t="s">
        <v>1239</v>
      </c>
    </row>
    <row r="3" spans="1:20" x14ac:dyDescent="0.3">
      <c r="F3" t="s">
        <v>21</v>
      </c>
      <c r="G3" s="3">
        <f>$G$8*G2</f>
        <v>90.2</v>
      </c>
      <c r="H3" s="3">
        <f>$H$8*H2</f>
        <v>50.4</v>
      </c>
      <c r="I3" s="3">
        <f>$I$8*I2</f>
        <v>23</v>
      </c>
      <c r="J3" s="3">
        <f>$J$8*J2</f>
        <v>3</v>
      </c>
      <c r="K3" s="3">
        <f>$K$8*K2</f>
        <v>4.75</v>
      </c>
      <c r="L3" s="3">
        <f>$L$8*L2</f>
        <v>24</v>
      </c>
      <c r="M3" s="3">
        <f>$M$8*M2</f>
        <v>51</v>
      </c>
      <c r="N3" s="3">
        <f>$N$8*N2</f>
        <v>0</v>
      </c>
      <c r="O3" s="3">
        <f>$O$8*O2</f>
        <v>20</v>
      </c>
      <c r="P3" s="3">
        <f>$P$8*P2</f>
        <v>0</v>
      </c>
      <c r="Q3" s="3">
        <f>$Q$8*Q2</f>
        <v>8</v>
      </c>
      <c r="S3">
        <f>SUM($E$10:$E$332)</f>
        <v>31</v>
      </c>
    </row>
    <row r="4" spans="1:20" x14ac:dyDescent="0.3">
      <c r="F4" s="3">
        <f>SUM(G3:Q3)</f>
        <v>274.35000000000002</v>
      </c>
    </row>
    <row r="5" spans="1:20" x14ac:dyDescent="0.3">
      <c r="F5" s="3">
        <f>SUM(R10:R332)</f>
        <v>274.35000000000002</v>
      </c>
    </row>
    <row r="6" spans="1:20" x14ac:dyDescent="0.3">
      <c r="F6" s="3">
        <f>SUM(T10:T332)</f>
        <v>274.35000000000002</v>
      </c>
    </row>
    <row r="8" spans="1:20" x14ac:dyDescent="0.3">
      <c r="F8" t="s">
        <v>22</v>
      </c>
      <c r="G8" s="4">
        <v>1.1000000000000001</v>
      </c>
      <c r="H8" s="4">
        <v>1.8</v>
      </c>
      <c r="I8" s="4">
        <v>2.2999999999999998</v>
      </c>
      <c r="J8" s="4">
        <v>1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1246</v>
      </c>
      <c r="J9" s="6" t="s">
        <v>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IF($T$47,1,0)</f>
        <v>0</v>
      </c>
      <c r="F10" s="17" t="s">
        <v>175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8">
        <v>0</v>
      </c>
      <c r="S10" s="18">
        <v>0</v>
      </c>
      <c r="T10" s="18">
        <v>0</v>
      </c>
    </row>
    <row r="11" spans="1:20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IF($T$218,1,0)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5">
        <v>0</v>
      </c>
      <c r="S11" s="15">
        <v>0</v>
      </c>
      <c r="T11" s="15">
        <v>0</v>
      </c>
    </row>
    <row r="12" spans="1:20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IF($T$248,1,0)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v>0</v>
      </c>
      <c r="S12" s="15">
        <v>0</v>
      </c>
      <c r="T12" s="15">
        <v>0</v>
      </c>
    </row>
    <row r="13" spans="1:20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IF($T$65,1,0)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v>0</v>
      </c>
      <c r="S13" s="12">
        <v>0</v>
      </c>
      <c r="T13" s="12">
        <v>0</v>
      </c>
    </row>
    <row r="14" spans="1:20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IF($T$117,1,0)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2">
        <v>0</v>
      </c>
      <c r="S14" s="12">
        <v>0</v>
      </c>
      <c r="T14" s="12">
        <v>0</v>
      </c>
    </row>
    <row r="15" spans="1:20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IF($T$241,1,0)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v>0</v>
      </c>
      <c r="S15" s="12">
        <v>0</v>
      </c>
      <c r="T15" s="12">
        <v>0</v>
      </c>
    </row>
    <row r="16" spans="1:20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IF($T$170,1,0)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v>0</v>
      </c>
      <c r="S16" s="15">
        <v>0</v>
      </c>
      <c r="T16" s="15">
        <v>0</v>
      </c>
    </row>
    <row r="17" spans="1:20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IF($T$269,1,0)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v>0</v>
      </c>
      <c r="S17" s="12">
        <v>0</v>
      </c>
      <c r="T17" s="12">
        <v>0</v>
      </c>
    </row>
    <row r="18" spans="1:20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IF($T$78,1,0)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v>0</v>
      </c>
      <c r="S18" s="15">
        <v>0</v>
      </c>
      <c r="T18" s="15">
        <v>0</v>
      </c>
    </row>
    <row r="19" spans="1:20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IF($T$91,1,0)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v>0</v>
      </c>
      <c r="S19" s="12">
        <v>0</v>
      </c>
      <c r="T19" s="12">
        <v>0</v>
      </c>
    </row>
    <row r="20" spans="1:20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IF($T$29,1,0)</f>
        <v>0</v>
      </c>
      <c r="F20" s="11" t="s">
        <v>105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2">
        <v>0</v>
      </c>
      <c r="S20" s="12">
        <v>0</v>
      </c>
      <c r="T20" s="12">
        <v>0</v>
      </c>
    </row>
    <row r="21" spans="1:20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IF($T$300,1,0)</f>
        <v>0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5">
        <v>0</v>
      </c>
      <c r="S21" s="15">
        <v>0</v>
      </c>
      <c r="T21" s="15">
        <v>0</v>
      </c>
    </row>
    <row r="22" spans="1:20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IF($T$41,1,0)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2">
        <v>0</v>
      </c>
      <c r="S22" s="12">
        <v>0</v>
      </c>
      <c r="T22" s="12">
        <v>0</v>
      </c>
    </row>
    <row r="23" spans="1:20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IF($T$86,1,0)</f>
        <v>0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5">
        <v>0</v>
      </c>
      <c r="S23" s="15">
        <v>0</v>
      </c>
      <c r="T23" s="15">
        <v>0</v>
      </c>
    </row>
    <row r="24" spans="1:20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IF($T$232,1,0)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v>0</v>
      </c>
      <c r="S24" s="15">
        <v>0</v>
      </c>
      <c r="T24" s="15">
        <v>0</v>
      </c>
    </row>
    <row r="25" spans="1:20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IF($T$276,1,0)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5">
        <v>0</v>
      </c>
      <c r="S25" s="15">
        <v>0</v>
      </c>
      <c r="T25" s="15">
        <v>0</v>
      </c>
    </row>
    <row r="26" spans="1:20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IF($T$95,1,0)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2">
        <v>0</v>
      </c>
      <c r="S26" s="12">
        <v>0</v>
      </c>
      <c r="T26" s="12">
        <v>0</v>
      </c>
    </row>
    <row r="27" spans="1:20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IF($T$37,1,0)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v>0</v>
      </c>
      <c r="S27" s="12">
        <v>0</v>
      </c>
      <c r="T27" s="12">
        <v>0</v>
      </c>
    </row>
    <row r="28" spans="1:20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IF($T$61,1,0)</f>
        <v>0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2">
        <v>0</v>
      </c>
      <c r="S28" s="12">
        <v>0</v>
      </c>
      <c r="T28" s="12">
        <v>0</v>
      </c>
    </row>
    <row r="29" spans="1:20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IF($T$228,1,0)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5">
        <v>0</v>
      </c>
      <c r="S29" s="15">
        <v>0</v>
      </c>
      <c r="T29" s="15">
        <v>0</v>
      </c>
    </row>
    <row r="30" spans="1:20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IF($T$155,1,0)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2">
        <v>0</v>
      </c>
      <c r="S30" s="12">
        <v>0</v>
      </c>
      <c r="T30" s="12">
        <v>0</v>
      </c>
    </row>
    <row r="31" spans="1:20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IF($T$217,1,0)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v>0</v>
      </c>
      <c r="S31" s="12">
        <v>0</v>
      </c>
      <c r="T31" s="12">
        <v>0</v>
      </c>
    </row>
    <row r="32" spans="1:20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IF($T$102,1,0)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v>0</v>
      </c>
      <c r="S32" s="15">
        <v>0</v>
      </c>
      <c r="T32" s="15">
        <v>0</v>
      </c>
    </row>
    <row r="33" spans="1:20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IF($T$190,1,0)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5">
        <v>0</v>
      </c>
      <c r="S33" s="15">
        <v>0</v>
      </c>
      <c r="T33" s="15">
        <v>0</v>
      </c>
    </row>
    <row r="34" spans="1:20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IF($T$74,1,0)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v>0</v>
      </c>
      <c r="S34" s="15">
        <v>0</v>
      </c>
      <c r="T34" s="15">
        <v>0</v>
      </c>
    </row>
    <row r="35" spans="1:20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IF($T$56,1,0)</f>
        <v>0</v>
      </c>
      <c r="F35" s="14" t="s">
        <v>204</v>
      </c>
      <c r="G35" s="14">
        <v>6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5">
        <v>6.6000000000000005</v>
      </c>
      <c r="S35" s="15">
        <v>0</v>
      </c>
      <c r="T35" s="15">
        <v>6.6000000000000005</v>
      </c>
    </row>
    <row r="36" spans="1:20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IF($T$43,1,0)</f>
        <v>0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2">
        <v>0</v>
      </c>
      <c r="T36" s="12">
        <v>0</v>
      </c>
    </row>
    <row r="37" spans="1:20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IF($T$159,1,0)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2">
        <v>0</v>
      </c>
      <c r="T37" s="12">
        <v>0</v>
      </c>
    </row>
    <row r="38" spans="1:20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IF($T$317,1,0)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2">
        <v>0</v>
      </c>
      <c r="T38" s="12">
        <v>0</v>
      </c>
    </row>
    <row r="39" spans="1:20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IF($T$183,1,0)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2">
        <v>0</v>
      </c>
      <c r="T39" s="12">
        <v>0</v>
      </c>
    </row>
    <row r="40" spans="1:20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IF($T$304,1,0)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v>0</v>
      </c>
      <c r="S40" s="15">
        <v>0</v>
      </c>
      <c r="T40" s="15">
        <v>0</v>
      </c>
    </row>
    <row r="41" spans="1:20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IF($T$53,1,0)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v>0</v>
      </c>
      <c r="S41" s="12">
        <v>0</v>
      </c>
      <c r="T41" s="12">
        <v>0</v>
      </c>
    </row>
    <row r="42" spans="1:20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IF($T$181,1,0)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2">
        <v>0</v>
      </c>
      <c r="S42" s="12">
        <v>0</v>
      </c>
      <c r="T42" s="12">
        <v>0</v>
      </c>
    </row>
    <row r="43" spans="1:20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IF($T$291,1,0)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v>0</v>
      </c>
      <c r="S43" s="12">
        <v>0</v>
      </c>
      <c r="T43" s="12">
        <v>0</v>
      </c>
    </row>
    <row r="44" spans="1:20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IF($T$326,1,0)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v>0</v>
      </c>
      <c r="S44" s="15">
        <v>0</v>
      </c>
      <c r="T44" s="15">
        <v>0</v>
      </c>
    </row>
    <row r="45" spans="1:20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IF($T$135,1,0)</f>
        <v>0</v>
      </c>
      <c r="F45" s="11" t="s">
        <v>504</v>
      </c>
      <c r="G45" s="11">
        <v>6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v>6.6000000000000005</v>
      </c>
      <c r="S45" s="12">
        <v>0</v>
      </c>
      <c r="T45" s="12">
        <v>6.6000000000000005</v>
      </c>
    </row>
    <row r="46" spans="1:20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IF($T$123,1,0)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2">
        <v>0</v>
      </c>
      <c r="T46" s="12">
        <v>0</v>
      </c>
    </row>
    <row r="47" spans="1:20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IF($T$289,1,0)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2">
        <v>0</v>
      </c>
      <c r="T47" s="12">
        <v>0</v>
      </c>
    </row>
    <row r="48" spans="1:20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IF($T$73,1,0)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2">
        <v>0</v>
      </c>
      <c r="S48" s="12">
        <v>0</v>
      </c>
      <c r="T48" s="12">
        <v>0</v>
      </c>
    </row>
    <row r="49" spans="1:20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IF($T$282,1,0)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5">
        <v>0</v>
      </c>
      <c r="T49" s="15">
        <v>0</v>
      </c>
    </row>
    <row r="50" spans="1:20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IF($T$171,1,0)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2">
        <v>0</v>
      </c>
      <c r="T50" s="12">
        <v>0</v>
      </c>
    </row>
    <row r="51" spans="1:20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IF($T$215,1,0)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2">
        <v>0</v>
      </c>
      <c r="T51" s="12">
        <v>0</v>
      </c>
    </row>
    <row r="52" spans="1:20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IF($T$257,1,0)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2">
        <v>0</v>
      </c>
      <c r="T52" s="12">
        <v>0</v>
      </c>
    </row>
    <row r="53" spans="1:20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IF($T$59,1,0)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2">
        <v>0</v>
      </c>
      <c r="T53" s="12">
        <v>0</v>
      </c>
    </row>
    <row r="54" spans="1:20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IF($T$268,1,0)</f>
        <v>0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v>0</v>
      </c>
      <c r="S54" s="15">
        <v>0</v>
      </c>
      <c r="T54" s="15">
        <v>0</v>
      </c>
    </row>
    <row r="55" spans="1:20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IF($T$299,1,0)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2">
        <v>0</v>
      </c>
      <c r="T55" s="12">
        <v>0</v>
      </c>
    </row>
    <row r="56" spans="1:20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IF($T$132,1,0)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v>0</v>
      </c>
      <c r="S56" s="15">
        <v>0</v>
      </c>
      <c r="T56" s="15">
        <v>0</v>
      </c>
    </row>
    <row r="57" spans="1:20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IF($T$119,1,0)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v>0</v>
      </c>
      <c r="S57" s="12">
        <v>0</v>
      </c>
      <c r="T57" s="12">
        <v>0</v>
      </c>
    </row>
    <row r="58" spans="1:20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IF($T$231,1,0)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2">
        <v>0</v>
      </c>
      <c r="S58" s="12">
        <v>0</v>
      </c>
      <c r="T58" s="12">
        <v>0</v>
      </c>
    </row>
    <row r="59" spans="1:20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IF($T$66,1,0)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5">
        <v>0</v>
      </c>
      <c r="S59" s="15">
        <v>0</v>
      </c>
      <c r="T59" s="15">
        <v>0</v>
      </c>
    </row>
    <row r="60" spans="1:20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IF($T$270,1,0)</f>
        <v>0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v>0</v>
      </c>
      <c r="S60" s="15">
        <v>0</v>
      </c>
      <c r="T60" s="15">
        <v>0</v>
      </c>
    </row>
    <row r="61" spans="1:20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IF($T$310,1,0)</f>
        <v>0</v>
      </c>
      <c r="F61" s="14" t="s">
        <v>1158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5">
        <v>0</v>
      </c>
      <c r="S61" s="15">
        <v>0</v>
      </c>
      <c r="T61" s="15">
        <v>0</v>
      </c>
    </row>
    <row r="62" spans="1:20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IF($T$149,1,0)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2">
        <v>0</v>
      </c>
      <c r="T62" s="12">
        <v>0</v>
      </c>
    </row>
    <row r="63" spans="1:20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IF($T$204,1,0)</f>
        <v>0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5">
        <v>0</v>
      </c>
      <c r="S63" s="15">
        <v>0</v>
      </c>
      <c r="T63" s="15">
        <v>0</v>
      </c>
    </row>
    <row r="64" spans="1:20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IF($T$13,1,0)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2">
        <v>0</v>
      </c>
      <c r="S64" s="12">
        <v>0</v>
      </c>
      <c r="T64" s="12">
        <v>0</v>
      </c>
    </row>
    <row r="65" spans="1:20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IF($T$158,1,0)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5">
        <v>0</v>
      </c>
      <c r="S65" s="15">
        <v>0</v>
      </c>
      <c r="T65" s="15">
        <v>0</v>
      </c>
    </row>
    <row r="66" spans="1:20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IF($T$245,1,0)</f>
        <v>0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2">
        <v>0</v>
      </c>
      <c r="T66" s="12">
        <v>0</v>
      </c>
    </row>
    <row r="67" spans="1:20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IF($T$81,1,0)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2">
        <v>0</v>
      </c>
      <c r="T67" s="12">
        <v>0</v>
      </c>
    </row>
    <row r="68" spans="1:20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IF($T$49,1,0)</f>
        <v>0</v>
      </c>
      <c r="F68" s="11" t="s">
        <v>182</v>
      </c>
      <c r="G68" s="11">
        <v>6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9</v>
      </c>
      <c r="N68" s="11">
        <v>0</v>
      </c>
      <c r="O68" s="11">
        <v>1</v>
      </c>
      <c r="P68" s="11">
        <v>0</v>
      </c>
      <c r="Q68" s="11">
        <v>0</v>
      </c>
      <c r="R68" s="12">
        <v>38.6</v>
      </c>
      <c r="S68" s="12">
        <v>0</v>
      </c>
      <c r="T68" s="12">
        <v>38.6</v>
      </c>
    </row>
    <row r="69" spans="1:20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IF($T$196,1,0)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5">
        <v>0</v>
      </c>
      <c r="S69" s="15">
        <v>0</v>
      </c>
      <c r="T69" s="15">
        <v>0</v>
      </c>
    </row>
    <row r="70" spans="1:20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IF($T$26,1,0)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v>0</v>
      </c>
      <c r="S70" s="15">
        <v>0</v>
      </c>
      <c r="T70" s="15">
        <v>0</v>
      </c>
    </row>
    <row r="71" spans="1:20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IF($T$222,1,0)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5">
        <v>0</v>
      </c>
      <c r="S71" s="15">
        <v>0</v>
      </c>
      <c r="T71" s="15">
        <v>0</v>
      </c>
    </row>
    <row r="72" spans="1:20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IF($T$122,1,0)</f>
        <v>0</v>
      </c>
      <c r="F72" s="14" t="s">
        <v>455</v>
      </c>
      <c r="G72" s="14">
        <v>0</v>
      </c>
      <c r="H72" s="14">
        <v>7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4">
        <v>1</v>
      </c>
      <c r="R72" s="15">
        <v>16.600000000000001</v>
      </c>
      <c r="S72" s="15">
        <v>0</v>
      </c>
      <c r="T72" s="15">
        <v>16.600000000000001</v>
      </c>
    </row>
    <row r="73" spans="1:20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IF($T$253,1,0)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v>0</v>
      </c>
      <c r="S73" s="12">
        <v>0</v>
      </c>
      <c r="T73" s="12">
        <v>0</v>
      </c>
    </row>
    <row r="74" spans="1:20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IF($T$260,1,0)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v>0</v>
      </c>
      <c r="S74" s="15">
        <v>0</v>
      </c>
      <c r="T74" s="15">
        <v>0</v>
      </c>
    </row>
    <row r="75" spans="1:20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IF($T$213,1,0)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2">
        <v>0</v>
      </c>
      <c r="T75" s="12">
        <v>0</v>
      </c>
    </row>
    <row r="76" spans="1:20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IF($T$67,1,0)</f>
        <v>0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2">
        <v>0</v>
      </c>
      <c r="T76" s="12">
        <v>0</v>
      </c>
    </row>
    <row r="77" spans="1:20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IF($T$23,1,0)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2">
        <v>0</v>
      </c>
      <c r="T77" s="12">
        <v>0</v>
      </c>
    </row>
    <row r="78" spans="1:20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IF($T$308,1,0)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v>0</v>
      </c>
      <c r="S78" s="15">
        <v>0</v>
      </c>
      <c r="T78" s="15">
        <v>0</v>
      </c>
    </row>
    <row r="79" spans="1:20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IF($T$290,1,0)</f>
        <v>0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5">
        <v>0</v>
      </c>
      <c r="S79" s="15">
        <v>0</v>
      </c>
      <c r="T79" s="15">
        <v>0</v>
      </c>
    </row>
    <row r="80" spans="1:20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IF($T$266,1,0)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v>0</v>
      </c>
      <c r="S80" s="15">
        <v>0</v>
      </c>
      <c r="T80" s="15">
        <v>0</v>
      </c>
    </row>
    <row r="81" spans="1:20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IF($T$137,1,0)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2">
        <v>0</v>
      </c>
      <c r="T81" s="12">
        <v>0</v>
      </c>
    </row>
    <row r="82" spans="1:20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IF($T$128,1,0)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v>0</v>
      </c>
      <c r="S82" s="15">
        <v>0</v>
      </c>
      <c r="T82" s="15">
        <v>0</v>
      </c>
    </row>
    <row r="83" spans="1:20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IF($T$281,1,0)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2">
        <v>0</v>
      </c>
      <c r="T83" s="12">
        <v>0</v>
      </c>
    </row>
    <row r="84" spans="1:20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IF($T$200,1,0)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v>0</v>
      </c>
      <c r="S84" s="15">
        <v>0</v>
      </c>
      <c r="T84" s="15">
        <v>0</v>
      </c>
    </row>
    <row r="85" spans="1:20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IF($T$87,1,0)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2">
        <v>0</v>
      </c>
      <c r="T85" s="12">
        <v>0</v>
      </c>
    </row>
    <row r="86" spans="1:20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IF($T$265,1,0)</f>
        <v>0</v>
      </c>
      <c r="F86" s="11" t="s">
        <v>998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2">
        <v>0</v>
      </c>
      <c r="S86" s="12">
        <v>0</v>
      </c>
      <c r="T86" s="12">
        <v>0</v>
      </c>
    </row>
    <row r="87" spans="1:20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IF($T$192,1,0)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5">
        <v>0</v>
      </c>
      <c r="T87" s="15">
        <v>0</v>
      </c>
    </row>
    <row r="88" spans="1:20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IF($T$306,1,0)</f>
        <v>0</v>
      </c>
      <c r="F88" s="14" t="s">
        <v>1146</v>
      </c>
      <c r="G88" s="14">
        <v>0</v>
      </c>
      <c r="H88" s="14">
        <v>1</v>
      </c>
      <c r="I88" s="14">
        <v>1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v>4.0999999999999996</v>
      </c>
      <c r="S88" s="15">
        <v>0</v>
      </c>
      <c r="T88" s="15">
        <v>4.0999999999999996</v>
      </c>
    </row>
    <row r="89" spans="1:20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IF($T$114,1,0)</f>
        <v>0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5">
        <v>0</v>
      </c>
      <c r="T89" s="15">
        <v>0</v>
      </c>
    </row>
    <row r="90" spans="1:20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IF($T$156,1,0)</f>
        <v>0</v>
      </c>
      <c r="F90" s="14" t="s">
        <v>583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v>0</v>
      </c>
      <c r="S90" s="15">
        <v>0</v>
      </c>
      <c r="T90" s="15">
        <v>0</v>
      </c>
    </row>
    <row r="91" spans="1:20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IF($T$75,1,0)</f>
        <v>0</v>
      </c>
      <c r="F91" s="11" t="s">
        <v>275</v>
      </c>
      <c r="G91" s="11">
        <v>5</v>
      </c>
      <c r="H91" s="11">
        <v>0</v>
      </c>
      <c r="I91" s="11">
        <v>0</v>
      </c>
      <c r="J91" s="11">
        <v>1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v>6.5</v>
      </c>
      <c r="S91" s="12">
        <v>0</v>
      </c>
      <c r="T91" s="12">
        <v>6.5</v>
      </c>
    </row>
    <row r="92" spans="1:20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IF($T$126,1,0)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3</v>
      </c>
      <c r="M92" s="14">
        <v>2</v>
      </c>
      <c r="N92" s="14">
        <v>0</v>
      </c>
      <c r="O92" s="14">
        <v>1</v>
      </c>
      <c r="P92" s="14">
        <v>0</v>
      </c>
      <c r="Q92" s="14">
        <v>1</v>
      </c>
      <c r="R92" s="15">
        <v>20.2</v>
      </c>
      <c r="S92" s="15">
        <v>0</v>
      </c>
      <c r="T92" s="15">
        <v>20.2</v>
      </c>
    </row>
    <row r="93" spans="1:20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IF($T$251,1,0)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v>0</v>
      </c>
      <c r="S93" s="12">
        <v>0</v>
      </c>
      <c r="T93" s="12">
        <v>0</v>
      </c>
    </row>
    <row r="94" spans="1:20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IF($T$14,1,0)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v>0</v>
      </c>
      <c r="S94" s="15">
        <v>0</v>
      </c>
      <c r="T94" s="15">
        <v>0</v>
      </c>
    </row>
    <row r="95" spans="1:20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IF($T$92,1,0)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5">
        <v>0</v>
      </c>
      <c r="S95" s="15">
        <v>0</v>
      </c>
      <c r="T95" s="15">
        <v>0</v>
      </c>
    </row>
    <row r="96" spans="1:20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IF($T$147,1,0)</f>
        <v>0</v>
      </c>
      <c r="F96" s="11" t="s">
        <v>548</v>
      </c>
      <c r="G96" s="11">
        <v>6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2">
        <v>6.6000000000000005</v>
      </c>
      <c r="S96" s="12">
        <v>0</v>
      </c>
      <c r="T96" s="12">
        <v>6.6000000000000005</v>
      </c>
    </row>
    <row r="97" spans="1:20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IF($T$243,1,0)</f>
        <v>0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2">
        <v>0</v>
      </c>
      <c r="T97" s="12">
        <v>0</v>
      </c>
    </row>
    <row r="98" spans="1:20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IF($T$302,1,0)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5">
        <v>0</v>
      </c>
      <c r="S98" s="15">
        <v>0</v>
      </c>
      <c r="T98" s="15">
        <v>0</v>
      </c>
    </row>
    <row r="99" spans="1:20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IF($T$31,1,0)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2">
        <v>0</v>
      </c>
      <c r="T99" s="12">
        <v>0</v>
      </c>
    </row>
    <row r="100" spans="1:20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IF($T$120,1,0)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v>0</v>
      </c>
      <c r="S100" s="15">
        <v>0</v>
      </c>
      <c r="T100" s="15">
        <v>0</v>
      </c>
    </row>
    <row r="101" spans="1:20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IF($T$139,1,0)</f>
        <v>1</v>
      </c>
      <c r="F101" s="11" t="s">
        <v>519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v>0</v>
      </c>
      <c r="S101" s="12">
        <v>0</v>
      </c>
      <c r="T101" s="12">
        <v>0</v>
      </c>
    </row>
    <row r="102" spans="1:20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IF($T$315,1,0)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2">
        <v>0</v>
      </c>
      <c r="S102" s="12">
        <v>0</v>
      </c>
      <c r="T102" s="12">
        <v>0</v>
      </c>
    </row>
    <row r="103" spans="1:20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IF($T$239,1,0)</f>
        <v>0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2">
        <v>0</v>
      </c>
      <c r="S103" s="12">
        <v>0</v>
      </c>
      <c r="T103" s="12">
        <v>0</v>
      </c>
    </row>
    <row r="104" spans="1:20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IF($T$233,1,0)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2">
        <v>0</v>
      </c>
      <c r="T104" s="12">
        <v>0</v>
      </c>
    </row>
    <row r="105" spans="1:20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IF($T$166,1,0)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4">
        <v>0</v>
      </c>
      <c r="R105" s="15">
        <v>0</v>
      </c>
      <c r="S105" s="15">
        <v>0</v>
      </c>
      <c r="T105" s="15">
        <v>0</v>
      </c>
    </row>
    <row r="106" spans="1:20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IF($T$256,1,0)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0</v>
      </c>
      <c r="R106" s="15">
        <v>0</v>
      </c>
      <c r="S106" s="15">
        <v>0</v>
      </c>
      <c r="T106" s="15">
        <v>0</v>
      </c>
    </row>
    <row r="107" spans="1:20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IF($T$62,1,0)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4">
        <v>0</v>
      </c>
      <c r="R107" s="15">
        <v>0</v>
      </c>
      <c r="S107" s="15">
        <v>0</v>
      </c>
      <c r="T107" s="15">
        <v>0</v>
      </c>
    </row>
    <row r="108" spans="1:20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IF($T$203,1,0)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2">
        <v>0</v>
      </c>
      <c r="S108" s="12">
        <v>0</v>
      </c>
      <c r="T108" s="12">
        <v>0</v>
      </c>
    </row>
    <row r="109" spans="1:20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IF($T$197,1,0)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v>0</v>
      </c>
      <c r="S109" s="12">
        <v>0</v>
      </c>
      <c r="T109" s="12">
        <v>0</v>
      </c>
    </row>
    <row r="110" spans="1:20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IF($T$48,1,0)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v>0</v>
      </c>
      <c r="S110" s="15">
        <v>0</v>
      </c>
      <c r="T110" s="15">
        <v>0</v>
      </c>
    </row>
    <row r="111" spans="1:20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IF($T$320,1,0)</f>
        <v>0</v>
      </c>
      <c r="F111" s="14" t="s">
        <v>1195</v>
      </c>
      <c r="G111" s="14">
        <v>0</v>
      </c>
      <c r="H111" s="14">
        <v>1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4">
        <v>0</v>
      </c>
      <c r="R111" s="15">
        <v>1.8</v>
      </c>
      <c r="S111" s="15">
        <v>0</v>
      </c>
      <c r="T111" s="15">
        <v>1.8</v>
      </c>
    </row>
    <row r="112" spans="1:20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IF($T$191,1,0)</f>
        <v>0</v>
      </c>
      <c r="F112" s="11" t="s">
        <v>715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2">
        <v>0</v>
      </c>
      <c r="S112" s="12">
        <v>0</v>
      </c>
      <c r="T112" s="12">
        <v>0</v>
      </c>
    </row>
    <row r="113" spans="1:20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IF($T$82,1,0)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4">
        <v>0</v>
      </c>
      <c r="R113" s="15">
        <v>0</v>
      </c>
      <c r="S113" s="15">
        <v>0</v>
      </c>
      <c r="T113" s="15">
        <v>0</v>
      </c>
    </row>
    <row r="114" spans="1:20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IF($T$319,1,0)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2">
        <v>0</v>
      </c>
      <c r="S114" s="12">
        <v>0</v>
      </c>
      <c r="T114" s="12">
        <v>0</v>
      </c>
    </row>
    <row r="115" spans="1:20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IF($T$176,1,0)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4">
        <v>0</v>
      </c>
      <c r="R115" s="15">
        <v>0</v>
      </c>
      <c r="S115" s="15">
        <v>0</v>
      </c>
      <c r="T115" s="15">
        <v>0</v>
      </c>
    </row>
    <row r="116" spans="1:20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IF($T$294,1,0)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v>0</v>
      </c>
      <c r="S116" s="15">
        <v>0</v>
      </c>
      <c r="T116" s="15">
        <v>0</v>
      </c>
    </row>
    <row r="117" spans="1:20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IF($T$224,1,0)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4">
        <v>0</v>
      </c>
      <c r="R117" s="15">
        <v>0</v>
      </c>
      <c r="S117" s="15">
        <v>0</v>
      </c>
      <c r="T117" s="15">
        <v>0</v>
      </c>
    </row>
    <row r="118" spans="1:20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IF($T$111,1,0)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2">
        <v>0</v>
      </c>
      <c r="S118" s="12">
        <v>0</v>
      </c>
      <c r="T118" s="12">
        <v>0</v>
      </c>
    </row>
    <row r="119" spans="1:20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IF($T$141,1,0)</f>
        <v>0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v>0</v>
      </c>
      <c r="S119" s="12">
        <v>0</v>
      </c>
      <c r="T119" s="12">
        <v>0</v>
      </c>
    </row>
    <row r="120" spans="1:20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IF($T$25,1,0)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2">
        <v>0</v>
      </c>
      <c r="S120" s="12">
        <v>0</v>
      </c>
      <c r="T120" s="12">
        <v>0</v>
      </c>
    </row>
    <row r="121" spans="1:20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IF($T$208,1,0)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4">
        <v>0</v>
      </c>
      <c r="R121" s="15">
        <v>0</v>
      </c>
      <c r="S121" s="15">
        <v>0</v>
      </c>
      <c r="T121" s="15">
        <v>0</v>
      </c>
    </row>
    <row r="122" spans="1:20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IF($T$221,1,0)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2">
        <v>0</v>
      </c>
      <c r="S122" s="12">
        <v>0</v>
      </c>
      <c r="T122" s="12">
        <v>0</v>
      </c>
    </row>
    <row r="123" spans="1:20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IF($T$90,1,0)</f>
        <v>0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4">
        <v>0</v>
      </c>
      <c r="R123" s="15">
        <v>0</v>
      </c>
      <c r="S123" s="15">
        <v>0</v>
      </c>
      <c r="T123" s="15">
        <v>0</v>
      </c>
    </row>
    <row r="124" spans="1:20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IF($T$34,1,0)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0</v>
      </c>
      <c r="R124" s="15">
        <v>0</v>
      </c>
      <c r="S124" s="15">
        <v>0</v>
      </c>
      <c r="T124" s="15">
        <v>0</v>
      </c>
    </row>
    <row r="125" spans="1:20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IF($T$188,1,0)</f>
        <v>0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4">
        <v>0</v>
      </c>
      <c r="R125" s="15">
        <v>0</v>
      </c>
      <c r="S125" s="15">
        <v>0</v>
      </c>
      <c r="T125" s="15">
        <v>0</v>
      </c>
    </row>
    <row r="126" spans="1:20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IF($T$97,1,0)</f>
        <v>0</v>
      </c>
      <c r="F126" s="11" t="s">
        <v>363</v>
      </c>
      <c r="G126" s="11">
        <v>2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1</v>
      </c>
      <c r="R126" s="12">
        <v>3.2</v>
      </c>
      <c r="S126" s="12">
        <v>0</v>
      </c>
      <c r="T126" s="12">
        <v>3.2</v>
      </c>
    </row>
    <row r="127" spans="1:20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IF($T$88,1,0)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5">
        <v>0</v>
      </c>
      <c r="T127" s="15">
        <v>0</v>
      </c>
    </row>
    <row r="128" spans="1:20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IF($T$134,1,0)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v>0</v>
      </c>
      <c r="S128" s="15">
        <v>0</v>
      </c>
      <c r="T128" s="15">
        <v>0</v>
      </c>
    </row>
    <row r="129" spans="1:20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IF($T$36,1,0)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5">
        <v>0</v>
      </c>
      <c r="T129" s="15">
        <v>0</v>
      </c>
    </row>
    <row r="130" spans="1:20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IF($T$55,1,0)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2">
        <v>0</v>
      </c>
      <c r="S130" s="12">
        <v>0</v>
      </c>
      <c r="T130" s="12">
        <v>0</v>
      </c>
    </row>
    <row r="131" spans="1:20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IF($T$110,1,0)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4">
        <v>0</v>
      </c>
      <c r="R131" s="15">
        <v>0</v>
      </c>
      <c r="S131" s="15">
        <v>0</v>
      </c>
      <c r="T131" s="15">
        <v>0</v>
      </c>
    </row>
    <row r="132" spans="1:20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IF($T$64,1,0)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v>0</v>
      </c>
      <c r="S132" s="15">
        <v>0</v>
      </c>
      <c r="T132" s="15">
        <v>0</v>
      </c>
    </row>
    <row r="133" spans="1:20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IF($T$303,1,0)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v>0</v>
      </c>
      <c r="S133" s="12">
        <v>0</v>
      </c>
      <c r="T133" s="12">
        <v>0</v>
      </c>
    </row>
    <row r="134" spans="1:20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IF($T$259,1,0)</f>
        <v>0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2">
        <v>0</v>
      </c>
      <c r="S134" s="12">
        <v>0</v>
      </c>
      <c r="T134" s="12">
        <v>0</v>
      </c>
    </row>
    <row r="135" spans="1:20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IF($T$52,1,0)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4">
        <v>0</v>
      </c>
      <c r="R135" s="15">
        <v>0</v>
      </c>
      <c r="S135" s="15">
        <v>0</v>
      </c>
      <c r="T135" s="15">
        <v>0</v>
      </c>
    </row>
    <row r="136" spans="1:20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IF($T$249,1,0)</f>
        <v>0</v>
      </c>
      <c r="F136" s="11" t="s">
        <v>937</v>
      </c>
      <c r="G136" s="11">
        <v>0</v>
      </c>
      <c r="H136" s="11">
        <v>1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2">
        <v>1.8</v>
      </c>
      <c r="S136" s="12">
        <v>0</v>
      </c>
      <c r="T136" s="12">
        <v>1.8</v>
      </c>
    </row>
    <row r="137" spans="1:20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IF($T$210,1,0)</f>
        <v>0</v>
      </c>
      <c r="F137" s="14" t="s">
        <v>787</v>
      </c>
      <c r="G137" s="14">
        <v>3</v>
      </c>
      <c r="H137" s="14">
        <v>0</v>
      </c>
      <c r="I137" s="14">
        <v>0</v>
      </c>
      <c r="J137" s="14">
        <v>0</v>
      </c>
      <c r="K137" s="14">
        <v>0</v>
      </c>
      <c r="L137" s="14">
        <v>0</v>
      </c>
      <c r="M137" s="14">
        <v>0</v>
      </c>
      <c r="N137" s="14">
        <v>0</v>
      </c>
      <c r="O137" s="14">
        <v>1</v>
      </c>
      <c r="P137" s="14">
        <v>0</v>
      </c>
      <c r="Q137" s="14">
        <v>0</v>
      </c>
      <c r="R137" s="15">
        <v>8.3000000000000007</v>
      </c>
      <c r="S137" s="15">
        <v>0</v>
      </c>
      <c r="T137" s="15">
        <v>8.3000000000000007</v>
      </c>
    </row>
    <row r="138" spans="1:20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IF($T$312,1,0)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v>0</v>
      </c>
      <c r="S138" s="15">
        <v>0</v>
      </c>
      <c r="T138" s="15">
        <v>0</v>
      </c>
    </row>
    <row r="139" spans="1:20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IF($T$140,1,0)</f>
        <v>0</v>
      </c>
      <c r="F139" s="14" t="s">
        <v>522</v>
      </c>
      <c r="G139" s="14">
        <v>10</v>
      </c>
      <c r="H139" s="14">
        <v>2</v>
      </c>
      <c r="I139" s="14">
        <v>2</v>
      </c>
      <c r="J139" s="14">
        <v>0</v>
      </c>
      <c r="K139" s="14">
        <v>0</v>
      </c>
      <c r="L139" s="14">
        <v>1</v>
      </c>
      <c r="M139" s="14">
        <v>0</v>
      </c>
      <c r="N139" s="14">
        <v>0</v>
      </c>
      <c r="O139" s="14">
        <v>0</v>
      </c>
      <c r="P139" s="14">
        <v>0</v>
      </c>
      <c r="Q139" s="14">
        <v>0</v>
      </c>
      <c r="R139" s="15">
        <v>21.2</v>
      </c>
      <c r="S139" s="15">
        <v>0</v>
      </c>
      <c r="T139" s="15">
        <v>21.2</v>
      </c>
    </row>
    <row r="140" spans="1:20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IF($T$19,1,0)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2">
        <v>0</v>
      </c>
      <c r="S140" s="12">
        <v>0</v>
      </c>
      <c r="T140" s="12">
        <v>0</v>
      </c>
    </row>
    <row r="141" spans="1:20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IF($T$180,1,0)</f>
        <v>0</v>
      </c>
      <c r="F141" s="14" t="s">
        <v>675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5">
        <v>0</v>
      </c>
      <c r="S141" s="15">
        <v>0</v>
      </c>
      <c r="T141" s="15">
        <v>0</v>
      </c>
    </row>
    <row r="142" spans="1:20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IF($T$98,1,0)</f>
        <v>0</v>
      </c>
      <c r="F142" s="14" t="s">
        <v>366</v>
      </c>
      <c r="G142" s="14">
        <v>0</v>
      </c>
      <c r="H142" s="14">
        <v>0</v>
      </c>
      <c r="I142" s="14">
        <v>0</v>
      </c>
      <c r="J142" s="14">
        <v>1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v>1</v>
      </c>
      <c r="S142" s="15">
        <v>0</v>
      </c>
      <c r="T142" s="15">
        <v>1</v>
      </c>
    </row>
    <row r="143" spans="1:20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IF($T$328,1,0)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4">
        <v>0</v>
      </c>
      <c r="R143" s="15">
        <v>0</v>
      </c>
      <c r="S143" s="15">
        <v>0</v>
      </c>
      <c r="T143" s="15">
        <v>0</v>
      </c>
    </row>
    <row r="144" spans="1:20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IF($T$226,1,0)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v>0</v>
      </c>
      <c r="S144" s="15">
        <v>0</v>
      </c>
      <c r="T144" s="15">
        <v>0</v>
      </c>
    </row>
    <row r="145" spans="1:20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IF($T$214,1,0)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4">
        <v>0</v>
      </c>
      <c r="R145" s="15">
        <v>0</v>
      </c>
      <c r="S145" s="15">
        <v>0</v>
      </c>
      <c r="T145" s="15">
        <v>0</v>
      </c>
    </row>
    <row r="146" spans="1:20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IF($T$103,1,0)</f>
        <v>0</v>
      </c>
      <c r="F146" s="11" t="s">
        <v>385</v>
      </c>
      <c r="G146" s="11">
        <v>0</v>
      </c>
      <c r="H146" s="11">
        <v>1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2">
        <v>1.8</v>
      </c>
      <c r="S146" s="12">
        <v>0</v>
      </c>
      <c r="T146" s="12">
        <v>1.8</v>
      </c>
    </row>
    <row r="147" spans="1:20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IF($T$322,1,0)</f>
        <v>0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4">
        <v>0</v>
      </c>
      <c r="R147" s="15">
        <v>0</v>
      </c>
      <c r="S147" s="15">
        <v>0</v>
      </c>
      <c r="T147" s="15">
        <v>0</v>
      </c>
    </row>
    <row r="148" spans="1:20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IF($T$182,1,0)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v>0</v>
      </c>
      <c r="S148" s="15">
        <v>0</v>
      </c>
      <c r="T148" s="15">
        <v>0</v>
      </c>
    </row>
    <row r="149" spans="1:20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IF($T$316,1,0)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4">
        <v>0</v>
      </c>
      <c r="R149" s="15">
        <v>0</v>
      </c>
      <c r="S149" s="15">
        <v>0</v>
      </c>
      <c r="T149" s="15">
        <v>0</v>
      </c>
    </row>
    <row r="150" spans="1:20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IF($T$108,1,0)</f>
        <v>0</v>
      </c>
      <c r="F150" s="14" t="s">
        <v>404</v>
      </c>
      <c r="G150" s="14">
        <v>3</v>
      </c>
      <c r="H150" s="14">
        <v>2</v>
      </c>
      <c r="I150" s="14">
        <v>3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3</v>
      </c>
      <c r="R150" s="15">
        <v>16.8</v>
      </c>
      <c r="S150" s="15">
        <v>0</v>
      </c>
      <c r="T150" s="15">
        <v>16.8</v>
      </c>
    </row>
    <row r="151" spans="1:20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IF($T$174,1,0)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5">
        <v>0</v>
      </c>
      <c r="S151" s="15">
        <v>0</v>
      </c>
      <c r="T151" s="15">
        <v>0</v>
      </c>
    </row>
    <row r="152" spans="1:20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IF($T$293,1,0)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2">
        <v>0</v>
      </c>
      <c r="S152" s="12">
        <v>0</v>
      </c>
      <c r="T152" s="12">
        <v>0</v>
      </c>
    </row>
    <row r="153" spans="1:20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IF($T$314,1,0)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4">
        <v>0</v>
      </c>
      <c r="R153" s="15">
        <v>0</v>
      </c>
      <c r="S153" s="15">
        <v>0</v>
      </c>
      <c r="T153" s="15">
        <v>0</v>
      </c>
    </row>
    <row r="154" spans="1:20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IF($T$107,1,0)</f>
        <v>0</v>
      </c>
      <c r="F154" s="11" t="s">
        <v>400</v>
      </c>
      <c r="G154" s="11">
        <v>0</v>
      </c>
      <c r="H154" s="11">
        <v>0</v>
      </c>
      <c r="I154" s="11">
        <v>0</v>
      </c>
      <c r="J154" s="11">
        <v>0</v>
      </c>
      <c r="K154" s="11">
        <v>0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2">
        <v>0</v>
      </c>
      <c r="S154" s="12">
        <v>0</v>
      </c>
      <c r="T154" s="12">
        <v>0</v>
      </c>
    </row>
    <row r="155" spans="1:20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IF($T$198,1,0)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4">
        <v>0</v>
      </c>
      <c r="R155" s="15">
        <v>0</v>
      </c>
      <c r="S155" s="15">
        <v>0</v>
      </c>
      <c r="T155" s="15">
        <v>0</v>
      </c>
    </row>
    <row r="156" spans="1:20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IF($T$209,1,0)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2">
        <v>0</v>
      </c>
      <c r="S156" s="12">
        <v>0</v>
      </c>
      <c r="T156" s="12">
        <v>0</v>
      </c>
    </row>
    <row r="157" spans="1:20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IF($T$250,1,0)</f>
        <v>0</v>
      </c>
      <c r="F157" s="14" t="s">
        <v>941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4">
        <v>0</v>
      </c>
      <c r="R157" s="15">
        <v>0</v>
      </c>
      <c r="S157" s="15">
        <v>0</v>
      </c>
      <c r="T157" s="15">
        <v>0</v>
      </c>
    </row>
    <row r="158" spans="1:20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IF($T$152,1,0)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1</v>
      </c>
      <c r="N158" s="14">
        <v>0</v>
      </c>
      <c r="O158" s="14">
        <v>1</v>
      </c>
      <c r="P158" s="14">
        <v>0</v>
      </c>
      <c r="Q158" s="14">
        <v>0</v>
      </c>
      <c r="R158" s="15">
        <v>10</v>
      </c>
      <c r="S158" s="15">
        <v>0</v>
      </c>
      <c r="T158" s="15">
        <v>10</v>
      </c>
    </row>
    <row r="159" spans="1:20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IF($T$297,1,0)</f>
        <v>0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v>0</v>
      </c>
      <c r="S159" s="12">
        <v>0</v>
      </c>
      <c r="T159" s="12">
        <v>0</v>
      </c>
    </row>
    <row r="160" spans="1:20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IF($T$115,1,0)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2">
        <v>0</v>
      </c>
      <c r="S160" s="12">
        <v>0</v>
      </c>
      <c r="T160" s="12">
        <v>0</v>
      </c>
    </row>
    <row r="161" spans="1:20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IF($T$255,1,0)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v>0</v>
      </c>
      <c r="S161" s="12">
        <v>0</v>
      </c>
      <c r="T161" s="12">
        <v>0</v>
      </c>
    </row>
    <row r="162" spans="1:20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IF($T$298,1,0)</f>
        <v>0</v>
      </c>
      <c r="F162" s="14" t="s">
        <v>1119</v>
      </c>
      <c r="G162" s="14">
        <v>4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v>4.4000000000000004</v>
      </c>
      <c r="S162" s="15">
        <v>0</v>
      </c>
      <c r="T162" s="15">
        <v>4.4000000000000004</v>
      </c>
    </row>
    <row r="163" spans="1:20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IF($T$16,1,0)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5">
        <v>0</v>
      </c>
      <c r="S163" s="15">
        <v>0</v>
      </c>
      <c r="T163" s="15">
        <v>0</v>
      </c>
    </row>
    <row r="164" spans="1:20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IF($T$10,1,0)</f>
        <v>0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v>0</v>
      </c>
      <c r="S164" s="15">
        <v>0</v>
      </c>
      <c r="T164" s="15">
        <v>0</v>
      </c>
    </row>
    <row r="165" spans="1:20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IF($T$225,1,0)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v>0</v>
      </c>
      <c r="S165" s="12">
        <v>0</v>
      </c>
      <c r="T165" s="12">
        <v>0</v>
      </c>
    </row>
    <row r="166" spans="1:20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IF($T$12,1,0)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5">
        <v>0</v>
      </c>
      <c r="T166" s="15">
        <v>0</v>
      </c>
    </row>
    <row r="167" spans="1:20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IF($T$177,1,0)</f>
        <v>1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v>0</v>
      </c>
      <c r="S167" s="12">
        <v>0</v>
      </c>
      <c r="T167" s="12">
        <v>0</v>
      </c>
    </row>
    <row r="168" spans="1:20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IF($T$105,1,0)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2">
        <v>0</v>
      </c>
      <c r="S168" s="12">
        <v>0</v>
      </c>
      <c r="T168" s="12">
        <v>0</v>
      </c>
    </row>
    <row r="169" spans="1:20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IF($T$261,1,0)</f>
        <v>0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v>0</v>
      </c>
      <c r="S169" s="12">
        <v>0</v>
      </c>
      <c r="T169" s="12">
        <v>0</v>
      </c>
    </row>
    <row r="170" spans="1:20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IF($T$17,1,0)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2">
        <v>0</v>
      </c>
      <c r="S170" s="12">
        <v>0</v>
      </c>
      <c r="T170" s="12">
        <v>0</v>
      </c>
    </row>
    <row r="171" spans="1:20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IF($T$154,1,0)</f>
        <v>0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5">
        <v>0</v>
      </c>
      <c r="S171" s="15">
        <v>0</v>
      </c>
      <c r="T171" s="15">
        <v>0</v>
      </c>
    </row>
    <row r="172" spans="1:20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IF($T$54,1,0)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v>0</v>
      </c>
      <c r="S172" s="15">
        <v>0</v>
      </c>
      <c r="T172" s="15">
        <v>0</v>
      </c>
    </row>
    <row r="173" spans="1:20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IF($T$327,1,0)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v>0</v>
      </c>
      <c r="S173" s="12">
        <v>0</v>
      </c>
      <c r="T173" s="12">
        <v>0</v>
      </c>
    </row>
    <row r="174" spans="1:20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IF($T$46,1,0)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v>0</v>
      </c>
      <c r="S174" s="15">
        <v>0</v>
      </c>
      <c r="T174" s="15">
        <v>0</v>
      </c>
    </row>
    <row r="175" spans="1:20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IF($T$199,1,0)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v>0</v>
      </c>
      <c r="S175" s="12">
        <v>0</v>
      </c>
      <c r="T175" s="12">
        <v>0</v>
      </c>
    </row>
    <row r="176" spans="1:20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IF($T$212,1,0)</f>
        <v>0</v>
      </c>
      <c r="F176" s="14" t="s">
        <v>795</v>
      </c>
      <c r="G176" s="14">
        <v>6</v>
      </c>
      <c r="H176" s="14">
        <v>1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v>8.4</v>
      </c>
      <c r="S176" s="15">
        <v>0</v>
      </c>
      <c r="T176" s="15">
        <v>8.4</v>
      </c>
    </row>
    <row r="177" spans="1:20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IF($T$145,1,0)</f>
        <v>0</v>
      </c>
      <c r="F177" s="11" t="s">
        <v>540</v>
      </c>
      <c r="G177" s="11">
        <v>0</v>
      </c>
      <c r="H177" s="11">
        <v>2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1">
        <v>0</v>
      </c>
      <c r="R177" s="12">
        <v>3.6</v>
      </c>
      <c r="S177" s="12">
        <v>0</v>
      </c>
      <c r="T177" s="12">
        <v>3.6</v>
      </c>
    </row>
    <row r="178" spans="1:20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IF($T$288,1,0)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v>0</v>
      </c>
      <c r="S178" s="15">
        <v>0</v>
      </c>
      <c r="T178" s="15">
        <v>0</v>
      </c>
    </row>
    <row r="179" spans="1:20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IF($T$311,1,0)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v>0</v>
      </c>
      <c r="S179" s="12">
        <v>0</v>
      </c>
      <c r="T179" s="12">
        <v>0</v>
      </c>
    </row>
    <row r="180" spans="1:20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IF($T$63,1,0)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1">
        <v>0</v>
      </c>
      <c r="R180" s="12">
        <v>0</v>
      </c>
      <c r="S180" s="12">
        <v>0</v>
      </c>
      <c r="T180" s="12">
        <v>0</v>
      </c>
    </row>
    <row r="181" spans="1:20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IF($T$21,1,0)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v>0</v>
      </c>
      <c r="S181" s="12">
        <v>0</v>
      </c>
      <c r="T181" s="12"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v>0</v>
      </c>
      <c r="S182" s="15">
        <v>0</v>
      </c>
      <c r="T182" s="15">
        <v>0</v>
      </c>
    </row>
    <row r="183" spans="1:20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IF($T$264,1,0)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4">
        <v>0</v>
      </c>
      <c r="R183" s="15">
        <v>0</v>
      </c>
      <c r="S183" s="15">
        <v>0</v>
      </c>
      <c r="T183" s="15">
        <v>0</v>
      </c>
    </row>
    <row r="184" spans="1:20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IF($T$129,1,0)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1">
        <v>0</v>
      </c>
      <c r="R184" s="12">
        <v>0</v>
      </c>
      <c r="S184" s="12">
        <v>0</v>
      </c>
      <c r="T184" s="12">
        <v>0</v>
      </c>
    </row>
    <row r="185" spans="1:20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IF($T$121,1,0)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v>0</v>
      </c>
      <c r="S185" s="12">
        <v>0</v>
      </c>
      <c r="T185" s="12">
        <v>0</v>
      </c>
    </row>
    <row r="186" spans="1:20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IF($T$325,1,0)</f>
        <v>0</v>
      </c>
      <c r="F186" s="11" t="s">
        <v>1213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1">
        <v>0</v>
      </c>
      <c r="R186" s="12">
        <v>0</v>
      </c>
      <c r="S186" s="12">
        <v>0</v>
      </c>
      <c r="T186" s="12"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IF($T$189,1,0)</f>
        <v>1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6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v>12</v>
      </c>
      <c r="S187" s="12">
        <v>0</v>
      </c>
      <c r="T187" s="12">
        <v>12</v>
      </c>
    </row>
    <row r="188" spans="1:20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IF($T$229,1,0)</f>
        <v>0</v>
      </c>
      <c r="F188" s="11" t="s">
        <v>861</v>
      </c>
      <c r="G188" s="11">
        <v>0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1">
        <v>0</v>
      </c>
      <c r="R188" s="12">
        <v>0</v>
      </c>
      <c r="S188" s="12">
        <v>0</v>
      </c>
      <c r="T188" s="12">
        <v>0</v>
      </c>
    </row>
    <row r="189" spans="1:20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IF($T$93,1,0)</f>
        <v>0</v>
      </c>
      <c r="F189" s="11" t="s">
        <v>348</v>
      </c>
      <c r="G189" s="11">
        <v>2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v>2.2000000000000002</v>
      </c>
      <c r="S189" s="12">
        <v>0</v>
      </c>
      <c r="T189" s="12">
        <v>2.2000000000000002</v>
      </c>
    </row>
    <row r="190" spans="1:20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IF($T$318,1,0)</f>
        <v>0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v>0</v>
      </c>
      <c r="S190" s="15">
        <v>0</v>
      </c>
      <c r="T190" s="15">
        <v>0</v>
      </c>
    </row>
    <row r="191" spans="1:20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IF($T$148,1,0)</f>
        <v>0</v>
      </c>
      <c r="F191" s="14" t="s">
        <v>552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4">
        <v>0</v>
      </c>
      <c r="R191" s="15">
        <v>0</v>
      </c>
      <c r="S191" s="15">
        <v>0</v>
      </c>
      <c r="T191" s="15">
        <v>0</v>
      </c>
    </row>
    <row r="192" spans="1:20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IF($T$195,1,0)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1">
        <v>0</v>
      </c>
      <c r="R192" s="12">
        <v>0</v>
      </c>
      <c r="S192" s="12">
        <v>0</v>
      </c>
      <c r="T192" s="12">
        <v>0</v>
      </c>
    </row>
    <row r="193" spans="1:20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IF($T$125,1,0)</f>
        <v>0</v>
      </c>
      <c r="F193" s="11" t="s">
        <v>465</v>
      </c>
      <c r="G193" s="11">
        <v>1</v>
      </c>
      <c r="H193" s="11">
        <v>1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v>2.9000000000000004</v>
      </c>
      <c r="S193" s="12">
        <v>0</v>
      </c>
      <c r="T193" s="12">
        <v>2.9000000000000004</v>
      </c>
    </row>
    <row r="194" spans="1:20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IF($T$72,1,0)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v>0</v>
      </c>
      <c r="S194" s="15">
        <v>0</v>
      </c>
      <c r="T194" s="15">
        <v>0</v>
      </c>
    </row>
    <row r="195" spans="1:20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IF($T$194,1,0)</f>
        <v>0</v>
      </c>
      <c r="F195" s="14" t="s">
        <v>726</v>
      </c>
      <c r="G195" s="14">
        <v>6</v>
      </c>
      <c r="H195" s="14">
        <v>2</v>
      </c>
      <c r="I195" s="14">
        <v>0</v>
      </c>
      <c r="J195" s="14">
        <v>0</v>
      </c>
      <c r="K195" s="14">
        <v>1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4">
        <v>0</v>
      </c>
      <c r="R195" s="15">
        <v>14.950000000000001</v>
      </c>
      <c r="S195" s="15">
        <v>0</v>
      </c>
      <c r="T195" s="15">
        <v>14.950000000000001</v>
      </c>
    </row>
    <row r="196" spans="1:20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IF($T$69,1,0)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1">
        <v>0</v>
      </c>
      <c r="R196" s="12">
        <v>0</v>
      </c>
      <c r="S196" s="12">
        <v>0</v>
      </c>
      <c r="T196" s="12">
        <v>0</v>
      </c>
    </row>
    <row r="197" spans="1:20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IF($T$113,1,0)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v>0</v>
      </c>
      <c r="S197" s="12">
        <v>0</v>
      </c>
      <c r="T197" s="12">
        <v>0</v>
      </c>
    </row>
    <row r="198" spans="1:20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IF($T$163,1,0)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1">
        <v>0</v>
      </c>
      <c r="R198" s="12">
        <v>0</v>
      </c>
      <c r="S198" s="12">
        <v>0</v>
      </c>
      <c r="T198" s="12">
        <v>0</v>
      </c>
    </row>
    <row r="199" spans="1:20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IF($T$150,1,0)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5">
        <v>0</v>
      </c>
      <c r="S199" s="15">
        <v>0</v>
      </c>
      <c r="T199" s="15">
        <v>0</v>
      </c>
    </row>
    <row r="200" spans="1:20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IF($T$15,1,0)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1">
        <v>0</v>
      </c>
      <c r="R200" s="12">
        <v>0</v>
      </c>
      <c r="S200" s="12">
        <v>0</v>
      </c>
      <c r="T200" s="12">
        <v>0</v>
      </c>
    </row>
    <row r="201" spans="1:20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IF($T$284,1,0)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5">
        <v>0</v>
      </c>
      <c r="S201" s="15">
        <v>0</v>
      </c>
      <c r="T201" s="15">
        <v>0</v>
      </c>
    </row>
    <row r="202" spans="1:20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IF($T$57,1,0)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1">
        <v>0</v>
      </c>
      <c r="R202" s="12">
        <v>0</v>
      </c>
      <c r="S202" s="12">
        <v>0</v>
      </c>
      <c r="T202" s="12">
        <v>0</v>
      </c>
    </row>
    <row r="203" spans="1:20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IF($T$151,1,0)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v>0</v>
      </c>
      <c r="S203" s="12">
        <v>0</v>
      </c>
      <c r="T203" s="12">
        <v>0</v>
      </c>
    </row>
    <row r="204" spans="1:20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IF($T$58,1,0)</f>
        <v>0</v>
      </c>
      <c r="F204" s="14" t="s">
        <v>212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v>0</v>
      </c>
      <c r="S204" s="15">
        <v>0</v>
      </c>
      <c r="T204" s="15">
        <v>0</v>
      </c>
    </row>
    <row r="205" spans="1:20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IF($T$329,1,0)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0</v>
      </c>
      <c r="R205" s="12">
        <v>0</v>
      </c>
      <c r="S205" s="12">
        <v>0</v>
      </c>
      <c r="T205" s="12">
        <v>0</v>
      </c>
    </row>
    <row r="206" spans="1:20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IF($T$161,1,0)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1">
        <v>0</v>
      </c>
      <c r="R206" s="12">
        <v>0</v>
      </c>
      <c r="S206" s="12">
        <v>0</v>
      </c>
      <c r="T206" s="12">
        <v>0</v>
      </c>
    </row>
    <row r="207" spans="1:20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IF($T$133,1,0)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v>0</v>
      </c>
      <c r="S207" s="12">
        <v>0</v>
      </c>
      <c r="T207" s="12">
        <v>0</v>
      </c>
    </row>
    <row r="208" spans="1:20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IF($T$321,1,0)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1">
        <v>0</v>
      </c>
      <c r="R208" s="12">
        <v>0</v>
      </c>
      <c r="S208" s="12">
        <v>0</v>
      </c>
      <c r="T208" s="12">
        <v>0</v>
      </c>
    </row>
    <row r="209" spans="1:20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IF($T$35,1,0)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v>0</v>
      </c>
      <c r="S209" s="12">
        <v>0</v>
      </c>
      <c r="T209" s="12">
        <v>0</v>
      </c>
    </row>
    <row r="210" spans="1:20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IF($T$202,1,0)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v>0</v>
      </c>
      <c r="S210" s="15">
        <v>0</v>
      </c>
      <c r="T210" s="15">
        <v>0</v>
      </c>
    </row>
    <row r="211" spans="1:20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IF($T$30,1,0)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4">
        <v>0</v>
      </c>
      <c r="R211" s="15">
        <v>0</v>
      </c>
      <c r="S211" s="15">
        <v>0</v>
      </c>
      <c r="T211" s="15">
        <v>0</v>
      </c>
    </row>
    <row r="212" spans="1:20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IF($T$40,1,0)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v>0</v>
      </c>
      <c r="S212" s="15">
        <v>0</v>
      </c>
      <c r="T212" s="15">
        <v>0</v>
      </c>
    </row>
    <row r="213" spans="1:20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IF($T$130,1,0)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4">
        <v>0</v>
      </c>
      <c r="R213" s="15">
        <v>0</v>
      </c>
      <c r="S213" s="15">
        <v>0</v>
      </c>
      <c r="T213" s="15">
        <v>0</v>
      </c>
    </row>
    <row r="214" spans="1:20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IF($T$309,1,0)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1">
        <v>0</v>
      </c>
      <c r="R214" s="12">
        <v>0</v>
      </c>
      <c r="S214" s="12">
        <v>0</v>
      </c>
      <c r="T214" s="12">
        <v>0</v>
      </c>
    </row>
    <row r="215" spans="1:20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IF($T$186,1,0)</f>
        <v>0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4">
        <v>0</v>
      </c>
      <c r="R215" s="15">
        <v>0</v>
      </c>
      <c r="S215" s="15">
        <v>0</v>
      </c>
      <c r="T215" s="15">
        <v>0</v>
      </c>
    </row>
    <row r="216" spans="1:20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IF($T$274,1,0)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v>0</v>
      </c>
      <c r="S216" s="15">
        <v>0</v>
      </c>
      <c r="T216" s="15">
        <v>0</v>
      </c>
    </row>
    <row r="217" spans="1:20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IF($T$27,1,0)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v>0</v>
      </c>
      <c r="S217" s="12">
        <v>0</v>
      </c>
      <c r="T217" s="12">
        <v>0</v>
      </c>
    </row>
    <row r="218" spans="1:20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IF($T$273,1,0)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1">
        <v>0</v>
      </c>
      <c r="R218" s="12">
        <v>0</v>
      </c>
      <c r="S218" s="12">
        <v>0</v>
      </c>
      <c r="T218" s="12">
        <v>0</v>
      </c>
    </row>
    <row r="219" spans="1:20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IF($T$172,1,0)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4">
        <v>0</v>
      </c>
      <c r="R219" s="15">
        <v>0</v>
      </c>
      <c r="S219" s="15">
        <v>0</v>
      </c>
      <c r="T219" s="15">
        <v>0</v>
      </c>
    </row>
    <row r="220" spans="1:20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IF($T$118,1,0)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v>0</v>
      </c>
      <c r="S220" s="15">
        <v>0</v>
      </c>
      <c r="T220" s="15">
        <v>0</v>
      </c>
    </row>
    <row r="221" spans="1:20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IF($T$138,1,0)</f>
        <v>0</v>
      </c>
      <c r="F221" s="14" t="s">
        <v>515</v>
      </c>
      <c r="G221" s="14">
        <v>6</v>
      </c>
      <c r="H221" s="14">
        <v>4</v>
      </c>
      <c r="I221" s="14">
        <v>2</v>
      </c>
      <c r="J221" s="14">
        <v>1</v>
      </c>
      <c r="K221" s="14">
        <v>0</v>
      </c>
      <c r="L221" s="14">
        <v>0</v>
      </c>
      <c r="M221" s="14">
        <v>2</v>
      </c>
      <c r="N221" s="14">
        <v>0</v>
      </c>
      <c r="O221" s="14">
        <v>0</v>
      </c>
      <c r="P221" s="14">
        <v>0</v>
      </c>
      <c r="Q221" s="14">
        <v>0</v>
      </c>
      <c r="R221" s="15">
        <v>25.4</v>
      </c>
      <c r="S221" s="15">
        <v>0</v>
      </c>
      <c r="T221" s="15">
        <v>25.4</v>
      </c>
    </row>
    <row r="222" spans="1:20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IF($T$216,1,0)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v>0</v>
      </c>
      <c r="S222" s="15">
        <v>0</v>
      </c>
      <c r="T222" s="15">
        <v>0</v>
      </c>
    </row>
    <row r="223" spans="1:20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IF($T$109,1,0)</f>
        <v>0</v>
      </c>
      <c r="F223" s="11" t="s">
        <v>408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v>0</v>
      </c>
      <c r="S223" s="12">
        <v>0</v>
      </c>
      <c r="T223" s="12">
        <v>0</v>
      </c>
    </row>
    <row r="224" spans="1:20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IF($T$240,1,0)</f>
        <v>0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4">
        <v>0</v>
      </c>
      <c r="R224" s="15">
        <v>0</v>
      </c>
      <c r="S224" s="15">
        <v>0</v>
      </c>
      <c r="T224" s="15">
        <v>0</v>
      </c>
    </row>
    <row r="225" spans="1:20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IF($T$164,1,0)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4">
        <v>0</v>
      </c>
      <c r="R225" s="15">
        <v>0</v>
      </c>
      <c r="S225" s="15">
        <v>0</v>
      </c>
      <c r="T225" s="15">
        <v>0</v>
      </c>
    </row>
    <row r="226" spans="1:20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IF($T$68,1,0)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0</v>
      </c>
      <c r="R226" s="15">
        <v>0</v>
      </c>
      <c r="S226" s="15">
        <v>0</v>
      </c>
      <c r="T226" s="15">
        <v>0</v>
      </c>
    </row>
    <row r="227" spans="1:20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IF($T$124,1,0)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4">
        <v>0</v>
      </c>
      <c r="R227" s="15">
        <v>0</v>
      </c>
      <c r="S227" s="15">
        <v>0</v>
      </c>
      <c r="T227" s="15">
        <v>0</v>
      </c>
    </row>
    <row r="228" spans="1:20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IF($T$324,1,0)</f>
        <v>0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v>0</v>
      </c>
      <c r="S228" s="15">
        <v>0</v>
      </c>
      <c r="T228" s="15">
        <v>0</v>
      </c>
    </row>
    <row r="229" spans="1:20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IF($T$142,1,0)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4">
        <v>0</v>
      </c>
      <c r="R229" s="15">
        <v>0</v>
      </c>
      <c r="S229" s="15">
        <v>0</v>
      </c>
      <c r="T229" s="15">
        <v>0</v>
      </c>
    </row>
    <row r="230" spans="1:20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IF($T$201,1,0)</f>
        <v>0</v>
      </c>
      <c r="F230" s="11" t="s">
        <v>753</v>
      </c>
      <c r="G230" s="11">
        <v>2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1">
        <v>0</v>
      </c>
      <c r="R230" s="12">
        <v>2.2000000000000002</v>
      </c>
      <c r="S230" s="12">
        <v>0</v>
      </c>
      <c r="T230" s="12">
        <v>2.2000000000000002</v>
      </c>
    </row>
    <row r="231" spans="1:20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IF($T$144,1,0)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4">
        <v>0</v>
      </c>
      <c r="R231" s="15">
        <v>0</v>
      </c>
      <c r="S231" s="15">
        <v>0</v>
      </c>
      <c r="T231" s="15">
        <v>0</v>
      </c>
    </row>
    <row r="232" spans="1:20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IF($T$77,1,0)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1">
        <v>0</v>
      </c>
      <c r="R232" s="12">
        <v>0</v>
      </c>
      <c r="S232" s="12">
        <v>0</v>
      </c>
      <c r="T232" s="12">
        <v>0</v>
      </c>
    </row>
    <row r="233" spans="1:20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IF($T$262,1,0)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4">
        <v>0</v>
      </c>
      <c r="R233" s="15">
        <v>0</v>
      </c>
      <c r="S233" s="15">
        <v>0</v>
      </c>
      <c r="T233" s="15">
        <v>0</v>
      </c>
    </row>
    <row r="234" spans="1:20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IF($T$287,1,0)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1">
        <v>0</v>
      </c>
      <c r="R234" s="12">
        <v>0</v>
      </c>
      <c r="S234" s="12">
        <v>0</v>
      </c>
      <c r="T234" s="12">
        <v>0</v>
      </c>
    </row>
    <row r="235" spans="1:20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IF($T$307,1,0)</f>
        <v>0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v>0</v>
      </c>
      <c r="S235" s="12">
        <v>0</v>
      </c>
      <c r="T235" s="12">
        <v>0</v>
      </c>
    </row>
    <row r="236" spans="1:20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IF($T$89,1,0)</f>
        <v>0</v>
      </c>
      <c r="F236" s="11" t="s">
        <v>332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1">
        <v>0</v>
      </c>
      <c r="R236" s="12">
        <v>0</v>
      </c>
      <c r="S236" s="12">
        <v>0</v>
      </c>
      <c r="T236" s="12">
        <v>0</v>
      </c>
    </row>
    <row r="237" spans="1:20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IF($T$11,1,0)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v>0</v>
      </c>
      <c r="S237" s="12">
        <v>0</v>
      </c>
      <c r="T237" s="12">
        <v>0</v>
      </c>
    </row>
    <row r="238" spans="1:20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IF($T$272,1,0)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v>0</v>
      </c>
      <c r="S238" s="15">
        <v>0</v>
      </c>
      <c r="T238" s="15">
        <v>0</v>
      </c>
    </row>
    <row r="239" spans="1:20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IF($T$286,1,0)</f>
        <v>0</v>
      </c>
      <c r="F239" s="14" t="s">
        <v>1076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5">
        <v>0</v>
      </c>
      <c r="S239" s="15">
        <v>0</v>
      </c>
      <c r="T239" s="15"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IF($T$242,1,0)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v>0</v>
      </c>
      <c r="S240" s="15">
        <v>0</v>
      </c>
      <c r="T240" s="15">
        <v>0</v>
      </c>
    </row>
    <row r="241" spans="1:20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IF($T$246,1,0)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4">
        <v>0</v>
      </c>
      <c r="R241" s="15">
        <v>0</v>
      </c>
      <c r="S241" s="15">
        <v>0</v>
      </c>
      <c r="T241" s="15">
        <v>0</v>
      </c>
    </row>
    <row r="242" spans="1:20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IF($T$267,1,0)</f>
        <v>0</v>
      </c>
      <c r="F242" s="11" t="s">
        <v>1006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2">
        <v>0</v>
      </c>
      <c r="S242" s="12">
        <v>0</v>
      </c>
      <c r="T242" s="12">
        <v>0</v>
      </c>
    </row>
    <row r="243" spans="1:20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IF($T$193,1,0)</f>
        <v>1</v>
      </c>
      <c r="F243" s="11" t="s">
        <v>723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v>0</v>
      </c>
      <c r="S243" s="12">
        <v>0</v>
      </c>
      <c r="T243" s="12">
        <v>0</v>
      </c>
    </row>
    <row r="244" spans="1:20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IF($T$305,1,0)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1">
        <v>0</v>
      </c>
      <c r="R244" s="12">
        <v>0</v>
      </c>
      <c r="S244" s="12">
        <v>0</v>
      </c>
      <c r="T244" s="12">
        <v>0</v>
      </c>
    </row>
    <row r="245" spans="1:20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IF($T$143,1,0)</f>
        <v>0</v>
      </c>
      <c r="F245" s="11" t="s">
        <v>533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v>0</v>
      </c>
      <c r="S245" s="12">
        <v>0</v>
      </c>
      <c r="T245" s="12">
        <v>0</v>
      </c>
    </row>
    <row r="246" spans="1:20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IF($T$169,1,0)</f>
        <v>0</v>
      </c>
      <c r="F246" s="11" t="s">
        <v>633</v>
      </c>
      <c r="G246" s="11">
        <v>0</v>
      </c>
      <c r="H246" s="11">
        <v>1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1">
        <v>0</v>
      </c>
      <c r="R246" s="12">
        <v>1.8</v>
      </c>
      <c r="S246" s="12">
        <v>0</v>
      </c>
      <c r="T246" s="12">
        <v>1.8</v>
      </c>
    </row>
    <row r="247" spans="1:20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IF($T$32,1,0)</f>
        <v>0</v>
      </c>
      <c r="F247" s="14" t="s">
        <v>115</v>
      </c>
      <c r="G247" s="14">
        <v>3</v>
      </c>
      <c r="H247" s="14">
        <v>2</v>
      </c>
      <c r="I247" s="14">
        <v>2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11.5</v>
      </c>
      <c r="S247" s="15">
        <v>0</v>
      </c>
      <c r="T247" s="15">
        <v>11.5</v>
      </c>
    </row>
    <row r="248" spans="1:20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IF($T$99,1,0)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1">
        <v>0</v>
      </c>
      <c r="R248" s="12">
        <v>0</v>
      </c>
      <c r="S248" s="12">
        <v>0</v>
      </c>
      <c r="T248" s="12">
        <v>0</v>
      </c>
    </row>
    <row r="249" spans="1:20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IF($T$278,1,0)</f>
        <v>0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5">
        <v>0</v>
      </c>
      <c r="T249" s="15">
        <v>0</v>
      </c>
    </row>
    <row r="250" spans="1:20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IF($T$227,1,0)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1">
        <v>0</v>
      </c>
      <c r="R250" s="12">
        <v>0</v>
      </c>
      <c r="S250" s="12">
        <v>0</v>
      </c>
      <c r="T250" s="12">
        <v>0</v>
      </c>
    </row>
    <row r="251" spans="1:20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IF($T$18,1,0)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4">
        <v>0</v>
      </c>
      <c r="R251" s="15">
        <v>0</v>
      </c>
      <c r="S251" s="15">
        <v>0</v>
      </c>
      <c r="T251" s="15">
        <v>0</v>
      </c>
    </row>
    <row r="252" spans="1:20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IF($T$162,1,0)</f>
        <v>1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v>0</v>
      </c>
      <c r="S252" s="15">
        <v>0</v>
      </c>
      <c r="T252" s="15">
        <v>0</v>
      </c>
    </row>
    <row r="253" spans="1:20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IF($T$157,1,0)</f>
        <v>0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v>0</v>
      </c>
      <c r="S253" s="12">
        <v>0</v>
      </c>
      <c r="T253" s="12">
        <v>0</v>
      </c>
    </row>
    <row r="254" spans="1:20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IF($T$244,1,0)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v>0</v>
      </c>
      <c r="S254" s="15">
        <v>0</v>
      </c>
      <c r="T254" s="15">
        <v>0</v>
      </c>
    </row>
    <row r="255" spans="1:20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IF($T$39,1,0)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v>0</v>
      </c>
      <c r="S255" s="12">
        <v>0</v>
      </c>
      <c r="T255" s="12">
        <v>0</v>
      </c>
    </row>
    <row r="256" spans="1:20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IF($T$106,1,0)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v>0</v>
      </c>
      <c r="S256" s="15">
        <v>0</v>
      </c>
      <c r="T256" s="15">
        <v>0</v>
      </c>
    </row>
    <row r="257" spans="1:20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IF($T$146,1,0)</f>
        <v>1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4">
        <v>0</v>
      </c>
      <c r="R257" s="15">
        <v>0</v>
      </c>
      <c r="S257" s="15">
        <v>0</v>
      </c>
      <c r="T257" s="15">
        <v>0</v>
      </c>
    </row>
    <row r="258" spans="1:20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IF($T$292,1,0)</f>
        <v>0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v>0</v>
      </c>
      <c r="S258" s="15">
        <v>0</v>
      </c>
      <c r="T258" s="15">
        <v>0</v>
      </c>
    </row>
    <row r="259" spans="1:20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IF($T$44,1,0)</f>
        <v>0</v>
      </c>
      <c r="F259" s="14" t="s">
        <v>163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4">
        <v>0</v>
      </c>
      <c r="R259" s="15">
        <v>0</v>
      </c>
      <c r="S259" s="15">
        <v>0</v>
      </c>
      <c r="T259" s="15">
        <v>0</v>
      </c>
    </row>
    <row r="260" spans="1:20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IF($T$323,1,0)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1">
        <v>0</v>
      </c>
      <c r="R260" s="12">
        <v>0</v>
      </c>
      <c r="S260" s="12">
        <v>0</v>
      </c>
      <c r="T260" s="12">
        <v>0</v>
      </c>
    </row>
    <row r="261" spans="1:20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IF($T$42,1,0)</f>
        <v>0</v>
      </c>
      <c r="F261" s="14" t="s">
        <v>155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4">
        <v>0</v>
      </c>
      <c r="R261" s="15">
        <v>0</v>
      </c>
      <c r="S261" s="15">
        <v>0</v>
      </c>
      <c r="T261" s="15">
        <v>0</v>
      </c>
    </row>
    <row r="262" spans="1:20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IF($T$167,1,0)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1">
        <v>0</v>
      </c>
      <c r="R262" s="12">
        <v>0</v>
      </c>
      <c r="S262" s="12">
        <v>0</v>
      </c>
      <c r="T262" s="12">
        <v>0</v>
      </c>
    </row>
    <row r="263" spans="1:20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IF($T$301,1,0)</f>
        <v>0</v>
      </c>
      <c r="F263" s="11" t="s">
        <v>1128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1</v>
      </c>
      <c r="M263" s="11">
        <v>0</v>
      </c>
      <c r="N263" s="11">
        <v>0</v>
      </c>
      <c r="O263" s="11">
        <v>0</v>
      </c>
      <c r="P263" s="11">
        <v>0</v>
      </c>
      <c r="Q263" s="11">
        <v>0</v>
      </c>
      <c r="R263" s="12">
        <v>2</v>
      </c>
      <c r="S263" s="12">
        <v>0</v>
      </c>
      <c r="T263" s="12">
        <v>2</v>
      </c>
    </row>
    <row r="264" spans="1:20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IF($T$331,1,0)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1">
        <v>0</v>
      </c>
      <c r="R264" s="12">
        <v>0</v>
      </c>
      <c r="S264" s="12">
        <v>0</v>
      </c>
      <c r="T264" s="12">
        <v>0</v>
      </c>
    </row>
    <row r="265" spans="1:20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IF($T$330,1,0)</f>
        <v>0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4">
        <v>0</v>
      </c>
      <c r="R265" s="15">
        <v>0</v>
      </c>
      <c r="S265" s="15">
        <v>0</v>
      </c>
      <c r="T265" s="15">
        <v>0</v>
      </c>
    </row>
    <row r="266" spans="1:20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IF($T$96,1,0)</f>
        <v>1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v>0</v>
      </c>
      <c r="S266" s="15">
        <v>0</v>
      </c>
      <c r="T266" s="15">
        <v>0</v>
      </c>
    </row>
    <row r="267" spans="1:20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IF($T$38,1,0)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4">
        <v>0</v>
      </c>
      <c r="R267" s="15">
        <v>0</v>
      </c>
      <c r="S267" s="15">
        <v>0</v>
      </c>
      <c r="T267" s="15">
        <v>0</v>
      </c>
    </row>
    <row r="268" spans="1:20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IF($T$60,1,0)</f>
        <v>0</v>
      </c>
      <c r="F268" s="14" t="s">
        <v>219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v>0</v>
      </c>
      <c r="S268" s="15">
        <v>0</v>
      </c>
      <c r="T268" s="15">
        <v>0</v>
      </c>
    </row>
    <row r="269" spans="1:20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IF($T$296,1,0)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4">
        <v>0</v>
      </c>
      <c r="R269" s="15">
        <v>0</v>
      </c>
      <c r="S269" s="15">
        <v>0</v>
      </c>
      <c r="T269" s="15">
        <v>0</v>
      </c>
    </row>
    <row r="270" spans="1:20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IF($T$280,1,0)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v>0</v>
      </c>
      <c r="S270" s="15">
        <v>0</v>
      </c>
      <c r="T270" s="15">
        <v>0</v>
      </c>
    </row>
    <row r="271" spans="1:20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IF($T$153,1,0)</f>
        <v>0</v>
      </c>
      <c r="F271" s="11" t="s">
        <v>571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v>0</v>
      </c>
      <c r="S271" s="12">
        <v>0</v>
      </c>
      <c r="T271" s="12">
        <v>0</v>
      </c>
    </row>
    <row r="272" spans="1:20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IF($T$104,1,0)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v>0</v>
      </c>
      <c r="S272" s="15">
        <v>0</v>
      </c>
      <c r="T272" s="15">
        <v>0</v>
      </c>
    </row>
    <row r="273" spans="1:20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IF($T$45,1,0)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v>0</v>
      </c>
      <c r="S273" s="12">
        <v>0</v>
      </c>
      <c r="T273" s="12">
        <v>0</v>
      </c>
    </row>
    <row r="274" spans="1:20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IF($T$247,1,0)</f>
        <v>1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1">
        <v>0</v>
      </c>
      <c r="R274" s="12">
        <v>0</v>
      </c>
      <c r="S274" s="12">
        <v>0</v>
      </c>
      <c r="T274" s="12">
        <v>0</v>
      </c>
    </row>
    <row r="275" spans="1:20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IF($T$271,1,0)</f>
        <v>0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v>0</v>
      </c>
      <c r="S275" s="12">
        <v>0</v>
      </c>
      <c r="T275" s="12">
        <v>0</v>
      </c>
    </row>
    <row r="276" spans="1:20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IF($T$168,1,0)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v>0</v>
      </c>
      <c r="S276" s="15">
        <v>0</v>
      </c>
      <c r="T276" s="15">
        <v>0</v>
      </c>
    </row>
    <row r="277" spans="1:20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IF($T$136,1,0)</f>
        <v>1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4">
        <v>0</v>
      </c>
      <c r="R277" s="15">
        <v>0</v>
      </c>
      <c r="S277" s="15">
        <v>0</v>
      </c>
      <c r="T277" s="15">
        <v>0</v>
      </c>
    </row>
    <row r="278" spans="1:20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IF($T$185,1,0)</f>
        <v>0</v>
      </c>
      <c r="F278" s="11" t="s">
        <v>695</v>
      </c>
      <c r="G278" s="11">
        <v>0</v>
      </c>
      <c r="H278" s="11">
        <v>0</v>
      </c>
      <c r="I278" s="11">
        <v>0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1">
        <v>0</v>
      </c>
      <c r="R278" s="12">
        <v>0</v>
      </c>
      <c r="S278" s="12">
        <v>0</v>
      </c>
      <c r="T278" s="12">
        <v>0</v>
      </c>
    </row>
    <row r="279" spans="1:20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IF($T$234,1,0)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4">
        <v>0</v>
      </c>
      <c r="R279" s="15">
        <v>0</v>
      </c>
      <c r="S279" s="15">
        <v>0</v>
      </c>
      <c r="T279" s="15">
        <v>0</v>
      </c>
    </row>
    <row r="280" spans="1:20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IF($T$275,1,0)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1">
        <v>0</v>
      </c>
      <c r="R280" s="12">
        <v>0</v>
      </c>
      <c r="S280" s="12">
        <v>0</v>
      </c>
      <c r="T280" s="12">
        <v>0</v>
      </c>
    </row>
    <row r="281" spans="1:20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IF($T$24,1,0)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5">
        <v>0</v>
      </c>
      <c r="S281" s="15">
        <v>0</v>
      </c>
      <c r="T281" s="15">
        <v>0</v>
      </c>
    </row>
    <row r="282" spans="1:20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IF($T$207,1,0)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1">
        <v>0</v>
      </c>
      <c r="R282" s="12">
        <v>0</v>
      </c>
      <c r="S282" s="12">
        <v>0</v>
      </c>
      <c r="T282" s="12">
        <v>0</v>
      </c>
    </row>
    <row r="283" spans="1:20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IF($T$237,1,0)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v>0</v>
      </c>
      <c r="S283" s="12">
        <v>0</v>
      </c>
      <c r="T283" s="12">
        <v>0</v>
      </c>
    </row>
    <row r="284" spans="1:20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IF($T$83,1,0)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1">
        <v>0</v>
      </c>
      <c r="R284" s="12">
        <v>0</v>
      </c>
      <c r="S284" s="12">
        <v>0</v>
      </c>
      <c r="T284" s="12">
        <v>0</v>
      </c>
    </row>
    <row r="285" spans="1:20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IF($T$238,1,0)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4">
        <v>0</v>
      </c>
      <c r="R285" s="15">
        <v>0</v>
      </c>
      <c r="S285" s="15">
        <v>0</v>
      </c>
      <c r="T285" s="15">
        <v>0</v>
      </c>
    </row>
    <row r="286" spans="1:20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IF($T$285,1,0)</f>
        <v>0</v>
      </c>
      <c r="F286" s="11" t="s">
        <v>1073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1">
        <v>0</v>
      </c>
      <c r="R286" s="12">
        <v>0</v>
      </c>
      <c r="S286" s="12">
        <v>0</v>
      </c>
      <c r="T286" s="12">
        <v>0</v>
      </c>
    </row>
    <row r="287" spans="1:20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IF($T$236,1,0)</f>
        <v>0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5">
        <v>0</v>
      </c>
      <c r="T287" s="15">
        <v>0</v>
      </c>
    </row>
    <row r="288" spans="1:20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IF($T$85,1,0)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1">
        <v>0</v>
      </c>
      <c r="R288" s="12">
        <v>0</v>
      </c>
      <c r="S288" s="12">
        <v>0</v>
      </c>
      <c r="T288" s="12">
        <v>0</v>
      </c>
    </row>
    <row r="289" spans="1:20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IF($T$165,1,0)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1">
        <v>0</v>
      </c>
      <c r="R289" s="12">
        <v>0</v>
      </c>
      <c r="S289" s="12">
        <v>0</v>
      </c>
      <c r="T289" s="12">
        <v>0</v>
      </c>
    </row>
    <row r="290" spans="1:20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IF($T$279,1,0)</f>
        <v>0</v>
      </c>
      <c r="F290" s="11" t="s">
        <v>1050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1">
        <v>0</v>
      </c>
      <c r="R290" s="12">
        <v>0</v>
      </c>
      <c r="S290" s="12">
        <v>0</v>
      </c>
      <c r="T290" s="12">
        <v>0</v>
      </c>
    </row>
    <row r="291" spans="1:20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IF($T$277,1,0)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v>0</v>
      </c>
      <c r="S291" s="12">
        <v>0</v>
      </c>
      <c r="T291" s="12">
        <v>0</v>
      </c>
    </row>
    <row r="292" spans="1:20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IF($T$76,1,0)</f>
        <v>0</v>
      </c>
      <c r="F292" s="14" t="s">
        <v>280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v>0</v>
      </c>
      <c r="S292" s="15">
        <v>0</v>
      </c>
      <c r="T292" s="15">
        <v>0</v>
      </c>
    </row>
    <row r="293" spans="1:20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IF($T$178,1,0)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4">
        <v>0</v>
      </c>
      <c r="R293" s="15">
        <v>0</v>
      </c>
      <c r="S293" s="15">
        <v>0</v>
      </c>
      <c r="T293" s="15">
        <v>0</v>
      </c>
    </row>
    <row r="294" spans="1:20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IF($T$179,1,0)</f>
        <v>0</v>
      </c>
      <c r="F294" s="11" t="s">
        <v>671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2</v>
      </c>
      <c r="N294" s="11">
        <v>0</v>
      </c>
      <c r="O294" s="11">
        <v>0</v>
      </c>
      <c r="P294" s="11">
        <v>0</v>
      </c>
      <c r="Q294" s="11">
        <v>0</v>
      </c>
      <c r="R294" s="12">
        <v>6</v>
      </c>
      <c r="S294" s="12">
        <v>0</v>
      </c>
      <c r="T294" s="12">
        <v>6</v>
      </c>
    </row>
    <row r="295" spans="1:20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IF($T$33,1,0)</f>
        <v>0</v>
      </c>
      <c r="F295" s="11" t="s">
        <v>119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1">
        <v>0</v>
      </c>
      <c r="R295" s="12">
        <v>0</v>
      </c>
      <c r="S295" s="12">
        <v>0</v>
      </c>
      <c r="T295" s="12">
        <v>0</v>
      </c>
    </row>
    <row r="296" spans="1:20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IF($T$175,1,0)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1">
        <v>0</v>
      </c>
      <c r="R296" s="12">
        <v>0</v>
      </c>
      <c r="S296" s="12">
        <v>0</v>
      </c>
      <c r="T296" s="12">
        <v>0</v>
      </c>
    </row>
    <row r="297" spans="1:20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IF($T$313,1,0)</f>
        <v>0</v>
      </c>
      <c r="F297" s="11" t="s">
        <v>1168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v>0</v>
      </c>
      <c r="S297" s="12">
        <v>0</v>
      </c>
      <c r="T297" s="12">
        <v>0</v>
      </c>
    </row>
    <row r="298" spans="1:20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IF($T$206,1,0)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v>0</v>
      </c>
      <c r="S298" s="15">
        <v>0</v>
      </c>
      <c r="T298" s="15">
        <v>0</v>
      </c>
    </row>
    <row r="299" spans="1:20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IF($T$22,1,0)</f>
        <v>0</v>
      </c>
      <c r="F299" s="14" t="s">
        <v>79</v>
      </c>
      <c r="G299" s="14">
        <v>3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2</v>
      </c>
      <c r="R299" s="15">
        <v>5.3000000000000007</v>
      </c>
      <c r="S299" s="15">
        <v>0</v>
      </c>
      <c r="T299" s="15">
        <v>5.3000000000000007</v>
      </c>
    </row>
    <row r="300" spans="1:20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IF($T$235,1,0)</f>
        <v>0</v>
      </c>
      <c r="F300" s="11" t="s">
        <v>884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1">
        <v>0</v>
      </c>
      <c r="R300" s="12">
        <v>0</v>
      </c>
      <c r="S300" s="12">
        <v>0</v>
      </c>
      <c r="T300" s="12">
        <v>0</v>
      </c>
    </row>
    <row r="301" spans="1:20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IF($T$70,1,0)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5">
        <v>0</v>
      </c>
      <c r="S301" s="15">
        <v>0</v>
      </c>
      <c r="T301" s="15">
        <v>0</v>
      </c>
    </row>
    <row r="302" spans="1:20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IF($T$79,1,0)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1">
        <v>0</v>
      </c>
      <c r="R302" s="12">
        <v>0</v>
      </c>
      <c r="S302" s="12">
        <v>0</v>
      </c>
      <c r="T302" s="12">
        <v>0</v>
      </c>
    </row>
    <row r="303" spans="1:20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IF($T$211,1,0)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v>0</v>
      </c>
      <c r="S303" s="12">
        <v>0</v>
      </c>
      <c r="T303" s="12">
        <v>0</v>
      </c>
    </row>
    <row r="304" spans="1:20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IF($T$131,1,0)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1">
        <v>0</v>
      </c>
      <c r="R304" s="12">
        <v>0</v>
      </c>
      <c r="S304" s="12">
        <v>0</v>
      </c>
      <c r="T304" s="12">
        <v>0</v>
      </c>
    </row>
    <row r="305" spans="1:20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IF($T$252,1,0)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4">
        <v>0</v>
      </c>
      <c r="R305" s="15">
        <v>0</v>
      </c>
      <c r="S305" s="15">
        <v>0</v>
      </c>
      <c r="T305" s="15">
        <v>0</v>
      </c>
    </row>
    <row r="306" spans="1:20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IF($T$50,1,0)</f>
        <v>0</v>
      </c>
      <c r="F306" s="14" t="s">
        <v>185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v>0</v>
      </c>
      <c r="S306" s="15">
        <v>0</v>
      </c>
      <c r="T306" s="15">
        <v>0</v>
      </c>
    </row>
    <row r="307" spans="1:20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IF($T$112,1,0)</f>
        <v>0</v>
      </c>
      <c r="F307" s="14" t="s">
        <v>420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4">
        <v>0</v>
      </c>
      <c r="R307" s="15">
        <v>0</v>
      </c>
      <c r="S307" s="15">
        <v>0</v>
      </c>
      <c r="T307" s="15">
        <v>0</v>
      </c>
    </row>
    <row r="308" spans="1:20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IF($T$283,1,0)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1">
        <v>0</v>
      </c>
      <c r="R308" s="12">
        <v>0</v>
      </c>
      <c r="S308" s="12">
        <v>0</v>
      </c>
      <c r="T308" s="12">
        <v>0</v>
      </c>
    </row>
    <row r="309" spans="1:20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IF($T$28,1,0)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4">
        <v>0</v>
      </c>
      <c r="R309" s="15">
        <v>0</v>
      </c>
      <c r="S309" s="15">
        <v>0</v>
      </c>
      <c r="T309" s="15">
        <v>0</v>
      </c>
    </row>
    <row r="310" spans="1:20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IF($T$230,1,0)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v>0</v>
      </c>
      <c r="S310" s="15">
        <v>0</v>
      </c>
      <c r="T310" s="15">
        <v>0</v>
      </c>
    </row>
    <row r="311" spans="1:20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IF($T$223,1,0)</f>
        <v>0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v>0</v>
      </c>
      <c r="S311" s="12">
        <v>0</v>
      </c>
      <c r="T311" s="12">
        <v>0</v>
      </c>
    </row>
    <row r="312" spans="1:20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IF($T$205,1,0)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1">
        <v>0</v>
      </c>
      <c r="R312" s="12">
        <v>0</v>
      </c>
      <c r="S312" s="12">
        <v>0</v>
      </c>
      <c r="T312" s="12">
        <v>0</v>
      </c>
    </row>
    <row r="313" spans="1:20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IF($T$187,1,0)</f>
        <v>1</v>
      </c>
      <c r="F313" s="11" t="s">
        <v>702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v>0</v>
      </c>
      <c r="S313" s="12">
        <v>0</v>
      </c>
      <c r="T313" s="12">
        <v>0</v>
      </c>
    </row>
    <row r="314" spans="1:20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IF($T$100,1,0)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v>0</v>
      </c>
      <c r="S314" s="15">
        <v>0</v>
      </c>
      <c r="T314" s="15">
        <v>0</v>
      </c>
    </row>
    <row r="315" spans="1:20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IF($T$84,1,0)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5">
        <v>0</v>
      </c>
      <c r="S315" s="15">
        <v>0</v>
      </c>
      <c r="T315" s="15">
        <v>0</v>
      </c>
    </row>
    <row r="316" spans="1:20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IF($T$20,1,0)</f>
        <v>0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v>0</v>
      </c>
      <c r="S316" s="15">
        <v>0</v>
      </c>
      <c r="T316" s="15">
        <v>0</v>
      </c>
    </row>
    <row r="317" spans="1:20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IF($T$173,1,0)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v>0</v>
      </c>
      <c r="S317" s="12">
        <v>0</v>
      </c>
      <c r="T317" s="12">
        <v>0</v>
      </c>
    </row>
    <row r="318" spans="1:20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IF($T$258,1,0)</f>
        <v>0</v>
      </c>
      <c r="F318" s="14" t="s">
        <v>971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v>0</v>
      </c>
      <c r="S318" s="15">
        <v>0</v>
      </c>
      <c r="T318" s="15">
        <v>0</v>
      </c>
    </row>
    <row r="319" spans="1:20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IF($T$80,1,0)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5">
        <v>0</v>
      </c>
      <c r="S319" s="15">
        <v>0</v>
      </c>
      <c r="T319" s="15">
        <v>0</v>
      </c>
    </row>
    <row r="320" spans="1:20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IF($T$263,1,0)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0</v>
      </c>
      <c r="Q320" s="11">
        <v>0</v>
      </c>
      <c r="R320" s="12">
        <v>0</v>
      </c>
      <c r="S320" s="12">
        <v>0</v>
      </c>
      <c r="T320" s="12">
        <v>0</v>
      </c>
    </row>
    <row r="321" spans="1:20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IF($T$94,1,0)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4">
        <v>0</v>
      </c>
      <c r="R321" s="15">
        <v>0</v>
      </c>
      <c r="S321" s="15">
        <v>0</v>
      </c>
      <c r="T321" s="15">
        <v>0</v>
      </c>
    </row>
    <row r="322" spans="1:20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IF($T$51,1,0)</f>
        <v>0</v>
      </c>
      <c r="F322" s="11" t="s">
        <v>188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1">
        <v>0</v>
      </c>
      <c r="R322" s="12">
        <v>0</v>
      </c>
      <c r="S322" s="12">
        <v>0</v>
      </c>
      <c r="T322" s="12">
        <v>0</v>
      </c>
    </row>
    <row r="323" spans="1:20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IF($T$219,1,0)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v>0</v>
      </c>
      <c r="S323" s="12">
        <v>0</v>
      </c>
      <c r="T323" s="12">
        <v>0</v>
      </c>
    </row>
    <row r="324" spans="1:20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IF($T$220,1,0)</f>
        <v>0</v>
      </c>
      <c r="F324" s="14" t="s">
        <v>826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v>0</v>
      </c>
      <c r="S324" s="15">
        <v>0</v>
      </c>
      <c r="T324" s="15">
        <v>0</v>
      </c>
    </row>
    <row r="325" spans="1:20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IF($T$71,1,0)</f>
        <v>0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v>0</v>
      </c>
      <c r="S325" s="12">
        <v>0</v>
      </c>
      <c r="T325" s="12">
        <v>0</v>
      </c>
    </row>
    <row r="326" spans="1:20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IF($T$160,1,0)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5">
        <v>0</v>
      </c>
      <c r="T326" s="15">
        <v>0</v>
      </c>
    </row>
    <row r="327" spans="1:20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IF($T$254,1,0)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5">
        <v>0</v>
      </c>
      <c r="T327" s="15">
        <v>0</v>
      </c>
    </row>
    <row r="328" spans="1:20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IF($T$101,1,0)</f>
        <v>0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1">
        <v>0</v>
      </c>
      <c r="R328" s="12">
        <v>0</v>
      </c>
      <c r="S328" s="12">
        <v>0</v>
      </c>
      <c r="T328" s="12">
        <v>0</v>
      </c>
    </row>
    <row r="329" spans="1:20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IF($T$127,1,0)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v>0</v>
      </c>
      <c r="S329" s="12">
        <v>0</v>
      </c>
      <c r="T329" s="12">
        <v>0</v>
      </c>
    </row>
    <row r="330" spans="1:20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IF($T$116,1,0)</f>
        <v>0</v>
      </c>
      <c r="F330" s="14" t="s">
        <v>1244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v>0</v>
      </c>
      <c r="S330" s="15">
        <v>0</v>
      </c>
      <c r="T330" s="15">
        <v>0</v>
      </c>
    </row>
    <row r="331" spans="1:20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IF($T$295,1,0)</f>
        <v>0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1">
        <v>0</v>
      </c>
      <c r="R331" s="12">
        <v>0</v>
      </c>
      <c r="S331" s="12">
        <v>0</v>
      </c>
      <c r="T331" s="12">
        <v>0</v>
      </c>
    </row>
    <row r="332" spans="1:20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IF($T$332,1,0)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4">
        <v>0</v>
      </c>
      <c r="R332" s="15">
        <v>0</v>
      </c>
      <c r="S332" s="15">
        <v>0</v>
      </c>
      <c r="T332" s="15">
        <v>0</v>
      </c>
    </row>
    <row r="334" spans="1:20" ht="15" thickBot="1" x14ac:dyDescent="0.35">
      <c r="E334" s="5" t="s">
        <v>18</v>
      </c>
      <c r="F334" s="6" t="s">
        <v>19</v>
      </c>
      <c r="G334" s="6" t="s">
        <v>4</v>
      </c>
      <c r="H334" s="6" t="s">
        <v>1245</v>
      </c>
      <c r="I334" s="6" t="s">
        <v>1246</v>
      </c>
      <c r="J334" s="6" t="s">
        <v>6</v>
      </c>
      <c r="K334" s="6" t="s">
        <v>7</v>
      </c>
      <c r="L334" s="6" t="s">
        <v>8</v>
      </c>
      <c r="M334" s="6" t="s">
        <v>9</v>
      </c>
      <c r="N334" s="6" t="s">
        <v>10</v>
      </c>
      <c r="O334" s="6" t="s">
        <v>11</v>
      </c>
      <c r="P334" s="6" t="s">
        <v>12</v>
      </c>
      <c r="Q334" s="6" t="s">
        <v>13</v>
      </c>
      <c r="R334" s="6" t="s">
        <v>23</v>
      </c>
      <c r="S334" s="6" t="s">
        <v>26</v>
      </c>
      <c r="T334" s="6" t="s">
        <v>25</v>
      </c>
    </row>
    <row r="335" spans="1:20" ht="15" thickTop="1" x14ac:dyDescent="0.3">
      <c r="E335" s="7">
        <f xml:space="preserve"> IF($T$335,1,0)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9">
        <f>$G$335*$G$8+$H$335*$H$8+$I$335*$I$8+$J$335*$J$8+$K$335*$K$8+$L$335*$L$8+$M$335*$M$8+$N$335*$N$8+$O$335*$O$8+$P$335*$P$8+$Q$335*$Q$8</f>
        <v>0</v>
      </c>
      <c r="S335" s="9">
        <f>$T$335/2</f>
        <v>0</v>
      </c>
      <c r="T335" s="9">
        <f>$G$335*$G$8+$H$335*$H$8+$I$335*$I$8+$J$335*$J$8+$K$335*$K$8+$L$335*$L$8+$M$335*$M$8+$N$335*$N$8+$O$335*$O$8+$P$335*$P$8+$Q$335*$Q$8</f>
        <v>0</v>
      </c>
    </row>
  </sheetData>
  <sortState ref="A10:T332">
    <sortCondition ref="A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96D04-8630-414C-990A-4B0B471E3E6A}">
  <sheetPr codeName="Blad15"/>
  <dimension ref="A2:U339"/>
  <sheetViews>
    <sheetView tabSelected="1" topLeftCell="O35" workbookViewId="0">
      <selection activeCell="D49" sqref="D4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  <c r="R2" t="s">
        <v>1239</v>
      </c>
    </row>
    <row r="3" spans="1:21" x14ac:dyDescent="0.3"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  <c r="R3">
        <f>SUM($E$10:$E$335)</f>
        <v>69</v>
      </c>
    </row>
    <row r="7" spans="1:21" x14ac:dyDescent="0.3">
      <c r="Q7" s="3">
        <f>SUM(Q10:Q335)</f>
        <v>5</v>
      </c>
      <c r="R7" s="3">
        <f>SUM(R10:R335)</f>
        <v>3.7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1355-530C-4CAA-A840-26383CE9FD5C}">
  <sheetPr codeName="Blad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Sheet4</vt:lpstr>
      <vt:lpstr>18-10-17 01.10.26</vt:lpstr>
      <vt:lpstr>19-10-17 02.29.17</vt:lpstr>
      <vt:lpstr>09-11-17 02.02.26</vt:lpstr>
      <vt:lpstr>16-11-17 02.10.19</vt:lpstr>
      <vt:lpstr>Blad1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Gijs Vis</cp:lastModifiedBy>
  <dcterms:created xsi:type="dcterms:W3CDTF">2013-09-28T21:07:33Z</dcterms:created>
  <dcterms:modified xsi:type="dcterms:W3CDTF">2017-12-18T15:40:26Z</dcterms:modified>
</cp:coreProperties>
</file>