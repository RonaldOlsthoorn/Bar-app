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udelft.net\student-homes\o\rmolsthoorn\My Documents\Workspace\Bar-app\excel\"/>
    </mc:Choice>
  </mc:AlternateContent>
  <bookViews>
    <workbookView xWindow="120" yWindow="15" windowWidth="7305" windowHeight="11265" firstSheet="1" activeTab="1"/>
  </bookViews>
  <sheets>
    <sheet name="15-05-17 03.22.05(2)" sheetId="99" r:id="rId1"/>
    <sheet name="Sheet1" sheetId="34" r:id="rId2"/>
  </sheets>
  <calcPr calcId="162913"/>
</workbook>
</file>

<file path=xl/calcChain.xml><?xml version="1.0" encoding="utf-8"?>
<calcChain xmlns="http://schemas.openxmlformats.org/spreadsheetml/2006/main">
  <c r="H3" i="99" l="1"/>
  <c r="H2" i="99"/>
  <c r="G3" i="99"/>
  <c r="G2" i="99"/>
  <c r="L13" i="99"/>
  <c r="K13" i="99"/>
  <c r="J13" i="99"/>
  <c r="L12" i="99"/>
  <c r="K12" i="99"/>
  <c r="I12" i="99"/>
  <c r="J12" i="99"/>
  <c r="L11" i="99"/>
  <c r="K11" i="99"/>
  <c r="J11" i="99"/>
  <c r="L10" i="99"/>
  <c r="K10" i="99"/>
  <c r="I10" i="99"/>
  <c r="J10" i="99"/>
  <c r="L17" i="99"/>
  <c r="J17" i="99"/>
  <c r="L16" i="99"/>
  <c r="J16" i="99"/>
</calcChain>
</file>

<file path=xl/sharedStrings.xml><?xml version="1.0" encoding="utf-8"?>
<sst xmlns="http://schemas.openxmlformats.org/spreadsheetml/2006/main" count="35" uniqueCount="33">
  <si>
    <t>Whisky</t>
  </si>
  <si>
    <t>Bier</t>
  </si>
  <si>
    <t>ID</t>
  </si>
  <si>
    <t>Voornaam</t>
  </si>
  <si>
    <t>Tussenvoegsel</t>
  </si>
  <si>
    <t>Achternaam</t>
  </si>
  <si>
    <t>Naam</t>
  </si>
  <si>
    <t>Totaal</t>
  </si>
  <si>
    <t>Afzet:</t>
  </si>
  <si>
    <t>Omzet:</t>
  </si>
  <si>
    <t>Prijzen:</t>
  </si>
  <si>
    <t>ID0001</t>
  </si>
  <si>
    <t>Ronald</t>
  </si>
  <si>
    <t>Olsthoorn</t>
  </si>
  <si>
    <t>Ronald Olsthoorn</t>
  </si>
  <si>
    <t>ID0003</t>
  </si>
  <si>
    <t>Tung</t>
  </si>
  <si>
    <t>Phan</t>
  </si>
  <si>
    <t>Tung Phan</t>
  </si>
  <si>
    <t>ID0002</t>
  </si>
  <si>
    <t>Bezoekers</t>
  </si>
  <si>
    <t>Bigband</t>
  </si>
  <si>
    <t>Aanwezig</t>
  </si>
  <si>
    <t>Subtotaal consumpties</t>
  </si>
  <si>
    <t>Subtotaal groepen</t>
  </si>
  <si>
    <t>Webcie</t>
  </si>
  <si>
    <t>Daan</t>
  </si>
  <si>
    <t>de</t>
  </si>
  <si>
    <t>Winter</t>
  </si>
  <si>
    <t>Daan de Winter</t>
  </si>
  <si>
    <t>ID0004</t>
  </si>
  <si>
    <t>Woodchopper</t>
  </si>
  <si>
    <t>Daan Woodchopper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</si>
</sst>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€&quot;\ #,##0.00;&quot;€&quot;\ \-#,##0.00"/>
    <numFmt numFmtId="165" formatCode="&quot;€&quot;\ #.##000"/>
    <numFmt numFmtId="166" formatCode="\€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Border="1"/>
    <xf numFmtId="166" fontId="0" fillId="0" borderId="0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L17"/>
  <sheetViews>
    <sheetView workbookViewId="0">
      <selection activeCell="H8" sqref="H8:L9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6" max="6" width="25.7109375" customWidth="1"/>
  </cols>
  <sheetData>
    <row r="2" spans="1:12" x14ac:dyDescent="0.25">
      <c r="F2" t="s">
        <v>8</v>
      </c>
      <c r="G2">
        <f>SUM($G$10:$G$13)+ SUM($G$16:$G$17)</f>
        <v>7</v>
      </c>
      <c r="H2">
        <f>SUM($H$10:$H$13)+ SUM($H$16:$H$17)</f>
        <v>4</v>
      </c>
      <c r="J2" t="s">
        <v>20</v>
      </c>
    </row>
    <row r="3" spans="1:12" x14ac:dyDescent="0.25">
      <c r="F3" t="s">
        <v>9</v>
      </c>
      <c r="G3" s="3">
        <f>$G$8*G2</f>
        <v>7.7000000000000011</v>
      </c>
      <c r="H3" s="3">
        <f>$H$8*H2</f>
        <v>12</v>
      </c>
      <c r="J3">
        <v>0</v>
      </c>
    </row>
    <row r="8" spans="1:12" x14ac:dyDescent="0.25">
      <c r="F8" t="s">
        <v>10</v>
      </c>
      <c r="G8" s="3">
        <v>1.1000000000000001</v>
      </c>
      <c r="H8" s="5">
        <v>3</v>
      </c>
      <c r="I8" s="4"/>
      <c r="J8" s="4"/>
      <c r="K8" s="4"/>
      <c r="L8" s="4"/>
    </row>
    <row r="9" spans="1:12" x14ac:dyDescent="0.25">
      <c r="A9" t="s">
        <v>2</v>
      </c>
      <c r="B9" t="s">
        <v>3</v>
      </c>
      <c r="C9" t="s">
        <v>4</v>
      </c>
      <c r="D9" t="s">
        <v>5</v>
      </c>
      <c r="E9" t="s">
        <v>22</v>
      </c>
      <c r="F9" t="s">
        <v>6</v>
      </c>
      <c r="G9" t="s">
        <v>1</v>
      </c>
      <c r="H9" s="4" t="s">
        <v>0</v>
      </c>
      <c r="I9" s="4" t="s">
        <v>21</v>
      </c>
      <c r="J9" s="4" t="s">
        <v>23</v>
      </c>
      <c r="K9" s="4" t="s">
        <v>24</v>
      </c>
      <c r="L9" s="4" t="s">
        <v>7</v>
      </c>
    </row>
    <row r="10" spans="1:12" x14ac:dyDescent="0.25">
      <c r="A10" t="s">
        <v>15</v>
      </c>
      <c r="B10" t="s">
        <v>26</v>
      </c>
      <c r="C10" t="s">
        <v>27</v>
      </c>
      <c r="D10" t="s">
        <v>28</v>
      </c>
      <c r="F10" t="s">
        <v>29</v>
      </c>
      <c r="G10">
        <v>2</v>
      </c>
      <c r="H10">
        <v>2</v>
      </c>
      <c r="I10" s="3">
        <f>$L$16/2</f>
        <v>4.0999999999999996</v>
      </c>
      <c r="J10" s="3">
        <f>$G$10*$G$8+$H$10*$H$8</f>
        <v>8.1999999999999993</v>
      </c>
      <c r="K10" s="3">
        <f>SUM($I$10:$I$10)</f>
        <v>4.0999999999999996</v>
      </c>
      <c r="L10" s="3">
        <f>$J$10+$K$10</f>
        <v>12.299999999999999</v>
      </c>
    </row>
    <row r="11" spans="1:12" x14ac:dyDescent="0.25">
      <c r="A11" t="s">
        <v>30</v>
      </c>
      <c r="B11" t="s">
        <v>26</v>
      </c>
      <c r="D11" t="s">
        <v>31</v>
      </c>
      <c r="F11" t="s">
        <v>32</v>
      </c>
      <c r="G11">
        <v>0</v>
      </c>
      <c r="H11">
        <v>0</v>
      </c>
      <c r="I11" s="3">
        <v>0</v>
      </c>
      <c r="J11" s="3">
        <f>$G$11*$G$8+$H$11*$H$8</f>
        <v>0</v>
      </c>
      <c r="K11" s="3">
        <f>SUM($I$11:$I$11)</f>
        <v>0</v>
      </c>
      <c r="L11" s="3">
        <f>$J$11+$K$11</f>
        <v>0</v>
      </c>
    </row>
    <row r="12" spans="1:12" x14ac:dyDescent="0.25">
      <c r="A12" t="s">
        <v>11</v>
      </c>
      <c r="B12" t="s">
        <v>12</v>
      </c>
      <c r="D12" t="s">
        <v>13</v>
      </c>
      <c r="F12" t="s">
        <v>14</v>
      </c>
      <c r="G12">
        <v>0</v>
      </c>
      <c r="H12">
        <v>0</v>
      </c>
      <c r="I12" s="3">
        <f>$L$16/2</f>
        <v>4.0999999999999996</v>
      </c>
      <c r="J12" s="3">
        <f>$G$12*$G$8+$H$12*$H$8</f>
        <v>0</v>
      </c>
      <c r="K12" s="3">
        <f>SUM($I$12:$I$12)</f>
        <v>4.0999999999999996</v>
      </c>
      <c r="L12" s="3">
        <f>$J$12+$K$12</f>
        <v>4.0999999999999996</v>
      </c>
    </row>
    <row r="13" spans="1:12" x14ac:dyDescent="0.25">
      <c r="A13" t="s">
        <v>19</v>
      </c>
      <c r="B13" t="s">
        <v>16</v>
      </c>
      <c r="D13" t="s">
        <v>17</v>
      </c>
      <c r="F13" t="s">
        <v>18</v>
      </c>
      <c r="G13">
        <v>3</v>
      </c>
      <c r="H13">
        <v>0</v>
      </c>
      <c r="I13" s="3">
        <v>0</v>
      </c>
      <c r="J13" s="3">
        <f>$G$13*$G$8+$H$13*$H$8</f>
        <v>3.3000000000000003</v>
      </c>
      <c r="K13" s="3">
        <f>SUM($I$13:$I$13)</f>
        <v>0</v>
      </c>
      <c r="L13" s="3">
        <f>$J$13+$K$13</f>
        <v>3.3000000000000003</v>
      </c>
    </row>
    <row r="16" spans="1:12" x14ac:dyDescent="0.25">
      <c r="F16" t="s">
        <v>21</v>
      </c>
      <c r="G16">
        <v>2</v>
      </c>
      <c r="H16">
        <v>2</v>
      </c>
      <c r="J16" s="3">
        <f>$G$16*$G$8+$H$16*$H$8</f>
        <v>8.1999999999999993</v>
      </c>
      <c r="L16" s="3">
        <f>$G$16*$G$8+$H$16*$H$8</f>
        <v>8.1999999999999993</v>
      </c>
    </row>
    <row r="17" spans="6:12" x14ac:dyDescent="0.25">
      <c r="F17" t="s">
        <v>25</v>
      </c>
      <c r="G17">
        <v>0</v>
      </c>
      <c r="H17">
        <v>0</v>
      </c>
      <c r="J17" s="3">
        <f>$G$17*$G$8+$H$17*$H$8</f>
        <v>0</v>
      </c>
      <c r="L17" s="3">
        <f>$G$17*$G$8+$H$17*$H$8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22" sqref="A22"/>
    </sheetView>
  </sheetViews>
  <sheetFormatPr defaultRowHeight="15" x14ac:dyDescent="0.25"/>
  <sheetData>
    <row r="1" s="1" customFormat="1" x14ac:dyDescent="0.25"/>
    <row r="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15-05-17 03.22.05(2)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Ronald Olsthoorn</cp:lastModifiedBy>
  <dcterms:created xsi:type="dcterms:W3CDTF">2013-09-28T21:07:33Z</dcterms:created>
  <dcterms:modified xsi:type="dcterms:W3CDTF">2017-05-17T20:33:40Z</dcterms:modified>
</cp:coreProperties>
</file>