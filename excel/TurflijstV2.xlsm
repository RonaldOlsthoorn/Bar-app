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5" windowWidth="19035" windowHeight="11265"/>
  </bookViews>
  <sheets>
    <sheet name="02-05-17 07.25.02(1)" sheetId="35" r:id="rId1"/>
    <sheet name="Sheet1" sheetId="34" r:id="rId2"/>
  </sheets>
  <calcPr calcId="145621"/>
</workbook>
</file>

<file path=xl/calcChain.xml><?xml version="1.0" encoding="utf-8"?>
<calcChain xmlns="http://schemas.openxmlformats.org/spreadsheetml/2006/main">
  <c r="J3" i="35" l="1"/>
  <c r="I3" i="35"/>
  <c r="I2" i="35"/>
  <c r="H3" i="35"/>
  <c r="H2" i="35"/>
  <c r="G13" i="35"/>
  <c r="G12" i="35"/>
  <c r="G11" i="35"/>
</calcChain>
</file>

<file path=xl/sharedStrings.xml><?xml version="1.0" encoding="utf-8"?>
<sst xmlns="http://schemas.openxmlformats.org/spreadsheetml/2006/main" count="25" uniqueCount="25">
  <si>
    <t>Whisky</t>
  </si>
  <si>
    <t>Bier</t>
  </si>
  <si>
    <t>ID</t>
  </si>
  <si>
    <t>Voornaam</t>
  </si>
  <si>
    <t>Tussenvoegsel</t>
  </si>
  <si>
    <t>Achternaam</t>
  </si>
  <si>
    <t>Actief</t>
  </si>
  <si>
    <t>Naam</t>
  </si>
  <si>
    <t>Totaal</t>
  </si>
  <si>
    <t>Afzet:</t>
  </si>
  <si>
    <t>Omzet:</t>
  </si>
  <si>
    <t>Prijzen:</t>
  </si>
  <si>
    <t>ID0001</t>
  </si>
  <si>
    <t>Ronald</t>
  </si>
  <si>
    <t>Olsthoorn</t>
  </si>
  <si>
    <t>Ronald Olsthoorn</t>
  </si>
  <si>
    <t>ID0003</t>
  </si>
  <si>
    <t>Tung</t>
  </si>
  <si>
    <t>Phan</t>
  </si>
  <si>
    <t>Tung Phan</t>
  </si>
  <si>
    <t>ID0002</t>
  </si>
  <si>
    <t>Vincent</t>
  </si>
  <si>
    <t>Dijk</t>
  </si>
  <si>
    <t>Vincent Dijk</t>
  </si>
  <si>
    <t>Bezoekers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</si>
</sst>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€&quot;\ #,##0.00;&quot;€&quot;\ \-#,##0.00"/>
    <numFmt numFmtId="165" formatCode="&quot;€&quot;\ #.##000"/>
    <numFmt numFmtId="166" formatCode="\€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6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1">
    <dxf>
      <numFmt numFmtId="166" formatCode="\€\ #,##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0:I13" totalsRowShown="0">
  <autoFilter ref="A10:I13"/>
  <tableColumns count="9">
    <tableColumn id="1" name="ID"/>
    <tableColumn id="2" name="Voornaam"/>
    <tableColumn id="3" name="Tussenvoegsel"/>
    <tableColumn id="4" name="Achternaam"/>
    <tableColumn id="5" name="Actief"/>
    <tableColumn id="6" name="Naam"/>
    <tableColumn id="7" name="Totaal" dataDxfId="0"/>
    <tableColumn id="8" name="Whisky"/>
    <tableColumn id="9" name="Bier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J13"/>
  <sheetViews>
    <sheetView tabSelected="1" topLeftCell="B1" workbookViewId="0">
      <selection activeCell="L11" sqref="L11"/>
    </sheetView>
  </sheetViews>
  <sheetFormatPr defaultRowHeight="15" x14ac:dyDescent="0.25"/>
  <cols>
    <col min="2" max="2" width="14.7109375" customWidth="1"/>
    <col min="3" max="3" width="18.7109375" customWidth="1"/>
    <col min="4" max="4" width="20.7109375" customWidth="1"/>
    <col min="6" max="6" width="25.7109375" customWidth="1"/>
    <col min="7" max="7" width="18.7109375" customWidth="1"/>
    <col min="8" max="8" width="9.7109375" customWidth="1"/>
  </cols>
  <sheetData>
    <row r="2" spans="1:10" x14ac:dyDescent="0.25">
      <c r="G2" t="s">
        <v>9</v>
      </c>
      <c r="H2">
        <f>SUM($H$11:$H$13)</f>
        <v>6</v>
      </c>
      <c r="I2">
        <f>SUM($I$11:$I$13)</f>
        <v>6</v>
      </c>
      <c r="J2" t="s">
        <v>24</v>
      </c>
    </row>
    <row r="3" spans="1:10" x14ac:dyDescent="0.25">
      <c r="G3" t="s">
        <v>10</v>
      </c>
      <c r="H3" s="3">
        <f>$H$9*H2</f>
        <v>18</v>
      </c>
      <c r="I3" s="3">
        <f>$I$9*I2</f>
        <v>6.6000000000000005</v>
      </c>
      <c r="J3">
        <f>COUNTIF($G$11:$G$13,"&gt;0")</f>
        <v>2</v>
      </c>
    </row>
    <row r="9" spans="1:10" x14ac:dyDescent="0.25">
      <c r="G9" t="s">
        <v>11</v>
      </c>
      <c r="H9" s="4">
        <v>3</v>
      </c>
      <c r="I9" s="4">
        <v>1.1000000000000001</v>
      </c>
    </row>
    <row r="10" spans="1:10" x14ac:dyDescent="0.25">
      <c r="A10" t="s">
        <v>2</v>
      </c>
      <c r="B10" t="s">
        <v>3</v>
      </c>
      <c r="C10" t="s">
        <v>4</v>
      </c>
      <c r="D10" t="s">
        <v>5</v>
      </c>
      <c r="E10" t="s">
        <v>6</v>
      </c>
      <c r="F10" t="s">
        <v>7</v>
      </c>
      <c r="G10" t="s">
        <v>8</v>
      </c>
      <c r="H10" s="5" t="s">
        <v>0</v>
      </c>
      <c r="I10" s="5" t="s">
        <v>1</v>
      </c>
    </row>
    <row r="11" spans="1:10" x14ac:dyDescent="0.25">
      <c r="A11" t="s">
        <v>12</v>
      </c>
      <c r="B11" t="s">
        <v>13</v>
      </c>
      <c r="D11" t="s">
        <v>14</v>
      </c>
      <c r="F11" t="s">
        <v>15</v>
      </c>
      <c r="G11" s="3">
        <f>$H$11*$H$9+$I$11*$I$9</f>
        <v>11.5</v>
      </c>
      <c r="H11">
        <v>2</v>
      </c>
      <c r="I11">
        <v>5</v>
      </c>
    </row>
    <row r="12" spans="1:10" x14ac:dyDescent="0.25">
      <c r="A12" t="s">
        <v>16</v>
      </c>
      <c r="B12" t="s">
        <v>17</v>
      </c>
      <c r="D12" t="s">
        <v>18</v>
      </c>
      <c r="F12" t="s">
        <v>19</v>
      </c>
      <c r="G12" s="3">
        <f>$H$12*$H$9+$I$12*$I$9</f>
        <v>13.1</v>
      </c>
      <c r="H12">
        <v>4</v>
      </c>
      <c r="I12">
        <v>1</v>
      </c>
    </row>
    <row r="13" spans="1:10" x14ac:dyDescent="0.25">
      <c r="A13" t="s">
        <v>20</v>
      </c>
      <c r="B13" t="s">
        <v>21</v>
      </c>
      <c r="D13" t="s">
        <v>22</v>
      </c>
      <c r="F13" t="s">
        <v>23</v>
      </c>
      <c r="G13" s="3">
        <f>$H$13*$H$9+$I$13*$I$9</f>
        <v>0</v>
      </c>
      <c r="H13">
        <v>0</v>
      </c>
      <c r="I13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22" sqref="A22"/>
    </sheetView>
  </sheetViews>
  <sheetFormatPr defaultRowHeight="15" x14ac:dyDescent="0.25"/>
  <sheetData>
    <row r="1" s="1" customFormat="1" x14ac:dyDescent="0.25"/>
    <row r="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02-05-17 07.25.02(1)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Gebruiker</dc:creator>
  <cp:lastModifiedBy>Ronald Olsthoorn</cp:lastModifiedBy>
  <dcterms:created xsi:type="dcterms:W3CDTF">2013-09-28T21:07:33Z</dcterms:created>
  <dcterms:modified xsi:type="dcterms:W3CDTF">2017-05-16T16:54:11Z</dcterms:modified>
</cp:coreProperties>
</file>